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Pantanal/Planilha de Controle/"/>
    </mc:Choice>
  </mc:AlternateContent>
  <xr:revisionPtr revIDLastSave="99057" documentId="8_{DAC6C9CA-70D7-4111-A0A7-BC6755E560D9}" xr6:coauthVersionLast="47" xr6:coauthVersionMax="47" xr10:uidLastSave="{5F35548C-4B2B-407D-ABF6-37DDEAA1DD9F}"/>
  <bookViews>
    <workbookView xWindow="28680" yWindow="-120" windowWidth="29040" windowHeight="15720" firstSheet="3" activeTab="3" xr2:uid="{00000000-000D-0000-FFFF-FFFF00000000}"/>
  </bookViews>
  <sheets>
    <sheet name="Listas (não utilizar)" sheetId="4" state="hidden" r:id="rId1"/>
    <sheet name="QUANT COND" sheetId="16" state="hidden" r:id="rId2"/>
    <sheet name="OFÍCIOS" sheetId="5" state="hidden" r:id="rId3"/>
    <sheet name="PRIORIDADES" sheetId="20" r:id="rId4"/>
    <sheet name="EMAIL" sheetId="21" r:id="rId5"/>
    <sheet name="DEPLAN" sheetId="23" r:id="rId6"/>
    <sheet name="Planilha1" sheetId="24" r:id="rId7"/>
    <sheet name="VALIDAÇÕES" sheetId="25" state="hidden" r:id="rId8"/>
  </sheets>
  <externalReferences>
    <externalReference r:id="rId9"/>
  </externalReferences>
  <definedNames>
    <definedName name="_xlnm._FilterDatabase" localSheetId="0" hidden="1">'Listas (não utilizar)'!$A$1:$J$1</definedName>
    <definedName name="_xlnm._FilterDatabase" localSheetId="2" hidden="1">OFÍCIOS!$A$2:$U$3059</definedName>
    <definedName name="_xlnm._FilterDatabase" localSheetId="3" hidden="1">PRIORIDADES!$A$4:$DH$5353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0" hidden="1">'Listas (não utilizar)'!$F$2:$F$5</definedName>
    <definedName name="Z_39E29B6F_0D66_48AE_A716_BFBE8B532288_.wvu.FilterData" localSheetId="0" hidden="1">'Listas (não utilizar)'!$F$2:$F$5</definedName>
    <definedName name="Z_3C855A2D_2F8A_450A_853C_257A0FC222AF_.wvu.FilterData" localSheetId="0" hidden="1">'Listas (não utilizar)'!$F$2:$F$5</definedName>
    <definedName name="Z_8296C81D_E0C9_43D9_ADA1_0E4705448C59_.wvu.FilterData" localSheetId="0" hidden="1">'Listas (não utilizar)'!$A$1:$F$17</definedName>
    <definedName name="Z_A598ACE7_C3E8_4400_B80E_E7BA9453B8A3_.wvu.FilterData" localSheetId="0" hidden="1">'Listas (não utilizar)'!$F$2:$F$5</definedName>
    <definedName name="Z_AD69B6D1_19BC_4940_B666_EDC66A6E168F_.wvu.FilterData" localSheetId="0" hidden="1">'Listas (não utilizar)'!$A$1:$F$17</definedName>
    <definedName name="Z_C81C67C3_BEE5_43B5_A898_4FF9A711A2FF_.wvu.FilterData" localSheetId="0" hidden="1">'Listas (não utilizar)'!$F$2:$F$5</definedName>
    <definedName name="Z_D4268A78_2B91_4AE5_BC6A_318CAE2503F1_.wvu.FilterData" localSheetId="0" hidden="1">'Listas (não utilizar)'!$F$2:$F$5</definedName>
    <definedName name="Z_D8EF893F_7CCC_418F_8546_BBB4DB0B16B5_.wvu.FilterData" localSheetId="0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54" i="20" l="1"/>
  <c r="AR253" i="20"/>
  <c r="AG254" i="20"/>
  <c r="BH9" i="20"/>
  <c r="BH10" i="20"/>
  <c r="BH11" i="20"/>
  <c r="BH12" i="20"/>
  <c r="BH13" i="20"/>
  <c r="BH14" i="20"/>
  <c r="BH15" i="20"/>
  <c r="BH16" i="20"/>
  <c r="BH17" i="20"/>
  <c r="BH18" i="20"/>
  <c r="BH19" i="20"/>
  <c r="BH20" i="20"/>
  <c r="BH21" i="20"/>
  <c r="BH22" i="20"/>
  <c r="BH23" i="20"/>
  <c r="BH24" i="20"/>
  <c r="BH25" i="20"/>
  <c r="BH26" i="20"/>
  <c r="BH27" i="20"/>
  <c r="BH28" i="20"/>
  <c r="BH29" i="20"/>
  <c r="BH30" i="20"/>
  <c r="BH31" i="20"/>
  <c r="BH32" i="20"/>
  <c r="BH33" i="20"/>
  <c r="BH34" i="20"/>
  <c r="BH35" i="20"/>
  <c r="BH36" i="20"/>
  <c r="BH37" i="20"/>
  <c r="BH38" i="20"/>
  <c r="BH39" i="20"/>
  <c r="BH40" i="20"/>
  <c r="BH41" i="20"/>
  <c r="BH42" i="20"/>
  <c r="BH43" i="20"/>
  <c r="BH44" i="20"/>
  <c r="BH45" i="20"/>
  <c r="BH46" i="20"/>
  <c r="BH47" i="20"/>
  <c r="BH48" i="20"/>
  <c r="BH49" i="20"/>
  <c r="BH50" i="20"/>
  <c r="BH51" i="20"/>
  <c r="BH52" i="20"/>
  <c r="BH53" i="20"/>
  <c r="BH54" i="20"/>
  <c r="BH55" i="20"/>
  <c r="BH56" i="20"/>
  <c r="BH57" i="20"/>
  <c r="BH58" i="20"/>
  <c r="BH59" i="20"/>
  <c r="BH60" i="20"/>
  <c r="BH61" i="20"/>
  <c r="BH62" i="20"/>
  <c r="BH63" i="20"/>
  <c r="BH64" i="20"/>
  <c r="BH65" i="20"/>
  <c r="BH66" i="20"/>
  <c r="BH67" i="20"/>
  <c r="BH68" i="20"/>
  <c r="BH69" i="20"/>
  <c r="BH70" i="20"/>
  <c r="BH71" i="20"/>
  <c r="BH72" i="20"/>
  <c r="BH73" i="20"/>
  <c r="BH74" i="20"/>
  <c r="BH75" i="20"/>
  <c r="BH76" i="20"/>
  <c r="BH77" i="20"/>
  <c r="BH78" i="20"/>
  <c r="BH79" i="20"/>
  <c r="BH80" i="20"/>
  <c r="BH81" i="20"/>
  <c r="BH82" i="20"/>
  <c r="BH83" i="20"/>
  <c r="BH84" i="20"/>
  <c r="BH85" i="20"/>
  <c r="BH86" i="20"/>
  <c r="BH87" i="20"/>
  <c r="BH88" i="20"/>
  <c r="BH89" i="20"/>
  <c r="BH90" i="20"/>
  <c r="BH91" i="20"/>
  <c r="BH92" i="20"/>
  <c r="BH93" i="20"/>
  <c r="BH94" i="20"/>
  <c r="BH95" i="20"/>
  <c r="BH96" i="20"/>
  <c r="BH97" i="20"/>
  <c r="BH98" i="20"/>
  <c r="BH99" i="20"/>
  <c r="BH100" i="20"/>
  <c r="BH101" i="20"/>
  <c r="BH102" i="20"/>
  <c r="BH103" i="20"/>
  <c r="BH104" i="20"/>
  <c r="BH105" i="20"/>
  <c r="BH106" i="20"/>
  <c r="BH107" i="20"/>
  <c r="BH108" i="20"/>
  <c r="BH109" i="20"/>
  <c r="BH110" i="20"/>
  <c r="BH111" i="20"/>
  <c r="BH112" i="20"/>
  <c r="BH113" i="20"/>
  <c r="BH114" i="20"/>
  <c r="BH115" i="20"/>
  <c r="BH116" i="20"/>
  <c r="BH117" i="20"/>
  <c r="BH118" i="20"/>
  <c r="BH119" i="20"/>
  <c r="BH120" i="20"/>
  <c r="BH121" i="20"/>
  <c r="BH122" i="20"/>
  <c r="BH123" i="20"/>
  <c r="BH124" i="20"/>
  <c r="BH125" i="20"/>
  <c r="BH126" i="20"/>
  <c r="BH127" i="20"/>
  <c r="BH128" i="20"/>
  <c r="BH129" i="20"/>
  <c r="BH130" i="20"/>
  <c r="BH131" i="20"/>
  <c r="BH132" i="20"/>
  <c r="BH133" i="20"/>
  <c r="BH134" i="20"/>
  <c r="BH135" i="20"/>
  <c r="BH136" i="20"/>
  <c r="BH137" i="20"/>
  <c r="BH138" i="20"/>
  <c r="BH139" i="20"/>
  <c r="BH140" i="20"/>
  <c r="BH141" i="20"/>
  <c r="BH142" i="20"/>
  <c r="BH143" i="20"/>
  <c r="BH144" i="20"/>
  <c r="BH145" i="20"/>
  <c r="BH146" i="20"/>
  <c r="BH147" i="20"/>
  <c r="BH148" i="20"/>
  <c r="BH149" i="20"/>
  <c r="BH150" i="20"/>
  <c r="BH151" i="20"/>
  <c r="BH152" i="20"/>
  <c r="BH153" i="20"/>
  <c r="BH154" i="20"/>
  <c r="BH155" i="20"/>
  <c r="BH156" i="20"/>
  <c r="BH157" i="20"/>
  <c r="BH158" i="20"/>
  <c r="BH159" i="20"/>
  <c r="BH160" i="20"/>
  <c r="BH161" i="20"/>
  <c r="BH162" i="20"/>
  <c r="BH163" i="20"/>
  <c r="BH164" i="20"/>
  <c r="BH165" i="20"/>
  <c r="BH166" i="20"/>
  <c r="BH167" i="20"/>
  <c r="BH168" i="20"/>
  <c r="BH169" i="20"/>
  <c r="BH170" i="20"/>
  <c r="BH171" i="20"/>
  <c r="BH172" i="20"/>
  <c r="BH173" i="20"/>
  <c r="BH174" i="20"/>
  <c r="BH175" i="20"/>
  <c r="BH176" i="20"/>
  <c r="BH177" i="20"/>
  <c r="BH178" i="20"/>
  <c r="BH179" i="20"/>
  <c r="BH180" i="20"/>
  <c r="BH181" i="20"/>
  <c r="BH182" i="20"/>
  <c r="BH183" i="20"/>
  <c r="BH184" i="20"/>
  <c r="BH185" i="20"/>
  <c r="BH186" i="20"/>
  <c r="BH187" i="20"/>
  <c r="BH188" i="20"/>
  <c r="BH189" i="20"/>
  <c r="BH190" i="20"/>
  <c r="BH191" i="20"/>
  <c r="BH192" i="20"/>
  <c r="BH193" i="20"/>
  <c r="BH194" i="20"/>
  <c r="BH195" i="20"/>
  <c r="BH196" i="20"/>
  <c r="BH197" i="20"/>
  <c r="BH198" i="20"/>
  <c r="BH199" i="20"/>
  <c r="BH200" i="20"/>
  <c r="BH201" i="20"/>
  <c r="BH202" i="20"/>
  <c r="BH203" i="20"/>
  <c r="BH204" i="20"/>
  <c r="BH205" i="20"/>
  <c r="BH206" i="20"/>
  <c r="BH207" i="20"/>
  <c r="BH208" i="20"/>
  <c r="BH209" i="20"/>
  <c r="BH210" i="20"/>
  <c r="BH211" i="20"/>
  <c r="BH212" i="20"/>
  <c r="BH213" i="20"/>
  <c r="BH214" i="20"/>
  <c r="BH215" i="20"/>
  <c r="BH216" i="20"/>
  <c r="BH217" i="20"/>
  <c r="BH218" i="20"/>
  <c r="BH219" i="20"/>
  <c r="BH220" i="20"/>
  <c r="BH221" i="20"/>
  <c r="BH222" i="20"/>
  <c r="BH223" i="20"/>
  <c r="BH224" i="20"/>
  <c r="BH225" i="20"/>
  <c r="BH226" i="20"/>
  <c r="BH227" i="20"/>
  <c r="BH228" i="20"/>
  <c r="BH229" i="20"/>
  <c r="BH230" i="20"/>
  <c r="BH231" i="20"/>
  <c r="BH232" i="20"/>
  <c r="BH233" i="20"/>
  <c r="BH234" i="20"/>
  <c r="BH235" i="20"/>
  <c r="BH236" i="20"/>
  <c r="BH237" i="20"/>
  <c r="BH238" i="20"/>
  <c r="BH239" i="20"/>
  <c r="BH240" i="20"/>
  <c r="BH241" i="20"/>
  <c r="BH242" i="20"/>
  <c r="BH243" i="20"/>
  <c r="BH244" i="20"/>
  <c r="BH245" i="20"/>
  <c r="BH246" i="20"/>
  <c r="BH247" i="20"/>
  <c r="BH248" i="20"/>
  <c r="BH249" i="20"/>
  <c r="BH250" i="20"/>
  <c r="BH251" i="20"/>
  <c r="BH252" i="20"/>
  <c r="BH253" i="20"/>
  <c r="BH254" i="20"/>
  <c r="BH255" i="20"/>
  <c r="BH256" i="20"/>
  <c r="BH257" i="20"/>
  <c r="BH258" i="20"/>
  <c r="BH259" i="20"/>
  <c r="BH260" i="20"/>
  <c r="BH261" i="20"/>
  <c r="BH262" i="20"/>
  <c r="BH263" i="20"/>
  <c r="BH264" i="20"/>
  <c r="BH265" i="20"/>
  <c r="BH266" i="20"/>
  <c r="BH267" i="20"/>
  <c r="BH268" i="20"/>
  <c r="BH269" i="20"/>
  <c r="BH270" i="20"/>
  <c r="BH271" i="20"/>
  <c r="BH272" i="20"/>
  <c r="BH273" i="20"/>
  <c r="BH274" i="20"/>
  <c r="BH275" i="20"/>
  <c r="BH276" i="20"/>
  <c r="BH277" i="20"/>
  <c r="BH278" i="20"/>
  <c r="BH279" i="20"/>
  <c r="BH280" i="20"/>
  <c r="BH281" i="20"/>
  <c r="BH282" i="20"/>
  <c r="BH283" i="20"/>
  <c r="BH284" i="20"/>
  <c r="BH285" i="20"/>
  <c r="BH286" i="20"/>
  <c r="BH287" i="20"/>
  <c r="BH288" i="20"/>
  <c r="BH289" i="20"/>
  <c r="BH290" i="20"/>
  <c r="BH291" i="20"/>
  <c r="BH292" i="20"/>
  <c r="BH293" i="20"/>
  <c r="BH294" i="20"/>
  <c r="BH295" i="20"/>
  <c r="BH296" i="20"/>
  <c r="BH297" i="20"/>
  <c r="BH298" i="20"/>
  <c r="BH299" i="20"/>
  <c r="BH300" i="20"/>
  <c r="BH301" i="20"/>
  <c r="BH302" i="20"/>
  <c r="BH303" i="20"/>
  <c r="BH304" i="20"/>
  <c r="BH305" i="20"/>
  <c r="BH306" i="20"/>
  <c r="BH307" i="20"/>
  <c r="BH308" i="20"/>
  <c r="BH309" i="20"/>
  <c r="BH310" i="20"/>
  <c r="BH311" i="20"/>
  <c r="BH312" i="20"/>
  <c r="BH313" i="20"/>
  <c r="BH314" i="20"/>
  <c r="BH315" i="20"/>
  <c r="BH316" i="20"/>
  <c r="BH317" i="20"/>
  <c r="BH318" i="20"/>
  <c r="BH319" i="20"/>
  <c r="BH320" i="20"/>
  <c r="BH321" i="20"/>
  <c r="BH322" i="20"/>
  <c r="BH323" i="20"/>
  <c r="BH324" i="20"/>
  <c r="BH325" i="20"/>
  <c r="BH326" i="20"/>
  <c r="BH327" i="20"/>
  <c r="BH328" i="20"/>
  <c r="BH329" i="20"/>
  <c r="BH330" i="20"/>
  <c r="BH331" i="20"/>
  <c r="BH332" i="20"/>
  <c r="BH333" i="20"/>
  <c r="BH334" i="20"/>
  <c r="BH335" i="20"/>
  <c r="BH336" i="20"/>
  <c r="BH337" i="20"/>
  <c r="BH338" i="20"/>
  <c r="BH339" i="20"/>
  <c r="BH340" i="20"/>
  <c r="BH341" i="20"/>
  <c r="BH342" i="20"/>
  <c r="BH343" i="20"/>
  <c r="BH344" i="20"/>
  <c r="BH345" i="20"/>
  <c r="BH346" i="20"/>
  <c r="BH347" i="20"/>
  <c r="BH348" i="20"/>
  <c r="BH349" i="20"/>
  <c r="BH350" i="20"/>
  <c r="BH351" i="20"/>
  <c r="BH352" i="20"/>
  <c r="BH353" i="20"/>
  <c r="BH354" i="20"/>
  <c r="BH355" i="20"/>
  <c r="BH356" i="20"/>
  <c r="BH357" i="20"/>
  <c r="BH358" i="20"/>
  <c r="BH359" i="20"/>
  <c r="BH360" i="20"/>
  <c r="BH361" i="20"/>
  <c r="BH362" i="20"/>
  <c r="BH363" i="20"/>
  <c r="BH364" i="20"/>
  <c r="BH365" i="20"/>
  <c r="BH366" i="20"/>
  <c r="BH367" i="20"/>
  <c r="BH368" i="20"/>
  <c r="BH369" i="20"/>
  <c r="BH370" i="20"/>
  <c r="BH371" i="20"/>
  <c r="BH372" i="20"/>
  <c r="BH373" i="20"/>
  <c r="BH374" i="20"/>
  <c r="BH375" i="20"/>
  <c r="BH376" i="20"/>
  <c r="BH377" i="20"/>
  <c r="BH378" i="20"/>
  <c r="BH379" i="20"/>
  <c r="BH380" i="20"/>
  <c r="BH381" i="20"/>
  <c r="BH382" i="20"/>
  <c r="BH383" i="20"/>
  <c r="BH384" i="20"/>
  <c r="BH385" i="20"/>
  <c r="BH386" i="20"/>
  <c r="BH387" i="20"/>
  <c r="BH388" i="20"/>
  <c r="BH389" i="20"/>
  <c r="BH390" i="20"/>
  <c r="BH391" i="20"/>
  <c r="BH392" i="20"/>
  <c r="BH393" i="20"/>
  <c r="BH394" i="20"/>
  <c r="BH395" i="20"/>
  <c r="BH396" i="20"/>
  <c r="BH397" i="20"/>
  <c r="BH398" i="20"/>
  <c r="BH399" i="20"/>
  <c r="BH400" i="20"/>
  <c r="BH401" i="20"/>
  <c r="BH402" i="20"/>
  <c r="BH403" i="20"/>
  <c r="BH404" i="20"/>
  <c r="BH405" i="20"/>
  <c r="BH406" i="20"/>
  <c r="BH407" i="20"/>
  <c r="BH408" i="20"/>
  <c r="BH409" i="20"/>
  <c r="BH410" i="20"/>
  <c r="BH411" i="20"/>
  <c r="BH412" i="20"/>
  <c r="BH413" i="20"/>
  <c r="BH414" i="20"/>
  <c r="BH415" i="20"/>
  <c r="BH416" i="20"/>
  <c r="BH417" i="20"/>
  <c r="BH418" i="20"/>
  <c r="BH419" i="20"/>
  <c r="BH420" i="20"/>
  <c r="BH421" i="20"/>
  <c r="BH422" i="20"/>
  <c r="BH423" i="20"/>
  <c r="BH424" i="20"/>
  <c r="BH425" i="20"/>
  <c r="BH426" i="20"/>
  <c r="BH427" i="20"/>
  <c r="BH428" i="20"/>
  <c r="BH429" i="20"/>
  <c r="BH430" i="20"/>
  <c r="BH431" i="20"/>
  <c r="BH432" i="20"/>
  <c r="BH433" i="20"/>
  <c r="BH434" i="20"/>
  <c r="BH435" i="20"/>
  <c r="BH436" i="20"/>
  <c r="BH437" i="20"/>
  <c r="BH438" i="20"/>
  <c r="BH439" i="20"/>
  <c r="BH440" i="20"/>
  <c r="BH441" i="20"/>
  <c r="BH442" i="20"/>
  <c r="BH443" i="20"/>
  <c r="BH444" i="20"/>
  <c r="BH445" i="20"/>
  <c r="BH446" i="20"/>
  <c r="BH447" i="20"/>
  <c r="BH448" i="20"/>
  <c r="BH449" i="20"/>
  <c r="BH450" i="20"/>
  <c r="BH451" i="20"/>
  <c r="BH452" i="20"/>
  <c r="BH453" i="20"/>
  <c r="BH454" i="20"/>
  <c r="BH455" i="20"/>
  <c r="BH456" i="20"/>
  <c r="BH457" i="20"/>
  <c r="BH458" i="20"/>
  <c r="BH459" i="20"/>
  <c r="BH460" i="20"/>
  <c r="BH461" i="20"/>
  <c r="BH462" i="20"/>
  <c r="BH463" i="20"/>
  <c r="BH464" i="20"/>
  <c r="BH465" i="20"/>
  <c r="BH466" i="20"/>
  <c r="BH467" i="20"/>
  <c r="BH468" i="20"/>
  <c r="BH469" i="20"/>
  <c r="BH470" i="20"/>
  <c r="BH471" i="20"/>
  <c r="BH472" i="20"/>
  <c r="BH473" i="20"/>
  <c r="BH474" i="20"/>
  <c r="BH475" i="20"/>
  <c r="BH476" i="20"/>
  <c r="BH477" i="20"/>
  <c r="BH478" i="20"/>
  <c r="BH479" i="20"/>
  <c r="BH480" i="20"/>
  <c r="BH481" i="20"/>
  <c r="BH482" i="20"/>
  <c r="BH483" i="20"/>
  <c r="BH484" i="20"/>
  <c r="BH485" i="20"/>
  <c r="BH486" i="20"/>
  <c r="BH487" i="20"/>
  <c r="BH488" i="20"/>
  <c r="BH489" i="20"/>
  <c r="BH490" i="20"/>
  <c r="BH491" i="20"/>
  <c r="BH492" i="20"/>
  <c r="BH493" i="20"/>
  <c r="BH494" i="20"/>
  <c r="BH495" i="20"/>
  <c r="BH496" i="20"/>
  <c r="BH497" i="20"/>
  <c r="BH498" i="20"/>
  <c r="BH499" i="20"/>
  <c r="BH500" i="20"/>
  <c r="BH501" i="20"/>
  <c r="BH502" i="20"/>
  <c r="BH503" i="20"/>
  <c r="BH504" i="20"/>
  <c r="BH505" i="20"/>
  <c r="BH506" i="20"/>
  <c r="BH507" i="20"/>
  <c r="BH508" i="20"/>
  <c r="BH509" i="20"/>
  <c r="BH510" i="20"/>
  <c r="BH511" i="20"/>
  <c r="BH512" i="20"/>
  <c r="BH513" i="20"/>
  <c r="BH514" i="20"/>
  <c r="BH515" i="20"/>
  <c r="BH516" i="20"/>
  <c r="BH517" i="20"/>
  <c r="BH518" i="20"/>
  <c r="BH519" i="20"/>
  <c r="BH520" i="20"/>
  <c r="BH521" i="20"/>
  <c r="BH522" i="20"/>
  <c r="BH523" i="20"/>
  <c r="BH524" i="20"/>
  <c r="BH525" i="20"/>
  <c r="BH526" i="20"/>
  <c r="BH527" i="20"/>
  <c r="BH528" i="20"/>
  <c r="BH529" i="20"/>
  <c r="BH530" i="20"/>
  <c r="BH531" i="20"/>
  <c r="BH532" i="20"/>
  <c r="BH533" i="20"/>
  <c r="BH534" i="20"/>
  <c r="BH535" i="20"/>
  <c r="BH536" i="20"/>
  <c r="BH537" i="20"/>
  <c r="BH538" i="20"/>
  <c r="BH539" i="20"/>
  <c r="BH540" i="20"/>
  <c r="BH541" i="20"/>
  <c r="BH542" i="20"/>
  <c r="BH543" i="20"/>
  <c r="BH544" i="20"/>
  <c r="BH545" i="20"/>
  <c r="BH546" i="20"/>
  <c r="BH547" i="20"/>
  <c r="BH548" i="20"/>
  <c r="BH549" i="20"/>
  <c r="BH550" i="20"/>
  <c r="BH551" i="20"/>
  <c r="BH552" i="20"/>
  <c r="BH553" i="20"/>
  <c r="BH554" i="20"/>
  <c r="BH555" i="20"/>
  <c r="BH556" i="20"/>
  <c r="BH557" i="20"/>
  <c r="BH558" i="20"/>
  <c r="BH559" i="20"/>
  <c r="BH560" i="20"/>
  <c r="BH561" i="20"/>
  <c r="BH562" i="20"/>
  <c r="BH563" i="20"/>
  <c r="BH564" i="20"/>
  <c r="BH565" i="20"/>
  <c r="BH566" i="20"/>
  <c r="BH567" i="20"/>
  <c r="BH568" i="20"/>
  <c r="BH569" i="20"/>
  <c r="BH570" i="20"/>
  <c r="BH571" i="20"/>
  <c r="BH572" i="20"/>
  <c r="BH573" i="20"/>
  <c r="BH574" i="20"/>
  <c r="BH575" i="20"/>
  <c r="BH576" i="20"/>
  <c r="BH577" i="20"/>
  <c r="BH578" i="20"/>
  <c r="BH579" i="20"/>
  <c r="BH580" i="20"/>
  <c r="BH581" i="20"/>
  <c r="BH582" i="20"/>
  <c r="BH583" i="20"/>
  <c r="BH584" i="20"/>
  <c r="BH585" i="20"/>
  <c r="BH586" i="20"/>
  <c r="BH587" i="20"/>
  <c r="BH588" i="20"/>
  <c r="BH589" i="20"/>
  <c r="BH590" i="20"/>
  <c r="BH591" i="20"/>
  <c r="BH592" i="20"/>
  <c r="BH593" i="20"/>
  <c r="BH594" i="20"/>
  <c r="BH595" i="20"/>
  <c r="BH596" i="20"/>
  <c r="BH597" i="20"/>
  <c r="BH598" i="20"/>
  <c r="BH599" i="20"/>
  <c r="BH600" i="20"/>
  <c r="BH601" i="20"/>
  <c r="BH602" i="20"/>
  <c r="BH603" i="20"/>
  <c r="BH604" i="20"/>
  <c r="BH605" i="20"/>
  <c r="BH606" i="20"/>
  <c r="BH607" i="20"/>
  <c r="BH608" i="20"/>
  <c r="BH609" i="20"/>
  <c r="BH610" i="20"/>
  <c r="BH611" i="20"/>
  <c r="BH612" i="20"/>
  <c r="BH613" i="20"/>
  <c r="BH614" i="20"/>
  <c r="BH615" i="20"/>
  <c r="BH616" i="20"/>
  <c r="BH617" i="20"/>
  <c r="BH618" i="20"/>
  <c r="BH619" i="20"/>
  <c r="BH620" i="20"/>
  <c r="BH621" i="20"/>
  <c r="BH622" i="20"/>
  <c r="BH623" i="20"/>
  <c r="BH624" i="20"/>
  <c r="BH625" i="20"/>
  <c r="BH626" i="20"/>
  <c r="BH627" i="20"/>
  <c r="BH628" i="20"/>
  <c r="BH629" i="20"/>
  <c r="BH630" i="20"/>
  <c r="BH631" i="20"/>
  <c r="BH632" i="20"/>
  <c r="BH633" i="20"/>
  <c r="BH634" i="20"/>
  <c r="BH635" i="20"/>
  <c r="BH636" i="20"/>
  <c r="BH637" i="20"/>
  <c r="BH638" i="20"/>
  <c r="BH639" i="20"/>
  <c r="BH640" i="20"/>
  <c r="BH641" i="20"/>
  <c r="BH642" i="20"/>
  <c r="BH643" i="20"/>
  <c r="BH644" i="20"/>
  <c r="BH645" i="20"/>
  <c r="BH646" i="20"/>
  <c r="BH647" i="20"/>
  <c r="BH648" i="20"/>
  <c r="BH649" i="20"/>
  <c r="BH650" i="20"/>
  <c r="BH651" i="20"/>
  <c r="BH652" i="20"/>
  <c r="BH653" i="20"/>
  <c r="BH654" i="20"/>
  <c r="BH655" i="20"/>
  <c r="BH656" i="20"/>
  <c r="BH657" i="20"/>
  <c r="BH658" i="20"/>
  <c r="BH659" i="20"/>
  <c r="BH660" i="20"/>
  <c r="BH661" i="20"/>
  <c r="BH662" i="20"/>
  <c r="BH663" i="20"/>
  <c r="BH664" i="20"/>
  <c r="BH665" i="20"/>
  <c r="BH666" i="20"/>
  <c r="BH667" i="20"/>
  <c r="BH668" i="20"/>
  <c r="BH669" i="20"/>
  <c r="BH670" i="20"/>
  <c r="BH671" i="20"/>
  <c r="BH672" i="20"/>
  <c r="BH673" i="20"/>
  <c r="BH674" i="20"/>
  <c r="BH675" i="20"/>
  <c r="BH676" i="20"/>
  <c r="BH677" i="20"/>
  <c r="BH678" i="20"/>
  <c r="BH679" i="20"/>
  <c r="BH680" i="20"/>
  <c r="BH681" i="20"/>
  <c r="BH682" i="20"/>
  <c r="BH683" i="20"/>
  <c r="BH684" i="20"/>
  <c r="BH685" i="20"/>
  <c r="BH686" i="20"/>
  <c r="BH687" i="20"/>
  <c r="BH688" i="20"/>
  <c r="BH689" i="20"/>
  <c r="BH690" i="20"/>
  <c r="BH691" i="20"/>
  <c r="BH692" i="20"/>
  <c r="BH693" i="20"/>
  <c r="BH694" i="20"/>
  <c r="BH695" i="20"/>
  <c r="BH696" i="20"/>
  <c r="BH697" i="20"/>
  <c r="BH698" i="20"/>
  <c r="BH699" i="20"/>
  <c r="BH700" i="20"/>
  <c r="BH701" i="20"/>
  <c r="BH702" i="20"/>
  <c r="BH703" i="20"/>
  <c r="BH704" i="20"/>
  <c r="BH705" i="20"/>
  <c r="BH706" i="20"/>
  <c r="BH707" i="20"/>
  <c r="BH708" i="20"/>
  <c r="BH709" i="20"/>
  <c r="BH710" i="20"/>
  <c r="BH711" i="20"/>
  <c r="BH712" i="20"/>
  <c r="BH713" i="20"/>
  <c r="BH714" i="20"/>
  <c r="BH715" i="20"/>
  <c r="BH716" i="20"/>
  <c r="BH717" i="20"/>
  <c r="BH718" i="20"/>
  <c r="BH719" i="20"/>
  <c r="BH720" i="20"/>
  <c r="BH721" i="20"/>
  <c r="BH722" i="20"/>
  <c r="BH723" i="20"/>
  <c r="BH724" i="20"/>
  <c r="BH725" i="20"/>
  <c r="BH726" i="20"/>
  <c r="BH727" i="20"/>
  <c r="BH728" i="20"/>
  <c r="BH729" i="20"/>
  <c r="BH730" i="20"/>
  <c r="BH731" i="20"/>
  <c r="BH732" i="20"/>
  <c r="BH733" i="20"/>
  <c r="BH734" i="20"/>
  <c r="BH735" i="20"/>
  <c r="BH736" i="20"/>
  <c r="BH737" i="20"/>
  <c r="BH738" i="20"/>
  <c r="BH739" i="20"/>
  <c r="BH740" i="20"/>
  <c r="BH741" i="20"/>
  <c r="BH742" i="20"/>
  <c r="BH743" i="20"/>
  <c r="BH744" i="20"/>
  <c r="BH745" i="20"/>
  <c r="BH746" i="20"/>
  <c r="BH747" i="20"/>
  <c r="BH748" i="20"/>
  <c r="BH749" i="20"/>
  <c r="BH750" i="20"/>
  <c r="BH751" i="20"/>
  <c r="BH752" i="20"/>
  <c r="BH753" i="20"/>
  <c r="BH754" i="20"/>
  <c r="BH755" i="20"/>
  <c r="BH756" i="20"/>
  <c r="BH757" i="20"/>
  <c r="BH758" i="20"/>
  <c r="BH759" i="20"/>
  <c r="BH760" i="20"/>
  <c r="BH761" i="20"/>
  <c r="BH762" i="20"/>
  <c r="BH763" i="20"/>
  <c r="BH764" i="20"/>
  <c r="BH765" i="20"/>
  <c r="BH766" i="20"/>
  <c r="BH767" i="20"/>
  <c r="BH768" i="20"/>
  <c r="BH769" i="20"/>
  <c r="BH770" i="20"/>
  <c r="BH771" i="20"/>
  <c r="BH772" i="20"/>
  <c r="BH773" i="20"/>
  <c r="BH774" i="20"/>
  <c r="BH775" i="20"/>
  <c r="BH776" i="20"/>
  <c r="BH777" i="20"/>
  <c r="BH778" i="20"/>
  <c r="BH779" i="20"/>
  <c r="BH780" i="20"/>
  <c r="BH781" i="20"/>
  <c r="BH782" i="20"/>
  <c r="BH783" i="20"/>
  <c r="BH784" i="20"/>
  <c r="BH785" i="20"/>
  <c r="BH786" i="20"/>
  <c r="BH787" i="20"/>
  <c r="BH788" i="20"/>
  <c r="BH789" i="20"/>
  <c r="BH790" i="20"/>
  <c r="BH791" i="20"/>
  <c r="BH792" i="20"/>
  <c r="BH793" i="20"/>
  <c r="BH794" i="20"/>
  <c r="BH795" i="20"/>
  <c r="BH796" i="20"/>
  <c r="BH797" i="20"/>
  <c r="BH798" i="20"/>
  <c r="BH799" i="20"/>
  <c r="BH800" i="20"/>
  <c r="BH801" i="20"/>
  <c r="BH802" i="20"/>
  <c r="BH803" i="20"/>
  <c r="BH804" i="20"/>
  <c r="BH805" i="20"/>
  <c r="BH806" i="20"/>
  <c r="BH807" i="20"/>
  <c r="BH808" i="20"/>
  <c r="BH809" i="20"/>
  <c r="BH810" i="20"/>
  <c r="BH811" i="20"/>
  <c r="BH812" i="20"/>
  <c r="BH813" i="20"/>
  <c r="BH814" i="20"/>
  <c r="BH815" i="20"/>
  <c r="BH816" i="20"/>
  <c r="BH817" i="20"/>
  <c r="BH818" i="20"/>
  <c r="BH819" i="20"/>
  <c r="BH820" i="20"/>
  <c r="BH821" i="20"/>
  <c r="BH822" i="20"/>
  <c r="BH823" i="20"/>
  <c r="BH824" i="20"/>
  <c r="BH825" i="20"/>
  <c r="BH826" i="20"/>
  <c r="BH827" i="20"/>
  <c r="BH828" i="20"/>
  <c r="BH829" i="20"/>
  <c r="BH830" i="20"/>
  <c r="BH831" i="20"/>
  <c r="BH832" i="20"/>
  <c r="BH833" i="20"/>
  <c r="BH834" i="20"/>
  <c r="BH835" i="20"/>
  <c r="BH836" i="20"/>
  <c r="BH837" i="20"/>
  <c r="BH838" i="20"/>
  <c r="BH839" i="20"/>
  <c r="BH840" i="20"/>
  <c r="BH841" i="20"/>
  <c r="BH842" i="20"/>
  <c r="BH843" i="20"/>
  <c r="BH844" i="20"/>
  <c r="BH845" i="20"/>
  <c r="BH846" i="20"/>
  <c r="BH847" i="20"/>
  <c r="BH848" i="20"/>
  <c r="BH849" i="20"/>
  <c r="BH850" i="20"/>
  <c r="BH851" i="20"/>
  <c r="BH852" i="20"/>
  <c r="BH853" i="20"/>
  <c r="BH854" i="20"/>
  <c r="BH855" i="20"/>
  <c r="BH856" i="20"/>
  <c r="BH857" i="20"/>
  <c r="BH858" i="20"/>
  <c r="BH859" i="20"/>
  <c r="BH860" i="20"/>
  <c r="BH861" i="20"/>
  <c r="BH862" i="20"/>
  <c r="BH863" i="20"/>
  <c r="BH864" i="20"/>
  <c r="BH865" i="20"/>
  <c r="BH866" i="20"/>
  <c r="BH867" i="20"/>
  <c r="BH868" i="20"/>
  <c r="BH869" i="20"/>
  <c r="BH870" i="20"/>
  <c r="BH871" i="20"/>
  <c r="BH872" i="20"/>
  <c r="BH873" i="20"/>
  <c r="BH874" i="20"/>
  <c r="BH875" i="20"/>
  <c r="BH876" i="20"/>
  <c r="BH877" i="20"/>
  <c r="BH878" i="20"/>
  <c r="BH879" i="20"/>
  <c r="BH880" i="20"/>
  <c r="BH881" i="20"/>
  <c r="BH882" i="20"/>
  <c r="BH883" i="20"/>
  <c r="BH884" i="20"/>
  <c r="BH885" i="20"/>
  <c r="BH886" i="20"/>
  <c r="BH887" i="20"/>
  <c r="BH888" i="20"/>
  <c r="BH889" i="20"/>
  <c r="BH890" i="20"/>
  <c r="BH891" i="20"/>
  <c r="BH892" i="20"/>
  <c r="BH893" i="20"/>
  <c r="BH894" i="20"/>
  <c r="BH895" i="20"/>
  <c r="BH896" i="20"/>
  <c r="BH897" i="20"/>
  <c r="BH898" i="20"/>
  <c r="BH899" i="20"/>
  <c r="BH900" i="20"/>
  <c r="BH901" i="20"/>
  <c r="BH902" i="20"/>
  <c r="BH903" i="20"/>
  <c r="BH904" i="20"/>
  <c r="BH905" i="20"/>
  <c r="BH906" i="20"/>
  <c r="BH907" i="20"/>
  <c r="BH908" i="20"/>
  <c r="BH909" i="20"/>
  <c r="BH910" i="20"/>
  <c r="BH911" i="20"/>
  <c r="BH912" i="20"/>
  <c r="BH913" i="20"/>
  <c r="BH914" i="20"/>
  <c r="BH915" i="20"/>
  <c r="BH916" i="20"/>
  <c r="BH917" i="20"/>
  <c r="BH918" i="20"/>
  <c r="BH919" i="20"/>
  <c r="BH920" i="20"/>
  <c r="BH921" i="20"/>
  <c r="BH922" i="20"/>
  <c r="BH923" i="20"/>
  <c r="BH924" i="20"/>
  <c r="BH925" i="20"/>
  <c r="BH926" i="20"/>
  <c r="BH927" i="20"/>
  <c r="BH928" i="20"/>
  <c r="BH929" i="20"/>
  <c r="BH930" i="20"/>
  <c r="BH931" i="20"/>
  <c r="BH932" i="20"/>
  <c r="BH933" i="20"/>
  <c r="BH934" i="20"/>
  <c r="BH935" i="20"/>
  <c r="BH936" i="20"/>
  <c r="BH937" i="20"/>
  <c r="BH938" i="20"/>
  <c r="BH939" i="20"/>
  <c r="BH940" i="20"/>
  <c r="BH941" i="20"/>
  <c r="BH942" i="20"/>
  <c r="BH943" i="20"/>
  <c r="BH944" i="20"/>
  <c r="BH945" i="20"/>
  <c r="BH946" i="20"/>
  <c r="BH947" i="20"/>
  <c r="BH948" i="20"/>
  <c r="BH949" i="20"/>
  <c r="BH950" i="20"/>
  <c r="BH951" i="20"/>
  <c r="BH952" i="20"/>
  <c r="BH953" i="20"/>
  <c r="BH954" i="20"/>
  <c r="BH955" i="20"/>
  <c r="BH956" i="20"/>
  <c r="BH957" i="20"/>
  <c r="BH958" i="20"/>
  <c r="BH959" i="20"/>
  <c r="BH960" i="20"/>
  <c r="BH961" i="20"/>
  <c r="BH962" i="20"/>
  <c r="BH963" i="20"/>
  <c r="BH964" i="20"/>
  <c r="BH965" i="20"/>
  <c r="BH966" i="20"/>
  <c r="BH967" i="20"/>
  <c r="BH968" i="20"/>
  <c r="BH969" i="20"/>
  <c r="BH970" i="20"/>
  <c r="BH971" i="20"/>
  <c r="BH972" i="20"/>
  <c r="BH973" i="20"/>
  <c r="BH974" i="20"/>
  <c r="BH975" i="20"/>
  <c r="BH976" i="20"/>
  <c r="BH977" i="20"/>
  <c r="BH978" i="20"/>
  <c r="BH979" i="20"/>
  <c r="BH980" i="20"/>
  <c r="BH981" i="20"/>
  <c r="BH982" i="20"/>
  <c r="BH983" i="20"/>
  <c r="BH984" i="20"/>
  <c r="BH985" i="20"/>
  <c r="BH986" i="20"/>
  <c r="BH987" i="20"/>
  <c r="BH988" i="20"/>
  <c r="BH989" i="20"/>
  <c r="BH990" i="20"/>
  <c r="BH991" i="20"/>
  <c r="BH992" i="20"/>
  <c r="BH993" i="20"/>
  <c r="BH994" i="20"/>
  <c r="BH995" i="20"/>
  <c r="BH996" i="20"/>
  <c r="BH997" i="20"/>
  <c r="BH998" i="20"/>
  <c r="BH999" i="20"/>
  <c r="BH1000" i="20"/>
  <c r="BH1001" i="20"/>
  <c r="BH1002" i="20"/>
  <c r="BH1003" i="20"/>
  <c r="BH1004" i="20"/>
  <c r="BH1005" i="20"/>
  <c r="BH1006" i="20"/>
  <c r="BH1007" i="20"/>
  <c r="BH1008" i="20"/>
  <c r="BH1009" i="20"/>
  <c r="BH1010" i="20"/>
  <c r="BH1011" i="20"/>
  <c r="BH1012" i="20"/>
  <c r="BH1013" i="20"/>
  <c r="BH1014" i="20"/>
  <c r="BH1015" i="20"/>
  <c r="BH1016" i="20"/>
  <c r="BH1017" i="20"/>
  <c r="BH1018" i="20"/>
  <c r="BH1019" i="20"/>
  <c r="BH1020" i="20"/>
  <c r="BH1021" i="20"/>
  <c r="BH1022" i="20"/>
  <c r="BH1023" i="20"/>
  <c r="BH1024" i="20"/>
  <c r="BH1025" i="20"/>
  <c r="BH1026" i="20"/>
  <c r="BH1027" i="20"/>
  <c r="BH1028" i="20"/>
  <c r="BH1029" i="20"/>
  <c r="BH1030" i="20"/>
  <c r="BH1031" i="20"/>
  <c r="BH1032" i="20"/>
  <c r="BH1033" i="20"/>
  <c r="BH1034" i="20"/>
  <c r="BH1035" i="20"/>
  <c r="BH1036" i="20"/>
  <c r="BH1037" i="20"/>
  <c r="BH1038" i="20"/>
  <c r="BH1039" i="20"/>
  <c r="BH1040" i="20"/>
  <c r="BH1041" i="20"/>
  <c r="BH1042" i="20"/>
  <c r="BH1043" i="20"/>
  <c r="BH1044" i="20"/>
  <c r="BH1045" i="20"/>
  <c r="BH1046" i="20"/>
  <c r="BH1047" i="20"/>
  <c r="BH1048" i="20"/>
  <c r="BH1049" i="20"/>
  <c r="BH1050" i="20"/>
  <c r="BH1051" i="20"/>
  <c r="BH1052" i="20"/>
  <c r="BH1053" i="20"/>
  <c r="BH1054" i="20"/>
  <c r="BH1055" i="20"/>
  <c r="BH1056" i="20"/>
  <c r="BH1057" i="20"/>
  <c r="BH1058" i="20"/>
  <c r="BH1059" i="20"/>
  <c r="BH1060" i="20"/>
  <c r="BH1061" i="20"/>
  <c r="BH1062" i="20"/>
  <c r="BH1063" i="20"/>
  <c r="BH1064" i="20"/>
  <c r="BH1065" i="20"/>
  <c r="BH1066" i="20"/>
  <c r="BH1067" i="20"/>
  <c r="BH1068" i="20"/>
  <c r="BH1069" i="20"/>
  <c r="BH1070" i="20"/>
  <c r="BH1071" i="20"/>
  <c r="BH1072" i="20"/>
  <c r="BH1073" i="20"/>
  <c r="BH1074" i="20"/>
  <c r="BH1075" i="20"/>
  <c r="BH1076" i="20"/>
  <c r="BH1077" i="20"/>
  <c r="BH1078" i="20"/>
  <c r="BH1079" i="20"/>
  <c r="BH1080" i="20"/>
  <c r="BH1081" i="20"/>
  <c r="BH1082" i="20"/>
  <c r="BH1083" i="20"/>
  <c r="BH1084" i="20"/>
  <c r="BH1085" i="20"/>
  <c r="BH1086" i="20"/>
  <c r="BH1087" i="20"/>
  <c r="BH1088" i="20"/>
  <c r="BH1089" i="20"/>
  <c r="BH1090" i="20"/>
  <c r="BH1091" i="20"/>
  <c r="BH1092" i="20"/>
  <c r="BH1093" i="20"/>
  <c r="BH1094" i="20"/>
  <c r="BH1095" i="20"/>
  <c r="BH1096" i="20"/>
  <c r="BH1097" i="20"/>
  <c r="BH1098" i="20"/>
  <c r="BH1099" i="20"/>
  <c r="BH1100" i="20"/>
  <c r="BH1101" i="20"/>
  <c r="BH1102" i="20"/>
  <c r="BH1103" i="20"/>
  <c r="BH1104" i="20"/>
  <c r="BH1105" i="20"/>
  <c r="BH1106" i="20"/>
  <c r="BH1107" i="20"/>
  <c r="BH1108" i="20"/>
  <c r="BH1109" i="20"/>
  <c r="BH1110" i="20"/>
  <c r="BH1111" i="20"/>
  <c r="BH1112" i="20"/>
  <c r="BH1113" i="20"/>
  <c r="BH1114" i="20"/>
  <c r="BH1115" i="20"/>
  <c r="BH1116" i="20"/>
  <c r="BH1117" i="20"/>
  <c r="BH1118" i="20"/>
  <c r="BH1119" i="20"/>
  <c r="BH1120" i="20"/>
  <c r="BH1121" i="20"/>
  <c r="BH1122" i="20"/>
  <c r="BH1123" i="20"/>
  <c r="BH1124" i="20"/>
  <c r="BH1125" i="20"/>
  <c r="BH1126" i="20"/>
  <c r="BH1127" i="20"/>
  <c r="BH1128" i="20"/>
  <c r="BH1129" i="20"/>
  <c r="BH1130" i="20"/>
  <c r="BH1131" i="20"/>
  <c r="BH1132" i="20"/>
  <c r="BH1133" i="20"/>
  <c r="BH1134" i="20"/>
  <c r="BH1135" i="20"/>
  <c r="BH1136" i="20"/>
  <c r="BH1137" i="20"/>
  <c r="BH1138" i="20"/>
  <c r="BH1139" i="20"/>
  <c r="BH1140" i="20"/>
  <c r="BH1141" i="20"/>
  <c r="BH1142" i="20"/>
  <c r="BH1143" i="20"/>
  <c r="BH1144" i="20"/>
  <c r="BH1145" i="20"/>
  <c r="BH1146" i="20"/>
  <c r="BH1147" i="20"/>
  <c r="BH1148" i="20"/>
  <c r="BH1149" i="20"/>
  <c r="BH1150" i="20"/>
  <c r="BH1151" i="20"/>
  <c r="BH1152" i="20"/>
  <c r="BH1153" i="20"/>
  <c r="BH1154" i="20"/>
  <c r="BH1155" i="20"/>
  <c r="BH1156" i="20"/>
  <c r="BH1157" i="20"/>
  <c r="BH1158" i="20"/>
  <c r="BH1159" i="20"/>
  <c r="BH1160" i="20"/>
  <c r="BH1161" i="20"/>
  <c r="BH1162" i="20"/>
  <c r="BH1163" i="20"/>
  <c r="BH1164" i="20"/>
  <c r="BH1165" i="20"/>
  <c r="BH1166" i="20"/>
  <c r="BH1167" i="20"/>
  <c r="BH1168" i="20"/>
  <c r="BH1169" i="20"/>
  <c r="BH1170" i="20"/>
  <c r="BH1171" i="20"/>
  <c r="BH1172" i="20"/>
  <c r="BH1173" i="20"/>
  <c r="BH1174" i="20"/>
  <c r="BH1175" i="20"/>
  <c r="BH1176" i="20"/>
  <c r="BH1177" i="20"/>
  <c r="BH1178" i="20"/>
  <c r="BH1179" i="20"/>
  <c r="BH1180" i="20"/>
  <c r="BH1181" i="20"/>
  <c r="BH1182" i="20"/>
  <c r="BH1183" i="20"/>
  <c r="BH1184" i="20"/>
  <c r="BH1185" i="20"/>
  <c r="BH1186" i="20"/>
  <c r="BH1187" i="20"/>
  <c r="BH1188" i="20"/>
  <c r="BH1189" i="20"/>
  <c r="BH1190" i="20"/>
  <c r="BH1191" i="20"/>
  <c r="BH1192" i="20"/>
  <c r="BH1193" i="20"/>
  <c r="BH1194" i="20"/>
  <c r="BH1195" i="20"/>
  <c r="BH1196" i="20"/>
  <c r="BH1197" i="20"/>
  <c r="BH1198" i="20"/>
  <c r="BH1199" i="20"/>
  <c r="BH1200" i="20"/>
  <c r="BH1201" i="20"/>
  <c r="BH1202" i="20"/>
  <c r="BH1203" i="20"/>
  <c r="BH1204" i="20"/>
  <c r="BH1205" i="20"/>
  <c r="BH1206" i="20"/>
  <c r="BH1207" i="20"/>
  <c r="BH1208" i="20"/>
  <c r="BH1209" i="20"/>
  <c r="BH1210" i="20"/>
  <c r="BH1211" i="20"/>
  <c r="BH1212" i="20"/>
  <c r="BH1213" i="20"/>
  <c r="BH1214" i="20"/>
  <c r="BH1215" i="20"/>
  <c r="BH1216" i="20"/>
  <c r="BH1217" i="20"/>
  <c r="BH1218" i="20"/>
  <c r="BH1219" i="20"/>
  <c r="BH1220" i="20"/>
  <c r="BH1221" i="20"/>
  <c r="BH1222" i="20"/>
  <c r="BH1223" i="20"/>
  <c r="BH1224" i="20"/>
  <c r="BH1225" i="20"/>
  <c r="BH1226" i="20"/>
  <c r="BH1227" i="20"/>
  <c r="BH1228" i="20"/>
  <c r="BH1229" i="20"/>
  <c r="BH1230" i="20"/>
  <c r="BH1231" i="20"/>
  <c r="BH1232" i="20"/>
  <c r="BH1233" i="20"/>
  <c r="BH1234" i="20"/>
  <c r="BH1235" i="20"/>
  <c r="BH1236" i="20"/>
  <c r="BH1237" i="20"/>
  <c r="BH1238" i="20"/>
  <c r="BH1239" i="20"/>
  <c r="BH1240" i="20"/>
  <c r="BH1241" i="20"/>
  <c r="BH1242" i="20"/>
  <c r="BH1243" i="20"/>
  <c r="BH1244" i="20"/>
  <c r="BH1245" i="20"/>
  <c r="BH1246" i="20"/>
  <c r="BH1247" i="20"/>
  <c r="BH1248" i="20"/>
  <c r="BH1249" i="20"/>
  <c r="BH1250" i="20"/>
  <c r="BH1251" i="20"/>
  <c r="BH1252" i="20"/>
  <c r="BH1253" i="20"/>
  <c r="BH1254" i="20"/>
  <c r="BH1255" i="20"/>
  <c r="BH1256" i="20"/>
  <c r="BH1257" i="20"/>
  <c r="BH1258" i="20"/>
  <c r="BH1259" i="20"/>
  <c r="BH1260" i="20"/>
  <c r="BH6" i="20"/>
  <c r="BH7" i="20"/>
  <c r="BH8" i="20"/>
  <c r="BH5" i="20"/>
  <c r="BJ6" i="20"/>
  <c r="BJ7" i="20"/>
  <c r="BJ8" i="20"/>
  <c r="BJ9" i="20"/>
  <c r="BJ10" i="20"/>
  <c r="BJ11" i="20"/>
  <c r="BJ12" i="20"/>
  <c r="BJ13" i="20"/>
  <c r="BJ14" i="20"/>
  <c r="BJ15" i="20"/>
  <c r="BJ16" i="20"/>
  <c r="BJ17" i="20"/>
  <c r="BJ18" i="20"/>
  <c r="BJ19" i="20"/>
  <c r="BJ20" i="20"/>
  <c r="BJ21" i="20"/>
  <c r="BJ22" i="20"/>
  <c r="BJ23" i="20"/>
  <c r="BJ24" i="20"/>
  <c r="BJ25" i="20"/>
  <c r="BJ26" i="20"/>
  <c r="BJ27" i="20"/>
  <c r="BJ28" i="20"/>
  <c r="BJ29" i="20"/>
  <c r="BJ30" i="20"/>
  <c r="BJ31" i="20"/>
  <c r="BJ32" i="20"/>
  <c r="BJ33" i="20"/>
  <c r="BJ34" i="20"/>
  <c r="BJ35" i="20"/>
  <c r="BJ36" i="20"/>
  <c r="BJ37" i="20"/>
  <c r="BJ38" i="20"/>
  <c r="BJ39" i="20"/>
  <c r="BJ40" i="20"/>
  <c r="BJ41" i="20"/>
  <c r="BJ42" i="20"/>
  <c r="BJ43" i="20"/>
  <c r="BJ44" i="20"/>
  <c r="BJ45" i="20"/>
  <c r="BJ46" i="20"/>
  <c r="BJ47" i="20"/>
  <c r="BJ48" i="20"/>
  <c r="BJ49" i="20"/>
  <c r="BJ50" i="20"/>
  <c r="BJ51" i="20"/>
  <c r="BJ52" i="20"/>
  <c r="BJ53" i="20"/>
  <c r="BJ54" i="20"/>
  <c r="BJ55" i="20"/>
  <c r="BJ56" i="20"/>
  <c r="BJ57" i="20"/>
  <c r="BJ58" i="20"/>
  <c r="BJ59" i="20"/>
  <c r="BJ60" i="20"/>
  <c r="BJ61" i="20"/>
  <c r="BJ62" i="20"/>
  <c r="BJ63" i="20"/>
  <c r="BJ64" i="20"/>
  <c r="BJ65" i="20"/>
  <c r="BJ66" i="20"/>
  <c r="BJ67" i="20"/>
  <c r="BJ68" i="20"/>
  <c r="BJ69" i="20"/>
  <c r="BJ70" i="20"/>
  <c r="BJ71" i="20"/>
  <c r="BJ72" i="20"/>
  <c r="BJ73" i="20"/>
  <c r="BJ74" i="20"/>
  <c r="BJ75" i="20"/>
  <c r="BJ76" i="20"/>
  <c r="BJ77" i="20"/>
  <c r="BJ78" i="20"/>
  <c r="BJ79" i="20"/>
  <c r="BJ80" i="20"/>
  <c r="BJ81" i="20"/>
  <c r="BJ82" i="20"/>
  <c r="BJ83" i="20"/>
  <c r="BJ84" i="20"/>
  <c r="BJ85" i="20"/>
  <c r="BJ86" i="20"/>
  <c r="BJ87" i="20"/>
  <c r="BJ88" i="20"/>
  <c r="BJ89" i="20"/>
  <c r="BJ90" i="20"/>
  <c r="BJ91" i="20"/>
  <c r="BJ92" i="20"/>
  <c r="BJ93" i="20"/>
  <c r="BJ94" i="20"/>
  <c r="BJ95" i="20"/>
  <c r="BJ96" i="20"/>
  <c r="BJ97" i="20"/>
  <c r="BJ98" i="20"/>
  <c r="BJ99" i="20"/>
  <c r="BJ100" i="20"/>
  <c r="BJ101" i="20"/>
  <c r="BJ102" i="20"/>
  <c r="BJ103" i="20"/>
  <c r="BJ104" i="20"/>
  <c r="BJ105" i="20"/>
  <c r="BJ106" i="20"/>
  <c r="BJ107" i="20"/>
  <c r="BJ108" i="20"/>
  <c r="BJ109" i="20"/>
  <c r="BJ110" i="20"/>
  <c r="BJ111" i="20"/>
  <c r="BJ112" i="20"/>
  <c r="BJ113" i="20"/>
  <c r="BJ114" i="20"/>
  <c r="BJ115" i="20"/>
  <c r="BJ116" i="20"/>
  <c r="BJ117" i="20"/>
  <c r="BJ118" i="20"/>
  <c r="BJ119" i="20"/>
  <c r="BJ120" i="20"/>
  <c r="BJ121" i="20"/>
  <c r="BJ122" i="20"/>
  <c r="BJ123" i="20"/>
  <c r="BJ124" i="20"/>
  <c r="BJ125" i="20"/>
  <c r="BJ126" i="20"/>
  <c r="BJ127" i="20"/>
  <c r="BJ128" i="20"/>
  <c r="BJ129" i="20"/>
  <c r="BJ130" i="20"/>
  <c r="BJ131" i="20"/>
  <c r="BJ132" i="20"/>
  <c r="BJ133" i="20"/>
  <c r="BJ134" i="20"/>
  <c r="BJ135" i="20"/>
  <c r="BJ136" i="20"/>
  <c r="BJ137" i="20"/>
  <c r="BJ138" i="20"/>
  <c r="BJ139" i="20"/>
  <c r="BJ140" i="20"/>
  <c r="BJ141" i="20"/>
  <c r="BJ142" i="20"/>
  <c r="BJ143" i="20"/>
  <c r="BJ144" i="20"/>
  <c r="BJ145" i="20"/>
  <c r="BJ146" i="20"/>
  <c r="BJ147" i="20"/>
  <c r="BJ148" i="20"/>
  <c r="BJ149" i="20"/>
  <c r="BJ150" i="20"/>
  <c r="BJ151" i="20"/>
  <c r="BJ152" i="20"/>
  <c r="BJ153" i="20"/>
  <c r="BJ154" i="20"/>
  <c r="BJ155" i="20"/>
  <c r="BJ156" i="20"/>
  <c r="BJ157" i="20"/>
  <c r="BJ158" i="20"/>
  <c r="BJ159" i="20"/>
  <c r="BJ160" i="20"/>
  <c r="BJ161" i="20"/>
  <c r="BJ162" i="20"/>
  <c r="BJ163" i="20"/>
  <c r="BJ164" i="20"/>
  <c r="BJ165" i="20"/>
  <c r="BJ166" i="20"/>
  <c r="BJ167" i="20"/>
  <c r="BJ168" i="20"/>
  <c r="BJ169" i="20"/>
  <c r="BJ170" i="20"/>
  <c r="BJ171" i="20"/>
  <c r="BJ172" i="20"/>
  <c r="BJ173" i="20"/>
  <c r="BJ174" i="20"/>
  <c r="BJ175" i="20"/>
  <c r="BJ176" i="20"/>
  <c r="BJ177" i="20"/>
  <c r="BJ178" i="20"/>
  <c r="BJ179" i="20"/>
  <c r="BJ180" i="20"/>
  <c r="BJ181" i="20"/>
  <c r="BJ182" i="20"/>
  <c r="BJ183" i="20"/>
  <c r="BJ184" i="20"/>
  <c r="BJ185" i="20"/>
  <c r="BJ186" i="20"/>
  <c r="BJ187" i="20"/>
  <c r="BJ188" i="20"/>
  <c r="BJ189" i="20"/>
  <c r="BJ190" i="20"/>
  <c r="BJ191" i="20"/>
  <c r="BJ192" i="20"/>
  <c r="BJ193" i="20"/>
  <c r="BJ194" i="20"/>
  <c r="BJ195" i="20"/>
  <c r="BJ196" i="20"/>
  <c r="BJ197" i="20"/>
  <c r="BJ198" i="20"/>
  <c r="BJ199" i="20"/>
  <c r="BJ200" i="20"/>
  <c r="BJ201" i="20"/>
  <c r="BJ202" i="20"/>
  <c r="BJ203" i="20"/>
  <c r="BJ204" i="20"/>
  <c r="BJ205" i="20"/>
  <c r="BJ206" i="20"/>
  <c r="BJ207" i="20"/>
  <c r="BJ208" i="20"/>
  <c r="BJ209" i="20"/>
  <c r="BJ210" i="20"/>
  <c r="BJ211" i="20"/>
  <c r="BJ212" i="20"/>
  <c r="BJ213" i="20"/>
  <c r="BJ214" i="20"/>
  <c r="BJ215" i="20"/>
  <c r="BJ216" i="20"/>
  <c r="BJ217" i="20"/>
  <c r="BJ218" i="20"/>
  <c r="BJ219" i="20"/>
  <c r="BJ220" i="20"/>
  <c r="BJ221" i="20"/>
  <c r="BJ222" i="20"/>
  <c r="BJ223" i="20"/>
  <c r="BJ224" i="20"/>
  <c r="BJ225" i="20"/>
  <c r="BJ226" i="20"/>
  <c r="BJ227" i="20"/>
  <c r="BJ228" i="20"/>
  <c r="BJ229" i="20"/>
  <c r="BJ230" i="20"/>
  <c r="BJ231" i="20"/>
  <c r="BJ232" i="20"/>
  <c r="BJ233" i="20"/>
  <c r="BJ234" i="20"/>
  <c r="BJ235" i="20"/>
  <c r="BJ236" i="20"/>
  <c r="BJ237" i="20"/>
  <c r="BJ238" i="20"/>
  <c r="BJ239" i="20"/>
  <c r="BJ240" i="20"/>
  <c r="BJ241" i="20"/>
  <c r="BJ242" i="20"/>
  <c r="BJ243" i="20"/>
  <c r="BJ244" i="20"/>
  <c r="BJ245" i="20"/>
  <c r="BJ246" i="20"/>
  <c r="BJ247" i="20"/>
  <c r="BJ248" i="20"/>
  <c r="BJ249" i="20"/>
  <c r="BJ250" i="20"/>
  <c r="BJ251" i="20"/>
  <c r="BJ252" i="20"/>
  <c r="BJ253" i="20"/>
  <c r="BJ254" i="20"/>
  <c r="BJ255" i="20"/>
  <c r="BJ256" i="20"/>
  <c r="BJ257" i="20"/>
  <c r="BJ258" i="20"/>
  <c r="BJ259" i="20"/>
  <c r="BJ260" i="20"/>
  <c r="BJ261" i="20"/>
  <c r="BJ262" i="20"/>
  <c r="BJ263" i="20"/>
  <c r="BJ264" i="20"/>
  <c r="BJ265" i="20"/>
  <c r="BJ266" i="20"/>
  <c r="BJ267" i="20"/>
  <c r="BJ268" i="20"/>
  <c r="BJ269" i="20"/>
  <c r="BJ270" i="20"/>
  <c r="BJ271" i="20"/>
  <c r="BJ272" i="20"/>
  <c r="BJ273" i="20"/>
  <c r="BJ274" i="20"/>
  <c r="BJ275" i="20"/>
  <c r="BJ276" i="20"/>
  <c r="BJ277" i="20"/>
  <c r="BJ278" i="20"/>
  <c r="BJ279" i="20"/>
  <c r="BJ280" i="20"/>
  <c r="BJ281" i="20"/>
  <c r="BJ282" i="20"/>
  <c r="BJ283" i="20"/>
  <c r="BJ284" i="20"/>
  <c r="BJ285" i="20"/>
  <c r="BJ286" i="20"/>
  <c r="BJ287" i="20"/>
  <c r="BJ288" i="20"/>
  <c r="BJ289" i="20"/>
  <c r="BJ290" i="20"/>
  <c r="BJ291" i="20"/>
  <c r="BJ292" i="20"/>
  <c r="BJ293" i="20"/>
  <c r="BJ294" i="20"/>
  <c r="BJ295" i="20"/>
  <c r="BJ296" i="20"/>
  <c r="BJ297" i="20"/>
  <c r="BJ298" i="20"/>
  <c r="BJ299" i="20"/>
  <c r="BJ300" i="20"/>
  <c r="BJ301" i="20"/>
  <c r="BJ302" i="20"/>
  <c r="BJ303" i="20"/>
  <c r="BJ304" i="20"/>
  <c r="BJ305" i="20"/>
  <c r="BJ306" i="20"/>
  <c r="BJ307" i="20"/>
  <c r="BJ308" i="20"/>
  <c r="BJ309" i="20"/>
  <c r="BJ310" i="20"/>
  <c r="BJ311" i="20"/>
  <c r="BJ312" i="20"/>
  <c r="BJ313" i="20"/>
  <c r="BJ314" i="20"/>
  <c r="BJ315" i="20"/>
  <c r="BJ316" i="20"/>
  <c r="BJ317" i="20"/>
  <c r="BJ318" i="20"/>
  <c r="BJ319" i="20"/>
  <c r="BJ320" i="20"/>
  <c r="BJ321" i="20"/>
  <c r="BJ322" i="20"/>
  <c r="BJ323" i="20"/>
  <c r="BJ324" i="20"/>
  <c r="BJ325" i="20"/>
  <c r="BJ326" i="20"/>
  <c r="BJ327" i="20"/>
  <c r="BJ328" i="20"/>
  <c r="BJ329" i="20"/>
  <c r="BJ330" i="20"/>
  <c r="BJ331" i="20"/>
  <c r="BJ332" i="20"/>
  <c r="BJ333" i="20"/>
  <c r="BJ334" i="20"/>
  <c r="BJ335" i="20"/>
  <c r="BJ336" i="20"/>
  <c r="BJ337" i="20"/>
  <c r="BJ338" i="20"/>
  <c r="BJ339" i="20"/>
  <c r="BJ340" i="20"/>
  <c r="BJ341" i="20"/>
  <c r="BJ342" i="20"/>
  <c r="BJ343" i="20"/>
  <c r="BJ344" i="20"/>
  <c r="BJ345" i="20"/>
  <c r="BJ346" i="20"/>
  <c r="BJ347" i="20"/>
  <c r="BJ348" i="20"/>
  <c r="BJ349" i="20"/>
  <c r="BJ350" i="20"/>
  <c r="BJ351" i="20"/>
  <c r="BJ352" i="20"/>
  <c r="BJ353" i="20"/>
  <c r="BJ354" i="20"/>
  <c r="BJ355" i="20"/>
  <c r="BJ356" i="20"/>
  <c r="BJ357" i="20"/>
  <c r="BJ358" i="20"/>
  <c r="BJ359" i="20"/>
  <c r="BJ360" i="20"/>
  <c r="BJ361" i="20"/>
  <c r="BJ362" i="20"/>
  <c r="BJ363" i="20"/>
  <c r="BJ364" i="20"/>
  <c r="BJ365" i="20"/>
  <c r="BJ366" i="20"/>
  <c r="BJ367" i="20"/>
  <c r="BJ368" i="20"/>
  <c r="BJ369" i="20"/>
  <c r="BJ370" i="20"/>
  <c r="BJ371" i="20"/>
  <c r="BJ372" i="20"/>
  <c r="BJ373" i="20"/>
  <c r="BJ374" i="20"/>
  <c r="BJ375" i="20"/>
  <c r="BJ376" i="20"/>
  <c r="BJ377" i="20"/>
  <c r="BJ378" i="20"/>
  <c r="BJ379" i="20"/>
  <c r="BJ380" i="20"/>
  <c r="BJ381" i="20"/>
  <c r="BJ382" i="20"/>
  <c r="BJ383" i="20"/>
  <c r="BJ384" i="20"/>
  <c r="BJ385" i="20"/>
  <c r="BJ386" i="20"/>
  <c r="BJ387" i="20"/>
  <c r="BJ388" i="20"/>
  <c r="BJ389" i="20"/>
  <c r="BJ390" i="20"/>
  <c r="BJ391" i="20"/>
  <c r="BJ392" i="20"/>
  <c r="BJ393" i="20"/>
  <c r="BJ394" i="20"/>
  <c r="BJ395" i="20"/>
  <c r="BJ396" i="20"/>
  <c r="BJ397" i="20"/>
  <c r="BJ398" i="20"/>
  <c r="BJ399" i="20"/>
  <c r="BJ400" i="20"/>
  <c r="BJ401" i="20"/>
  <c r="BJ402" i="20"/>
  <c r="BJ403" i="20"/>
  <c r="BJ404" i="20"/>
  <c r="BJ405" i="20"/>
  <c r="BJ406" i="20"/>
  <c r="BJ407" i="20"/>
  <c r="BJ408" i="20"/>
  <c r="BJ409" i="20"/>
  <c r="BJ410" i="20"/>
  <c r="BJ411" i="20"/>
  <c r="BJ412" i="20"/>
  <c r="BJ413" i="20"/>
  <c r="BJ414" i="20"/>
  <c r="BJ415" i="20"/>
  <c r="BJ416" i="20"/>
  <c r="BJ417" i="20"/>
  <c r="BJ418" i="20"/>
  <c r="BJ419" i="20"/>
  <c r="BJ420" i="20"/>
  <c r="BJ421" i="20"/>
  <c r="BJ422" i="20"/>
  <c r="BJ423" i="20"/>
  <c r="BJ424" i="20"/>
  <c r="BJ425" i="20"/>
  <c r="BJ426" i="20"/>
  <c r="BJ427" i="20"/>
  <c r="BJ428" i="20"/>
  <c r="BJ429" i="20"/>
  <c r="BJ430" i="20"/>
  <c r="BJ431" i="20"/>
  <c r="BJ432" i="20"/>
  <c r="BJ433" i="20"/>
  <c r="BJ434" i="20"/>
  <c r="BJ435" i="20"/>
  <c r="BJ436" i="20"/>
  <c r="BJ437" i="20"/>
  <c r="BJ438" i="20"/>
  <c r="BJ439" i="20"/>
  <c r="BJ440" i="20"/>
  <c r="BJ441" i="20"/>
  <c r="BJ442" i="20"/>
  <c r="BJ443" i="20"/>
  <c r="BJ444" i="20"/>
  <c r="BJ445" i="20"/>
  <c r="BJ446" i="20"/>
  <c r="BJ447" i="20"/>
  <c r="BJ448" i="20"/>
  <c r="BJ449" i="20"/>
  <c r="BJ450" i="20"/>
  <c r="BJ451" i="20"/>
  <c r="BJ452" i="20"/>
  <c r="BJ453" i="20"/>
  <c r="BJ454" i="20"/>
  <c r="BJ455" i="20"/>
  <c r="BJ456" i="20"/>
  <c r="BJ457" i="20"/>
  <c r="BJ458" i="20"/>
  <c r="BJ459" i="20"/>
  <c r="BJ460" i="20"/>
  <c r="BJ461" i="20"/>
  <c r="BJ462" i="20"/>
  <c r="BJ463" i="20"/>
  <c r="BJ464" i="20"/>
  <c r="BJ465" i="20"/>
  <c r="BJ466" i="20"/>
  <c r="BJ467" i="20"/>
  <c r="BJ468" i="20"/>
  <c r="BJ469" i="20"/>
  <c r="BJ470" i="20"/>
  <c r="BJ471" i="20"/>
  <c r="BJ472" i="20"/>
  <c r="BJ473" i="20"/>
  <c r="BJ474" i="20"/>
  <c r="BJ475" i="20"/>
  <c r="BJ476" i="20"/>
  <c r="BJ477" i="20"/>
  <c r="BJ478" i="20"/>
  <c r="BJ479" i="20"/>
  <c r="BJ480" i="20"/>
  <c r="BJ481" i="20"/>
  <c r="BJ482" i="20"/>
  <c r="BJ483" i="20"/>
  <c r="BJ484" i="20"/>
  <c r="BJ485" i="20"/>
  <c r="BJ486" i="20"/>
  <c r="BJ487" i="20"/>
  <c r="BJ488" i="20"/>
  <c r="BJ489" i="20"/>
  <c r="BJ490" i="20"/>
  <c r="BJ491" i="20"/>
  <c r="BJ492" i="20"/>
  <c r="BJ493" i="20"/>
  <c r="BJ494" i="20"/>
  <c r="BJ495" i="20"/>
  <c r="BJ496" i="20"/>
  <c r="BJ497" i="20"/>
  <c r="BJ498" i="20"/>
  <c r="BJ499" i="20"/>
  <c r="BJ500" i="20"/>
  <c r="BJ501" i="20"/>
  <c r="BJ502" i="20"/>
  <c r="BJ503" i="20"/>
  <c r="BJ504" i="20"/>
  <c r="BJ505" i="20"/>
  <c r="BJ506" i="20"/>
  <c r="BJ507" i="20"/>
  <c r="BJ508" i="20"/>
  <c r="BJ509" i="20"/>
  <c r="BJ510" i="20"/>
  <c r="BJ511" i="20"/>
  <c r="BJ512" i="20"/>
  <c r="BJ513" i="20"/>
  <c r="BJ514" i="20"/>
  <c r="BJ515" i="20"/>
  <c r="BJ516" i="20"/>
  <c r="BJ517" i="20"/>
  <c r="BJ518" i="20"/>
  <c r="BJ519" i="20"/>
  <c r="BJ520" i="20"/>
  <c r="BJ521" i="20"/>
  <c r="BJ522" i="20"/>
  <c r="BJ523" i="20"/>
  <c r="BJ524" i="20"/>
  <c r="BJ525" i="20"/>
  <c r="BJ526" i="20"/>
  <c r="BJ527" i="20"/>
  <c r="BJ528" i="20"/>
  <c r="BJ529" i="20"/>
  <c r="BJ530" i="20"/>
  <c r="BJ531" i="20"/>
  <c r="BJ532" i="20"/>
  <c r="BJ533" i="20"/>
  <c r="BJ534" i="20"/>
  <c r="BJ535" i="20"/>
  <c r="BJ536" i="20"/>
  <c r="BJ537" i="20"/>
  <c r="BJ538" i="20"/>
  <c r="BJ539" i="20"/>
  <c r="BJ540" i="20"/>
  <c r="BJ541" i="20"/>
  <c r="BJ542" i="20"/>
  <c r="BJ543" i="20"/>
  <c r="BJ544" i="20"/>
  <c r="BJ545" i="20"/>
  <c r="BJ546" i="20"/>
  <c r="BJ547" i="20"/>
  <c r="BJ548" i="20"/>
  <c r="BJ549" i="20"/>
  <c r="BJ550" i="20"/>
  <c r="BJ551" i="20"/>
  <c r="BJ552" i="20"/>
  <c r="BJ553" i="20"/>
  <c r="BJ554" i="20"/>
  <c r="BJ555" i="20"/>
  <c r="BJ556" i="20"/>
  <c r="BJ557" i="20"/>
  <c r="BJ558" i="20"/>
  <c r="BJ559" i="20"/>
  <c r="BJ560" i="20"/>
  <c r="BJ561" i="20"/>
  <c r="BJ562" i="20"/>
  <c r="BJ563" i="20"/>
  <c r="BJ564" i="20"/>
  <c r="BJ565" i="20"/>
  <c r="BJ566" i="20"/>
  <c r="BJ567" i="20"/>
  <c r="BJ568" i="20"/>
  <c r="BJ569" i="20"/>
  <c r="BJ570" i="20"/>
  <c r="BJ571" i="20"/>
  <c r="BJ572" i="20"/>
  <c r="BJ573" i="20"/>
  <c r="BJ574" i="20"/>
  <c r="BJ575" i="20"/>
  <c r="BJ576" i="20"/>
  <c r="BJ577" i="20"/>
  <c r="BJ578" i="20"/>
  <c r="BJ579" i="20"/>
  <c r="BJ580" i="20"/>
  <c r="BJ581" i="20"/>
  <c r="BJ582" i="20"/>
  <c r="BJ583" i="20"/>
  <c r="BJ584" i="20"/>
  <c r="BJ585" i="20"/>
  <c r="BJ586" i="20"/>
  <c r="BJ587" i="20"/>
  <c r="BJ588" i="20"/>
  <c r="BJ589" i="20"/>
  <c r="BJ590" i="20"/>
  <c r="BJ591" i="20"/>
  <c r="BJ592" i="20"/>
  <c r="BJ593" i="20"/>
  <c r="BJ594" i="20"/>
  <c r="BJ595" i="20"/>
  <c r="BJ596" i="20"/>
  <c r="BJ597" i="20"/>
  <c r="BJ598" i="20"/>
  <c r="BJ599" i="20"/>
  <c r="BJ600" i="20"/>
  <c r="BJ601" i="20"/>
  <c r="BJ602" i="20"/>
  <c r="BJ603" i="20"/>
  <c r="BJ604" i="20"/>
  <c r="BJ605" i="20"/>
  <c r="BJ606" i="20"/>
  <c r="BJ607" i="20"/>
  <c r="BJ608" i="20"/>
  <c r="BJ609" i="20"/>
  <c r="BJ610" i="20"/>
  <c r="BJ611" i="20"/>
  <c r="BJ612" i="20"/>
  <c r="BJ613" i="20"/>
  <c r="BJ614" i="20"/>
  <c r="BJ615" i="20"/>
  <c r="BJ616" i="20"/>
  <c r="BJ617" i="20"/>
  <c r="BJ618" i="20"/>
  <c r="BJ619" i="20"/>
  <c r="BJ620" i="20"/>
  <c r="BJ621" i="20"/>
  <c r="BJ622" i="20"/>
  <c r="BJ623" i="20"/>
  <c r="BJ624" i="20"/>
  <c r="BJ625" i="20"/>
  <c r="BJ626" i="20"/>
  <c r="BJ627" i="20"/>
  <c r="BJ628" i="20"/>
  <c r="BJ629" i="20"/>
  <c r="BJ630" i="20"/>
  <c r="BJ631" i="20"/>
  <c r="BJ632" i="20"/>
  <c r="BJ633" i="20"/>
  <c r="BJ634" i="20"/>
  <c r="BJ635" i="20"/>
  <c r="BJ636" i="20"/>
  <c r="BJ637" i="20"/>
  <c r="BJ638" i="20"/>
  <c r="BJ639" i="20"/>
  <c r="BJ640" i="20"/>
  <c r="BJ641" i="20"/>
  <c r="BJ642" i="20"/>
  <c r="BJ643" i="20"/>
  <c r="BJ644" i="20"/>
  <c r="BJ645" i="20"/>
  <c r="BJ646" i="20"/>
  <c r="BJ647" i="20"/>
  <c r="BJ648" i="20"/>
  <c r="BJ649" i="20"/>
  <c r="BJ650" i="20"/>
  <c r="BJ651" i="20"/>
  <c r="BJ652" i="20"/>
  <c r="BJ653" i="20"/>
  <c r="BJ654" i="20"/>
  <c r="BJ655" i="20"/>
  <c r="BJ656" i="20"/>
  <c r="BJ657" i="20"/>
  <c r="BJ658" i="20"/>
  <c r="BJ659" i="20"/>
  <c r="BJ660" i="20"/>
  <c r="BJ661" i="20"/>
  <c r="BJ662" i="20"/>
  <c r="BJ663" i="20"/>
  <c r="BJ664" i="20"/>
  <c r="BJ665" i="20"/>
  <c r="BJ666" i="20"/>
  <c r="BJ667" i="20"/>
  <c r="BJ668" i="20"/>
  <c r="BJ669" i="20"/>
  <c r="BJ670" i="20"/>
  <c r="BJ671" i="20"/>
  <c r="BJ672" i="20"/>
  <c r="BJ673" i="20"/>
  <c r="BJ674" i="20"/>
  <c r="BJ675" i="20"/>
  <c r="BJ676" i="20"/>
  <c r="BJ677" i="20"/>
  <c r="BJ678" i="20"/>
  <c r="BJ679" i="20"/>
  <c r="BJ680" i="20"/>
  <c r="BJ681" i="20"/>
  <c r="BJ682" i="20"/>
  <c r="BJ683" i="20"/>
  <c r="BJ684" i="20"/>
  <c r="BJ685" i="20"/>
  <c r="BJ686" i="20"/>
  <c r="BJ687" i="20"/>
  <c r="BJ688" i="20"/>
  <c r="BJ689" i="20"/>
  <c r="BJ690" i="20"/>
  <c r="BJ691" i="20"/>
  <c r="BJ692" i="20"/>
  <c r="BJ693" i="20"/>
  <c r="BJ694" i="20"/>
  <c r="BJ695" i="20"/>
  <c r="BJ696" i="20"/>
  <c r="BJ697" i="20"/>
  <c r="BJ698" i="20"/>
  <c r="BJ699" i="20"/>
  <c r="BJ700" i="20"/>
  <c r="BJ701" i="20"/>
  <c r="BJ702" i="20"/>
  <c r="BJ703" i="20"/>
  <c r="BJ704" i="20"/>
  <c r="BJ705" i="20"/>
  <c r="BJ706" i="20"/>
  <c r="BJ707" i="20"/>
  <c r="BJ708" i="20"/>
  <c r="BJ709" i="20"/>
  <c r="BJ710" i="20"/>
  <c r="BJ711" i="20"/>
  <c r="BJ712" i="20"/>
  <c r="BJ713" i="20"/>
  <c r="BJ714" i="20"/>
  <c r="BJ715" i="20"/>
  <c r="BJ716" i="20"/>
  <c r="BJ717" i="20"/>
  <c r="BJ718" i="20"/>
  <c r="BJ719" i="20"/>
  <c r="BJ720" i="20"/>
  <c r="BJ721" i="20"/>
  <c r="BJ722" i="20"/>
  <c r="BJ723" i="20"/>
  <c r="BJ724" i="20"/>
  <c r="BJ725" i="20"/>
  <c r="BJ726" i="20"/>
  <c r="BJ727" i="20"/>
  <c r="BJ728" i="20"/>
  <c r="BJ729" i="20"/>
  <c r="BJ730" i="20"/>
  <c r="BJ731" i="20"/>
  <c r="BJ732" i="20"/>
  <c r="BJ733" i="20"/>
  <c r="BJ734" i="20"/>
  <c r="BJ735" i="20"/>
  <c r="BJ736" i="20"/>
  <c r="BJ737" i="20"/>
  <c r="BJ738" i="20"/>
  <c r="BJ739" i="20"/>
  <c r="BJ740" i="20"/>
  <c r="BJ741" i="20"/>
  <c r="BJ742" i="20"/>
  <c r="BJ743" i="20"/>
  <c r="BJ744" i="20"/>
  <c r="BJ745" i="20"/>
  <c r="BJ746" i="20"/>
  <c r="BJ747" i="20"/>
  <c r="BJ748" i="20"/>
  <c r="BJ749" i="20"/>
  <c r="BJ750" i="20"/>
  <c r="BJ751" i="20"/>
  <c r="BJ752" i="20"/>
  <c r="BJ753" i="20"/>
  <c r="BJ754" i="20"/>
  <c r="BJ755" i="20"/>
  <c r="BJ756" i="20"/>
  <c r="BJ757" i="20"/>
  <c r="BJ758" i="20"/>
  <c r="BJ759" i="20"/>
  <c r="BJ760" i="20"/>
  <c r="BJ761" i="20"/>
  <c r="BJ762" i="20"/>
  <c r="BJ763" i="20"/>
  <c r="BJ764" i="20"/>
  <c r="BJ765" i="20"/>
  <c r="BJ766" i="20"/>
  <c r="BJ767" i="20"/>
  <c r="BJ768" i="20"/>
  <c r="BJ769" i="20"/>
  <c r="BJ770" i="20"/>
  <c r="BJ771" i="20"/>
  <c r="BJ772" i="20"/>
  <c r="BJ773" i="20"/>
  <c r="BJ774" i="20"/>
  <c r="BJ775" i="20"/>
  <c r="BJ776" i="20"/>
  <c r="BJ777" i="20"/>
  <c r="BJ778" i="20"/>
  <c r="BJ779" i="20"/>
  <c r="BJ780" i="20"/>
  <c r="BJ781" i="20"/>
  <c r="BJ782" i="20"/>
  <c r="BJ783" i="20"/>
  <c r="BJ784" i="20"/>
  <c r="BJ785" i="20"/>
  <c r="BJ786" i="20"/>
  <c r="BJ787" i="20"/>
  <c r="BJ788" i="20"/>
  <c r="BJ789" i="20"/>
  <c r="BJ790" i="20"/>
  <c r="BJ791" i="20"/>
  <c r="BJ792" i="20"/>
  <c r="BJ793" i="20"/>
  <c r="BJ794" i="20"/>
  <c r="BJ795" i="20"/>
  <c r="BJ796" i="20"/>
  <c r="BJ797" i="20"/>
  <c r="BJ798" i="20"/>
  <c r="BJ799" i="20"/>
  <c r="BJ800" i="20"/>
  <c r="BJ801" i="20"/>
  <c r="BJ802" i="20"/>
  <c r="BJ803" i="20"/>
  <c r="BJ804" i="20"/>
  <c r="BJ805" i="20"/>
  <c r="BJ806" i="20"/>
  <c r="BJ807" i="20"/>
  <c r="BJ808" i="20"/>
  <c r="BJ809" i="20"/>
  <c r="BJ810" i="20"/>
  <c r="BJ811" i="20"/>
  <c r="BJ812" i="20"/>
  <c r="BJ813" i="20"/>
  <c r="BJ814" i="20"/>
  <c r="BJ815" i="20"/>
  <c r="BJ816" i="20"/>
  <c r="BJ817" i="20"/>
  <c r="BJ818" i="20"/>
  <c r="BJ819" i="20"/>
  <c r="BJ820" i="20"/>
  <c r="BJ821" i="20"/>
  <c r="BJ822" i="20"/>
  <c r="BJ823" i="20"/>
  <c r="BJ824" i="20"/>
  <c r="BJ825" i="20"/>
  <c r="BJ826" i="20"/>
  <c r="BJ827" i="20"/>
  <c r="BJ828" i="20"/>
  <c r="BJ829" i="20"/>
  <c r="BJ830" i="20"/>
  <c r="BJ831" i="20"/>
  <c r="BJ832" i="20"/>
  <c r="BJ833" i="20"/>
  <c r="BJ834" i="20"/>
  <c r="BJ835" i="20"/>
  <c r="BJ836" i="20"/>
  <c r="BJ837" i="20"/>
  <c r="BJ838" i="20"/>
  <c r="BJ839" i="20"/>
  <c r="BJ840" i="20"/>
  <c r="BJ841" i="20"/>
  <c r="BJ842" i="20"/>
  <c r="BJ843" i="20"/>
  <c r="BJ844" i="20"/>
  <c r="BJ845" i="20"/>
  <c r="BJ846" i="20"/>
  <c r="BJ847" i="20"/>
  <c r="BJ848" i="20"/>
  <c r="BJ849" i="20"/>
  <c r="BJ850" i="20"/>
  <c r="BJ851" i="20"/>
  <c r="BJ852" i="20"/>
  <c r="BJ853" i="20"/>
  <c r="BJ854" i="20"/>
  <c r="BJ855" i="20"/>
  <c r="BJ856" i="20"/>
  <c r="BJ857" i="20"/>
  <c r="BJ858" i="20"/>
  <c r="BJ859" i="20"/>
  <c r="BJ860" i="20"/>
  <c r="BJ861" i="20"/>
  <c r="BJ862" i="20"/>
  <c r="BJ863" i="20"/>
  <c r="BJ864" i="20"/>
  <c r="BJ865" i="20"/>
  <c r="BJ866" i="20"/>
  <c r="BJ867" i="20"/>
  <c r="BJ868" i="20"/>
  <c r="BJ869" i="20"/>
  <c r="BJ870" i="20"/>
  <c r="BJ871" i="20"/>
  <c r="BJ872" i="20"/>
  <c r="BJ873" i="20"/>
  <c r="BJ874" i="20"/>
  <c r="BJ875" i="20"/>
  <c r="BJ876" i="20"/>
  <c r="BJ877" i="20"/>
  <c r="BJ878" i="20"/>
  <c r="BJ879" i="20"/>
  <c r="BJ880" i="20"/>
  <c r="BJ881" i="20"/>
  <c r="BJ882" i="20"/>
  <c r="BJ883" i="20"/>
  <c r="BJ884" i="20"/>
  <c r="BJ885" i="20"/>
  <c r="BJ886" i="20"/>
  <c r="BJ887" i="20"/>
  <c r="BJ888" i="20"/>
  <c r="BJ889" i="20"/>
  <c r="BJ890" i="20"/>
  <c r="BJ891" i="20"/>
  <c r="BJ892" i="20"/>
  <c r="BJ893" i="20"/>
  <c r="BJ894" i="20"/>
  <c r="BJ895" i="20"/>
  <c r="BJ896" i="20"/>
  <c r="BJ897" i="20"/>
  <c r="BJ898" i="20"/>
  <c r="BJ899" i="20"/>
  <c r="BJ900" i="20"/>
  <c r="BJ901" i="20"/>
  <c r="BJ902" i="20"/>
  <c r="BJ903" i="20"/>
  <c r="BJ904" i="20"/>
  <c r="BJ905" i="20"/>
  <c r="BJ906" i="20"/>
  <c r="BJ907" i="20"/>
  <c r="BJ908" i="20"/>
  <c r="BJ909" i="20"/>
  <c r="BJ910" i="20"/>
  <c r="BJ911" i="20"/>
  <c r="BJ912" i="20"/>
  <c r="BJ913" i="20"/>
  <c r="BJ914" i="20"/>
  <c r="BJ915" i="20"/>
  <c r="BJ916" i="20"/>
  <c r="BJ917" i="20"/>
  <c r="BJ918" i="20"/>
  <c r="BJ919" i="20"/>
  <c r="BJ920" i="20"/>
  <c r="BJ921" i="20"/>
  <c r="BJ922" i="20"/>
  <c r="BJ923" i="20"/>
  <c r="BJ924" i="20"/>
  <c r="BJ925" i="20"/>
  <c r="BJ926" i="20"/>
  <c r="BJ927" i="20"/>
  <c r="BJ928" i="20"/>
  <c r="BJ929" i="20"/>
  <c r="BJ930" i="20"/>
  <c r="BJ931" i="20"/>
  <c r="BJ932" i="20"/>
  <c r="BJ933" i="20"/>
  <c r="BJ934" i="20"/>
  <c r="BJ935" i="20"/>
  <c r="BJ936" i="20"/>
  <c r="BJ937" i="20"/>
  <c r="BJ938" i="20"/>
  <c r="BJ939" i="20"/>
  <c r="BJ940" i="20"/>
  <c r="BJ941" i="20"/>
  <c r="BJ942" i="20"/>
  <c r="BJ943" i="20"/>
  <c r="BJ944" i="20"/>
  <c r="BJ945" i="20"/>
  <c r="BJ946" i="20"/>
  <c r="BJ947" i="20"/>
  <c r="BJ948" i="20"/>
  <c r="BJ949" i="20"/>
  <c r="BJ950" i="20"/>
  <c r="BJ951" i="20"/>
  <c r="BJ952" i="20"/>
  <c r="BJ953" i="20"/>
  <c r="BJ954" i="20"/>
  <c r="BJ955" i="20"/>
  <c r="BJ956" i="20"/>
  <c r="BJ957" i="20"/>
  <c r="BJ958" i="20"/>
  <c r="BJ959" i="20"/>
  <c r="BJ960" i="20"/>
  <c r="BJ961" i="20"/>
  <c r="BJ962" i="20"/>
  <c r="BJ963" i="20"/>
  <c r="BJ964" i="20"/>
  <c r="BJ965" i="20"/>
  <c r="BJ966" i="20"/>
  <c r="BJ967" i="20"/>
  <c r="BJ968" i="20"/>
  <c r="BJ969" i="20"/>
  <c r="BJ970" i="20"/>
  <c r="BJ971" i="20"/>
  <c r="BJ972" i="20"/>
  <c r="BJ973" i="20"/>
  <c r="BJ974" i="20"/>
  <c r="BJ975" i="20"/>
  <c r="BJ976" i="20"/>
  <c r="BJ977" i="20"/>
  <c r="BJ978" i="20"/>
  <c r="BJ979" i="20"/>
  <c r="BJ980" i="20"/>
  <c r="BJ981" i="20"/>
  <c r="BJ982" i="20"/>
  <c r="BJ983" i="20"/>
  <c r="BJ984" i="20"/>
  <c r="BJ985" i="20"/>
  <c r="BJ986" i="20"/>
  <c r="BJ987" i="20"/>
  <c r="BJ988" i="20"/>
  <c r="BJ989" i="20"/>
  <c r="BJ990" i="20"/>
  <c r="BJ991" i="20"/>
  <c r="BJ992" i="20"/>
  <c r="BJ993" i="20"/>
  <c r="BJ994" i="20"/>
  <c r="BJ995" i="20"/>
  <c r="BJ996" i="20"/>
  <c r="BJ997" i="20"/>
  <c r="BJ998" i="20"/>
  <c r="BJ999" i="20"/>
  <c r="BJ1000" i="20"/>
  <c r="BJ1001" i="20"/>
  <c r="BJ1002" i="20"/>
  <c r="BJ1003" i="20"/>
  <c r="BJ1004" i="20"/>
  <c r="BJ1005" i="20"/>
  <c r="BJ1006" i="20"/>
  <c r="BJ1007" i="20"/>
  <c r="BJ1008" i="20"/>
  <c r="BJ1009" i="20"/>
  <c r="BJ1010" i="20"/>
  <c r="BJ1011" i="20"/>
  <c r="BJ1012" i="20"/>
  <c r="BJ1013" i="20"/>
  <c r="BJ1014" i="20"/>
  <c r="BJ1015" i="20"/>
  <c r="BJ1016" i="20"/>
  <c r="BJ1017" i="20"/>
  <c r="BJ1018" i="20"/>
  <c r="BJ1019" i="20"/>
  <c r="BJ1020" i="20"/>
  <c r="BJ1021" i="20"/>
  <c r="BJ1022" i="20"/>
  <c r="BJ1023" i="20"/>
  <c r="BJ1024" i="20"/>
  <c r="BJ1025" i="20"/>
  <c r="BJ1026" i="20"/>
  <c r="BJ1027" i="20"/>
  <c r="BJ1028" i="20"/>
  <c r="BJ1029" i="20"/>
  <c r="BJ1030" i="20"/>
  <c r="BJ1031" i="20"/>
  <c r="BJ1032" i="20"/>
  <c r="BJ1033" i="20"/>
  <c r="BJ1034" i="20"/>
  <c r="BJ1035" i="20"/>
  <c r="BJ1036" i="20"/>
  <c r="BJ1037" i="20"/>
  <c r="BJ1038" i="20"/>
  <c r="BJ1039" i="20"/>
  <c r="BJ1040" i="20"/>
  <c r="BJ1041" i="20"/>
  <c r="BJ1042" i="20"/>
  <c r="BJ1043" i="20"/>
  <c r="BJ1044" i="20"/>
  <c r="BJ1045" i="20"/>
  <c r="BJ1046" i="20"/>
  <c r="BJ1047" i="20"/>
  <c r="BJ1048" i="20"/>
  <c r="BJ1049" i="20"/>
  <c r="BJ1050" i="20"/>
  <c r="BJ1051" i="20"/>
  <c r="BJ1052" i="20"/>
  <c r="BJ1053" i="20"/>
  <c r="BJ1054" i="20"/>
  <c r="BJ1055" i="20"/>
  <c r="BJ1056" i="20"/>
  <c r="BJ1057" i="20"/>
  <c r="BJ1058" i="20"/>
  <c r="BJ1059" i="20"/>
  <c r="BJ1060" i="20"/>
  <c r="BJ1061" i="20"/>
  <c r="BJ1062" i="20"/>
  <c r="BJ1063" i="20"/>
  <c r="BJ1064" i="20"/>
  <c r="BJ1065" i="20"/>
  <c r="BJ1066" i="20"/>
  <c r="BJ1067" i="20"/>
  <c r="BJ1068" i="20"/>
  <c r="BJ1069" i="20"/>
  <c r="BJ1070" i="20"/>
  <c r="BJ1071" i="20"/>
  <c r="BJ1072" i="20"/>
  <c r="BJ1073" i="20"/>
  <c r="BJ1074" i="20"/>
  <c r="BJ1075" i="20"/>
  <c r="BJ1076" i="20"/>
  <c r="BJ1077" i="20"/>
  <c r="BJ1078" i="20"/>
  <c r="BJ1079" i="20"/>
  <c r="BJ1080" i="20"/>
  <c r="BJ1081" i="20"/>
  <c r="BJ1082" i="20"/>
  <c r="BJ1083" i="20"/>
  <c r="BJ1084" i="20"/>
  <c r="BJ1085" i="20"/>
  <c r="BJ1086" i="20"/>
  <c r="BJ1087" i="20"/>
  <c r="BJ1088" i="20"/>
  <c r="BJ1089" i="20"/>
  <c r="BJ1090" i="20"/>
  <c r="BJ1091" i="20"/>
  <c r="BJ1092" i="20"/>
  <c r="BJ1093" i="20"/>
  <c r="BJ1094" i="20"/>
  <c r="BJ1095" i="20"/>
  <c r="BJ1096" i="20"/>
  <c r="BJ1097" i="20"/>
  <c r="BJ1098" i="20"/>
  <c r="BJ1099" i="20"/>
  <c r="BJ1100" i="20"/>
  <c r="BJ1101" i="20"/>
  <c r="BJ1102" i="20"/>
  <c r="BJ1103" i="20"/>
  <c r="BJ1104" i="20"/>
  <c r="BJ1105" i="20"/>
  <c r="BJ1106" i="20"/>
  <c r="BJ1107" i="20"/>
  <c r="BJ1108" i="20"/>
  <c r="BJ1109" i="20"/>
  <c r="BJ1110" i="20"/>
  <c r="BJ1111" i="20"/>
  <c r="BJ1112" i="20"/>
  <c r="BJ1113" i="20"/>
  <c r="BJ1114" i="20"/>
  <c r="BJ1115" i="20"/>
  <c r="BJ1116" i="20"/>
  <c r="BJ1117" i="20"/>
  <c r="BJ1118" i="20"/>
  <c r="BJ1119" i="20"/>
  <c r="BJ1120" i="20"/>
  <c r="BJ1121" i="20"/>
  <c r="BJ1122" i="20"/>
  <c r="BJ1123" i="20"/>
  <c r="BJ1124" i="20"/>
  <c r="BJ1125" i="20"/>
  <c r="BJ1126" i="20"/>
  <c r="BJ1127" i="20"/>
  <c r="BJ1128" i="20"/>
  <c r="BJ1129" i="20"/>
  <c r="BJ1130" i="20"/>
  <c r="BJ1131" i="20"/>
  <c r="BJ1132" i="20"/>
  <c r="BJ1133" i="20"/>
  <c r="BJ1134" i="20"/>
  <c r="BJ1135" i="20"/>
  <c r="BJ1136" i="20"/>
  <c r="BJ1137" i="20"/>
  <c r="BJ1138" i="20"/>
  <c r="BJ1139" i="20"/>
  <c r="BJ1140" i="20"/>
  <c r="BJ1141" i="20"/>
  <c r="BJ1142" i="20"/>
  <c r="BJ1143" i="20"/>
  <c r="BJ1144" i="20"/>
  <c r="BJ1145" i="20"/>
  <c r="BJ1146" i="20"/>
  <c r="BJ1147" i="20"/>
  <c r="BJ1148" i="20"/>
  <c r="BJ1149" i="20"/>
  <c r="BJ1150" i="20"/>
  <c r="BJ1151" i="20"/>
  <c r="BJ1152" i="20"/>
  <c r="BJ1153" i="20"/>
  <c r="BJ1154" i="20"/>
  <c r="BJ1155" i="20"/>
  <c r="BJ1156" i="20"/>
  <c r="BJ1157" i="20"/>
  <c r="BJ1158" i="20"/>
  <c r="BJ1159" i="20"/>
  <c r="BJ1160" i="20"/>
  <c r="BJ1161" i="20"/>
  <c r="BJ1162" i="20"/>
  <c r="BJ1163" i="20"/>
  <c r="BJ1164" i="20"/>
  <c r="BJ1165" i="20"/>
  <c r="BJ1166" i="20"/>
  <c r="BJ1167" i="20"/>
  <c r="BJ1168" i="20"/>
  <c r="BJ1169" i="20"/>
  <c r="BJ1170" i="20"/>
  <c r="BJ1171" i="20"/>
  <c r="BJ1172" i="20"/>
  <c r="BJ1173" i="20"/>
  <c r="BJ1174" i="20"/>
  <c r="BJ1175" i="20"/>
  <c r="BJ1176" i="20"/>
  <c r="BJ1177" i="20"/>
  <c r="BJ1178" i="20"/>
  <c r="BJ1179" i="20"/>
  <c r="BJ1180" i="20"/>
  <c r="BJ1181" i="20"/>
  <c r="BJ1182" i="20"/>
  <c r="BJ1183" i="20"/>
  <c r="BJ1184" i="20"/>
  <c r="BJ1185" i="20"/>
  <c r="BJ1186" i="20"/>
  <c r="BJ1187" i="20"/>
  <c r="BJ1188" i="20"/>
  <c r="BJ1189" i="20"/>
  <c r="BJ1190" i="20"/>
  <c r="BJ1191" i="20"/>
  <c r="BJ1192" i="20"/>
  <c r="BJ1193" i="20"/>
  <c r="BJ1194" i="20"/>
  <c r="BJ1195" i="20"/>
  <c r="BJ1196" i="20"/>
  <c r="BJ1197" i="20"/>
  <c r="BJ1198" i="20"/>
  <c r="BJ1199" i="20"/>
  <c r="BJ1200" i="20"/>
  <c r="BJ1201" i="20"/>
  <c r="BJ1202" i="20"/>
  <c r="BJ1203" i="20"/>
  <c r="BJ1204" i="20"/>
  <c r="BJ1205" i="20"/>
  <c r="BJ1206" i="20"/>
  <c r="BJ1207" i="20"/>
  <c r="BJ1208" i="20"/>
  <c r="BJ1209" i="20"/>
  <c r="BJ1210" i="20"/>
  <c r="BJ1211" i="20"/>
  <c r="BJ1212" i="20"/>
  <c r="BJ1213" i="20"/>
  <c r="BJ1214" i="20"/>
  <c r="BJ1215" i="20"/>
  <c r="BJ1216" i="20"/>
  <c r="BJ1217" i="20"/>
  <c r="BJ1218" i="20"/>
  <c r="BJ1219" i="20"/>
  <c r="BJ1220" i="20"/>
  <c r="BJ1221" i="20"/>
  <c r="BJ1222" i="20"/>
  <c r="BJ1223" i="20"/>
  <c r="BJ1224" i="20"/>
  <c r="BJ1225" i="20"/>
  <c r="BJ1226" i="20"/>
  <c r="BJ1227" i="20"/>
  <c r="BJ1228" i="20"/>
  <c r="BJ1229" i="20"/>
  <c r="BJ1230" i="20"/>
  <c r="BJ1231" i="20"/>
  <c r="BJ1232" i="20"/>
  <c r="BJ1233" i="20"/>
  <c r="BJ1234" i="20"/>
  <c r="BJ1235" i="20"/>
  <c r="BJ1236" i="20"/>
  <c r="BJ1237" i="20"/>
  <c r="BJ1238" i="20"/>
  <c r="BJ1239" i="20"/>
  <c r="BJ1240" i="20"/>
  <c r="BJ1241" i="20"/>
  <c r="BJ1242" i="20"/>
  <c r="BJ1243" i="20"/>
  <c r="BJ1244" i="20"/>
  <c r="BJ1245" i="20"/>
  <c r="BJ1246" i="20"/>
  <c r="BJ1247" i="20"/>
  <c r="BJ1248" i="20"/>
  <c r="BJ1249" i="20"/>
  <c r="BJ1250" i="20"/>
  <c r="BJ1251" i="20"/>
  <c r="BJ1252" i="20"/>
  <c r="BJ1253" i="20"/>
  <c r="BJ1254" i="20"/>
  <c r="BJ1255" i="20"/>
  <c r="BJ1256" i="20"/>
  <c r="BJ1257" i="20"/>
  <c r="BJ1258" i="20"/>
  <c r="BJ1259" i="20"/>
  <c r="BJ1260" i="20"/>
  <c r="BJ1261" i="20"/>
  <c r="BJ1262" i="20"/>
  <c r="BJ1263" i="20"/>
  <c r="BJ1264" i="20"/>
  <c r="BJ1265" i="20"/>
  <c r="BJ1266" i="20"/>
  <c r="BJ1267" i="20"/>
  <c r="BJ1268" i="20"/>
  <c r="BJ1269" i="20"/>
  <c r="BJ1270" i="20"/>
  <c r="BJ1271" i="20"/>
  <c r="BJ1272" i="20"/>
  <c r="BJ1273" i="20"/>
  <c r="BJ1274" i="20"/>
  <c r="BJ1275" i="20"/>
  <c r="BJ1276" i="20"/>
  <c r="BJ1277" i="20"/>
  <c r="BJ1278" i="20"/>
  <c r="BJ1279" i="20"/>
  <c r="BJ1280" i="20"/>
  <c r="BJ1281" i="20"/>
  <c r="BJ1282" i="20"/>
  <c r="BJ1283" i="20"/>
  <c r="BJ1284" i="20"/>
  <c r="BJ1285" i="20"/>
  <c r="BJ1286" i="20"/>
  <c r="BJ1287" i="20"/>
  <c r="BJ1288" i="20"/>
  <c r="BJ1289" i="20"/>
  <c r="BJ1290" i="20"/>
  <c r="BJ1291" i="20"/>
  <c r="BI9" i="20"/>
  <c r="BI10" i="20"/>
  <c r="BI11" i="20"/>
  <c r="BI12" i="20"/>
  <c r="BI13" i="20"/>
  <c r="BI14" i="20"/>
  <c r="BI15" i="20"/>
  <c r="BI16" i="20"/>
  <c r="BI17" i="20"/>
  <c r="BI18" i="20"/>
  <c r="BI19" i="20"/>
  <c r="BI20" i="20"/>
  <c r="BI21" i="20"/>
  <c r="BI22" i="20"/>
  <c r="BI23" i="20"/>
  <c r="BI24" i="20"/>
  <c r="BI25" i="20"/>
  <c r="BI26" i="20"/>
  <c r="BI27" i="20"/>
  <c r="BI28" i="20"/>
  <c r="BI29" i="20"/>
  <c r="BI30" i="20"/>
  <c r="BI31" i="20"/>
  <c r="BI32" i="20"/>
  <c r="BI33" i="20"/>
  <c r="BI34" i="20"/>
  <c r="BI35" i="20"/>
  <c r="BI36" i="20"/>
  <c r="BI37" i="20"/>
  <c r="BI38" i="20"/>
  <c r="BI39" i="20"/>
  <c r="BI40" i="20"/>
  <c r="BI41" i="20"/>
  <c r="BI42" i="20"/>
  <c r="BI43" i="20"/>
  <c r="BI44" i="20"/>
  <c r="BI45" i="20"/>
  <c r="BI46" i="20"/>
  <c r="BI47" i="20"/>
  <c r="BI48" i="20"/>
  <c r="BI49" i="20"/>
  <c r="BI50" i="20"/>
  <c r="BI51" i="20"/>
  <c r="BI52" i="20"/>
  <c r="BI53" i="20"/>
  <c r="BI54" i="20"/>
  <c r="BI55" i="20"/>
  <c r="BI56" i="20"/>
  <c r="BI57" i="20"/>
  <c r="BI58" i="20"/>
  <c r="BI59" i="20"/>
  <c r="BI60" i="20"/>
  <c r="BI61" i="20"/>
  <c r="BI62" i="20"/>
  <c r="BI63" i="20"/>
  <c r="BI64" i="20"/>
  <c r="BI65" i="20"/>
  <c r="BI66" i="20"/>
  <c r="BI67" i="20"/>
  <c r="BI68" i="20"/>
  <c r="BI69" i="20"/>
  <c r="BI70" i="20"/>
  <c r="BI71" i="20"/>
  <c r="BI72" i="20"/>
  <c r="BI73" i="20"/>
  <c r="BI74" i="20"/>
  <c r="BI75" i="20"/>
  <c r="BI76" i="20"/>
  <c r="BI77" i="20"/>
  <c r="BI78" i="20"/>
  <c r="BI79" i="20"/>
  <c r="BI80" i="20"/>
  <c r="BI81" i="20"/>
  <c r="BI82" i="20"/>
  <c r="BI83" i="20"/>
  <c r="BI84" i="20"/>
  <c r="BI85" i="20"/>
  <c r="BI86" i="20"/>
  <c r="BI87" i="20"/>
  <c r="BI88" i="20"/>
  <c r="BI89" i="20"/>
  <c r="BI90" i="20"/>
  <c r="BI91" i="20"/>
  <c r="BI92" i="20"/>
  <c r="BI93" i="20"/>
  <c r="BI94" i="20"/>
  <c r="BI95" i="20"/>
  <c r="BI96" i="20"/>
  <c r="BI97" i="20"/>
  <c r="BI98" i="20"/>
  <c r="BI99" i="20"/>
  <c r="BI100" i="20"/>
  <c r="BI101" i="20"/>
  <c r="BI102" i="20"/>
  <c r="BI103" i="20"/>
  <c r="BI104" i="20"/>
  <c r="BI105" i="20"/>
  <c r="BI106" i="20"/>
  <c r="BI107" i="20"/>
  <c r="BI108" i="20"/>
  <c r="BI109" i="20"/>
  <c r="BI110" i="20"/>
  <c r="BI111" i="20"/>
  <c r="BI112" i="20"/>
  <c r="BI113" i="20"/>
  <c r="BI114" i="20"/>
  <c r="BI115" i="20"/>
  <c r="BI116" i="20"/>
  <c r="BI117" i="20"/>
  <c r="BI118" i="20"/>
  <c r="BI119" i="20"/>
  <c r="BI120" i="20"/>
  <c r="BI121" i="20"/>
  <c r="BI122" i="20"/>
  <c r="BI123" i="20"/>
  <c r="BI124" i="20"/>
  <c r="BI125" i="20"/>
  <c r="BI126" i="20"/>
  <c r="BI127" i="20"/>
  <c r="BI128" i="20"/>
  <c r="BI129" i="20"/>
  <c r="BI130" i="20"/>
  <c r="BI131" i="20"/>
  <c r="BI132" i="20"/>
  <c r="BI133" i="20"/>
  <c r="BI134" i="20"/>
  <c r="BI135" i="20"/>
  <c r="BI136" i="20"/>
  <c r="BI137" i="20"/>
  <c r="BI138" i="20"/>
  <c r="BI139" i="20"/>
  <c r="BI140" i="20"/>
  <c r="BI141" i="20"/>
  <c r="BI142" i="20"/>
  <c r="BI143" i="20"/>
  <c r="BI144" i="20"/>
  <c r="BI145" i="20"/>
  <c r="BI146" i="20"/>
  <c r="BI147" i="20"/>
  <c r="BI148" i="20"/>
  <c r="BI149" i="20"/>
  <c r="BI150" i="20"/>
  <c r="BI151" i="20"/>
  <c r="BI152" i="20"/>
  <c r="BI153" i="20"/>
  <c r="BI154" i="20"/>
  <c r="BI155" i="20"/>
  <c r="BI156" i="20"/>
  <c r="BI157" i="20"/>
  <c r="BI158" i="20"/>
  <c r="BI159" i="20"/>
  <c r="BI160" i="20"/>
  <c r="BI161" i="20"/>
  <c r="BI162" i="20"/>
  <c r="BI163" i="20"/>
  <c r="BI164" i="20"/>
  <c r="BI165" i="20"/>
  <c r="BI166" i="20"/>
  <c r="BI167" i="20"/>
  <c r="BI168" i="20"/>
  <c r="BI169" i="20"/>
  <c r="BI170" i="20"/>
  <c r="BI171" i="20"/>
  <c r="BI172" i="20"/>
  <c r="BI173" i="20"/>
  <c r="BI174" i="20"/>
  <c r="BI175" i="20"/>
  <c r="BI176" i="20"/>
  <c r="BI177" i="20"/>
  <c r="BI178" i="20"/>
  <c r="BI179" i="20"/>
  <c r="BI180" i="20"/>
  <c r="BI181" i="20"/>
  <c r="BI182" i="20"/>
  <c r="BI183" i="20"/>
  <c r="BI184" i="20"/>
  <c r="BI185" i="20"/>
  <c r="BI186" i="20"/>
  <c r="BI187" i="20"/>
  <c r="BI188" i="20"/>
  <c r="BI189" i="20"/>
  <c r="BI190" i="20"/>
  <c r="BI191" i="20"/>
  <c r="BI192" i="20"/>
  <c r="BI193" i="20"/>
  <c r="BI194" i="20"/>
  <c r="BI195" i="20"/>
  <c r="BI196" i="20"/>
  <c r="BI197" i="20"/>
  <c r="BI198" i="20"/>
  <c r="BI199" i="20"/>
  <c r="BI200" i="20"/>
  <c r="BI201" i="20"/>
  <c r="BI202" i="20"/>
  <c r="BI203" i="20"/>
  <c r="BI204" i="20"/>
  <c r="BI205" i="20"/>
  <c r="BI206" i="20"/>
  <c r="BI207" i="20"/>
  <c r="BI208" i="20"/>
  <c r="BI209" i="20"/>
  <c r="BI210" i="20"/>
  <c r="BI211" i="20"/>
  <c r="BI212" i="20"/>
  <c r="BI213" i="20"/>
  <c r="BI214" i="20"/>
  <c r="BI215" i="20"/>
  <c r="BI216" i="20"/>
  <c r="BI217" i="20"/>
  <c r="BI218" i="20"/>
  <c r="BI219" i="20"/>
  <c r="BI220" i="20"/>
  <c r="BI221" i="20"/>
  <c r="BI222" i="20"/>
  <c r="BI223" i="20"/>
  <c r="BI224" i="20"/>
  <c r="BI225" i="20"/>
  <c r="BI226" i="20"/>
  <c r="BI227" i="20"/>
  <c r="BI228" i="20"/>
  <c r="BI229" i="20"/>
  <c r="BI230" i="20"/>
  <c r="BI231" i="20"/>
  <c r="BI232" i="20"/>
  <c r="BI233" i="20"/>
  <c r="BI234" i="20"/>
  <c r="BI235" i="20"/>
  <c r="BI236" i="20"/>
  <c r="BI237" i="20"/>
  <c r="BI238" i="20"/>
  <c r="BI239" i="20"/>
  <c r="BI240" i="20"/>
  <c r="BI241" i="20"/>
  <c r="BI242" i="20"/>
  <c r="BI243" i="20"/>
  <c r="BI244" i="20"/>
  <c r="BI245" i="20"/>
  <c r="BI246" i="20"/>
  <c r="BI247" i="20"/>
  <c r="BI248" i="20"/>
  <c r="BI249" i="20"/>
  <c r="BI250" i="20"/>
  <c r="BI251" i="20"/>
  <c r="BI252" i="20"/>
  <c r="BI253" i="20"/>
  <c r="BI254" i="20"/>
  <c r="BI255" i="20"/>
  <c r="BI256" i="20"/>
  <c r="BI257" i="20"/>
  <c r="BI258" i="20"/>
  <c r="BI259" i="20"/>
  <c r="BI260" i="20"/>
  <c r="BI261" i="20"/>
  <c r="BI262" i="20"/>
  <c r="BI263" i="20"/>
  <c r="BI264" i="20"/>
  <c r="BI265" i="20"/>
  <c r="BI266" i="20"/>
  <c r="BI267" i="20"/>
  <c r="BI268" i="20"/>
  <c r="BI269" i="20"/>
  <c r="BI270" i="20"/>
  <c r="BI271" i="20"/>
  <c r="BI272" i="20"/>
  <c r="BI273" i="20"/>
  <c r="BI274" i="20"/>
  <c r="BI275" i="20"/>
  <c r="BI276" i="20"/>
  <c r="BI277" i="20"/>
  <c r="BI278" i="20"/>
  <c r="BI279" i="20"/>
  <c r="BI280" i="20"/>
  <c r="BI281" i="20"/>
  <c r="BI282" i="20"/>
  <c r="BI283" i="20"/>
  <c r="BI284" i="20"/>
  <c r="BI285" i="20"/>
  <c r="BI286" i="20"/>
  <c r="BI287" i="20"/>
  <c r="BI288" i="20"/>
  <c r="BI289" i="20"/>
  <c r="BI290" i="20"/>
  <c r="BI291" i="20"/>
  <c r="BI292" i="20"/>
  <c r="BI293" i="20"/>
  <c r="BI294" i="20"/>
  <c r="BI295" i="20"/>
  <c r="BI296" i="20"/>
  <c r="BI297" i="20"/>
  <c r="BI298" i="20"/>
  <c r="BI299" i="20"/>
  <c r="BI300" i="20"/>
  <c r="BI301" i="20"/>
  <c r="BI302" i="20"/>
  <c r="BI303" i="20"/>
  <c r="BI304" i="20"/>
  <c r="BI305" i="20"/>
  <c r="BI306" i="20"/>
  <c r="BI307" i="20"/>
  <c r="BI308" i="20"/>
  <c r="BI309" i="20"/>
  <c r="BI310" i="20"/>
  <c r="BI311" i="20"/>
  <c r="BI312" i="20"/>
  <c r="BI313" i="20"/>
  <c r="BI314" i="20"/>
  <c r="BI315" i="20"/>
  <c r="BI316" i="20"/>
  <c r="BI317" i="20"/>
  <c r="BI318" i="20"/>
  <c r="BI319" i="20"/>
  <c r="BI320" i="20"/>
  <c r="BI321" i="20"/>
  <c r="BI322" i="20"/>
  <c r="BI323" i="20"/>
  <c r="BI324" i="20"/>
  <c r="BI325" i="20"/>
  <c r="BI326" i="20"/>
  <c r="BI327" i="20"/>
  <c r="BI328" i="20"/>
  <c r="BI329" i="20"/>
  <c r="BI330" i="20"/>
  <c r="BI331" i="20"/>
  <c r="BI332" i="20"/>
  <c r="BI333" i="20"/>
  <c r="BI334" i="20"/>
  <c r="BI335" i="20"/>
  <c r="BI336" i="20"/>
  <c r="BI337" i="20"/>
  <c r="BI338" i="20"/>
  <c r="BI339" i="20"/>
  <c r="BI340" i="20"/>
  <c r="BI341" i="20"/>
  <c r="BI342" i="20"/>
  <c r="BI343" i="20"/>
  <c r="BI344" i="20"/>
  <c r="BI345" i="20"/>
  <c r="BI346" i="20"/>
  <c r="BI347" i="20"/>
  <c r="BI348" i="20"/>
  <c r="BI349" i="20"/>
  <c r="BI350" i="20"/>
  <c r="BI351" i="20"/>
  <c r="BI352" i="20"/>
  <c r="BI353" i="20"/>
  <c r="BI354" i="20"/>
  <c r="BI355" i="20"/>
  <c r="BI356" i="20"/>
  <c r="BI357" i="20"/>
  <c r="BI358" i="20"/>
  <c r="BI359" i="20"/>
  <c r="BI360" i="20"/>
  <c r="BI361" i="20"/>
  <c r="BI362" i="20"/>
  <c r="BI363" i="20"/>
  <c r="BI364" i="20"/>
  <c r="BI365" i="20"/>
  <c r="BI366" i="20"/>
  <c r="BI367" i="20"/>
  <c r="BI368" i="20"/>
  <c r="BI369" i="20"/>
  <c r="BI370" i="20"/>
  <c r="BI371" i="20"/>
  <c r="BI372" i="20"/>
  <c r="BI373" i="20"/>
  <c r="BI374" i="20"/>
  <c r="BI375" i="20"/>
  <c r="BI376" i="20"/>
  <c r="BI377" i="20"/>
  <c r="BI378" i="20"/>
  <c r="BI379" i="20"/>
  <c r="BI380" i="20"/>
  <c r="BI381" i="20"/>
  <c r="BI382" i="20"/>
  <c r="BI383" i="20"/>
  <c r="BI384" i="20"/>
  <c r="BI385" i="20"/>
  <c r="BI386" i="20"/>
  <c r="BI387" i="20"/>
  <c r="BI388" i="20"/>
  <c r="BI389" i="20"/>
  <c r="BI390" i="20"/>
  <c r="BI391" i="20"/>
  <c r="BI392" i="20"/>
  <c r="BI393" i="20"/>
  <c r="BI394" i="20"/>
  <c r="BI395" i="20"/>
  <c r="BI396" i="20"/>
  <c r="BI397" i="20"/>
  <c r="BI398" i="20"/>
  <c r="BI399" i="20"/>
  <c r="BI400" i="20"/>
  <c r="BI401" i="20"/>
  <c r="BI402" i="20"/>
  <c r="BI403" i="20"/>
  <c r="BI404" i="20"/>
  <c r="BI405" i="20"/>
  <c r="BI406" i="20"/>
  <c r="BI407" i="20"/>
  <c r="BI408" i="20"/>
  <c r="BI409" i="20"/>
  <c r="BI410" i="20"/>
  <c r="BI411" i="20"/>
  <c r="BI412" i="20"/>
  <c r="BI413" i="20"/>
  <c r="BI414" i="20"/>
  <c r="BI415" i="20"/>
  <c r="BI416" i="20"/>
  <c r="BI417" i="20"/>
  <c r="BI418" i="20"/>
  <c r="BI419" i="20"/>
  <c r="BI420" i="20"/>
  <c r="BI421" i="20"/>
  <c r="BI422" i="20"/>
  <c r="BI423" i="20"/>
  <c r="BI424" i="20"/>
  <c r="BI425" i="20"/>
  <c r="BI426" i="20"/>
  <c r="BI427" i="20"/>
  <c r="BI428" i="20"/>
  <c r="BI429" i="20"/>
  <c r="BI430" i="20"/>
  <c r="BI431" i="20"/>
  <c r="BI432" i="20"/>
  <c r="BI433" i="20"/>
  <c r="BI434" i="20"/>
  <c r="BI435" i="20"/>
  <c r="BI436" i="20"/>
  <c r="BI437" i="20"/>
  <c r="BI438" i="20"/>
  <c r="BI439" i="20"/>
  <c r="BI440" i="20"/>
  <c r="BI441" i="20"/>
  <c r="BI442" i="20"/>
  <c r="BI443" i="20"/>
  <c r="BI444" i="20"/>
  <c r="BI445" i="20"/>
  <c r="BI446" i="20"/>
  <c r="BI447" i="20"/>
  <c r="BI448" i="20"/>
  <c r="BI449" i="20"/>
  <c r="BI450" i="20"/>
  <c r="BI451" i="20"/>
  <c r="BI452" i="20"/>
  <c r="BI453" i="20"/>
  <c r="BI454" i="20"/>
  <c r="BI455" i="20"/>
  <c r="BI456" i="20"/>
  <c r="BI457" i="20"/>
  <c r="BI458" i="20"/>
  <c r="BI459" i="20"/>
  <c r="BI460" i="20"/>
  <c r="BI461" i="20"/>
  <c r="BI462" i="20"/>
  <c r="BI463" i="20"/>
  <c r="BI464" i="20"/>
  <c r="BI465" i="20"/>
  <c r="BI466" i="20"/>
  <c r="BI467" i="20"/>
  <c r="BI468" i="20"/>
  <c r="BI469" i="20"/>
  <c r="BI470" i="20"/>
  <c r="BI471" i="20"/>
  <c r="BI472" i="20"/>
  <c r="BI473" i="20"/>
  <c r="BI474" i="20"/>
  <c r="BI475" i="20"/>
  <c r="BI476" i="20"/>
  <c r="BI477" i="20"/>
  <c r="BI478" i="20"/>
  <c r="BI479" i="20"/>
  <c r="BI480" i="20"/>
  <c r="BI481" i="20"/>
  <c r="BI482" i="20"/>
  <c r="BI483" i="20"/>
  <c r="BI484" i="20"/>
  <c r="BI485" i="20"/>
  <c r="BI486" i="20"/>
  <c r="BI487" i="20"/>
  <c r="BI488" i="20"/>
  <c r="BI489" i="20"/>
  <c r="BI490" i="20"/>
  <c r="BI491" i="20"/>
  <c r="BI492" i="20"/>
  <c r="BI493" i="20"/>
  <c r="BI494" i="20"/>
  <c r="BI495" i="20"/>
  <c r="BI496" i="20"/>
  <c r="BI497" i="20"/>
  <c r="BI498" i="20"/>
  <c r="BI499" i="20"/>
  <c r="BI500" i="20"/>
  <c r="BI501" i="20"/>
  <c r="BI502" i="20"/>
  <c r="BI503" i="20"/>
  <c r="BI504" i="20"/>
  <c r="BI505" i="20"/>
  <c r="BI506" i="20"/>
  <c r="BI507" i="20"/>
  <c r="BI508" i="20"/>
  <c r="BI509" i="20"/>
  <c r="BI510" i="20"/>
  <c r="BI511" i="20"/>
  <c r="BI512" i="20"/>
  <c r="BI513" i="20"/>
  <c r="BI514" i="20"/>
  <c r="BI515" i="20"/>
  <c r="BI516" i="20"/>
  <c r="BI517" i="20"/>
  <c r="BI518" i="20"/>
  <c r="BI519" i="20"/>
  <c r="BI520" i="20"/>
  <c r="BI521" i="20"/>
  <c r="BI522" i="20"/>
  <c r="BI523" i="20"/>
  <c r="BI524" i="20"/>
  <c r="BI525" i="20"/>
  <c r="BI526" i="20"/>
  <c r="BI527" i="20"/>
  <c r="BI528" i="20"/>
  <c r="BI529" i="20"/>
  <c r="BI530" i="20"/>
  <c r="BI531" i="20"/>
  <c r="BI532" i="20"/>
  <c r="BI533" i="20"/>
  <c r="BI534" i="20"/>
  <c r="BI535" i="20"/>
  <c r="BI536" i="20"/>
  <c r="BI537" i="20"/>
  <c r="BI538" i="20"/>
  <c r="BI539" i="20"/>
  <c r="BI540" i="20"/>
  <c r="BI541" i="20"/>
  <c r="BI542" i="20"/>
  <c r="BI543" i="20"/>
  <c r="BI544" i="20"/>
  <c r="BI545" i="20"/>
  <c r="BI546" i="20"/>
  <c r="BI547" i="20"/>
  <c r="BI548" i="20"/>
  <c r="BI549" i="20"/>
  <c r="BI550" i="20"/>
  <c r="BI551" i="20"/>
  <c r="BI552" i="20"/>
  <c r="BI553" i="20"/>
  <c r="BI554" i="20"/>
  <c r="BI555" i="20"/>
  <c r="BI556" i="20"/>
  <c r="BI557" i="20"/>
  <c r="BI558" i="20"/>
  <c r="BI559" i="20"/>
  <c r="BI560" i="20"/>
  <c r="BI561" i="20"/>
  <c r="BI562" i="20"/>
  <c r="BI563" i="20"/>
  <c r="BI564" i="20"/>
  <c r="BI565" i="20"/>
  <c r="BI566" i="20"/>
  <c r="BI567" i="20"/>
  <c r="BI568" i="20"/>
  <c r="BI569" i="20"/>
  <c r="BI570" i="20"/>
  <c r="BI571" i="20"/>
  <c r="BI572" i="20"/>
  <c r="BI573" i="20"/>
  <c r="BI574" i="20"/>
  <c r="BI575" i="20"/>
  <c r="BI576" i="20"/>
  <c r="BI577" i="20"/>
  <c r="BI578" i="20"/>
  <c r="BI579" i="20"/>
  <c r="BI580" i="20"/>
  <c r="BI581" i="20"/>
  <c r="BI582" i="20"/>
  <c r="BI583" i="20"/>
  <c r="BI584" i="20"/>
  <c r="BI585" i="20"/>
  <c r="BI586" i="20"/>
  <c r="BI587" i="20"/>
  <c r="BI588" i="20"/>
  <c r="BI589" i="20"/>
  <c r="BI590" i="20"/>
  <c r="BI591" i="20"/>
  <c r="BI592" i="20"/>
  <c r="BI593" i="20"/>
  <c r="BI594" i="20"/>
  <c r="BI595" i="20"/>
  <c r="BI596" i="20"/>
  <c r="BI597" i="20"/>
  <c r="BI598" i="20"/>
  <c r="BI599" i="20"/>
  <c r="BI600" i="20"/>
  <c r="BI601" i="20"/>
  <c r="BI602" i="20"/>
  <c r="BI603" i="20"/>
  <c r="BI604" i="20"/>
  <c r="BI605" i="20"/>
  <c r="BI606" i="20"/>
  <c r="BI607" i="20"/>
  <c r="BI608" i="20"/>
  <c r="BI609" i="20"/>
  <c r="BI610" i="20"/>
  <c r="BI611" i="20"/>
  <c r="BI612" i="20"/>
  <c r="BI613" i="20"/>
  <c r="BI614" i="20"/>
  <c r="BI615" i="20"/>
  <c r="BI616" i="20"/>
  <c r="BI617" i="20"/>
  <c r="BI618" i="20"/>
  <c r="BI619" i="20"/>
  <c r="BI620" i="20"/>
  <c r="BI621" i="20"/>
  <c r="BI622" i="20"/>
  <c r="BI623" i="20"/>
  <c r="BI624" i="20"/>
  <c r="BI625" i="20"/>
  <c r="BI626" i="20"/>
  <c r="BI627" i="20"/>
  <c r="BI628" i="20"/>
  <c r="BI629" i="20"/>
  <c r="BI630" i="20"/>
  <c r="BI631" i="20"/>
  <c r="BI632" i="20"/>
  <c r="BI633" i="20"/>
  <c r="BI634" i="20"/>
  <c r="BI635" i="20"/>
  <c r="BI636" i="20"/>
  <c r="BI637" i="20"/>
  <c r="BI638" i="20"/>
  <c r="BI639" i="20"/>
  <c r="BI640" i="20"/>
  <c r="BI641" i="20"/>
  <c r="BI642" i="20"/>
  <c r="BI643" i="20"/>
  <c r="BI644" i="20"/>
  <c r="BI645" i="20"/>
  <c r="BI646" i="20"/>
  <c r="BI647" i="20"/>
  <c r="BI648" i="20"/>
  <c r="BI649" i="20"/>
  <c r="BI650" i="20"/>
  <c r="BI651" i="20"/>
  <c r="BI652" i="20"/>
  <c r="BI653" i="20"/>
  <c r="BI654" i="20"/>
  <c r="BI655" i="20"/>
  <c r="BI656" i="20"/>
  <c r="BI657" i="20"/>
  <c r="BI658" i="20"/>
  <c r="BI659" i="20"/>
  <c r="BI660" i="20"/>
  <c r="BI661" i="20"/>
  <c r="BI662" i="20"/>
  <c r="BI663" i="20"/>
  <c r="BI664" i="20"/>
  <c r="BI665" i="20"/>
  <c r="BI666" i="20"/>
  <c r="BI667" i="20"/>
  <c r="BI668" i="20"/>
  <c r="BI669" i="20"/>
  <c r="BI670" i="20"/>
  <c r="BI671" i="20"/>
  <c r="BI672" i="20"/>
  <c r="BI673" i="20"/>
  <c r="BI674" i="20"/>
  <c r="BI675" i="20"/>
  <c r="BI676" i="20"/>
  <c r="BI677" i="20"/>
  <c r="BI678" i="20"/>
  <c r="BI679" i="20"/>
  <c r="BI680" i="20"/>
  <c r="BI681" i="20"/>
  <c r="BI682" i="20"/>
  <c r="BI683" i="20"/>
  <c r="BI684" i="20"/>
  <c r="BI685" i="20"/>
  <c r="BI686" i="20"/>
  <c r="BI687" i="20"/>
  <c r="BI688" i="20"/>
  <c r="BI689" i="20"/>
  <c r="BI690" i="20"/>
  <c r="BI691" i="20"/>
  <c r="BI692" i="20"/>
  <c r="BI693" i="20"/>
  <c r="BI694" i="20"/>
  <c r="BI695" i="20"/>
  <c r="BI696" i="20"/>
  <c r="BI697" i="20"/>
  <c r="BI698" i="20"/>
  <c r="BI699" i="20"/>
  <c r="BI700" i="20"/>
  <c r="BI701" i="20"/>
  <c r="BI702" i="20"/>
  <c r="BI703" i="20"/>
  <c r="BI704" i="20"/>
  <c r="BI705" i="20"/>
  <c r="BI706" i="20"/>
  <c r="BI707" i="20"/>
  <c r="BI708" i="20"/>
  <c r="BI709" i="20"/>
  <c r="BI710" i="20"/>
  <c r="BI711" i="20"/>
  <c r="BI712" i="20"/>
  <c r="BI713" i="20"/>
  <c r="BI714" i="20"/>
  <c r="BI715" i="20"/>
  <c r="BI716" i="20"/>
  <c r="BI717" i="20"/>
  <c r="BI718" i="20"/>
  <c r="BI719" i="20"/>
  <c r="BI720" i="20"/>
  <c r="BI721" i="20"/>
  <c r="BI722" i="20"/>
  <c r="BI723" i="20"/>
  <c r="BI724" i="20"/>
  <c r="BI725" i="20"/>
  <c r="BI726" i="20"/>
  <c r="BI727" i="20"/>
  <c r="BI728" i="20"/>
  <c r="BI729" i="20"/>
  <c r="BI730" i="20"/>
  <c r="BI731" i="20"/>
  <c r="BI732" i="20"/>
  <c r="BI733" i="20"/>
  <c r="BI734" i="20"/>
  <c r="BI735" i="20"/>
  <c r="BI736" i="20"/>
  <c r="BI737" i="20"/>
  <c r="BI738" i="20"/>
  <c r="BI739" i="20"/>
  <c r="BI740" i="20"/>
  <c r="BI741" i="20"/>
  <c r="BI742" i="20"/>
  <c r="BI743" i="20"/>
  <c r="BI744" i="20"/>
  <c r="BI745" i="20"/>
  <c r="BI746" i="20"/>
  <c r="BI747" i="20"/>
  <c r="BI748" i="20"/>
  <c r="BI749" i="20"/>
  <c r="BI750" i="20"/>
  <c r="BI751" i="20"/>
  <c r="BI752" i="20"/>
  <c r="BI753" i="20"/>
  <c r="BI754" i="20"/>
  <c r="BI755" i="20"/>
  <c r="BI756" i="20"/>
  <c r="BI757" i="20"/>
  <c r="BI758" i="20"/>
  <c r="BI759" i="20"/>
  <c r="BI760" i="20"/>
  <c r="BI761" i="20"/>
  <c r="BI762" i="20"/>
  <c r="BI763" i="20"/>
  <c r="BI764" i="20"/>
  <c r="BI765" i="20"/>
  <c r="BI766" i="20"/>
  <c r="BI767" i="20"/>
  <c r="BI768" i="20"/>
  <c r="BI769" i="20"/>
  <c r="BI770" i="20"/>
  <c r="BI771" i="20"/>
  <c r="BI772" i="20"/>
  <c r="BI773" i="20"/>
  <c r="BI774" i="20"/>
  <c r="BI775" i="20"/>
  <c r="BI776" i="20"/>
  <c r="BI777" i="20"/>
  <c r="BI778" i="20"/>
  <c r="BI779" i="20"/>
  <c r="BI780" i="20"/>
  <c r="BI781" i="20"/>
  <c r="BI782" i="20"/>
  <c r="BI783" i="20"/>
  <c r="BI784" i="20"/>
  <c r="BI785" i="20"/>
  <c r="BI786" i="20"/>
  <c r="BI787" i="20"/>
  <c r="BI788" i="20"/>
  <c r="BI789" i="20"/>
  <c r="BI790" i="20"/>
  <c r="BI791" i="20"/>
  <c r="BI792" i="20"/>
  <c r="BI793" i="20"/>
  <c r="BI794" i="20"/>
  <c r="BI795" i="20"/>
  <c r="BI796" i="20"/>
  <c r="BI797" i="20"/>
  <c r="BI798" i="20"/>
  <c r="BI799" i="20"/>
  <c r="BI800" i="20"/>
  <c r="BI801" i="20"/>
  <c r="BI802" i="20"/>
  <c r="BI803" i="20"/>
  <c r="BI804" i="20"/>
  <c r="BI805" i="20"/>
  <c r="BI806" i="20"/>
  <c r="BI807" i="20"/>
  <c r="BI808" i="20"/>
  <c r="BI809" i="20"/>
  <c r="BI810" i="20"/>
  <c r="BI811" i="20"/>
  <c r="BI812" i="20"/>
  <c r="BI813" i="20"/>
  <c r="BI814" i="20"/>
  <c r="BI815" i="20"/>
  <c r="BI816" i="20"/>
  <c r="BI817" i="20"/>
  <c r="BI818" i="20"/>
  <c r="BI819" i="20"/>
  <c r="BI820" i="20"/>
  <c r="BI821" i="20"/>
  <c r="BI822" i="20"/>
  <c r="BI823" i="20"/>
  <c r="BI824" i="20"/>
  <c r="BI825" i="20"/>
  <c r="BI826" i="20"/>
  <c r="BI827" i="20"/>
  <c r="BI828" i="20"/>
  <c r="BI829" i="20"/>
  <c r="BI830" i="20"/>
  <c r="BI831" i="20"/>
  <c r="BI832" i="20"/>
  <c r="BI833" i="20"/>
  <c r="BI834" i="20"/>
  <c r="BI835" i="20"/>
  <c r="BI836" i="20"/>
  <c r="BI837" i="20"/>
  <c r="BI838" i="20"/>
  <c r="BI839" i="20"/>
  <c r="BI840" i="20"/>
  <c r="BI841" i="20"/>
  <c r="BI842" i="20"/>
  <c r="BI843" i="20"/>
  <c r="BI844" i="20"/>
  <c r="BI845" i="20"/>
  <c r="BI846" i="20"/>
  <c r="BI847" i="20"/>
  <c r="BI848" i="20"/>
  <c r="BI849" i="20"/>
  <c r="BI850" i="20"/>
  <c r="BI851" i="20"/>
  <c r="BI852" i="20"/>
  <c r="BI853" i="20"/>
  <c r="BI854" i="20"/>
  <c r="BI855" i="20"/>
  <c r="BI856" i="20"/>
  <c r="BI857" i="20"/>
  <c r="BI858" i="20"/>
  <c r="BI859" i="20"/>
  <c r="BI860" i="20"/>
  <c r="BI861" i="20"/>
  <c r="BI862" i="20"/>
  <c r="BI863" i="20"/>
  <c r="BI864" i="20"/>
  <c r="BI865" i="20"/>
  <c r="BI866" i="20"/>
  <c r="BI867" i="20"/>
  <c r="BI868" i="20"/>
  <c r="BI869" i="20"/>
  <c r="BI870" i="20"/>
  <c r="BI871" i="20"/>
  <c r="BI872" i="20"/>
  <c r="BI873" i="20"/>
  <c r="BI874" i="20"/>
  <c r="BI875" i="20"/>
  <c r="BI876" i="20"/>
  <c r="BI877" i="20"/>
  <c r="BI878" i="20"/>
  <c r="BI879" i="20"/>
  <c r="BI880" i="20"/>
  <c r="BI881" i="20"/>
  <c r="BI882" i="20"/>
  <c r="BI883" i="20"/>
  <c r="BI884" i="20"/>
  <c r="BI885" i="20"/>
  <c r="BI886" i="20"/>
  <c r="BI887" i="20"/>
  <c r="BI888" i="20"/>
  <c r="BI889" i="20"/>
  <c r="BI890" i="20"/>
  <c r="BI891" i="20"/>
  <c r="BI892" i="20"/>
  <c r="BI893" i="20"/>
  <c r="BI894" i="20"/>
  <c r="BI895" i="20"/>
  <c r="BI896" i="20"/>
  <c r="BI897" i="20"/>
  <c r="BI898" i="20"/>
  <c r="BI899" i="20"/>
  <c r="BI900" i="20"/>
  <c r="BI901" i="20"/>
  <c r="BI902" i="20"/>
  <c r="BI903" i="20"/>
  <c r="BI904" i="20"/>
  <c r="BI905" i="20"/>
  <c r="BI906" i="20"/>
  <c r="BI907" i="20"/>
  <c r="BI908" i="20"/>
  <c r="BI909" i="20"/>
  <c r="BI910" i="20"/>
  <c r="BI911" i="20"/>
  <c r="BI912" i="20"/>
  <c r="BI913" i="20"/>
  <c r="BI914" i="20"/>
  <c r="BI915" i="20"/>
  <c r="BI916" i="20"/>
  <c r="BI917" i="20"/>
  <c r="BI918" i="20"/>
  <c r="BI919" i="20"/>
  <c r="BI920" i="20"/>
  <c r="BI921" i="20"/>
  <c r="BI922" i="20"/>
  <c r="BI923" i="20"/>
  <c r="BI924" i="20"/>
  <c r="BI925" i="20"/>
  <c r="BI926" i="20"/>
  <c r="BI927" i="20"/>
  <c r="BI928" i="20"/>
  <c r="BI929" i="20"/>
  <c r="BI930" i="20"/>
  <c r="BI931" i="20"/>
  <c r="BI932" i="20"/>
  <c r="BI933" i="20"/>
  <c r="BI934" i="20"/>
  <c r="BI935" i="20"/>
  <c r="BI936" i="20"/>
  <c r="BI937" i="20"/>
  <c r="BI938" i="20"/>
  <c r="BI939" i="20"/>
  <c r="BI940" i="20"/>
  <c r="BI941" i="20"/>
  <c r="BI942" i="20"/>
  <c r="BI943" i="20"/>
  <c r="BI944" i="20"/>
  <c r="BI945" i="20"/>
  <c r="BI946" i="20"/>
  <c r="BI947" i="20"/>
  <c r="BI948" i="20"/>
  <c r="BI949" i="20"/>
  <c r="BI950" i="20"/>
  <c r="BI951" i="20"/>
  <c r="BI952" i="20"/>
  <c r="BI953" i="20"/>
  <c r="BI954" i="20"/>
  <c r="BI955" i="20"/>
  <c r="BI956" i="20"/>
  <c r="BI957" i="20"/>
  <c r="BI958" i="20"/>
  <c r="BI959" i="20"/>
  <c r="BI960" i="20"/>
  <c r="BI961" i="20"/>
  <c r="BI962" i="20"/>
  <c r="BI963" i="20"/>
  <c r="BI964" i="20"/>
  <c r="BI965" i="20"/>
  <c r="BI966" i="20"/>
  <c r="BI967" i="20"/>
  <c r="BI968" i="20"/>
  <c r="BI969" i="20"/>
  <c r="BI970" i="20"/>
  <c r="BI971" i="20"/>
  <c r="BI972" i="20"/>
  <c r="BI973" i="20"/>
  <c r="BI974" i="20"/>
  <c r="BI975" i="20"/>
  <c r="BI976" i="20"/>
  <c r="BI977" i="20"/>
  <c r="BI978" i="20"/>
  <c r="BI979" i="20"/>
  <c r="BI980" i="20"/>
  <c r="BI981" i="20"/>
  <c r="BI982" i="20"/>
  <c r="BI983" i="20"/>
  <c r="BI984" i="20"/>
  <c r="BI985" i="20"/>
  <c r="BI986" i="20"/>
  <c r="BI987" i="20"/>
  <c r="BI988" i="20"/>
  <c r="BI989" i="20"/>
  <c r="BI990" i="20"/>
  <c r="BI991" i="20"/>
  <c r="BI992" i="20"/>
  <c r="BI993" i="20"/>
  <c r="BI994" i="20"/>
  <c r="BI995" i="20"/>
  <c r="BI996" i="20"/>
  <c r="BI997" i="20"/>
  <c r="BI998" i="20"/>
  <c r="BI999" i="20"/>
  <c r="BI1000" i="20"/>
  <c r="BI1001" i="20"/>
  <c r="BI1002" i="20"/>
  <c r="BI1003" i="20"/>
  <c r="BI1004" i="20"/>
  <c r="BI1005" i="20"/>
  <c r="BI1006" i="20"/>
  <c r="BI1007" i="20"/>
  <c r="BI1008" i="20"/>
  <c r="BI1009" i="20"/>
  <c r="BI1010" i="20"/>
  <c r="BI1011" i="20"/>
  <c r="BI1012" i="20"/>
  <c r="BI1013" i="20"/>
  <c r="BI1014" i="20"/>
  <c r="BI1015" i="20"/>
  <c r="BI1016" i="20"/>
  <c r="BI1017" i="20"/>
  <c r="BI1018" i="20"/>
  <c r="BI1019" i="20"/>
  <c r="BI1020" i="20"/>
  <c r="BI1021" i="20"/>
  <c r="BI1022" i="20"/>
  <c r="BI1023" i="20"/>
  <c r="BI1024" i="20"/>
  <c r="BI1025" i="20"/>
  <c r="BI1026" i="20"/>
  <c r="BI1027" i="20"/>
  <c r="BI1028" i="20"/>
  <c r="BI1029" i="20"/>
  <c r="BI1030" i="20"/>
  <c r="BI1031" i="20"/>
  <c r="BI1032" i="20"/>
  <c r="BI1033" i="20"/>
  <c r="BI1034" i="20"/>
  <c r="BI1035" i="20"/>
  <c r="BI1036" i="20"/>
  <c r="BI1037" i="20"/>
  <c r="BI1038" i="20"/>
  <c r="BI1039" i="20"/>
  <c r="BI1040" i="20"/>
  <c r="BI1041" i="20"/>
  <c r="BI1042" i="20"/>
  <c r="BI1043" i="20"/>
  <c r="BI1044" i="20"/>
  <c r="BI1045" i="20"/>
  <c r="BI1046" i="20"/>
  <c r="BI1047" i="20"/>
  <c r="BI1048" i="20"/>
  <c r="BI1049" i="20"/>
  <c r="BI1050" i="20"/>
  <c r="BI1051" i="20"/>
  <c r="BI1052" i="20"/>
  <c r="BI1053" i="20"/>
  <c r="BI1054" i="20"/>
  <c r="BI1055" i="20"/>
  <c r="BI1056" i="20"/>
  <c r="BI1057" i="20"/>
  <c r="BI1058" i="20"/>
  <c r="BI1059" i="20"/>
  <c r="BI1060" i="20"/>
  <c r="BI1061" i="20"/>
  <c r="BI1062" i="20"/>
  <c r="BI1063" i="20"/>
  <c r="BI1064" i="20"/>
  <c r="BI1065" i="20"/>
  <c r="BI1066" i="20"/>
  <c r="BI1067" i="20"/>
  <c r="BI1068" i="20"/>
  <c r="BI1069" i="20"/>
  <c r="BI1070" i="20"/>
  <c r="BI1071" i="20"/>
  <c r="BI1072" i="20"/>
  <c r="BI1073" i="20"/>
  <c r="BI1074" i="20"/>
  <c r="BI1075" i="20"/>
  <c r="BI1076" i="20"/>
  <c r="BI1077" i="20"/>
  <c r="BI1078" i="20"/>
  <c r="BI1079" i="20"/>
  <c r="BI1080" i="20"/>
  <c r="BI1081" i="20"/>
  <c r="BI1082" i="20"/>
  <c r="BI1083" i="20"/>
  <c r="BI1084" i="20"/>
  <c r="BI1085" i="20"/>
  <c r="BI1086" i="20"/>
  <c r="BI1087" i="20"/>
  <c r="BI1088" i="20"/>
  <c r="BI1089" i="20"/>
  <c r="BI1090" i="20"/>
  <c r="BI1091" i="20"/>
  <c r="BI1092" i="20"/>
  <c r="BI1093" i="20"/>
  <c r="BI1094" i="20"/>
  <c r="BI1095" i="20"/>
  <c r="BI1096" i="20"/>
  <c r="BI1097" i="20"/>
  <c r="BI1098" i="20"/>
  <c r="BI1099" i="20"/>
  <c r="BI1100" i="20"/>
  <c r="BI1101" i="20"/>
  <c r="BI1102" i="20"/>
  <c r="BI1103" i="20"/>
  <c r="BI1104" i="20"/>
  <c r="BI1105" i="20"/>
  <c r="BI1106" i="20"/>
  <c r="BI1107" i="20"/>
  <c r="BI1108" i="20"/>
  <c r="BI1109" i="20"/>
  <c r="BI1110" i="20"/>
  <c r="BI1111" i="20"/>
  <c r="BI1112" i="20"/>
  <c r="BI1113" i="20"/>
  <c r="BI1114" i="20"/>
  <c r="BI1115" i="20"/>
  <c r="BI1116" i="20"/>
  <c r="BI1117" i="20"/>
  <c r="BI1118" i="20"/>
  <c r="BI1119" i="20"/>
  <c r="BI1120" i="20"/>
  <c r="BI1121" i="20"/>
  <c r="BI1122" i="20"/>
  <c r="BI1123" i="20"/>
  <c r="BI1124" i="20"/>
  <c r="BI1125" i="20"/>
  <c r="BI1126" i="20"/>
  <c r="BI1127" i="20"/>
  <c r="BI1128" i="20"/>
  <c r="BI1129" i="20"/>
  <c r="BI1130" i="20"/>
  <c r="BI1131" i="20"/>
  <c r="BI1132" i="20"/>
  <c r="BI1133" i="20"/>
  <c r="BI1134" i="20"/>
  <c r="BI1135" i="20"/>
  <c r="BI1136" i="20"/>
  <c r="BI1137" i="20"/>
  <c r="BI1138" i="20"/>
  <c r="BI1139" i="20"/>
  <c r="BI1140" i="20"/>
  <c r="BI1141" i="20"/>
  <c r="BI1142" i="20"/>
  <c r="BI1143" i="20"/>
  <c r="BI1144" i="20"/>
  <c r="BI1145" i="20"/>
  <c r="BI1146" i="20"/>
  <c r="BI1147" i="20"/>
  <c r="BI1148" i="20"/>
  <c r="BI1149" i="20"/>
  <c r="BI1150" i="20"/>
  <c r="BI1151" i="20"/>
  <c r="BI1152" i="20"/>
  <c r="BI1153" i="20"/>
  <c r="BI1154" i="20"/>
  <c r="BI1155" i="20"/>
  <c r="BI1156" i="20"/>
  <c r="BI1157" i="20"/>
  <c r="BI1158" i="20"/>
  <c r="BI1159" i="20"/>
  <c r="BI1160" i="20"/>
  <c r="BI1161" i="20"/>
  <c r="BI1162" i="20"/>
  <c r="BI1163" i="20"/>
  <c r="BI1164" i="20"/>
  <c r="BI1165" i="20"/>
  <c r="BI1166" i="20"/>
  <c r="BI1167" i="20"/>
  <c r="BI1168" i="20"/>
  <c r="BI1169" i="20"/>
  <c r="BI1170" i="20"/>
  <c r="BI1171" i="20"/>
  <c r="BI1172" i="20"/>
  <c r="BI1173" i="20"/>
  <c r="BI1174" i="20"/>
  <c r="BI1175" i="20"/>
  <c r="BI1176" i="20"/>
  <c r="BI1177" i="20"/>
  <c r="BI1178" i="20"/>
  <c r="BI1179" i="20"/>
  <c r="BI6" i="20"/>
  <c r="BI7" i="20"/>
  <c r="BI8" i="20"/>
  <c r="BH1261" i="20"/>
  <c r="BH1262" i="20"/>
  <c r="BH1263" i="20"/>
  <c r="BH1264" i="20"/>
  <c r="BH1265" i="20"/>
  <c r="BH1266" i="20"/>
  <c r="BH1267" i="20"/>
  <c r="BH1268" i="20"/>
  <c r="BH1269" i="20"/>
  <c r="BH1270" i="20"/>
  <c r="BH1271" i="20"/>
  <c r="BH1272" i="20"/>
  <c r="BH1273" i="20"/>
  <c r="BH1274" i="20"/>
  <c r="BH1275" i="20"/>
  <c r="BH1276" i="20"/>
  <c r="BH1277" i="20"/>
  <c r="BH1278" i="20"/>
  <c r="BH1279" i="20"/>
  <c r="BH1280" i="20"/>
  <c r="BH1281" i="20"/>
  <c r="BH1282" i="20"/>
  <c r="BH1283" i="20"/>
  <c r="BH1284" i="20"/>
  <c r="BH1285" i="20"/>
  <c r="BH1286" i="20"/>
  <c r="BH1287" i="20"/>
  <c r="BH1288" i="20"/>
  <c r="BH1289" i="20"/>
  <c r="BH1290" i="20"/>
  <c r="BH1291" i="20"/>
  <c r="BH1292" i="20"/>
  <c r="BH1293" i="20"/>
  <c r="BH1294" i="20"/>
  <c r="BH1295" i="20"/>
  <c r="BH1296" i="20"/>
  <c r="BH1297" i="20"/>
  <c r="BH1298" i="20"/>
  <c r="BH1299" i="20"/>
  <c r="BH1300" i="20"/>
  <c r="BH1301" i="20"/>
  <c r="BH1302" i="20"/>
  <c r="BH1303" i="20"/>
  <c r="BH1304" i="20"/>
  <c r="BH1305" i="20"/>
  <c r="BH1306" i="20"/>
  <c r="BH1307" i="20"/>
  <c r="BH1308" i="20"/>
  <c r="BH1309" i="20"/>
  <c r="BH1310" i="20"/>
  <c r="BH1311" i="20"/>
  <c r="BH1312" i="20"/>
  <c r="BH1313" i="20"/>
  <c r="BH1314" i="20"/>
  <c r="BH1315" i="20"/>
  <c r="BH1316" i="20"/>
  <c r="BH1317" i="20"/>
  <c r="BH1318" i="20"/>
  <c r="BH1319" i="20"/>
  <c r="BH1320" i="20"/>
  <c r="BH1321" i="20"/>
  <c r="BH1322" i="20"/>
  <c r="BH1323" i="20"/>
  <c r="BH1324" i="20"/>
  <c r="BH1325" i="20"/>
  <c r="BH1326" i="20"/>
  <c r="BH1327" i="20"/>
  <c r="BH1328" i="20"/>
  <c r="BH1329" i="20"/>
  <c r="BH1330" i="20"/>
  <c r="BH1331" i="20"/>
  <c r="BH1332" i="20"/>
  <c r="BH1333" i="20"/>
  <c r="BH1334" i="20"/>
  <c r="BH1335" i="20"/>
  <c r="BH1336" i="20"/>
  <c r="BH1337" i="20"/>
  <c r="BH1338" i="20"/>
  <c r="BH1339" i="20"/>
  <c r="BH1340" i="20"/>
  <c r="BH1341" i="20"/>
  <c r="BH1342" i="20"/>
  <c r="BH1343" i="20"/>
  <c r="BH1344" i="20"/>
  <c r="BH1345" i="20"/>
  <c r="BH1346" i="20"/>
  <c r="BH1347" i="20"/>
  <c r="BH1348" i="20"/>
  <c r="BH1349" i="20"/>
  <c r="BH1350" i="20"/>
  <c r="BH1351" i="20"/>
  <c r="BH1352" i="20"/>
  <c r="BH1353" i="20"/>
  <c r="BH1354" i="20"/>
  <c r="BH1355" i="20"/>
  <c r="BH1356" i="20"/>
  <c r="BH1357" i="20"/>
  <c r="BH1358" i="20"/>
  <c r="BH1359" i="20"/>
  <c r="BH1360" i="20"/>
  <c r="BH1361" i="20"/>
  <c r="BH1362" i="20"/>
  <c r="BH1363" i="20"/>
  <c r="BH1364" i="20"/>
  <c r="BH1365" i="20"/>
  <c r="BH1366" i="20"/>
  <c r="BH1367" i="20"/>
  <c r="BH1368" i="20"/>
  <c r="BH1369" i="20"/>
  <c r="BH1370" i="20"/>
  <c r="BH1371" i="20"/>
  <c r="BH1372" i="20"/>
  <c r="BH1373" i="20"/>
  <c r="BH1374" i="20"/>
  <c r="BH1375" i="20"/>
  <c r="BH1376" i="20"/>
  <c r="BH1377" i="20"/>
  <c r="BH1378" i="20"/>
  <c r="BH1379" i="20"/>
  <c r="BH1380" i="20"/>
  <c r="BH1381" i="20"/>
  <c r="BH1382" i="20"/>
  <c r="BH1383" i="20"/>
  <c r="BH1384" i="20"/>
  <c r="BH1385" i="20"/>
  <c r="BH1386" i="20"/>
  <c r="BH1387" i="20"/>
  <c r="BH1388" i="20"/>
  <c r="BH1389" i="20"/>
  <c r="BH1390" i="20"/>
  <c r="BH1391" i="20"/>
  <c r="BH1392" i="20"/>
  <c r="BH1393" i="20"/>
  <c r="BH1394" i="20"/>
  <c r="BH1395" i="20"/>
  <c r="BH1396" i="20"/>
  <c r="BH1397" i="20"/>
  <c r="BH1398" i="20"/>
  <c r="BH1399" i="20"/>
  <c r="BH1400" i="20"/>
  <c r="BH1401" i="20"/>
  <c r="BH1402" i="20"/>
  <c r="BH1403" i="20"/>
  <c r="BH1404" i="20"/>
  <c r="BH1405" i="20"/>
  <c r="BH1406" i="20"/>
  <c r="BH1407" i="20"/>
  <c r="BH1408" i="20"/>
  <c r="BH1409" i="20"/>
  <c r="BH1410" i="20"/>
  <c r="BH1411" i="20"/>
  <c r="BH1412" i="20"/>
  <c r="BH1413" i="20"/>
  <c r="BH1414" i="20"/>
  <c r="BH1415" i="20"/>
  <c r="BH1416" i="20"/>
  <c r="BH1417" i="20"/>
  <c r="BH1418" i="20"/>
  <c r="BH1419" i="20"/>
  <c r="BH1420" i="20"/>
  <c r="BH1421" i="20"/>
  <c r="BH1422" i="20"/>
  <c r="BH1423" i="20"/>
  <c r="BH1424" i="20"/>
  <c r="BH1425" i="20"/>
  <c r="BH1426" i="20"/>
  <c r="BH1427" i="20"/>
  <c r="BH1428" i="20"/>
  <c r="BH1429" i="20"/>
  <c r="BH1430" i="20"/>
  <c r="BH1431" i="20"/>
  <c r="BH1432" i="20"/>
  <c r="BH1433" i="20"/>
  <c r="BH1434" i="20"/>
  <c r="BH1435" i="20"/>
  <c r="BH1436" i="20"/>
  <c r="BH1437" i="20"/>
  <c r="BH1438" i="20"/>
  <c r="BH1439" i="20"/>
  <c r="BH1440" i="20"/>
  <c r="BH1441" i="20"/>
  <c r="BH1442" i="20"/>
  <c r="BH1443" i="20"/>
  <c r="BH1444" i="20"/>
  <c r="BH1445" i="20"/>
  <c r="BH1446" i="20"/>
  <c r="BH1447" i="20"/>
  <c r="BH1448" i="20"/>
  <c r="BH1449" i="20"/>
  <c r="BH1450" i="20"/>
  <c r="BH1451" i="20"/>
  <c r="BH1452" i="20"/>
  <c r="BH1453" i="20"/>
  <c r="BH1454" i="20"/>
  <c r="BH1455" i="20"/>
  <c r="BH1456" i="20"/>
  <c r="BH1457" i="20"/>
  <c r="BH1458" i="20"/>
  <c r="BH1459" i="20"/>
  <c r="BH1460" i="20"/>
  <c r="BH1461" i="20"/>
  <c r="BH1462" i="20"/>
  <c r="BH1463" i="20"/>
  <c r="BH1464" i="20"/>
  <c r="BH1465" i="20"/>
  <c r="BH1466" i="20"/>
  <c r="BH1467" i="20"/>
  <c r="BH1468" i="20"/>
  <c r="BH1469" i="20"/>
  <c r="BH1470" i="20"/>
  <c r="BH1471" i="20"/>
  <c r="BH1472" i="20"/>
  <c r="BH1473" i="20"/>
  <c r="BH1474" i="20"/>
  <c r="BH1475" i="20"/>
  <c r="BH1476" i="20"/>
  <c r="BH1477" i="20"/>
  <c r="BH1478" i="20"/>
  <c r="BH1479" i="20"/>
  <c r="BH1480" i="20"/>
  <c r="BH1481" i="20"/>
  <c r="BH1482" i="20"/>
  <c r="BH1483" i="20"/>
  <c r="BH1484" i="20"/>
  <c r="BH1485" i="20"/>
  <c r="BH1486" i="20"/>
  <c r="BH1487" i="20"/>
  <c r="BH1488" i="20"/>
  <c r="BH1489" i="20"/>
  <c r="BH1490" i="20"/>
  <c r="BH1491" i="20"/>
  <c r="BH1492" i="20"/>
  <c r="BH1493" i="20"/>
  <c r="BH1494" i="20"/>
  <c r="BH1495" i="20"/>
  <c r="BH1496" i="20"/>
  <c r="BH1497" i="20"/>
  <c r="BH1498" i="20"/>
  <c r="BH1499" i="20"/>
  <c r="BH1500" i="20"/>
  <c r="BH1501" i="20"/>
  <c r="BH1502" i="20"/>
  <c r="BH1503" i="20"/>
  <c r="BH1504" i="20"/>
  <c r="BH1505" i="20"/>
  <c r="BH1506" i="20"/>
  <c r="BH1507" i="20"/>
  <c r="BH1508" i="20"/>
  <c r="BH1509" i="20"/>
  <c r="BH1510" i="20"/>
  <c r="BH1511" i="20"/>
  <c r="BH1512" i="20"/>
  <c r="BH1513" i="20"/>
  <c r="BH1514" i="20"/>
  <c r="BH1515" i="20"/>
  <c r="BH1516" i="20"/>
  <c r="BH1517" i="20"/>
  <c r="BH1518" i="20"/>
  <c r="BH1519" i="20"/>
  <c r="BH1520" i="20"/>
  <c r="BH1521" i="20"/>
  <c r="BH1522" i="20"/>
  <c r="BH1523" i="20"/>
  <c r="BH1524" i="20"/>
  <c r="BH1525" i="20"/>
  <c r="BH1526" i="20"/>
  <c r="BH1527" i="20"/>
  <c r="BH1528" i="20"/>
  <c r="BH1529" i="20"/>
  <c r="BH1530" i="20"/>
  <c r="BH1531" i="20"/>
  <c r="BH1532" i="20"/>
  <c r="BH1533" i="20"/>
  <c r="BH1534" i="20"/>
  <c r="BH1535" i="20"/>
  <c r="BH1536" i="20"/>
  <c r="BH1537" i="20"/>
  <c r="BH1538" i="20"/>
  <c r="BH1539" i="20"/>
  <c r="BH1540" i="20"/>
  <c r="BH1541" i="20"/>
  <c r="BH1542" i="20"/>
  <c r="BH1543" i="20"/>
  <c r="BH1544" i="20"/>
  <c r="BH1545" i="20"/>
  <c r="BH1546" i="20"/>
  <c r="BH1547" i="20"/>
  <c r="BH1548" i="20"/>
  <c r="BH1549" i="20"/>
  <c r="BH1550" i="20"/>
  <c r="BH1551" i="20"/>
  <c r="BH1552" i="20"/>
  <c r="BH1553" i="20"/>
  <c r="BH1554" i="20"/>
  <c r="BH1555" i="20"/>
  <c r="BH1556" i="20"/>
  <c r="BH1557" i="20"/>
  <c r="BH1558" i="20"/>
  <c r="BH1559" i="20"/>
  <c r="BH1560" i="20"/>
  <c r="BH1561" i="20"/>
  <c r="BH1562" i="20"/>
  <c r="BH1563" i="20"/>
  <c r="BH1564" i="20"/>
  <c r="BH1565" i="20"/>
  <c r="BH1566" i="20"/>
  <c r="BH1567" i="20"/>
  <c r="BH1568" i="20"/>
  <c r="BH1569" i="20"/>
  <c r="BH1570" i="20"/>
  <c r="BH1571" i="20"/>
  <c r="BH1572" i="20"/>
  <c r="BH1573" i="20"/>
  <c r="BH1574" i="20"/>
  <c r="BH1575" i="20"/>
  <c r="BH1576" i="20"/>
  <c r="BH1577" i="20"/>
  <c r="BH1578" i="20"/>
  <c r="BH1579" i="20"/>
  <c r="BH1580" i="20"/>
  <c r="BH1581" i="20"/>
  <c r="BH1582" i="20"/>
  <c r="BH1583" i="20"/>
  <c r="BH1584" i="20"/>
  <c r="BH1585" i="20"/>
  <c r="BH1586" i="20"/>
  <c r="BH1587" i="20"/>
  <c r="BH1588" i="20"/>
  <c r="BH1589" i="20"/>
  <c r="BH1590" i="20"/>
  <c r="BH1591" i="20"/>
  <c r="BH1592" i="20"/>
  <c r="BH1593" i="20"/>
  <c r="BH1594" i="20"/>
  <c r="BH1595" i="20"/>
  <c r="BH1596" i="20"/>
  <c r="BH1597" i="20"/>
  <c r="BH1598" i="20"/>
  <c r="BH1599" i="20"/>
  <c r="BH1600" i="20"/>
  <c r="BH1601" i="20"/>
  <c r="BH1602" i="20"/>
  <c r="BH1603" i="20"/>
  <c r="BH1604" i="20"/>
  <c r="BH1605" i="20"/>
  <c r="BH1606" i="20"/>
  <c r="BH1607" i="20"/>
  <c r="BH1608" i="20"/>
  <c r="BH1609" i="20"/>
  <c r="BH1610" i="20"/>
  <c r="BH1611" i="20"/>
  <c r="BH1612" i="20"/>
  <c r="BH1613" i="20"/>
  <c r="BH1614" i="20"/>
  <c r="BH1615" i="20"/>
  <c r="BH1616" i="20"/>
  <c r="BH1617" i="20"/>
  <c r="BH1618" i="20"/>
  <c r="BH1619" i="20"/>
  <c r="BH1620" i="20"/>
  <c r="BH1621" i="20"/>
  <c r="BH1622" i="20"/>
  <c r="BH1623" i="20"/>
  <c r="BH1624" i="20"/>
  <c r="BH1625" i="20"/>
  <c r="BH1626" i="20"/>
  <c r="BH1627" i="20"/>
  <c r="BH1628" i="20"/>
  <c r="BH1629" i="20"/>
  <c r="BH1630" i="20"/>
  <c r="BH1631" i="20"/>
  <c r="BH1632" i="20"/>
  <c r="BH1633" i="20"/>
  <c r="BH1634" i="20"/>
  <c r="BH1635" i="20"/>
  <c r="BH1636" i="20"/>
  <c r="BH1637" i="20"/>
  <c r="BH1638" i="20"/>
  <c r="BH1639" i="20"/>
  <c r="BH1640" i="20"/>
  <c r="BH1641" i="20"/>
  <c r="BH1642" i="20"/>
  <c r="BH1643" i="20"/>
  <c r="BH1644" i="20"/>
  <c r="BH1645" i="20"/>
  <c r="BH1646" i="20"/>
  <c r="BH1647" i="20"/>
  <c r="BH1648" i="20"/>
  <c r="BH1649" i="20"/>
  <c r="BH1650" i="20"/>
  <c r="BH1651" i="20"/>
  <c r="BH1652" i="20"/>
  <c r="BH1653" i="20"/>
  <c r="BH1654" i="20"/>
  <c r="BH1655" i="20"/>
  <c r="BH1656" i="20"/>
  <c r="BH1657" i="20"/>
  <c r="BH1658" i="20"/>
  <c r="BH1659" i="20"/>
  <c r="BH1660" i="20"/>
  <c r="BH1661" i="20"/>
  <c r="BH1662" i="20"/>
  <c r="BH1663" i="20"/>
  <c r="BH1664" i="20"/>
  <c r="BH1665" i="20"/>
  <c r="BH1666" i="20"/>
  <c r="BH1667" i="20"/>
  <c r="BH1668" i="20"/>
  <c r="BH1669" i="20"/>
  <c r="BH1670" i="20"/>
  <c r="BH1671" i="20"/>
  <c r="BH1672" i="20"/>
  <c r="BH1673" i="20"/>
  <c r="BH1674" i="20"/>
  <c r="BH1675" i="20"/>
  <c r="BH1676" i="20"/>
  <c r="BH1677" i="20"/>
  <c r="BH1678" i="20"/>
  <c r="BH1679" i="20"/>
  <c r="BH1680" i="20"/>
  <c r="BH1681" i="20"/>
  <c r="BH1682" i="20"/>
  <c r="BH1683" i="20"/>
  <c r="BH1684" i="20"/>
  <c r="BH1685" i="20"/>
  <c r="BH1686" i="20"/>
  <c r="BH1687" i="20"/>
  <c r="BH1688" i="20"/>
  <c r="BH1689" i="20"/>
  <c r="BH1690" i="20"/>
  <c r="BH1691" i="20"/>
  <c r="BH1692" i="20"/>
  <c r="BH1693" i="20"/>
  <c r="BH1694" i="20"/>
  <c r="BH1695" i="20"/>
  <c r="BH1696" i="20"/>
  <c r="BH1697" i="20"/>
  <c r="BH1698" i="20"/>
  <c r="BH1699" i="20"/>
  <c r="BH1700" i="20"/>
  <c r="BH1701" i="20"/>
  <c r="BH1702" i="20"/>
  <c r="BH1703" i="20"/>
  <c r="BH1704" i="20"/>
  <c r="BH1705" i="20"/>
  <c r="BH1706" i="20"/>
  <c r="BH1707" i="20"/>
  <c r="BH1708" i="20"/>
  <c r="BH1709" i="20"/>
  <c r="BH1710" i="20"/>
  <c r="BH1711" i="20"/>
  <c r="BH1712" i="20"/>
  <c r="BH1713" i="20"/>
  <c r="BH1714" i="20"/>
  <c r="BH1715" i="20"/>
  <c r="BH1716" i="20"/>
  <c r="BH1717" i="20"/>
  <c r="BH1718" i="20"/>
  <c r="BH1719" i="20"/>
  <c r="BH1720" i="20"/>
  <c r="BH1721" i="20"/>
  <c r="BH1722" i="20"/>
  <c r="BH1723" i="20"/>
  <c r="BH1724" i="20"/>
  <c r="BH1725" i="20"/>
  <c r="BH1726" i="20"/>
  <c r="BH1727" i="20"/>
  <c r="BH1728" i="20"/>
  <c r="BH1729" i="20"/>
  <c r="BH1730" i="20"/>
  <c r="BH1731" i="20"/>
  <c r="BH1732" i="20"/>
  <c r="BH1733" i="20"/>
  <c r="BH1734" i="20"/>
  <c r="BH1735" i="20"/>
  <c r="BH1736" i="20"/>
  <c r="BH1737" i="20"/>
  <c r="BH1738" i="20"/>
  <c r="BH1739" i="20"/>
  <c r="BH1740" i="20"/>
  <c r="BH1741" i="20"/>
  <c r="BH1742" i="20"/>
  <c r="BH1743" i="20"/>
  <c r="BH1744" i="20"/>
  <c r="BH1745" i="20"/>
  <c r="BH1746" i="20"/>
  <c r="BH1747" i="20"/>
  <c r="BH1748" i="20"/>
  <c r="BH1749" i="20"/>
  <c r="BH1750" i="20"/>
  <c r="BH1751" i="20"/>
  <c r="BH1752" i="20"/>
  <c r="BH1753" i="20"/>
  <c r="BH1754" i="20"/>
  <c r="AR148" i="20"/>
  <c r="AR6" i="20"/>
  <c r="AR7" i="20"/>
  <c r="AR8" i="20"/>
  <c r="AR9" i="20"/>
  <c r="AR10" i="20"/>
  <c r="AR11" i="20"/>
  <c r="AR12" i="20"/>
  <c r="AR13" i="20"/>
  <c r="AR14" i="20"/>
  <c r="AR15" i="20"/>
  <c r="AR16" i="20"/>
  <c r="AR17" i="20"/>
  <c r="AR18" i="20"/>
  <c r="AR19" i="20"/>
  <c r="AR20" i="20"/>
  <c r="AR21" i="20"/>
  <c r="AR22" i="20"/>
  <c r="AR23" i="20"/>
  <c r="AR24" i="20"/>
  <c r="AR25" i="20"/>
  <c r="AR26" i="20"/>
  <c r="AR27" i="20"/>
  <c r="AR28" i="20"/>
  <c r="AR29" i="20"/>
  <c r="AR30" i="20"/>
  <c r="AR31" i="20"/>
  <c r="AR32" i="20"/>
  <c r="AR33" i="20"/>
  <c r="AR34" i="20"/>
  <c r="AR35" i="20"/>
  <c r="AR36" i="20"/>
  <c r="AR37" i="20"/>
  <c r="AR38" i="20"/>
  <c r="AR39" i="20"/>
  <c r="AR40" i="20"/>
  <c r="AR41" i="20"/>
  <c r="AR42" i="20"/>
  <c r="AR43" i="20"/>
  <c r="AR44" i="20"/>
  <c r="AR45" i="20"/>
  <c r="AR46" i="20"/>
  <c r="AR47" i="20"/>
  <c r="AR48" i="20"/>
  <c r="AR49" i="20"/>
  <c r="AR50" i="20"/>
  <c r="AR51" i="20"/>
  <c r="AR52" i="20"/>
  <c r="AR53" i="20"/>
  <c r="AR54" i="20"/>
  <c r="AR55" i="20"/>
  <c r="AR56" i="20"/>
  <c r="AR57" i="20"/>
  <c r="AR58" i="20"/>
  <c r="AR59" i="20"/>
  <c r="AR60" i="20"/>
  <c r="AR61" i="20"/>
  <c r="AR62" i="20"/>
  <c r="AR63" i="20"/>
  <c r="AR64" i="20"/>
  <c r="AR65" i="20"/>
  <c r="AR66" i="20"/>
  <c r="AR67" i="20"/>
  <c r="AR68" i="20"/>
  <c r="AR69" i="20"/>
  <c r="AR70" i="20"/>
  <c r="AR71" i="20"/>
  <c r="AR72" i="20"/>
  <c r="AR73" i="20"/>
  <c r="AR74" i="20"/>
  <c r="AR75" i="20"/>
  <c r="AR76" i="20"/>
  <c r="AR77" i="20"/>
  <c r="AR78" i="20"/>
  <c r="AR79" i="20"/>
  <c r="AR80" i="20"/>
  <c r="AR81" i="20"/>
  <c r="AR82" i="20"/>
  <c r="AR83" i="20"/>
  <c r="AR84" i="20"/>
  <c r="AR85" i="20"/>
  <c r="AR86" i="20"/>
  <c r="AR87" i="20"/>
  <c r="AR88" i="20"/>
  <c r="AR89" i="20"/>
  <c r="AR90" i="20"/>
  <c r="AR91" i="20"/>
  <c r="AR92" i="20"/>
  <c r="AR93" i="20"/>
  <c r="AR94" i="20"/>
  <c r="AR95" i="20"/>
  <c r="AR96" i="20"/>
  <c r="AR97" i="20"/>
  <c r="AR98" i="20"/>
  <c r="AR99" i="20"/>
  <c r="AR100" i="20"/>
  <c r="AR101" i="20"/>
  <c r="AR102" i="20"/>
  <c r="AR103" i="20"/>
  <c r="AR104" i="20"/>
  <c r="AR105" i="20"/>
  <c r="AR106" i="20"/>
  <c r="AR107" i="20"/>
  <c r="AR108" i="20"/>
  <c r="AR109" i="20"/>
  <c r="AR110" i="20"/>
  <c r="AR111" i="20"/>
  <c r="AR112" i="20"/>
  <c r="AR113" i="20"/>
  <c r="AR114" i="20"/>
  <c r="AR115" i="20"/>
  <c r="AR116" i="20"/>
  <c r="AR117" i="20"/>
  <c r="AR118" i="20"/>
  <c r="AR119" i="20"/>
  <c r="AR120" i="20"/>
  <c r="AR121" i="20"/>
  <c r="AR122" i="20"/>
  <c r="AR123" i="20"/>
  <c r="AR124" i="20"/>
  <c r="AR125" i="20"/>
  <c r="AR126" i="20"/>
  <c r="AR127" i="20"/>
  <c r="AR128" i="20"/>
  <c r="AR129" i="20"/>
  <c r="AR130" i="20"/>
  <c r="AR131" i="20"/>
  <c r="AR132" i="20"/>
  <c r="AR133" i="20"/>
  <c r="AR134" i="20"/>
  <c r="AR135" i="20"/>
  <c r="AR136" i="20"/>
  <c r="AR137" i="20"/>
  <c r="AR138" i="20"/>
  <c r="AR139" i="20"/>
  <c r="AR140" i="20"/>
  <c r="AR141" i="20"/>
  <c r="AR142" i="20"/>
  <c r="AR143" i="20"/>
  <c r="AR144" i="20"/>
  <c r="AR145" i="20"/>
  <c r="AR146" i="20"/>
  <c r="AR147" i="20"/>
  <c r="AR149" i="20"/>
  <c r="AR150" i="20"/>
  <c r="AR151" i="20"/>
  <c r="AR152" i="20"/>
  <c r="AR153" i="20"/>
  <c r="AR154" i="20"/>
  <c r="AR155" i="20"/>
  <c r="AR156" i="20"/>
  <c r="AR157" i="20"/>
  <c r="AR158" i="20"/>
  <c r="AR159" i="20"/>
  <c r="AR160" i="20"/>
  <c r="AR161" i="20"/>
  <c r="AR162" i="20"/>
  <c r="AR163" i="20"/>
  <c r="AR164" i="20"/>
  <c r="AR165" i="20"/>
  <c r="AR166" i="20"/>
  <c r="AR167" i="20"/>
  <c r="AR168" i="20"/>
  <c r="AR169" i="20"/>
  <c r="AR170" i="20"/>
  <c r="AR171" i="20"/>
  <c r="AR172" i="20"/>
  <c r="AR173" i="20"/>
  <c r="AR174" i="20"/>
  <c r="AR175" i="20"/>
  <c r="AR176" i="20"/>
  <c r="AR177" i="20"/>
  <c r="AR178" i="20"/>
  <c r="AR179" i="20"/>
  <c r="AR180" i="20"/>
  <c r="AR181" i="20"/>
  <c r="AR182" i="20"/>
  <c r="AR183" i="20"/>
  <c r="AR184" i="20"/>
  <c r="AR185" i="20"/>
  <c r="AR186" i="20"/>
  <c r="AR187" i="20"/>
  <c r="AR188" i="20"/>
  <c r="AR189" i="20"/>
  <c r="AR190" i="20"/>
  <c r="AR191" i="20"/>
  <c r="AR192" i="20"/>
  <c r="AR193" i="20"/>
  <c r="AR194" i="20"/>
  <c r="AR195" i="20"/>
  <c r="AR196" i="20"/>
  <c r="AR197" i="20"/>
  <c r="AR198" i="20"/>
  <c r="AR199" i="20"/>
  <c r="AR200" i="20"/>
  <c r="AR201" i="20"/>
  <c r="AR202" i="20"/>
  <c r="AR203" i="20"/>
  <c r="AR204" i="20"/>
  <c r="AR205" i="20"/>
  <c r="AR206" i="20"/>
  <c r="AR207" i="20"/>
  <c r="AR208" i="20"/>
  <c r="AR209" i="20"/>
  <c r="AR210" i="20"/>
  <c r="AR211" i="20"/>
  <c r="AR212" i="20"/>
  <c r="AR213" i="20"/>
  <c r="AR214" i="20"/>
  <c r="AR215" i="20"/>
  <c r="AR216" i="20"/>
  <c r="AR217" i="20"/>
  <c r="AR218" i="20"/>
  <c r="AR219" i="20"/>
  <c r="AR220" i="20"/>
  <c r="AR221" i="20"/>
  <c r="AR222" i="20"/>
  <c r="AR223" i="20"/>
  <c r="AR224" i="20"/>
  <c r="AR225" i="20"/>
  <c r="AR226" i="20"/>
  <c r="AR227" i="20"/>
  <c r="AR228" i="20"/>
  <c r="AR229" i="20"/>
  <c r="AR230" i="20"/>
  <c r="AR231" i="20"/>
  <c r="AR232" i="20"/>
  <c r="AR233" i="20"/>
  <c r="AR234" i="20"/>
  <c r="AR235" i="20"/>
  <c r="AR236" i="20"/>
  <c r="AR237" i="20"/>
  <c r="AR238" i="20"/>
  <c r="AR239" i="20"/>
  <c r="AR240" i="20"/>
  <c r="AR241" i="20"/>
  <c r="AR242" i="20"/>
  <c r="AR243" i="20"/>
  <c r="AR244" i="20"/>
  <c r="AR245" i="20"/>
  <c r="AR246" i="20"/>
  <c r="AR247" i="20"/>
  <c r="AR248" i="20"/>
  <c r="AR249" i="20"/>
  <c r="AR250" i="20"/>
  <c r="AR251" i="20"/>
  <c r="AR252" i="20"/>
  <c r="AR255" i="20"/>
  <c r="AR256" i="20"/>
  <c r="AR257" i="20"/>
  <c r="AR258" i="20"/>
  <c r="AR259" i="20"/>
  <c r="AR260" i="20"/>
  <c r="AR261" i="20"/>
  <c r="AR262" i="20"/>
  <c r="AR263" i="20"/>
  <c r="AR264" i="20"/>
  <c r="AR265" i="20"/>
  <c r="AR266" i="20"/>
  <c r="AR267" i="20"/>
  <c r="AR268" i="20"/>
  <c r="AR269" i="20"/>
  <c r="AR270" i="20"/>
  <c r="AR271" i="20"/>
  <c r="AR272" i="20"/>
  <c r="AR273" i="20"/>
  <c r="AR274" i="20"/>
  <c r="AR275" i="20"/>
  <c r="AR276" i="20"/>
  <c r="AR277" i="20"/>
  <c r="AR278" i="20"/>
  <c r="AR279" i="20"/>
  <c r="AR280" i="20"/>
  <c r="AR281" i="20"/>
  <c r="AR282" i="20"/>
  <c r="AR283" i="20"/>
  <c r="AR284" i="20"/>
  <c r="AR285" i="20"/>
  <c r="AR286" i="20"/>
  <c r="AR287" i="20"/>
  <c r="AR288" i="20"/>
  <c r="AR289" i="20"/>
  <c r="AR290" i="20"/>
  <c r="AR291" i="20"/>
  <c r="AR292" i="20"/>
  <c r="AR293" i="20"/>
  <c r="AR294" i="20"/>
  <c r="AR295" i="20"/>
  <c r="AR296" i="20"/>
  <c r="AR297" i="20"/>
  <c r="AR298" i="20"/>
  <c r="AR299" i="20"/>
  <c r="AR300" i="20"/>
  <c r="AR301" i="20"/>
  <c r="AR302" i="20"/>
  <c r="AR303" i="20"/>
  <c r="AR304" i="20"/>
  <c r="AR305" i="20"/>
  <c r="AR306" i="20"/>
  <c r="AR307" i="20"/>
  <c r="AR308" i="20"/>
  <c r="AR309" i="20"/>
  <c r="AR310" i="20"/>
  <c r="AR311" i="20"/>
  <c r="AR312" i="20"/>
  <c r="AR313" i="20"/>
  <c r="AR314" i="20"/>
  <c r="AR315" i="20"/>
  <c r="AR316" i="20"/>
  <c r="AR317" i="20"/>
  <c r="AR318" i="20"/>
  <c r="AR319" i="20"/>
  <c r="AR320" i="20"/>
  <c r="AR321" i="20"/>
  <c r="AR322" i="20"/>
  <c r="AR323" i="20"/>
  <c r="AR324" i="20"/>
  <c r="AR325" i="20"/>
  <c r="AR326" i="20"/>
  <c r="AR327" i="20"/>
  <c r="AR328" i="20"/>
  <c r="AR329" i="20"/>
  <c r="AR330" i="20"/>
  <c r="AR331" i="20"/>
  <c r="AR332" i="20"/>
  <c r="AR333" i="20"/>
  <c r="AR334" i="20"/>
  <c r="AR335" i="20"/>
  <c r="AR336" i="20"/>
  <c r="AR337" i="20"/>
  <c r="AR338" i="20"/>
  <c r="AR339" i="20"/>
  <c r="AR340" i="20"/>
  <c r="AR341" i="20"/>
  <c r="AR342" i="20"/>
  <c r="AR343" i="20"/>
  <c r="AR344" i="20"/>
  <c r="AR345" i="20"/>
  <c r="AR346" i="20"/>
  <c r="AR347" i="20"/>
  <c r="AR348" i="20"/>
  <c r="AR349" i="20"/>
  <c r="AR350" i="20"/>
  <c r="AR351" i="20"/>
  <c r="AR352" i="20"/>
  <c r="AR353" i="20"/>
  <c r="AR354" i="20"/>
  <c r="AR355" i="20"/>
  <c r="AR356" i="20"/>
  <c r="AR357" i="20"/>
  <c r="AR358" i="20"/>
  <c r="AR359" i="20"/>
  <c r="AR360" i="20"/>
  <c r="AR361" i="20"/>
  <c r="AR362" i="20"/>
  <c r="AR363" i="20"/>
  <c r="AR364" i="20"/>
  <c r="AR365" i="20"/>
  <c r="AR366" i="20"/>
  <c r="AR367" i="20"/>
  <c r="AR368" i="20"/>
  <c r="AR369" i="20"/>
  <c r="AR370" i="20"/>
  <c r="AR371" i="20"/>
  <c r="AR372" i="20"/>
  <c r="AR373" i="20"/>
  <c r="AR374" i="20"/>
  <c r="AR375" i="20"/>
  <c r="AR376" i="20"/>
  <c r="AR377" i="20"/>
  <c r="AR378" i="20"/>
  <c r="AR379" i="20"/>
  <c r="AR380" i="20"/>
  <c r="AR381" i="20"/>
  <c r="AR382" i="20"/>
  <c r="AR383" i="20"/>
  <c r="AR384" i="20"/>
  <c r="AR385" i="20"/>
  <c r="AR386" i="20"/>
  <c r="AR387" i="20"/>
  <c r="AR388" i="20"/>
  <c r="AR389" i="20"/>
  <c r="AR390" i="20"/>
  <c r="AR391" i="20"/>
  <c r="AR392" i="20"/>
  <c r="AR393" i="20"/>
  <c r="AR394" i="20"/>
  <c r="AR395" i="20"/>
  <c r="AR396" i="20"/>
  <c r="AR397" i="20"/>
  <c r="AR398" i="20"/>
  <c r="AR399" i="20"/>
  <c r="AR400" i="20"/>
  <c r="AR401" i="20"/>
  <c r="AR402" i="20"/>
  <c r="AR403" i="20"/>
  <c r="AR404" i="20"/>
  <c r="AR405" i="20"/>
  <c r="AR406" i="20"/>
  <c r="AR407" i="20"/>
  <c r="AR408" i="20"/>
  <c r="AR409" i="20"/>
  <c r="AR410" i="20"/>
  <c r="AR411" i="20"/>
  <c r="AR412" i="20"/>
  <c r="AR413" i="20"/>
  <c r="AR414" i="20"/>
  <c r="AR415" i="20"/>
  <c r="AR416" i="20"/>
  <c r="AR417" i="20"/>
  <c r="AR418" i="20"/>
  <c r="AR419" i="20"/>
  <c r="AR420" i="20"/>
  <c r="AR421" i="20"/>
  <c r="AR422" i="20"/>
  <c r="AR423" i="20"/>
  <c r="AR424" i="20"/>
  <c r="AR425" i="20"/>
  <c r="AR426" i="20"/>
  <c r="AR427" i="20"/>
  <c r="AR428" i="20"/>
  <c r="AR429" i="20"/>
  <c r="AR430" i="20"/>
  <c r="AR431" i="20"/>
  <c r="AR432" i="20"/>
  <c r="AR433" i="20"/>
  <c r="AR434" i="20"/>
  <c r="AR435" i="20"/>
  <c r="AR436" i="20"/>
  <c r="AR437" i="20"/>
  <c r="AR438" i="20"/>
  <c r="AR439" i="20"/>
  <c r="AR440" i="20"/>
  <c r="AR441" i="20"/>
  <c r="AR442" i="20"/>
  <c r="AR443" i="20"/>
  <c r="AR444" i="20"/>
  <c r="AR445" i="20"/>
  <c r="AR446" i="20"/>
  <c r="AR447" i="20"/>
  <c r="AR448" i="20"/>
  <c r="AR449" i="20"/>
  <c r="AR450" i="20"/>
  <c r="AR451" i="20"/>
  <c r="AR452" i="20"/>
  <c r="AR453" i="20"/>
  <c r="AR454" i="20"/>
  <c r="AR455" i="20"/>
  <c r="AR456" i="20"/>
  <c r="AR457" i="20"/>
  <c r="AR458" i="20"/>
  <c r="AR459" i="20"/>
  <c r="AR460" i="20"/>
  <c r="AR461" i="20"/>
  <c r="AR462" i="20"/>
  <c r="AR463" i="20"/>
  <c r="AR464" i="20"/>
  <c r="AR465" i="20"/>
  <c r="AR466" i="20"/>
  <c r="AR467" i="20"/>
  <c r="AR468" i="20"/>
  <c r="AR469" i="20"/>
  <c r="AR470" i="20"/>
  <c r="AR471" i="20"/>
  <c r="AR472" i="20"/>
  <c r="AR473" i="20"/>
  <c r="AR474" i="20"/>
  <c r="AR475" i="20"/>
  <c r="AR476" i="20"/>
  <c r="AR477" i="20"/>
  <c r="AR478" i="20"/>
  <c r="AR479" i="20"/>
  <c r="AR480" i="20"/>
  <c r="AR481" i="20"/>
  <c r="AR482" i="20"/>
  <c r="AR483" i="20"/>
  <c r="AR484" i="20"/>
  <c r="AR485" i="20"/>
  <c r="AR486" i="20"/>
  <c r="AR487" i="20"/>
  <c r="AR488" i="20"/>
  <c r="AR489" i="20"/>
  <c r="AR490" i="20"/>
  <c r="AR491" i="20"/>
  <c r="AR492" i="20"/>
  <c r="AR493" i="20"/>
  <c r="AR494" i="20"/>
  <c r="AR495" i="20"/>
  <c r="AR496" i="20"/>
  <c r="AR497" i="20"/>
  <c r="AR498" i="20"/>
  <c r="AR499" i="20"/>
  <c r="AR500" i="20"/>
  <c r="AR501" i="20"/>
  <c r="AR502" i="20"/>
  <c r="AR503" i="20"/>
  <c r="AR504" i="20"/>
  <c r="AR505" i="20"/>
  <c r="AR506" i="20"/>
  <c r="AR507" i="20"/>
  <c r="AR508" i="20"/>
  <c r="AR509" i="20"/>
  <c r="AR510" i="20"/>
  <c r="AR511" i="20"/>
  <c r="AR512" i="20"/>
  <c r="AR513" i="20"/>
  <c r="AR514" i="20"/>
  <c r="AR515" i="20"/>
  <c r="AR516" i="20"/>
  <c r="AR517" i="20"/>
  <c r="AR518" i="20"/>
  <c r="AR519" i="20"/>
  <c r="AR520" i="20"/>
  <c r="AR521" i="20"/>
  <c r="AR522" i="20"/>
  <c r="AR523" i="20"/>
  <c r="AR524" i="20"/>
  <c r="AR525" i="20"/>
  <c r="AR526" i="20"/>
  <c r="AR527" i="20"/>
  <c r="AR528" i="20"/>
  <c r="AR529" i="20"/>
  <c r="AR530" i="20"/>
  <c r="AR531" i="20"/>
  <c r="AR532" i="20"/>
  <c r="AR533" i="20"/>
  <c r="AR534" i="20"/>
  <c r="AR535" i="20"/>
  <c r="AR536" i="20"/>
  <c r="AR537" i="20"/>
  <c r="AR538" i="20"/>
  <c r="AR539" i="20"/>
  <c r="AR540" i="20"/>
  <c r="AR541" i="20"/>
  <c r="AR542" i="20"/>
  <c r="AR543" i="20"/>
  <c r="AR544" i="20"/>
  <c r="AR545" i="20"/>
  <c r="AR546" i="20"/>
  <c r="AR547" i="20"/>
  <c r="AR548" i="20"/>
  <c r="AR549" i="20"/>
  <c r="AR550" i="20"/>
  <c r="AR551" i="20"/>
  <c r="AR552" i="20"/>
  <c r="AR553" i="20"/>
  <c r="AR554" i="20"/>
  <c r="AR555" i="20"/>
  <c r="AR556" i="20"/>
  <c r="AR557" i="20"/>
  <c r="AR558" i="20"/>
  <c r="AR559" i="20"/>
  <c r="AR560" i="20"/>
  <c r="AR561" i="20"/>
  <c r="AR562" i="20"/>
  <c r="AR563" i="20"/>
  <c r="AR564" i="20"/>
  <c r="AR565" i="20"/>
  <c r="AR566" i="20"/>
  <c r="AR567" i="20"/>
  <c r="AR568" i="20"/>
  <c r="AR569" i="20"/>
  <c r="AR570" i="20"/>
  <c r="AR571" i="20"/>
  <c r="AR572" i="20"/>
  <c r="AR573" i="20"/>
  <c r="AR574" i="20"/>
  <c r="AR575" i="20"/>
  <c r="AR576" i="20"/>
  <c r="AR577" i="20"/>
  <c r="AR578" i="20"/>
  <c r="AR579" i="20"/>
  <c r="AR580" i="20"/>
  <c r="AR581" i="20"/>
  <c r="AR582" i="20"/>
  <c r="AR583" i="20"/>
  <c r="AR584" i="20"/>
  <c r="AR585" i="20"/>
  <c r="AR586" i="20"/>
  <c r="AR587" i="20"/>
  <c r="AR588" i="20"/>
  <c r="AR589" i="20"/>
  <c r="AR590" i="20"/>
  <c r="AR591" i="20"/>
  <c r="AR592" i="20"/>
  <c r="AR593" i="20"/>
  <c r="AR594" i="20"/>
  <c r="AR595" i="20"/>
  <c r="AR596" i="20"/>
  <c r="AR597" i="20"/>
  <c r="AR598" i="20"/>
  <c r="AR599" i="20"/>
  <c r="AR600" i="20"/>
  <c r="AR601" i="20"/>
  <c r="AR602" i="20"/>
  <c r="AR603" i="20"/>
  <c r="AR604" i="20"/>
  <c r="AR605" i="20"/>
  <c r="AR606" i="20"/>
  <c r="AR607" i="20"/>
  <c r="AR608" i="20"/>
  <c r="AR609" i="20"/>
  <c r="AR610" i="20"/>
  <c r="AR611" i="20"/>
  <c r="AR612" i="20"/>
  <c r="AR613" i="20"/>
  <c r="AR614" i="20"/>
  <c r="AR615" i="20"/>
  <c r="AR616" i="20"/>
  <c r="AR617" i="20"/>
  <c r="AR618" i="20"/>
  <c r="AR619" i="20"/>
  <c r="AR620" i="20"/>
  <c r="AR621" i="20"/>
  <c r="AR622" i="20"/>
  <c r="AR623" i="20"/>
  <c r="AR624" i="20"/>
  <c r="AR625" i="20"/>
  <c r="AR626" i="20"/>
  <c r="AR627" i="20"/>
  <c r="AR628" i="20"/>
  <c r="AR629" i="20"/>
  <c r="AR630" i="20"/>
  <c r="AR631" i="20"/>
  <c r="AR632" i="20"/>
  <c r="AR633" i="20"/>
  <c r="AR634" i="20"/>
  <c r="AR635" i="20"/>
  <c r="AR636" i="20"/>
  <c r="AR637" i="20"/>
  <c r="AR638" i="20"/>
  <c r="AR639" i="20"/>
  <c r="AR640" i="20"/>
  <c r="AR641" i="20"/>
  <c r="AR642" i="20"/>
  <c r="AR643" i="20"/>
  <c r="AR644" i="20"/>
  <c r="AR645" i="20"/>
  <c r="AR646" i="20"/>
  <c r="AR647" i="20"/>
  <c r="AR648" i="20"/>
  <c r="AR649" i="20"/>
  <c r="AR650" i="20"/>
  <c r="AR651" i="20"/>
  <c r="AR652" i="20"/>
  <c r="AR653" i="20"/>
  <c r="AR654" i="20"/>
  <c r="AR655" i="20"/>
  <c r="AR656" i="20"/>
  <c r="AR657" i="20"/>
  <c r="AR658" i="20"/>
  <c r="AR659" i="20"/>
  <c r="AR660" i="20"/>
  <c r="AR661" i="20"/>
  <c r="AR662" i="20"/>
  <c r="AR663" i="20"/>
  <c r="AR664" i="20"/>
  <c r="AR665" i="20"/>
  <c r="AR666" i="20"/>
  <c r="AR667" i="20"/>
  <c r="AR668" i="20"/>
  <c r="AR669" i="20"/>
  <c r="AR670" i="20"/>
  <c r="AR671" i="20"/>
  <c r="AR672" i="20"/>
  <c r="AR673" i="20"/>
  <c r="AR674" i="20"/>
  <c r="AR675" i="20"/>
  <c r="AR676" i="20"/>
  <c r="AR677" i="20"/>
  <c r="AR678" i="20"/>
  <c r="AR679" i="20"/>
  <c r="AR680" i="20"/>
  <c r="AR681" i="20"/>
  <c r="AR682" i="20"/>
  <c r="AR683" i="20"/>
  <c r="AR684" i="20"/>
  <c r="AR685" i="20"/>
  <c r="AR686" i="20"/>
  <c r="AR687" i="20"/>
  <c r="AR688" i="20"/>
  <c r="AR689" i="20"/>
  <c r="AR690" i="20"/>
  <c r="AR691" i="20"/>
  <c r="AR692" i="20"/>
  <c r="AR693" i="20"/>
  <c r="AR694" i="20"/>
  <c r="AR695" i="20"/>
  <c r="AR696" i="20"/>
  <c r="AR697" i="20"/>
  <c r="AR698" i="20"/>
  <c r="AR699" i="20"/>
  <c r="AR700" i="20"/>
  <c r="AR701" i="20"/>
  <c r="AR702" i="20"/>
  <c r="AR703" i="20"/>
  <c r="AR704" i="20"/>
  <c r="AR705" i="20"/>
  <c r="AR706" i="20"/>
  <c r="AR707" i="20"/>
  <c r="AR708" i="20"/>
  <c r="AR709" i="20"/>
  <c r="AR710" i="20"/>
  <c r="AR711" i="20"/>
  <c r="AR712" i="20"/>
  <c r="AR713" i="20"/>
  <c r="AR714" i="20"/>
  <c r="AR715" i="20"/>
  <c r="AR716" i="20"/>
  <c r="AR717" i="20"/>
  <c r="AR718" i="20"/>
  <c r="AR719" i="20"/>
  <c r="AR720" i="20"/>
  <c r="AR721" i="20"/>
  <c r="AR722" i="20"/>
  <c r="AR723" i="20"/>
  <c r="AR724" i="20"/>
  <c r="AR725" i="20"/>
  <c r="AR726" i="20"/>
  <c r="AR727" i="20"/>
  <c r="AR728" i="20"/>
  <c r="AR729" i="20"/>
  <c r="AR730" i="20"/>
  <c r="AR731" i="20"/>
  <c r="AR732" i="20"/>
  <c r="AR733" i="20"/>
  <c r="AR734" i="20"/>
  <c r="AR735" i="20"/>
  <c r="AR736" i="20"/>
  <c r="AR737" i="20"/>
  <c r="AR738" i="20"/>
  <c r="AR739" i="20"/>
  <c r="AR740" i="20"/>
  <c r="AR741" i="20"/>
  <c r="AR742" i="20"/>
  <c r="AR743" i="20"/>
  <c r="AR744" i="20"/>
  <c r="AR745" i="20"/>
  <c r="AR746" i="20"/>
  <c r="AR747" i="20"/>
  <c r="AR748" i="20"/>
  <c r="AR749" i="20"/>
  <c r="AR750" i="20"/>
  <c r="AR751" i="20"/>
  <c r="AR752" i="20"/>
  <c r="AR753" i="20"/>
  <c r="AR754" i="20"/>
  <c r="AR755" i="20"/>
  <c r="AR756" i="20"/>
  <c r="AR757" i="20"/>
  <c r="AR758" i="20"/>
  <c r="AR759" i="20"/>
  <c r="AR760" i="20"/>
  <c r="AR761" i="20"/>
  <c r="AR762" i="20"/>
  <c r="AR763" i="20"/>
  <c r="AR764" i="20"/>
  <c r="AR765" i="20"/>
  <c r="AR766" i="20"/>
  <c r="AR767" i="20"/>
  <c r="AR768" i="20"/>
  <c r="AR769" i="20"/>
  <c r="AR770" i="20"/>
  <c r="AR771" i="20"/>
  <c r="AR772" i="20"/>
  <c r="AR773" i="20"/>
  <c r="AR774" i="20"/>
  <c r="AR775" i="20"/>
  <c r="AR776" i="20"/>
  <c r="AR777" i="20"/>
  <c r="AR778" i="20"/>
  <c r="AR779" i="20"/>
  <c r="AR780" i="20"/>
  <c r="AR781" i="20"/>
  <c r="AR782" i="20"/>
  <c r="AR783" i="20"/>
  <c r="AR784" i="20"/>
  <c r="AR785" i="20"/>
  <c r="AR786" i="20"/>
  <c r="AR787" i="20"/>
  <c r="AR788" i="20"/>
  <c r="AR789" i="20"/>
  <c r="AR790" i="20"/>
  <c r="AR791" i="20"/>
  <c r="AR792" i="20"/>
  <c r="AR793" i="20"/>
  <c r="AR794" i="20"/>
  <c r="AR795" i="20"/>
  <c r="AR796" i="20"/>
  <c r="AR797" i="20"/>
  <c r="AR798" i="20"/>
  <c r="AR799" i="20"/>
  <c r="AR800" i="20"/>
  <c r="AR801" i="20"/>
  <c r="AR802" i="20"/>
  <c r="AR803" i="20"/>
  <c r="AR804" i="20"/>
  <c r="AR805" i="20"/>
  <c r="AR806" i="20"/>
  <c r="AR807" i="20"/>
  <c r="AR808" i="20"/>
  <c r="AR809" i="20"/>
  <c r="AR810" i="20"/>
  <c r="AR811" i="20"/>
  <c r="AR812" i="20"/>
  <c r="AR813" i="20"/>
  <c r="AR814" i="20"/>
  <c r="AR815" i="20"/>
  <c r="AR816" i="20"/>
  <c r="AR817" i="20"/>
  <c r="AR818" i="20"/>
  <c r="AR819" i="20"/>
  <c r="AR820" i="20"/>
  <c r="AR821" i="20"/>
  <c r="AR822" i="20"/>
  <c r="AR823" i="20"/>
  <c r="AR824" i="20"/>
  <c r="AR825" i="20"/>
  <c r="AR826" i="20"/>
  <c r="AR827" i="20"/>
  <c r="AR828" i="20"/>
  <c r="AR829" i="20"/>
  <c r="AR830" i="20"/>
  <c r="AR831" i="20"/>
  <c r="AR832" i="20"/>
  <c r="AR833" i="20"/>
  <c r="AR834" i="20"/>
  <c r="AR835" i="20"/>
  <c r="AR836" i="20"/>
  <c r="AR837" i="20"/>
  <c r="AR838" i="20"/>
  <c r="AR839" i="20"/>
  <c r="AR840" i="20"/>
  <c r="AR841" i="20"/>
  <c r="AR842" i="20"/>
  <c r="AR843" i="20"/>
  <c r="AR844" i="20"/>
  <c r="AR845" i="20"/>
  <c r="AR846" i="20"/>
  <c r="AR847" i="20"/>
  <c r="AR848" i="20"/>
  <c r="AR849" i="20"/>
  <c r="AR850" i="20"/>
  <c r="AR851" i="20"/>
  <c r="AR852" i="20"/>
  <c r="AR853" i="20"/>
  <c r="AR854" i="20"/>
  <c r="AR855" i="20"/>
  <c r="AR856" i="20"/>
  <c r="AR857" i="20"/>
  <c r="AR858" i="20"/>
  <c r="AR859" i="20"/>
  <c r="AR860" i="20"/>
  <c r="AR861" i="20"/>
  <c r="AR862" i="20"/>
  <c r="AR863" i="20"/>
  <c r="AR864" i="20"/>
  <c r="AR865" i="20"/>
  <c r="AR866" i="20"/>
  <c r="AR867" i="20"/>
  <c r="AR868" i="20"/>
  <c r="AR869" i="20"/>
  <c r="AR870" i="20"/>
  <c r="AR871" i="20"/>
  <c r="AR872" i="20"/>
  <c r="AR873" i="20"/>
  <c r="AR874" i="20"/>
  <c r="AR875" i="20"/>
  <c r="AR876" i="20"/>
  <c r="AR877" i="20"/>
  <c r="AR878" i="20"/>
  <c r="AR879" i="20"/>
  <c r="AR880" i="20"/>
  <c r="AR881" i="20"/>
  <c r="AR882" i="20"/>
  <c r="AR883" i="20"/>
  <c r="AR884" i="20"/>
  <c r="AR885" i="20"/>
  <c r="AR886" i="20"/>
  <c r="AR887" i="20"/>
  <c r="AR888" i="20"/>
  <c r="AR889" i="20"/>
  <c r="AR890" i="20"/>
  <c r="AR891" i="20"/>
  <c r="AR892" i="20"/>
  <c r="AR893" i="20"/>
  <c r="AR894" i="20"/>
  <c r="AR895" i="20"/>
  <c r="AR896" i="20"/>
  <c r="AR897" i="20"/>
  <c r="AR898" i="20"/>
  <c r="AR899" i="20"/>
  <c r="AR900" i="20"/>
  <c r="AR901" i="20"/>
  <c r="AR902" i="20"/>
  <c r="AR903" i="20"/>
  <c r="AR904" i="20"/>
  <c r="AR905" i="20"/>
  <c r="AR906" i="20"/>
  <c r="AR907" i="20"/>
  <c r="AR908" i="20"/>
  <c r="AR909" i="20"/>
  <c r="AR910" i="20"/>
  <c r="AR911" i="20"/>
  <c r="AR912" i="20"/>
  <c r="AR913" i="20"/>
  <c r="AR914" i="20"/>
  <c r="AR915" i="20"/>
  <c r="AR916" i="20"/>
  <c r="AR917" i="20"/>
  <c r="AR918" i="20"/>
  <c r="AR919" i="20"/>
  <c r="AR920" i="20"/>
  <c r="AR921" i="20"/>
  <c r="AR922" i="20"/>
  <c r="AR923" i="20"/>
  <c r="AR924" i="20"/>
  <c r="AR925" i="20"/>
  <c r="AR926" i="20"/>
  <c r="AR927" i="20"/>
  <c r="AR928" i="20"/>
  <c r="AR929" i="20"/>
  <c r="AR930" i="20"/>
  <c r="AR931" i="20"/>
  <c r="AR932" i="20"/>
  <c r="AR933" i="20"/>
  <c r="AR934" i="20"/>
  <c r="AR935" i="20"/>
  <c r="AR936" i="20"/>
  <c r="AR937" i="20"/>
  <c r="AR938" i="20"/>
  <c r="AR939" i="20"/>
  <c r="AR940" i="20"/>
  <c r="AR941" i="20"/>
  <c r="AR942" i="20"/>
  <c r="AR943" i="20"/>
  <c r="AR944" i="20"/>
  <c r="AR945" i="20"/>
  <c r="AR946" i="20"/>
  <c r="AR947" i="20"/>
  <c r="AR948" i="20"/>
  <c r="AR949" i="20"/>
  <c r="AR950" i="20"/>
  <c r="AR951" i="20"/>
  <c r="AR952" i="20"/>
  <c r="AR953" i="20"/>
  <c r="AR954" i="20"/>
  <c r="AR955" i="20"/>
  <c r="AR956" i="20"/>
  <c r="AR957" i="20"/>
  <c r="AR958" i="20"/>
  <c r="AR959" i="20"/>
  <c r="AR960" i="20"/>
  <c r="AR961" i="20"/>
  <c r="AR962" i="20"/>
  <c r="AR963" i="20"/>
  <c r="AR964" i="20"/>
  <c r="AR965" i="20"/>
  <c r="AR966" i="20"/>
  <c r="AR967" i="20"/>
  <c r="AR968" i="20"/>
  <c r="AR969" i="20"/>
  <c r="AR970" i="20"/>
  <c r="AR971" i="20"/>
  <c r="AR972" i="20"/>
  <c r="AR973" i="20"/>
  <c r="AR974" i="20"/>
  <c r="AR975" i="20"/>
  <c r="AR976" i="20"/>
  <c r="AR977" i="20"/>
  <c r="AR978" i="20"/>
  <c r="AR979" i="20"/>
  <c r="AR980" i="20"/>
  <c r="AR981" i="20"/>
  <c r="AR982" i="20"/>
  <c r="AR983" i="20"/>
  <c r="AR984" i="20"/>
  <c r="AR985" i="20"/>
  <c r="AR986" i="20"/>
  <c r="AR987" i="20"/>
  <c r="AR988" i="20"/>
  <c r="AR989" i="20"/>
  <c r="AR990" i="20"/>
  <c r="AR991" i="20"/>
  <c r="AR992" i="20"/>
  <c r="AR993" i="20"/>
  <c r="AR994" i="20"/>
  <c r="AR995" i="20"/>
  <c r="AR996" i="20"/>
  <c r="AR997" i="20"/>
  <c r="AR998" i="20"/>
  <c r="AR999" i="20"/>
  <c r="AR1000" i="20"/>
  <c r="AR1001" i="20"/>
  <c r="AR1002" i="20"/>
  <c r="AR1003" i="20"/>
  <c r="AR1004" i="20"/>
  <c r="AR1005" i="20"/>
  <c r="AR1006" i="20"/>
  <c r="AR1007" i="20"/>
  <c r="AR1008" i="20"/>
  <c r="AR1009" i="20"/>
  <c r="AR1010" i="20"/>
  <c r="AR1011" i="20"/>
  <c r="AR1012" i="20"/>
  <c r="AR1013" i="20"/>
  <c r="AR1014" i="20"/>
  <c r="AR1015" i="20"/>
  <c r="AR1016" i="20"/>
  <c r="AR1017" i="20"/>
  <c r="AR1018" i="20"/>
  <c r="AR1019" i="20"/>
  <c r="AR1020" i="20"/>
  <c r="AR1021" i="20"/>
  <c r="AR1022" i="20"/>
  <c r="AR1023" i="20"/>
  <c r="AR1024" i="20"/>
  <c r="AR1025" i="20"/>
  <c r="AR1026" i="20"/>
  <c r="AR1027" i="20"/>
  <c r="AR1028" i="20"/>
  <c r="AR1029" i="20"/>
  <c r="AR1030" i="20"/>
  <c r="AR1031" i="20"/>
  <c r="AR1032" i="20"/>
  <c r="AR1033" i="20"/>
  <c r="AR1034" i="20"/>
  <c r="AR1035" i="20"/>
  <c r="AR1036" i="20"/>
  <c r="AR1037" i="20"/>
  <c r="AR1038" i="20"/>
  <c r="AR1039" i="20"/>
  <c r="AR1040" i="20"/>
  <c r="AR1041" i="20"/>
  <c r="AR1042" i="20"/>
  <c r="AR1043" i="20"/>
  <c r="AR1044" i="20"/>
  <c r="AR1045" i="20"/>
  <c r="AR1046" i="20"/>
  <c r="AR1047" i="20"/>
  <c r="AR1048" i="20"/>
  <c r="AR1049" i="20"/>
  <c r="AR1050" i="20"/>
  <c r="AR1051" i="20"/>
  <c r="AR1052" i="20"/>
  <c r="AR1053" i="20"/>
  <c r="AR1054" i="20"/>
  <c r="AR1055" i="20"/>
  <c r="AR1056" i="20"/>
  <c r="AR1057" i="20"/>
  <c r="AR1058" i="20"/>
  <c r="AR1059" i="20"/>
  <c r="AR1060" i="20"/>
  <c r="AR1061" i="20"/>
  <c r="AR1062" i="20"/>
  <c r="AR1063" i="20"/>
  <c r="AR1064" i="20"/>
  <c r="AR1065" i="20"/>
  <c r="AR1066" i="20"/>
  <c r="AR1067" i="20"/>
  <c r="AR1068" i="20"/>
  <c r="AR1069" i="20"/>
  <c r="AR1070" i="20"/>
  <c r="AR1071" i="20"/>
  <c r="AR1072" i="20"/>
  <c r="AR1073" i="20"/>
  <c r="AR1074" i="20"/>
  <c r="AR1075" i="20"/>
  <c r="AR1076" i="20"/>
  <c r="AR1077" i="20"/>
  <c r="AR1078" i="20"/>
  <c r="AR1079" i="20"/>
  <c r="AR1080" i="20"/>
  <c r="AR1081" i="20"/>
  <c r="AR1082" i="20"/>
  <c r="AR1083" i="20"/>
  <c r="AR1084" i="20"/>
  <c r="AR1085" i="20"/>
  <c r="AR1086" i="20"/>
  <c r="AR1087" i="20"/>
  <c r="AR1088" i="20"/>
  <c r="AR1089" i="20"/>
  <c r="AR1090" i="20"/>
  <c r="AR1091" i="20"/>
  <c r="AR1092" i="20"/>
  <c r="AR1093" i="20"/>
  <c r="AR1094" i="20"/>
  <c r="AR1095" i="20"/>
  <c r="AR1096" i="20"/>
  <c r="AR1097" i="20"/>
  <c r="AR1098" i="20"/>
  <c r="AR1099" i="20"/>
  <c r="AR1100" i="20"/>
  <c r="AR1101" i="20"/>
  <c r="AR1102" i="20"/>
  <c r="AR1103" i="20"/>
  <c r="AR1104" i="20"/>
  <c r="AR1105" i="20"/>
  <c r="AR1106" i="20"/>
  <c r="AR1107" i="20"/>
  <c r="AR1108" i="20"/>
  <c r="AR1109" i="20"/>
  <c r="AR1110" i="20"/>
  <c r="AR1111" i="20"/>
  <c r="AR1112" i="20"/>
  <c r="AR1113" i="20"/>
  <c r="AR1114" i="20"/>
  <c r="AR1115" i="20"/>
  <c r="AR1116" i="20"/>
  <c r="AR1117" i="20"/>
  <c r="AR1118" i="20"/>
  <c r="AR1119" i="20"/>
  <c r="AR1120" i="20"/>
  <c r="AR1121" i="20"/>
  <c r="AR1122" i="20"/>
  <c r="AR1123" i="20"/>
  <c r="AR1124" i="20"/>
  <c r="AR1125" i="20"/>
  <c r="AR1126" i="20"/>
  <c r="AR1127" i="20"/>
  <c r="AR1128" i="20"/>
  <c r="AR1129" i="20"/>
  <c r="AR1130" i="20"/>
  <c r="AR1131" i="20"/>
  <c r="AR1132" i="20"/>
  <c r="AR1133" i="20"/>
  <c r="AR1134" i="20"/>
  <c r="AR1135" i="20"/>
  <c r="AR1136" i="20"/>
  <c r="AR1137" i="20"/>
  <c r="AR1138" i="20"/>
  <c r="AR1139" i="20"/>
  <c r="AR1140" i="20"/>
  <c r="AR1141" i="20"/>
  <c r="AR1142" i="20"/>
  <c r="AR1143" i="20"/>
  <c r="AR1144" i="20"/>
  <c r="AR1145" i="20"/>
  <c r="AR1146" i="20"/>
  <c r="AR1147" i="20"/>
  <c r="AR1148" i="20"/>
  <c r="AR1149" i="20"/>
  <c r="AR1150" i="20"/>
  <c r="AR1151" i="20"/>
  <c r="AR1152" i="20"/>
  <c r="AR1153" i="20"/>
  <c r="AR1154" i="20"/>
  <c r="AR1155" i="20"/>
  <c r="AR1156" i="20"/>
  <c r="AR1157" i="20"/>
  <c r="AR1158" i="20"/>
  <c r="AR1159" i="20"/>
  <c r="AR1160" i="20"/>
  <c r="AR1161" i="20"/>
  <c r="AR1162" i="20"/>
  <c r="AR1163" i="20"/>
  <c r="AR1164" i="20"/>
  <c r="AR1165" i="20"/>
  <c r="AR1166" i="20"/>
  <c r="AR1167" i="20"/>
  <c r="AR1168" i="20"/>
  <c r="AR1169" i="20"/>
  <c r="AR1170" i="20"/>
  <c r="AR1171" i="20"/>
  <c r="AR1172" i="20"/>
  <c r="AR1173" i="20"/>
  <c r="AR1174" i="20"/>
  <c r="AR1175" i="20"/>
  <c r="AR1176" i="20"/>
  <c r="AR1177" i="20"/>
  <c r="AR1178" i="20"/>
  <c r="AR1179" i="20"/>
  <c r="AR1180" i="20"/>
  <c r="AR1181" i="20"/>
  <c r="AR1182" i="20"/>
  <c r="AR1183" i="20"/>
  <c r="AR1184" i="20"/>
  <c r="AR1185" i="20"/>
  <c r="AR1186" i="20"/>
  <c r="AR1187" i="20"/>
  <c r="AR1188" i="20"/>
  <c r="AR1189" i="20"/>
  <c r="AR1190" i="20"/>
  <c r="AR1191" i="20"/>
  <c r="AR1192" i="20"/>
  <c r="AR1193" i="20"/>
  <c r="AR1194" i="20"/>
  <c r="AR1195" i="20"/>
  <c r="AR1196" i="20"/>
  <c r="AR1197" i="20"/>
  <c r="AR1198" i="20"/>
  <c r="AR1199" i="20"/>
  <c r="AR1200" i="20"/>
  <c r="AR1201" i="20"/>
  <c r="AR1202" i="20"/>
  <c r="AR1203" i="20"/>
  <c r="AR1204" i="20"/>
  <c r="AR1205" i="20"/>
  <c r="AR1206" i="20"/>
  <c r="AR1207" i="20"/>
  <c r="AR1208" i="20"/>
  <c r="AR1209" i="20"/>
  <c r="AR1210" i="20"/>
  <c r="AR1211" i="20"/>
  <c r="AR1212" i="20"/>
  <c r="AR1213" i="20"/>
  <c r="AR1214" i="20"/>
  <c r="AR1215" i="20"/>
  <c r="AR1216" i="20"/>
  <c r="AR1217" i="20"/>
  <c r="AR1218" i="20"/>
  <c r="AR1219" i="20"/>
  <c r="AR1220" i="20"/>
  <c r="AR1221" i="20"/>
  <c r="AR1222" i="20"/>
  <c r="AR1223" i="20"/>
  <c r="AR1224" i="20"/>
  <c r="AR1225" i="20"/>
  <c r="AR1226" i="20"/>
  <c r="AR1227" i="20"/>
  <c r="AR1228" i="20"/>
  <c r="AR1229" i="20"/>
  <c r="AR1230" i="20"/>
  <c r="AR1231" i="20"/>
  <c r="AR1232" i="20"/>
  <c r="AR1233" i="20"/>
  <c r="AR1234" i="20"/>
  <c r="AR1235" i="20"/>
  <c r="AR1236" i="20"/>
  <c r="AR1237" i="20"/>
  <c r="AR1238" i="20"/>
  <c r="AR1239" i="20"/>
  <c r="AR1240" i="20"/>
  <c r="AR1241" i="20"/>
  <c r="AR1242" i="20"/>
  <c r="AR1243" i="20"/>
  <c r="AR1244" i="20"/>
  <c r="AR1245" i="20"/>
  <c r="AR1246" i="20"/>
  <c r="AR1247" i="20"/>
  <c r="AR1248" i="20"/>
  <c r="AR1249" i="20"/>
  <c r="AR1250" i="20"/>
  <c r="AR1251" i="20"/>
  <c r="AR1252" i="20"/>
  <c r="AR1253" i="20"/>
  <c r="AR1254" i="20"/>
  <c r="AR1255" i="20"/>
  <c r="AR1256" i="20"/>
  <c r="AR1257" i="20"/>
  <c r="AR1258" i="20"/>
  <c r="AR1259" i="20"/>
  <c r="AR1260" i="20"/>
  <c r="AR1261" i="20"/>
  <c r="AR1262" i="20"/>
  <c r="AR1263" i="20"/>
  <c r="AR1264" i="20"/>
  <c r="AR1265" i="20"/>
  <c r="AR1266" i="20"/>
  <c r="AR1267" i="20"/>
  <c r="AR1268" i="20"/>
  <c r="AR1269" i="20"/>
  <c r="AR1270" i="20"/>
  <c r="AR1271" i="20"/>
  <c r="AR1272" i="20"/>
  <c r="AR1273" i="20"/>
  <c r="AR1274" i="20"/>
  <c r="AR1275" i="20"/>
  <c r="AR1276" i="20"/>
  <c r="AR1277" i="20"/>
  <c r="AR1278" i="20"/>
  <c r="AR1279" i="20"/>
  <c r="AR1280" i="20"/>
  <c r="AR1281" i="20"/>
  <c r="AR1282" i="20"/>
  <c r="AR1283" i="20"/>
  <c r="AR1284" i="20"/>
  <c r="AR1285" i="20"/>
  <c r="AR1286" i="20"/>
  <c r="AR1287" i="20"/>
  <c r="AR1288" i="20"/>
  <c r="AR1289" i="20"/>
  <c r="AR1290" i="20"/>
  <c r="AR1291" i="20"/>
  <c r="AR1292" i="20"/>
  <c r="AR1293" i="20"/>
  <c r="AR1294" i="20"/>
  <c r="AR1295" i="20"/>
  <c r="AR1296" i="20"/>
  <c r="AR1297" i="20"/>
  <c r="AR1298" i="20"/>
  <c r="AR1299" i="20"/>
  <c r="AR1300" i="20"/>
  <c r="AR1301" i="20"/>
  <c r="AR1302" i="20"/>
  <c r="AR1303" i="20"/>
  <c r="AR1304" i="20"/>
  <c r="AR1305" i="20"/>
  <c r="AR1306" i="20"/>
  <c r="AR1307" i="20"/>
  <c r="AR1308" i="20"/>
  <c r="AR1309" i="20"/>
  <c r="AR1310" i="20"/>
  <c r="AR1311" i="20"/>
  <c r="AR1312" i="20"/>
  <c r="AR1313" i="20"/>
  <c r="AR1314" i="20"/>
  <c r="AR1315" i="20"/>
  <c r="AR1316" i="20"/>
  <c r="AR1317" i="20"/>
  <c r="AR1318" i="20"/>
  <c r="AR1319" i="20"/>
  <c r="AR1320" i="20"/>
  <c r="AR1321" i="20"/>
  <c r="AR1322" i="20"/>
  <c r="AR1323" i="20"/>
  <c r="AR1324" i="20"/>
  <c r="AR1325" i="20"/>
  <c r="AR1326" i="20"/>
  <c r="AR1327" i="20"/>
  <c r="AR1328" i="20"/>
  <c r="AR1329" i="20"/>
  <c r="AR1330" i="20"/>
  <c r="AR1331" i="20"/>
  <c r="AR1332" i="20"/>
  <c r="AR1333" i="20"/>
  <c r="AR1334" i="20"/>
  <c r="AR1335" i="20"/>
  <c r="AR1336" i="20"/>
  <c r="AR1337" i="20"/>
  <c r="AR1338" i="20"/>
  <c r="AR1339" i="20"/>
  <c r="AR1340" i="20"/>
  <c r="AR1341" i="20"/>
  <c r="AR1342" i="20"/>
  <c r="AR1343" i="20"/>
  <c r="AR1344" i="20"/>
  <c r="AR1345" i="20"/>
  <c r="AR1346" i="20"/>
  <c r="AR1347" i="20"/>
  <c r="AR1348" i="20"/>
  <c r="AR1349" i="20"/>
  <c r="AR1350" i="20"/>
  <c r="AR1351" i="20"/>
  <c r="AR1352" i="20"/>
  <c r="AR1353" i="20"/>
  <c r="AR1354" i="20"/>
  <c r="AR1355" i="20"/>
  <c r="AR1356" i="20"/>
  <c r="AR1357" i="20"/>
  <c r="AR1358" i="20"/>
  <c r="AR1359" i="20"/>
  <c r="AR1360" i="20"/>
  <c r="AR1361" i="20"/>
  <c r="AR1362" i="20"/>
  <c r="AR1363" i="20"/>
  <c r="AR1364" i="20"/>
  <c r="AR1365" i="20"/>
  <c r="AR1366" i="20"/>
  <c r="AR1367" i="20"/>
  <c r="AR1368" i="20"/>
  <c r="AR1369" i="20"/>
  <c r="AR1370" i="20"/>
  <c r="AR1371" i="20"/>
  <c r="AR1372" i="20"/>
  <c r="AR1373" i="20"/>
  <c r="AR1374" i="20"/>
  <c r="AR1375" i="20"/>
  <c r="AR1376" i="20"/>
  <c r="AR1377" i="20"/>
  <c r="AR1378" i="20"/>
  <c r="AR1379" i="20"/>
  <c r="AR1380" i="20"/>
  <c r="AR1381" i="20"/>
  <c r="AR1382" i="20"/>
  <c r="AR1383" i="20"/>
  <c r="AR1384" i="20"/>
  <c r="AR1385" i="20"/>
  <c r="AR1386" i="20"/>
  <c r="AR1387" i="20"/>
  <c r="AR1388" i="20"/>
  <c r="AR1389" i="20"/>
  <c r="AR1390" i="20"/>
  <c r="AR1391" i="20"/>
  <c r="AR1392" i="20"/>
  <c r="AR1393" i="20"/>
  <c r="AR1394" i="20"/>
  <c r="AR1395" i="20"/>
  <c r="AR1396" i="20"/>
  <c r="AR1397" i="20"/>
  <c r="AR1398" i="20"/>
  <c r="AR1399" i="20"/>
  <c r="AR1400" i="20"/>
  <c r="AR1401" i="20"/>
  <c r="AR1402" i="20"/>
  <c r="AR1403" i="20"/>
  <c r="AR1404" i="20"/>
  <c r="AR1405" i="20"/>
  <c r="AR1406" i="20"/>
  <c r="AR1407" i="20"/>
  <c r="AR1408" i="20"/>
  <c r="AR1409" i="20"/>
  <c r="AR1410" i="20"/>
  <c r="AR1411" i="20"/>
  <c r="AR1412" i="20"/>
  <c r="AR1413" i="20"/>
  <c r="AR1414" i="20"/>
  <c r="AR1415" i="20"/>
  <c r="AR1416" i="20"/>
  <c r="AR1417" i="20"/>
  <c r="AR1418" i="20"/>
  <c r="AR1419" i="20"/>
  <c r="AR1420" i="20"/>
  <c r="AR1421" i="20"/>
  <c r="AR1422" i="20"/>
  <c r="AR1423" i="20"/>
  <c r="AR1424" i="20"/>
  <c r="AR1425" i="20"/>
  <c r="AR1426" i="20"/>
  <c r="AR1427" i="20"/>
  <c r="AR1428" i="20"/>
  <c r="AR1429" i="20"/>
  <c r="AR1430" i="20"/>
  <c r="AR1431" i="20"/>
  <c r="AR1432" i="20"/>
  <c r="AR1433" i="20"/>
  <c r="AR1434" i="20"/>
  <c r="AR1435" i="20"/>
  <c r="AR1436" i="20"/>
  <c r="AR1437" i="20"/>
  <c r="AR1438" i="20"/>
  <c r="AR1439" i="20"/>
  <c r="AR1440" i="20"/>
  <c r="AR1441" i="20"/>
  <c r="AR1442" i="20"/>
  <c r="AR1443" i="20"/>
  <c r="AR1444" i="20"/>
  <c r="AR1445" i="20"/>
  <c r="AR1446" i="20"/>
  <c r="AR1447" i="20"/>
  <c r="AR1448" i="20"/>
  <c r="AR1449" i="20"/>
  <c r="AR1450" i="20"/>
  <c r="AR1451" i="20"/>
  <c r="AR1452" i="20"/>
  <c r="AR1453" i="20"/>
  <c r="AR1454" i="20"/>
  <c r="AR1455" i="20"/>
  <c r="AR1456" i="20"/>
  <c r="AR1457" i="20"/>
  <c r="AR1458" i="20"/>
  <c r="AR1459" i="20"/>
  <c r="AR1460" i="20"/>
  <c r="AR1461" i="20"/>
  <c r="AR1462" i="20"/>
  <c r="AR1463" i="20"/>
  <c r="AR1464" i="20"/>
  <c r="AR1465" i="20"/>
  <c r="AR1466" i="20"/>
  <c r="AR1467" i="20"/>
  <c r="AR1468" i="20"/>
  <c r="AR1469" i="20"/>
  <c r="AR1470" i="20"/>
  <c r="AR1471" i="20"/>
  <c r="AR1472" i="20"/>
  <c r="AR1473" i="20"/>
  <c r="AR1474" i="20"/>
  <c r="AR1475" i="20"/>
  <c r="AR1476" i="20"/>
  <c r="AR1477" i="20"/>
  <c r="AR1478" i="20"/>
  <c r="AR1479" i="20"/>
  <c r="AR1480" i="20"/>
  <c r="AR1481" i="20"/>
  <c r="AR1482" i="20"/>
  <c r="AR1483" i="20"/>
  <c r="AR1484" i="20"/>
  <c r="AR1485" i="20"/>
  <c r="AR1486" i="20"/>
  <c r="AR1487" i="20"/>
  <c r="AR1488" i="20"/>
  <c r="AR1489" i="20"/>
  <c r="AR1490" i="20"/>
  <c r="AR1491" i="20"/>
  <c r="AR1492" i="20"/>
  <c r="AR1493" i="20"/>
  <c r="AR1494" i="20"/>
  <c r="AR1495" i="20"/>
  <c r="AR1496" i="20"/>
  <c r="AR1497" i="20"/>
  <c r="AR1498" i="20"/>
  <c r="AR1499" i="20"/>
  <c r="AR1500" i="20"/>
  <c r="AR1501" i="20"/>
  <c r="AR1502" i="20"/>
  <c r="AR1503" i="20"/>
  <c r="AR1504" i="20"/>
  <c r="AR1505" i="20"/>
  <c r="AR1506" i="20"/>
  <c r="AR1507" i="20"/>
  <c r="AR1508" i="20"/>
  <c r="AR1509" i="20"/>
  <c r="AR1510" i="20"/>
  <c r="AR1511" i="20"/>
  <c r="AR1512" i="20"/>
  <c r="AR1513" i="20"/>
  <c r="AR1514" i="20"/>
  <c r="AR1515" i="20"/>
  <c r="AR1516" i="20"/>
  <c r="AR1517" i="20"/>
  <c r="AR1518" i="20"/>
  <c r="AR1519" i="20"/>
  <c r="AR1520" i="20"/>
  <c r="AR1521" i="20"/>
  <c r="AR1522" i="20"/>
  <c r="AR1523" i="20"/>
  <c r="AR1524" i="20"/>
  <c r="AR1525" i="20"/>
  <c r="AR1526" i="20"/>
  <c r="AR1527" i="20"/>
  <c r="AR1528" i="20"/>
  <c r="AR1529" i="20"/>
  <c r="AR1530" i="20"/>
  <c r="AR1531" i="20"/>
  <c r="AR1532" i="20"/>
  <c r="AR1533" i="20"/>
  <c r="AR1534" i="20"/>
  <c r="AR1535" i="20"/>
  <c r="AR1536" i="20"/>
  <c r="AR1537" i="20"/>
  <c r="AR1538" i="20"/>
  <c r="AR1539" i="20"/>
  <c r="AR1540" i="20"/>
  <c r="AR1541" i="20"/>
  <c r="AR1542" i="20"/>
  <c r="AR1543" i="20"/>
  <c r="AR1544" i="20"/>
  <c r="AR1545" i="20"/>
  <c r="AR1546" i="20"/>
  <c r="AR1547" i="20"/>
  <c r="AR1548" i="20"/>
  <c r="AR1549" i="20"/>
  <c r="AR1550" i="20"/>
  <c r="AR1551" i="20"/>
  <c r="AR1552" i="20"/>
  <c r="AR1553" i="20"/>
  <c r="AR1554" i="20"/>
  <c r="AR1555" i="20"/>
  <c r="AR1556" i="20"/>
  <c r="AR1557" i="20"/>
  <c r="AR1558" i="20"/>
  <c r="AR1559" i="20"/>
  <c r="AR1560" i="20"/>
  <c r="AR1561" i="20"/>
  <c r="AR1562" i="20"/>
  <c r="AR1563" i="20"/>
  <c r="AR1564" i="20"/>
  <c r="AR1565" i="20"/>
  <c r="AR1566" i="20"/>
  <c r="AR1567" i="20"/>
  <c r="AR1568" i="20"/>
  <c r="AR1569" i="20"/>
  <c r="AR1570" i="20"/>
  <c r="AR1571" i="20"/>
  <c r="AR1572" i="20"/>
  <c r="AR1573" i="20"/>
  <c r="AR1574" i="20"/>
  <c r="AR1575" i="20"/>
  <c r="AR1576" i="20"/>
  <c r="AR1577" i="20"/>
  <c r="AR1578" i="20"/>
  <c r="AR1579" i="20"/>
  <c r="AR1580" i="20"/>
  <c r="AR1581" i="20"/>
  <c r="AR1582" i="20"/>
  <c r="AR1583" i="20"/>
  <c r="AR1584" i="20"/>
  <c r="AR1585" i="20"/>
  <c r="AR1586" i="20"/>
  <c r="AR1587" i="20"/>
  <c r="AR1588" i="20"/>
  <c r="AR1589" i="20"/>
  <c r="AR1590" i="20"/>
  <c r="AR1591" i="20"/>
  <c r="AR1592" i="20"/>
  <c r="AR1593" i="20"/>
  <c r="AR1594" i="20"/>
  <c r="AR1595" i="20"/>
  <c r="AR1596" i="20"/>
  <c r="AR1597" i="20"/>
  <c r="AR1598" i="20"/>
  <c r="AR1599" i="20"/>
  <c r="AR1600" i="20"/>
  <c r="AR1601" i="20"/>
  <c r="AR1602" i="20"/>
  <c r="AR1603" i="20"/>
  <c r="AR1604" i="20"/>
  <c r="AR1605" i="20"/>
  <c r="AR1606" i="20"/>
  <c r="AR1607" i="20"/>
  <c r="AR1608" i="20"/>
  <c r="AR1609" i="20"/>
  <c r="AR1610" i="20"/>
  <c r="AR1611" i="20"/>
  <c r="AR1612" i="20"/>
  <c r="AR1613" i="20"/>
  <c r="AR1614" i="20"/>
  <c r="AR1615" i="20"/>
  <c r="AR1616" i="20"/>
  <c r="AR1617" i="20"/>
  <c r="AR1618" i="20"/>
  <c r="AR1619" i="20"/>
  <c r="AR1620" i="20"/>
  <c r="AR1621" i="20"/>
  <c r="AR1622" i="20"/>
  <c r="AR1623" i="20"/>
  <c r="AR1624" i="20"/>
  <c r="AR1625" i="20"/>
  <c r="AR1626" i="20"/>
  <c r="AR1627" i="20"/>
  <c r="AR1628" i="20"/>
  <c r="AR1629" i="20"/>
  <c r="AR1630" i="20"/>
  <c r="AR1631" i="20"/>
  <c r="AR1632" i="20"/>
  <c r="AR1633" i="20"/>
  <c r="AR1634" i="20"/>
  <c r="AR1635" i="20"/>
  <c r="AR1636" i="20"/>
  <c r="AR1637" i="20"/>
  <c r="AR1638" i="20"/>
  <c r="AR1639" i="20"/>
  <c r="AR1640" i="20"/>
  <c r="AR1641" i="20"/>
  <c r="AR1642" i="20"/>
  <c r="AR1643" i="20"/>
  <c r="AR1644" i="20"/>
  <c r="AR1645" i="20"/>
  <c r="AR1646" i="20"/>
  <c r="AR1647" i="20"/>
  <c r="AR1648" i="20"/>
  <c r="AR1649" i="20"/>
  <c r="AR1650" i="20"/>
  <c r="AR1651" i="20"/>
  <c r="AR1652" i="20"/>
  <c r="AR1653" i="20"/>
  <c r="AR1654" i="20"/>
  <c r="AR1655" i="20"/>
  <c r="AR1656" i="20"/>
  <c r="AR1657" i="20"/>
  <c r="AR1658" i="20"/>
  <c r="AR1659" i="20"/>
  <c r="AR1660" i="20"/>
  <c r="AR1661" i="20"/>
  <c r="AR1662" i="20"/>
  <c r="AR1663" i="20"/>
  <c r="AR1664" i="20"/>
  <c r="AR1665" i="20"/>
  <c r="AR1666" i="20"/>
  <c r="AR1667" i="20"/>
  <c r="AR1668" i="20"/>
  <c r="AR1669" i="20"/>
  <c r="AR1670" i="20"/>
  <c r="AR1671" i="20"/>
  <c r="AR1672" i="20"/>
  <c r="AR1673" i="20"/>
  <c r="AR1674" i="20"/>
  <c r="AR1675" i="20"/>
  <c r="AR1676" i="20"/>
  <c r="AR1677" i="20"/>
  <c r="AR1678" i="20"/>
  <c r="AR1679" i="20"/>
  <c r="AR1680" i="20"/>
  <c r="AR1681" i="20"/>
  <c r="AR1682" i="20"/>
  <c r="AR1683" i="20"/>
  <c r="AR1684" i="20"/>
  <c r="AR1685" i="20"/>
  <c r="AR1686" i="20"/>
  <c r="AR1687" i="20"/>
  <c r="AR1688" i="20"/>
  <c r="AR1689" i="20"/>
  <c r="AR1690" i="20"/>
  <c r="AR1691" i="20"/>
  <c r="AR1692" i="20"/>
  <c r="AR1693" i="20"/>
  <c r="AR1694" i="20"/>
  <c r="AR1695" i="20"/>
  <c r="AR1696" i="20"/>
  <c r="AR1697" i="20"/>
  <c r="AR1698" i="20"/>
  <c r="AR1699" i="20"/>
  <c r="AR1700" i="20"/>
  <c r="AR1701" i="20"/>
  <c r="AR1702" i="20"/>
  <c r="AR1703" i="20"/>
  <c r="AR1704" i="20"/>
  <c r="AR1705" i="20"/>
  <c r="AR1706" i="20"/>
  <c r="AR1707" i="20"/>
  <c r="AR1708" i="20"/>
  <c r="AR1709" i="20"/>
  <c r="AR1710" i="20"/>
  <c r="AR1711" i="20"/>
  <c r="AR1712" i="20"/>
  <c r="AR1713" i="20"/>
  <c r="AR1714" i="20"/>
  <c r="AR1715" i="20"/>
  <c r="AR1716" i="20"/>
  <c r="AR1717" i="20"/>
  <c r="AR1718" i="20"/>
  <c r="AR1719" i="20"/>
  <c r="AR1720" i="20"/>
  <c r="AR1721" i="20"/>
  <c r="AR1722" i="20"/>
  <c r="AR1723" i="20"/>
  <c r="AR1724" i="20"/>
  <c r="AR1725" i="20"/>
  <c r="AR1726" i="20"/>
  <c r="AR1727" i="20"/>
  <c r="AR1728" i="20"/>
  <c r="AR1729" i="20"/>
  <c r="AR1730" i="20"/>
  <c r="AR1731" i="20"/>
  <c r="AR1732" i="20"/>
  <c r="AR1733" i="20"/>
  <c r="AR1734" i="20"/>
  <c r="AR1735" i="20"/>
  <c r="AR1736" i="20"/>
  <c r="AR1737" i="20"/>
  <c r="AR1738" i="20"/>
  <c r="AR1739" i="20"/>
  <c r="AR1740" i="20"/>
  <c r="AR1741" i="20"/>
  <c r="AR1742" i="20"/>
  <c r="AR1743" i="20"/>
  <c r="AR1744" i="20"/>
  <c r="AR1745" i="20"/>
  <c r="AR1746" i="20"/>
  <c r="AR1747" i="20"/>
  <c r="AR1748" i="20"/>
  <c r="AR1749" i="20"/>
  <c r="AR1750" i="20"/>
  <c r="AR1751" i="20"/>
  <c r="AR1752" i="20"/>
  <c r="AR1753" i="20"/>
  <c r="AR1754" i="20"/>
  <c r="AR1755" i="20"/>
  <c r="AR1756" i="20"/>
  <c r="AR1757" i="20"/>
  <c r="AR1758" i="20"/>
  <c r="AR1759" i="20"/>
  <c r="AR1760" i="20"/>
  <c r="AR1761" i="20"/>
  <c r="AR1762" i="20"/>
  <c r="AR1763" i="20"/>
  <c r="AR1764" i="20"/>
  <c r="AR1765" i="20"/>
  <c r="AR1766" i="20"/>
  <c r="AR1767" i="20"/>
  <c r="AR1768" i="20"/>
  <c r="AR1769" i="20"/>
  <c r="AR1770" i="20"/>
  <c r="AR1771" i="20"/>
  <c r="AR1772" i="20"/>
  <c r="AR1773" i="20"/>
  <c r="AR1774" i="20"/>
  <c r="AR1775" i="20"/>
  <c r="AR1776" i="20"/>
  <c r="AR1777" i="20"/>
  <c r="AR1778" i="20"/>
  <c r="AR1779" i="20"/>
  <c r="AR1780" i="20"/>
  <c r="AR1781" i="20"/>
  <c r="AR1782" i="20"/>
  <c r="AR1783" i="20"/>
  <c r="AR1784" i="20"/>
  <c r="AR1785" i="20"/>
  <c r="AR1786" i="20"/>
  <c r="AR1787" i="20"/>
  <c r="AR1788" i="20"/>
  <c r="AR1789" i="20"/>
  <c r="AR1790" i="20"/>
  <c r="AR1791" i="20"/>
  <c r="AR1792" i="20"/>
  <c r="AR1793" i="20"/>
  <c r="AR1794" i="20"/>
  <c r="AR1795" i="20"/>
  <c r="AR1796" i="20"/>
  <c r="AR1797" i="20"/>
  <c r="AR1798" i="20"/>
  <c r="AR1799" i="20"/>
  <c r="AR1800" i="20"/>
  <c r="AR1801" i="20"/>
  <c r="AR1802" i="20"/>
  <c r="AR1803" i="20"/>
  <c r="AR1804" i="20"/>
  <c r="AR1805" i="20"/>
  <c r="AR1806" i="20"/>
  <c r="AR1807" i="20"/>
  <c r="AR1808" i="20"/>
  <c r="AR1809" i="20"/>
  <c r="AR1810" i="20"/>
  <c r="AR1811" i="20"/>
  <c r="AR1812" i="20"/>
  <c r="AR1813" i="20"/>
  <c r="AR1814" i="20"/>
  <c r="AR1815" i="20"/>
  <c r="AR1816" i="20"/>
  <c r="AR1817" i="20"/>
  <c r="AR1818" i="20"/>
  <c r="AR1819" i="20"/>
  <c r="AR1820" i="20"/>
  <c r="AR1821" i="20"/>
  <c r="AR1822" i="20"/>
  <c r="AR1823" i="20"/>
  <c r="AR1824" i="20"/>
  <c r="AR1825" i="20"/>
  <c r="AR1826" i="20"/>
  <c r="AR1827" i="20"/>
  <c r="AR1828" i="20"/>
  <c r="AR1829" i="20"/>
  <c r="AR1830" i="20"/>
  <c r="AR1831" i="20"/>
  <c r="AR1832" i="20"/>
  <c r="AR1833" i="20"/>
  <c r="AR1834" i="20"/>
  <c r="AR1835" i="20"/>
  <c r="AR1836" i="20"/>
  <c r="AR1837" i="20"/>
  <c r="AR1838" i="20"/>
  <c r="AR1839" i="20"/>
  <c r="AR1840" i="20"/>
  <c r="AR1841" i="20"/>
  <c r="AR1842" i="20"/>
  <c r="AR1843" i="20"/>
  <c r="AR1844" i="20"/>
  <c r="AR1845" i="20"/>
  <c r="AR1846" i="20"/>
  <c r="AR1847" i="20"/>
  <c r="AR1848" i="20"/>
  <c r="AR1849" i="20"/>
  <c r="AR1850" i="20"/>
  <c r="AR1851" i="20"/>
  <c r="AR1852" i="20"/>
  <c r="AR1853" i="20"/>
  <c r="AR1854" i="20"/>
  <c r="AR1855" i="20"/>
  <c r="AR1856" i="20"/>
  <c r="AR1857" i="20"/>
  <c r="AR1858" i="20"/>
  <c r="AR1859" i="20"/>
  <c r="AR1860" i="20"/>
  <c r="AR1861" i="20"/>
  <c r="AR1862" i="20"/>
  <c r="AR1863" i="20"/>
  <c r="AR1864" i="20"/>
  <c r="AR1865" i="20"/>
  <c r="AR1866" i="20"/>
  <c r="AR1867" i="20"/>
  <c r="AR1868" i="20"/>
  <c r="AR1869" i="20"/>
  <c r="AR1870" i="20"/>
  <c r="AR1871" i="20"/>
  <c r="AR1872" i="20"/>
  <c r="AR1873" i="20"/>
  <c r="AR1874" i="20"/>
  <c r="AR1875" i="20"/>
  <c r="AR1876" i="20"/>
  <c r="AR1877" i="20"/>
  <c r="AR1878" i="20"/>
  <c r="AR1879" i="20"/>
  <c r="AR1880" i="20"/>
  <c r="AR1881" i="20"/>
  <c r="AR1882" i="20"/>
  <c r="AR1883" i="20"/>
  <c r="AR1884" i="20"/>
  <c r="AR1885" i="20"/>
  <c r="AR1886" i="20"/>
  <c r="AR1887" i="20"/>
  <c r="AR1888" i="20"/>
  <c r="AR1889" i="20"/>
  <c r="AR1890" i="20"/>
  <c r="AR1891" i="20"/>
  <c r="AR1892" i="20"/>
  <c r="AR1893" i="20"/>
  <c r="AR1894" i="20"/>
  <c r="AR1895" i="20"/>
  <c r="AR1896" i="20"/>
  <c r="AR1897" i="20"/>
  <c r="AR1898" i="20"/>
  <c r="AR1899" i="20"/>
  <c r="AR1900" i="20"/>
  <c r="AR1901" i="20"/>
  <c r="AR1902" i="20"/>
  <c r="AR1903" i="20"/>
  <c r="AR1904" i="20"/>
  <c r="AR1905" i="20"/>
  <c r="AR1906" i="20"/>
  <c r="AR1907" i="20"/>
  <c r="AR1908" i="20"/>
  <c r="AR1909" i="20"/>
  <c r="AR1910" i="20"/>
  <c r="AR1911" i="20"/>
  <c r="AR1912" i="20"/>
  <c r="AR1913" i="20"/>
  <c r="AR1914" i="20"/>
  <c r="AR1915" i="20"/>
  <c r="AR1916" i="20"/>
  <c r="AR1917" i="20"/>
  <c r="AR1918" i="20"/>
  <c r="AR1919" i="20"/>
  <c r="AR1920" i="20"/>
  <c r="AR1921" i="20"/>
  <c r="AR1922" i="20"/>
  <c r="AR1923" i="20"/>
  <c r="AR1924" i="20"/>
  <c r="AR1925" i="20"/>
  <c r="AR1926" i="20"/>
  <c r="AR1927" i="20"/>
  <c r="AR1928" i="20"/>
  <c r="AR1929" i="20"/>
  <c r="AR1930" i="20"/>
  <c r="AR1931" i="20"/>
  <c r="AR1932" i="20"/>
  <c r="AR1933" i="20"/>
  <c r="AR1934" i="20"/>
  <c r="AR1935" i="20"/>
  <c r="AR1936" i="20"/>
  <c r="AR1937" i="20"/>
  <c r="AR1938" i="20"/>
  <c r="AR1939" i="20"/>
  <c r="AR1940" i="20"/>
  <c r="AR1941" i="20"/>
  <c r="AR1942" i="20"/>
  <c r="AR1943" i="20"/>
  <c r="AR1944" i="20"/>
  <c r="AR1945" i="20"/>
  <c r="AR1946" i="20"/>
  <c r="AR1947" i="20"/>
  <c r="AR1948" i="20"/>
  <c r="AR1949" i="20"/>
  <c r="AR1950" i="20"/>
  <c r="AR1951" i="20"/>
  <c r="AR1952" i="20"/>
  <c r="AR1953" i="20"/>
  <c r="AR1954" i="20"/>
  <c r="AR1955" i="20"/>
  <c r="AR1956" i="20"/>
  <c r="AR1957" i="20"/>
  <c r="AR1958" i="20"/>
  <c r="AR1959" i="20"/>
  <c r="AR1960" i="20"/>
  <c r="AR1961" i="20"/>
  <c r="AR1962" i="20"/>
  <c r="AR1963" i="20"/>
  <c r="AR1964" i="20"/>
  <c r="AR1965" i="20"/>
  <c r="AR1966" i="20"/>
  <c r="AR1967" i="20"/>
  <c r="AR1968" i="20"/>
  <c r="AR1969" i="20"/>
  <c r="AR1970" i="20"/>
  <c r="AR1971" i="20"/>
  <c r="AR1972" i="20"/>
  <c r="AR1973" i="20"/>
  <c r="AR1974" i="20"/>
  <c r="AR1975" i="20"/>
  <c r="AR1976" i="20"/>
  <c r="AR1977" i="20"/>
  <c r="AR1978" i="20"/>
  <c r="AR1979" i="20"/>
  <c r="AR1980" i="20"/>
  <c r="AR1981" i="20"/>
  <c r="AR1982" i="20"/>
  <c r="AR1983" i="20"/>
  <c r="AR1984" i="20"/>
  <c r="AR1985" i="20"/>
  <c r="AR1986" i="20"/>
  <c r="AR1987" i="20"/>
  <c r="AR1988" i="20"/>
  <c r="AR1989" i="20"/>
  <c r="AR1990" i="20"/>
  <c r="AR1991" i="20"/>
  <c r="AR1992" i="20"/>
  <c r="AR1993" i="20"/>
  <c r="AR1994" i="20"/>
  <c r="AR1995" i="20"/>
  <c r="AR1996" i="20"/>
  <c r="AR1997" i="20"/>
  <c r="AR1998" i="20"/>
  <c r="AR1999" i="20"/>
  <c r="AR2000" i="20"/>
  <c r="AR2001" i="20"/>
  <c r="AR2002" i="20"/>
  <c r="AR2003" i="20"/>
  <c r="AR2004" i="20"/>
  <c r="AR2005" i="20"/>
  <c r="AR2006" i="20"/>
  <c r="AR2007" i="20"/>
  <c r="AR2008" i="20"/>
  <c r="AR2009" i="20"/>
  <c r="AR2010" i="20"/>
  <c r="AR2011" i="20"/>
  <c r="AR2012" i="20"/>
  <c r="AR2013" i="20"/>
  <c r="AR2014" i="20"/>
  <c r="AR2015" i="20"/>
  <c r="AR2016" i="20"/>
  <c r="AR2017" i="20"/>
  <c r="AR2018" i="20"/>
  <c r="AR2019" i="20"/>
  <c r="AR2020" i="20"/>
  <c r="AR2021" i="20"/>
  <c r="AR2022" i="20"/>
  <c r="AR2023" i="20"/>
  <c r="AR2024" i="20"/>
  <c r="AR2025" i="20"/>
  <c r="AR2026" i="20"/>
  <c r="AR2027" i="20"/>
  <c r="AR2028" i="20"/>
  <c r="AR2029" i="20"/>
  <c r="AR2030" i="20"/>
  <c r="AR2031" i="20"/>
  <c r="AR2032" i="20"/>
  <c r="AR2033" i="20"/>
  <c r="AR2034" i="20"/>
  <c r="AR2035" i="20"/>
  <c r="AR2036" i="20"/>
  <c r="AR2037" i="20"/>
  <c r="AR2038" i="20"/>
  <c r="AR2039" i="20"/>
  <c r="AR2040" i="20"/>
  <c r="AR2041" i="20"/>
  <c r="AR2042" i="20"/>
  <c r="AR2043" i="20"/>
  <c r="AR2044" i="20"/>
  <c r="AR2045" i="20"/>
  <c r="AR2046" i="20"/>
  <c r="AR2047" i="20"/>
  <c r="AR2048" i="20"/>
  <c r="AR2049" i="20"/>
  <c r="AR2050" i="20"/>
  <c r="AR2051" i="20"/>
  <c r="AR2052" i="20"/>
  <c r="AR2053" i="20"/>
  <c r="AR2054" i="20"/>
  <c r="AR2055" i="20"/>
  <c r="AR2056" i="20"/>
  <c r="AR2057" i="20"/>
  <c r="AR2058" i="20"/>
  <c r="AR2059" i="20"/>
  <c r="AR2060" i="20"/>
  <c r="AR2061" i="20"/>
  <c r="AR2062" i="20"/>
  <c r="AR2063" i="20"/>
  <c r="AR2064" i="20"/>
  <c r="AR2065" i="20"/>
  <c r="AR2066" i="20"/>
  <c r="AR2067" i="20"/>
  <c r="AR2068" i="20"/>
  <c r="AR2069" i="20"/>
  <c r="AR2070" i="20"/>
  <c r="AR2071" i="20"/>
  <c r="AR2072" i="20"/>
  <c r="AR2073" i="20"/>
  <c r="AR2074" i="20"/>
  <c r="AR2075" i="20"/>
  <c r="AR2076" i="20"/>
  <c r="AR2077" i="20"/>
  <c r="AR2078" i="20"/>
  <c r="AR2079" i="20"/>
  <c r="AR2080" i="20"/>
  <c r="AR2081" i="20"/>
  <c r="AR2082" i="20"/>
  <c r="AR2083" i="20"/>
  <c r="AR2084" i="20"/>
  <c r="AR2085" i="20"/>
  <c r="AR2086" i="20"/>
  <c r="AR2087" i="20"/>
  <c r="AR2088" i="20"/>
  <c r="AR2089" i="20"/>
  <c r="AR2090" i="20"/>
  <c r="AR2091" i="20"/>
  <c r="AR2092" i="20"/>
  <c r="AR2093" i="20"/>
  <c r="AR2094" i="20"/>
  <c r="AR2095" i="20"/>
  <c r="AR2096" i="20"/>
  <c r="AR2097" i="20"/>
  <c r="AR2098" i="20"/>
  <c r="AR2099" i="20"/>
  <c r="AR2100" i="20"/>
  <c r="AR2101" i="20"/>
  <c r="AR2102" i="20"/>
  <c r="AR2103" i="20"/>
  <c r="AR2104" i="20"/>
  <c r="AR2105" i="20"/>
  <c r="AR2106" i="20"/>
  <c r="AR2107" i="20"/>
  <c r="AR2108" i="20"/>
  <c r="AR2109" i="20"/>
  <c r="AR2110" i="20"/>
  <c r="AR2111" i="20"/>
  <c r="AR2112" i="20"/>
  <c r="AR2113" i="20"/>
  <c r="AR2114" i="20"/>
  <c r="AR2115" i="20"/>
  <c r="AR2116" i="20"/>
  <c r="AR2117" i="20"/>
  <c r="AR2118" i="20"/>
  <c r="AR2119" i="20"/>
  <c r="AR2120" i="20"/>
  <c r="AR2121" i="20"/>
  <c r="AR2122" i="20"/>
  <c r="AR2123" i="20"/>
  <c r="AR2124" i="20"/>
  <c r="AR2125" i="20"/>
  <c r="AR2126" i="20"/>
  <c r="AR2127" i="20"/>
  <c r="AR2128" i="20"/>
  <c r="AR2129" i="20"/>
  <c r="AR2130" i="20"/>
  <c r="AR2131" i="20"/>
  <c r="AR2132" i="20"/>
  <c r="AR2133" i="20"/>
  <c r="AR2134" i="20"/>
  <c r="AR2135" i="20"/>
  <c r="AR2136" i="20"/>
  <c r="AR2137" i="20"/>
  <c r="AR2138" i="20"/>
  <c r="AR2139" i="20"/>
  <c r="AR2140" i="20"/>
  <c r="AR2141" i="20"/>
  <c r="AR2142" i="20"/>
  <c r="AR2143" i="20"/>
  <c r="AR2144" i="20"/>
  <c r="AR2145" i="20"/>
  <c r="AR2146" i="20"/>
  <c r="AR2147" i="20"/>
  <c r="AR2148" i="20"/>
  <c r="AR2149" i="20"/>
  <c r="AR2150" i="20"/>
  <c r="AR2151" i="20"/>
  <c r="AR2152" i="20"/>
  <c r="AR2153" i="20"/>
  <c r="AR2154" i="20"/>
  <c r="AR2155" i="20"/>
  <c r="AR2156" i="20"/>
  <c r="AR2157" i="20"/>
  <c r="AR2158" i="20"/>
  <c r="AR2159" i="20"/>
  <c r="AR2160" i="20"/>
  <c r="AR2161" i="20"/>
  <c r="AR2162" i="20"/>
  <c r="AR2163" i="20"/>
  <c r="AR2164" i="20"/>
  <c r="AR2165" i="20"/>
  <c r="AR2166" i="20"/>
  <c r="AR2167" i="20"/>
  <c r="AR2168" i="20"/>
  <c r="AR2169" i="20"/>
  <c r="AR2170" i="20"/>
  <c r="AR2171" i="20"/>
  <c r="AR2172" i="20"/>
  <c r="AR2173" i="20"/>
  <c r="AR2174" i="20"/>
  <c r="AR2175" i="20"/>
  <c r="AR2176" i="20"/>
  <c r="AR2177" i="20"/>
  <c r="AR2178" i="20"/>
  <c r="AR2179" i="20"/>
  <c r="AR2180" i="20"/>
  <c r="AR2181" i="20"/>
  <c r="AR2182" i="20"/>
  <c r="AR2183" i="20"/>
  <c r="AR2184" i="20"/>
  <c r="AR2185" i="20"/>
  <c r="AR2186" i="20"/>
  <c r="AR2187" i="20"/>
  <c r="AR2188" i="20"/>
  <c r="AR2189" i="20"/>
  <c r="AR2190" i="20"/>
  <c r="AR2191" i="20"/>
  <c r="AR2192" i="20"/>
  <c r="AR2193" i="20"/>
  <c r="AR2194" i="20"/>
  <c r="AR2195" i="20"/>
  <c r="AR2196" i="20"/>
  <c r="AR2197" i="20"/>
  <c r="AR2198" i="20"/>
  <c r="AR2199" i="20"/>
  <c r="AR2200" i="20"/>
  <c r="AR2201" i="20"/>
  <c r="AR2202" i="20"/>
  <c r="AR2203" i="20"/>
  <c r="AR2204" i="20"/>
  <c r="AR2205" i="20"/>
  <c r="AR2206" i="20"/>
  <c r="AR2207" i="20"/>
  <c r="AR2208" i="20"/>
  <c r="AR2209" i="20"/>
  <c r="AR2210" i="20"/>
  <c r="AR2211" i="20"/>
  <c r="AR2212" i="20"/>
  <c r="AR2213" i="20"/>
  <c r="AR2214" i="20"/>
  <c r="AR2215" i="20"/>
  <c r="AR2216" i="20"/>
  <c r="AR2217" i="20"/>
  <c r="AR2218" i="20"/>
  <c r="AR2219" i="20"/>
  <c r="AR2220" i="20"/>
  <c r="AR2221" i="20"/>
  <c r="AR2222" i="20"/>
  <c r="AR2223" i="20"/>
  <c r="AR2224" i="20"/>
  <c r="AR2225" i="20"/>
  <c r="AR2226" i="20"/>
  <c r="AR2227" i="20"/>
  <c r="AR2228" i="20"/>
  <c r="AR2229" i="20"/>
  <c r="AR2230" i="20"/>
  <c r="AR2231" i="20"/>
  <c r="AR2232" i="20"/>
  <c r="AR2233" i="20"/>
  <c r="AR2234" i="20"/>
  <c r="AR2235" i="20"/>
  <c r="AR2236" i="20"/>
  <c r="AR2237" i="20"/>
  <c r="AR2238" i="20"/>
  <c r="AR2239" i="20"/>
  <c r="AR2240" i="20"/>
  <c r="AR2241" i="20"/>
  <c r="AR2242" i="20"/>
  <c r="AR2243" i="20"/>
  <c r="AR2244" i="20"/>
  <c r="AR2245" i="20"/>
  <c r="AR2246" i="20"/>
  <c r="AR2247" i="20"/>
  <c r="AR2248" i="20"/>
  <c r="AR2249" i="20"/>
  <c r="AR2250" i="20"/>
  <c r="AR2251" i="20"/>
  <c r="AR2252" i="20"/>
  <c r="AR2253" i="20"/>
  <c r="AR2254" i="20"/>
  <c r="AR2255" i="20"/>
  <c r="AR2256" i="20"/>
  <c r="AR2257" i="20"/>
  <c r="AR2258" i="20"/>
  <c r="AR2259" i="20"/>
  <c r="AR2260" i="20"/>
  <c r="AR2261" i="20"/>
  <c r="AR2262" i="20"/>
  <c r="AR2263" i="20"/>
  <c r="AR2264" i="20"/>
  <c r="AR2265" i="20"/>
  <c r="AR2266" i="20"/>
  <c r="AR2267" i="20"/>
  <c r="AR2268" i="20"/>
  <c r="AR2269" i="20"/>
  <c r="AR2270" i="20"/>
  <c r="AR2271" i="20"/>
  <c r="AR2272" i="20"/>
  <c r="AR2273" i="20"/>
  <c r="AR2274" i="20"/>
  <c r="AR2275" i="20"/>
  <c r="AR2276" i="20"/>
  <c r="AR2277" i="20"/>
  <c r="AR2278" i="20"/>
  <c r="AR2279" i="20"/>
  <c r="AR2280" i="20"/>
  <c r="AR2281" i="20"/>
  <c r="AR2282" i="20"/>
  <c r="AR2283" i="20"/>
  <c r="AR2284" i="20"/>
  <c r="AR2285" i="20"/>
  <c r="AR2286" i="20"/>
  <c r="AR2287" i="20"/>
  <c r="AR2288" i="20"/>
  <c r="AR2289" i="20"/>
  <c r="AR2290" i="20"/>
  <c r="AR2291" i="20"/>
  <c r="AR2292" i="20"/>
  <c r="AR2293" i="20"/>
  <c r="AR2294" i="20"/>
  <c r="AR2295" i="20"/>
  <c r="AR2296" i="20"/>
  <c r="AR2297" i="20"/>
  <c r="AR2298" i="20"/>
  <c r="AR2299" i="20"/>
  <c r="AR2300" i="20"/>
  <c r="AR2301" i="20"/>
  <c r="AR2302" i="20"/>
  <c r="AR2303" i="20"/>
  <c r="AR2304" i="20"/>
  <c r="AR2305" i="20"/>
  <c r="AR2306" i="20"/>
  <c r="AR2307" i="20"/>
  <c r="AR2308" i="20"/>
  <c r="AR2309" i="20"/>
  <c r="AR2310" i="20"/>
  <c r="AR2311" i="20"/>
  <c r="AR2312" i="20"/>
  <c r="AR2313" i="20"/>
  <c r="AR2314" i="20"/>
  <c r="AR2315" i="20"/>
  <c r="AR2316" i="20"/>
  <c r="AR2317" i="20"/>
  <c r="AR2318" i="20"/>
  <c r="AR2319" i="20"/>
  <c r="AR2320" i="20"/>
  <c r="AR2321" i="20"/>
  <c r="AR2322" i="20"/>
  <c r="AR2323" i="20"/>
  <c r="AR2324" i="20"/>
  <c r="AR2325" i="20"/>
  <c r="AR2326" i="20"/>
  <c r="AR2327" i="20"/>
  <c r="AR2328" i="20"/>
  <c r="AR2329" i="20"/>
  <c r="AR2330" i="20"/>
  <c r="AR2331" i="20"/>
  <c r="AR2332" i="20"/>
  <c r="AR2333" i="20"/>
  <c r="AR2334" i="20"/>
  <c r="AR2335" i="20"/>
  <c r="AR2336" i="20"/>
  <c r="AR2337" i="20"/>
  <c r="AR2338" i="20"/>
  <c r="AR2339" i="20"/>
  <c r="AR2340" i="20"/>
  <c r="AR2341" i="20"/>
  <c r="AR2342" i="20"/>
  <c r="AR2343" i="20"/>
  <c r="AR2344" i="20"/>
  <c r="AR2345" i="20"/>
  <c r="AR2346" i="20"/>
  <c r="AR2347" i="20"/>
  <c r="AR2348" i="20"/>
  <c r="AR2349" i="20"/>
  <c r="AR2350" i="20"/>
  <c r="AR2351" i="20"/>
  <c r="AR2352" i="20"/>
  <c r="AR2353" i="20"/>
  <c r="AR2354" i="20"/>
  <c r="AR2355" i="20"/>
  <c r="AR2356" i="20"/>
  <c r="AR2357" i="20"/>
  <c r="AR2358" i="20"/>
  <c r="AR2359" i="20"/>
  <c r="AR2360" i="20"/>
  <c r="AR2361" i="20"/>
  <c r="AR2362" i="20"/>
  <c r="AR2363" i="20"/>
  <c r="AR2364" i="20"/>
  <c r="AR2365" i="20"/>
  <c r="AR2366" i="20"/>
  <c r="AR2367" i="20"/>
  <c r="AR2368" i="20"/>
  <c r="AR2369" i="20"/>
  <c r="AR2370" i="20"/>
  <c r="AR2371" i="20"/>
  <c r="AR2372" i="20"/>
  <c r="AR2373" i="20"/>
  <c r="AR2374" i="20"/>
  <c r="AR2375" i="20"/>
  <c r="AR2376" i="20"/>
  <c r="AR2377" i="20"/>
  <c r="AR2378" i="20"/>
  <c r="AR2379" i="20"/>
  <c r="AR2380" i="20"/>
  <c r="AR2381" i="20"/>
  <c r="AR2382" i="20"/>
  <c r="AR2383" i="20"/>
  <c r="AR2384" i="20"/>
  <c r="AR2385" i="20"/>
  <c r="AR2386" i="20"/>
  <c r="AR2387" i="20"/>
  <c r="AR2388" i="20"/>
  <c r="AR2389" i="20"/>
  <c r="AR2390" i="20"/>
  <c r="AR2391" i="20"/>
  <c r="AR2392" i="20"/>
  <c r="AR2393" i="20"/>
  <c r="AR2394" i="20"/>
  <c r="AR2395" i="20"/>
  <c r="AR2396" i="20"/>
  <c r="AR2397" i="20"/>
  <c r="AR2398" i="20"/>
  <c r="AR2399" i="20"/>
  <c r="AR2400" i="20"/>
  <c r="AR2401" i="20"/>
  <c r="AR2402" i="20"/>
  <c r="AR2403" i="20"/>
  <c r="AR2404" i="20"/>
  <c r="AR2405" i="20"/>
  <c r="AR2406" i="20"/>
  <c r="AR2407" i="20"/>
  <c r="AR2408" i="20"/>
  <c r="AR2409" i="20"/>
  <c r="AR2410" i="20"/>
  <c r="AR2411" i="20"/>
  <c r="AR2412" i="20"/>
  <c r="AR2413" i="20"/>
  <c r="AR2414" i="20"/>
  <c r="AR2415" i="20"/>
  <c r="AR2416" i="20"/>
  <c r="AR2417" i="20"/>
  <c r="AR2418" i="20"/>
  <c r="AR2419" i="20"/>
  <c r="AR2420" i="20"/>
  <c r="AR2421" i="20"/>
  <c r="AR2422" i="20"/>
  <c r="AR2423" i="20"/>
  <c r="AR2424" i="20"/>
  <c r="AR2425" i="20"/>
  <c r="AR2426" i="20"/>
  <c r="AR2427" i="20"/>
  <c r="AR2428" i="20"/>
  <c r="AR2429" i="20"/>
  <c r="AR2430" i="20"/>
  <c r="AR2431" i="20"/>
  <c r="AR2432" i="20"/>
  <c r="AR2433" i="20"/>
  <c r="AR2434" i="20"/>
  <c r="AR2435" i="20"/>
  <c r="AR2436" i="20"/>
  <c r="AR2437" i="20"/>
  <c r="AR2438" i="20"/>
  <c r="AR2439" i="20"/>
  <c r="AR2440" i="20"/>
  <c r="AR2441" i="20"/>
  <c r="AR2442" i="20"/>
  <c r="AR2443" i="20"/>
  <c r="AR2444" i="20"/>
  <c r="AR2445" i="20"/>
  <c r="AR2446" i="20"/>
  <c r="AR2447" i="20"/>
  <c r="AR2448" i="20"/>
  <c r="AR2449" i="20"/>
  <c r="AR2450" i="20"/>
  <c r="AR2451" i="20"/>
  <c r="AR2452" i="20"/>
  <c r="AR2453" i="20"/>
  <c r="AR2454" i="20"/>
  <c r="AR2455" i="20"/>
  <c r="AR2456" i="20"/>
  <c r="AR2457" i="20"/>
  <c r="AR2458" i="20"/>
  <c r="AR2459" i="20"/>
  <c r="AR2460" i="20"/>
  <c r="AR2461" i="20"/>
  <c r="AR2462" i="20"/>
  <c r="AR2463" i="20"/>
  <c r="AR2464" i="20"/>
  <c r="AR2465" i="20"/>
  <c r="AR2466" i="20"/>
  <c r="AR2467" i="20"/>
  <c r="AR2468" i="20"/>
  <c r="AR2469" i="20"/>
  <c r="AR2470" i="20"/>
  <c r="AR2471" i="20"/>
  <c r="AR2472" i="20"/>
  <c r="AR2473" i="20"/>
  <c r="AR2474" i="20"/>
  <c r="AR2475" i="20"/>
  <c r="AR2476" i="20"/>
  <c r="AR2477" i="20"/>
  <c r="AR2478" i="20"/>
  <c r="AR2479" i="20"/>
  <c r="AR2480" i="20"/>
  <c r="AR2481" i="20"/>
  <c r="AR2482" i="20"/>
  <c r="AR2483" i="20"/>
  <c r="AR2484" i="20"/>
  <c r="AR2485" i="20"/>
  <c r="AR2486" i="20"/>
  <c r="AR2487" i="20"/>
  <c r="AR2488" i="20"/>
  <c r="AR2489" i="20"/>
  <c r="AR2490" i="20"/>
  <c r="AR2491" i="20"/>
  <c r="AR2492" i="20"/>
  <c r="AR2493" i="20"/>
  <c r="AR2494" i="20"/>
  <c r="AR2495" i="20"/>
  <c r="AR2496" i="20"/>
  <c r="AR2497" i="20"/>
  <c r="AR2498" i="20"/>
  <c r="AR2499" i="20"/>
  <c r="AR2500" i="20"/>
  <c r="AR2501" i="20"/>
  <c r="AR2502" i="20"/>
  <c r="AR2503" i="20"/>
  <c r="AR2504" i="20"/>
  <c r="AR2505" i="20"/>
  <c r="AR2506" i="20"/>
  <c r="AR2507" i="20"/>
  <c r="AR2508" i="20"/>
  <c r="AR2509" i="20"/>
  <c r="AR2510" i="20"/>
  <c r="AR2511" i="20"/>
  <c r="AR2512" i="20"/>
  <c r="AR2513" i="20"/>
  <c r="AR2514" i="20"/>
  <c r="AR2515" i="20"/>
  <c r="AR2516" i="20"/>
  <c r="AR2517" i="20"/>
  <c r="AR2518" i="20"/>
  <c r="AR2519" i="20"/>
  <c r="AR2520" i="20"/>
  <c r="AR2521" i="20"/>
  <c r="AR2522" i="20"/>
  <c r="AR2523" i="20"/>
  <c r="AR2524" i="20"/>
  <c r="AR2525" i="20"/>
  <c r="AR2526" i="20"/>
  <c r="AR2527" i="20"/>
  <c r="AR2528" i="20"/>
  <c r="AR2529" i="20"/>
  <c r="AR2530" i="20"/>
  <c r="AR2531" i="20"/>
  <c r="AR2532" i="20"/>
  <c r="AR2533" i="20"/>
  <c r="AR2534" i="20"/>
  <c r="AR2535" i="20"/>
  <c r="AR2536" i="20"/>
  <c r="AR2537" i="20"/>
  <c r="AR2538" i="20"/>
  <c r="AR2539" i="20"/>
  <c r="AR2540" i="20"/>
  <c r="AR2541" i="20"/>
  <c r="AR2542" i="20"/>
  <c r="AR2543" i="20"/>
  <c r="AR2544" i="20"/>
  <c r="AR2545" i="20"/>
  <c r="AR2546" i="20"/>
  <c r="AR2547" i="20"/>
  <c r="AR2548" i="20"/>
  <c r="AR2549" i="20"/>
  <c r="AR2550" i="20"/>
  <c r="AR2551" i="20"/>
  <c r="AR2552" i="20"/>
  <c r="AR2553" i="20"/>
  <c r="AR2554" i="20"/>
  <c r="AR2555" i="20"/>
  <c r="AR2556" i="20"/>
  <c r="AR2557" i="20"/>
  <c r="AR2558" i="20"/>
  <c r="AR2559" i="20"/>
  <c r="AR2560" i="20"/>
  <c r="AR2561" i="20"/>
  <c r="AR2562" i="20"/>
  <c r="AR2563" i="20"/>
  <c r="AR2564" i="20"/>
  <c r="AR2565" i="20"/>
  <c r="AR2566" i="20"/>
  <c r="AR2567" i="20"/>
  <c r="AR2568" i="20"/>
  <c r="AR2569" i="20"/>
  <c r="AR2570" i="20"/>
  <c r="AR2571" i="20"/>
  <c r="AR2572" i="20"/>
  <c r="AR2573" i="20"/>
  <c r="AR2574" i="20"/>
  <c r="AR2575" i="20"/>
  <c r="AR2576" i="20"/>
  <c r="AR2577" i="20"/>
  <c r="AR2578" i="20"/>
  <c r="AR2579" i="20"/>
  <c r="AR2580" i="20"/>
  <c r="AR2581" i="20"/>
  <c r="AR2582" i="20"/>
  <c r="AR2583" i="20"/>
  <c r="AR2584" i="20"/>
  <c r="AR2585" i="20"/>
  <c r="AR2586" i="20"/>
  <c r="AR2587" i="20"/>
  <c r="AR2588" i="20"/>
  <c r="AR2589" i="20"/>
  <c r="AR2590" i="20"/>
  <c r="AR2591" i="20"/>
  <c r="AR2592" i="20"/>
  <c r="AR2593" i="20"/>
  <c r="AR2594" i="20"/>
  <c r="AR2595" i="20"/>
  <c r="AR2596" i="20"/>
  <c r="AR2597" i="20"/>
  <c r="AR2598" i="20"/>
  <c r="AR2599" i="20"/>
  <c r="AR2600" i="20"/>
  <c r="AR2601" i="20"/>
  <c r="AR2602" i="20"/>
  <c r="AR2603" i="20"/>
  <c r="AR2604" i="20"/>
  <c r="AR2605" i="20"/>
  <c r="AR2606" i="20"/>
  <c r="AR2607" i="20"/>
  <c r="AR2608" i="20"/>
  <c r="AR2609" i="20"/>
  <c r="AR2610" i="20"/>
  <c r="AR2611" i="20"/>
  <c r="AR2612" i="20"/>
  <c r="AR2613" i="20"/>
  <c r="AR2614" i="20"/>
  <c r="AR2615" i="20"/>
  <c r="AR2616" i="20"/>
  <c r="AR2617" i="20"/>
  <c r="AR2618" i="20"/>
  <c r="AR2619" i="20"/>
  <c r="AR2620" i="20"/>
  <c r="AR2621" i="20"/>
  <c r="AR2622" i="20"/>
  <c r="AR2623" i="20"/>
  <c r="AR2624" i="20"/>
  <c r="AR2625" i="20"/>
  <c r="AR2626" i="20"/>
  <c r="AR2627" i="20"/>
  <c r="AR2628" i="20"/>
  <c r="AR2629" i="20"/>
  <c r="AR2630" i="20"/>
  <c r="AR2631" i="20"/>
  <c r="AR2632" i="20"/>
  <c r="AR2633" i="20"/>
  <c r="AR2634" i="20"/>
  <c r="AR2635" i="20"/>
  <c r="AR2636" i="20"/>
  <c r="AR2637" i="20"/>
  <c r="AR2638" i="20"/>
  <c r="AR2639" i="20"/>
  <c r="AR2640" i="20"/>
  <c r="AR2641" i="20"/>
  <c r="AR2642" i="20"/>
  <c r="AR2643" i="20"/>
  <c r="AR2644" i="20"/>
  <c r="AR2645" i="20"/>
  <c r="AR2646" i="20"/>
  <c r="AR2647" i="20"/>
  <c r="AR2648" i="20"/>
  <c r="AR2649" i="20"/>
  <c r="AR2650" i="20"/>
  <c r="AR2651" i="20"/>
  <c r="AR2652" i="20"/>
  <c r="AR2653" i="20"/>
  <c r="AR2654" i="20"/>
  <c r="AR2655" i="20"/>
  <c r="AR2656" i="20"/>
  <c r="AR2657" i="20"/>
  <c r="AR2658" i="20"/>
  <c r="AR2659" i="20"/>
  <c r="AR2660" i="20"/>
  <c r="AR2661" i="20"/>
  <c r="AR2662" i="20"/>
  <c r="AR2663" i="20"/>
  <c r="AR2664" i="20"/>
  <c r="AR2665" i="20"/>
  <c r="AR2666" i="20"/>
  <c r="AR2667" i="20"/>
  <c r="AR2668" i="20"/>
  <c r="AR2669" i="20"/>
  <c r="AR2670" i="20"/>
  <c r="AR2671" i="20"/>
  <c r="AR2672" i="20"/>
  <c r="AR2673" i="20"/>
  <c r="AR2674" i="20"/>
  <c r="AR2675" i="20"/>
  <c r="AR2676" i="20"/>
  <c r="AR2677" i="20"/>
  <c r="AR2678" i="20"/>
  <c r="AR2679" i="20"/>
  <c r="AR2680" i="20"/>
  <c r="AR2681" i="20"/>
  <c r="AR2682" i="20"/>
  <c r="AR2683" i="20"/>
  <c r="AR2684" i="20"/>
  <c r="AR2685" i="20"/>
  <c r="AR2686" i="20"/>
  <c r="AR2687" i="20"/>
  <c r="AR2688" i="20"/>
  <c r="AR2689" i="20"/>
  <c r="AR2690" i="20"/>
  <c r="AR2691" i="20"/>
  <c r="AR2692" i="20"/>
  <c r="AR2693" i="20"/>
  <c r="AR2694" i="20"/>
  <c r="AR2695" i="20"/>
  <c r="AR2696" i="20"/>
  <c r="AR2697" i="20"/>
  <c r="AR2698" i="20"/>
  <c r="AR2699" i="20"/>
  <c r="AR2700" i="20"/>
  <c r="AR2701" i="20"/>
  <c r="AR2702" i="20"/>
  <c r="AR2703" i="20"/>
  <c r="AR2704" i="20"/>
  <c r="AR2705" i="20"/>
  <c r="AR2706" i="20"/>
  <c r="AR2707" i="20"/>
  <c r="AR2708" i="20"/>
  <c r="AR2709" i="20"/>
  <c r="AR2710" i="20"/>
  <c r="AR2711" i="20"/>
  <c r="AR2712" i="20"/>
  <c r="AR2713" i="20"/>
  <c r="AR2714" i="20"/>
  <c r="AR2715" i="20"/>
  <c r="AR2716" i="20"/>
  <c r="AR2717" i="20"/>
  <c r="AR2718" i="20"/>
  <c r="AR2719" i="20"/>
  <c r="AR2720" i="20"/>
  <c r="AR2721" i="20"/>
  <c r="AR2722" i="20"/>
  <c r="AR2723" i="20"/>
  <c r="AR2724" i="20"/>
  <c r="AR2725" i="20"/>
  <c r="AR2726" i="20"/>
  <c r="AR2727" i="20"/>
  <c r="AR2728" i="20"/>
  <c r="AR2729" i="20"/>
  <c r="AR2730" i="20"/>
  <c r="AR2731" i="20"/>
  <c r="AR2732" i="20"/>
  <c r="AR2733" i="20"/>
  <c r="AR2734" i="20"/>
  <c r="AR2735" i="20"/>
  <c r="AR2736" i="20"/>
  <c r="AR2737" i="20"/>
  <c r="AR2738" i="20"/>
  <c r="AR2739" i="20"/>
  <c r="AR2740" i="20"/>
  <c r="AR2741" i="20"/>
  <c r="AR2742" i="20"/>
  <c r="AR2743" i="20"/>
  <c r="AR2744" i="20"/>
  <c r="AR2745" i="20"/>
  <c r="AR2746" i="20"/>
  <c r="AR2747" i="20"/>
  <c r="AR2748" i="20"/>
  <c r="AR2749" i="20"/>
  <c r="AR2750" i="20"/>
  <c r="AR2751" i="20"/>
  <c r="AR2752" i="20"/>
  <c r="AR2753" i="20"/>
  <c r="AR2754" i="20"/>
  <c r="AR2755" i="20"/>
  <c r="AR2756" i="20"/>
  <c r="AR2757" i="20"/>
  <c r="AR2758" i="20"/>
  <c r="AR2759" i="20"/>
  <c r="AR2760" i="20"/>
  <c r="AR2761" i="20"/>
  <c r="AR2762" i="20"/>
  <c r="AR2763" i="20"/>
  <c r="AR2764" i="20"/>
  <c r="AR2765" i="20"/>
  <c r="AR2766" i="20"/>
  <c r="AR2767" i="20"/>
  <c r="AR2768" i="20"/>
  <c r="AR2769" i="20"/>
  <c r="AR2770" i="20"/>
  <c r="AR2771" i="20"/>
  <c r="AR2772" i="20"/>
  <c r="AR2773" i="20"/>
  <c r="AR2774" i="20"/>
  <c r="AR2775" i="20"/>
  <c r="AR2776" i="20"/>
  <c r="AR2777" i="20"/>
  <c r="AR2778" i="20"/>
  <c r="AR2779" i="20"/>
  <c r="AR2780" i="20"/>
  <c r="AR2781" i="20"/>
  <c r="AR2782" i="20"/>
  <c r="AR2783" i="20"/>
  <c r="AR2784" i="20"/>
  <c r="AR2785" i="20"/>
  <c r="AR2786" i="20"/>
  <c r="AR2787" i="20"/>
  <c r="AR2788" i="20"/>
  <c r="AR2789" i="20"/>
  <c r="AR2790" i="20"/>
  <c r="AR2791" i="20"/>
  <c r="AR2792" i="20"/>
  <c r="AR2793" i="20"/>
  <c r="AR2794" i="20"/>
  <c r="AR2795" i="20"/>
  <c r="AR2796" i="20"/>
  <c r="AR2797" i="20"/>
  <c r="AR2798" i="20"/>
  <c r="AR2799" i="20"/>
  <c r="AR2800" i="20"/>
  <c r="AR2801" i="20"/>
  <c r="AR2802" i="20"/>
  <c r="AR2803" i="20"/>
  <c r="AR2804" i="20"/>
  <c r="AR2805" i="20"/>
  <c r="AR2806" i="20"/>
  <c r="AR2807" i="20"/>
  <c r="AR2808" i="20"/>
  <c r="AR2809" i="20"/>
  <c r="AR2810" i="20"/>
  <c r="AR2811" i="20"/>
  <c r="AR2812" i="20"/>
  <c r="AR2813" i="20"/>
  <c r="AR2814" i="20"/>
  <c r="AR2815" i="20"/>
  <c r="AR2816" i="20"/>
  <c r="AR2817" i="20"/>
  <c r="AR2818" i="20"/>
  <c r="AR2819" i="20"/>
  <c r="AR2820" i="20"/>
  <c r="AR2821" i="20"/>
  <c r="AR2822" i="20"/>
  <c r="AR2823" i="20"/>
  <c r="AR2824" i="20"/>
  <c r="AR2825" i="20"/>
  <c r="AR2826" i="20"/>
  <c r="AR2827" i="20"/>
  <c r="AR2828" i="20"/>
  <c r="AR2829" i="20"/>
  <c r="AR2830" i="20"/>
  <c r="AR2831" i="20"/>
  <c r="AR2832" i="20"/>
  <c r="AR2833" i="20"/>
  <c r="AR2834" i="20"/>
  <c r="AR2835" i="20"/>
  <c r="AR2836" i="20"/>
  <c r="AR2837" i="20"/>
  <c r="AR2838" i="20"/>
  <c r="AR2839" i="20"/>
  <c r="AR2840" i="20"/>
  <c r="AR2841" i="20"/>
  <c r="AR2842" i="20"/>
  <c r="AR2843" i="20"/>
  <c r="AR2844" i="20"/>
  <c r="AR2845" i="20"/>
  <c r="AR2846" i="20"/>
  <c r="AR2847" i="20"/>
  <c r="AR2848" i="20"/>
  <c r="AR2849" i="20"/>
  <c r="AR2850" i="20"/>
  <c r="AR2851" i="20"/>
  <c r="AR2852" i="20"/>
  <c r="AR2853" i="20"/>
  <c r="AR2854" i="20"/>
  <c r="AR2855" i="20"/>
  <c r="AR2856" i="20"/>
  <c r="AR2857" i="20"/>
  <c r="AR2858" i="20"/>
  <c r="AR2859" i="20"/>
  <c r="AR2860" i="20"/>
  <c r="AR2861" i="20"/>
  <c r="AR2862" i="20"/>
  <c r="AR2863" i="20"/>
  <c r="AR2864" i="20"/>
  <c r="AR2865" i="20"/>
  <c r="AR2866" i="20"/>
  <c r="AR2867" i="20"/>
  <c r="AR2868" i="20"/>
  <c r="AR2869" i="20"/>
  <c r="AR2870" i="20"/>
  <c r="AR2871" i="20"/>
  <c r="AR2872" i="20"/>
  <c r="AR2873" i="20"/>
  <c r="AR2874" i="20"/>
  <c r="AR2875" i="20"/>
  <c r="AR2876" i="20"/>
  <c r="AR2877" i="20"/>
  <c r="AR2878" i="20"/>
  <c r="AR2879" i="20"/>
  <c r="AR2880" i="20"/>
  <c r="AR2881" i="20"/>
  <c r="AR2882" i="20"/>
  <c r="AR2883" i="20"/>
  <c r="AR2884" i="20"/>
  <c r="AR2885" i="20"/>
  <c r="AR2886" i="20"/>
  <c r="AR2887" i="20"/>
  <c r="AR2888" i="20"/>
  <c r="AR2889" i="20"/>
  <c r="AR2890" i="20"/>
  <c r="AR2891" i="20"/>
  <c r="AR2892" i="20"/>
  <c r="AR2893" i="20"/>
  <c r="AR2894" i="20"/>
  <c r="AR2895" i="20"/>
  <c r="AR2896" i="20"/>
  <c r="AR2897" i="20"/>
  <c r="AR2898" i="20"/>
  <c r="AR2899" i="20"/>
  <c r="AR2900" i="20"/>
  <c r="AR2901" i="20"/>
  <c r="AR2902" i="20"/>
  <c r="AR2903" i="20"/>
  <c r="AR2904" i="20"/>
  <c r="AR2905" i="20"/>
  <c r="AR2906" i="20"/>
  <c r="AR2907" i="20"/>
  <c r="AR2908" i="20"/>
  <c r="AR2909" i="20"/>
  <c r="AR2910" i="20"/>
  <c r="AR2911" i="20"/>
  <c r="AR2912" i="20"/>
  <c r="AR2913" i="20"/>
  <c r="AR2914" i="20"/>
  <c r="AR2915" i="20"/>
  <c r="AR2916" i="20"/>
  <c r="AR2917" i="20"/>
  <c r="AR2918" i="20"/>
  <c r="AR2919" i="20"/>
  <c r="AR2920" i="20"/>
  <c r="AR2921" i="20"/>
  <c r="AR2922" i="20"/>
  <c r="AR2923" i="20"/>
  <c r="AR2924" i="20"/>
  <c r="AR2925" i="20"/>
  <c r="AR2926" i="20"/>
  <c r="AR2927" i="20"/>
  <c r="AR2928" i="20"/>
  <c r="AR2929" i="20"/>
  <c r="AR2930" i="20"/>
  <c r="AR2931" i="20"/>
  <c r="AR2932" i="20"/>
  <c r="AR2933" i="20"/>
  <c r="AR2934" i="20"/>
  <c r="AR2935" i="20"/>
  <c r="AR2936" i="20"/>
  <c r="AR2937" i="20"/>
  <c r="AR2938" i="20"/>
  <c r="AR2939" i="20"/>
  <c r="AR2940" i="20"/>
  <c r="AR2941" i="20"/>
  <c r="AR2942" i="20"/>
  <c r="AR2943" i="20"/>
  <c r="AR2944" i="20"/>
  <c r="AR2945" i="20"/>
  <c r="AR2946" i="20"/>
  <c r="AR2947" i="20"/>
  <c r="AR2948" i="20"/>
  <c r="AR2949" i="20"/>
  <c r="AR2950" i="20"/>
  <c r="AR2951" i="20"/>
  <c r="AR2952" i="20"/>
  <c r="AR2953" i="20"/>
  <c r="AR2954" i="20"/>
  <c r="AR2955" i="20"/>
  <c r="AR2956" i="20"/>
  <c r="AR2957" i="20"/>
  <c r="AR2958" i="20"/>
  <c r="AR2959" i="20"/>
  <c r="AR2960" i="20"/>
  <c r="AR2961" i="20"/>
  <c r="AR2962" i="20"/>
  <c r="AR2963" i="20"/>
  <c r="AR2964" i="20"/>
  <c r="AR2965" i="20"/>
  <c r="AR2966" i="20"/>
  <c r="AR2967" i="20"/>
  <c r="AR2968" i="20"/>
  <c r="AR2969" i="20"/>
  <c r="AR2970" i="20"/>
  <c r="AR2971" i="20"/>
  <c r="AR2972" i="20"/>
  <c r="AR2973" i="20"/>
  <c r="AR2974" i="20"/>
  <c r="AR2975" i="20"/>
  <c r="AR2976" i="20"/>
  <c r="AR2977" i="20"/>
  <c r="AR2978" i="20"/>
  <c r="AR2979" i="20"/>
  <c r="AR2980" i="20"/>
  <c r="AR2981" i="20"/>
  <c r="AR2982" i="20"/>
  <c r="AR2983" i="20"/>
  <c r="AR2984" i="20"/>
  <c r="AR2985" i="20"/>
  <c r="AR2986" i="20"/>
  <c r="AR2987" i="20"/>
  <c r="AR2988" i="20"/>
  <c r="AR2989" i="20"/>
  <c r="AR2990" i="20"/>
  <c r="AR2991" i="20"/>
  <c r="AR2992" i="20"/>
  <c r="AR2993" i="20"/>
  <c r="AR2994" i="20"/>
  <c r="AR2995" i="20"/>
  <c r="AR2996" i="20"/>
  <c r="AR2997" i="20"/>
  <c r="AR2998" i="20"/>
  <c r="AR2999" i="20"/>
  <c r="AR3000" i="20"/>
  <c r="AR3001" i="20"/>
  <c r="AR3002" i="20"/>
  <c r="AR3003" i="20"/>
  <c r="AR3004" i="20"/>
  <c r="AR3005" i="20"/>
  <c r="AR3006" i="20"/>
  <c r="AR3007" i="20"/>
  <c r="AR3008" i="20"/>
  <c r="AR3009" i="20"/>
  <c r="AR3010" i="20"/>
  <c r="AR3011" i="20"/>
  <c r="AR3012" i="20"/>
  <c r="AR3013" i="20"/>
  <c r="AR3014" i="20"/>
  <c r="AR3015" i="20"/>
  <c r="AR3016" i="20"/>
  <c r="AR3017" i="20"/>
  <c r="AR3018" i="20"/>
  <c r="AR3019" i="20"/>
  <c r="AR3020" i="20"/>
  <c r="AR3021" i="20"/>
  <c r="AR3022" i="20"/>
  <c r="AR3023" i="20"/>
  <c r="AR3024" i="20"/>
  <c r="AR3025" i="20"/>
  <c r="AR3026" i="20"/>
  <c r="AR3027" i="20"/>
  <c r="AR3028" i="20"/>
  <c r="AR3029" i="20"/>
  <c r="AR3030" i="20"/>
  <c r="AR3031" i="20"/>
  <c r="AR3032" i="20"/>
  <c r="AR3033" i="20"/>
  <c r="AR3034" i="20"/>
  <c r="AR3035" i="20"/>
  <c r="AR3036" i="20"/>
  <c r="AR3037" i="20"/>
  <c r="AR3038" i="20"/>
  <c r="AR3039" i="20"/>
  <c r="AR3040" i="20"/>
  <c r="AR3041" i="20"/>
  <c r="AR3042" i="20"/>
  <c r="AR3043" i="20"/>
  <c r="AR3044" i="20"/>
  <c r="AR3045" i="20"/>
  <c r="AR3046" i="20"/>
  <c r="AR3047" i="20"/>
  <c r="AR3048" i="20"/>
  <c r="AR3049" i="20"/>
  <c r="AR3050" i="20"/>
  <c r="AR3051" i="20"/>
  <c r="AR3052" i="20"/>
  <c r="AR3053" i="20"/>
  <c r="AR3054" i="20"/>
  <c r="AR3055" i="20"/>
  <c r="AR3056" i="20"/>
  <c r="AR3057" i="20"/>
  <c r="AR3058" i="20"/>
  <c r="AR3059" i="20"/>
  <c r="AR3060" i="20"/>
  <c r="AR3061" i="20"/>
  <c r="AR3062" i="20"/>
  <c r="AR3063" i="20"/>
  <c r="AR3064" i="20"/>
  <c r="AR3065" i="20"/>
  <c r="AR3066" i="20"/>
  <c r="AR3067" i="20"/>
  <c r="AR3068" i="20"/>
  <c r="AR3069" i="20"/>
  <c r="AR3070" i="20"/>
  <c r="AR3071" i="20"/>
  <c r="AR3072" i="20"/>
  <c r="AR3073" i="20"/>
  <c r="AR3074" i="20"/>
  <c r="AR3075" i="20"/>
  <c r="AR3076" i="20"/>
  <c r="AR3077" i="20"/>
  <c r="AR3078" i="20"/>
  <c r="AR3079" i="20"/>
  <c r="AR3080" i="20"/>
  <c r="AR3081" i="20"/>
  <c r="AR3082" i="20"/>
  <c r="AR3083" i="20"/>
  <c r="AR3084" i="20"/>
  <c r="AR3085" i="20"/>
  <c r="AR3086" i="20"/>
  <c r="AR3087" i="20"/>
  <c r="AR3088" i="20"/>
  <c r="AR3089" i="20"/>
  <c r="AR3090" i="20"/>
  <c r="AR3091" i="20"/>
  <c r="AR3092" i="20"/>
  <c r="AR3093" i="20"/>
  <c r="AR3094" i="20"/>
  <c r="AR3095" i="20"/>
  <c r="AR3096" i="20"/>
  <c r="AR3097" i="20"/>
  <c r="AR3098" i="20"/>
  <c r="AR3099" i="20"/>
  <c r="AR3100" i="20"/>
  <c r="AR3101" i="20"/>
  <c r="AR3102" i="20"/>
  <c r="AR3103" i="20"/>
  <c r="AR3104" i="20"/>
  <c r="AR3105" i="20"/>
  <c r="AR3106" i="20"/>
  <c r="AR3107" i="20"/>
  <c r="AR3108" i="20"/>
  <c r="AR3109" i="20"/>
  <c r="AR3110" i="20"/>
  <c r="AR3111" i="20"/>
  <c r="AR3112" i="20"/>
  <c r="AR3113" i="20"/>
  <c r="AR3114" i="20"/>
  <c r="AR3115" i="20"/>
  <c r="AR3116" i="20"/>
  <c r="AR3117" i="20"/>
  <c r="AR3118" i="20"/>
  <c r="AR3119" i="20"/>
  <c r="AR3120" i="20"/>
  <c r="AR3121" i="20"/>
  <c r="AR3122" i="20"/>
  <c r="AR3123" i="20"/>
  <c r="AR3124" i="20"/>
  <c r="AR3125" i="20"/>
  <c r="AR3126" i="20"/>
  <c r="AR3127" i="20"/>
  <c r="AR3128" i="20"/>
  <c r="AR3129" i="20"/>
  <c r="AR3130" i="20"/>
  <c r="AR3131" i="20"/>
  <c r="AR3132" i="20"/>
  <c r="AR3133" i="20"/>
  <c r="AR3134" i="20"/>
  <c r="AR3135" i="20"/>
  <c r="AR3136" i="20"/>
  <c r="AR3137" i="20"/>
  <c r="AR3138" i="20"/>
  <c r="AR3139" i="20"/>
  <c r="AR3140" i="20"/>
  <c r="AR3141" i="20"/>
  <c r="AR3142" i="20"/>
  <c r="AR3143" i="20"/>
  <c r="AR3144" i="20"/>
  <c r="AR3145" i="20"/>
  <c r="AR3146" i="20"/>
  <c r="AR3147" i="20"/>
  <c r="AR3148" i="20"/>
  <c r="AR3149" i="20"/>
  <c r="AR3150" i="20"/>
  <c r="AR3151" i="20"/>
  <c r="AR3152" i="20"/>
  <c r="AR3153" i="20"/>
  <c r="AR3154" i="20"/>
  <c r="AR3155" i="20"/>
  <c r="AR3156" i="20"/>
  <c r="AR3157" i="20"/>
  <c r="AR3158" i="20"/>
  <c r="AR3159" i="20"/>
  <c r="AR3160" i="20"/>
  <c r="AR3161" i="20"/>
  <c r="AR3162" i="20"/>
  <c r="AR3163" i="20"/>
  <c r="AR3164" i="20"/>
  <c r="AR3165" i="20"/>
  <c r="AR3166" i="20"/>
  <c r="AR3167" i="20"/>
  <c r="AR3168" i="20"/>
  <c r="AR3169" i="20"/>
  <c r="AR3170" i="20"/>
  <c r="AR3171" i="20"/>
  <c r="AR3172" i="20"/>
  <c r="AR3173" i="20"/>
  <c r="AR3174" i="20"/>
  <c r="AR3175" i="20"/>
  <c r="AR3176" i="20"/>
  <c r="AR3177" i="20"/>
  <c r="AR3178" i="20"/>
  <c r="AR3179" i="20"/>
  <c r="AR3180" i="20"/>
  <c r="AR3181" i="20"/>
  <c r="AR3182" i="20"/>
  <c r="AR3183" i="20"/>
  <c r="AR3184" i="20"/>
  <c r="AR3185" i="20"/>
  <c r="AR3186" i="20"/>
  <c r="AR3187" i="20"/>
  <c r="AR3188" i="20"/>
  <c r="AR3189" i="20"/>
  <c r="AR3190" i="20"/>
  <c r="AR3191" i="20"/>
  <c r="AR3192" i="20"/>
  <c r="AR3193" i="20"/>
  <c r="AR3194" i="20"/>
  <c r="AR3195" i="20"/>
  <c r="AR3196" i="20"/>
  <c r="AR3197" i="20"/>
  <c r="AR3198" i="20"/>
  <c r="AR3199" i="20"/>
  <c r="AR3200" i="20"/>
  <c r="AR3201" i="20"/>
  <c r="AR3202" i="20"/>
  <c r="AR3203" i="20"/>
  <c r="AR3204" i="20"/>
  <c r="AR3205" i="20"/>
  <c r="AR3206" i="20"/>
  <c r="AR3207" i="20"/>
  <c r="AR3208" i="20"/>
  <c r="AR3209" i="20"/>
  <c r="AR3210" i="20"/>
  <c r="AR3211" i="20"/>
  <c r="AR3212" i="20"/>
  <c r="AR3213" i="20"/>
  <c r="AR3214" i="20"/>
  <c r="AR3215" i="20"/>
  <c r="AR3216" i="20"/>
  <c r="AR3217" i="20"/>
  <c r="AR3218" i="20"/>
  <c r="AR3219" i="20"/>
  <c r="AR3220" i="20"/>
  <c r="AR3221" i="20"/>
  <c r="AR3222" i="20"/>
  <c r="AR3223" i="20"/>
  <c r="AR3224" i="20"/>
  <c r="AR3225" i="20"/>
  <c r="AR3226" i="20"/>
  <c r="AR3227" i="20"/>
  <c r="AR3228" i="20"/>
  <c r="AR3229" i="20"/>
  <c r="AR3230" i="20"/>
  <c r="AR3231" i="20"/>
  <c r="AR3232" i="20"/>
  <c r="AR3233" i="20"/>
  <c r="AR3234" i="20"/>
  <c r="AR3235" i="20"/>
  <c r="AR3236" i="20"/>
  <c r="AR3237" i="20"/>
  <c r="AR3238" i="20"/>
  <c r="AR3239" i="20"/>
  <c r="AR3240" i="20"/>
  <c r="AR3241" i="20"/>
  <c r="AR3242" i="20"/>
  <c r="AR3243" i="20"/>
  <c r="AR3244" i="20"/>
  <c r="AR3245" i="20"/>
  <c r="AR3246" i="20"/>
  <c r="AR3247" i="20"/>
  <c r="AR3248" i="20"/>
  <c r="AR3249" i="20"/>
  <c r="AR3250" i="20"/>
  <c r="AR3251" i="20"/>
  <c r="AR3252" i="20"/>
  <c r="AR3253" i="20"/>
  <c r="AR3254" i="20"/>
  <c r="AR3255" i="20"/>
  <c r="AR3256" i="20"/>
  <c r="AR3257" i="20"/>
  <c r="AR3258" i="20"/>
  <c r="AR3259" i="20"/>
  <c r="AR3260" i="20"/>
  <c r="AR3261" i="20"/>
  <c r="AR3262" i="20"/>
  <c r="AR3263" i="20"/>
  <c r="AR3264" i="20"/>
  <c r="AR3265" i="20"/>
  <c r="AR3266" i="20"/>
  <c r="AR3267" i="20"/>
  <c r="AR3268" i="20"/>
  <c r="AR3269" i="20"/>
  <c r="AR3270" i="20"/>
  <c r="AR3271" i="20"/>
  <c r="AR3272" i="20"/>
  <c r="AR3273" i="20"/>
  <c r="AR3274" i="20"/>
  <c r="AR3275" i="20"/>
  <c r="AR3276" i="20"/>
  <c r="AR3277" i="20"/>
  <c r="AR3278" i="20"/>
  <c r="AR3279" i="20"/>
  <c r="AR3280" i="20"/>
  <c r="AR3281" i="20"/>
  <c r="AR3282" i="20"/>
  <c r="AR3283" i="20"/>
  <c r="AR3284" i="20"/>
  <c r="AR3285" i="20"/>
  <c r="AR3286" i="20"/>
  <c r="AR3287" i="20"/>
  <c r="AR3288" i="20"/>
  <c r="AR3289" i="20"/>
  <c r="AR3290" i="20"/>
  <c r="AR3291" i="20"/>
  <c r="AR3292" i="20"/>
  <c r="AR3293" i="20"/>
  <c r="AR3294" i="20"/>
  <c r="AR3295" i="20"/>
  <c r="AR3296" i="20"/>
  <c r="AR3297" i="20"/>
  <c r="AR3298" i="20"/>
  <c r="AR3299" i="20"/>
  <c r="AR3300" i="20"/>
  <c r="AR3301" i="20"/>
  <c r="AR3302" i="20"/>
  <c r="AR3303" i="20"/>
  <c r="AR3304" i="20"/>
  <c r="AR3305" i="20"/>
  <c r="AR3306" i="20"/>
  <c r="AR3307" i="20"/>
  <c r="AR3308" i="20"/>
  <c r="AR3309" i="20"/>
  <c r="AR3310" i="20"/>
  <c r="AR3311" i="20"/>
  <c r="AR3312" i="20"/>
  <c r="AR3313" i="20"/>
  <c r="AR3314" i="20"/>
  <c r="AR3315" i="20"/>
  <c r="AR3316" i="20"/>
  <c r="AR3317" i="20"/>
  <c r="AR3318" i="20"/>
  <c r="AR3319" i="20"/>
  <c r="AR3320" i="20"/>
  <c r="AR3321" i="20"/>
  <c r="AR3322" i="20"/>
  <c r="AR3323" i="20"/>
  <c r="AR3324" i="20"/>
  <c r="AR3325" i="20"/>
  <c r="AR3326" i="20"/>
  <c r="AR3327" i="20"/>
  <c r="AR3328" i="20"/>
  <c r="AR3329" i="20"/>
  <c r="AR3330" i="20"/>
  <c r="AR3331" i="20"/>
  <c r="AR3332" i="20"/>
  <c r="AR3333" i="20"/>
  <c r="AR3334" i="20"/>
  <c r="AR3335" i="20"/>
  <c r="AR3336" i="20"/>
  <c r="AR3337" i="20"/>
  <c r="AR3338" i="20"/>
  <c r="AR3339" i="20"/>
  <c r="AR3340" i="20"/>
  <c r="AR3341" i="20"/>
  <c r="AR3342" i="20"/>
  <c r="AR3343" i="20"/>
  <c r="AR3344" i="20"/>
  <c r="AR3345" i="20"/>
  <c r="AR3346" i="20"/>
  <c r="AR3347" i="20"/>
  <c r="AR3348" i="20"/>
  <c r="AR3349" i="20"/>
  <c r="AR3350" i="20"/>
  <c r="AR3351" i="20"/>
  <c r="AR3352" i="20"/>
  <c r="AR3353" i="20"/>
  <c r="AR3354" i="20"/>
  <c r="AR3355" i="20"/>
  <c r="AR3356" i="20"/>
  <c r="AR3357" i="20"/>
  <c r="AR3358" i="20"/>
  <c r="AR3359" i="20"/>
  <c r="AR3360" i="20"/>
  <c r="AR3361" i="20"/>
  <c r="AR3362" i="20"/>
  <c r="AR3363" i="20"/>
  <c r="AR3364" i="20"/>
  <c r="AR3365" i="20"/>
  <c r="AR3366" i="20"/>
  <c r="AR3367" i="20"/>
  <c r="AR3368" i="20"/>
  <c r="AR3369" i="20"/>
  <c r="AR3370" i="20"/>
  <c r="AR3371" i="20"/>
  <c r="AR3372" i="20"/>
  <c r="AR3373" i="20"/>
  <c r="AR3374" i="20"/>
  <c r="AR3375" i="20"/>
  <c r="AR3376" i="20"/>
  <c r="AR3377" i="20"/>
  <c r="AR3378" i="20"/>
  <c r="AR3379" i="20"/>
  <c r="AR3380" i="20"/>
  <c r="AR3381" i="20"/>
  <c r="AR3382" i="20"/>
  <c r="AR3383" i="20"/>
  <c r="AR3384" i="20"/>
  <c r="AR3385" i="20"/>
  <c r="AR3386" i="20"/>
  <c r="AR3387" i="20"/>
  <c r="AR3388" i="20"/>
  <c r="AR3389" i="20"/>
  <c r="AR3390" i="20"/>
  <c r="AR3391" i="20"/>
  <c r="AR3392" i="20"/>
  <c r="AR3393" i="20"/>
  <c r="AR3394" i="20"/>
  <c r="AR3395" i="20"/>
  <c r="AR3396" i="20"/>
  <c r="AR3397" i="20"/>
  <c r="AR3398" i="20"/>
  <c r="AR3399" i="20"/>
  <c r="AR3400" i="20"/>
  <c r="AR3401" i="20"/>
  <c r="AR3402" i="20"/>
  <c r="AR3403" i="20"/>
  <c r="AR3404" i="20"/>
  <c r="AR3405" i="20"/>
  <c r="AR3406" i="20"/>
  <c r="AR3407" i="20"/>
  <c r="AR3408" i="20"/>
  <c r="AR3409" i="20"/>
  <c r="AR3410" i="20"/>
  <c r="AR3411" i="20"/>
  <c r="AR3412" i="20"/>
  <c r="AR3413" i="20"/>
  <c r="AR3414" i="20"/>
  <c r="AR3415" i="20"/>
  <c r="AR3416" i="20"/>
  <c r="AR3417" i="20"/>
  <c r="AR3418" i="20"/>
  <c r="AR3419" i="20"/>
  <c r="AR3420" i="20"/>
  <c r="AR3421" i="20"/>
  <c r="AR3422" i="20"/>
  <c r="AR3423" i="20"/>
  <c r="AR3424" i="20"/>
  <c r="AR3425" i="20"/>
  <c r="AR3426" i="20"/>
  <c r="AR3427" i="20"/>
  <c r="AR3428" i="20"/>
  <c r="AR3429" i="20"/>
  <c r="AR3430" i="20"/>
  <c r="AR3431" i="20"/>
  <c r="AR3432" i="20"/>
  <c r="AR3433" i="20"/>
  <c r="AR3434" i="20"/>
  <c r="AR3435" i="20"/>
  <c r="AR3436" i="20"/>
  <c r="AR3437" i="20"/>
  <c r="AR3438" i="20"/>
  <c r="AR3439" i="20"/>
  <c r="AR3440" i="20"/>
  <c r="AR3441" i="20"/>
  <c r="AR3442" i="20"/>
  <c r="AR3443" i="20"/>
  <c r="AR3444" i="20"/>
  <c r="AR3445" i="20"/>
  <c r="AR3446" i="20"/>
  <c r="AR3447" i="20"/>
  <c r="AR3448" i="20"/>
  <c r="AR3449" i="20"/>
  <c r="AR3450" i="20"/>
  <c r="AR3451" i="20"/>
  <c r="AR3452" i="20"/>
  <c r="AR3453" i="20"/>
  <c r="AR3454" i="20"/>
  <c r="AR3455" i="20"/>
  <c r="AR3456" i="20"/>
  <c r="AR3457" i="20"/>
  <c r="AR3458" i="20"/>
  <c r="AR3459" i="20"/>
  <c r="AR3460" i="20"/>
  <c r="AR3461" i="20"/>
  <c r="AR3462" i="20"/>
  <c r="AR3463" i="20"/>
  <c r="AR3464" i="20"/>
  <c r="AR3465" i="20"/>
  <c r="AR3466" i="20"/>
  <c r="AR3467" i="20"/>
  <c r="AR3468" i="20"/>
  <c r="AR3469" i="20"/>
  <c r="AR3470" i="20"/>
  <c r="AR3471" i="20"/>
  <c r="AR3472" i="20"/>
  <c r="AR3473" i="20"/>
  <c r="AR3474" i="20"/>
  <c r="AR3475" i="20"/>
  <c r="AR3476" i="20"/>
  <c r="AR3477" i="20"/>
  <c r="AR3478" i="20"/>
  <c r="AR3479" i="20"/>
  <c r="AR3480" i="20"/>
  <c r="AR3481" i="20"/>
  <c r="AR3482" i="20"/>
  <c r="AR3483" i="20"/>
  <c r="AR3484" i="20"/>
  <c r="AR3485" i="20"/>
  <c r="AR3486" i="20"/>
  <c r="AR3487" i="20"/>
  <c r="AR3488" i="20"/>
  <c r="AR3489" i="20"/>
  <c r="AR3490" i="20"/>
  <c r="AR3491" i="20"/>
  <c r="AR3492" i="20"/>
  <c r="AR3493" i="20"/>
  <c r="AR3494" i="20"/>
  <c r="AR3495" i="20"/>
  <c r="AR3496" i="20"/>
  <c r="AR3497" i="20"/>
  <c r="AR3498" i="20"/>
  <c r="AR3499" i="20"/>
  <c r="AR3500" i="20"/>
  <c r="AR3501" i="20"/>
  <c r="AR3502" i="20"/>
  <c r="AR3503" i="20"/>
  <c r="AR3504" i="20"/>
  <c r="AR3505" i="20"/>
  <c r="AR3506" i="20"/>
  <c r="AR3507" i="20"/>
  <c r="AR3508" i="20"/>
  <c r="AR3509" i="20"/>
  <c r="AR3510" i="20"/>
  <c r="AR3511" i="20"/>
  <c r="AR3512" i="20"/>
  <c r="AR3513" i="20"/>
  <c r="AR3514" i="20"/>
  <c r="AR3515" i="20"/>
  <c r="AR3516" i="20"/>
  <c r="AR3517" i="20"/>
  <c r="AR3518" i="20"/>
  <c r="AR3519" i="20"/>
  <c r="AR3520" i="20"/>
  <c r="AR3521" i="20"/>
  <c r="AR3522" i="20"/>
  <c r="AR3523" i="20"/>
  <c r="AR3524" i="20"/>
  <c r="AR3525" i="20"/>
  <c r="AR3526" i="20"/>
  <c r="AR3527" i="20"/>
  <c r="AR3528" i="20"/>
  <c r="AR3529" i="20"/>
  <c r="AR3530" i="20"/>
  <c r="AR3531" i="20"/>
  <c r="AR3532" i="20"/>
  <c r="AR3533" i="20"/>
  <c r="AR3534" i="20"/>
  <c r="AR3535" i="20"/>
  <c r="AR3536" i="20"/>
  <c r="AR3537" i="20"/>
  <c r="AR3538" i="20"/>
  <c r="AR3539" i="20"/>
  <c r="AR3540" i="20"/>
  <c r="AR3541" i="20"/>
  <c r="AR3542" i="20"/>
  <c r="AR3543" i="20"/>
  <c r="AR3544" i="20"/>
  <c r="AR3545" i="20"/>
  <c r="AR3546" i="20"/>
  <c r="AR3547" i="20"/>
  <c r="AR3548" i="20"/>
  <c r="AR3549" i="20"/>
  <c r="AR3550" i="20"/>
  <c r="AR3551" i="20"/>
  <c r="AR3552" i="20"/>
  <c r="AR3553" i="20"/>
  <c r="AR3554" i="20"/>
  <c r="AR3555" i="20"/>
  <c r="AR3556" i="20"/>
  <c r="AR3557" i="20"/>
  <c r="AR3558" i="20"/>
  <c r="AR3559" i="20"/>
  <c r="AR3560" i="20"/>
  <c r="AR3561" i="20"/>
  <c r="AR3562" i="20"/>
  <c r="AR3563" i="20"/>
  <c r="AR3564" i="20"/>
  <c r="AR3565" i="20"/>
  <c r="AR3566" i="20"/>
  <c r="AR3567" i="20"/>
  <c r="AR3568" i="20"/>
  <c r="AR3569" i="20"/>
  <c r="AR3570" i="20"/>
  <c r="AR3571" i="20"/>
  <c r="AR3572" i="20"/>
  <c r="AR3573" i="20"/>
  <c r="AR3574" i="20"/>
  <c r="AR3575" i="20"/>
  <c r="AR3576" i="20"/>
  <c r="AR3577" i="20"/>
  <c r="AR3578" i="20"/>
  <c r="AR3579" i="20"/>
  <c r="AR3580" i="20"/>
  <c r="AR3581" i="20"/>
  <c r="AR3582" i="20"/>
  <c r="AR3583" i="20"/>
  <c r="AR3584" i="20"/>
  <c r="AR3585" i="20"/>
  <c r="AR3586" i="20"/>
  <c r="AR3587" i="20"/>
  <c r="AR3588" i="20"/>
  <c r="AR3589" i="20"/>
  <c r="AR3590" i="20"/>
  <c r="AR3591" i="20"/>
  <c r="AR3592" i="20"/>
  <c r="AR3593" i="20"/>
  <c r="AR3594" i="20"/>
  <c r="AR3595" i="20"/>
  <c r="AR3596" i="20"/>
  <c r="AR3597" i="20"/>
  <c r="AR3598" i="20"/>
  <c r="AR3599" i="20"/>
  <c r="AR3600" i="20"/>
  <c r="AR3601" i="20"/>
  <c r="AR3602" i="20"/>
  <c r="AR3603" i="20"/>
  <c r="AR3604" i="20"/>
  <c r="AR3605" i="20"/>
  <c r="AR3606" i="20"/>
  <c r="AR3607" i="20"/>
  <c r="AR3608" i="20"/>
  <c r="AR3609" i="20"/>
  <c r="AR3610" i="20"/>
  <c r="AR3611" i="20"/>
  <c r="AR3612" i="20"/>
  <c r="AR3613" i="20"/>
  <c r="AR3614" i="20"/>
  <c r="AR3615" i="20"/>
  <c r="AR3616" i="20"/>
  <c r="AR3617" i="20"/>
  <c r="AR3618" i="20"/>
  <c r="AR3619" i="20"/>
  <c r="AR3620" i="20"/>
  <c r="AR3621" i="20"/>
  <c r="AR3622" i="20"/>
  <c r="AR3623" i="20"/>
  <c r="AR3624" i="20"/>
  <c r="AR3625" i="20"/>
  <c r="AR3626" i="20"/>
  <c r="AR3627" i="20"/>
  <c r="AR3628" i="20"/>
  <c r="AR3629" i="20"/>
  <c r="AR3630" i="20"/>
  <c r="AR3631" i="20"/>
  <c r="AR3632" i="20"/>
  <c r="AR3633" i="20"/>
  <c r="AR3634" i="20"/>
  <c r="AR3635" i="20"/>
  <c r="AR3636" i="20"/>
  <c r="AR3637" i="20"/>
  <c r="AR3638" i="20"/>
  <c r="AR3639" i="20"/>
  <c r="AR3640" i="20"/>
  <c r="AR3641" i="20"/>
  <c r="AR3642" i="20"/>
  <c r="AR3643" i="20"/>
  <c r="AR3644" i="20"/>
  <c r="AR3645" i="20"/>
  <c r="AR3646" i="20"/>
  <c r="AR3647" i="20"/>
  <c r="AR3648" i="20"/>
  <c r="AR3649" i="20"/>
  <c r="AR3650" i="20"/>
  <c r="AR3651" i="20"/>
  <c r="AR3652" i="20"/>
  <c r="AR3653" i="20"/>
  <c r="AR3654" i="20"/>
  <c r="AR3655" i="20"/>
  <c r="AR3656" i="20"/>
  <c r="AR3657" i="20"/>
  <c r="AR3658" i="20"/>
  <c r="AR3659" i="20"/>
  <c r="AR3660" i="20"/>
  <c r="AR3661" i="20"/>
  <c r="AR3662" i="20"/>
  <c r="AR3663" i="20"/>
  <c r="AR3664" i="20"/>
  <c r="AR3665" i="20"/>
  <c r="AR3666" i="20"/>
  <c r="AR3667" i="20"/>
  <c r="AR3668" i="20"/>
  <c r="AR3669" i="20"/>
  <c r="AR3670" i="20"/>
  <c r="AR3671" i="20"/>
  <c r="AR3672" i="20"/>
  <c r="AR3673" i="20"/>
  <c r="AR3674" i="20"/>
  <c r="AR3675" i="20"/>
  <c r="AR3676" i="20"/>
  <c r="AR3677" i="20"/>
  <c r="AR3678" i="20"/>
  <c r="AR3679" i="20"/>
  <c r="AR3680" i="20"/>
  <c r="AR3681" i="20"/>
  <c r="AR3682" i="20"/>
  <c r="AR3683" i="20"/>
  <c r="AR3684" i="20"/>
  <c r="AR3685" i="20"/>
  <c r="AR3686" i="20"/>
  <c r="AR3687" i="20"/>
  <c r="AR3688" i="20"/>
  <c r="AR3689" i="20"/>
  <c r="AR3690" i="20"/>
  <c r="AR3691" i="20"/>
  <c r="AR3692" i="20"/>
  <c r="AR3693" i="20"/>
  <c r="AR3694" i="20"/>
  <c r="AR3695" i="20"/>
  <c r="AR3696" i="20"/>
  <c r="AR3697" i="20"/>
  <c r="AR3698" i="20"/>
  <c r="AR3699" i="20"/>
  <c r="AR3700" i="20"/>
  <c r="AR3701" i="20"/>
  <c r="AR3702" i="20"/>
  <c r="AR3703" i="20"/>
  <c r="AR3704" i="20"/>
  <c r="AR3705" i="20"/>
  <c r="AR3706" i="20"/>
  <c r="AR3707" i="20"/>
  <c r="AR3708" i="20"/>
  <c r="AR3709" i="20"/>
  <c r="AR3710" i="20"/>
  <c r="AR3711" i="20"/>
  <c r="AR3712" i="20"/>
  <c r="AR3713" i="20"/>
  <c r="AR3714" i="20"/>
  <c r="AR3715" i="20"/>
  <c r="AR3716" i="20"/>
  <c r="AR3717" i="20"/>
  <c r="AR3718" i="20"/>
  <c r="AR3719" i="20"/>
  <c r="AR3720" i="20"/>
  <c r="AR3721" i="20"/>
  <c r="AR3722" i="20"/>
  <c r="AR3723" i="20"/>
  <c r="AR3724" i="20"/>
  <c r="AR3725" i="20"/>
  <c r="AR3726" i="20"/>
  <c r="AR3727" i="20"/>
  <c r="AR3728" i="20"/>
  <c r="AR3729" i="20"/>
  <c r="AR3730" i="20"/>
  <c r="AR3731" i="20"/>
  <c r="AR3732" i="20"/>
  <c r="AR3733" i="20"/>
  <c r="AR3734" i="20"/>
  <c r="AR3735" i="20"/>
  <c r="AR3736" i="20"/>
  <c r="AR3737" i="20"/>
  <c r="AR3738" i="20"/>
  <c r="AR3739" i="20"/>
  <c r="AR3740" i="20"/>
  <c r="AR3741" i="20"/>
  <c r="AR3742" i="20"/>
  <c r="AR3743" i="20"/>
  <c r="AR3744" i="20"/>
  <c r="AR3745" i="20"/>
  <c r="AR3746" i="20"/>
  <c r="AR3747" i="20"/>
  <c r="AR3748" i="20"/>
  <c r="AR3749" i="20"/>
  <c r="AR3750" i="20"/>
  <c r="AR3751" i="20"/>
  <c r="AR3752" i="20"/>
  <c r="AR3753" i="20"/>
  <c r="AR3754" i="20"/>
  <c r="AR3755" i="20"/>
  <c r="AR3756" i="20"/>
  <c r="AR3757" i="20"/>
  <c r="AR3758" i="20"/>
  <c r="AR3759" i="20"/>
  <c r="AR3760" i="20"/>
  <c r="AR3761" i="20"/>
  <c r="AR3762" i="20"/>
  <c r="AR3763" i="20"/>
  <c r="AR3764" i="20"/>
  <c r="AR3765" i="20"/>
  <c r="AR3766" i="20"/>
  <c r="AR3767" i="20"/>
  <c r="AR3768" i="20"/>
  <c r="AR3769" i="20"/>
  <c r="AR3770" i="20"/>
  <c r="AR3771" i="20"/>
  <c r="AR3772" i="20"/>
  <c r="AR3773" i="20"/>
  <c r="AR3774" i="20"/>
  <c r="AR3775" i="20"/>
  <c r="AR3776" i="20"/>
  <c r="AR3777" i="20"/>
  <c r="AR3778" i="20"/>
  <c r="AR3779" i="20"/>
  <c r="AR3780" i="20"/>
  <c r="AR3781" i="20"/>
  <c r="AR3782" i="20"/>
  <c r="AR3783" i="20"/>
  <c r="AR3784" i="20"/>
  <c r="AR3785" i="20"/>
  <c r="AR3786" i="20"/>
  <c r="AR3787" i="20"/>
  <c r="AR3788" i="20"/>
  <c r="AR3789" i="20"/>
  <c r="AR3790" i="20"/>
  <c r="AR3791" i="20"/>
  <c r="AR3792" i="20"/>
  <c r="AR3793" i="20"/>
  <c r="AR3794" i="20"/>
  <c r="AR3795" i="20"/>
  <c r="AR3796" i="20"/>
  <c r="AR3797" i="20"/>
  <c r="AR3798" i="20"/>
  <c r="AR3799" i="20"/>
  <c r="AR3800" i="20"/>
  <c r="AR3801" i="20"/>
  <c r="AR3802" i="20"/>
  <c r="AR3803" i="20"/>
  <c r="AR3804" i="20"/>
  <c r="AR3805" i="20"/>
  <c r="AR3806" i="20"/>
  <c r="AR3807" i="20"/>
  <c r="AR3808" i="20"/>
  <c r="AR3809" i="20"/>
  <c r="AR3810" i="20"/>
  <c r="AR3811" i="20"/>
  <c r="AR3812" i="20"/>
  <c r="AR3813" i="20"/>
  <c r="AR3814" i="20"/>
  <c r="AR3815" i="20"/>
  <c r="AR3816" i="20"/>
  <c r="AR3817" i="20"/>
  <c r="AR3818" i="20"/>
  <c r="AR3819" i="20"/>
  <c r="AR3820" i="20"/>
  <c r="AR3821" i="20"/>
  <c r="AR3822" i="20"/>
  <c r="AR3823" i="20"/>
  <c r="AR3824" i="20"/>
  <c r="AR3825" i="20"/>
  <c r="AR3826" i="20"/>
  <c r="AR3827" i="20"/>
  <c r="AR3828" i="20"/>
  <c r="AR3829" i="20"/>
  <c r="AR3830" i="20"/>
  <c r="AR3831" i="20"/>
  <c r="AR3832" i="20"/>
  <c r="AR3833" i="20"/>
  <c r="AR3834" i="20"/>
  <c r="AR3835" i="20"/>
  <c r="AR3836" i="20"/>
  <c r="AR3837" i="20"/>
  <c r="AR3838" i="20"/>
  <c r="AR3839" i="20"/>
  <c r="AR3840" i="20"/>
  <c r="AR3841" i="20"/>
  <c r="AR3842" i="20"/>
  <c r="AR3843" i="20"/>
  <c r="AR3844" i="20"/>
  <c r="AR3845" i="20"/>
  <c r="AR3846" i="20"/>
  <c r="AR3847" i="20"/>
  <c r="AR3848" i="20"/>
  <c r="AR3849" i="20"/>
  <c r="AR3850" i="20"/>
  <c r="AR3851" i="20"/>
  <c r="AR3852" i="20"/>
  <c r="AR3853" i="20"/>
  <c r="AR3854" i="20"/>
  <c r="AR3855" i="20"/>
  <c r="AR3856" i="20"/>
  <c r="AR3857" i="20"/>
  <c r="AR3858" i="20"/>
  <c r="AR3859" i="20"/>
  <c r="AR3860" i="20"/>
  <c r="AR3861" i="20"/>
  <c r="AR3862" i="20"/>
  <c r="AR3863" i="20"/>
  <c r="AR3864" i="20"/>
  <c r="AR3865" i="20"/>
  <c r="AR3866" i="20"/>
  <c r="AR3867" i="20"/>
  <c r="AR3868" i="20"/>
  <c r="AR3869" i="20"/>
  <c r="AR3870" i="20"/>
  <c r="AR3871" i="20"/>
  <c r="AR3872" i="20"/>
  <c r="AR3873" i="20"/>
  <c r="AR3874" i="20"/>
  <c r="AR3875" i="20"/>
  <c r="AR3876" i="20"/>
  <c r="AR3877" i="20"/>
  <c r="AR3878" i="20"/>
  <c r="AR3879" i="20"/>
  <c r="AR3880" i="20"/>
  <c r="AR3881" i="20"/>
  <c r="AR3882" i="20"/>
  <c r="AR3883" i="20"/>
  <c r="AR3884" i="20"/>
  <c r="AR3885" i="20"/>
  <c r="AR3886" i="20"/>
  <c r="AR3887" i="20"/>
  <c r="AR3888" i="20"/>
  <c r="AR3889" i="20"/>
  <c r="AR3890" i="20"/>
  <c r="AR3891" i="20"/>
  <c r="AR3892" i="20"/>
  <c r="AR3893" i="20"/>
  <c r="AR3894" i="20"/>
  <c r="AR3895" i="20"/>
  <c r="AR3896" i="20"/>
  <c r="AR3897" i="20"/>
  <c r="AR3898" i="20"/>
  <c r="AR3899" i="20"/>
  <c r="AR3900" i="20"/>
  <c r="AR3901" i="20"/>
  <c r="AR3902" i="20"/>
  <c r="AR3903" i="20"/>
  <c r="AR3904" i="20"/>
  <c r="AR3905" i="20"/>
  <c r="AR3906" i="20"/>
  <c r="AR3907" i="20"/>
  <c r="AR3908" i="20"/>
  <c r="AR3909" i="20"/>
  <c r="AR3910" i="20"/>
  <c r="AR3911" i="20"/>
  <c r="AR3912" i="20"/>
  <c r="AR3913" i="20"/>
  <c r="AR3914" i="20"/>
  <c r="AR3915" i="20"/>
  <c r="AR3916" i="20"/>
  <c r="AR3917" i="20"/>
  <c r="AR3918" i="20"/>
  <c r="AR3919" i="20"/>
  <c r="AR3920" i="20"/>
  <c r="AR3921" i="20"/>
  <c r="AR3922" i="20"/>
  <c r="AR3923" i="20"/>
  <c r="AR3924" i="20"/>
  <c r="AR3925" i="20"/>
  <c r="AR3926" i="20"/>
  <c r="AR3927" i="20"/>
  <c r="AR3928" i="20"/>
  <c r="AR3929" i="20"/>
  <c r="AR3930" i="20"/>
  <c r="AR3931" i="20"/>
  <c r="AR3932" i="20"/>
  <c r="AR3933" i="20"/>
  <c r="AR3934" i="20"/>
  <c r="AR3935" i="20"/>
  <c r="AR3936" i="20"/>
  <c r="AR3937" i="20"/>
  <c r="AR3938" i="20"/>
  <c r="AR3939" i="20"/>
  <c r="AR3940" i="20"/>
  <c r="AR3941" i="20"/>
  <c r="AR3942" i="20"/>
  <c r="AR3943" i="20"/>
  <c r="AR3944" i="20"/>
  <c r="AR3945" i="20"/>
  <c r="AR3946" i="20"/>
  <c r="AR3947" i="20"/>
  <c r="AR3948" i="20"/>
  <c r="AR3949" i="20"/>
  <c r="AR3950" i="20"/>
  <c r="AR3951" i="20"/>
  <c r="AR3952" i="20"/>
  <c r="AR3953" i="20"/>
  <c r="AR3954" i="20"/>
  <c r="AR3955" i="20"/>
  <c r="AR3956" i="20"/>
  <c r="AR3957" i="20"/>
  <c r="AR3958" i="20"/>
  <c r="AR3959" i="20"/>
  <c r="AR3960" i="20"/>
  <c r="AR3961" i="20"/>
  <c r="AR3962" i="20"/>
  <c r="AR3963" i="20"/>
  <c r="AR3964" i="20"/>
  <c r="AR3965" i="20"/>
  <c r="AR3966" i="20"/>
  <c r="AR3967" i="20"/>
  <c r="AR3968" i="20"/>
  <c r="AR3969" i="20"/>
  <c r="AR3970" i="20"/>
  <c r="AR3971" i="20"/>
  <c r="AR3972" i="20"/>
  <c r="AR3973" i="20"/>
  <c r="AR3974" i="20"/>
  <c r="AR3975" i="20"/>
  <c r="AR3976" i="20"/>
  <c r="AR3977" i="20"/>
  <c r="AR3978" i="20"/>
  <c r="AR3979" i="20"/>
  <c r="AR3980" i="20"/>
  <c r="AR3981" i="20"/>
  <c r="AR3982" i="20"/>
  <c r="AR3983" i="20"/>
  <c r="AR3984" i="20"/>
  <c r="AR3985" i="20"/>
  <c r="AR3986" i="20"/>
  <c r="AR3987" i="20"/>
  <c r="AR3988" i="20"/>
  <c r="AR3989" i="20"/>
  <c r="AR3990" i="20"/>
  <c r="AR3991" i="20"/>
  <c r="AR3992" i="20"/>
  <c r="AR3993" i="20"/>
  <c r="AR3994" i="20"/>
  <c r="AR3995" i="20"/>
  <c r="AR3996" i="20"/>
  <c r="AR3997" i="20"/>
  <c r="AR3998" i="20"/>
  <c r="AR3999" i="20"/>
  <c r="AR4000" i="20"/>
  <c r="AR4001" i="20"/>
  <c r="AR4002" i="20"/>
  <c r="AR4003" i="20"/>
  <c r="AR4004" i="20"/>
  <c r="AR4005" i="20"/>
  <c r="AR4006" i="20"/>
  <c r="AR4007" i="20"/>
  <c r="AR4008" i="20"/>
  <c r="AR4009" i="20"/>
  <c r="AR4010" i="20"/>
  <c r="AR4011" i="20"/>
  <c r="AR4012" i="20"/>
  <c r="AR4013" i="20"/>
  <c r="AR4014" i="20"/>
  <c r="AR4015" i="20"/>
  <c r="AR4016" i="20"/>
  <c r="AR4017" i="20"/>
  <c r="AR4018" i="20"/>
  <c r="AR4019" i="20"/>
  <c r="AR4020" i="20"/>
  <c r="AR4021" i="20"/>
  <c r="AR4022" i="20"/>
  <c r="AR4023" i="20"/>
  <c r="AR4024" i="20"/>
  <c r="AR4025" i="20"/>
  <c r="AR4026" i="20"/>
  <c r="AR4027" i="20"/>
  <c r="AR4028" i="20"/>
  <c r="AR4029" i="20"/>
  <c r="AR4030" i="20"/>
  <c r="AR4031" i="20"/>
  <c r="AR4032" i="20"/>
  <c r="AR4033" i="20"/>
  <c r="AR4034" i="20"/>
  <c r="AR4035" i="20"/>
  <c r="AR4036" i="20"/>
  <c r="AR4037" i="20"/>
  <c r="AR4038" i="20"/>
  <c r="AR4039" i="20"/>
  <c r="AR4040" i="20"/>
  <c r="AR4041" i="20"/>
  <c r="AR4042" i="20"/>
  <c r="AR4043" i="20"/>
  <c r="AR4044" i="20"/>
  <c r="AR4045" i="20"/>
  <c r="AR4046" i="20"/>
  <c r="AR4047" i="20"/>
  <c r="AR4048" i="20"/>
  <c r="AR4049" i="20"/>
  <c r="AR4050" i="20"/>
  <c r="AR4051" i="20"/>
  <c r="AR4052" i="20"/>
  <c r="AR4053" i="20"/>
  <c r="AR4054" i="20"/>
  <c r="AR4055" i="20"/>
  <c r="AR4056" i="20"/>
  <c r="AR4057" i="20"/>
  <c r="AR4058" i="20"/>
  <c r="AR4059" i="20"/>
  <c r="AR4060" i="20"/>
  <c r="AR4061" i="20"/>
  <c r="AR4062" i="20"/>
  <c r="AR4063" i="20"/>
  <c r="AR4064" i="20"/>
  <c r="AR4065" i="20"/>
  <c r="AR4066" i="20"/>
  <c r="AR4067" i="20"/>
  <c r="AR4068" i="20"/>
  <c r="AR4069" i="20"/>
  <c r="AR4070" i="20"/>
  <c r="AR4071" i="20"/>
  <c r="AR4072" i="20"/>
  <c r="AR4073" i="20"/>
  <c r="AR4074" i="20"/>
  <c r="AR4075" i="20"/>
  <c r="AR4076" i="20"/>
  <c r="AR4077" i="20"/>
  <c r="AR4078" i="20"/>
  <c r="AR4079" i="20"/>
  <c r="AR4080" i="20"/>
  <c r="AR4081" i="20"/>
  <c r="AR4082" i="20"/>
  <c r="AR4083" i="20"/>
  <c r="AR4084" i="20"/>
  <c r="AR4085" i="20"/>
  <c r="AR4086" i="20"/>
  <c r="AR4087" i="20"/>
  <c r="AR4088" i="20"/>
  <c r="AR4089" i="20"/>
  <c r="AR4090" i="20"/>
  <c r="AR4091" i="20"/>
  <c r="AR4092" i="20"/>
  <c r="AR4093" i="20"/>
  <c r="AR4094" i="20"/>
  <c r="AR4095" i="20"/>
  <c r="AR4096" i="20"/>
  <c r="AR4097" i="20"/>
  <c r="AR4098" i="20"/>
  <c r="AR4099" i="20"/>
  <c r="AR4100" i="20"/>
  <c r="AR4101" i="20"/>
  <c r="AR4102" i="20"/>
  <c r="AR4103" i="20"/>
  <c r="AR4104" i="20"/>
  <c r="AR4105" i="20"/>
  <c r="AR4106" i="20"/>
  <c r="AR4107" i="20"/>
  <c r="AR4108" i="20"/>
  <c r="AR4109" i="20"/>
  <c r="AR4110" i="20"/>
  <c r="AR4111" i="20"/>
  <c r="AR4112" i="20"/>
  <c r="AR4113" i="20"/>
  <c r="AR4114" i="20"/>
  <c r="AR4115" i="20"/>
  <c r="AR4116" i="20"/>
  <c r="AR4117" i="20"/>
  <c r="AR4118" i="20"/>
  <c r="AR4119" i="20"/>
  <c r="AR4120" i="20"/>
  <c r="AR4121" i="20"/>
  <c r="AR4122" i="20"/>
  <c r="AR4123" i="20"/>
  <c r="AR4124" i="20"/>
  <c r="AR4125" i="20"/>
  <c r="AR4126" i="20"/>
  <c r="AR4127" i="20"/>
  <c r="AR4128" i="20"/>
  <c r="AR4129" i="20"/>
  <c r="AR4130" i="20"/>
  <c r="AR4131" i="20"/>
  <c r="AR4132" i="20"/>
  <c r="AR4133" i="20"/>
  <c r="AR4134" i="20"/>
  <c r="AR4135" i="20"/>
  <c r="AR4136" i="20"/>
  <c r="AR4137" i="20"/>
  <c r="AR4138" i="20"/>
  <c r="AR4139" i="20"/>
  <c r="AR4140" i="20"/>
  <c r="AR4141" i="20"/>
  <c r="AR4142" i="20"/>
  <c r="AR4143" i="20"/>
  <c r="AR4144" i="20"/>
  <c r="AR4145" i="20"/>
  <c r="AR4146" i="20"/>
  <c r="AR4147" i="20"/>
  <c r="AR4148" i="20"/>
  <c r="AR4149" i="20"/>
  <c r="AR4150" i="20"/>
  <c r="AR4151" i="20"/>
  <c r="AR4152" i="20"/>
  <c r="AR4153" i="20"/>
  <c r="AR4154" i="20"/>
  <c r="AR4155" i="20"/>
  <c r="AR4156" i="20"/>
  <c r="AR4157" i="20"/>
  <c r="AR4158" i="20"/>
  <c r="AR4159" i="20"/>
  <c r="AR4160" i="20"/>
  <c r="AR4161" i="20"/>
  <c r="AR4162" i="20"/>
  <c r="AR4163" i="20"/>
  <c r="AR4164" i="20"/>
  <c r="AR4165" i="20"/>
  <c r="AR4166" i="20"/>
  <c r="AR4167" i="20"/>
  <c r="AR4168" i="20"/>
  <c r="AR4169" i="20"/>
  <c r="AR4170" i="20"/>
  <c r="AR4171" i="20"/>
  <c r="AR4172" i="20"/>
  <c r="AR4173" i="20"/>
  <c r="AR4174" i="20"/>
  <c r="AR4175" i="20"/>
  <c r="AR4176" i="20"/>
  <c r="AR4177" i="20"/>
  <c r="AR4178" i="20"/>
  <c r="AR4179" i="20"/>
  <c r="AR4180" i="20"/>
  <c r="AR4181" i="20"/>
  <c r="AR4182" i="20"/>
  <c r="AR4183" i="20"/>
  <c r="AR4184" i="20"/>
  <c r="AR4185" i="20"/>
  <c r="AR4186" i="20"/>
  <c r="AR4187" i="20"/>
  <c r="AR4188" i="20"/>
  <c r="AR4189" i="20"/>
  <c r="AR4190" i="20"/>
  <c r="AR4191" i="20"/>
  <c r="AR4192" i="20"/>
  <c r="AR4193" i="20"/>
  <c r="AR4194" i="20"/>
  <c r="AR4195" i="20"/>
  <c r="AR4196" i="20"/>
  <c r="AR4197" i="20"/>
  <c r="AR4198" i="20"/>
  <c r="AR4199" i="20"/>
  <c r="AR4200" i="20"/>
  <c r="AR4201" i="20"/>
  <c r="AR4202" i="20"/>
  <c r="AR4203" i="20"/>
  <c r="AR4204" i="20"/>
  <c r="AR4205" i="20"/>
  <c r="AR4206" i="20"/>
  <c r="AR4207" i="20"/>
  <c r="AR4208" i="20"/>
  <c r="AR4209" i="20"/>
  <c r="AR4210" i="20"/>
  <c r="AR4211" i="20"/>
  <c r="AR4212" i="20"/>
  <c r="AR4213" i="20"/>
  <c r="AR4214" i="20"/>
  <c r="AR4215" i="20"/>
  <c r="AR4216" i="20"/>
  <c r="AR4217" i="20"/>
  <c r="AR4218" i="20"/>
  <c r="AR4219" i="20"/>
  <c r="AR4220" i="20"/>
  <c r="AR4221" i="20"/>
  <c r="AR4222" i="20"/>
  <c r="AR4223" i="20"/>
  <c r="AR4224" i="20"/>
  <c r="AR4225" i="20"/>
  <c r="AR4226" i="20"/>
  <c r="AR4227" i="20"/>
  <c r="AR4228" i="20"/>
  <c r="AR4229" i="20"/>
  <c r="AR4230" i="20"/>
  <c r="AR4231" i="20"/>
  <c r="AR4232" i="20"/>
  <c r="AR4233" i="20"/>
  <c r="AR4234" i="20"/>
  <c r="AR4235" i="20"/>
  <c r="AR4236" i="20"/>
  <c r="AR4237" i="20"/>
  <c r="AR4238" i="20"/>
  <c r="AR4239" i="20"/>
  <c r="AR4240" i="20"/>
  <c r="AR4241" i="20"/>
  <c r="AR4242" i="20"/>
  <c r="AR4243" i="20"/>
  <c r="AR4244" i="20"/>
  <c r="AR4245" i="20"/>
  <c r="AR4246" i="20"/>
  <c r="AR4247" i="20"/>
  <c r="AR4248" i="20"/>
  <c r="AR4249" i="20"/>
  <c r="AR4250" i="20"/>
  <c r="AR4251" i="20"/>
  <c r="AR4252" i="20"/>
  <c r="AR4253" i="20"/>
  <c r="AR4254" i="20"/>
  <c r="AR4255" i="20"/>
  <c r="AR4256" i="20"/>
  <c r="AR4257" i="20"/>
  <c r="AR4258" i="20"/>
  <c r="AR4259" i="20"/>
  <c r="AR4260" i="20"/>
  <c r="AR4261" i="20"/>
  <c r="AR4262" i="20"/>
  <c r="AR4263" i="20"/>
  <c r="AR4264" i="20"/>
  <c r="AR4265" i="20"/>
  <c r="AR4266" i="20"/>
  <c r="AR4267" i="20"/>
  <c r="AR4268" i="20"/>
  <c r="AR4269" i="20"/>
  <c r="AR4270" i="20"/>
  <c r="AR4271" i="20"/>
  <c r="AR4272" i="20"/>
  <c r="AR4273" i="20"/>
  <c r="AR4274" i="20"/>
  <c r="AR4275" i="20"/>
  <c r="AR4276" i="20"/>
  <c r="AR4277" i="20"/>
  <c r="AR4278" i="20"/>
  <c r="AR4279" i="20"/>
  <c r="AR4280" i="20"/>
  <c r="AR4281" i="20"/>
  <c r="AR4282" i="20"/>
  <c r="AR4283" i="20"/>
  <c r="AR4284" i="20"/>
  <c r="AR4285" i="20"/>
  <c r="AR4286" i="20"/>
  <c r="AR4287" i="20"/>
  <c r="AR4288" i="20"/>
  <c r="AR4289" i="20"/>
  <c r="AR4290" i="20"/>
  <c r="AR4291" i="20"/>
  <c r="AR4292" i="20"/>
  <c r="AR4293" i="20"/>
  <c r="AR4294" i="20"/>
  <c r="AR4295" i="20"/>
  <c r="AR4296" i="20"/>
  <c r="AR4297" i="20"/>
  <c r="AR4298" i="20"/>
  <c r="AR4299" i="20"/>
  <c r="AR4300" i="20"/>
  <c r="AR4301" i="20"/>
  <c r="AR4302" i="20"/>
  <c r="AR4303" i="20"/>
  <c r="AR4304" i="20"/>
  <c r="AR4305" i="20"/>
  <c r="AR4306" i="20"/>
  <c r="AR4307" i="20"/>
  <c r="AR4308" i="20"/>
  <c r="AR4309" i="20"/>
  <c r="AR4310" i="20"/>
  <c r="AR4311" i="20"/>
  <c r="AR4312" i="20"/>
  <c r="AR4313" i="20"/>
  <c r="AR4314" i="20"/>
  <c r="AR4315" i="20"/>
  <c r="AR4316" i="20"/>
  <c r="AR4317" i="20"/>
  <c r="AR4318" i="20"/>
  <c r="AR4319" i="20"/>
  <c r="AR4320" i="20"/>
  <c r="AR4321" i="20"/>
  <c r="AR4322" i="20"/>
  <c r="AR4323" i="20"/>
  <c r="AR4324" i="20"/>
  <c r="AR4325" i="20"/>
  <c r="AR4326" i="20"/>
  <c r="AR4327" i="20"/>
  <c r="AR4328" i="20"/>
  <c r="AR4329" i="20"/>
  <c r="AR4330" i="20"/>
  <c r="AR4331" i="20"/>
  <c r="AR4332" i="20"/>
  <c r="AR4333" i="20"/>
  <c r="AR4334" i="20"/>
  <c r="AR4335" i="20"/>
  <c r="AR4336" i="20"/>
  <c r="AR4337" i="20"/>
  <c r="AR4338" i="20"/>
  <c r="AR4339" i="20"/>
  <c r="AR4340" i="20"/>
  <c r="AR4341" i="20"/>
  <c r="AR4342" i="20"/>
  <c r="AR4343" i="20"/>
  <c r="AR4344" i="20"/>
  <c r="AR4345" i="20"/>
  <c r="AR4346" i="20"/>
  <c r="AR4347" i="20"/>
  <c r="AR4348" i="20"/>
  <c r="AR4349" i="20"/>
  <c r="AR4350" i="20"/>
  <c r="AR4351" i="20"/>
  <c r="AR4352" i="20"/>
  <c r="AR4353" i="20"/>
  <c r="AR4354" i="20"/>
  <c r="AR4355" i="20"/>
  <c r="AR4356" i="20"/>
  <c r="AR4357" i="20"/>
  <c r="AR4358" i="20"/>
  <c r="AR4359" i="20"/>
  <c r="AR4360" i="20"/>
  <c r="AR4361" i="20"/>
  <c r="AR4362" i="20"/>
  <c r="AR4363" i="20"/>
  <c r="AR4364" i="20"/>
  <c r="AR4365" i="20"/>
  <c r="AR4366" i="20"/>
  <c r="AR4367" i="20"/>
  <c r="AR4368" i="20"/>
  <c r="AR4369" i="20"/>
  <c r="AR4370" i="20"/>
  <c r="AR4371" i="20"/>
  <c r="AR4372" i="20"/>
  <c r="AR4373" i="20"/>
  <c r="AR4374" i="20"/>
  <c r="AR4375" i="20"/>
  <c r="AR4376" i="20"/>
  <c r="AR4377" i="20"/>
  <c r="AR4378" i="20"/>
  <c r="AR4379" i="20"/>
  <c r="AR4380" i="20"/>
  <c r="AR4381" i="20"/>
  <c r="AR4382" i="20"/>
  <c r="AR4383" i="20"/>
  <c r="AR4384" i="20"/>
  <c r="AR4385" i="20"/>
  <c r="AR4386" i="20"/>
  <c r="AR4387" i="20"/>
  <c r="AR4388" i="20"/>
  <c r="AR4389" i="20"/>
  <c r="AR4390" i="20"/>
  <c r="AR4391" i="20"/>
  <c r="AR4392" i="20"/>
  <c r="AR4393" i="20"/>
  <c r="AR4394" i="20"/>
  <c r="AR4395" i="20"/>
  <c r="AR4396" i="20"/>
  <c r="AR4397" i="20"/>
  <c r="AR4398" i="20"/>
  <c r="AR4399" i="20"/>
  <c r="AR4400" i="20"/>
  <c r="AR4401" i="20"/>
  <c r="AR4402" i="20"/>
  <c r="AR4403" i="20"/>
  <c r="AR4404" i="20"/>
  <c r="AR4405" i="20"/>
  <c r="AR4406" i="20"/>
  <c r="AR4407" i="20"/>
  <c r="AR4408" i="20"/>
  <c r="AR4409" i="20"/>
  <c r="AR4410" i="20"/>
  <c r="AR4411" i="20"/>
  <c r="AR4412" i="20"/>
  <c r="AR4413" i="20"/>
  <c r="AR4414" i="20"/>
  <c r="AR4415" i="20"/>
  <c r="AR4416" i="20"/>
  <c r="AR4417" i="20"/>
  <c r="AR4418" i="20"/>
  <c r="AR4419" i="20"/>
  <c r="AR4420" i="20"/>
  <c r="AR4421" i="20"/>
  <c r="AR4422" i="20"/>
  <c r="AR4423" i="20"/>
  <c r="AR4424" i="20"/>
  <c r="AR4425" i="20"/>
  <c r="AR4426" i="20"/>
  <c r="AR4427" i="20"/>
  <c r="AR4428" i="20"/>
  <c r="AR4429" i="20"/>
  <c r="AR4430" i="20"/>
  <c r="AR4431" i="20"/>
  <c r="AR4432" i="20"/>
  <c r="AR4433" i="20"/>
  <c r="AR4434" i="20"/>
  <c r="AR4435" i="20"/>
  <c r="AR4436" i="20"/>
  <c r="AR4437" i="20"/>
  <c r="AR4438" i="20"/>
  <c r="AR4439" i="20"/>
  <c r="AR4440" i="20"/>
  <c r="AR4441" i="20"/>
  <c r="AR4442" i="20"/>
  <c r="AR4443" i="20"/>
  <c r="AR4444" i="20"/>
  <c r="AR4445" i="20"/>
  <c r="AR4446" i="20"/>
  <c r="AR4447" i="20"/>
  <c r="AR4448" i="20"/>
  <c r="AR4449" i="20"/>
  <c r="AR4450" i="20"/>
  <c r="AR4451" i="20"/>
  <c r="AR4452" i="20"/>
  <c r="AR4453" i="20"/>
  <c r="AR4454" i="20"/>
  <c r="AR4455" i="20"/>
  <c r="AR4456" i="20"/>
  <c r="AR4457" i="20"/>
  <c r="AR4458" i="20"/>
  <c r="AR4459" i="20"/>
  <c r="AR4460" i="20"/>
  <c r="AR4461" i="20"/>
  <c r="AR4462" i="20"/>
  <c r="AR4463" i="20"/>
  <c r="AR4464" i="20"/>
  <c r="AR4465" i="20"/>
  <c r="AR4466" i="20"/>
  <c r="AR4467" i="20"/>
  <c r="AR4468" i="20"/>
  <c r="AR4469" i="20"/>
  <c r="AR4470" i="20"/>
  <c r="AR4471" i="20"/>
  <c r="AR4472" i="20"/>
  <c r="AR4473" i="20"/>
  <c r="AR4474" i="20"/>
  <c r="AR4475" i="20"/>
  <c r="AR4476" i="20"/>
  <c r="AR4477" i="20"/>
  <c r="AR4478" i="20"/>
  <c r="AR4479" i="20"/>
  <c r="AR4480" i="20"/>
  <c r="AR4481" i="20"/>
  <c r="AR4482" i="20"/>
  <c r="AR4483" i="20"/>
  <c r="AR4484" i="20"/>
  <c r="AR4485" i="20"/>
  <c r="AR4486" i="20"/>
  <c r="AR4487" i="20"/>
  <c r="AR4488" i="20"/>
  <c r="AR4489" i="20"/>
  <c r="AR4490" i="20"/>
  <c r="AR4491" i="20"/>
  <c r="AR4492" i="20"/>
  <c r="AR4493" i="20"/>
  <c r="AR4494" i="20"/>
  <c r="AR4495" i="20"/>
  <c r="AR4496" i="20"/>
  <c r="AR4497" i="20"/>
  <c r="AR4498" i="20"/>
  <c r="AR4499" i="20"/>
  <c r="AR4500" i="20"/>
  <c r="AR4501" i="20"/>
  <c r="AR4502" i="20"/>
  <c r="AR4503" i="20"/>
  <c r="AR4504" i="20"/>
  <c r="AR4505" i="20"/>
  <c r="AR4506" i="20"/>
  <c r="AR4507" i="20"/>
  <c r="AR4508" i="20"/>
  <c r="AR4509" i="20"/>
  <c r="AR4510" i="20"/>
  <c r="AR4511" i="20"/>
  <c r="AR4512" i="20"/>
  <c r="AR4513" i="20"/>
  <c r="AR4514" i="20"/>
  <c r="AR4515" i="20"/>
  <c r="AR4516" i="20"/>
  <c r="AR4517" i="20"/>
  <c r="AR4518" i="20"/>
  <c r="AR4519" i="20"/>
  <c r="AR4520" i="20"/>
  <c r="AR4521" i="20"/>
  <c r="AR4522" i="20"/>
  <c r="AR4523" i="20"/>
  <c r="AR4524" i="20"/>
  <c r="AR4525" i="20"/>
  <c r="AR4526" i="20"/>
  <c r="AR4527" i="20"/>
  <c r="AR4528" i="20"/>
  <c r="AR4529" i="20"/>
  <c r="AR4530" i="20"/>
  <c r="AR4531" i="20"/>
  <c r="AR4532" i="20"/>
  <c r="AR4533" i="20"/>
  <c r="AR4534" i="20"/>
  <c r="AR4535" i="20"/>
  <c r="AR4536" i="20"/>
  <c r="AR4537" i="20"/>
  <c r="AR4538" i="20"/>
  <c r="AR4539" i="20"/>
  <c r="AR4540" i="20"/>
  <c r="AR4541" i="20"/>
  <c r="AR4542" i="20"/>
  <c r="AR4543" i="20"/>
  <c r="AR4544" i="20"/>
  <c r="AR4545" i="20"/>
  <c r="AR4546" i="20"/>
  <c r="AR4547" i="20"/>
  <c r="AR4548" i="20"/>
  <c r="AR4549" i="20"/>
  <c r="AR4550" i="20"/>
  <c r="AR4551" i="20"/>
  <c r="AR4552" i="20"/>
  <c r="AR4553" i="20"/>
  <c r="AR4554" i="20"/>
  <c r="AR4555" i="20"/>
  <c r="AR4556" i="20"/>
  <c r="AR4557" i="20"/>
  <c r="AR4558" i="20"/>
  <c r="AR4559" i="20"/>
  <c r="AR4560" i="20"/>
  <c r="AR4561" i="20"/>
  <c r="AR4562" i="20"/>
  <c r="AR4563" i="20"/>
  <c r="AR4564" i="20"/>
  <c r="AR4565" i="20"/>
  <c r="AR4566" i="20"/>
  <c r="AR4567" i="20"/>
  <c r="AR4568" i="20"/>
  <c r="AR4569" i="20"/>
  <c r="AR4570" i="20"/>
  <c r="AR4571" i="20"/>
  <c r="AR4572" i="20"/>
  <c r="AR4573" i="20"/>
  <c r="AR4574" i="20"/>
  <c r="AR4575" i="20"/>
  <c r="AR4576" i="20"/>
  <c r="AR4577" i="20"/>
  <c r="AR4578" i="20"/>
  <c r="AR4579" i="20"/>
  <c r="AR4580" i="20"/>
  <c r="AR4581" i="20"/>
  <c r="AR4582" i="20"/>
  <c r="AR4583" i="20"/>
  <c r="AR4584" i="20"/>
  <c r="AR4585" i="20"/>
  <c r="AR4586" i="20"/>
  <c r="AR4587" i="20"/>
  <c r="AR4588" i="20"/>
  <c r="AR4589" i="20"/>
  <c r="AR4590" i="20"/>
  <c r="AR4591" i="20"/>
  <c r="AR4592" i="20"/>
  <c r="AR4593" i="20"/>
  <c r="AR4594" i="20"/>
  <c r="AR4595" i="20"/>
  <c r="AR4596" i="20"/>
  <c r="AR4597" i="20"/>
  <c r="AR4598" i="20"/>
  <c r="AR4599" i="20"/>
  <c r="AR4600" i="20"/>
  <c r="AR4601" i="20"/>
  <c r="AR4602" i="20"/>
  <c r="AR4603" i="20"/>
  <c r="AR4604" i="20"/>
  <c r="AR4605" i="20"/>
  <c r="AR4606" i="20"/>
  <c r="AR4607" i="20"/>
  <c r="AR4608" i="20"/>
  <c r="AR4609" i="20"/>
  <c r="AR4610" i="20"/>
  <c r="AR4611" i="20"/>
  <c r="AR4612" i="20"/>
  <c r="AR4613" i="20"/>
  <c r="AR4614" i="20"/>
  <c r="AR4615" i="20"/>
  <c r="AR4616" i="20"/>
  <c r="AR4617" i="20"/>
  <c r="AR4618" i="20"/>
  <c r="AR4619" i="20"/>
  <c r="AR4620" i="20"/>
  <c r="AR4621" i="20"/>
  <c r="AR4622" i="20"/>
  <c r="AR4623" i="20"/>
  <c r="AR4624" i="20"/>
  <c r="AR4625" i="20"/>
  <c r="AR4626" i="20"/>
  <c r="AR4627" i="20"/>
  <c r="AR4628" i="20"/>
  <c r="AR4629" i="20"/>
  <c r="AR4630" i="20"/>
  <c r="AR4631" i="20"/>
  <c r="AR4632" i="20"/>
  <c r="AR4633" i="20"/>
  <c r="AR4634" i="20"/>
  <c r="AR4635" i="20"/>
  <c r="AR4636" i="20"/>
  <c r="AR4637" i="20"/>
  <c r="AR4638" i="20"/>
  <c r="AR4639" i="20"/>
  <c r="AR4640" i="20"/>
  <c r="AR4641" i="20"/>
  <c r="AR4642" i="20"/>
  <c r="AR4643" i="20"/>
  <c r="AR4644" i="20"/>
  <c r="AR4645" i="20"/>
  <c r="AR4646" i="20"/>
  <c r="AR4647" i="20"/>
  <c r="AR4648" i="20"/>
  <c r="AR4649" i="20"/>
  <c r="AR4650" i="20"/>
  <c r="AR4651" i="20"/>
  <c r="AR4652" i="20"/>
  <c r="AR4653" i="20"/>
  <c r="AR4654" i="20"/>
  <c r="AR4655" i="20"/>
  <c r="AR4656" i="20"/>
  <c r="AR4657" i="20"/>
  <c r="AR4658" i="20"/>
  <c r="AR4659" i="20"/>
  <c r="AR4660" i="20"/>
  <c r="AR4661" i="20"/>
  <c r="AR4662" i="20"/>
  <c r="AR4663" i="20"/>
  <c r="AR4664" i="20"/>
  <c r="AR4665" i="20"/>
  <c r="AR4666" i="20"/>
  <c r="AR4667" i="20"/>
  <c r="AR4668" i="20"/>
  <c r="AR4669" i="20"/>
  <c r="AR4670" i="20"/>
  <c r="AR4671" i="20"/>
  <c r="AR4672" i="20"/>
  <c r="AR4673" i="20"/>
  <c r="AR4674" i="20"/>
  <c r="AR4675" i="20"/>
  <c r="AR4676" i="20"/>
  <c r="AR4677" i="20"/>
  <c r="AR4678" i="20"/>
  <c r="AR4679" i="20"/>
  <c r="AR4680" i="20"/>
  <c r="AR4681" i="20"/>
  <c r="AR4682" i="20"/>
  <c r="AR4683" i="20"/>
  <c r="AR4684" i="20"/>
  <c r="AR4685" i="20"/>
  <c r="AR4686" i="20"/>
  <c r="AR4687" i="20"/>
  <c r="AR4688" i="20"/>
  <c r="AR4689" i="20"/>
  <c r="AR4690" i="20"/>
  <c r="AR4691" i="20"/>
  <c r="AR4692" i="20"/>
  <c r="AR4693" i="20"/>
  <c r="AR4694" i="20"/>
  <c r="AR4695" i="20"/>
  <c r="AR4696" i="20"/>
  <c r="AR4697" i="20"/>
  <c r="AR4698" i="20"/>
  <c r="AR4699" i="20"/>
  <c r="AR4700" i="20"/>
  <c r="AR4701" i="20"/>
  <c r="AR4702" i="20"/>
  <c r="AR4703" i="20"/>
  <c r="AR4704" i="20"/>
  <c r="AR4705" i="20"/>
  <c r="AR4706" i="20"/>
  <c r="AR4707" i="20"/>
  <c r="AR4708" i="20"/>
  <c r="AR4709" i="20"/>
  <c r="AR4710" i="20"/>
  <c r="AR4711" i="20"/>
  <c r="AR4712" i="20"/>
  <c r="AR4713" i="20"/>
  <c r="AR4714" i="20"/>
  <c r="AR4715" i="20"/>
  <c r="AR4716" i="20"/>
  <c r="AR4717" i="20"/>
  <c r="AR4718" i="20"/>
  <c r="AR4719" i="20"/>
  <c r="AR4720" i="20"/>
  <c r="AR4721" i="20"/>
  <c r="AR4722" i="20"/>
  <c r="AR4723" i="20"/>
  <c r="AR4724" i="20"/>
  <c r="AR4725" i="20"/>
  <c r="AR4726" i="20"/>
  <c r="AR4727" i="20"/>
  <c r="AR4728" i="20"/>
  <c r="AR4729" i="20"/>
  <c r="AR4730" i="20"/>
  <c r="AR4731" i="20"/>
  <c r="AR4732" i="20"/>
  <c r="AR4733" i="20"/>
  <c r="AR4734" i="20"/>
  <c r="AR4735" i="20"/>
  <c r="AR4736" i="20"/>
  <c r="AR4737" i="20"/>
  <c r="AR4738" i="20"/>
  <c r="AR4739" i="20"/>
  <c r="AR4740" i="20"/>
  <c r="AR4741" i="20"/>
  <c r="AR4742" i="20"/>
  <c r="AR4743" i="20"/>
  <c r="AR4744" i="20"/>
  <c r="AR4745" i="20"/>
  <c r="AR4746" i="20"/>
  <c r="AR4747" i="20"/>
  <c r="AR4748" i="20"/>
  <c r="AR4749" i="20"/>
  <c r="AR4750" i="20"/>
  <c r="AR4751" i="20"/>
  <c r="AR4752" i="20"/>
  <c r="AR4753" i="20"/>
  <c r="AR4754" i="20"/>
  <c r="AR4755" i="20"/>
  <c r="AR4756" i="20"/>
  <c r="AR4757" i="20"/>
  <c r="AR4758" i="20"/>
  <c r="AR4759" i="20"/>
  <c r="AR4760" i="20"/>
  <c r="AR4761" i="20"/>
  <c r="AR4762" i="20"/>
  <c r="AR4763" i="20"/>
  <c r="AR4764" i="20"/>
  <c r="AR4765" i="20"/>
  <c r="AR4766" i="20"/>
  <c r="AR4767" i="20"/>
  <c r="AR4768" i="20"/>
  <c r="AR4769" i="20"/>
  <c r="AR4770" i="20"/>
  <c r="AR4771" i="20"/>
  <c r="AR4772" i="20"/>
  <c r="AR4773" i="20"/>
  <c r="AR4774" i="20"/>
  <c r="AR4775" i="20"/>
  <c r="AR4776" i="20"/>
  <c r="AR4777" i="20"/>
  <c r="AR4778" i="20"/>
  <c r="AR4779" i="20"/>
  <c r="AR4780" i="20"/>
  <c r="AR4781" i="20"/>
  <c r="AR4782" i="20"/>
  <c r="AR4783" i="20"/>
  <c r="AR4784" i="20"/>
  <c r="AR4785" i="20"/>
  <c r="AR4786" i="20"/>
  <c r="AR4787" i="20"/>
  <c r="AR4788" i="20"/>
  <c r="AR4789" i="20"/>
  <c r="AR4790" i="20"/>
  <c r="AR4791" i="20"/>
  <c r="AR4792" i="20"/>
  <c r="AR4793" i="20"/>
  <c r="AR4794" i="20"/>
  <c r="AR4795" i="20"/>
  <c r="AR4796" i="20"/>
  <c r="AR4797" i="20"/>
  <c r="AR4798" i="20"/>
  <c r="AR4799" i="20"/>
  <c r="AR4800" i="20"/>
  <c r="AR4801" i="20"/>
  <c r="AR4802" i="20"/>
  <c r="AR4803" i="20"/>
  <c r="AR4804" i="20"/>
  <c r="AR4805" i="20"/>
  <c r="AR4806" i="20"/>
  <c r="AR4807" i="20"/>
  <c r="AR4808" i="20"/>
  <c r="AR4809" i="20"/>
  <c r="AR4810" i="20"/>
  <c r="AR4811" i="20"/>
  <c r="AR4812" i="20"/>
  <c r="AR4813" i="20"/>
  <c r="AR4814" i="20"/>
  <c r="AR4815" i="20"/>
  <c r="AR4816" i="20"/>
  <c r="AR4817" i="20"/>
  <c r="AR4818" i="20"/>
  <c r="AR4819" i="20"/>
  <c r="AR4820" i="20"/>
  <c r="AR4821" i="20"/>
  <c r="AR4822" i="20"/>
  <c r="AR4823" i="20"/>
  <c r="AR4824" i="20"/>
  <c r="AR4825" i="20"/>
  <c r="AR4826" i="20"/>
  <c r="AR4827" i="20"/>
  <c r="AR4828" i="20"/>
  <c r="AR4829" i="20"/>
  <c r="AR4830" i="20"/>
  <c r="AR4831" i="20"/>
  <c r="AR4832" i="20"/>
  <c r="AR4833" i="20"/>
  <c r="AR4834" i="20"/>
  <c r="AR4835" i="20"/>
  <c r="AR4836" i="20"/>
  <c r="AR4837" i="20"/>
  <c r="AR4838" i="20"/>
  <c r="AR4839" i="20"/>
  <c r="AR4840" i="20"/>
  <c r="AR4841" i="20"/>
  <c r="AR4842" i="20"/>
  <c r="AR4843" i="20"/>
  <c r="AR4844" i="20"/>
  <c r="AR4845" i="20"/>
  <c r="AR4846" i="20"/>
  <c r="AR4847" i="20"/>
  <c r="AR4848" i="20"/>
  <c r="AR4849" i="20"/>
  <c r="AR4850" i="20"/>
  <c r="AR4851" i="20"/>
  <c r="AR4852" i="20"/>
  <c r="AR4853" i="20"/>
  <c r="AR4854" i="20"/>
  <c r="AR4855" i="20"/>
  <c r="AR4856" i="20"/>
  <c r="AR4857" i="20"/>
  <c r="AR4858" i="20"/>
  <c r="AR4859" i="20"/>
  <c r="AR4860" i="20"/>
  <c r="AR4861" i="20"/>
  <c r="AR4862" i="20"/>
  <c r="AR4863" i="20"/>
  <c r="AR4864" i="20"/>
  <c r="AR4865" i="20"/>
  <c r="AR4866" i="20"/>
  <c r="AR4867" i="20"/>
  <c r="AR4868" i="20"/>
  <c r="AR4869" i="20"/>
  <c r="AR4870" i="20"/>
  <c r="AR4871" i="20"/>
  <c r="AR4872" i="20"/>
  <c r="AR4873" i="20"/>
  <c r="AR4874" i="20"/>
  <c r="AR4875" i="20"/>
  <c r="AR4876" i="20"/>
  <c r="AR4877" i="20"/>
  <c r="AR4878" i="20"/>
  <c r="AR4879" i="20"/>
  <c r="AR4880" i="20"/>
  <c r="AR4881" i="20"/>
  <c r="AR4882" i="20"/>
  <c r="AR4883" i="20"/>
  <c r="AR4884" i="20"/>
  <c r="AR4885" i="20"/>
  <c r="AR4886" i="20"/>
  <c r="AR4887" i="20"/>
  <c r="AR4888" i="20"/>
  <c r="AR4889" i="20"/>
  <c r="AR4890" i="20"/>
  <c r="AR4891" i="20"/>
  <c r="AR4892" i="20"/>
  <c r="AR4893" i="20"/>
  <c r="AR4894" i="20"/>
  <c r="AR4895" i="20"/>
  <c r="AR4896" i="20"/>
  <c r="AR4897" i="20"/>
  <c r="AR4898" i="20"/>
  <c r="AR4899" i="20"/>
  <c r="AR4900" i="20"/>
  <c r="AR4901" i="20"/>
  <c r="AR4902" i="20"/>
  <c r="AR4903" i="20"/>
  <c r="AR4904" i="20"/>
  <c r="AR4905" i="20"/>
  <c r="AR4906" i="20"/>
  <c r="AR4907" i="20"/>
  <c r="AR4908" i="20"/>
  <c r="AR4909" i="20"/>
  <c r="AR4910" i="20"/>
  <c r="AR4911" i="20"/>
  <c r="AR4912" i="20"/>
  <c r="AR4913" i="20"/>
  <c r="AR4914" i="20"/>
  <c r="AR4915" i="20"/>
  <c r="AR4916" i="20"/>
  <c r="AR4917" i="20"/>
  <c r="AR4918" i="20"/>
  <c r="AR4919" i="20"/>
  <c r="AR4920" i="20"/>
  <c r="AR4921" i="20"/>
  <c r="AR4922" i="20"/>
  <c r="AR4923" i="20"/>
  <c r="AR4924" i="20"/>
  <c r="AR4925" i="20"/>
  <c r="AR4926" i="20"/>
  <c r="AR4927" i="20"/>
  <c r="AR4928" i="20"/>
  <c r="AR4929" i="20"/>
  <c r="AR4930" i="20"/>
  <c r="AR4931" i="20"/>
  <c r="AR4932" i="20"/>
  <c r="AR4933" i="20"/>
  <c r="AR4934" i="20"/>
  <c r="AR4935" i="20"/>
  <c r="AR4936" i="20"/>
  <c r="AR4937" i="20"/>
  <c r="AR4938" i="20"/>
  <c r="AR4939" i="20"/>
  <c r="AR4940" i="20"/>
  <c r="AR4941" i="20"/>
  <c r="AR4942" i="20"/>
  <c r="AR4943" i="20"/>
  <c r="AR4944" i="20"/>
  <c r="AR4945" i="20"/>
  <c r="AR4946" i="20"/>
  <c r="AR4947" i="20"/>
  <c r="AR4948" i="20"/>
  <c r="AR4949" i="20"/>
  <c r="AR4950" i="20"/>
  <c r="AR4951" i="20"/>
  <c r="AR4952" i="20"/>
  <c r="AR4953" i="20"/>
  <c r="AR4954" i="20"/>
  <c r="AR4955" i="20"/>
  <c r="AR4956" i="20"/>
  <c r="AR4957" i="20"/>
  <c r="AR4958" i="20"/>
  <c r="AR4959" i="20"/>
  <c r="AR4960" i="20"/>
  <c r="AR4961" i="20"/>
  <c r="AR4962" i="20"/>
  <c r="AR4963" i="20"/>
  <c r="AR4964" i="20"/>
  <c r="AR4965" i="20"/>
  <c r="AR4966" i="20"/>
  <c r="AR4967" i="20"/>
  <c r="AR4968" i="20"/>
  <c r="AR4969" i="20"/>
  <c r="AR4970" i="20"/>
  <c r="AR4971" i="20"/>
  <c r="AR4972" i="20"/>
  <c r="AR4973" i="20"/>
  <c r="AR4974" i="20"/>
  <c r="AR4975" i="20"/>
  <c r="AR4976" i="20"/>
  <c r="AR4977" i="20"/>
  <c r="AR4978" i="20"/>
  <c r="AR4979" i="20"/>
  <c r="AR4980" i="20"/>
  <c r="AR4981" i="20"/>
  <c r="AR4982" i="20"/>
  <c r="AR4983" i="20"/>
  <c r="AR4984" i="20"/>
  <c r="AR4985" i="20"/>
  <c r="AR4986" i="20"/>
  <c r="AR4987" i="20"/>
  <c r="AR4988" i="20"/>
  <c r="AR4989" i="20"/>
  <c r="AR4990" i="20"/>
  <c r="AR4991" i="20"/>
  <c r="AR4992" i="20"/>
  <c r="AR4993" i="20"/>
  <c r="AR4994" i="20"/>
  <c r="AR4995" i="20"/>
  <c r="AR4996" i="20"/>
  <c r="AR4997" i="20"/>
  <c r="AR4998" i="20"/>
  <c r="AR4999" i="20"/>
  <c r="AR5000" i="20"/>
  <c r="AR5001" i="20"/>
  <c r="AR5002" i="20"/>
  <c r="AR5003" i="20"/>
  <c r="AR5004" i="20"/>
  <c r="AR5005" i="20"/>
  <c r="AR5006" i="20"/>
  <c r="AR5007" i="20"/>
  <c r="AR5008" i="20"/>
  <c r="AR5009" i="20"/>
  <c r="AR5010" i="20"/>
  <c r="AR5011" i="20"/>
  <c r="AR5012" i="20"/>
  <c r="AR5013" i="20"/>
  <c r="AR5014" i="20"/>
  <c r="AR5015" i="20"/>
  <c r="AR5016" i="20"/>
  <c r="AR5017" i="20"/>
  <c r="AR5018" i="20"/>
  <c r="AR5019" i="20"/>
  <c r="AR5020" i="20"/>
  <c r="AR5021" i="20"/>
  <c r="AR5022" i="20"/>
  <c r="AR5023" i="20"/>
  <c r="AR5024" i="20"/>
  <c r="AR5025" i="20"/>
  <c r="AR5026" i="20"/>
  <c r="AR5027" i="20"/>
  <c r="AR5028" i="20"/>
  <c r="AR5029" i="20"/>
  <c r="AR5030" i="20"/>
  <c r="AR5031" i="20"/>
  <c r="AR5032" i="20"/>
  <c r="AR5033" i="20"/>
  <c r="AR5034" i="20"/>
  <c r="AR5035" i="20"/>
  <c r="AR5036" i="20"/>
  <c r="AR5037" i="20"/>
  <c r="AR5038" i="20"/>
  <c r="AR5039" i="20"/>
  <c r="AR5040" i="20"/>
  <c r="AR5041" i="20"/>
  <c r="AR5042" i="20"/>
  <c r="AR5043" i="20"/>
  <c r="AR5044" i="20"/>
  <c r="AR5045" i="20"/>
  <c r="AR5046" i="20"/>
  <c r="AR5047" i="20"/>
  <c r="AR5048" i="20"/>
  <c r="AR5049" i="20"/>
  <c r="AR5050" i="20"/>
  <c r="AR5051" i="20"/>
  <c r="AR5052" i="20"/>
  <c r="AR5053" i="20"/>
  <c r="AR5054" i="20"/>
  <c r="AR5055" i="20"/>
  <c r="AR5056" i="20"/>
  <c r="AR5057" i="20"/>
  <c r="AR5058" i="20"/>
  <c r="AR5059" i="20"/>
  <c r="AR5060" i="20"/>
  <c r="AR5061" i="20"/>
  <c r="AR5062" i="20"/>
  <c r="AR5063" i="20"/>
  <c r="AR5064" i="20"/>
  <c r="AR5065" i="20"/>
  <c r="AR5066" i="20"/>
  <c r="AR5067" i="20"/>
  <c r="AR5068" i="20"/>
  <c r="AR5069" i="20"/>
  <c r="AR5070" i="20"/>
  <c r="AR5071" i="20"/>
  <c r="AR5072" i="20"/>
  <c r="AR5073" i="20"/>
  <c r="AR5074" i="20"/>
  <c r="AR5075" i="20"/>
  <c r="AR5076" i="20"/>
  <c r="AR5077" i="20"/>
  <c r="AR5078" i="20"/>
  <c r="AR5079" i="20"/>
  <c r="AR5080" i="20"/>
  <c r="AR5081" i="20"/>
  <c r="AR5082" i="20"/>
  <c r="AR5083" i="20"/>
  <c r="AR5084" i="20"/>
  <c r="AR5085" i="20"/>
  <c r="AR5086" i="20"/>
  <c r="AR5087" i="20"/>
  <c r="AR5088" i="20"/>
  <c r="AR5089" i="20"/>
  <c r="AR5090" i="20"/>
  <c r="AR5091" i="20"/>
  <c r="AR5092" i="20"/>
  <c r="AR5093" i="20"/>
  <c r="AR5094" i="20"/>
  <c r="AR5095" i="20"/>
  <c r="AR5096" i="20"/>
  <c r="AR5097" i="20"/>
  <c r="AR5098" i="20"/>
  <c r="AR5099" i="20"/>
  <c r="AR5100" i="20"/>
  <c r="AR5101" i="20"/>
  <c r="AR5102" i="20"/>
  <c r="AR5103" i="20"/>
  <c r="AR5104" i="20"/>
  <c r="AR5105" i="20"/>
  <c r="AR5106" i="20"/>
  <c r="AR5107" i="20"/>
  <c r="AR5108" i="20"/>
  <c r="AR5109" i="20"/>
  <c r="AR5110" i="20"/>
  <c r="AR5111" i="20"/>
  <c r="AR5112" i="20"/>
  <c r="AR5113" i="20"/>
  <c r="AR5114" i="20"/>
  <c r="AR5115" i="20"/>
  <c r="AR5116" i="20"/>
  <c r="AR5117" i="20"/>
  <c r="AR5118" i="20"/>
  <c r="AR5119" i="20"/>
  <c r="AR5120" i="20"/>
  <c r="AR5121" i="20"/>
  <c r="AR5122" i="20"/>
  <c r="AR5123" i="20"/>
  <c r="AR5124" i="20"/>
  <c r="AR5125" i="20"/>
  <c r="AR5126" i="20"/>
  <c r="AR5127" i="20"/>
  <c r="AR5128" i="20"/>
  <c r="AR5129" i="20"/>
  <c r="AR5130" i="20"/>
  <c r="AR5131" i="20"/>
  <c r="AR5132" i="20"/>
  <c r="AR5133" i="20"/>
  <c r="AR5134" i="20"/>
  <c r="AR5135" i="20"/>
  <c r="AR5136" i="20"/>
  <c r="AR5137" i="20"/>
  <c r="AR5138" i="20"/>
  <c r="AR5139" i="20"/>
  <c r="AR5140" i="20"/>
  <c r="AR5141" i="20"/>
  <c r="AR5142" i="20"/>
  <c r="AR5143" i="20"/>
  <c r="AR5144" i="20"/>
  <c r="AR5145" i="20"/>
  <c r="AR5146" i="20"/>
  <c r="AR5147" i="20"/>
  <c r="AR5148" i="20"/>
  <c r="AR5149" i="20"/>
  <c r="AR5150" i="20"/>
  <c r="AR5151" i="20"/>
  <c r="AR5152" i="20"/>
  <c r="AR5153" i="20"/>
  <c r="AR5154" i="20"/>
  <c r="AR5155" i="20"/>
  <c r="AR5156" i="20"/>
  <c r="AR5157" i="20"/>
  <c r="AR5158" i="20"/>
  <c r="AR5159" i="20"/>
  <c r="AR5160" i="20"/>
  <c r="AR5161" i="20"/>
  <c r="AR5162" i="20"/>
  <c r="AR5163" i="20"/>
  <c r="AR5164" i="20"/>
  <c r="AR5165" i="20"/>
  <c r="AR5166" i="20"/>
  <c r="AR5167" i="20"/>
  <c r="AR5168" i="20"/>
  <c r="AR5169" i="20"/>
  <c r="AR5170" i="20"/>
  <c r="AR5171" i="20"/>
  <c r="AR5172" i="20"/>
  <c r="AR5173" i="20"/>
  <c r="AR5174" i="20"/>
  <c r="AR5175" i="20"/>
  <c r="AR5176" i="20"/>
  <c r="AR5177" i="20"/>
  <c r="AR5178" i="20"/>
  <c r="AR5179" i="20"/>
  <c r="AR5180" i="20"/>
  <c r="AR5181" i="20"/>
  <c r="AR5182" i="20"/>
  <c r="AR5183" i="20"/>
  <c r="AR5184" i="20"/>
  <c r="AR5185" i="20"/>
  <c r="AR5186" i="20"/>
  <c r="AR5187" i="20"/>
  <c r="AR5188" i="20"/>
  <c r="AR5189" i="20"/>
  <c r="AR5190" i="20"/>
  <c r="AR5191" i="20"/>
  <c r="AR5192" i="20"/>
  <c r="AR5193" i="20"/>
  <c r="AR5194" i="20"/>
  <c r="AR5195" i="20"/>
  <c r="AR5196" i="20"/>
  <c r="AR5197" i="20"/>
  <c r="AR5198" i="20"/>
  <c r="AR5199" i="20"/>
  <c r="AR5200" i="20"/>
  <c r="AR5201" i="20"/>
  <c r="AR5202" i="20"/>
  <c r="AR5203" i="20"/>
  <c r="AR5204" i="20"/>
  <c r="AR5205" i="20"/>
  <c r="AR5206" i="20"/>
  <c r="AR5207" i="20"/>
  <c r="AR5208" i="20"/>
  <c r="AR5209" i="20"/>
  <c r="AR5210" i="20"/>
  <c r="AR5211" i="20"/>
  <c r="AR5212" i="20"/>
  <c r="AR5213" i="20"/>
  <c r="AR5214" i="20"/>
  <c r="AR5215" i="20"/>
  <c r="AR5216" i="20"/>
  <c r="AR5217" i="20"/>
  <c r="AR5218" i="20"/>
  <c r="AR5219" i="20"/>
  <c r="AR5220" i="20"/>
  <c r="AR5221" i="20"/>
  <c r="AR5222" i="20"/>
  <c r="AR5223" i="20"/>
  <c r="AR5224" i="20"/>
  <c r="AR5225" i="20"/>
  <c r="AR5226" i="20"/>
  <c r="AR5227" i="20"/>
  <c r="AR5228" i="20"/>
  <c r="AR5229" i="20"/>
  <c r="AR5230" i="20"/>
  <c r="AR5231" i="20"/>
  <c r="AR5232" i="20"/>
  <c r="AR5233" i="20"/>
  <c r="AR5234" i="20"/>
  <c r="AR5235" i="20"/>
  <c r="AR5236" i="20"/>
  <c r="AR5237" i="20"/>
  <c r="AR5238" i="20"/>
  <c r="AR5239" i="20"/>
  <c r="AR5240" i="20"/>
  <c r="AR5241" i="20"/>
  <c r="AR5242" i="20"/>
  <c r="AR5243" i="20"/>
  <c r="AR5244" i="20"/>
  <c r="AR5245" i="20"/>
  <c r="AR5246" i="20"/>
  <c r="AR5247" i="20"/>
  <c r="AR5248" i="20"/>
  <c r="AR5249" i="20"/>
  <c r="AR5250" i="20"/>
  <c r="AR5251" i="20"/>
  <c r="AR5252" i="20"/>
  <c r="AR5253" i="20"/>
  <c r="AR5254" i="20"/>
  <c r="AR5255" i="20"/>
  <c r="AR5256" i="20"/>
  <c r="AR5257" i="20"/>
  <c r="AR5258" i="20"/>
  <c r="AR5259" i="20"/>
  <c r="AR5260" i="20"/>
  <c r="AR5261" i="20"/>
  <c r="AR5262" i="20"/>
  <c r="AR5263" i="20"/>
  <c r="AR5264" i="20"/>
  <c r="AR5265" i="20"/>
  <c r="AR5266" i="20"/>
  <c r="AR5267" i="20"/>
  <c r="AR5268" i="20"/>
  <c r="AR5269" i="20"/>
  <c r="AR5270" i="20"/>
  <c r="AR5271" i="20"/>
  <c r="AR5272" i="20"/>
  <c r="AR5273" i="20"/>
  <c r="AR5274" i="20"/>
  <c r="AR5275" i="20"/>
  <c r="AR5276" i="20"/>
  <c r="AR5277" i="20"/>
  <c r="AR5278" i="20"/>
  <c r="AR5279" i="20"/>
  <c r="AR5280" i="20"/>
  <c r="AR5281" i="20"/>
  <c r="AR5282" i="20"/>
  <c r="AR5283" i="20"/>
  <c r="AR5284" i="20"/>
  <c r="AR5285" i="20"/>
  <c r="AR5286" i="20"/>
  <c r="AR5287" i="20"/>
  <c r="AR5288" i="20"/>
  <c r="AR5289" i="20"/>
  <c r="AR5290" i="20"/>
  <c r="AR5291" i="20"/>
  <c r="AR5292" i="20"/>
  <c r="AR5293" i="20"/>
  <c r="AR5294" i="20"/>
  <c r="AR5295" i="20"/>
  <c r="AR5296" i="20"/>
  <c r="AR5297" i="20"/>
  <c r="AR5298" i="20"/>
  <c r="AR5299" i="20"/>
  <c r="AR5300" i="20"/>
  <c r="AR5301" i="20"/>
  <c r="AR5302" i="20"/>
  <c r="AR5303" i="20"/>
  <c r="AR5304" i="20"/>
  <c r="AR5305" i="20"/>
  <c r="AR5306" i="20"/>
  <c r="AR5307" i="20"/>
  <c r="AR5308" i="20"/>
  <c r="AR5309" i="20"/>
  <c r="AR5310" i="20"/>
  <c r="AR5311" i="20"/>
  <c r="AR5312" i="20"/>
  <c r="AR5313" i="20"/>
  <c r="AR5314" i="20"/>
  <c r="AR5315" i="20"/>
  <c r="AR5316" i="20"/>
  <c r="AR5317" i="20"/>
  <c r="AR5318" i="20"/>
  <c r="AR5319" i="20"/>
  <c r="AR5320" i="20"/>
  <c r="AR5321" i="20"/>
  <c r="AR5322" i="20"/>
  <c r="AR5323" i="20"/>
  <c r="AR5324" i="20"/>
  <c r="AR5325" i="20"/>
  <c r="AR5326" i="20"/>
  <c r="AR5327" i="20"/>
  <c r="AR5328" i="20"/>
  <c r="AR5329" i="20"/>
  <c r="AR5330" i="20"/>
  <c r="AR5331" i="20"/>
  <c r="AR5332" i="20"/>
  <c r="AR5333" i="20"/>
  <c r="AR5334" i="20"/>
  <c r="AR5335" i="20"/>
  <c r="AR5336" i="20"/>
  <c r="AR5337" i="20"/>
  <c r="AR5338" i="20"/>
  <c r="AR5339" i="20"/>
  <c r="AR5340" i="20"/>
  <c r="AR5341" i="20"/>
  <c r="AR5342" i="20"/>
  <c r="AR5343" i="20"/>
  <c r="AR5344" i="20"/>
  <c r="AR5345" i="20"/>
  <c r="AR5346" i="20"/>
  <c r="AR5347" i="20"/>
  <c r="AR5348" i="20"/>
  <c r="AR5349" i="20"/>
  <c r="AR5350" i="20"/>
  <c r="AR5351" i="20"/>
  <c r="AR5352" i="20"/>
  <c r="AR5353" i="20"/>
  <c r="AR5" i="20"/>
  <c r="AG132" i="20"/>
  <c r="AG716" i="20"/>
  <c r="BJ5" i="20"/>
  <c r="BI5" i="20"/>
  <c r="AG466" i="20"/>
  <c r="AG486" i="20"/>
  <c r="AG467" i="20"/>
  <c r="AG127" i="20"/>
  <c r="AG413" i="20"/>
  <c r="AG562" i="20"/>
  <c r="AG324" i="20"/>
  <c r="AG205" i="20"/>
  <c r="AG35" i="20"/>
  <c r="AG569" i="20"/>
  <c r="AG378" i="20"/>
  <c r="AG696" i="20"/>
  <c r="AG423" i="20"/>
  <c r="AG421" i="20"/>
  <c r="AG362" i="20"/>
  <c r="AG477" i="20"/>
  <c r="AG658" i="20"/>
  <c r="AG339" i="20"/>
  <c r="AG221" i="20"/>
  <c r="AG222" i="20"/>
  <c r="AG377" i="20"/>
  <c r="AG191" i="20"/>
  <c r="AG368" i="20"/>
  <c r="AG196" i="20"/>
  <c r="AG274" i="20"/>
  <c r="AG15" i="20"/>
  <c r="AG303" i="20"/>
  <c r="AG292" i="20"/>
  <c r="AG659" i="20"/>
  <c r="AG541" i="20"/>
  <c r="AG299" i="20"/>
  <c r="AG289" i="20"/>
  <c r="AG240" i="20"/>
  <c r="AG215" i="20"/>
  <c r="AG608" i="20"/>
  <c r="AG382" i="20"/>
  <c r="AG19" i="20"/>
  <c r="AG268" i="20"/>
  <c r="AG383" i="20"/>
  <c r="AG278" i="20"/>
  <c r="AG76" i="20"/>
  <c r="AG302" i="20"/>
  <c r="AG297" i="20"/>
  <c r="AG87" i="20"/>
  <c r="AG162" i="20"/>
  <c r="AG715" i="20"/>
  <c r="AG129" i="20"/>
  <c r="AG173" i="20"/>
  <c r="AG207" i="20"/>
  <c r="AG70" i="20"/>
  <c r="AG350" i="20"/>
  <c r="AG343" i="20"/>
  <c r="AG12" i="20"/>
  <c r="AG426" i="20"/>
  <c r="AG361" i="20"/>
  <c r="AG371" i="20"/>
  <c r="AG341" i="20"/>
  <c r="AG306" i="20"/>
  <c r="AG351" i="20"/>
  <c r="AG596" i="20"/>
  <c r="AG373" i="20"/>
  <c r="AG352" i="20"/>
  <c r="AG427" i="20"/>
  <c r="AG387" i="20"/>
  <c r="AG245" i="20"/>
  <c r="AG291" i="20"/>
  <c r="AG83" i="20"/>
  <c r="AG227" i="20"/>
  <c r="AG60" i="20"/>
  <c r="AG717" i="20"/>
  <c r="AG622" i="20"/>
  <c r="AG360" i="20"/>
  <c r="AG335" i="20"/>
  <c r="AG333" i="20"/>
  <c r="AG561" i="20"/>
  <c r="AG624" i="20"/>
  <c r="AG766" i="20"/>
  <c r="AG192" i="20"/>
  <c r="AG236" i="20"/>
  <c r="AG248" i="20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<sst xmlns="http://schemas.openxmlformats.org/spreadsheetml/2006/main" count="33666" uniqueCount="8613">
  <si>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</si>
  <si>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</si>
  <si>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</si>
  <si>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</si>
  <si>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</si>
  <si>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</si>
  <si>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</si>
  <si>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</si>
  <si>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</si>
  <si>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</si>
  <si>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</si>
  <si>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</si>
  <si>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</si>
  <si>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</si>
  <si>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NÃO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</si>
  <si>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</si>
  <si>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</si>
  <si>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</si>
  <si>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</si>
  <si>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</si>
  <si>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</si>
  <si>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</si>
  <si>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</si>
  <si>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</si>
  <si>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</si>
  <si>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</si>
  <si>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</si>
  <si>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</si>
  <si>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</si>
  <si>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</si>
  <si>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</si>
  <si>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</si>
  <si>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</si>
  <si>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</si>
  <si>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</si>
  <si>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</si>
  <si>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</si>
  <si>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</si>
  <si>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</si>
  <si>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</si>
  <si>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</si>
  <si>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</si>
  <si>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</si>
  <si>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</si>
  <si>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</si>
  <si>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</si>
  <si>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</si>
  <si>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</si>
  <si>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</si>
  <si>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</si>
  <si>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</si>
  <si>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</si>
  <si>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</si>
  <si>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</si>
  <si>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</si>
  <si>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</si>
  <si>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</si>
  <si>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</si>
  <si>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</si>
  <si>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</si>
  <si>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</si>
  <si>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</si>
  <si>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</si>
  <si>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</si>
  <si>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</si>
  <si>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</si>
  <si>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</si>
  <si>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</si>
  <si>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</si>
  <si>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</si>
  <si>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</si>
  <si>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</si>
  <si>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</si>
  <si>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</si>
  <si>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</si>
  <si>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</si>
  <si>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</si>
  <si>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</si>
  <si>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</si>
  <si>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</si>
  <si>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</si>
  <si>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</si>
  <si>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</si>
  <si>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</si>
  <si>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</si>
  <si>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</si>
  <si>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</si>
  <si>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</si>
  <si>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</si>
  <si>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</si>
  <si>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</si>
  <si>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</si>
  <si>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</si>
  <si>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</si>
  <si>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</si>
  <si>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</si>
  <si>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</si>
  <si>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</si>
  <si>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</si>
  <si>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</si>
  <si>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</si>
  <si>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</si>
  <si>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TITULAR</t>
  </si>
  <si>
    <t>CPF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</si>
  <si>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</si>
  <si>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</si>
  <si>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</si>
  <si>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</si>
  <si>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</si>
  <si>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</si>
  <si>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</si>
  <si>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</si>
  <si>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</si>
  <si>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</si>
  <si>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</si>
  <si>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</si>
  <si>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</si>
  <si>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</si>
  <si>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</si>
  <si>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</si>
  <si>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</si>
  <si>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</si>
  <si>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</si>
  <si>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</si>
  <si>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</si>
  <si>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</si>
  <si>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</si>
  <si>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</si>
  <si>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</si>
  <si>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</si>
  <si>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</si>
  <si>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</si>
  <si>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</si>
  <si>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</si>
  <si>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</si>
  <si>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</si>
  <si>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</si>
  <si>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</si>
  <si>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</si>
  <si>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</si>
  <si>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</si>
  <si>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</si>
  <si>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</si>
  <si>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</si>
  <si>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</si>
  <si>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</si>
  <si>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</si>
  <si>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</si>
  <si>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</si>
  <si>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</si>
  <si>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</si>
  <si>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</si>
  <si>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</si>
  <si>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</si>
  <si>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</si>
  <si>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</si>
  <si>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</si>
  <si>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</si>
  <si>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</si>
  <si>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</si>
  <si>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</si>
  <si>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</si>
  <si>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</si>
  <si>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</si>
  <si>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</si>
  <si>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</si>
  <si>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</si>
  <si>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</si>
  <si>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</si>
  <si>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</si>
  <si>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</si>
  <si>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</si>
  <si>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</si>
  <si>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</si>
  <si>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</si>
  <si>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</si>
  <si>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</si>
  <si>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</si>
  <si>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</si>
  <si>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</si>
  <si>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</si>
  <si>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</si>
  <si>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</si>
  <si>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</si>
  <si>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</si>
  <si>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</si>
  <si>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</si>
  <si>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</si>
  <si>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</si>
  <si>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</si>
  <si>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</si>
  <si>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</si>
  <si>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</si>
  <si>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</si>
  <si>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</si>
  <si>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</si>
  <si>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</si>
  <si>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</si>
  <si>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</si>
  <si>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</si>
  <si>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</si>
  <si>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</si>
  <si>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</si>
  <si>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</si>
  <si>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</si>
  <si>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</si>
  <si>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</si>
  <si>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</si>
  <si>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</si>
  <si>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</si>
  <si>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</si>
  <si>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</si>
  <si>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</si>
  <si>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</si>
  <si>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</si>
  <si>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</si>
  <si>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</si>
  <si>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</si>
  <si>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</si>
  <si>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</si>
  <si>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</si>
  <si>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</si>
  <si>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</si>
  <si>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</si>
  <si>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</si>
  <si>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</si>
  <si>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</si>
  <si>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</si>
  <si>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</si>
  <si>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</si>
  <si>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</si>
  <si>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</si>
  <si>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</si>
  <si>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</si>
  <si>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</si>
  <si>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</si>
  <si>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</si>
  <si>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</si>
  <si>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</si>
  <si>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</si>
  <si>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</si>
  <si>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</si>
  <si>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</si>
  <si>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</si>
  <si>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</si>
  <si>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</si>
  <si>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</si>
  <si>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</si>
  <si>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</si>
  <si>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</si>
  <si>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</si>
  <si>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</si>
  <si>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</si>
  <si>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</si>
  <si>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</si>
  <si>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</si>
  <si>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</si>
  <si>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</si>
  <si>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</si>
  <si>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</si>
  <si>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</si>
  <si>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</si>
  <si>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</si>
  <si>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</si>
  <si>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</si>
  <si>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</si>
  <si>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</si>
  <si>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</si>
  <si>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</si>
  <si>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</si>
  <si>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</si>
  <si>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</si>
  <si>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</si>
  <si>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</si>
  <si>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</si>
  <si>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</si>
  <si>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</si>
  <si>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</si>
  <si>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</si>
  <si>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</si>
  <si>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</si>
  <si>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</si>
  <si>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</si>
  <si>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</si>
  <si>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</si>
  <si>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</si>
  <si>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</si>
  <si>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</si>
  <si>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</si>
  <si>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</si>
  <si>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</si>
  <si>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</si>
  <si>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</si>
  <si>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</si>
  <si>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</si>
  <si>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</si>
  <si>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</si>
  <si>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</si>
  <si>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</si>
  <si>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</si>
  <si>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</si>
  <si>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</si>
  <si>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</si>
  <si>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</si>
  <si>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</si>
  <si>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</si>
  <si>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</si>
  <si>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</si>
  <si>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</si>
  <si>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</si>
  <si>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</si>
  <si>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</si>
  <si>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</si>
  <si>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</si>
  <si>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</si>
  <si>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</si>
  <si>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</si>
  <si>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</si>
  <si>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</si>
  <si>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</si>
  <si>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</si>
  <si>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</si>
  <si>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</si>
  <si>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</si>
  <si>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</si>
  <si>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</si>
  <si>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</si>
  <si>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</si>
  <si>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</si>
  <si>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</si>
  <si>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</si>
  <si>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</si>
  <si>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</si>
  <si>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</si>
  <si>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</si>
  <si>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</si>
  <si>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</si>
  <si>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</si>
  <si>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</si>
  <si>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</si>
  <si>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</si>
  <si>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</si>
  <si>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</si>
  <si>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</si>
  <si>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</si>
  <si>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</si>
  <si>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</si>
  <si>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</si>
  <si>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</si>
  <si>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</si>
  <si>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</si>
  <si>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</si>
  <si>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</si>
  <si>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</si>
  <si>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</si>
  <si>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</si>
  <si>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</si>
  <si>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</si>
  <si>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</si>
  <si>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</si>
  <si>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</si>
  <si>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</si>
  <si>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</si>
  <si>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</si>
  <si>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</si>
  <si>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</si>
  <si>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</si>
  <si>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</si>
  <si>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</si>
  <si>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</si>
  <si>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</si>
  <si>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</si>
  <si>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</si>
  <si>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</si>
  <si>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</si>
  <si>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</si>
  <si>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</si>
  <si>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</si>
  <si>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</si>
  <si>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</si>
  <si>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</si>
  <si>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</si>
  <si>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</si>
  <si>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</si>
  <si>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</si>
  <si>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</si>
  <si>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</si>
  <si>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</si>
  <si>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</si>
  <si>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</si>
  <si>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</si>
  <si>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</si>
  <si>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</si>
  <si>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</si>
  <si>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</si>
  <si>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</si>
  <si>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</si>
  <si>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</si>
  <si>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</si>
  <si>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</si>
  <si>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</si>
  <si>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</si>
  <si>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</si>
  <si>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</si>
  <si>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</si>
  <si>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</si>
  <si>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</si>
  <si>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</si>
  <si>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</si>
  <si>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</si>
  <si>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</si>
  <si>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</si>
  <si>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</si>
  <si>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</si>
  <si>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</si>
  <si>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</si>
  <si>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</si>
  <si>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</si>
  <si>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</si>
  <si>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</si>
  <si>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</si>
  <si>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</si>
  <si>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</si>
  <si>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</si>
  <si>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</si>
  <si>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</si>
  <si>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</si>
  <si>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</si>
  <si>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</si>
  <si>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</si>
  <si>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</si>
  <si>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</si>
  <si>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</si>
  <si>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</si>
  <si>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</si>
  <si>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</si>
  <si>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</si>
  <si>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</si>
  <si>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</si>
  <si>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</si>
  <si>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</si>
  <si>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</si>
  <si>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</si>
  <si>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</si>
  <si>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</si>
  <si>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</si>
  <si>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</si>
  <si>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</si>
  <si>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</si>
  <si>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</si>
  <si>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</si>
  <si>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</si>
  <si>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</si>
  <si>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</si>
  <si>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</si>
  <si>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</si>
  <si>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</si>
  <si>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</si>
  <si>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</si>
  <si>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</si>
  <si>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</si>
  <si>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</si>
  <si>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</si>
  <si>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</si>
  <si>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</si>
  <si>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</si>
  <si>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</si>
  <si>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</si>
  <si>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</si>
  <si>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</si>
  <si>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</si>
  <si>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</si>
  <si>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</si>
  <si>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</si>
  <si>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</si>
  <si>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</si>
  <si>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</si>
  <si>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</si>
  <si>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</si>
  <si>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</si>
  <si>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</si>
  <si>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</si>
  <si>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</si>
  <si>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</si>
  <si>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</si>
  <si>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</si>
  <si>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</si>
  <si>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</si>
  <si>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</si>
  <si>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</si>
  <si>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</si>
  <si>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</si>
  <si>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</si>
  <si>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</si>
  <si>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</si>
  <si>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</si>
  <si>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</si>
  <si>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</si>
  <si>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</si>
  <si>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</si>
  <si>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</si>
  <si>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</si>
  <si>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</si>
  <si>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</si>
  <si>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</si>
  <si>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</si>
  <si>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</si>
  <si>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</si>
  <si>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</si>
  <si>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</si>
  <si>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</si>
  <si>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</si>
  <si>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</si>
  <si>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</si>
  <si>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</si>
  <si>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</si>
  <si>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</si>
  <si>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</si>
  <si>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</si>
  <si>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</si>
  <si>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</si>
  <si>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</si>
  <si>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</si>
  <si>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</si>
  <si>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</si>
  <si>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</si>
  <si>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</si>
  <si>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</si>
  <si>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</si>
  <si>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</si>
  <si>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</si>
  <si>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</si>
  <si>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</si>
  <si>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</si>
  <si>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</si>
  <si>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</si>
  <si>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</si>
  <si>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</si>
  <si>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</si>
  <si>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</si>
  <si>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</si>
  <si>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</si>
  <si>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</si>
  <si>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</si>
  <si>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</si>
  <si>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</si>
  <si>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</si>
  <si>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</si>
  <si>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</si>
  <si>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</si>
  <si>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</si>
  <si>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</si>
  <si>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</si>
  <si>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</si>
  <si>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</si>
  <si>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</si>
  <si>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</si>
  <si>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</si>
  <si>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</si>
  <si>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</si>
  <si>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</si>
  <si>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</si>
  <si>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</si>
  <si>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</si>
  <si>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</si>
  <si>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</si>
  <si>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</si>
  <si>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</si>
  <si>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</si>
  <si>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</si>
  <si>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</si>
  <si>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</si>
  <si>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</si>
  <si>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</si>
  <si>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</si>
  <si>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</si>
  <si>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</si>
  <si>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</si>
  <si>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</si>
  <si>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</si>
  <si>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</si>
  <si>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</si>
  <si>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</si>
  <si>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</si>
  <si>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</si>
  <si>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</si>
  <si>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</si>
  <si>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</si>
  <si>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</si>
  <si>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</si>
  <si>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</si>
  <si>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</si>
  <si>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</si>
  <si>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</si>
  <si>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</si>
  <si>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</si>
  <si>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</si>
  <si>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</si>
  <si>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</si>
  <si>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</si>
  <si>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</si>
  <si>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</si>
  <si>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</si>
  <si>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</si>
  <si>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</si>
  <si>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</si>
  <si>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</si>
  <si>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</si>
  <si>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</si>
  <si>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</si>
  <si>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</si>
  <si>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</si>
  <si>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</si>
  <si>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</si>
  <si>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</si>
  <si>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</si>
  <si>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</si>
  <si>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</si>
  <si>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</si>
  <si>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</si>
  <si>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</si>
  <si>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</si>
  <si>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</si>
  <si>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</si>
  <si>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</si>
  <si>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</si>
  <si>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</si>
  <si>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</si>
  <si>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</si>
  <si>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</si>
  <si>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</si>
  <si>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</si>
  <si>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</si>
  <si>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</si>
  <si>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</si>
  <si>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</si>
  <si>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</si>
  <si>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</si>
  <si>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</si>
  <si>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</si>
  <si>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</si>
  <si>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</si>
  <si>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</si>
  <si>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</si>
  <si>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</si>
  <si>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</si>
  <si>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</si>
  <si>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</si>
  <si>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</si>
  <si>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</si>
  <si>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</si>
  <si>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</si>
  <si>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</si>
  <si>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</si>
  <si>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</si>
  <si>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</si>
  <si>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</si>
  <si>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</si>
  <si>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</si>
  <si>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</si>
  <si>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</si>
  <si>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</si>
  <si>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</si>
  <si>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</si>
  <si>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</si>
  <si>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</si>
  <si>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</si>
  <si>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</si>
  <si>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</si>
  <si>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</si>
  <si>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</si>
  <si>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</si>
  <si>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</si>
  <si>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</si>
  <si>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</si>
  <si>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</si>
  <si>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</si>
  <si>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</si>
  <si>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</si>
  <si>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</si>
  <si>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</si>
  <si>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</si>
  <si>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</si>
  <si>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</si>
  <si>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</si>
  <si>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</si>
  <si>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</si>
  <si>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</si>
  <si>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</si>
  <si>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</si>
  <si>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</si>
  <si>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</si>
  <si>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</si>
  <si>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</si>
  <si>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</si>
  <si>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</si>
  <si>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</si>
  <si>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</si>
  <si>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</si>
  <si>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</si>
  <si>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</si>
  <si>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</si>
  <si>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</si>
  <si>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</si>
  <si>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</si>
  <si>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</si>
  <si>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</si>
  <si>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</si>
  <si>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</si>
  <si>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</si>
  <si>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</si>
  <si>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</si>
  <si>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</si>
  <si>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</si>
  <si>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</si>
  <si>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</si>
  <si>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</si>
  <si>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</si>
  <si>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</si>
  <si>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</si>
  <si>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</si>
  <si>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</si>
  <si>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</si>
  <si>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</si>
  <si>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</si>
  <si>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</si>
  <si>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</si>
  <si>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</si>
  <si>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</si>
  <si>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</si>
  <si>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</si>
  <si>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</si>
  <si>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</si>
  <si>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</si>
  <si>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</si>
  <si>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</si>
  <si>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</si>
  <si>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</si>
  <si>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</si>
  <si>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</si>
  <si>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</si>
  <si>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</si>
  <si>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</si>
  <si>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</si>
  <si>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</si>
  <si>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</si>
  <si>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</si>
  <si>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</si>
  <si>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</si>
  <si>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</si>
  <si>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</si>
  <si>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</si>
  <si>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</si>
  <si>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</si>
  <si>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</si>
  <si>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</si>
  <si>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</si>
  <si>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</si>
  <si>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</si>
  <si>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</si>
  <si>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</si>
  <si>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</si>
  <si>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</si>
  <si>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</si>
  <si>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</si>
  <si>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</si>
  <si>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</si>
  <si>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</si>
  <si>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</si>
  <si>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</si>
  <si>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</si>
  <si>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</si>
  <si>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</si>
  <si>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</si>
  <si>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</si>
  <si>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</si>
  <si>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</si>
  <si>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</si>
  <si>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</si>
  <si>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</si>
  <si>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</si>
  <si>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</si>
  <si>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</si>
  <si>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</si>
  <si>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</si>
  <si>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</si>
  <si>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</si>
  <si>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</si>
  <si>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</si>
  <si>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</si>
  <si>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</si>
  <si>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</si>
  <si>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</si>
  <si>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</si>
  <si>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</si>
  <si>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</si>
  <si>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</si>
  <si>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</si>
  <si>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</si>
  <si>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</si>
  <si>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</si>
  <si>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</si>
  <si>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</si>
  <si>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</si>
  <si>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</si>
  <si>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</si>
  <si>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</si>
  <si>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</si>
  <si>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</si>
  <si>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</si>
  <si>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</si>
  <si>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</si>
  <si>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</si>
  <si>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</si>
  <si>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</si>
  <si>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</si>
  <si>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</si>
  <si>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</si>
  <si>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</si>
  <si>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</si>
  <si>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</si>
  <si>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</si>
  <si>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</si>
  <si>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</si>
  <si>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</si>
  <si>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</si>
  <si>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</si>
  <si>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</si>
  <si>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</si>
  <si>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</si>
  <si>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</si>
  <si>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</si>
  <si>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</si>
  <si>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</si>
  <si>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</si>
  <si>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</si>
  <si>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</si>
  <si>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</si>
  <si>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</si>
  <si>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</si>
  <si>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</si>
  <si>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</si>
  <si>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</si>
  <si>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</si>
  <si>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</si>
  <si>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</si>
  <si>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</si>
  <si>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</si>
  <si>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</si>
  <si>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</si>
  <si>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</si>
  <si>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</si>
  <si>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</si>
  <si>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</si>
  <si>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</si>
  <si>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</si>
  <si>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</si>
  <si>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</si>
  <si>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</si>
  <si>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</si>
  <si>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</si>
  <si>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</si>
  <si>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</si>
  <si>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</si>
  <si>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</si>
  <si>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</si>
  <si>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</si>
  <si>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</si>
  <si>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</si>
  <si>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</si>
  <si>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</si>
  <si>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</si>
  <si>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</si>
  <si>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</si>
  <si>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</si>
  <si>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</si>
  <si>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</si>
  <si>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</si>
  <si>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</si>
  <si>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</si>
  <si>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</si>
  <si>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</si>
  <si>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</si>
  <si>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</si>
  <si>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</si>
  <si>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</si>
  <si>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</si>
  <si>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</si>
  <si>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</si>
  <si>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</si>
  <si>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</si>
  <si>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</si>
  <si>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</si>
  <si>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</si>
  <si>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</si>
  <si>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</si>
  <si>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</si>
  <si>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</si>
  <si>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</si>
  <si>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</si>
  <si>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</si>
  <si>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</si>
  <si>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</si>
  <si>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</si>
  <si>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</si>
  <si>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</si>
  <si>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</si>
  <si>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</si>
  <si>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</si>
  <si>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</si>
  <si>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</si>
  <si>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</si>
  <si>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</si>
  <si>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</si>
  <si>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</si>
  <si>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</si>
  <si>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</si>
  <si>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</si>
  <si>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</si>
  <si>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</si>
  <si>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</si>
  <si>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</si>
  <si>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</si>
  <si>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</si>
  <si>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</si>
  <si>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</si>
  <si>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</si>
  <si>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</si>
  <si>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</si>
  <si>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</si>
  <si>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</si>
  <si>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</si>
  <si>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</si>
  <si>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</si>
  <si>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</si>
  <si>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</si>
  <si>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</si>
  <si>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</si>
  <si>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</si>
  <si>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</si>
  <si>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</si>
  <si>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</si>
  <si>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</si>
  <si>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</si>
  <si>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</si>
  <si>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</si>
  <si>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</si>
  <si>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</si>
  <si>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</si>
  <si>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</si>
  <si>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</si>
  <si>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</si>
  <si>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</si>
  <si>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</si>
  <si>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</si>
  <si>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</si>
  <si>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</si>
  <si>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</si>
  <si>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</si>
  <si>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</si>
  <si>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</si>
  <si>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</si>
  <si>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</si>
  <si>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</si>
  <si>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</si>
  <si>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</si>
  <si>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</si>
  <si>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</si>
  <si>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</si>
  <si>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</si>
  <si>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</si>
  <si>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</si>
  <si>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</si>
  <si>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</si>
  <si>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</si>
  <si>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</si>
  <si>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</si>
  <si>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</si>
  <si>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</si>
  <si>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</si>
  <si>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</si>
  <si>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</si>
  <si>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</si>
  <si>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</si>
  <si>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</si>
  <si>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</si>
  <si>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</si>
  <si>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</si>
  <si>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</si>
  <si>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</si>
  <si>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</si>
  <si>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</si>
  <si>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</si>
  <si>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</si>
  <si>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</si>
  <si>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</si>
  <si>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</si>
  <si>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</si>
  <si>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</si>
  <si>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</si>
  <si>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</si>
  <si>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</si>
  <si>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</si>
  <si>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</si>
  <si>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</si>
  <si>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</si>
  <si>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</si>
  <si>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</si>
  <si>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</si>
  <si>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</si>
  <si>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</si>
  <si>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</si>
  <si>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</si>
  <si>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</si>
  <si>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</si>
  <si>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</si>
  <si>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</si>
  <si>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</si>
  <si>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</si>
  <si>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</si>
  <si>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</si>
  <si>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</si>
  <si>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</si>
  <si>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</si>
  <si>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</si>
  <si>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</si>
  <si>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</si>
  <si>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</si>
  <si>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</si>
  <si>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</si>
  <si>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</si>
  <si>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</si>
  <si>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</si>
  <si>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</si>
  <si>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</si>
  <si>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</si>
  <si>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</si>
  <si>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</si>
  <si>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</si>
  <si>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</si>
  <si>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</si>
  <si>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</si>
  <si>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</si>
  <si>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</si>
  <si>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</si>
  <si>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</si>
  <si>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</si>
  <si>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</si>
  <si>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</si>
  <si>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</si>
  <si>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</si>
  <si>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</si>
  <si>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</si>
  <si>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</si>
  <si>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</si>
  <si>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</si>
  <si>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</si>
  <si>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</si>
  <si>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</si>
  <si>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</si>
  <si>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</si>
  <si>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</si>
  <si>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</si>
  <si>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</si>
  <si>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</si>
  <si>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</si>
  <si>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</si>
  <si>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</si>
  <si>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</si>
  <si>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</si>
  <si>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</si>
  <si>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</si>
  <si>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</si>
  <si>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</si>
  <si>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</si>
  <si>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</si>
  <si>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</si>
  <si>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</si>
  <si>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</si>
  <si>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</si>
  <si>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</si>
  <si>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</si>
  <si>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</si>
  <si>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</si>
  <si>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</si>
  <si>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</si>
  <si>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</si>
  <si>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</si>
  <si>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</si>
  <si>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</si>
  <si>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</si>
  <si>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</si>
  <si>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</si>
  <si>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</si>
  <si>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</si>
  <si>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</si>
  <si>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</si>
  <si>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</si>
  <si>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</si>
  <si>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</si>
  <si>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</si>
  <si>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</si>
  <si>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</si>
  <si>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</si>
  <si>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</si>
  <si>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</si>
  <si>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</si>
  <si>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</si>
  <si>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</si>
  <si>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</si>
  <si>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</si>
  <si>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</si>
  <si>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</si>
  <si>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</si>
  <si>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</si>
  <si>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</si>
  <si>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</si>
  <si>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</si>
  <si>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</si>
  <si>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</si>
  <si>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</si>
  <si>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</si>
  <si>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</si>
  <si>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</si>
  <si>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</si>
  <si>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</si>
  <si>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</si>
  <si>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</si>
  <si>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</si>
  <si>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</si>
  <si>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</si>
  <si>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</si>
  <si>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</si>
  <si>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</si>
  <si>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</si>
  <si>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</si>
  <si>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</si>
  <si>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</si>
  <si>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</si>
  <si>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</si>
  <si>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</si>
  <si>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</si>
  <si>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</si>
  <si>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</si>
  <si>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</si>
  <si>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</si>
  <si>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</si>
  <si>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</si>
  <si>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</si>
  <si>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</si>
  <si>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</si>
  <si>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</si>
  <si>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</si>
  <si>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</si>
  <si>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</si>
  <si>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</si>
  <si>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</si>
  <si>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</si>
  <si>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</si>
  <si>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</si>
  <si>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</si>
  <si>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</si>
  <si>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</si>
  <si>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</si>
  <si>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</si>
  <si>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</si>
  <si>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</si>
  <si>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</si>
  <si>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</si>
  <si>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</si>
  <si>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</si>
  <si>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</si>
  <si>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</si>
  <si>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</si>
  <si>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</si>
  <si>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</si>
  <si>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</si>
  <si>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</si>
  <si>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</si>
  <si>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</si>
  <si>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</si>
  <si>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</si>
  <si>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</si>
  <si>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</si>
  <si>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</si>
  <si>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</si>
  <si>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</si>
  <si>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</si>
  <si>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</si>
  <si>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</si>
  <si>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</si>
  <si>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</si>
  <si>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</si>
  <si>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</si>
  <si>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</si>
  <si>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</si>
  <si>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</si>
  <si>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</si>
  <si>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</si>
  <si>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</si>
  <si>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</si>
  <si>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</si>
  <si>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</si>
  <si>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</si>
  <si>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</si>
  <si>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</si>
  <si>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</si>
  <si>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</si>
  <si>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</si>
  <si>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</si>
  <si>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</si>
  <si>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</si>
  <si>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</si>
  <si>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</si>
  <si>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</si>
  <si>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</si>
  <si>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</si>
  <si>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</si>
  <si>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</si>
  <si>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</si>
  <si>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</si>
  <si>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</si>
  <si>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</si>
  <si>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</si>
  <si>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</si>
  <si>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</si>
  <si>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</si>
  <si>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</si>
  <si>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</si>
  <si>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</si>
  <si>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</si>
  <si>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</si>
  <si>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</si>
  <si>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</si>
  <si>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</si>
  <si>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</si>
  <si>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</si>
  <si>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</si>
  <si>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</si>
  <si>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</si>
  <si>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</si>
  <si>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</si>
  <si>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</si>
  <si>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</si>
  <si>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</si>
  <si>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</si>
  <si>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</si>
  <si>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</si>
  <si>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</si>
  <si>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</si>
  <si>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</si>
  <si>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</si>
  <si>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</si>
  <si>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</si>
  <si>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</si>
  <si>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</si>
  <si>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</si>
  <si>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</si>
  <si>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</si>
  <si>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</si>
  <si>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</si>
  <si>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</si>
  <si>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</si>
  <si>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</si>
  <si>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</si>
  <si>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</si>
  <si>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</si>
  <si>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</si>
  <si>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</si>
  <si>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</si>
  <si>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</si>
  <si>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</si>
  <si>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</si>
  <si>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</si>
  <si>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</si>
  <si>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</si>
  <si>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</si>
  <si>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</si>
  <si>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</si>
  <si>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</si>
  <si>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</si>
  <si>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</si>
  <si>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</si>
  <si>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</si>
  <si>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</si>
  <si>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</si>
  <si>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</si>
  <si>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</si>
  <si>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</si>
  <si>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</si>
  <si>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</si>
  <si>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</si>
  <si>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</si>
  <si>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</si>
  <si>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</si>
  <si>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</si>
  <si>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</si>
  <si>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</si>
  <si>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</si>
  <si>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</si>
  <si>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</si>
  <si>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</si>
  <si>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</si>
  <si>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</si>
  <si>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</si>
  <si>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</si>
  <si>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</si>
  <si>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</si>
  <si>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</si>
  <si>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</si>
  <si>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</si>
  <si>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</si>
  <si>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</si>
  <si>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</si>
  <si>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</si>
  <si>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</si>
  <si>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</si>
  <si>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</si>
  <si>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</si>
  <si>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</si>
  <si>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</si>
  <si>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</si>
  <si>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</si>
  <si>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</si>
  <si>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</si>
  <si>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</si>
  <si>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</si>
  <si>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</si>
  <si>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</si>
  <si>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</si>
  <si>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</si>
  <si>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</si>
  <si>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</si>
  <si>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</si>
  <si>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</si>
  <si>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</si>
  <si>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</si>
  <si>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</si>
  <si>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</si>
  <si>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</si>
  <si>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</si>
  <si>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</si>
  <si>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</si>
  <si>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</si>
  <si>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</si>
  <si>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</si>
  <si>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</si>
  <si>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</si>
  <si>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</si>
  <si>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</si>
  <si>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</si>
  <si>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</si>
  <si>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</si>
  <si>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</si>
  <si>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</si>
  <si>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</si>
  <si>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</si>
  <si>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</si>
  <si>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</si>
  <si>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</si>
  <si>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</si>
  <si>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</si>
  <si>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</si>
  <si>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</si>
  <si>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</si>
  <si>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</si>
  <si>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</si>
  <si>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</si>
  <si>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</si>
  <si>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</si>
  <si>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</si>
  <si>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</si>
  <si>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</si>
  <si>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</si>
  <si>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</si>
  <si>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</si>
  <si>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</si>
  <si>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</si>
  <si>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</si>
  <si>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</si>
  <si>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</si>
  <si>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</si>
  <si>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</si>
  <si>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</si>
  <si>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</si>
  <si>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</si>
  <si>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</si>
  <si>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</si>
  <si>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</si>
  <si>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</si>
  <si>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</si>
  <si>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</si>
  <si>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</si>
  <si>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</si>
  <si>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</si>
  <si>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</si>
  <si>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</si>
  <si>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</si>
  <si>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</si>
  <si>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</si>
  <si>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</si>
  <si>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</si>
  <si>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</si>
  <si>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</si>
  <si>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</si>
  <si>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</si>
  <si>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</si>
  <si>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</si>
  <si>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</si>
  <si>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</si>
  <si>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</si>
  <si>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</si>
  <si>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</si>
  <si>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</si>
  <si>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</si>
  <si>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</si>
  <si>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</si>
  <si>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</si>
  <si>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</si>
  <si>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</si>
  <si>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</si>
  <si>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</si>
  <si>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</si>
  <si>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</si>
  <si>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</si>
  <si>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</si>
  <si>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</si>
  <si>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</si>
  <si>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</si>
  <si>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</si>
  <si>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</si>
  <si>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</si>
  <si>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</si>
  <si>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</si>
  <si>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</si>
  <si>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</si>
  <si>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</si>
  <si>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</si>
  <si>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</si>
  <si>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</si>
  <si>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</si>
  <si>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</si>
  <si>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</si>
  <si>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</si>
  <si>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</si>
  <si>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</si>
  <si>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</si>
  <si>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</si>
  <si>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</si>
  <si>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</si>
  <si>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</si>
  <si>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</si>
  <si>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</si>
  <si>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</si>
  <si>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</si>
  <si>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</si>
  <si>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</si>
  <si>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</si>
  <si>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</si>
  <si>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</si>
  <si>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</si>
  <si>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</si>
  <si>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</si>
  <si>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</si>
  <si>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</si>
  <si>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</si>
  <si>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</si>
  <si>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</si>
  <si>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</si>
  <si>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</si>
  <si>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</si>
  <si>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</si>
  <si>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</si>
  <si>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</si>
  <si>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</si>
  <si>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</si>
  <si>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</si>
  <si>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</si>
  <si>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</si>
  <si>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</si>
  <si>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</si>
  <si>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</si>
  <si>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</si>
  <si>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</si>
  <si>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</si>
  <si>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</si>
  <si>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</si>
  <si>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</si>
  <si>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</si>
  <si>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</si>
  <si>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</si>
  <si>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</si>
  <si>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</si>
  <si>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</si>
  <si>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</si>
  <si>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</si>
  <si>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</si>
  <si>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</si>
  <si>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</si>
  <si>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</si>
  <si>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</si>
  <si>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</si>
  <si>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</si>
  <si>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</si>
  <si>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</si>
  <si>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</si>
  <si>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</si>
  <si>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</si>
  <si>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</si>
  <si>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</si>
  <si>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</si>
  <si>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</si>
  <si>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</si>
  <si>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</si>
  <si>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</si>
  <si>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</si>
  <si>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</si>
  <si>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</si>
  <si>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</si>
  <si>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</si>
  <si>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</si>
  <si>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</si>
  <si>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</si>
  <si>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</si>
  <si>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</si>
  <si>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</si>
  <si>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</si>
  <si>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</si>
  <si>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</si>
  <si>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</si>
  <si>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</si>
  <si>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</si>
  <si>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</si>
  <si>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</si>
  <si>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</si>
  <si>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</si>
  <si>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</si>
  <si>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</si>
  <si>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</si>
  <si>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</si>
  <si>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</si>
  <si>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</si>
  <si>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</si>
  <si>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</si>
  <si>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</si>
  <si>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</si>
  <si>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</si>
  <si>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</si>
  <si>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</si>
  <si>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</si>
  <si>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</si>
  <si>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</si>
  <si>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</si>
  <si>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</si>
  <si>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</si>
  <si>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</si>
  <si>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</si>
  <si>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</si>
  <si>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</si>
  <si>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</si>
  <si>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</si>
  <si>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</si>
  <si>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</si>
  <si>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</si>
  <si>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</si>
  <si>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</si>
  <si>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</si>
  <si>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</si>
  <si>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</si>
  <si>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</si>
  <si>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</si>
  <si>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</si>
  <si>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</si>
  <si>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</si>
  <si>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</si>
  <si>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</si>
  <si>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</si>
  <si>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</si>
  <si>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</si>
  <si>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</si>
  <si>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</si>
  <si>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</si>
  <si>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</si>
  <si>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</si>
  <si>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</si>
  <si>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</si>
  <si>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</si>
  <si>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</si>
  <si>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</si>
  <si>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</si>
  <si>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</si>
  <si>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</si>
  <si>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</si>
  <si>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</si>
  <si>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</si>
  <si>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</si>
  <si>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</si>
  <si>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</si>
  <si>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</si>
  <si>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</si>
  <si>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</si>
  <si>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</si>
  <si>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</si>
  <si>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</si>
  <si>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</si>
  <si>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</si>
  <si>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</si>
  <si>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</si>
  <si>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</si>
  <si>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</si>
  <si>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</si>
  <si>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</si>
  <si>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</si>
  <si>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</si>
  <si>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</si>
  <si>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</si>
  <si>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</si>
  <si>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</si>
  <si>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</si>
  <si>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</si>
  <si>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</si>
  <si>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</si>
  <si>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</si>
  <si>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</si>
  <si>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</si>
  <si>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</si>
  <si>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</si>
  <si>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</si>
  <si>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</si>
  <si>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</si>
  <si>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</si>
  <si>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</si>
  <si>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</si>
  <si>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</si>
  <si>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</si>
  <si>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</si>
  <si>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</si>
  <si>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</si>
  <si>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</si>
  <si>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</si>
  <si>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</si>
  <si>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</si>
  <si>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</si>
  <si>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</si>
  <si>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</si>
  <si>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</si>
  <si>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</si>
  <si>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</si>
  <si>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</si>
  <si>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</si>
  <si>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</si>
  <si>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</si>
  <si>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</si>
  <si>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</si>
  <si>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</si>
  <si>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</si>
  <si>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</si>
  <si>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</si>
  <si>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</si>
  <si>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</si>
  <si>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</si>
  <si>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</si>
  <si>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</si>
  <si>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</si>
  <si>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</si>
  <si>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</si>
  <si>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</si>
  <si>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</si>
  <si>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</si>
  <si>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</si>
  <si>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</si>
  <si>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</si>
  <si>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</si>
  <si>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</si>
  <si>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</si>
  <si>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</si>
  <si>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</si>
  <si>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</si>
  <si>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</si>
  <si>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</si>
  <si>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</si>
  <si>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</si>
  <si>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</si>
  <si>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</si>
  <si>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</si>
  <si>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</si>
  <si>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</si>
  <si>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</si>
  <si>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</si>
  <si>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</si>
  <si>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</si>
  <si>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</si>
  <si>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</si>
  <si>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</si>
  <si>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</si>
  <si>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</si>
  <si>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</si>
  <si>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</si>
  <si>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</si>
  <si>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</si>
  <si>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</si>
  <si>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</si>
  <si>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</si>
  <si>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</si>
  <si>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</si>
  <si>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</si>
  <si>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</si>
  <si>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</si>
  <si>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</si>
  <si>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</si>
  <si>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</si>
  <si>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</si>
  <si>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</si>
  <si>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</si>
  <si>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</si>
  <si>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</si>
  <si>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</si>
  <si>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</si>
  <si>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</si>
  <si>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</si>
  <si>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</si>
  <si>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</si>
  <si>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</si>
  <si>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</si>
  <si>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</si>
  <si>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</si>
  <si>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</si>
  <si>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</si>
  <si>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</si>
  <si>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</si>
  <si>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</si>
  <si>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</si>
  <si>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</si>
  <si>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</si>
  <si>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</si>
  <si>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</si>
  <si>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</si>
  <si>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</si>
  <si>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</si>
  <si>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</si>
  <si>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</si>
  <si>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</si>
  <si>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</si>
  <si>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</si>
  <si>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</si>
  <si>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</si>
  <si>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</si>
  <si>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</si>
  <si>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</si>
  <si>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</si>
  <si>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</si>
  <si>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</si>
  <si>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</si>
  <si>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</si>
  <si>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</si>
  <si>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</si>
  <si>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</si>
  <si>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</si>
  <si>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</si>
  <si>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</si>
  <si>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</si>
  <si>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</si>
  <si>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</si>
  <si>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</si>
  <si>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</si>
  <si>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</si>
  <si>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</si>
  <si>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</si>
  <si>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</si>
  <si>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</si>
  <si>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</si>
  <si>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</si>
  <si>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</si>
  <si>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</si>
  <si>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</si>
  <si>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</si>
  <si>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</si>
  <si>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</si>
  <si>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</si>
  <si>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</si>
  <si>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</si>
  <si>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</si>
  <si>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</si>
  <si>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</si>
  <si>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</si>
  <si>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</si>
  <si>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</si>
  <si>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</si>
  <si>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</si>
  <si>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</si>
  <si>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</si>
  <si>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</si>
  <si>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</si>
  <si>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</si>
  <si>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</si>
  <si>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</si>
  <si>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</si>
  <si>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</si>
  <si>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</si>
  <si>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</si>
  <si>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</si>
  <si>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</si>
  <si>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</si>
  <si>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</si>
  <si>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</si>
  <si>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</si>
  <si>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</si>
  <si>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</si>
  <si>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</si>
  <si>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</si>
  <si>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</si>
  <si>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</si>
  <si>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</si>
  <si>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</si>
  <si>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</si>
  <si>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</si>
  <si>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</si>
  <si>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</si>
  <si>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</si>
  <si>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</si>
  <si>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</si>
  <si>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</si>
  <si>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</si>
  <si>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</si>
  <si>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</si>
  <si>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</si>
  <si>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</si>
  <si>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</si>
  <si>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</si>
  <si>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</si>
  <si>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</si>
  <si>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</si>
  <si>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</si>
  <si>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</si>
  <si>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</si>
  <si>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</si>
  <si>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</si>
  <si>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</si>
  <si>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</si>
  <si>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</si>
  <si>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</si>
  <si>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</si>
  <si>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</si>
  <si>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</si>
  <si>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</si>
  <si>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</si>
  <si>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</si>
  <si>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</si>
  <si>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</si>
  <si>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</si>
  <si>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</si>
  <si>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</si>
  <si>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</si>
  <si>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</si>
  <si>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</si>
  <si>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</si>
  <si>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</si>
  <si>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</si>
  <si>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</si>
  <si>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</si>
  <si>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</si>
  <si>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</si>
  <si>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</si>
  <si>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</si>
  <si>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</si>
  <si>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</si>
  <si>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</si>
  <si>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</si>
  <si>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</si>
  <si>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</si>
  <si>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</si>
  <si>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</si>
  <si>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</si>
  <si>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</si>
  <si>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</si>
  <si>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</si>
  <si>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</si>
  <si>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</si>
  <si>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</si>
  <si>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</si>
  <si>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</si>
  <si>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</si>
  <si>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</si>
  <si>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</si>
  <si>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</si>
  <si>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</si>
  <si>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</si>
  <si>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</si>
  <si>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</si>
  <si>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</si>
  <si>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</si>
  <si>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</si>
  <si>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</si>
  <si>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</si>
  <si>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</si>
  <si>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</si>
  <si>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</si>
  <si>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</si>
  <si>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</si>
  <si>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</si>
  <si>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</si>
  <si>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</si>
  <si>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</si>
  <si>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</si>
  <si>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</si>
  <si>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</si>
  <si>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</si>
  <si>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</si>
  <si>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</si>
  <si>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</si>
  <si>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</si>
  <si>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</si>
  <si>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</si>
  <si>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</si>
  <si>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</si>
  <si>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</si>
  <si>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</si>
  <si>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</si>
  <si>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</si>
  <si>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</si>
  <si>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</si>
  <si>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</si>
  <si>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</si>
  <si>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</si>
  <si>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</si>
  <si>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</si>
  <si>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</si>
  <si>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</si>
  <si>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</si>
  <si>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</si>
  <si>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</si>
  <si>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</si>
  <si>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</si>
  <si>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</si>
  <si>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</si>
  <si>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</si>
  <si>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</si>
  <si>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</si>
  <si>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</si>
  <si>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</si>
  <si>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</si>
  <si>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</si>
  <si>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</si>
  <si>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</si>
  <si>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</si>
  <si>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</si>
  <si>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</si>
  <si>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</si>
  <si>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</si>
  <si>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</si>
  <si>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</si>
  <si>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</si>
  <si>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</si>
  <si>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</si>
  <si>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</si>
  <si>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</si>
  <si>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</si>
  <si>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</si>
  <si>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</si>
  <si>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</si>
  <si>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</si>
  <si>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</si>
  <si>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</si>
  <si>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</si>
  <si>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</si>
  <si>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</si>
  <si>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</si>
  <si>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</si>
  <si>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</si>
  <si>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</si>
  <si>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</si>
  <si>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</si>
  <si>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</si>
  <si>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</si>
  <si>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</si>
  <si>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</si>
  <si>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</si>
  <si>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</si>
  <si>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</si>
  <si>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</si>
  <si>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</si>
  <si>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</si>
  <si>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</si>
  <si>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</si>
  <si>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</si>
  <si>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</si>
  <si>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</si>
  <si>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</si>
  <si>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</si>
  <si>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</si>
  <si>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</si>
  <si>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</si>
  <si>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</si>
  <si>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</si>
  <si>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</si>
  <si>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</si>
  <si>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</si>
  <si>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</si>
  <si>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</si>
  <si>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</si>
  <si>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</si>
  <si>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</si>
  <si>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</si>
  <si>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</si>
  <si>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</si>
  <si>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</si>
  <si>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</si>
  <si>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</si>
  <si>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</si>
  <si>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</si>
  <si>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</si>
  <si>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</si>
  <si>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</si>
  <si>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</si>
  <si>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</si>
  <si>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</si>
  <si>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</si>
  <si>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</si>
  <si>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</si>
  <si>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</si>
  <si>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</si>
  <si>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</si>
  <si>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</si>
  <si>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</si>
  <si>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</si>
  <si>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</si>
  <si>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</si>
  <si>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</si>
  <si>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</si>
  <si>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</si>
  <si>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</si>
  <si>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</si>
  <si>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</si>
  <si>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</si>
  <si>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</si>
  <si>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</si>
  <si>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</si>
  <si>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</si>
  <si>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</si>
  <si>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</si>
  <si>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</si>
  <si>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</si>
  <si>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</si>
  <si>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</si>
  <si>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</si>
  <si>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</si>
  <si>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</si>
  <si>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</si>
  <si>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</si>
  <si>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</si>
  <si>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</si>
  <si>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</si>
  <si>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</si>
  <si>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</si>
  <si>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</si>
  <si>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</si>
  <si>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</si>
  <si>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</si>
  <si>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</si>
  <si>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</si>
  <si>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</si>
  <si>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</si>
  <si>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</si>
  <si>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</si>
  <si>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</si>
  <si>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</si>
  <si>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</si>
  <si>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</si>
  <si>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</si>
  <si>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</si>
  <si>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</si>
  <si>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</si>
  <si>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</si>
  <si>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</si>
  <si>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</si>
  <si>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</si>
  <si>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</si>
  <si>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</si>
  <si>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</si>
  <si>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</si>
  <si>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</si>
  <si>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</si>
  <si>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</si>
  <si>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</si>
  <si>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</si>
  <si>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</si>
  <si>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</si>
  <si>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</si>
  <si>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</si>
  <si>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</si>
  <si>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</si>
  <si>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</si>
  <si>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</si>
  <si>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</si>
  <si>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</si>
  <si>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</si>
  <si>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</si>
  <si>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</si>
  <si>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</si>
  <si>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</si>
  <si>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</si>
  <si>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</si>
  <si>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</si>
  <si>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</si>
  <si>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</si>
  <si>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</si>
  <si>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</si>
  <si>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</si>
  <si>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</si>
  <si>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</si>
  <si>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</si>
  <si>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</si>
  <si>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</si>
  <si>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</si>
  <si>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</si>
  <si>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</si>
  <si>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</si>
  <si>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</si>
  <si>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</si>
  <si>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</si>
  <si>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</si>
  <si>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</si>
  <si>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</si>
  <si>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</si>
  <si>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</si>
  <si>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</si>
  <si>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</si>
  <si>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</si>
  <si>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</si>
  <si>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</si>
  <si>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</si>
  <si>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</si>
  <si>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</si>
  <si>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</si>
  <si>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</si>
  <si>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</si>
  <si>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</si>
  <si>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</si>
  <si>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</si>
  <si>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</si>
  <si>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</si>
  <si>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</si>
  <si>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</si>
  <si>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</si>
  <si>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</si>
  <si>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</si>
  <si>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</si>
  <si>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</si>
  <si>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</si>
  <si>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</si>
  <si>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</si>
  <si>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</si>
  <si>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</si>
  <si>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</si>
  <si>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</si>
  <si>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</si>
  <si>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</si>
  <si>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</si>
  <si>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</si>
  <si>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</si>
  <si>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</si>
  <si>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</si>
  <si>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</si>
  <si>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</si>
  <si>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</si>
  <si>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</si>
  <si>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</si>
  <si>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</si>
  <si>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</si>
  <si>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</si>
  <si>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</si>
  <si>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</si>
  <si>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</si>
  <si>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</si>
  <si>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</si>
  <si>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</si>
  <si>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</si>
  <si>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</si>
  <si>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</si>
  <si>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</si>
  <si>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</si>
  <si>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</si>
  <si>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</si>
  <si>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</si>
  <si>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</si>
  <si>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</si>
  <si>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</si>
  <si>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</si>
  <si>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</si>
  <si>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</si>
  <si>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</si>
  <si>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</si>
  <si>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</si>
  <si>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</si>
  <si>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</si>
  <si>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</si>
  <si>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</si>
  <si>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</si>
  <si>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</si>
  <si>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</si>
  <si>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</si>
  <si>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</si>
  <si>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</si>
  <si>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</si>
  <si>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</si>
  <si>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</si>
  <si>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</si>
  <si>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</si>
  <si>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</si>
  <si>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</si>
  <si>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</si>
  <si>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</si>
  <si>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</si>
  <si>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</si>
  <si>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</si>
  <si>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</si>
  <si>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</si>
  <si>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</si>
  <si>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</si>
  <si>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</si>
  <si>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</si>
  <si>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</si>
  <si>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</si>
  <si>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</si>
  <si>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</si>
  <si>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</si>
  <si>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</si>
  <si>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</si>
  <si>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</si>
  <si>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</si>
  <si>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</si>
  <si>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</si>
  <si>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</si>
  <si>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</si>
  <si>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</si>
  <si>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</si>
  <si>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</si>
  <si>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</si>
  <si>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</si>
  <si>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</si>
  <si>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</si>
  <si>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</si>
  <si>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</si>
  <si>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</si>
  <si>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</si>
  <si>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</si>
  <si>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</si>
  <si>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</si>
  <si>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</si>
  <si>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</si>
  <si>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</si>
  <si>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</si>
  <si>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</si>
  <si>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</si>
  <si>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</si>
  <si>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</si>
  <si>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</si>
  <si>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</si>
  <si>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</si>
  <si>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</si>
  <si>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</si>
  <si>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</si>
  <si>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</si>
  <si>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</si>
  <si>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</si>
  <si>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</si>
  <si>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</si>
  <si>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</si>
  <si>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</si>
  <si>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</si>
  <si>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</si>
  <si>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</si>
  <si>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</si>
  <si>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</si>
  <si>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</si>
  <si>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</si>
  <si>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</si>
  <si>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</si>
  <si>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</si>
  <si>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</si>
  <si>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</si>
  <si>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</si>
  <si>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</si>
  <si>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</si>
  <si>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</si>
  <si>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</si>
  <si>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</si>
  <si>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</si>
  <si>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</si>
  <si>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</si>
  <si>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</si>
  <si>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</si>
  <si>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</si>
  <si>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</si>
  <si>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</si>
  <si>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</si>
  <si>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</si>
  <si>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</si>
  <si>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</si>
  <si>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</si>
  <si>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</si>
  <si>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</si>
  <si>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</si>
  <si>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</si>
  <si>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</si>
  <si>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</si>
  <si>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</si>
  <si>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</si>
  <si>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</si>
  <si>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</si>
  <si>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</si>
  <si>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</si>
  <si>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</si>
  <si>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</si>
  <si>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</si>
  <si>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</si>
  <si>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</si>
  <si>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</si>
  <si>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</si>
  <si>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</si>
  <si>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</si>
  <si>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</si>
  <si>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</si>
  <si>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</si>
  <si>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</si>
  <si>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</si>
  <si>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</si>
  <si>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</si>
  <si>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</si>
  <si>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</si>
  <si>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</si>
  <si>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</si>
  <si>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</si>
  <si>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</si>
  <si>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</si>
  <si>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</si>
  <si>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</si>
  <si>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</si>
  <si>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</si>
  <si>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</si>
  <si>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</si>
  <si>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</si>
  <si>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</si>
  <si>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</si>
  <si>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</si>
  <si>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</si>
  <si>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</si>
  <si>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</si>
  <si>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</si>
  <si>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</si>
  <si>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</si>
  <si>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</si>
  <si>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</si>
  <si>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</si>
  <si>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</si>
  <si>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</si>
  <si>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</si>
  <si>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</si>
  <si>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</si>
  <si>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</si>
  <si>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</si>
  <si>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</si>
  <si>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</si>
  <si>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</si>
  <si>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</si>
  <si>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</si>
  <si>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</si>
  <si>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</si>
  <si>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</si>
  <si>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</si>
  <si>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</si>
  <si>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</si>
  <si>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</si>
  <si>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</si>
  <si>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</si>
  <si>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</si>
  <si>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</si>
  <si>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</si>
  <si>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</si>
  <si>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</si>
  <si>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</si>
  <si>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</si>
  <si>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</si>
  <si>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</si>
  <si>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</si>
  <si>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</si>
  <si>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</si>
  <si>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</si>
  <si>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</si>
  <si>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</si>
  <si>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</si>
  <si>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</si>
  <si>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</si>
  <si>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</si>
  <si>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</si>
  <si>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</si>
  <si>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</si>
  <si>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</si>
  <si>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</si>
  <si>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</si>
  <si>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</si>
  <si>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</si>
  <si>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</si>
  <si>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</si>
  <si>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</si>
  <si>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</si>
  <si>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</si>
  <si>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</si>
  <si>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</si>
  <si>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</si>
  <si>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</si>
  <si>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</si>
  <si>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</si>
  <si>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</si>
  <si>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</si>
  <si>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</si>
  <si>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</si>
  <si>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</si>
  <si>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</si>
  <si>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</si>
  <si>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</si>
  <si>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</si>
  <si>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</si>
  <si>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</si>
  <si>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</si>
  <si>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</si>
  <si>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</si>
  <si>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</si>
  <si>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</si>
  <si>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</si>
  <si>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</si>
  <si>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</si>
  <si>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</si>
  <si>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</si>
  <si>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</si>
  <si>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</si>
  <si>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</si>
  <si>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</si>
  <si>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</si>
  <si>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</si>
  <si>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</si>
  <si>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</si>
  <si>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</si>
  <si>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</si>
  <si>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</si>
  <si>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</si>
  <si>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</si>
  <si>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</si>
  <si>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</si>
  <si>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</si>
  <si>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</si>
  <si>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</si>
  <si>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</si>
  <si>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</si>
  <si>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</si>
  <si>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</si>
  <si>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</si>
  <si>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</si>
  <si>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</si>
  <si>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</si>
  <si>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</si>
  <si>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</si>
  <si>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</si>
  <si>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</si>
  <si>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</si>
  <si>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</si>
  <si>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</si>
  <si>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</si>
  <si>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</si>
  <si>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</si>
  <si>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</si>
  <si>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</si>
  <si>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</si>
  <si>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</si>
  <si>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</si>
  <si>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</si>
  <si>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</si>
  <si>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</si>
  <si>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</si>
  <si>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</si>
  <si>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</si>
  <si>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</si>
  <si>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</si>
  <si>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</si>
  <si>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</si>
  <si>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</si>
  <si>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</si>
  <si>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</si>
  <si>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</si>
  <si>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</si>
  <si>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</si>
  <si>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</si>
  <si>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</si>
  <si>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</si>
  <si>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</si>
  <si>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</si>
  <si>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</si>
  <si>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</si>
  <si>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</si>
  <si>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</si>
  <si>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</si>
  <si>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</si>
  <si>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</si>
  <si>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</si>
  <si>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</si>
  <si>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</si>
  <si>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</si>
  <si>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</si>
  <si>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</si>
  <si>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</si>
  <si>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</si>
  <si>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</si>
  <si>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</si>
  <si>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</si>
  <si>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</si>
  <si>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</si>
  <si>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</si>
  <si>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</si>
  <si>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</si>
  <si>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</si>
  <si>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</si>
  <si>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</si>
  <si>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</si>
  <si>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</si>
  <si>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</si>
  <si>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</si>
  <si>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</si>
  <si>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</si>
  <si>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</si>
  <si>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</si>
  <si>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</si>
  <si>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</si>
  <si>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</si>
  <si>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</si>
  <si>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</si>
  <si>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</si>
  <si>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</si>
  <si>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</si>
  <si>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</si>
  <si>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</si>
  <si>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</si>
  <si>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</si>
  <si>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</si>
  <si>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</si>
  <si>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</si>
  <si>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</si>
  <si>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</si>
  <si>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</si>
  <si>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</si>
  <si>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</si>
  <si>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</si>
  <si>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</si>
  <si>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</si>
  <si>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</si>
  <si>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</si>
  <si>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</si>
  <si>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</si>
  <si>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</si>
  <si>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</si>
  <si>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</si>
  <si>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</si>
  <si>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</si>
  <si>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</si>
  <si>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</si>
  <si>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</si>
  <si>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</si>
  <si>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</si>
  <si>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</si>
  <si>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</si>
  <si>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</si>
  <si>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</si>
  <si>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</si>
  <si>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</si>
  <si>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</si>
  <si>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</si>
  <si>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</si>
  <si>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</si>
  <si>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</si>
  <si>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</si>
  <si>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</si>
  <si>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</si>
  <si>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</si>
  <si>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</si>
  <si>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</si>
  <si>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</si>
  <si>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</si>
  <si>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</si>
  <si>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</si>
  <si>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</si>
  <si>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</si>
  <si>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</si>
  <si>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</si>
  <si>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</si>
  <si>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</si>
  <si>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</si>
  <si>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</si>
  <si>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</si>
  <si>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</si>
  <si>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</si>
  <si>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</si>
  <si>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</si>
  <si>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</si>
  <si>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</si>
  <si>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</si>
  <si>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</si>
  <si>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</si>
  <si>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</si>
  <si>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</si>
  <si>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</si>
  <si>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</si>
  <si>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</si>
  <si>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</si>
  <si>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</si>
  <si>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</si>
  <si>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</si>
  <si>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</si>
  <si>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</si>
  <si>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</si>
  <si>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</si>
  <si>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</si>
  <si>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</si>
  <si>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</si>
  <si>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</si>
  <si>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</si>
  <si>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</si>
  <si>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</si>
  <si>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</si>
  <si>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</si>
  <si>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</si>
  <si>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</si>
  <si>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</si>
  <si>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</si>
  <si>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</si>
  <si>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</si>
  <si>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</si>
  <si>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</si>
  <si>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</si>
  <si>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</si>
  <si>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</si>
  <si>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</si>
  <si>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</si>
  <si>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</si>
  <si>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</si>
  <si>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</si>
  <si>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</si>
  <si>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</si>
  <si>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</si>
  <si>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</si>
  <si>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</si>
  <si>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</si>
  <si>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</si>
  <si>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</si>
  <si>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</si>
  <si>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</si>
  <si>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</si>
  <si>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</si>
  <si>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</si>
  <si>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</si>
  <si>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</si>
  <si>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</si>
  <si>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</si>
  <si>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</si>
  <si>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</si>
  <si>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</si>
  <si>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</si>
  <si>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</si>
  <si>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</si>
  <si>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</si>
  <si>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</si>
  <si>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</si>
  <si>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</si>
  <si>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</si>
  <si>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</si>
  <si>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</si>
  <si>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</si>
  <si>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</si>
  <si>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</si>
  <si>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</si>
  <si>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</si>
  <si>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</si>
  <si>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</si>
  <si>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</si>
  <si>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</si>
  <si>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</si>
  <si>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</si>
  <si>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</si>
  <si>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</si>
  <si>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</si>
  <si>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</si>
  <si>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</si>
  <si>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</si>
  <si>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</si>
  <si>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</si>
  <si>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</si>
  <si>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</si>
  <si>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</si>
  <si>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</si>
  <si>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</si>
  <si>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</si>
  <si>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</si>
  <si>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</si>
  <si>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</si>
  <si>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</si>
  <si>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</si>
  <si>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</si>
  <si>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</si>
  <si>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</si>
  <si>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</si>
  <si>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</si>
  <si>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</si>
  <si>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</si>
  <si>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</si>
  <si>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</si>
  <si>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</si>
  <si>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</si>
  <si>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</si>
  <si>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</si>
  <si>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</si>
  <si>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</si>
  <si>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</si>
  <si>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</si>
  <si>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</si>
  <si>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</si>
  <si>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</si>
  <si>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</si>
  <si>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</si>
  <si>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</si>
  <si>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</si>
  <si>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</si>
  <si>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</si>
  <si>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</si>
  <si>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</si>
  <si>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</si>
  <si>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</si>
  <si>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</si>
  <si>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</si>
  <si>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</si>
  <si>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</si>
  <si>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</si>
  <si>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</si>
  <si>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</si>
  <si>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</si>
  <si>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</si>
  <si>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</si>
  <si>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</si>
  <si>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</si>
  <si>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</si>
  <si>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</si>
  <si>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</si>
  <si>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</si>
  <si>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</si>
  <si>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</si>
  <si>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</si>
  <si>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</si>
  <si>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</si>
  <si>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</si>
  <si>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</si>
  <si>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</si>
  <si>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</si>
  <si>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</si>
  <si>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</si>
  <si>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</si>
  <si>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</si>
  <si>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</si>
  <si>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</si>
  <si>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</si>
  <si>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</si>
  <si>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</si>
  <si>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</si>
  <si>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</si>
  <si>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</si>
  <si>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</si>
  <si>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</si>
  <si>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</si>
  <si>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</si>
  <si>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</si>
  <si>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</si>
  <si>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</si>
  <si>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</si>
  <si>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</si>
  <si>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</si>
  <si>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</si>
  <si>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</si>
  <si>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</si>
  <si>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</si>
  <si>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</si>
  <si>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</si>
  <si>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</si>
  <si>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</si>
  <si>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</si>
  <si>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</si>
  <si>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</si>
  <si>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</si>
  <si>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</si>
  <si>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</si>
  <si>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</si>
  <si>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</si>
  <si>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</si>
  <si>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</si>
  <si>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</si>
  <si>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</si>
  <si>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</si>
  <si>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</si>
  <si>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</si>
  <si>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</si>
  <si>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</si>
  <si>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</si>
  <si>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</si>
  <si>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</si>
  <si>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</si>
  <si>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</si>
  <si>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</si>
  <si>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</si>
  <si>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</si>
  <si>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</si>
  <si>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</si>
  <si>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</si>
  <si>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</si>
  <si>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</si>
  <si>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</si>
  <si>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</si>
  <si>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</si>
  <si>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</si>
  <si>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</si>
  <si>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</si>
  <si>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</si>
  <si>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</si>
  <si>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</si>
  <si>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</si>
  <si>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</si>
  <si>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</si>
  <si>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</si>
  <si>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</si>
  <si>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</si>
  <si>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</si>
  <si>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</si>
  <si>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</si>
  <si>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</si>
  <si>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</si>
  <si>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</si>
  <si>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</si>
  <si>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</si>
  <si>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</si>
  <si>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</si>
  <si>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</si>
  <si>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</si>
  <si>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</si>
  <si>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</si>
  <si>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</si>
  <si>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</si>
  <si>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</si>
  <si>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</si>
  <si>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</si>
  <si>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</si>
  <si>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</si>
  <si>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</si>
  <si>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</si>
  <si>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</si>
  <si>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</si>
  <si>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</si>
  <si>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</si>
  <si>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</si>
  <si>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</si>
  <si>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</si>
  <si>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</si>
  <si>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</si>
  <si>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</si>
  <si>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</si>
  <si>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</si>
  <si>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</si>
  <si>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</si>
  <si>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</si>
  <si>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</si>
  <si>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</si>
  <si>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</si>
  <si>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</si>
  <si>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</si>
  <si>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</si>
  <si>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</si>
  <si>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</si>
  <si>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</si>
  <si>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</si>
  <si>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</si>
  <si>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</si>
  <si>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</si>
  <si>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</si>
  <si>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</si>
  <si>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</si>
  <si>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</si>
  <si>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</si>
  <si>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</si>
  <si>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</si>
  <si>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</si>
  <si>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</si>
  <si>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</si>
  <si>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</si>
  <si>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</si>
  <si>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</si>
  <si>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</si>
  <si>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</si>
  <si>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</si>
  <si>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</si>
  <si>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</si>
  <si>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</si>
  <si>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</si>
  <si>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</si>
  <si>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</si>
  <si>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</si>
  <si>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</si>
  <si>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</si>
  <si>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</si>
  <si>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</si>
  <si>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</si>
  <si>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</si>
  <si>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</si>
  <si>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</si>
  <si>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</si>
  <si>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</si>
  <si>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</si>
  <si>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</si>
  <si>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</si>
  <si>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</si>
  <si>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</si>
  <si>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</si>
  <si>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</si>
  <si>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</si>
  <si>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</si>
  <si>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</si>
  <si>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</si>
  <si>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</si>
  <si>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</si>
  <si>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</si>
  <si>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</si>
  <si>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</si>
  <si>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</si>
  <si>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</si>
  <si>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</si>
  <si>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</si>
  <si>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</si>
  <si>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</si>
  <si>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</si>
  <si>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</si>
  <si>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</si>
  <si>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</si>
  <si>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</si>
  <si>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</si>
  <si>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</si>
  <si>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</si>
  <si>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</si>
  <si>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</si>
  <si>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</si>
  <si>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</si>
  <si>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</si>
  <si>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</si>
  <si>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</si>
  <si>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</si>
  <si>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</si>
  <si>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</si>
  <si>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</si>
  <si>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</si>
  <si>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</si>
  <si>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</si>
  <si>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</si>
  <si>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</si>
  <si>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</si>
  <si>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</si>
  <si>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</si>
  <si>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</si>
  <si>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</si>
  <si>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</si>
  <si>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</si>
  <si>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</si>
  <si>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</si>
  <si>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</si>
  <si>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</si>
  <si>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</si>
  <si>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</si>
  <si>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</si>
  <si>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</si>
  <si>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</si>
  <si>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</si>
  <si>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</si>
  <si>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</si>
  <si>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</si>
  <si>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</si>
  <si>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</si>
  <si>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</si>
  <si>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</si>
  <si>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</si>
  <si>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</si>
  <si>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</si>
  <si>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</si>
  <si>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</si>
  <si>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</si>
  <si>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</si>
  <si>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</si>
  <si>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</si>
  <si>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</si>
  <si>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</si>
  <si>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</si>
  <si>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</si>
  <si>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</si>
  <si>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</si>
  <si>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</si>
  <si>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</si>
  <si>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</si>
  <si>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</si>
  <si>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</si>
  <si>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</si>
  <si>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</si>
  <si>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</si>
  <si>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</si>
  <si>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</si>
  <si>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</si>
  <si>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</si>
  <si>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</si>
  <si>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</si>
  <si>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</si>
  <si>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</si>
  <si>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</si>
  <si>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</si>
  <si>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</si>
  <si>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</si>
  <si>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</si>
  <si>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</si>
  <si>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</si>
  <si>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</si>
  <si>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</si>
  <si>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</si>
  <si>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</si>
  <si>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</si>
  <si>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</si>
  <si>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</si>
  <si>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</si>
  <si>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</si>
  <si>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</si>
  <si>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</si>
  <si>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</si>
  <si>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</si>
  <si>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</si>
  <si>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</si>
  <si>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</si>
  <si>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</si>
  <si>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</si>
  <si>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</si>
  <si>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</si>
  <si>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</si>
  <si>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</si>
  <si>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</si>
  <si>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</si>
  <si>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</si>
  <si>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</si>
  <si>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</si>
  <si>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</si>
  <si>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</si>
  <si>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</si>
  <si>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</si>
  <si>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</si>
  <si>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</si>
  <si>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</si>
  <si>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</si>
  <si>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</si>
  <si>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</si>
  <si>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</si>
  <si>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</si>
  <si>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</si>
  <si>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</si>
  <si>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</si>
  <si>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</si>
  <si>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</si>
  <si>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</si>
  <si>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</si>
  <si>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</si>
  <si>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</si>
  <si>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</si>
  <si>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</si>
  <si>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</si>
  <si>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</si>
  <si>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</si>
  <si>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</si>
  <si>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</si>
  <si>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</si>
  <si>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</si>
  <si>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</si>
  <si>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</si>
  <si>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</si>
  <si>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</si>
  <si>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</si>
  <si>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</si>
  <si>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</si>
  <si>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</si>
  <si>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</si>
  <si>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</si>
  <si>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</si>
  <si>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</si>
  <si>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</si>
  <si>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</si>
  <si>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</si>
  <si>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</si>
  <si>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</si>
  <si>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</si>
  <si>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</si>
  <si>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</si>
  <si>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</si>
  <si>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</si>
  <si>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</si>
  <si>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</si>
  <si>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</si>
  <si>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</si>
  <si>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</si>
  <si>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</si>
  <si>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</si>
  <si>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</si>
  <si>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</si>
  <si>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</si>
  <si>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</si>
  <si>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</si>
  <si>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</si>
  <si>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</si>
  <si>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</si>
  <si>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</si>
  <si>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</si>
  <si>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</si>
  <si>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</si>
  <si>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</si>
  <si>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</si>
  <si>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</si>
  <si>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</si>
  <si>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</si>
  <si>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</si>
  <si>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</si>
  <si>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</si>
  <si>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</si>
  <si>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</si>
  <si>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</si>
  <si>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</si>
  <si>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</si>
  <si>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</si>
  <si>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</si>
  <si>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</si>
  <si>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</si>
  <si>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</si>
  <si>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</si>
  <si>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</si>
  <si>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</si>
  <si>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</si>
  <si>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</si>
  <si>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</si>
  <si>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</si>
  <si>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</si>
  <si>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</si>
  <si>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</si>
  <si>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</si>
  <si>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</si>
  <si>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</si>
  <si>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</si>
  <si>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</si>
  <si>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</si>
  <si>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</si>
  <si>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</si>
  <si>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</si>
  <si>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</si>
  <si>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</si>
  <si>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</si>
  <si>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</si>
  <si>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</si>
  <si>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</si>
  <si>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</si>
  <si>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</si>
  <si>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</si>
  <si>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</si>
  <si>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</si>
  <si>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</si>
  <si>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</si>
  <si>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</si>
  <si>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</si>
  <si>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</si>
  <si>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</si>
  <si>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</si>
  <si>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</si>
  <si>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</si>
  <si>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</si>
  <si>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</si>
  <si>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</si>
  <si>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</si>
  <si>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</si>
  <si>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</si>
  <si>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</si>
  <si>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</si>
  <si>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</si>
  <si>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</si>
  <si>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</si>
  <si>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</si>
  <si>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</si>
  <si>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</si>
  <si>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</si>
  <si>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</si>
  <si>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</si>
  <si>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</si>
  <si>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</si>
  <si>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</si>
  <si>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</si>
  <si>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</si>
  <si>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</si>
  <si>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</si>
  <si>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</si>
  <si>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</si>
  <si>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</si>
  <si>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</si>
  <si>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</si>
  <si>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</si>
  <si>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</si>
  <si>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</si>
  <si>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</si>
  <si>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</si>
  <si>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</si>
  <si>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</si>
  <si>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</si>
  <si>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</si>
  <si>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</si>
  <si>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</si>
  <si>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</si>
  <si>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</si>
  <si>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</si>
  <si>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</si>
  <si>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</si>
  <si>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</si>
  <si>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</si>
  <si>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</si>
  <si>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</si>
  <si>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</si>
  <si>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</si>
  <si>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</si>
  <si>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</si>
  <si>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</si>
  <si>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</si>
  <si>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</si>
  <si>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</si>
  <si>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</si>
  <si>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</si>
  <si>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</si>
  <si>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</si>
  <si>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</si>
  <si>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</si>
  <si>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</si>
  <si>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</si>
  <si>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</si>
  <si>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</si>
  <si>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</si>
  <si>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</si>
  <si>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</si>
  <si>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</si>
  <si>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</si>
  <si>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</si>
  <si>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</si>
  <si>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</si>
  <si>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</si>
  <si>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</si>
  <si>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</si>
  <si>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</si>
  <si>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</si>
  <si>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</si>
  <si>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</si>
  <si>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</si>
  <si>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</si>
  <si>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</si>
  <si>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</si>
  <si>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</si>
  <si>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</si>
  <si>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</si>
  <si>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</si>
  <si>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</si>
  <si>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</si>
  <si>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</si>
  <si>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</si>
  <si>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</si>
  <si>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</si>
  <si>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</si>
  <si>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</si>
  <si>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</si>
  <si>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</si>
  <si>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</si>
  <si>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</si>
  <si>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</si>
  <si>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</si>
  <si>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</si>
  <si>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</si>
  <si>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</si>
  <si>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</si>
  <si>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</si>
  <si>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</si>
  <si>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</si>
  <si>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</si>
  <si>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</si>
  <si>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</si>
  <si>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</si>
  <si>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</si>
  <si>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</si>
  <si>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</si>
  <si>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</si>
  <si>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</si>
  <si>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</si>
  <si>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</si>
  <si>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</si>
  <si>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</si>
  <si>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</si>
  <si>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</si>
  <si>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</si>
  <si>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</si>
  <si>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</si>
  <si>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</si>
  <si>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</si>
  <si>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</si>
  <si>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</si>
  <si>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</si>
  <si>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</si>
  <si>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</si>
  <si>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</si>
  <si>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</si>
  <si>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</si>
  <si>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</si>
  <si>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</si>
  <si>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</si>
  <si>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</si>
  <si>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</si>
  <si>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</si>
  <si>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</si>
  <si>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</si>
  <si>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</si>
  <si>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</si>
  <si>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</si>
  <si>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</si>
  <si>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</si>
  <si>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</si>
  <si>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</si>
  <si>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</si>
  <si>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</si>
  <si>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</si>
  <si>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</si>
  <si>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</si>
  <si>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</si>
  <si>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</si>
  <si>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</si>
  <si>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</si>
  <si>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</si>
  <si>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</si>
  <si>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</si>
  <si>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</si>
  <si>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</si>
  <si>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</si>
  <si>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</si>
  <si>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</si>
  <si>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</si>
  <si>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</si>
  <si>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</si>
  <si>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</si>
  <si>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</si>
  <si>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</si>
  <si>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</si>
  <si>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</si>
  <si>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</si>
  <si>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</si>
  <si>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</si>
  <si>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</si>
  <si>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</si>
  <si>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</si>
  <si>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</si>
  <si>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</si>
  <si>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</si>
  <si>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</si>
  <si>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</si>
  <si>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</si>
  <si>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</si>
  <si>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</si>
  <si>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</si>
  <si>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</si>
  <si>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</si>
  <si>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</si>
  <si>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</si>
  <si>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</si>
  <si>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</si>
  <si>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</si>
  <si>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</si>
  <si>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</si>
  <si>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</si>
  <si>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</si>
  <si>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</si>
  <si>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</si>
  <si>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</si>
  <si>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</si>
  <si>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</si>
  <si>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</si>
  <si>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</si>
  <si>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</si>
  <si>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</si>
  <si>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</si>
  <si>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</si>
  <si>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</si>
  <si>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</si>
  <si>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</si>
  <si>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</si>
  <si>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</si>
  <si>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</si>
  <si>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</si>
  <si>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</si>
  <si>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</si>
  <si>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</si>
  <si>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</si>
  <si>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</si>
  <si>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</si>
  <si>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</si>
  <si>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</si>
  <si>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</si>
  <si>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</si>
  <si>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</si>
  <si>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</si>
  <si>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</si>
  <si>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</si>
  <si>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</si>
  <si>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</si>
  <si>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</si>
  <si>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</si>
  <si>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</si>
  <si>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</si>
  <si>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</si>
  <si>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</si>
  <si>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</si>
  <si>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</si>
  <si>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</si>
  <si>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</si>
  <si>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</si>
  <si>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</si>
  <si>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</si>
  <si>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</si>
  <si>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</si>
  <si>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</si>
  <si>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</si>
  <si>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</si>
  <si>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</si>
  <si>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</si>
  <si>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</si>
  <si>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</si>
  <si>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</si>
  <si>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</si>
  <si>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</si>
  <si>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</si>
  <si>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</si>
  <si>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</si>
  <si>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</si>
  <si>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</si>
  <si>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</si>
  <si>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</si>
  <si>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</si>
  <si>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</si>
  <si>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</si>
  <si>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</si>
  <si>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</si>
  <si>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</si>
  <si>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</si>
  <si>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</si>
  <si>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</si>
  <si>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</si>
  <si>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</si>
  <si>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</si>
  <si>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</si>
  <si>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</si>
  <si>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</si>
  <si>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</si>
  <si>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</si>
  <si>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</si>
  <si>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</si>
  <si>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</si>
  <si>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</si>
  <si>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</si>
  <si>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</si>
  <si>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</si>
  <si>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</si>
  <si>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</si>
  <si>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</si>
  <si>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</si>
  <si>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</si>
  <si>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</si>
  <si>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</si>
  <si>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</si>
  <si>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</si>
  <si>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</si>
  <si>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</si>
  <si>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</si>
  <si>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</si>
  <si>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</si>
  <si>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</si>
  <si>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</si>
  <si>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</si>
  <si>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</si>
  <si>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</si>
  <si>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</si>
  <si>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</si>
  <si>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</si>
  <si>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</si>
  <si>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</si>
  <si>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</si>
  <si>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</si>
  <si>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</si>
  <si>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</si>
  <si>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</si>
  <si>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</si>
  <si>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</si>
  <si>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</si>
  <si>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</si>
  <si>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</si>
  <si>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</si>
  <si>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</si>
  <si>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</si>
  <si>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</si>
  <si>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</si>
  <si>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</si>
  <si>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</si>
  <si>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</si>
  <si>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</si>
  <si>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</si>
  <si>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</si>
  <si>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</si>
  <si>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</si>
  <si>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</si>
  <si>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</si>
  <si>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</si>
  <si>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</si>
  <si>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</si>
  <si>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</si>
  <si>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</si>
  <si>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</si>
  <si>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</si>
  <si>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</si>
  <si>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</si>
  <si>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</si>
  <si>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</si>
  <si>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</si>
  <si>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</si>
  <si>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</si>
  <si>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</si>
  <si>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</si>
  <si>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</si>
  <si>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</si>
  <si>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</si>
  <si>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</si>
  <si>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</si>
  <si>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</si>
  <si>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</si>
  <si>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</si>
  <si>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</si>
  <si>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</si>
  <si>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</si>
  <si>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</si>
  <si>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</si>
  <si>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</si>
  <si>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</si>
  <si>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</si>
  <si>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</si>
  <si>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</si>
  <si>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</si>
  <si>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</si>
  <si>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</si>
  <si>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</si>
  <si>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</si>
  <si>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</si>
  <si>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</si>
  <si>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</si>
  <si>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</si>
  <si>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</si>
  <si>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</si>
  <si>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</si>
  <si>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</si>
  <si>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</si>
  <si>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</si>
  <si>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</si>
  <si>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</si>
  <si>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</si>
  <si>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</si>
  <si>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</si>
  <si>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</si>
  <si>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</si>
  <si>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</si>
  <si>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</si>
  <si>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</si>
  <si>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</si>
  <si>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</si>
  <si>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</si>
  <si>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</si>
  <si>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</si>
  <si>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</si>
  <si>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</si>
  <si>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</si>
  <si>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</si>
  <si>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</si>
  <si>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</si>
  <si>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</si>
  <si>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</si>
  <si>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</si>
  <si>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</si>
  <si>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</si>
  <si>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</si>
  <si>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</si>
  <si>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</si>
  <si>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</si>
  <si>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</si>
  <si>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</si>
  <si>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</si>
  <si>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</si>
  <si>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</si>
  <si>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</si>
  <si>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</si>
  <si>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</si>
  <si>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</si>
  <si>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</si>
  <si>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</si>
  <si>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</si>
  <si>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</si>
  <si>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</si>
  <si>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</si>
  <si>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</si>
  <si>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</si>
  <si>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</si>
  <si>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</si>
  <si>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</si>
  <si>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</si>
  <si>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</si>
  <si>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</si>
  <si>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</si>
  <si>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</si>
  <si>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</si>
  <si>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</si>
  <si>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</si>
  <si>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</si>
  <si>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</si>
  <si>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</si>
  <si>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</si>
  <si>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</si>
  <si>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</si>
  <si>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</si>
  <si>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</si>
  <si>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</si>
  <si>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</si>
  <si>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</si>
  <si>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</si>
  <si>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</si>
  <si>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</si>
  <si>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</si>
  <si>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</si>
  <si>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</si>
  <si>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</si>
  <si>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</si>
  <si>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</si>
  <si>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</si>
  <si>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</si>
  <si>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</si>
  <si>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</si>
  <si>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</si>
  <si>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</si>
  <si>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</si>
  <si>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</si>
  <si>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</si>
  <si>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</si>
  <si>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</si>
  <si>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</si>
  <si>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</si>
  <si>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</si>
  <si>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</si>
  <si>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</si>
  <si>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</si>
  <si>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</si>
  <si>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</si>
  <si>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</si>
  <si>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</si>
  <si>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</si>
  <si>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</si>
  <si>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</si>
  <si>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</si>
  <si>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</si>
  <si>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</si>
  <si>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</si>
  <si>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</si>
  <si>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</si>
  <si>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</si>
  <si>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</si>
  <si>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</si>
  <si>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</si>
  <si>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</si>
  <si>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</si>
  <si>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</si>
  <si>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</si>
  <si>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</si>
  <si>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</si>
  <si>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</si>
  <si>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</si>
  <si>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</si>
  <si>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</si>
  <si>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</si>
  <si>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</si>
  <si>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</si>
  <si>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</si>
  <si>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</si>
  <si>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</si>
  <si>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</si>
  <si>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</si>
  <si>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</si>
  <si>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</si>
  <si>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</si>
  <si>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</si>
  <si>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</si>
  <si>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</si>
  <si>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</si>
  <si>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</si>
  <si>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</si>
  <si>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</si>
  <si>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</si>
  <si>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</si>
  <si>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</si>
  <si>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</si>
  <si>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</si>
  <si>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</si>
  <si>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</si>
  <si>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</si>
  <si>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</si>
  <si>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</si>
  <si>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</si>
  <si>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</si>
  <si>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</si>
  <si>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</si>
  <si>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</si>
  <si>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</si>
  <si>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</si>
  <si>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</si>
  <si>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</si>
  <si>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</si>
  <si>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</si>
  <si>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</si>
  <si>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</si>
  <si>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</si>
  <si>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</si>
  <si>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</si>
  <si>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</si>
  <si>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</si>
  <si>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</si>
  <si>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</si>
  <si>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</si>
  <si>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</si>
  <si>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</si>
  <si>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</si>
  <si>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</si>
  <si>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</si>
  <si>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</si>
  <si>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</si>
  <si>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</si>
  <si>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</si>
  <si>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</si>
  <si>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</si>
  <si>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</si>
  <si>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</si>
  <si>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</si>
  <si>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</si>
  <si>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</si>
  <si>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</si>
  <si>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</si>
  <si>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</si>
  <si>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</si>
  <si>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</si>
  <si>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</si>
  <si>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</si>
  <si>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</si>
  <si>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</si>
  <si>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</si>
  <si>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</si>
  <si>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</si>
  <si>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</si>
  <si>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</si>
  <si>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</si>
  <si>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</si>
  <si>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</si>
  <si>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</si>
  <si>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</si>
  <si>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</si>
  <si>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</si>
  <si>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</si>
  <si>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</si>
  <si>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</si>
  <si>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</si>
  <si>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</si>
  <si>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</si>
  <si>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</si>
  <si>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</si>
  <si>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</si>
  <si>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</si>
  <si>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</si>
  <si>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</si>
  <si>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</si>
  <si>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</si>
  <si>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</si>
  <si>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</si>
  <si>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</si>
  <si>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</si>
  <si>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</si>
  <si>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</si>
  <si>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</si>
  <si>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</si>
  <si>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</si>
  <si>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</si>
  <si>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</si>
  <si>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</si>
  <si>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</si>
  <si>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</si>
  <si>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</si>
  <si>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</si>
  <si>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</si>
  <si>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</si>
  <si>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</si>
  <si>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</si>
  <si>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</si>
  <si>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</si>
  <si>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</si>
  <si>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</si>
  <si>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</si>
  <si>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</si>
  <si>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</si>
  <si>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</si>
  <si>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</si>
  <si>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</si>
  <si>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</si>
  <si>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</si>
  <si>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</si>
  <si>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</si>
  <si>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</si>
  <si>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</si>
  <si>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</si>
  <si>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</si>
  <si>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</si>
  <si>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</si>
  <si>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</si>
  <si>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</si>
  <si>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</si>
  <si>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</si>
  <si>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</si>
  <si>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</si>
  <si>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</si>
  <si>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</si>
  <si>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</si>
  <si>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</si>
  <si>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</si>
  <si>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</si>
  <si>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</si>
  <si>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</si>
  <si>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</si>
  <si>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</si>
  <si>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</si>
  <si>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</si>
  <si>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</si>
  <si>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</si>
  <si>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</si>
  <si>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</si>
  <si>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</si>
  <si>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</si>
  <si>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</si>
  <si>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</si>
  <si>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</si>
  <si>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</si>
  <si>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</si>
  <si>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</si>
  <si>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</si>
  <si>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</si>
  <si>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</si>
  <si>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</si>
  <si>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</si>
  <si>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</si>
  <si>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</si>
  <si>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</si>
  <si>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</si>
  <si>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</si>
  <si>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</si>
  <si>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</si>
  <si>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</si>
  <si>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</si>
  <si>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</si>
  <si>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</si>
  <si>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</si>
  <si>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</si>
  <si>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</si>
  <si>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</si>
  <si>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</si>
  <si>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</si>
  <si>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</si>
  <si>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</si>
  <si>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</si>
  <si>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</si>
  <si>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</si>
  <si>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</si>
  <si>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</si>
  <si>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</si>
  <si>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</si>
  <si>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</si>
  <si>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</si>
  <si>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</si>
  <si>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</si>
  <si>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</si>
  <si>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</si>
  <si>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</si>
  <si>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</si>
  <si>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</si>
  <si>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</si>
  <si>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</si>
  <si>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</si>
  <si>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</si>
  <si>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</si>
  <si>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</si>
  <si>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</si>
  <si>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</si>
  <si>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</si>
  <si>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</si>
  <si>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</si>
  <si>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</si>
  <si>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</si>
  <si>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</si>
  <si>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</si>
  <si>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</si>
  <si>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</si>
  <si>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</si>
  <si>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</si>
  <si>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</si>
  <si>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</si>
  <si>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</si>
  <si>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</si>
  <si>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</si>
  <si>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</si>
  <si>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</si>
  <si>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</si>
  <si>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</si>
  <si>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</si>
  <si>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</si>
  <si>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</si>
  <si>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</si>
  <si>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</si>
  <si>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</si>
  <si>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</si>
  <si>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</si>
  <si>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</si>
  <si>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</si>
  <si>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</si>
  <si>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</si>
  <si>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</si>
  <si>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</si>
  <si>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</si>
  <si>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</si>
  <si>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</si>
  <si>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</si>
  <si>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</si>
  <si>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</si>
  <si>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</si>
  <si>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</si>
  <si>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</si>
  <si>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</si>
  <si>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</si>
  <si>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</si>
  <si>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</si>
  <si>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</si>
  <si>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</si>
  <si>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</si>
  <si>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</si>
  <si>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</si>
  <si>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</si>
  <si>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</si>
  <si>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</si>
  <si>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</si>
  <si>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</si>
  <si>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</si>
  <si>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</si>
  <si>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</si>
  <si>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</si>
  <si>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</si>
  <si>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</si>
  <si>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</si>
  <si>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</si>
  <si>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</si>
  <si>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</si>
  <si>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</si>
  <si>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</si>
  <si>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</si>
  <si>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</si>
  <si>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</si>
  <si>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</si>
  <si>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</si>
  <si>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</si>
  <si>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</si>
  <si>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</si>
  <si>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</si>
  <si>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</si>
  <si>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</si>
  <si>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</si>
  <si>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</si>
  <si>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</si>
  <si>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</si>
  <si>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</si>
  <si>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</si>
  <si>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</si>
  <si>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</si>
  <si>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</si>
  <si>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</si>
  <si>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</si>
  <si>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</si>
  <si>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</si>
  <si>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</si>
  <si>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</si>
  <si>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</si>
  <si>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</si>
  <si>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</si>
  <si>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</si>
  <si>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</si>
  <si>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</si>
  <si>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</si>
  <si>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</si>
  <si>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</si>
  <si>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</si>
  <si>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</si>
  <si>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</si>
  <si>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</si>
  <si>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</si>
  <si>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</si>
  <si>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</si>
  <si>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</si>
  <si>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</si>
  <si>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</si>
  <si>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</si>
  <si>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</si>
  <si>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</si>
  <si>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</si>
  <si>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</si>
  <si>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</si>
  <si>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</si>
  <si>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</si>
  <si>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</si>
  <si>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</si>
  <si>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</si>
  <si>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</si>
  <si>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</si>
  <si>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</si>
  <si>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</si>
  <si>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</si>
  <si>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</si>
  <si>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</si>
  <si>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</si>
  <si>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</si>
  <si>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</si>
  <si>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</si>
  <si>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</si>
  <si>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</si>
  <si>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</si>
  <si>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</si>
  <si>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</si>
  <si>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</si>
  <si>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</si>
  <si>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</si>
  <si>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</si>
  <si>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</si>
  <si>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</si>
  <si>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</si>
  <si>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</si>
  <si>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</si>
  <si>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</si>
  <si>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</si>
  <si>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</si>
  <si>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</si>
  <si>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</si>
  <si>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</si>
  <si>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</si>
  <si>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</si>
  <si>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</si>
  <si>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</si>
  <si>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</si>
  <si>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</si>
  <si>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</si>
  <si>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</si>
  <si>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</si>
  <si>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</si>
  <si>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</si>
  <si>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</si>
  <si>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</si>
  <si>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</si>
  <si>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</si>
  <si>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</si>
  <si>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</si>
  <si>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</si>
  <si>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</si>
  <si>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</si>
  <si>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</si>
  <si>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</si>
  <si>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</si>
  <si>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</si>
  <si>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</si>
  <si>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</si>
  <si>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</si>
  <si>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</si>
  <si>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</si>
  <si>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</si>
  <si>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</si>
  <si>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</si>
  <si>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</si>
  <si>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</si>
  <si>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</si>
  <si>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</si>
  <si>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</si>
  <si>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</si>
  <si>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</si>
  <si>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</si>
  <si>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</si>
  <si>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</si>
  <si>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</si>
  <si>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</si>
  <si>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</si>
  <si>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</si>
  <si>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</si>
  <si>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</si>
  <si>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</si>
  <si>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</si>
  <si>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</si>
  <si>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</si>
  <si>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</si>
  <si>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</si>
  <si>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</si>
  <si>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</si>
  <si>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</si>
  <si>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</si>
  <si>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</si>
  <si>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</si>
  <si>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</si>
  <si>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</si>
  <si>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</si>
  <si>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</si>
  <si>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</si>
  <si>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</si>
  <si>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</si>
  <si>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</si>
  <si>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</si>
  <si>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</si>
  <si>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</si>
  <si>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</si>
  <si>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</si>
  <si>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</si>
  <si>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</si>
  <si>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</si>
  <si>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</si>
  <si>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</si>
  <si>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</si>
  <si>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</si>
  <si>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</si>
  <si>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</si>
  <si>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</si>
  <si>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</si>
  <si>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</si>
  <si>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</si>
  <si>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</si>
  <si>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</si>
  <si>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</si>
  <si>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</si>
  <si>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</si>
  <si>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</si>
  <si>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</si>
  <si>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</si>
  <si>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</si>
  <si>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</si>
  <si>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</si>
  <si>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</si>
  <si>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</si>
  <si>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</si>
  <si>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</si>
  <si>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</si>
  <si>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</si>
  <si>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</si>
  <si>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</si>
  <si>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</si>
  <si>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</si>
  <si>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</si>
  <si>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</si>
  <si>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</si>
  <si>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</si>
  <si>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</si>
  <si>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</si>
  <si>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</si>
  <si>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</si>
  <si>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</si>
  <si>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</si>
  <si>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</si>
  <si>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</si>
  <si>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</si>
  <si>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</si>
  <si>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</si>
  <si>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</si>
  <si>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</si>
  <si>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</si>
  <si>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</si>
  <si>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</si>
  <si>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</si>
  <si>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</si>
  <si>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</si>
  <si>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</si>
  <si>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</si>
  <si>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</si>
  <si>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</si>
  <si>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</si>
  <si>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</si>
  <si>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</si>
  <si>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</si>
  <si>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</si>
  <si>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</si>
  <si>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</si>
  <si>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</si>
  <si>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</si>
  <si>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</si>
  <si>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</si>
  <si>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</si>
  <si>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</si>
  <si>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</si>
  <si>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</si>
  <si>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</si>
  <si>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</si>
  <si>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</si>
  <si>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</si>
  <si>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</si>
  <si>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</si>
  <si>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</si>
  <si>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</si>
  <si>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</si>
  <si>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</si>
  <si>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</si>
  <si>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</si>
  <si>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</si>
  <si>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</si>
  <si>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</si>
  <si>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</si>
  <si>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</si>
  <si>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</si>
  <si>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</si>
  <si>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</si>
  <si>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</si>
  <si>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</si>
  <si>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</si>
  <si>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</si>
  <si>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</si>
  <si>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</si>
  <si>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</si>
  <si>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</si>
  <si>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</si>
  <si>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</si>
  <si>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</si>
  <si>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</si>
  <si>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</si>
  <si>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</si>
  <si>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</si>
  <si>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</si>
  <si>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</si>
  <si>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</si>
  <si>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</si>
  <si>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</si>
  <si>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</si>
  <si>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</si>
  <si>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</si>
  <si>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</si>
  <si>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</si>
  <si>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</si>
  <si>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</si>
  <si>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</si>
  <si>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</si>
  <si>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</si>
  <si>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</si>
  <si>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</si>
  <si>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</si>
  <si>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</si>
  <si>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</si>
  <si>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</si>
  <si>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</si>
  <si>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</si>
  <si>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</si>
  <si>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</si>
  <si>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</si>
  <si>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</si>
  <si>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</si>
  <si>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</si>
  <si>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</si>
  <si>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</si>
  <si>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</si>
  <si>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</si>
  <si>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</si>
  <si>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</si>
  <si>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</si>
  <si>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</si>
  <si>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</si>
  <si>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</si>
  <si>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</si>
  <si>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</si>
  <si>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</si>
  <si>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</si>
  <si>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</si>
  <si>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</si>
  <si>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</si>
  <si>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</si>
  <si>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</si>
  <si>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</si>
  <si>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</si>
  <si>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</si>
  <si>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</si>
  <si>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</si>
  <si>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</si>
  <si>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</si>
  <si>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</si>
  <si>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</si>
  <si>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</si>
  <si>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</si>
  <si>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</si>
  <si>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</si>
  <si>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</si>
  <si>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</si>
  <si>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</si>
  <si>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</si>
  <si>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</si>
  <si>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</si>
  <si>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</si>
  <si>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</si>
  <si>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</si>
  <si>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</si>
  <si>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</si>
  <si>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</si>
  <si>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</si>
  <si>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</si>
  <si>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INFORMAÇÕES INICIAIS</t>
  </si>
  <si>
    <t>INFORMAÇÕES AUXÍLIO ALUGUEL</t>
  </si>
  <si>
    <t>INFORMAÇÕES INDENIZAÇÃO</t>
  </si>
  <si>
    <t>PROCESSO ATENDIMENTO HABITACIONAL</t>
  </si>
  <si>
    <t xml:space="preserve">ORDEM </t>
  </si>
  <si>
    <t>ÁREA</t>
  </si>
  <si>
    <t>TRECHO</t>
  </si>
  <si>
    <t>FASE</t>
  </si>
  <si>
    <t>PRIORIDADE</t>
  </si>
  <si>
    <t>SELO</t>
  </si>
  <si>
    <t>SITUAÇÃO INICIAL IMÓVEL</t>
  </si>
  <si>
    <t>USO IMÓVEL</t>
  </si>
  <si>
    <t>SITUAÇÃO DO RESIDENTE</t>
  </si>
  <si>
    <t>RG</t>
  </si>
  <si>
    <t>CADASTRO HABITA SAMPA</t>
  </si>
  <si>
    <t>OPÇÃO DE ATENDIMENTO HABITACIONAL</t>
  </si>
  <si>
    <t xml:space="preserve">SOLICITAÇÃO AUXÍLIO ALUGUEL ÁREA  </t>
  </si>
  <si>
    <t>No PROCESSO SEI                                                                      (AUXÍLIO ALUGUEL)</t>
  </si>
  <si>
    <t>ANÁLISE DTS                                                                         CADASTRO + CHECAGEM DUPLO</t>
  </si>
  <si>
    <t>INSTRUÇÃO PROCESSO SEI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</si>
  <si>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</si>
  <si>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</si>
  <si>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</si>
  <si>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</si>
  <si>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</si>
  <si>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</si>
  <si>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</si>
  <si>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</si>
  <si>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</si>
  <si>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</si>
  <si>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</si>
  <si>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</si>
  <si>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</si>
  <si>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</si>
  <si>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</si>
  <si>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</si>
  <si>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RECEBIMENTO TERMO CTS</t>
  </si>
  <si>
    <t>CONFERÊNCIA TERMO CTS</t>
  </si>
  <si>
    <t>ENVIO ASSINATURA CTS</t>
  </si>
  <si>
    <t>ENVIO ASSINATURA GAB</t>
  </si>
  <si>
    <t>RETORNO TERMO GAB</t>
  </si>
  <si>
    <t>ENVIO TERMO DTS</t>
  </si>
  <si>
    <t>EM CORREÇÃO</t>
  </si>
  <si>
    <t>STATUS TERMO INDENIZAÇÃO</t>
  </si>
  <si>
    <t>PENDÊNCIA</t>
  </si>
  <si>
    <t>OBSERVAÇÕES INDENIZAÇÃO</t>
  </si>
  <si>
    <t>No PROCESSO SEI (INDENIZAÇÃO)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</si>
  <si>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</si>
  <si>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</si>
  <si>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</si>
  <si>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</si>
  <si>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</si>
  <si>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</si>
  <si>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</si>
  <si>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</si>
  <si>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</si>
  <si>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</si>
  <si>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</si>
  <si>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</si>
  <si>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</si>
  <si>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                                    BLOQUEIO AA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</si>
  <si>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</si>
  <si>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</si>
  <si>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</si>
  <si>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</si>
  <si>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</si>
  <si>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</si>
  <si>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JD. PANTANAL</t>
  </si>
  <si>
    <t xml:space="preserve">NOVO HORIZONTE </t>
  </si>
  <si>
    <t>--</t>
  </si>
  <si>
    <t>001/0001/A</t>
  </si>
  <si>
    <t>OCUPADO</t>
  </si>
  <si>
    <t>RESIDENCIAL</t>
  </si>
  <si>
    <t>PROPRIETÁRIO RESIDENTE</t>
  </si>
  <si>
    <t>ARIANA APARECIDA DE PAULA</t>
  </si>
  <si>
    <t>403.154.248-85</t>
  </si>
  <si>
    <t>CADASTRADO</t>
  </si>
  <si>
    <t>AUXÍLIO ALUGUEL UH</t>
  </si>
  <si>
    <t>6014.2025/0007513-3</t>
  </si>
  <si>
    <t>OK</t>
  </si>
  <si>
    <t>N.A</t>
  </si>
  <si>
    <t>UH</t>
  </si>
  <si>
    <t>6014.2025/0007373-4</t>
  </si>
  <si>
    <t>DEMOLIDO</t>
  </si>
  <si>
    <t xml:space="preserve">VILA DA PAZ </t>
  </si>
  <si>
    <t>INQUILINO</t>
  </si>
  <si>
    <t xml:space="preserve">KISSY KATAIANA SANTOS SILVA </t>
  </si>
  <si>
    <t>421.459.738-93</t>
  </si>
  <si>
    <t>PENDENTE</t>
  </si>
  <si>
    <t>GABRIEL ROCHA RODRIGUES</t>
  </si>
  <si>
    <t>39.394.079-2</t>
  </si>
  <si>
    <t>367.570.418-12</t>
  </si>
  <si>
    <t>PROPRIETÁRIO NÃO RESIDENTE</t>
  </si>
  <si>
    <t xml:space="preserve">SIM </t>
  </si>
  <si>
    <t>SEM PENDÊNCIA</t>
  </si>
  <si>
    <t>6014.2026/0005831-1</t>
  </si>
  <si>
    <t>FINALIZADO</t>
  </si>
  <si>
    <t>EM BLOCO</t>
  </si>
  <si>
    <t>SÃO MARTINHO VÁRZEA</t>
  </si>
  <si>
    <t>COMERCIAL</t>
  </si>
  <si>
    <t xml:space="preserve">ADENILSON BATISTA FERREIRA </t>
  </si>
  <si>
    <t>24.743.676-8</t>
  </si>
  <si>
    <t>468.366.675-87</t>
  </si>
  <si>
    <t>INDENIZAÇÃO</t>
  </si>
  <si>
    <t>SIM</t>
  </si>
  <si>
    <t>6014.2025/0008612-7</t>
  </si>
  <si>
    <t>AGUARDANDO</t>
  </si>
  <si>
    <t>LIBERADO DEMOLIÇÃO</t>
  </si>
  <si>
    <t>N/A</t>
  </si>
  <si>
    <t>001/0001/B</t>
  </si>
  <si>
    <t xml:space="preserve">KLEINY SIRLANE DA ROCHA </t>
  </si>
  <si>
    <t>_</t>
  </si>
  <si>
    <t>260.215.948-43</t>
  </si>
  <si>
    <t xml:space="preserve">INDENIZAÇÃO </t>
  </si>
  <si>
    <t>6014.2026/0001975-8</t>
  </si>
  <si>
    <t>001/0001/C</t>
  </si>
  <si>
    <t>JULIA DA ROCHA RODRIGUES</t>
  </si>
  <si>
    <t>367.978.788-02</t>
  </si>
  <si>
    <t>TERMO ASSINADO SECRETÁRIO</t>
  </si>
  <si>
    <t>001/0002/A</t>
  </si>
  <si>
    <t>GARAGEM</t>
  </si>
  <si>
    <t xml:space="preserve">CARLINDO ELOI DA SILVA </t>
  </si>
  <si>
    <t>38.470.928</t>
  </si>
  <si>
    <t>659.657.734-87</t>
  </si>
  <si>
    <t>TERRA PROMETIDA</t>
  </si>
  <si>
    <t>MARIA GILDENIA BENTO ALVES</t>
  </si>
  <si>
    <t>64.948.618-</t>
  </si>
  <si>
    <t>094.955.464-27</t>
  </si>
  <si>
    <t xml:space="preserve">LUZIANE JESUS DA SILVA </t>
  </si>
  <si>
    <t>237.785.408-74</t>
  </si>
  <si>
    <t>6014.2025/0008616-0</t>
  </si>
  <si>
    <t>001/0002/B</t>
  </si>
  <si>
    <t xml:space="preserve">FRANCISCA SOARES DOS SANTOS </t>
  </si>
  <si>
    <t>23.458.574-2</t>
  </si>
  <si>
    <t>155.316.448-25</t>
  </si>
  <si>
    <t xml:space="preserve">JESANIA CRISTINA OSÓRIO DA SILVA </t>
  </si>
  <si>
    <t>360.808.578.55</t>
  </si>
  <si>
    <t>001/0002/C</t>
  </si>
  <si>
    <t xml:space="preserve">GABRIEL MIRANDA DOS SANTOS </t>
  </si>
  <si>
    <t>58.626.407-3</t>
  </si>
  <si>
    <t>587.339.488-10</t>
  </si>
  <si>
    <t>001/0002/D</t>
  </si>
  <si>
    <t xml:space="preserve">ROSILDA RIBEIRO DOS SANTOS </t>
  </si>
  <si>
    <t>13.497.334-82</t>
  </si>
  <si>
    <t>034.194.515-39</t>
  </si>
  <si>
    <t>001/0002/E</t>
  </si>
  <si>
    <t xml:space="preserve">GIVALDO TAVARES DE SOUZA </t>
  </si>
  <si>
    <t>62.620.783-6</t>
  </si>
  <si>
    <t>093.716.044-09</t>
  </si>
  <si>
    <t>6014.2026/0001162-5</t>
  </si>
  <si>
    <t>001/0002/F</t>
  </si>
  <si>
    <t xml:space="preserve">KARINA TENORIO AZEVEDO </t>
  </si>
  <si>
    <t>38.439.503-X</t>
  </si>
  <si>
    <t>447.989.178-18</t>
  </si>
  <si>
    <t>001/0002/G</t>
  </si>
  <si>
    <t xml:space="preserve">OCUPADO </t>
  </si>
  <si>
    <t xml:space="preserve">GILFRAN CARNEIRO VIANA </t>
  </si>
  <si>
    <t>62.458.105-58 </t>
  </si>
  <si>
    <t xml:space="preserve">ANA MARIA DOS SANTOS </t>
  </si>
  <si>
    <t>57.162.248.3</t>
  </si>
  <si>
    <t>595.893.418.02</t>
  </si>
  <si>
    <t>6014.2026/0000450-5</t>
  </si>
  <si>
    <t>001/0002/H</t>
  </si>
  <si>
    <t xml:space="preserve">MÉRCIA LOPES SILVA </t>
  </si>
  <si>
    <t>41.317.212-0</t>
  </si>
  <si>
    <t>051.115.775-48</t>
  </si>
  <si>
    <t>CADASTRO</t>
  </si>
  <si>
    <t>6014.2026/0000683-4</t>
  </si>
  <si>
    <t>001/0002/I</t>
  </si>
  <si>
    <t xml:space="preserve">FRANCISCO CIRILO DA COSTA NETO </t>
  </si>
  <si>
    <t>56.300.779-5</t>
  </si>
  <si>
    <t>042.698.233-99</t>
  </si>
  <si>
    <t>6014.2025/0008621-6</t>
  </si>
  <si>
    <t>001/0003/A</t>
  </si>
  <si>
    <t xml:space="preserve">ALEX RODRIGUES DE SOUZA </t>
  </si>
  <si>
    <t>42.483.537</t>
  </si>
  <si>
    <t>071.643.266-81</t>
  </si>
  <si>
    <t xml:space="preserve">JUCELIA DE JESUS </t>
  </si>
  <si>
    <t>12593055-03</t>
  </si>
  <si>
    <t>779.056.015-87</t>
  </si>
  <si>
    <t>MOISÉS GUERRA SANTOS</t>
  </si>
  <si>
    <t>41.157.942-3</t>
  </si>
  <si>
    <t>297.627.628-51</t>
  </si>
  <si>
    <t>001/0004/A</t>
  </si>
  <si>
    <t>JOSÉ ALMIR ROCHA DA SILVA</t>
  </si>
  <si>
    <t>67.486.680-0</t>
  </si>
  <si>
    <t>107.758.984-06</t>
  </si>
  <si>
    <t xml:space="preserve">KARINY SOARES  ALVES </t>
  </si>
  <si>
    <t>48.263.444-3</t>
  </si>
  <si>
    <t>400.738.458-41</t>
  </si>
  <si>
    <t>6014.2025/0008617-8</t>
  </si>
  <si>
    <t>001/0004/AF2</t>
  </si>
  <si>
    <t xml:space="preserve">VALDELICE SILVA DE SOUZA </t>
  </si>
  <si>
    <t>36.113.625-0</t>
  </si>
  <si>
    <t>306.868.168-54</t>
  </si>
  <si>
    <t>001/0005/A</t>
  </si>
  <si>
    <t>LUCAS GERALDO DOS SANTOS</t>
  </si>
  <si>
    <t>42.641.652-1</t>
  </si>
  <si>
    <t>424.164.178-43</t>
  </si>
  <si>
    <t xml:space="preserve">CECILIO BORGES DE SANTANA </t>
  </si>
  <si>
    <t>01.353.707-52</t>
  </si>
  <si>
    <t>144.230.305-00</t>
  </si>
  <si>
    <t>JOSE ANDRE COELHO</t>
  </si>
  <si>
    <t>38.520.790-6</t>
  </si>
  <si>
    <t>689.398.683-15</t>
  </si>
  <si>
    <t>6014.2026/0001005-0</t>
  </si>
  <si>
    <t>001/0005/AF2</t>
  </si>
  <si>
    <t>COABITAÇÃO</t>
  </si>
  <si>
    <t xml:space="preserve">LUIS AMADEU DA SILVA </t>
  </si>
  <si>
    <t>37.843.968-6</t>
  </si>
  <si>
    <t>022.361.004-69</t>
  </si>
  <si>
    <t>001/0005/B</t>
  </si>
  <si>
    <t xml:space="preserve">GABRIEL DOS SANTOS OLIVEIRA </t>
  </si>
  <si>
    <t>52.393.186</t>
  </si>
  <si>
    <t>451.473.188-95</t>
  </si>
  <si>
    <t>001/0006/A</t>
  </si>
  <si>
    <t>VAZIO</t>
  </si>
  <si>
    <t>CONSTRUÇÃO</t>
  </si>
  <si>
    <t xml:space="preserve">ROSA MARIA BATISTA DO NASCIMENTO </t>
  </si>
  <si>
    <t>29.195.128-4</t>
  </si>
  <si>
    <t>196.176.518-74</t>
  </si>
  <si>
    <t>NÃO TEM DIREITO ATENDIMENTO</t>
  </si>
  <si>
    <t xml:space="preserve">AMANDA OLIVEIRA ROCHA FERREIRA DOS SANTOS </t>
  </si>
  <si>
    <t>39.088.600-2</t>
  </si>
  <si>
    <t>468.091.408-40</t>
  </si>
  <si>
    <t>6014.2026/0000443-2</t>
  </si>
  <si>
    <t xml:space="preserve">GREICE KELLE SANTOS SILVA </t>
  </si>
  <si>
    <t>49.099.808-2</t>
  </si>
  <si>
    <t>421.459.728-11</t>
  </si>
  <si>
    <t>6014.2026/0001045-9</t>
  </si>
  <si>
    <t>001/0006/B</t>
  </si>
  <si>
    <t xml:space="preserve">MARCOS AURÉLIO BARBOSA DA COSTA </t>
  </si>
  <si>
    <t>69.452-5</t>
  </si>
  <si>
    <t>037.436.641-19</t>
  </si>
  <si>
    <t xml:space="preserve">LEILA COUTO </t>
  </si>
  <si>
    <t>25.702.521-2</t>
  </si>
  <si>
    <t>164.800.528-46</t>
  </si>
  <si>
    <t>6014.2026/0000963-9</t>
  </si>
  <si>
    <t>001/0007/A</t>
  </si>
  <si>
    <t xml:space="preserve">GEISIMARA DE JESUS BATISTA </t>
  </si>
  <si>
    <t>349.886.018-62</t>
  </si>
  <si>
    <t xml:space="preserve">                    </t>
  </si>
  <si>
    <t>NICOLE SANTOS SILVA</t>
  </si>
  <si>
    <t>52.818.068-X</t>
  </si>
  <si>
    <t>451.034.548-82</t>
  </si>
  <si>
    <t xml:space="preserve">BEATRIZ SOUZA MORAES DA SILVA  </t>
  </si>
  <si>
    <t>38.726.824-8</t>
  </si>
  <si>
    <t>443.862.368-56</t>
  </si>
  <si>
    <t>6014.2026/0000843-8</t>
  </si>
  <si>
    <t>001/0008/A</t>
  </si>
  <si>
    <t>MARCOS MARINHO DA SILVA</t>
  </si>
  <si>
    <t> 57.393.306-6</t>
  </si>
  <si>
    <t>023.663.194-28</t>
  </si>
  <si>
    <t>57.393.306-6</t>
  </si>
  <si>
    <t>MISTO</t>
  </si>
  <si>
    <t xml:space="preserve">JOICE VIEIRA GOMES </t>
  </si>
  <si>
    <t>57.910.911-2</t>
  </si>
  <si>
    <t>087.724.714-50</t>
  </si>
  <si>
    <t>6014.2026/0000981-7</t>
  </si>
  <si>
    <t>ROSELI APARECIDA CARDOSO DOS SANTOS</t>
  </si>
  <si>
    <t>23.553.256-3</t>
  </si>
  <si>
    <t>297.937.398-27</t>
  </si>
  <si>
    <t>6014.2026/0001565-5</t>
  </si>
  <si>
    <t>001/0009/A</t>
  </si>
  <si>
    <t>ALINE BRITO FEITOSA</t>
  </si>
  <si>
    <t>47.398.253-5</t>
  </si>
  <si>
    <t>416.896.138-90</t>
  </si>
  <si>
    <t xml:space="preserve">RAFAELA CARDOSO DE SOUZA </t>
  </si>
  <si>
    <t>60.539.394-1</t>
  </si>
  <si>
    <t>525.982.878-00</t>
  </si>
  <si>
    <t>6014.2026/0001049-1</t>
  </si>
  <si>
    <t xml:space="preserve">LORISVAL JESUS DOS SANTOS </t>
  </si>
  <si>
    <t>66.909.459-6</t>
  </si>
  <si>
    <t>082.624.395-97</t>
  </si>
  <si>
    <t> 6014.2026/0000625-7</t>
  </si>
  <si>
    <t>001/0009/B</t>
  </si>
  <si>
    <t>ALESSANDRO SANTOS MATOS</t>
  </si>
  <si>
    <t>33.969.709-X</t>
  </si>
  <si>
    <t>398.341.268-83</t>
  </si>
  <si>
    <t>471.022.558-37</t>
  </si>
  <si>
    <t>001/0009/C</t>
  </si>
  <si>
    <t>VICTÓRIA GABRIELA NATALINE INEZ</t>
  </si>
  <si>
    <t>514.132.538-57</t>
  </si>
  <si>
    <t>56.212.584-X</t>
  </si>
  <si>
    <t>001/0010/A</t>
  </si>
  <si>
    <t xml:space="preserve">POLIANNA BARBOSA FEITOSA DE OLIVEIRA </t>
  </si>
  <si>
    <t>022.548.782-98</t>
  </si>
  <si>
    <t>ALESSANDRA DOS SANTOS OLIVEIRA</t>
  </si>
  <si>
    <t>38.869.459-2</t>
  </si>
  <si>
    <t>387.790.678-83</t>
  </si>
  <si>
    <t>6014.2026/0001182-0</t>
  </si>
  <si>
    <t>001/0010/AF2</t>
  </si>
  <si>
    <t xml:space="preserve">HELENA TALINEZ NATASHA ROSÂNGELA DOS SANTOS GALDINO </t>
  </si>
  <si>
    <t>57.618.016-6</t>
  </si>
  <si>
    <t>536.299.838-20</t>
  </si>
  <si>
    <t>001/0011/A</t>
  </si>
  <si>
    <t>LARISSA DOS SANTOS COELHO</t>
  </si>
  <si>
    <t>59.751.718-6</t>
  </si>
  <si>
    <t>495.648.528-03</t>
  </si>
  <si>
    <t>NOVO HORIZONTE</t>
  </si>
  <si>
    <t>ROMERILTON PEREIRA DA SILVA</t>
  </si>
  <si>
    <t>34.369.668-X</t>
  </si>
  <si>
    <t>367.817.428-09</t>
  </si>
  <si>
    <t>JAYNE MEDEIROS SOUZA</t>
  </si>
  <si>
    <t>526.752.688-60</t>
  </si>
  <si>
    <t>001/0012/A</t>
  </si>
  <si>
    <t>VITORIA MORAIS DOS SANTOS</t>
  </si>
  <si>
    <t>60.075.168-5</t>
  </si>
  <si>
    <t>547.277.498-58</t>
  </si>
  <si>
    <t xml:space="preserve">JUSTINO DOS SANTOS </t>
  </si>
  <si>
    <t>56.922.639-9</t>
  </si>
  <si>
    <t>892.112.605-82</t>
  </si>
  <si>
    <t>001/0012/B</t>
  </si>
  <si>
    <t>CAROLINA MORAIS DOS SANTOS</t>
  </si>
  <si>
    <t>45.664.410-6</t>
  </si>
  <si>
    <t>482.333.558-95</t>
  </si>
  <si>
    <t>001/0013/A</t>
  </si>
  <si>
    <t>TATIANE DE OLIVEIRA ANDRIOTI</t>
  </si>
  <si>
    <t>42.836.595-4</t>
  </si>
  <si>
    <t>397.478.998-76</t>
  </si>
  <si>
    <t>SIVALDO MENEZES DOS SANTOS</t>
  </si>
  <si>
    <t>39.159.374-2</t>
  </si>
  <si>
    <t>341.349.258-60</t>
  </si>
  <si>
    <t>001/0014/A</t>
  </si>
  <si>
    <t>ANA PAULA MOREIRA SANTOS</t>
  </si>
  <si>
    <t>37.008.771-9</t>
  </si>
  <si>
    <t>328.002.508-79</t>
  </si>
  <si>
    <t xml:space="preserve">EVERTON FARIAS GUALBERTO </t>
  </si>
  <si>
    <t>42.747.437-1</t>
  </si>
  <si>
    <t>426.126.298-31</t>
  </si>
  <si>
    <t>001/0015/A</t>
  </si>
  <si>
    <t>CLEUVOCIR PACHECO FERREIRA</t>
  </si>
  <si>
    <t>26.726.183-4</t>
  </si>
  <si>
    <t>652.847.201-72</t>
  </si>
  <si>
    <t>6014.2025/0008103-6</t>
  </si>
  <si>
    <t xml:space="preserve">JOSÉ ROBERTO PEREIRA DE LUCENA </t>
  </si>
  <si>
    <t>38.147.098-2</t>
  </si>
  <si>
    <t>692.493.774-87</t>
  </si>
  <si>
    <t>001/0016/A</t>
  </si>
  <si>
    <t>EDINALDO PEREIRA ROCHA</t>
  </si>
  <si>
    <t>59.932.769-8</t>
  </si>
  <si>
    <t>497.061.105-00</t>
  </si>
  <si>
    <t>JOÃO ROBERTO RIBAS PAIVA</t>
  </si>
  <si>
    <t>34.083.633-7</t>
  </si>
  <si>
    <t>284.624.008-64</t>
  </si>
  <si>
    <t>001/0017/A</t>
  </si>
  <si>
    <t>CLAYTON AUGUSTO DOS SANTOS</t>
  </si>
  <si>
    <t>63.361.783-0</t>
  </si>
  <si>
    <t>533.128.298-95</t>
  </si>
  <si>
    <t xml:space="preserve">ROBERTO FRANCISCO NETO </t>
  </si>
  <si>
    <t>034.705.005-09</t>
  </si>
  <si>
    <t>6014.2026/0002706-8</t>
  </si>
  <si>
    <t>001/0018/A</t>
  </si>
  <si>
    <t>CRISLANE DE SOUZA BOMFIM</t>
  </si>
  <si>
    <t>62.008.592-7</t>
  </si>
  <si>
    <t>581.689.438-21</t>
  </si>
  <si>
    <t>001/0019/A</t>
  </si>
  <si>
    <t>KETELLYM VITORIA OLIVEIRA SILVA</t>
  </si>
  <si>
    <t>58.275.733.2</t>
  </si>
  <si>
    <t>025.339.388-40</t>
  </si>
  <si>
    <t>001/0020/A</t>
  </si>
  <si>
    <t>GABRIELE LOPES DE SOUZA JORGE</t>
  </si>
  <si>
    <t>59.420.536-0</t>
  </si>
  <si>
    <t>582.161.348-51</t>
  </si>
  <si>
    <t>001/0021/A</t>
  </si>
  <si>
    <t>34.567.287-2</t>
  </si>
  <si>
    <t>009.942.777-09</t>
  </si>
  <si>
    <t>001/0022/A</t>
  </si>
  <si>
    <t>JULIANA CAMILA DOS SANTOS</t>
  </si>
  <si>
    <t>47.871.516-X</t>
  </si>
  <si>
    <t>474.652.078-00</t>
  </si>
  <si>
    <t>6014.2026/0000446-7</t>
  </si>
  <si>
    <t>001/0023/A</t>
  </si>
  <si>
    <t>NEUSA RIGHI PEREIRA DA SILVA</t>
  </si>
  <si>
    <t>22.709.733.6</t>
  </si>
  <si>
    <t>359.204.528-89</t>
  </si>
  <si>
    <t>001/0024/A</t>
  </si>
  <si>
    <t>ALEXANDRE MARIN FERREIRA</t>
  </si>
  <si>
    <t>43.752.484-X</t>
  </si>
  <si>
    <t>336.487.618-54</t>
  </si>
  <si>
    <t>001/0025/A</t>
  </si>
  <si>
    <t>JUCIENE MARIA DAS DORES</t>
  </si>
  <si>
    <t>53.185.129-1</t>
  </si>
  <si>
    <t>008.996.255-92</t>
  </si>
  <si>
    <t>001/0026/A</t>
  </si>
  <si>
    <t xml:space="preserve">PAULO ROGERIO SANTOS DA SILVA </t>
  </si>
  <si>
    <t>23.343.353-3</t>
  </si>
  <si>
    <t>193.477.028-03</t>
  </si>
  <si>
    <t>001/0026/B</t>
  </si>
  <si>
    <t>CHEILA GARCIA PAES</t>
  </si>
  <si>
    <t>25.996.273-9</t>
  </si>
  <si>
    <t>186.095.688-22</t>
  </si>
  <si>
    <t>001/0027/A</t>
  </si>
  <si>
    <t xml:space="preserve">ESEQUIAS TAVARES RODRIGUES </t>
  </si>
  <si>
    <t>21.394.107-7</t>
  </si>
  <si>
    <t>168.906.318-11</t>
  </si>
  <si>
    <t>6014.2026/0000470-0</t>
  </si>
  <si>
    <t>001/0028/A</t>
  </si>
  <si>
    <t>LARISSA GLEICE DA SILVA SOUZA</t>
  </si>
  <si>
    <t>55.006.204-X</t>
  </si>
  <si>
    <t>140.812.244-80</t>
  </si>
  <si>
    <t>001/0029/A</t>
  </si>
  <si>
    <t>JOEL ALEXANDRE BORGES</t>
  </si>
  <si>
    <t>56.076.297-5</t>
  </si>
  <si>
    <t>193.396.198-89</t>
  </si>
  <si>
    <t>001/0030/A</t>
  </si>
  <si>
    <t xml:space="preserve">CICERO LEONOR SERAFIM </t>
  </si>
  <si>
    <t>36.662.648</t>
  </si>
  <si>
    <t>122.373.034-44</t>
  </si>
  <si>
    <t>001/0030/B</t>
  </si>
  <si>
    <t>PATRICIA APARECIDA ALVES GRANZOTTI</t>
  </si>
  <si>
    <t> 69.378.106-3</t>
  </si>
  <si>
    <t>270.886.538-26</t>
  </si>
  <si>
    <t>001/0031/A</t>
  </si>
  <si>
    <t>DANIELE GRANZOTTI GENU</t>
  </si>
  <si>
    <t>57.665.092-4</t>
  </si>
  <si>
    <t>529.889.978-10</t>
  </si>
  <si>
    <t>001/0032/A</t>
  </si>
  <si>
    <t>PRISCILA DE ARAUJO MONTEIRO</t>
  </si>
  <si>
    <t>37.104.985-4</t>
  </si>
  <si>
    <t>380.741.148-80</t>
  </si>
  <si>
    <t>001/0033/A</t>
  </si>
  <si>
    <t>FRANCISCO DOS SANTOS CARVALHO</t>
  </si>
  <si>
    <t>665.497.523-53</t>
  </si>
  <si>
    <t>6014.2025/0008122-2</t>
  </si>
  <si>
    <t>001/0034/A</t>
  </si>
  <si>
    <t>CARLOS EDUARDO DE OLIVEIRA</t>
  </si>
  <si>
    <t>44.926.922-X</t>
  </si>
  <si>
    <t>239.791.038-11</t>
  </si>
  <si>
    <t>THIAGO WILLIAN LIMA NABAT</t>
  </si>
  <si>
    <t>64.040.634-8</t>
  </si>
  <si>
    <t>584.545.628-26</t>
  </si>
  <si>
    <t>6014.2025/0008124-9</t>
  </si>
  <si>
    <t xml:space="preserve">DEMOLIDO </t>
  </si>
  <si>
    <t>001/0035/A</t>
  </si>
  <si>
    <t>MAILSON DE JESUS SANTOS</t>
  </si>
  <si>
    <t>037.614.295-25</t>
  </si>
  <si>
    <t>6014.2025/0008125-7</t>
  </si>
  <si>
    <t>001/0036/A</t>
  </si>
  <si>
    <t>CIBELE APARECIDA DA SILVA</t>
  </si>
  <si>
    <t>22.012.369-X</t>
  </si>
  <si>
    <t>285.579.088-30</t>
  </si>
  <si>
    <t>001/0037/A</t>
  </si>
  <si>
    <t xml:space="preserve">MANFLINIS GOMES DE OLIVEIRA </t>
  </si>
  <si>
    <t>29.158.615-6</t>
  </si>
  <si>
    <t>188.012.488-22</t>
  </si>
  <si>
    <t>6014.2026/0000476-9</t>
  </si>
  <si>
    <t>001/0038/A</t>
  </si>
  <si>
    <t>MATEUS JOSE DA ROCHA</t>
  </si>
  <si>
    <t>19.652.528-7</t>
  </si>
  <si>
    <t>142.528.298-95</t>
  </si>
  <si>
    <t>6014.2025/0008126-5</t>
  </si>
  <si>
    <t>001/0039/A</t>
  </si>
  <si>
    <t>VALDITE MARIA DE OLIVEIRA</t>
  </si>
  <si>
    <t>28.327.943-6</t>
  </si>
  <si>
    <t>290.029.388-02</t>
  </si>
  <si>
    <t>6014.2025/0008131-1</t>
  </si>
  <si>
    <t>001/0040/A</t>
  </si>
  <si>
    <t>JÉSSICA SANTOS SILVA</t>
  </si>
  <si>
    <t>50.185.663-8</t>
  </si>
  <si>
    <t>389.451.458-26</t>
  </si>
  <si>
    <t>001/0041/A</t>
  </si>
  <si>
    <t xml:space="preserve">VITOR SANTOS DA SILVA </t>
  </si>
  <si>
    <t>39.110.454-8</t>
  </si>
  <si>
    <t>518.299.308-00</t>
  </si>
  <si>
    <t>001/0042/A</t>
  </si>
  <si>
    <t>MARCELA COSTA DE LIMA</t>
  </si>
  <si>
    <t>49.142.800-5</t>
  </si>
  <si>
    <t>461.180.098-99</t>
  </si>
  <si>
    <t>001/0043/A</t>
  </si>
  <si>
    <t>LARISSA PAULA DA SILVA</t>
  </si>
  <si>
    <t>54.839.513-5</t>
  </si>
  <si>
    <t>530.988.528-52</t>
  </si>
  <si>
    <t>001/0044/A</t>
  </si>
  <si>
    <t>SILVIO LUCIANO AZEVEDO</t>
  </si>
  <si>
    <t>170.191.398-41</t>
  </si>
  <si>
    <t>002/0001/A</t>
  </si>
  <si>
    <t>GABRIELA DE LIMA MACEDO</t>
  </si>
  <si>
    <t>36.190.607-9</t>
  </si>
  <si>
    <t>454.674.508-75</t>
  </si>
  <si>
    <t>6014.2025/0008155-9</t>
  </si>
  <si>
    <t>LUANA KELLY DA SILVA SOUSA</t>
  </si>
  <si>
    <t>50.829.275-X</t>
  </si>
  <si>
    <t>034.502.993-36</t>
  </si>
  <si>
    <t>6014.2026/0001329-6</t>
  </si>
  <si>
    <t>HENRIQUE DA SILVA ALBUQUERQUE</t>
  </si>
  <si>
    <t>38.148.243-1</t>
  </si>
  <si>
    <t>520.509.058-82</t>
  </si>
  <si>
    <t>6014.2026/0004025-0</t>
  </si>
  <si>
    <t xml:space="preserve">FINALIZADO </t>
  </si>
  <si>
    <t>AGUARDANDO PUBLICAÇÃO DOC</t>
  </si>
  <si>
    <t>002/0001/B</t>
  </si>
  <si>
    <t xml:space="preserve">MARIA LUCILEY DE JESUS SANTANA </t>
  </si>
  <si>
    <t>59.184.381-X</t>
  </si>
  <si>
    <t>020.049.635-22</t>
  </si>
  <si>
    <t>JOSUEL SANTOS DE JESUS</t>
  </si>
  <si>
    <t>44.860.244.1</t>
  </si>
  <si>
    <t>236.862.568.27</t>
  </si>
  <si>
    <t>6014.2026/0005802-8</t>
  </si>
  <si>
    <t>AGUARDANDO CONFERÊNCIA</t>
  </si>
  <si>
    <t>002/0001/C</t>
  </si>
  <si>
    <t xml:space="preserve">JACQUELYNE DINIZ DE ALMEIDLA </t>
  </si>
  <si>
    <t>40.663.607</t>
  </si>
  <si>
    <t>340.910.488-70</t>
  </si>
  <si>
    <t>TONI NASCIMENTO DE SOUSA</t>
  </si>
  <si>
    <t>40.511.480.1</t>
  </si>
  <si>
    <t>371.542.778-74</t>
  </si>
  <si>
    <t>6014.2026/0004026-9</t>
  </si>
  <si>
    <t>002/0002/A</t>
  </si>
  <si>
    <t xml:space="preserve">ALEXSANDRA ISABEL BEZERRA </t>
  </si>
  <si>
    <t>33.090.188-6</t>
  </si>
  <si>
    <t>277.122.718-52</t>
  </si>
  <si>
    <t>KAIQUE ALBUQUERQUE DE SOUSA</t>
  </si>
  <si>
    <t>536.567.318-29</t>
  </si>
  <si>
    <t>6014.2026/0005800-1</t>
  </si>
  <si>
    <t>MÁRCIA RUBEN DE MACÊDO</t>
  </si>
  <si>
    <t>44.872.797-3</t>
  </si>
  <si>
    <t>388.514.338-01</t>
  </si>
  <si>
    <t>CLEMENS MARTINS DA CRUZ</t>
  </si>
  <si>
    <t>142.323.228/33</t>
  </si>
  <si>
    <t>6014.2026/0002211-2</t>
  </si>
  <si>
    <t>002/0003/A</t>
  </si>
  <si>
    <t xml:space="preserve">BRUNA CRISTINA VIANA DE MORGADO </t>
  </si>
  <si>
    <t>494.843.428-09</t>
  </si>
  <si>
    <t>CRISTIANA INACIO DA SILVA ALBUQUERQUE</t>
  </si>
  <si>
    <t>23.913.405</t>
  </si>
  <si>
    <t>283.771.758-43</t>
  </si>
  <si>
    <t xml:space="preserve">PROPRIETÁRIO NÃO RESIDENTE </t>
  </si>
  <si>
    <t>6014.2026/0005836-2</t>
  </si>
  <si>
    <t>MARIA ROSA MACÊDO</t>
  </si>
  <si>
    <t>23.724.191.2</t>
  </si>
  <si>
    <t>132.701.878-07</t>
  </si>
  <si>
    <t xml:space="preserve">CARLOS DE JESUS </t>
  </si>
  <si>
    <t>53.373.650-x</t>
  </si>
  <si>
    <t>033.994.905-85</t>
  </si>
  <si>
    <t>002/0004/A</t>
  </si>
  <si>
    <t>PAULIANA RUBEN DE MACÊDO</t>
  </si>
  <si>
    <t>359.246.698-40</t>
  </si>
  <si>
    <t xml:space="preserve">VAGNER DA SILVA SANTOS </t>
  </si>
  <si>
    <t>46.785.784-2</t>
  </si>
  <si>
    <t>228.463.308-08</t>
  </si>
  <si>
    <t>002/0004/B</t>
  </si>
  <si>
    <t>PAULO RUBEN DE MACEDO</t>
  </si>
  <si>
    <t>274.969.613-53</t>
  </si>
  <si>
    <t xml:space="preserve">THAMYRIS ERNESTO DOS SANTOS </t>
  </si>
  <si>
    <t>34.346.543-7</t>
  </si>
  <si>
    <t>366.046.798-70</t>
  </si>
  <si>
    <t>6014.2026/0001765-8</t>
  </si>
  <si>
    <t>002/0004/C</t>
  </si>
  <si>
    <t>THAYANA RUBEN DE MACEDO</t>
  </si>
  <si>
    <t>39.038.308-9</t>
  </si>
  <si>
    <t>466.759.848-45</t>
  </si>
  <si>
    <t>002/0005/A</t>
  </si>
  <si>
    <t>ERIVELTON MOREIRA DA SILVA</t>
  </si>
  <si>
    <t>28.105.457-5</t>
  </si>
  <si>
    <t>260.586.678-52</t>
  </si>
  <si>
    <t xml:space="preserve">VANESSA RODRIGUES DA SILVA </t>
  </si>
  <si>
    <t>46.908.498-4</t>
  </si>
  <si>
    <t>323.751.018-12</t>
  </si>
  <si>
    <t>6014.2026/0001991-0</t>
  </si>
  <si>
    <t>002/0005/AF2</t>
  </si>
  <si>
    <t xml:space="preserve">NICOLE GABRIELI HONORIA SOUZA </t>
  </si>
  <si>
    <t>60.215.969-6</t>
  </si>
  <si>
    <t>500.579.988-50</t>
  </si>
  <si>
    <t>002/0006/A</t>
  </si>
  <si>
    <t>SUELI LAUREANO</t>
  </si>
  <si>
    <t>26.828.901.3</t>
  </si>
  <si>
    <t>321.372.078-00</t>
  </si>
  <si>
    <t>THIAGO PAES CAVALCANTE</t>
  </si>
  <si>
    <t>405.351.638-27</t>
  </si>
  <si>
    <t>6014.2026/0001258-3</t>
  </si>
  <si>
    <t>MARCELIA MARQUES NOBRE</t>
  </si>
  <si>
    <t>23.265.903.5</t>
  </si>
  <si>
    <t>147.695.678.20</t>
  </si>
  <si>
    <t>6014.2026/0003062-0</t>
  </si>
  <si>
    <t>002/0007/A</t>
  </si>
  <si>
    <t xml:space="preserve">JULIANY CRISTINA COSTA </t>
  </si>
  <si>
    <t>CIN</t>
  </si>
  <si>
    <t>409.986.678-54</t>
  </si>
  <si>
    <t>6014.2026/0002403-4</t>
  </si>
  <si>
    <t>002/0007/B</t>
  </si>
  <si>
    <t>MARIA CRISTINA COSTA</t>
  </si>
  <si>
    <t>099.596.988-40</t>
  </si>
  <si>
    <t>6014.2026/0002203-1</t>
  </si>
  <si>
    <t>002/0007/C</t>
  </si>
  <si>
    <t xml:space="preserve">ANA LUCIA KAROLINY COSTA ALMEIDA </t>
  </si>
  <si>
    <t>41.421.741-X</t>
  </si>
  <si>
    <t>354.251.898-00</t>
  </si>
  <si>
    <t>6014.2026/0004018-8</t>
  </si>
  <si>
    <t>002/0008/A</t>
  </si>
  <si>
    <t>GIULIA MAYRA DA SILVA MONTEIRO</t>
  </si>
  <si>
    <t>53.464.861-7</t>
  </si>
  <si>
    <t>413.396.968-51</t>
  </si>
  <si>
    <t xml:space="preserve">INQUILINO </t>
  </si>
  <si>
    <t xml:space="preserve">ALINE SEVERO DOS SANTOS </t>
  </si>
  <si>
    <t>47.214.995-7</t>
  </si>
  <si>
    <t>380.024.728-37</t>
  </si>
  <si>
    <t>RENAN THIERRE SILVA</t>
  </si>
  <si>
    <t>37.053.792-0</t>
  </si>
  <si>
    <t>360.485.328-14</t>
  </si>
  <si>
    <t>6014.2026/0004013-7</t>
  </si>
  <si>
    <t>002/0009/A</t>
  </si>
  <si>
    <t>EDNEIDE DA COSTA FIGUEROA</t>
  </si>
  <si>
    <t>34.797.183-0</t>
  </si>
  <si>
    <t>743.510.954-15</t>
  </si>
  <si>
    <t>6014.2026/0001185-4</t>
  </si>
  <si>
    <t xml:space="preserve">MARIA JUDITE DA SILVA </t>
  </si>
  <si>
    <t>042.869.188-90</t>
  </si>
  <si>
    <t>6014.2026/0004028-5</t>
  </si>
  <si>
    <t>002/0010/A</t>
  </si>
  <si>
    <t xml:space="preserve">LEONARDO RODRIGUES MÁXIMO LEÃO </t>
  </si>
  <si>
    <t>54.881.044-8</t>
  </si>
  <si>
    <t>555.672.058-48</t>
  </si>
  <si>
    <t>6014.2026/0001951-0</t>
  </si>
  <si>
    <t xml:space="preserve">JOSENEIDE VIEIRA DA COSTA BATISTA </t>
  </si>
  <si>
    <t>37.761.058-6</t>
  </si>
  <si>
    <t>312.972.528-88</t>
  </si>
  <si>
    <t>6014.2026/0001052-1</t>
  </si>
  <si>
    <t>002/0010/B</t>
  </si>
  <si>
    <t xml:space="preserve">MARTA BORGES DOS SANTOS SILVA </t>
  </si>
  <si>
    <t>09.411.726-86</t>
  </si>
  <si>
    <t>325.595.628-55</t>
  </si>
  <si>
    <t>6014.2026/0002492-1</t>
  </si>
  <si>
    <t>002/0010/C</t>
  </si>
  <si>
    <t xml:space="preserve">IGOR DANIEL RODRIGUES LEÃO </t>
  </si>
  <si>
    <t>54.952.248-7</t>
  </si>
  <si>
    <t>498.547.648-00</t>
  </si>
  <si>
    <t>6014.2026/0002489-1</t>
  </si>
  <si>
    <t>002/0011/A</t>
  </si>
  <si>
    <t>EUDES BORGES DOS SANTOS</t>
  </si>
  <si>
    <t>48.195.396-6</t>
  </si>
  <si>
    <t>415.266.718-40</t>
  </si>
  <si>
    <t>6014.2026/0001976-6</t>
  </si>
  <si>
    <t>002/0012/A</t>
  </si>
  <si>
    <t xml:space="preserve">JOSÉ LEANDRO FERREIRA DE ARAÚJO </t>
  </si>
  <si>
    <t>58.603.542.4</t>
  </si>
  <si>
    <t>096.664.544-83</t>
  </si>
  <si>
    <t>6014.2026/0000460-2</t>
  </si>
  <si>
    <t>CLARISMUNDO RIBEIRO DE MENDONÇA</t>
  </si>
  <si>
    <t>6.265.588-7</t>
  </si>
  <si>
    <t>649.430.388-91</t>
  </si>
  <si>
    <t>6014.2026/0004024-2</t>
  </si>
  <si>
    <t>002/0013/A</t>
  </si>
  <si>
    <t>SIMONE SILVA LINHARES</t>
  </si>
  <si>
    <t>25.017.542-3</t>
  </si>
  <si>
    <t>250.650.878-30</t>
  </si>
  <si>
    <t>6014.2026/0000695-8</t>
  </si>
  <si>
    <t>PAULO ARIEL DE JESUS DA SILVA</t>
  </si>
  <si>
    <t>449.728.948-65</t>
  </si>
  <si>
    <t>6014.2026/0003456-0</t>
  </si>
  <si>
    <t>002/0013/B</t>
  </si>
  <si>
    <t xml:space="preserve">GILSON SILVA DE SOUZA </t>
  </si>
  <si>
    <t>36.233.253-0</t>
  </si>
  <si>
    <t>394.623.878-50</t>
  </si>
  <si>
    <t>ROBENILDO BESERRA DA SILVA</t>
  </si>
  <si>
    <t>38.809.825-9</t>
  </si>
  <si>
    <t>105.017.844-03</t>
  </si>
  <si>
    <t>002/0014/A</t>
  </si>
  <si>
    <t>MARIA AGUIAR DA SILVA DOS SANTOS</t>
  </si>
  <si>
    <t>32.759.997-2</t>
  </si>
  <si>
    <t>334.980.998-76</t>
  </si>
  <si>
    <t>6014.2026/0005797-8</t>
  </si>
  <si>
    <t xml:space="preserve">MARINALVA DOS SANTOS </t>
  </si>
  <si>
    <t>63.843.780-5</t>
  </si>
  <si>
    <t>045.174.525-65</t>
  </si>
  <si>
    <t>6014.2026/0000954-0</t>
  </si>
  <si>
    <t>002/0014/B</t>
  </si>
  <si>
    <t xml:space="preserve">KARINA NUNES DA SILVA DE JESUS </t>
  </si>
  <si>
    <t>45.069.921-3</t>
  </si>
  <si>
    <t>441.400.658-93</t>
  </si>
  <si>
    <t>6014.2026/0000461-0</t>
  </si>
  <si>
    <t xml:space="preserve">DANIEL ALVES DA SILVA FILHO </t>
  </si>
  <si>
    <t>53.473.643-9</t>
  </si>
  <si>
    <t>441.747.468-00</t>
  </si>
  <si>
    <t>6014.2026/0001971-5</t>
  </si>
  <si>
    <t>002/0014/C</t>
  </si>
  <si>
    <t>LUCIANO AGUIAR DOS SANTOS</t>
  </si>
  <si>
    <t>39.090.542-2</t>
  </si>
  <si>
    <t>234.346.628-98</t>
  </si>
  <si>
    <t xml:space="preserve">ANTONIO CARLOS PEREIRA DA SILVA </t>
  </si>
  <si>
    <t>25.556.205-6</t>
  </si>
  <si>
    <t>097.939.308-61</t>
  </si>
  <si>
    <t>6014.2026/0000642-7</t>
  </si>
  <si>
    <t>002/0015/A</t>
  </si>
  <si>
    <t xml:space="preserve">DANILO AQUINO MORENO </t>
  </si>
  <si>
    <t>44.001.742-7</t>
  </si>
  <si>
    <t>403.392.358-61</t>
  </si>
  <si>
    <t>6014.2026/0001338-5</t>
  </si>
  <si>
    <t>ILMAR SOUSA DA CRUZ</t>
  </si>
  <si>
    <t>30.561.276-1</t>
  </si>
  <si>
    <t>258.158.648-62</t>
  </si>
  <si>
    <t>6014.2026/0001977-4</t>
  </si>
  <si>
    <t>002/0016/A</t>
  </si>
  <si>
    <t>INÊS MARQUES DE FREITAS</t>
  </si>
  <si>
    <t>20.803.360-2</t>
  </si>
  <si>
    <t>163.203.338-04</t>
  </si>
  <si>
    <t>20.803.602</t>
  </si>
  <si>
    <t>6014.2026/0005812-5</t>
  </si>
  <si>
    <t xml:space="preserve">JAQUELINE MENDES DOS SANTOS </t>
  </si>
  <si>
    <t>46.188.418-5</t>
  </si>
  <si>
    <t>378.027.228-88</t>
  </si>
  <si>
    <t>002/0016/B</t>
  </si>
  <si>
    <t xml:space="preserve">ÉRIKA LIMA DE OLIVEIRA </t>
  </si>
  <si>
    <t>43.787.329.8</t>
  </si>
  <si>
    <t>384.761.708.74</t>
  </si>
  <si>
    <t xml:space="preserve">EBER LEITE DA SILVA </t>
  </si>
  <si>
    <t>28.537.570-2</t>
  </si>
  <si>
    <t>269.807.308-00</t>
  </si>
  <si>
    <t>6014.2026/0003458-7</t>
  </si>
  <si>
    <t>002/0017/A</t>
  </si>
  <si>
    <t xml:space="preserve">ANDRESSA APOLINARIO DE SA </t>
  </si>
  <si>
    <t>44.083.191-X</t>
  </si>
  <si>
    <t>401.764.458-97</t>
  </si>
  <si>
    <t xml:space="preserve">SARLON GUIMARAES DIAS </t>
  </si>
  <si>
    <t>33.299.379-6</t>
  </si>
  <si>
    <t>260.714.408-66</t>
  </si>
  <si>
    <t xml:space="preserve">CADASTRADO </t>
  </si>
  <si>
    <t>6014.2026/0001767-4</t>
  </si>
  <si>
    <t xml:space="preserve">LUCILENE LUZIA DE OLIVEIRA FIGUEIREDO </t>
  </si>
  <si>
    <t>59.015.499-0</t>
  </si>
  <si>
    <t>380.912.818-03</t>
  </si>
  <si>
    <t>6014.2026/0000988-4</t>
  </si>
  <si>
    <t>002/0017/AF2</t>
  </si>
  <si>
    <t xml:space="preserve">THAYSSA BALTAZAR DOS SANTOS </t>
  </si>
  <si>
    <t>38.966.039-5</t>
  </si>
  <si>
    <t>524.934.888-22</t>
  </si>
  <si>
    <t>002/0018/A</t>
  </si>
  <si>
    <t xml:space="preserve">PATRICIA SOARES DA SILVA </t>
  </si>
  <si>
    <t>43.646.843-8</t>
  </si>
  <si>
    <t>341.267.938-01</t>
  </si>
  <si>
    <t xml:space="preserve">JÉSSIKA DE ANDRADE SOUZA </t>
  </si>
  <si>
    <t>56.766.404-1</t>
  </si>
  <si>
    <t>073.054.673-08</t>
  </si>
  <si>
    <t>6014.2026/0000925-6</t>
  </si>
  <si>
    <t xml:space="preserve">WESLEY MENDES DA SILVEIRA </t>
  </si>
  <si>
    <t>494.279.318-17</t>
  </si>
  <si>
    <t>6014.2026/0001250-8</t>
  </si>
  <si>
    <t>002/0018/B</t>
  </si>
  <si>
    <t>RICARDO SOARES DA SILVA</t>
  </si>
  <si>
    <t>29.037.935-0</t>
  </si>
  <si>
    <t>247.001.668-19</t>
  </si>
  <si>
    <t>6014.2026/0005781-1</t>
  </si>
  <si>
    <t>002/0018/C</t>
  </si>
  <si>
    <t>CÍCERA DENALVA DE SOUZA</t>
  </si>
  <si>
    <t>35.888.889-X</t>
  </si>
  <si>
    <t>329.957.048-07</t>
  </si>
  <si>
    <t>6014.2026/0001930-8</t>
  </si>
  <si>
    <t>002/0018/D</t>
  </si>
  <si>
    <t xml:space="preserve">ERICLES DE SOUSA SILVA </t>
  </si>
  <si>
    <t>39.963.644-4</t>
  </si>
  <si>
    <t>238.839.638-79</t>
  </si>
  <si>
    <t>6014.2026/0001938-3</t>
  </si>
  <si>
    <t>002/0019/A</t>
  </si>
  <si>
    <t xml:space="preserve">CLEBER CARDOSO PEREIRA </t>
  </si>
  <si>
    <t>62.374.657-8</t>
  </si>
  <si>
    <t>059.325.415-55</t>
  </si>
  <si>
    <t>6014.2026/0001028-9</t>
  </si>
  <si>
    <t xml:space="preserve">LEANDRO DOS SANTOS </t>
  </si>
  <si>
    <t>34.838.657-6</t>
  </si>
  <si>
    <t>379.202.498-56</t>
  </si>
  <si>
    <t>6014.2026/0001943-0</t>
  </si>
  <si>
    <t>002/0020/A</t>
  </si>
  <si>
    <t xml:space="preserve">IRENO DA COSTA CARVALHO </t>
  </si>
  <si>
    <t>63.213.769-1</t>
  </si>
  <si>
    <t>994.778.823-72</t>
  </si>
  <si>
    <t>6014.2026/0000973-6</t>
  </si>
  <si>
    <t xml:space="preserve">MARIA DAS DORES BASTOS DA SILVA </t>
  </si>
  <si>
    <t>168.852.338-38</t>
  </si>
  <si>
    <t>6014.2026/0002717-3</t>
  </si>
  <si>
    <t>002/0020/B</t>
  </si>
  <si>
    <t xml:space="preserve">LUCAS MENDES DA SILVA </t>
  </si>
  <si>
    <t>47.557.563</t>
  </si>
  <si>
    <t>437.228.508.60</t>
  </si>
  <si>
    <t xml:space="preserve">REGIANE DE JESUS COSTA MENDES </t>
  </si>
  <si>
    <t>65.785.090-1</t>
  </si>
  <si>
    <t>604.814.853-41</t>
  </si>
  <si>
    <t>6014.2026/0000596-0</t>
  </si>
  <si>
    <t>002/0020/BF2</t>
  </si>
  <si>
    <t xml:space="preserve">RAIMUNDO MENDES DA SILVA </t>
  </si>
  <si>
    <t>20.686.612-4</t>
  </si>
  <si>
    <t>103.987.578-52</t>
  </si>
  <si>
    <t>002/0021/A</t>
  </si>
  <si>
    <t xml:space="preserve">AMANDA APARECIDA CONCEIÇÃO  GOMES </t>
  </si>
  <si>
    <t>49.501.841-7</t>
  </si>
  <si>
    <t>423.993.768-03</t>
  </si>
  <si>
    <t>TERMO RECEBIDO PELA CTS DIA 04/09/26 - CONFERIDO EM 09/09/26 E ENCONTRADO ERRO</t>
  </si>
  <si>
    <t xml:space="preserve">ELVIS PEREIRA MATOS </t>
  </si>
  <si>
    <t>59.166.408-2</t>
  </si>
  <si>
    <t>505.892.018-24</t>
  </si>
  <si>
    <t>6014.2026/0000879-9</t>
  </si>
  <si>
    <t>002/0022/A</t>
  </si>
  <si>
    <t xml:space="preserve">ALMIR ELOI DA SILVA </t>
  </si>
  <si>
    <t>23.723.912-7</t>
  </si>
  <si>
    <t>094.306.188-14</t>
  </si>
  <si>
    <t xml:space="preserve">ARISVALDO PEREIRA NOGUEIRA </t>
  </si>
  <si>
    <t>001.388.985-02</t>
  </si>
  <si>
    <t>002/0022/B</t>
  </si>
  <si>
    <t>SIMONE VICENTE</t>
  </si>
  <si>
    <t>32.875.042-6</t>
  </si>
  <si>
    <t>221.350.718-03</t>
  </si>
  <si>
    <t>ANA CASSIA DE ALMEIDA CARVALHO</t>
  </si>
  <si>
    <t>69.767.089-2</t>
  </si>
  <si>
    <t>052.440.073-35</t>
  </si>
  <si>
    <t>6014.2026/0005843-5</t>
  </si>
  <si>
    <t>002/0022/C</t>
  </si>
  <si>
    <t xml:space="preserve">TAMIRES RODRIGUES BATISTA DA SILVA </t>
  </si>
  <si>
    <t>49.099.514.7</t>
  </si>
  <si>
    <t>413.215.478.54</t>
  </si>
  <si>
    <t>TAMIRES RODRIGUES BATISTA DA SILVA</t>
  </si>
  <si>
    <t>6014.2026/0003076-0</t>
  </si>
  <si>
    <t>002/0022/D</t>
  </si>
  <si>
    <t xml:space="preserve">EMERSON JOSÉ ROCHA SOARES </t>
  </si>
  <si>
    <t>60.510.096.2</t>
  </si>
  <si>
    <t>054.868.845.16</t>
  </si>
  <si>
    <t>6014.2026/0001933-2</t>
  </si>
  <si>
    <t>002/0023/A</t>
  </si>
  <si>
    <t>JOSEFA DOS SANTOS DO NASCIMENTO</t>
  </si>
  <si>
    <t>39.766.684-6</t>
  </si>
  <si>
    <t>388.923.778-92</t>
  </si>
  <si>
    <t>6014.2025/0008622-4</t>
  </si>
  <si>
    <t xml:space="preserve">EMILLYN GONÇALVES CALIXTA DE OLIVEIRA </t>
  </si>
  <si>
    <t>53.832.561.6</t>
  </si>
  <si>
    <t>550.269.568.90</t>
  </si>
  <si>
    <t>6014.2026/0003135-9</t>
  </si>
  <si>
    <t>002/0023/B</t>
  </si>
  <si>
    <t>DOUGLAS ATAIDE SIMIÃO</t>
  </si>
  <si>
    <t>37.315.118-4</t>
  </si>
  <si>
    <t>473.989.858-60</t>
  </si>
  <si>
    <t>6014.2025/0008573-2</t>
  </si>
  <si>
    <t>002/0024/A</t>
  </si>
  <si>
    <t xml:space="preserve">EDMUNDO ESTEVAM DA COSTA </t>
  </si>
  <si>
    <t>26.256.460-9</t>
  </si>
  <si>
    <t>280.533.768-94</t>
  </si>
  <si>
    <t>6014.2026/0000583-8</t>
  </si>
  <si>
    <t>CARLEILTON MACEDO CORREIA</t>
  </si>
  <si>
    <t>13.249.486</t>
  </si>
  <si>
    <t>077.087.438.00</t>
  </si>
  <si>
    <t>6014.2026/0003137-5</t>
  </si>
  <si>
    <t>002/0024/B</t>
  </si>
  <si>
    <t xml:space="preserve">MARIA DO SOCORRO GOMES </t>
  </si>
  <si>
    <t>29.511.794-1</t>
  </si>
  <si>
    <t>517.035.644-72</t>
  </si>
  <si>
    <t>6014.2026/0000464-5</t>
  </si>
  <si>
    <t>002/0025/A</t>
  </si>
  <si>
    <t xml:space="preserve">MARIA LUIZA DA SILVA </t>
  </si>
  <si>
    <t>36.583.894-9</t>
  </si>
  <si>
    <t>313.328.558-06</t>
  </si>
  <si>
    <t>6014.2026/0001940-5</t>
  </si>
  <si>
    <t>002/0026/A</t>
  </si>
  <si>
    <t>JANAINA FERREIRA ROMÃO</t>
  </si>
  <si>
    <t>34.169.077-6</t>
  </si>
  <si>
    <t>308.584.918-18</t>
  </si>
  <si>
    <t>6014.2026/0001939-1</t>
  </si>
  <si>
    <t>002/0027/A</t>
  </si>
  <si>
    <t>MÁRCIA BATISTA DA SILVA</t>
  </si>
  <si>
    <t>36.401.581.0</t>
  </si>
  <si>
    <t>335.505.698.74</t>
  </si>
  <si>
    <t>6014.2026/0001979-0</t>
  </si>
  <si>
    <t>002/0028/A</t>
  </si>
  <si>
    <t>002/0029/A</t>
  </si>
  <si>
    <t>MARIA DE OLIVEIRA XAVIER</t>
  </si>
  <si>
    <t>20.767.986-1</t>
  </si>
  <si>
    <t>103..999108.40</t>
  </si>
  <si>
    <t>002/0030/A</t>
  </si>
  <si>
    <t xml:space="preserve">GILSON JOAO DOS SANTOS </t>
  </si>
  <si>
    <t>40.663.248</t>
  </si>
  <si>
    <t xml:space="preserve"> 344.392.948.63</t>
  </si>
  <si>
    <t>344.392.948-63</t>
  </si>
  <si>
    <t>6014.2026/0001992-8</t>
  </si>
  <si>
    <t>002/0031/A</t>
  </si>
  <si>
    <t>BRUNA FIGUEREDO MANTEIGA</t>
  </si>
  <si>
    <t>49.306.576-3</t>
  </si>
  <si>
    <t>375.908.498-20</t>
  </si>
  <si>
    <t>6014.2026/0001983-9</t>
  </si>
  <si>
    <t>002/0031/B</t>
  </si>
  <si>
    <t>ROGILDO DIAS PALMA</t>
  </si>
  <si>
    <t>55.589.002-8</t>
  </si>
  <si>
    <t>050.565.165-38</t>
  </si>
  <si>
    <t>6014.2026/0001984-7</t>
  </si>
  <si>
    <t>002/0032/A</t>
  </si>
  <si>
    <t xml:space="preserve">MIRIAM OLIVEIRA PEREIRA </t>
  </si>
  <si>
    <t>44.862.653-6</t>
  </si>
  <si>
    <t>389.285.348-79</t>
  </si>
  <si>
    <t>6014.2026/0001990-1</t>
  </si>
  <si>
    <t>002/0033/A</t>
  </si>
  <si>
    <t>ROSECLEIA DA SILVA MENEZES</t>
  </si>
  <si>
    <t>29.525.037-9</t>
  </si>
  <si>
    <t>254.429.828-65</t>
  </si>
  <si>
    <t>PROPRIETARIO RESIDENTE</t>
  </si>
  <si>
    <t>6014.2026/0005775-7</t>
  </si>
  <si>
    <t>002/0034/A</t>
  </si>
  <si>
    <t xml:space="preserve">JACQUELINE APARECIDA DOS SANTOS </t>
  </si>
  <si>
    <t>386.814.548-62</t>
  </si>
  <si>
    <t>6014.2026/0003163-4</t>
  </si>
  <si>
    <t>002/0035/A</t>
  </si>
  <si>
    <t>ANTONIO FRANCISCO DA SILVA</t>
  </si>
  <si>
    <t>17.227.21</t>
  </si>
  <si>
    <t>277.879.608-84</t>
  </si>
  <si>
    <t>002/0036/A</t>
  </si>
  <si>
    <t>ANA BEATRYCE CORDEIRO DOS SANTOS</t>
  </si>
  <si>
    <t>39.355.855-1</t>
  </si>
  <si>
    <t>492.675.608-08</t>
  </si>
  <si>
    <t>002/0037/A</t>
  </si>
  <si>
    <t>PAULO HENRIQUE XAVIER MARIA</t>
  </si>
  <si>
    <t>41.843.911-4</t>
  </si>
  <si>
    <t>239.101.178-48</t>
  </si>
  <si>
    <t>003/0001/A</t>
  </si>
  <si>
    <t>RUTE DA SILVA FEITOSA</t>
  </si>
  <si>
    <t>68.984.954-0</t>
  </si>
  <si>
    <t>023.773.284-07</t>
  </si>
  <si>
    <t>6014.2025/0008130-3</t>
  </si>
  <si>
    <t xml:space="preserve">MARIA GORETE ARAUJO SANTIAGO </t>
  </si>
  <si>
    <t>842.102.733-68</t>
  </si>
  <si>
    <t>6014.2026/0000959-0</t>
  </si>
  <si>
    <t>003/0002/A</t>
  </si>
  <si>
    <t>THAIS GUERRA DE ASSIS</t>
  </si>
  <si>
    <t>482.639.998-71</t>
  </si>
  <si>
    <t xml:space="preserve">JORGE LUIZ DA CONCEIÇÃO </t>
  </si>
  <si>
    <t>50.432.293-X</t>
  </si>
  <si>
    <t>479.716.478-67</t>
  </si>
  <si>
    <t>6014.2025/0008135-4</t>
  </si>
  <si>
    <t xml:space="preserve">SIMONE PEREIRA BRITO DA SILVA </t>
  </si>
  <si>
    <t>44.277.830-2</t>
  </si>
  <si>
    <t>330.971.178-14</t>
  </si>
  <si>
    <t>6014.2026/0000590-0</t>
  </si>
  <si>
    <t>003/0003/A</t>
  </si>
  <si>
    <t>CAUÃ VIEIRA LIMA</t>
  </si>
  <si>
    <t>52.327.297-2</t>
  </si>
  <si>
    <t>241.728.608-42</t>
  </si>
  <si>
    <t>6014.2025/0008136-2</t>
  </si>
  <si>
    <t xml:space="preserve">JACIARA MARIA DE JESUS </t>
  </si>
  <si>
    <t>296.996.458-90</t>
  </si>
  <si>
    <t>6014.2026/0001062-9</t>
  </si>
  <si>
    <t>003/0003/B</t>
  </si>
  <si>
    <t xml:space="preserve">GIOVANA JESUS PEREIRA </t>
  </si>
  <si>
    <t>54.104.217.8</t>
  </si>
  <si>
    <t>536.063.698.08</t>
  </si>
  <si>
    <t>003/0004/A</t>
  </si>
  <si>
    <t xml:space="preserve">ANDERSON FERREIRA DOS SANTOS </t>
  </si>
  <si>
    <t>49.504.486</t>
  </si>
  <si>
    <t>468.214.098-11</t>
  </si>
  <si>
    <t xml:space="preserve">JENIFER ALINE SANTANA DE ARAUJO </t>
  </si>
  <si>
    <t>49.145.487-9</t>
  </si>
  <si>
    <t>412.301.608-17</t>
  </si>
  <si>
    <t>6014.2026/0001059-9</t>
  </si>
  <si>
    <t>003/0005/A</t>
  </si>
  <si>
    <t>LUCIENE GUIMARÃES DOS SANTOS</t>
  </si>
  <si>
    <t>64.697.007-0</t>
  </si>
  <si>
    <t>040.815.465-92</t>
  </si>
  <si>
    <t>6014.2025/0008137-0</t>
  </si>
  <si>
    <t xml:space="preserve">MARIA JOSÉ DA SILVA  </t>
  </si>
  <si>
    <t>37.658.536-5</t>
  </si>
  <si>
    <t>232.618.538-24</t>
  </si>
  <si>
    <t>003/0006/A</t>
  </si>
  <si>
    <t xml:space="preserve">NERIVALDO SANTOS </t>
  </si>
  <si>
    <t>48.465.675-2</t>
  </si>
  <si>
    <t>377.484.288-40</t>
  </si>
  <si>
    <t xml:space="preserve">JADILSON DA SILVA PINHEIRO </t>
  </si>
  <si>
    <t>429.143.478-20</t>
  </si>
  <si>
    <t>6014.2026/0000977-9</t>
  </si>
  <si>
    <t>003/0006/AF2</t>
  </si>
  <si>
    <t xml:space="preserve">JOÃO DANILO NASCIMENTO DOS SANTOS </t>
  </si>
  <si>
    <t>68.900.423-0</t>
  </si>
  <si>
    <t>119.012.404-10</t>
  </si>
  <si>
    <t>003/0006/AF3</t>
  </si>
  <si>
    <t xml:space="preserve">JAMILLY DE FARIAS </t>
  </si>
  <si>
    <t>55.227.944-4</t>
  </si>
  <si>
    <t>114.947.564-12</t>
  </si>
  <si>
    <t xml:space="preserve">TERRA PROMETIDA </t>
  </si>
  <si>
    <t>003/0007/A</t>
  </si>
  <si>
    <t>LUCAS SANTOS OLIVEIRA</t>
  </si>
  <si>
    <t>52.445.602-1</t>
  </si>
  <si>
    <t>580.937.918-41</t>
  </si>
  <si>
    <t xml:space="preserve">ADAUTO LIMA NETO </t>
  </si>
  <si>
    <t>428.538.658.51</t>
  </si>
  <si>
    <t xml:space="preserve">GEISILANE DIAS DE ANDRADE </t>
  </si>
  <si>
    <t>15.080.164-53</t>
  </si>
  <si>
    <t>511.269.098-40</t>
  </si>
  <si>
    <t>6014.2026/0001161-7</t>
  </si>
  <si>
    <t>003/0008/A</t>
  </si>
  <si>
    <t>PAULA RODRIGUES DE SOUZA</t>
  </si>
  <si>
    <t>45.609.343-6</t>
  </si>
  <si>
    <t>354.589.548-31</t>
  </si>
  <si>
    <t>6014.2025/0008138-9</t>
  </si>
  <si>
    <t xml:space="preserve">RAINARA TEIXEIRA SILVA </t>
  </si>
  <si>
    <t>58.991.272-1</t>
  </si>
  <si>
    <t>552.402.698-40</t>
  </si>
  <si>
    <t>AGUARDANDO REGULARIZAÇÃO JUNTO A RECEITA FEDERAL PARA EMISSÃO DO CARTÃO</t>
  </si>
  <si>
    <t>VALDECI PEREIRA DE ANDRADE</t>
  </si>
  <si>
    <t>02.474.347-01</t>
  </si>
  <si>
    <t>178.745.645-53</t>
  </si>
  <si>
    <t>6014.2026/0001163-3</t>
  </si>
  <si>
    <t>003/0009/A</t>
  </si>
  <si>
    <t xml:space="preserve">ANTONIO CESAR DE MELO </t>
  </si>
  <si>
    <t>315.223.298-54</t>
  </si>
  <si>
    <t>6014.2026/0000447-5</t>
  </si>
  <si>
    <t>LOHANNE GABRIELLE BEZERRA DE SOUZA</t>
  </si>
  <si>
    <t>64.987.729-9</t>
  </si>
  <si>
    <t>542.596.158-82</t>
  </si>
  <si>
    <t>003/0010/A</t>
  </si>
  <si>
    <t xml:space="preserve">CREUMILDA DE MELO </t>
  </si>
  <si>
    <t>53.909.369-5</t>
  </si>
  <si>
    <t>442.898.205-49</t>
  </si>
  <si>
    <t>6014.2026/0000848-9</t>
  </si>
  <si>
    <t>WENDELL GABRIEL BEZERRA DE SOUZA</t>
  </si>
  <si>
    <t>50.812.959-</t>
  </si>
  <si>
    <t>512.502.758-81</t>
  </si>
  <si>
    <t>003/0011/A</t>
  </si>
  <si>
    <t xml:space="preserve">VALDIR CERQUEIRA DA SILVA </t>
  </si>
  <si>
    <t>59.894.504-0</t>
  </si>
  <si>
    <t>025.834.265-08</t>
  </si>
  <si>
    <t>003/0012/A</t>
  </si>
  <si>
    <t xml:space="preserve">LUIZA HELENA RODRIGUES </t>
  </si>
  <si>
    <t>35.568.519-X</t>
  </si>
  <si>
    <t>278.824.328-65</t>
  </si>
  <si>
    <t>6014.2026/0000965-5</t>
  </si>
  <si>
    <t>003/0012/AF2</t>
  </si>
  <si>
    <t xml:space="preserve">STHEFANY VITORIA DOS SANTOS MEDEIROS  </t>
  </si>
  <si>
    <t>52.502.264-8</t>
  </si>
  <si>
    <t>600.949.598-97</t>
  </si>
  <si>
    <t>003/0012/AF3</t>
  </si>
  <si>
    <t xml:space="preserve">AMANDA RODRIGUES DE SOUSA </t>
  </si>
  <si>
    <t>53.186.720-1</t>
  </si>
  <si>
    <t>533.765.708-92</t>
  </si>
  <si>
    <t>003/0013/A</t>
  </si>
  <si>
    <t xml:space="preserve">ROBSON SILVA DE LIMA </t>
  </si>
  <si>
    <t>52.001.480-7</t>
  </si>
  <si>
    <t>099.378.595-65</t>
  </si>
  <si>
    <t>6014.2026/0000595-1</t>
  </si>
  <si>
    <t>003/0013/B</t>
  </si>
  <si>
    <t xml:space="preserve">LAURIENE MARIA DE ANDRADE </t>
  </si>
  <si>
    <t>53063306-1</t>
  </si>
  <si>
    <t>424.170.858-79</t>
  </si>
  <si>
    <t>003/0014/A</t>
  </si>
  <si>
    <t xml:space="preserve">CINTIA  DIETRICH LIMA </t>
  </si>
  <si>
    <t>47.803.151-8</t>
  </si>
  <si>
    <t>450.546.798-80</t>
  </si>
  <si>
    <t>003/0015/A</t>
  </si>
  <si>
    <t>ESTEVÃO AILTON BRANDÃO MEDEIROS</t>
  </si>
  <si>
    <t>32.379.981-</t>
  </si>
  <si>
    <t>344.188.458-28</t>
  </si>
  <si>
    <t xml:space="preserve">JUVENITA BARBOSA CORREIA </t>
  </si>
  <si>
    <t>25.942.886-3</t>
  </si>
  <si>
    <t>667.504.314-53</t>
  </si>
  <si>
    <t>6014.2026/0000989-2</t>
  </si>
  <si>
    <t>003/0015/B</t>
  </si>
  <si>
    <t xml:space="preserve">ALEX CORREIA FRANCISCO </t>
  </si>
  <si>
    <t>47.219.824-5</t>
  </si>
  <si>
    <t>400.553.438-48</t>
  </si>
  <si>
    <t>003/0015/C</t>
  </si>
  <si>
    <t xml:space="preserve">GERIVALDO MARQUES EVANGELISTA </t>
  </si>
  <si>
    <t>18.469.929-0</t>
  </si>
  <si>
    <t>051.133.118-55</t>
  </si>
  <si>
    <t>6014.2026/0001065-3</t>
  </si>
  <si>
    <t>003/0015/D</t>
  </si>
  <si>
    <t xml:space="preserve">DAYANE ROSA EVANGELISTA </t>
  </si>
  <si>
    <t>46.706.957-8</t>
  </si>
  <si>
    <t>392.999.408-94</t>
  </si>
  <si>
    <t>6014.2026/0001016-5</t>
  </si>
  <si>
    <t>003/0016/A</t>
  </si>
  <si>
    <t>ALEXSANDRO DA SILVA SANTANA</t>
  </si>
  <si>
    <t>47.902.480-7</t>
  </si>
  <si>
    <t>446.954.988-63</t>
  </si>
  <si>
    <t>DIMAS FERREIRA DOURADO</t>
  </si>
  <si>
    <t>36.160.896-2</t>
  </si>
  <si>
    <t>259.100.945-72</t>
  </si>
  <si>
    <t>6014.2026/0001261-3</t>
  </si>
  <si>
    <t>003/0017/A</t>
  </si>
  <si>
    <t>ANDERSON DA SILVA ARAUJO</t>
  </si>
  <si>
    <t>43.752.767-0</t>
  </si>
  <si>
    <t>235.367.388-00</t>
  </si>
  <si>
    <t xml:space="preserve">CATIA BARRETO LOPES SOUSA </t>
  </si>
  <si>
    <t>16.686.064-5</t>
  </si>
  <si>
    <t>089.210.298-50</t>
  </si>
  <si>
    <t>003/0018/A</t>
  </si>
  <si>
    <t xml:space="preserve">JEFFERSON ALBERT DA SILVA ALVES </t>
  </si>
  <si>
    <t>32.565.531-5</t>
  </si>
  <si>
    <t>305.751.748-03</t>
  </si>
  <si>
    <t>6014.2025/0008204-0</t>
  </si>
  <si>
    <t>003/0018/E</t>
  </si>
  <si>
    <t>CAMILA ONORIO VIVIAN</t>
  </si>
  <si>
    <t>499.032.388-27</t>
  </si>
  <si>
    <t>003/0018/F</t>
  </si>
  <si>
    <t xml:space="preserve">ESTER NASCIMENTO ALVES </t>
  </si>
  <si>
    <t>65.893.182-9</t>
  </si>
  <si>
    <t>591.312.428-63</t>
  </si>
  <si>
    <t>RAFAEL JOSÉ CORTEZ PIRES</t>
  </si>
  <si>
    <t>334.628.068-31</t>
  </si>
  <si>
    <t xml:space="preserve">AGUARDANO ACEITE DO MUNICIPE </t>
  </si>
  <si>
    <t>003/0018/G</t>
  </si>
  <si>
    <t>SILVANA DE SOUZA</t>
  </si>
  <si>
    <t>152.330.078-78</t>
  </si>
  <si>
    <t>003/0018/H</t>
  </si>
  <si>
    <t xml:space="preserve">PRISCILA SILVA REIS </t>
  </si>
  <si>
    <t>45.966.664-2</t>
  </si>
  <si>
    <t>331.604.778-60</t>
  </si>
  <si>
    <t xml:space="preserve">ANDREIA RODRIGUES DE SOUSA </t>
  </si>
  <si>
    <t>48.295.304-4</t>
  </si>
  <si>
    <t>416.525.518-16</t>
  </si>
  <si>
    <t>003/0019/A</t>
  </si>
  <si>
    <t>FABIO DA SILVA LEAL CORREIA</t>
  </si>
  <si>
    <t>41.180.325-6</t>
  </si>
  <si>
    <t>234.375.478-01</t>
  </si>
  <si>
    <t>003/0019/B</t>
  </si>
  <si>
    <t xml:space="preserve">MARIA JOSÉ SOARES DE SOUSA </t>
  </si>
  <si>
    <t>38.564.007-9</t>
  </si>
  <si>
    <t>273.055.178-60</t>
  </si>
  <si>
    <t>003/0019/C</t>
  </si>
  <si>
    <t xml:space="preserve">LINSMÁRCIA SOUZA RIBEIRO </t>
  </si>
  <si>
    <t>45.534.335-4</t>
  </si>
  <si>
    <t>399.637.258-21</t>
  </si>
  <si>
    <t>6014.2026/0001009-2</t>
  </si>
  <si>
    <t>003/0019/D</t>
  </si>
  <si>
    <t xml:space="preserve">DANIELLY LUZ DE ALMEIDA </t>
  </si>
  <si>
    <t>47.259.920-3</t>
  </si>
  <si>
    <t>467.533.378-81</t>
  </si>
  <si>
    <t>6014.2026/0000849-7</t>
  </si>
  <si>
    <t>003/0020/A</t>
  </si>
  <si>
    <t>ROGERIO SILVA SANTOS</t>
  </si>
  <si>
    <t>15.122.128.65</t>
  </si>
  <si>
    <t>065.066.165-63</t>
  </si>
  <si>
    <t>6014.2025/0008161-3</t>
  </si>
  <si>
    <t>003/0020/D</t>
  </si>
  <si>
    <t xml:space="preserve">ERISVALDO ALVES OLIVEIRA </t>
  </si>
  <si>
    <t>62.795.296-3</t>
  </si>
  <si>
    <t>044.462.175-00</t>
  </si>
  <si>
    <t>6014.2026/0001072-6</t>
  </si>
  <si>
    <t>003/0020/E</t>
  </si>
  <si>
    <t xml:space="preserve">ELISETE SANTOS CARNEIRO </t>
  </si>
  <si>
    <t>63.822.147-X</t>
  </si>
  <si>
    <t>050.428.785-05</t>
  </si>
  <si>
    <t>6014.2025/0008171-0</t>
  </si>
  <si>
    <t>003/0020/F</t>
  </si>
  <si>
    <t xml:space="preserve">ELIENE ALVES DE OLIVEIRA </t>
  </si>
  <si>
    <t>63.801.406-2</t>
  </si>
  <si>
    <t>045.889.655-14</t>
  </si>
  <si>
    <t>6014.2026/0001265-6</t>
  </si>
  <si>
    <t>003/0020/G</t>
  </si>
  <si>
    <t xml:space="preserve">EVANILTON ALVES OLIVEIRA  </t>
  </si>
  <si>
    <t>16.099.787-90</t>
  </si>
  <si>
    <t>048.565.425-32</t>
  </si>
  <si>
    <t>6014.2026/0000882-9</t>
  </si>
  <si>
    <t>003/0021/A</t>
  </si>
  <si>
    <t xml:space="preserve">LUENE DE SOUZA ALVES </t>
  </si>
  <si>
    <t>52.375.017-1</t>
  </si>
  <si>
    <t>477.863.608-24</t>
  </si>
  <si>
    <t>003/0021/B</t>
  </si>
  <si>
    <t xml:space="preserve">VANESSA RIBEIRO MACHADO ALVES </t>
  </si>
  <si>
    <t>50.250.904-1</t>
  </si>
  <si>
    <t>385.783.058-17</t>
  </si>
  <si>
    <t>6014.2025/0008391-8</t>
  </si>
  <si>
    <t>003/0022/A</t>
  </si>
  <si>
    <t xml:space="preserve">SEBASTIAN DE SOUZA ALVES </t>
  </si>
  <si>
    <t>413.541.308-04</t>
  </si>
  <si>
    <t>003/0022/G</t>
  </si>
  <si>
    <t>ELISANGELA DE SOUSA NOGUEIRA</t>
  </si>
  <si>
    <t>52.685.593-9</t>
  </si>
  <si>
    <t>991.480.805-00</t>
  </si>
  <si>
    <t>LIBERADO INSTRUÇÃO</t>
  </si>
  <si>
    <t>003/0023/A</t>
  </si>
  <si>
    <t>MARÍLIA TAILAN NASCIMENTO</t>
  </si>
  <si>
    <t>20.836.498-69</t>
  </si>
  <si>
    <t>026.475.655-03</t>
  </si>
  <si>
    <t>6014.2025/0008318-7</t>
  </si>
  <si>
    <t>003/0025/A</t>
  </si>
  <si>
    <t xml:space="preserve">KLEITON RIBEIRO DA SILVA  </t>
  </si>
  <si>
    <t>52.078.553-</t>
  </si>
  <si>
    <t>443.587.648-51</t>
  </si>
  <si>
    <t>003/0026/A</t>
  </si>
  <si>
    <t xml:space="preserve">VLADIS PEREIRA DA SILVA JUNIOR </t>
  </si>
  <si>
    <t>37.644.113-6</t>
  </si>
  <si>
    <t>467.830.958-60</t>
  </si>
  <si>
    <t>003/0028/A</t>
  </si>
  <si>
    <t>APOLONIO SANTOS VAZ</t>
  </si>
  <si>
    <t>22.796.869-70</t>
  </si>
  <si>
    <t>152.432.628-38</t>
  </si>
  <si>
    <t>6014.2025/0008154-0</t>
  </si>
  <si>
    <t xml:space="preserve">SEBASTIÃO DANIEL DOS SANTOS </t>
  </si>
  <si>
    <t>37.524.690-3</t>
  </si>
  <si>
    <t>279.211.638-23</t>
  </si>
  <si>
    <t>003/0028/B</t>
  </si>
  <si>
    <t xml:space="preserve">LEONARDO NOVAES DOS SANTOS  </t>
  </si>
  <si>
    <t>21.266.276-75</t>
  </si>
  <si>
    <t>085.698.555-40</t>
  </si>
  <si>
    <t>003/0029/A</t>
  </si>
  <si>
    <t xml:space="preserve">ANA LUCIA AMORIM DOS REIS  </t>
  </si>
  <si>
    <t>52.053.941-2</t>
  </si>
  <si>
    <t>004.437.125-06</t>
  </si>
  <si>
    <t xml:space="preserve">GIOVANA ALVES DE JESUS BATISTA </t>
  </si>
  <si>
    <t>38.459.223-5</t>
  </si>
  <si>
    <t>582.360.098-40</t>
  </si>
  <si>
    <t>003/0029/AF2</t>
  </si>
  <si>
    <t>RACHEL NUNES QUEIROZ DE ALBUQUERQUE</t>
  </si>
  <si>
    <t>516.796.828-30</t>
  </si>
  <si>
    <t>003/0029/B</t>
  </si>
  <si>
    <t xml:space="preserve">MAIRA RIBEIRO DIAS </t>
  </si>
  <si>
    <t>68.907.147-7</t>
  </si>
  <si>
    <t>061.550.315-25</t>
  </si>
  <si>
    <t>NÚMERO RG DIVERGENTE</t>
  </si>
  <si>
    <t>003/0030/A</t>
  </si>
  <si>
    <t xml:space="preserve">ARIOMAR PEREIRA NOGUEIRA </t>
  </si>
  <si>
    <t>53.236.923</t>
  </si>
  <si>
    <t>048.794.595-69</t>
  </si>
  <si>
    <t>ROBSON ALVES VAZ</t>
  </si>
  <si>
    <t>44.845.170-0</t>
  </si>
  <si>
    <t>388.584.948-81</t>
  </si>
  <si>
    <t>003/0030/B</t>
  </si>
  <si>
    <t xml:space="preserve"> GABRIELA PEREIRA DE OLIVEIRA </t>
  </si>
  <si>
    <t xml:space="preserve">55.354.131-6
</t>
  </si>
  <si>
    <t>500.360.198-01</t>
  </si>
  <si>
    <t>003/0030/BF2</t>
  </si>
  <si>
    <t xml:space="preserve">ADRIANA LESSER DOS SANTOS </t>
  </si>
  <si>
    <t xml:space="preserve">27.247.492-7
</t>
  </si>
  <si>
    <t>217.051.988-21</t>
  </si>
  <si>
    <t>003/0031/A</t>
  </si>
  <si>
    <t xml:space="preserve">PAOLA VIEIRA NOGUEIRA </t>
  </si>
  <si>
    <t>60.427.515-8</t>
  </si>
  <si>
    <t>573.393.568-51</t>
  </si>
  <si>
    <t>VANDERLEIA BATISTA SILVA</t>
  </si>
  <si>
    <t>45.106.615.7</t>
  </si>
  <si>
    <t>244.619.768-07</t>
  </si>
  <si>
    <t>003/0032/A</t>
  </si>
  <si>
    <t>LIDIANE FIRMINO DE OLIVEIRA</t>
  </si>
  <si>
    <t>64.497.123-X</t>
  </si>
  <si>
    <t>073.014.224-82</t>
  </si>
  <si>
    <t>6014.2025/0008158-3</t>
  </si>
  <si>
    <t>GISELE BASÍLIO DOS SANTOS PANTALEÃO</t>
  </si>
  <si>
    <t>34.317.821-7</t>
  </si>
  <si>
    <t>353.515.148-18</t>
  </si>
  <si>
    <t>6014.2026/0002143-4</t>
  </si>
  <si>
    <t>003/0033/A</t>
  </si>
  <si>
    <t xml:space="preserve">EVALDO SERRA NABAT </t>
  </si>
  <si>
    <t>57.452.476-9</t>
  </si>
  <si>
    <t>961.825.393-72</t>
  </si>
  <si>
    <t>6014.2026/0000921-3</t>
  </si>
  <si>
    <t>CRISTINA DA SILVA</t>
  </si>
  <si>
    <t>24.667.603-6</t>
  </si>
  <si>
    <t>141.962.868-28</t>
  </si>
  <si>
    <t>003/0034/A</t>
  </si>
  <si>
    <t xml:space="preserve">CRISTIANE MARQUES DE SOUZA ARAUJO </t>
  </si>
  <si>
    <t>33.382.954-2</t>
  </si>
  <si>
    <t>327.368.758-42</t>
  </si>
  <si>
    <t>6014.2026/0001172-2</t>
  </si>
  <si>
    <t>MARLENICE NOGUEIRA DA SILVA</t>
  </si>
  <si>
    <t>59.471.138-1</t>
  </si>
  <si>
    <t>070.722.884-06</t>
  </si>
  <si>
    <t>003/0035/A</t>
  </si>
  <si>
    <t>PORFIRIO SABINO</t>
  </si>
  <si>
    <t>168.978.568-35</t>
  </si>
  <si>
    <t>GEOVANA DE SOUZA BORGES</t>
  </si>
  <si>
    <t>55.755.614-4</t>
  </si>
  <si>
    <t>241.015.158-24</t>
  </si>
  <si>
    <t>6014.2026/0001067-0</t>
  </si>
  <si>
    <t>003/0036/A</t>
  </si>
  <si>
    <t xml:space="preserve">CLEIDE REGINA DE JESUS SOUSA </t>
  </si>
  <si>
    <t>32.459.937-7</t>
  </si>
  <si>
    <t>295.582.368-61</t>
  </si>
  <si>
    <t>6014.2026/0000570-6</t>
  </si>
  <si>
    <t xml:space="preserve">GIVANEIDE DOS SANTOS SILVA </t>
  </si>
  <si>
    <t>080.608.734.07</t>
  </si>
  <si>
    <t>003/0037/A</t>
  </si>
  <si>
    <t xml:space="preserve">TAWANE KELLY DE SOUZA ARAÚJO </t>
  </si>
  <si>
    <t>62.291.723-7</t>
  </si>
  <si>
    <t>565.311.228.38</t>
  </si>
  <si>
    <t>003/0038/A</t>
  </si>
  <si>
    <t xml:space="preserve">LILIAN MARIA ANDRADE AQUINO </t>
  </si>
  <si>
    <t>221.113.998.17</t>
  </si>
  <si>
    <t>6014.2026/0001034-3</t>
  </si>
  <si>
    <t>LUIZ COSMO DA SILVA</t>
  </si>
  <si>
    <t>11.608.728-6</t>
  </si>
  <si>
    <t>004.511.888-45</t>
  </si>
  <si>
    <t>003/0038/B</t>
  </si>
  <si>
    <t xml:space="preserve">RAFAELA RAISSA AQUINO DOS SANTOS </t>
  </si>
  <si>
    <t>016.519.028-01</t>
  </si>
  <si>
    <t>6014.2026/0001023-8</t>
  </si>
  <si>
    <t>003/0039/A</t>
  </si>
  <si>
    <t xml:space="preserve">WERYCLIS SILVA DE ANDRADE  </t>
  </si>
  <si>
    <t>47.819.267-8</t>
  </si>
  <si>
    <t>432.683.038-70</t>
  </si>
  <si>
    <t xml:space="preserve">6014.2026/0000585-4 </t>
  </si>
  <si>
    <t>LARISSA BATISTA DA SILVA</t>
  </si>
  <si>
    <t>609.517.528-39</t>
  </si>
  <si>
    <t>003/0039/AF2</t>
  </si>
  <si>
    <t xml:space="preserve">ANTONIO DAS CHAGAS DE SOUSA </t>
  </si>
  <si>
    <t>319.465.838-71</t>
  </si>
  <si>
    <t>003/0040/A</t>
  </si>
  <si>
    <t xml:space="preserve">LUCIA MARIA DOS SANTOS </t>
  </si>
  <si>
    <t>35.991.252-7</t>
  </si>
  <si>
    <t>697.858.304-97</t>
  </si>
  <si>
    <t>6014.2026/0001011-4</t>
  </si>
  <si>
    <t xml:space="preserve">CARLOS DANIEL ROCHA DA SILVA </t>
  </si>
  <si>
    <t>126.028.364-00</t>
  </si>
  <si>
    <t>003/0040/AF2</t>
  </si>
  <si>
    <t>CRISLAINE DOS SANTOS</t>
  </si>
  <si>
    <t>466.904.328-58</t>
  </si>
  <si>
    <t>003/0041/A</t>
  </si>
  <si>
    <t xml:space="preserve">MANOEL GOMES DOS SANTOS </t>
  </si>
  <si>
    <t>37.654.795-9</t>
  </si>
  <si>
    <t>025.359.034-58</t>
  </si>
  <si>
    <t>PALOMA DA COSTA BRAGA</t>
  </si>
  <si>
    <t>49.119.539-4</t>
  </si>
  <si>
    <t>411.219.338-66</t>
  </si>
  <si>
    <t>003/0042/A</t>
  </si>
  <si>
    <t>LUCIANA MARIA DOS SANTOS</t>
  </si>
  <si>
    <t>26.197.351-4</t>
  </si>
  <si>
    <t>203.966.028-35</t>
  </si>
  <si>
    <t>6014.2026/0000463-7</t>
  </si>
  <si>
    <t xml:space="preserve">JULIA DOMINGUES DA CRUZ </t>
  </si>
  <si>
    <t>54.199.072-X</t>
  </si>
  <si>
    <t>441.105.788-33</t>
  </si>
  <si>
    <t>003/0042/B</t>
  </si>
  <si>
    <t xml:space="preserve">SOLANGE DAS NEVES RIBEIRO DE SOUSA </t>
  </si>
  <si>
    <t>275.105.178-26</t>
  </si>
  <si>
    <t xml:space="preserve">6014.2026/0001018-1 </t>
  </si>
  <si>
    <t>003/0043/A</t>
  </si>
  <si>
    <t xml:space="preserve">ANDREIA DA SILVA FERREIRA </t>
  </si>
  <si>
    <t>38.465.226-8</t>
  </si>
  <si>
    <t>353.411.258-00</t>
  </si>
  <si>
    <t>6014.2025/0008162-1</t>
  </si>
  <si>
    <t>AMANDA KEROLY ZANELLA GUSMÃO SOARES</t>
  </si>
  <si>
    <t>43.055.627-5</t>
  </si>
  <si>
    <t>441.032.198-66</t>
  </si>
  <si>
    <t>003/0044/A</t>
  </si>
  <si>
    <t xml:space="preserve">CLAUDIO MIKE DA SILVA </t>
  </si>
  <si>
    <t>511.577.038-52</t>
  </si>
  <si>
    <t>003/0044/B</t>
  </si>
  <si>
    <t xml:space="preserve">ADINOEL DE OLIVEIRA BATISTA </t>
  </si>
  <si>
    <t>38.117.870-05</t>
  </si>
  <si>
    <t>257.950.758-25</t>
  </si>
  <si>
    <t>6014.2026/0000565-0</t>
  </si>
  <si>
    <t>003/0045/A</t>
  </si>
  <si>
    <t>FELIPE JOSÉ DOS SANTOS</t>
  </si>
  <si>
    <t>42.672.508-6</t>
  </si>
  <si>
    <t>455.729.328-09</t>
  </si>
  <si>
    <t>003/0045/B</t>
  </si>
  <si>
    <t>JOSÉ PEDRO DA SILVA</t>
  </si>
  <si>
    <t>9.355.210-5</t>
  </si>
  <si>
    <t>904.248.168-49</t>
  </si>
  <si>
    <t>6014.2025/0008157-5</t>
  </si>
  <si>
    <t>003/0046/A</t>
  </si>
  <si>
    <t>ANGELICA TUIANE RODRIGUES DE PAIVA</t>
  </si>
  <si>
    <t>46.659.659-5</t>
  </si>
  <si>
    <t>355.263.168-23</t>
  </si>
  <si>
    <t>6014.2026/0000572-2</t>
  </si>
  <si>
    <t>003/0047/A</t>
  </si>
  <si>
    <t>TAINARA GONÇALVES DA SILVA</t>
  </si>
  <si>
    <t>56.671.014-6</t>
  </si>
  <si>
    <t>578.736.848-73</t>
  </si>
  <si>
    <t>003/0048/A</t>
  </si>
  <si>
    <t>SAMUEL MARCELINO NEVES</t>
  </si>
  <si>
    <t>58.845.096-0</t>
  </si>
  <si>
    <t>484.954.738-95</t>
  </si>
  <si>
    <t>003/0049/A</t>
  </si>
  <si>
    <t>KECILLY MIRANDA MACHADO</t>
  </si>
  <si>
    <t>64.558.865-9</t>
  </si>
  <si>
    <t>864.312.835-03</t>
  </si>
  <si>
    <t>003/0050/A</t>
  </si>
  <si>
    <t>ROBSON BOMFIM DOS ANJOS</t>
  </si>
  <si>
    <t>23.911.685-9</t>
  </si>
  <si>
    <t>190.664.838-73</t>
  </si>
  <si>
    <t>ANDREIA AMERICO</t>
  </si>
  <si>
    <t>28.700.942-7</t>
  </si>
  <si>
    <t>247.204.308-21</t>
  </si>
  <si>
    <t>6014.2025/0008152-4</t>
  </si>
  <si>
    <t>003/0051/A</t>
  </si>
  <si>
    <t xml:space="preserve">MARIA SUELEN GOMES DOS SANTOS </t>
  </si>
  <si>
    <t>38.051.128-9</t>
  </si>
  <si>
    <t>499.571.328-06</t>
  </si>
  <si>
    <t>6014.2026/0000475-0</t>
  </si>
  <si>
    <t>003/0052/A</t>
  </si>
  <si>
    <t xml:space="preserve">WALTEMIRA DE JESUS SANTOS </t>
  </si>
  <si>
    <t>19.614.374-3</t>
  </si>
  <si>
    <t>275.443.928-56</t>
  </si>
  <si>
    <t>6014.2026/0000867-5</t>
  </si>
  <si>
    <t>003/0053/A</t>
  </si>
  <si>
    <t xml:space="preserve">EDIMEIA APARECIDA DE SOUZA JARDIM </t>
  </si>
  <si>
    <t>49.631.065-3</t>
  </si>
  <si>
    <t>392.122.158-74</t>
  </si>
  <si>
    <t>SOLICITAR EXCLUSÃO DO A.A</t>
  </si>
  <si>
    <t>6014.2026/0000567-6</t>
  </si>
  <si>
    <t>003/0054/A</t>
  </si>
  <si>
    <t xml:space="preserve">MATHEUS DA SILVA SANTO MELO </t>
  </si>
  <si>
    <t>53.290.156-3</t>
  </si>
  <si>
    <t>413.256.508-46</t>
  </si>
  <si>
    <t>DANIELLE SILVA AGUIAR</t>
  </si>
  <si>
    <t>52.068.972-0</t>
  </si>
  <si>
    <t>470.093.598-73</t>
  </si>
  <si>
    <t>6014.2026/0000578-1</t>
  </si>
  <si>
    <t>003/0055/A</t>
  </si>
  <si>
    <t xml:space="preserve">WEVERSON PEIXOTO DE OLIVEIRA </t>
  </si>
  <si>
    <t>57.202.129-x</t>
  </si>
  <si>
    <t>488.858.728-08</t>
  </si>
  <si>
    <t>6014.2026/0000568-4</t>
  </si>
  <si>
    <t>003/0056/A</t>
  </si>
  <si>
    <t>JENNIFER DA SILVA DINIZ</t>
  </si>
  <si>
    <t>48.443.133-X</t>
  </si>
  <si>
    <t>441.927.808-01</t>
  </si>
  <si>
    <t>6014.2026/0000473-4</t>
  </si>
  <si>
    <t>003/0057/A</t>
  </si>
  <si>
    <t xml:space="preserve">COSMO ADALGIZO MARIANO DA SILVA </t>
  </si>
  <si>
    <t>53.248.334-0</t>
  </si>
  <si>
    <t>695.012.204-78</t>
  </si>
  <si>
    <t>6014.2026/0000647-8</t>
  </si>
  <si>
    <t>AGUARDANDO ELABORAÇÃO</t>
  </si>
  <si>
    <t>003/0058/A</t>
  </si>
  <si>
    <t>NAJLA DE SOUSA OLIVEIRA</t>
  </si>
  <si>
    <t>43.613..704-5</t>
  </si>
  <si>
    <t>438.400.188-62</t>
  </si>
  <si>
    <t>003/0084/A</t>
  </si>
  <si>
    <t xml:space="preserve">BRENDA FERREIRA DE OLIVEIRA </t>
  </si>
  <si>
    <t>62.817.689-2</t>
  </si>
  <si>
    <t>859.251.245-02</t>
  </si>
  <si>
    <t>6014.2026/0000846-2</t>
  </si>
  <si>
    <t>003/0085/A</t>
  </si>
  <si>
    <t>ROBSON SANTOS MENEZES</t>
  </si>
  <si>
    <t>57.938.932-7</t>
  </si>
  <si>
    <t>034.072.825-67</t>
  </si>
  <si>
    <t>6014.2025/0008386-1</t>
  </si>
  <si>
    <t>003/0086/A</t>
  </si>
  <si>
    <t xml:space="preserve">MARIA GERBENIA ARISTIDES DO NASCIMENTO </t>
  </si>
  <si>
    <t>200.843.597-51</t>
  </si>
  <si>
    <t>080.141.693-01</t>
  </si>
  <si>
    <t>6014.2025/0008185-0</t>
  </si>
  <si>
    <t>003/0086/B</t>
  </si>
  <si>
    <t xml:space="preserve">JOAQUIM ANTÔNIO DE SOUZA FILHO </t>
  </si>
  <si>
    <t>66.803.231-5</t>
  </si>
  <si>
    <t>070.082.633-50</t>
  </si>
  <si>
    <t>6014.2025/0008184-2</t>
  </si>
  <si>
    <t>004/0002/A</t>
  </si>
  <si>
    <t>MARIA SÃO PEDRO LIMA DE OLIVEIRA</t>
  </si>
  <si>
    <t>56.236.565-5</t>
  </si>
  <si>
    <t>317.617.938-37</t>
  </si>
  <si>
    <t>004/0002/B</t>
  </si>
  <si>
    <t xml:space="preserve">JOSE SANTANA DA SILVA </t>
  </si>
  <si>
    <t>38.786.985-2</t>
  </si>
  <si>
    <t>671.768.875-00</t>
  </si>
  <si>
    <t>004/0003/A</t>
  </si>
  <si>
    <t xml:space="preserve">WELLINGTON FERREIRA DA SILVA </t>
  </si>
  <si>
    <t>413.615.068-73</t>
  </si>
  <si>
    <t>004/0003/B</t>
  </si>
  <si>
    <t xml:space="preserve">ADRIELLY DE SOUZA FERREIRA </t>
  </si>
  <si>
    <t>39.534.767-1</t>
  </si>
  <si>
    <t>516.977.478-84</t>
  </si>
  <si>
    <t>004/0004/A</t>
  </si>
  <si>
    <t>MARIA DE FÁTIMA SANTOS RODRIGUES</t>
  </si>
  <si>
    <t>64.364.296-01</t>
  </si>
  <si>
    <t>092.714.364-07</t>
  </si>
  <si>
    <t>6014.2025/0008358-6</t>
  </si>
  <si>
    <t>004/0005/A</t>
  </si>
  <si>
    <t>NELSON RENAM DOS SANTOS LOPES</t>
  </si>
  <si>
    <t>545.116.188-79</t>
  </si>
  <si>
    <t>004/0006/A</t>
  </si>
  <si>
    <t xml:space="preserve">RAISSA NABAT SILVA </t>
  </si>
  <si>
    <t>64.902.950-1</t>
  </si>
  <si>
    <t>618.896.243-90</t>
  </si>
  <si>
    <t xml:space="preserve">LARISSA DE SOUSA NUNES </t>
  </si>
  <si>
    <t>52.806.661-4</t>
  </si>
  <si>
    <t>502.527.228-92</t>
  </si>
  <si>
    <t>004/0006/B</t>
  </si>
  <si>
    <t>CLEITON MOREIRA DOS SANTOS</t>
  </si>
  <si>
    <t>49.145.250-0</t>
  </si>
  <si>
    <t>450.950.548-50</t>
  </si>
  <si>
    <t>004/0007/A</t>
  </si>
  <si>
    <t xml:space="preserve">EDILSON JOSÉ DA SILVA </t>
  </si>
  <si>
    <t>36.335.947-3</t>
  </si>
  <si>
    <t>218.107.578-60</t>
  </si>
  <si>
    <t>VANUZA VANDETE LIMA DE ALMEIDA</t>
  </si>
  <si>
    <t>62.555.375-5</t>
  </si>
  <si>
    <t>006.731.315-99</t>
  </si>
  <si>
    <t>6014.2026/0002030-6</t>
  </si>
  <si>
    <t xml:space="preserve">LUCILENE DOS SANTOS GERALDO </t>
  </si>
  <si>
    <t>49.794.987-8</t>
  </si>
  <si>
    <t>424.164.198-97</t>
  </si>
  <si>
    <t>6014.2026/0001324-5</t>
  </si>
  <si>
    <t>004/0007/A F2</t>
  </si>
  <si>
    <t>WESLEY FERREIRA DA SILVA</t>
  </si>
  <si>
    <t>480.002.378-57</t>
  </si>
  <si>
    <t>004/0008/A</t>
  </si>
  <si>
    <t xml:space="preserve">DORALICE DA SILVA SOUZA </t>
  </si>
  <si>
    <t>36.954.744-5</t>
  </si>
  <si>
    <t>302.792.778-73</t>
  </si>
  <si>
    <t>LAYSA BENTO BORGES BARRETO</t>
  </si>
  <si>
    <t>56.299.061-6</t>
  </si>
  <si>
    <t>529.095.858-40</t>
  </si>
  <si>
    <t>6014.2026/0002028-4</t>
  </si>
  <si>
    <t>004/0009/A</t>
  </si>
  <si>
    <t xml:space="preserve">MARIA DE LOURDES DA SILVA SANTOS </t>
  </si>
  <si>
    <t>066.725.464-13</t>
  </si>
  <si>
    <t>6014.2026/0000700-8</t>
  </si>
  <si>
    <t>MARIA DE FÁTIMA GLORIA OLIVEIRA</t>
  </si>
  <si>
    <t>55.354.654-5</t>
  </si>
  <si>
    <t>783.269.233-20</t>
  </si>
  <si>
    <t>GESIVALDO BATISTA DE JESUS</t>
  </si>
  <si>
    <t>891.718.025-68</t>
  </si>
  <si>
    <t>6014.2026/0003459-5</t>
  </si>
  <si>
    <t>004/0010/A</t>
  </si>
  <si>
    <t xml:space="preserve">DEBORA ALVES DA SILVA </t>
  </si>
  <si>
    <t>42.490.854-0</t>
  </si>
  <si>
    <t>412.413.818-01</t>
  </si>
  <si>
    <t xml:space="preserve">IASMIN DOS SANTOS SILVA </t>
  </si>
  <si>
    <t>12.187.058</t>
  </si>
  <si>
    <t>478.341.738-55</t>
  </si>
  <si>
    <t xml:space="preserve">6014.2026/0001925-1 </t>
  </si>
  <si>
    <t>004/0011/A</t>
  </si>
  <si>
    <t xml:space="preserve">SARA CARLOS DA SILVA </t>
  </si>
  <si>
    <t>57.534.079-4</t>
  </si>
  <si>
    <t>240.477.108-65</t>
  </si>
  <si>
    <t xml:space="preserve">MICAELE DOS SANTOS DA SILVA </t>
  </si>
  <si>
    <t>10.332.566</t>
  </si>
  <si>
    <t>478.342.168-48</t>
  </si>
  <si>
    <t>6014.2026/0001928-6</t>
  </si>
  <si>
    <t>004/0011/B</t>
  </si>
  <si>
    <t xml:space="preserve">KATHLEEN SANTANA DOS REIS </t>
  </si>
  <si>
    <t>38.406.703-7</t>
  </si>
  <si>
    <t>435.316.868-10</t>
  </si>
  <si>
    <t>004/0011/C</t>
  </si>
  <si>
    <t xml:space="preserve">BEATRIZ MARQUES DA SILVA </t>
  </si>
  <si>
    <t>52.110.612-6</t>
  </si>
  <si>
    <t>242.921.718-07</t>
  </si>
  <si>
    <t>004/0012/A</t>
  </si>
  <si>
    <t xml:space="preserve">REINIVALDO CARDOSO DE ALMEIDA </t>
  </si>
  <si>
    <t>39.302.479-9</t>
  </si>
  <si>
    <t>469.390.831-20</t>
  </si>
  <si>
    <t>6014.2025/0008174-5</t>
  </si>
  <si>
    <t xml:space="preserve">HECTOR NATAN LIMA DA SILVA </t>
  </si>
  <si>
    <t>63.122.464-0</t>
  </si>
  <si>
    <t>900.650.968-00</t>
  </si>
  <si>
    <t>004/0013/A</t>
  </si>
  <si>
    <t xml:space="preserve">LOHANE RIBEIRO DE ALMEIDA </t>
  </si>
  <si>
    <t>39.012.520-9</t>
  </si>
  <si>
    <t>531.988.848-10</t>
  </si>
  <si>
    <t>6014.2025/0008190-7</t>
  </si>
  <si>
    <t>VITÓRIA PENTEADO ALEIXO</t>
  </si>
  <si>
    <t>63.112.487-1</t>
  </si>
  <si>
    <t>611.355.828-23</t>
  </si>
  <si>
    <t>004/0014/A</t>
  </si>
  <si>
    <t xml:space="preserve">ANA PAULA BARROS DA SILVA </t>
  </si>
  <si>
    <t>35.952.313-4</t>
  </si>
  <si>
    <t>377.160.988-70</t>
  </si>
  <si>
    <t xml:space="preserve">PEDRO HENRIQUE LIMA NETO </t>
  </si>
  <si>
    <t>63.691.461-06</t>
  </si>
  <si>
    <t>239.940.658-36</t>
  </si>
  <si>
    <t>BENEFICIO CONGELADO POR AUSENCIA DE SAQUE</t>
  </si>
  <si>
    <t>004/0015/A</t>
  </si>
  <si>
    <t xml:space="preserve">EDSON SERRA NABAT </t>
  </si>
  <si>
    <t>65.632.396-5</t>
  </si>
  <si>
    <t>659.659.143-34</t>
  </si>
  <si>
    <t>EMILI SABRINA ALVES DE SOUZA</t>
  </si>
  <si>
    <t>59.302.640-8</t>
  </si>
  <si>
    <t>491.378.368-89</t>
  </si>
  <si>
    <t>004/0016/A</t>
  </si>
  <si>
    <t xml:space="preserve">SILVANEIDE MARIA DA SILVA  </t>
  </si>
  <si>
    <t>48.275.430-8</t>
  </si>
  <si>
    <t>434.408.068-80</t>
  </si>
  <si>
    <t>6014.2025/0008387-0</t>
  </si>
  <si>
    <t xml:space="preserve">EVERALDO VIEIRA DA SILVA </t>
  </si>
  <si>
    <t>19.536.421-1</t>
  </si>
  <si>
    <t>092.268.628-93</t>
  </si>
  <si>
    <t>6014.2026/0002408-5</t>
  </si>
  <si>
    <t>004/0017/A</t>
  </si>
  <si>
    <t xml:space="preserve">REIGIANE CARNEIRO RIBEIRO </t>
  </si>
  <si>
    <t>68.924.000-4</t>
  </si>
  <si>
    <t>094.924.395-73</t>
  </si>
  <si>
    <t>6014.2025/0008613-5</t>
  </si>
  <si>
    <t>ÉRICA APARECIDA DE SOUZA FURQUIM</t>
  </si>
  <si>
    <t>364.145.568-58</t>
  </si>
  <si>
    <t>004/0018/A</t>
  </si>
  <si>
    <t>CARLOS HENRIQUE LIMA CANDEIA</t>
  </si>
  <si>
    <t>128.311.455-03</t>
  </si>
  <si>
    <t xml:space="preserve">JEFFERSON ALVES DE OLIVEIRA </t>
  </si>
  <si>
    <t>41.937.173-4</t>
  </si>
  <si>
    <t>389.472.438-25</t>
  </si>
  <si>
    <t>004/0019/A</t>
  </si>
  <si>
    <t xml:space="preserve">FRANCISCO PEREIRA DA SILVA  </t>
  </si>
  <si>
    <t>54.196.935-3</t>
  </si>
  <si>
    <t>911.718.145-34</t>
  </si>
  <si>
    <t>004/0019/AF2</t>
  </si>
  <si>
    <t xml:space="preserve">RAQUEL MARQUES DE SOUZA </t>
  </si>
  <si>
    <t>445.130.748-17</t>
  </si>
  <si>
    <t>004/0019/B</t>
  </si>
  <si>
    <t xml:space="preserve">RUDNEI MARQUES DE SOUZA </t>
  </si>
  <si>
    <t>43.566.103-6</t>
  </si>
  <si>
    <t>435.393.418-03</t>
  </si>
  <si>
    <t>004/0020/A</t>
  </si>
  <si>
    <t xml:space="preserve">ERIVANDY GALDINO </t>
  </si>
  <si>
    <t>50.484.334-5</t>
  </si>
  <si>
    <t>032.165.094-86</t>
  </si>
  <si>
    <t>6014.2025/0008625-9</t>
  </si>
  <si>
    <t>004/0021/A</t>
  </si>
  <si>
    <t xml:space="preserve">FRANCISCA MARCIA PEREIRA LUZ </t>
  </si>
  <si>
    <t>043.745.772.011-4</t>
  </si>
  <si>
    <t>609.809.803-48</t>
  </si>
  <si>
    <t>6014.2025/0008383-7</t>
  </si>
  <si>
    <t>004/0022/A</t>
  </si>
  <si>
    <t xml:space="preserve">ZITA FERREIRA DE OLIVEIRA  </t>
  </si>
  <si>
    <t>20.153.101-X</t>
  </si>
  <si>
    <t>103.973.068-06</t>
  </si>
  <si>
    <t>6014.2025/0008331-4</t>
  </si>
  <si>
    <t>004/0023/A</t>
  </si>
  <si>
    <t xml:space="preserve">OSVALDO PEREIRA DA SILVA </t>
  </si>
  <si>
    <t>12.604.064-3</t>
  </si>
  <si>
    <t>017.831.678-40</t>
  </si>
  <si>
    <t>004/0024/A</t>
  </si>
  <si>
    <t xml:space="preserve">JOSENILDO SILVA DOS SANTOS </t>
  </si>
  <si>
    <t>59.361.139-1</t>
  </si>
  <si>
    <t>094.466.254-40</t>
  </si>
  <si>
    <t>004/0025/A</t>
  </si>
  <si>
    <t xml:space="preserve">WASHINGTON DOS SANTOS VIEGAS JUNIOR </t>
  </si>
  <si>
    <t>049.445.462.013-2</t>
  </si>
  <si>
    <t>615.442.913-45</t>
  </si>
  <si>
    <t>ÉLIDA STEPHANIE LOMBELLO DE SANTANA RODRIGUES</t>
  </si>
  <si>
    <t>36.446.902-X</t>
  </si>
  <si>
    <t>437.764.518-82</t>
  </si>
  <si>
    <t>6014.2025/0008169-9</t>
  </si>
  <si>
    <t>004/0026/A</t>
  </si>
  <si>
    <t xml:space="preserve">SANDRO SOUZA DA SILVA  </t>
  </si>
  <si>
    <t>50.371.313-2</t>
  </si>
  <si>
    <t>466.702.058-05</t>
  </si>
  <si>
    <t xml:space="preserve">DOMINGOS RODRIGUES DE CARVALHO </t>
  </si>
  <si>
    <t>58.776.789-3</t>
  </si>
  <si>
    <t>021.527.525-03</t>
  </si>
  <si>
    <t xml:space="preserve">AGUARDANDO ACEITE DO MUNICIPE </t>
  </si>
  <si>
    <t>004/0027/A</t>
  </si>
  <si>
    <t xml:space="preserve">LUANA MARIA DE CARVALHO SILVA </t>
  </si>
  <si>
    <t>38.566.323-7</t>
  </si>
  <si>
    <t>476.273.928-61</t>
  </si>
  <si>
    <t>6014.2026/0000462-9</t>
  </si>
  <si>
    <t>004/0028/A</t>
  </si>
  <si>
    <t xml:space="preserve">RAQUEL DE JESUS CÂMARA DOS SANTOS  </t>
  </si>
  <si>
    <t>59.150.362-1</t>
  </si>
  <si>
    <t>025.518.683-51</t>
  </si>
  <si>
    <t>6014.2025/0008390-0</t>
  </si>
  <si>
    <t>004/0028/AF2</t>
  </si>
  <si>
    <t xml:space="preserve">GLEYBSON COSTA NEVES </t>
  </si>
  <si>
    <t>67.140.681-4</t>
  </si>
  <si>
    <t>617.377.933-18</t>
  </si>
  <si>
    <t>004/0029/B</t>
  </si>
  <si>
    <t xml:space="preserve">JOSELIO FERREIRA DE OLIVEIRA  </t>
  </si>
  <si>
    <t>37.624.999-5</t>
  </si>
  <si>
    <t>923.429.733-49</t>
  </si>
  <si>
    <t>6014.2025/0008205-9</t>
  </si>
  <si>
    <t>004/0029/C</t>
  </si>
  <si>
    <t xml:space="preserve">MARIA BETÂNIA COSTA LIMA </t>
  </si>
  <si>
    <t>66.347.707-4</t>
  </si>
  <si>
    <t>986.191.873-68</t>
  </si>
  <si>
    <t>6014.2025/0008389-6</t>
  </si>
  <si>
    <t>004/0029/D</t>
  </si>
  <si>
    <t xml:space="preserve">CLAUDIO OLIVEIRA DIAS </t>
  </si>
  <si>
    <t>64.498.184-2</t>
  </si>
  <si>
    <t>084.434.933-05</t>
  </si>
  <si>
    <t>6014.2026/0001015-7</t>
  </si>
  <si>
    <t>004/0033/A</t>
  </si>
  <si>
    <t xml:space="preserve">INGRID MICHELLE DAMASCENO MARQUES </t>
  </si>
  <si>
    <t>67.336.101-9</t>
  </si>
  <si>
    <t>610.405.893-08</t>
  </si>
  <si>
    <t>6014.2026/0000957-4</t>
  </si>
  <si>
    <t>004/0034/A</t>
  </si>
  <si>
    <t xml:space="preserve">ROSANA APARECIDA DOS SANTOS </t>
  </si>
  <si>
    <t>20.619.591-6</t>
  </si>
  <si>
    <t xml:space="preserve">080.210.758-30 </t>
  </si>
  <si>
    <t>004/0034/B</t>
  </si>
  <si>
    <t xml:space="preserve">ROGERIO APARECIDO DE PAULA JUNIOR </t>
  </si>
  <si>
    <t>49.316.571-X</t>
  </si>
  <si>
    <t>428.492.798-11</t>
  </si>
  <si>
    <t>004/0035/A</t>
  </si>
  <si>
    <t xml:space="preserve">RICHARD RICHELLI DE PAULA  </t>
  </si>
  <si>
    <t>48.379.704-2</t>
  </si>
  <si>
    <t>402.563.978-56</t>
  </si>
  <si>
    <t>6014.2025/0008364-0</t>
  </si>
  <si>
    <t>004/0036/A</t>
  </si>
  <si>
    <t>LUCINEIDE MARIA DOS SANTOS</t>
  </si>
  <si>
    <t>32.554.274-0</t>
  </si>
  <si>
    <t>215.623.638-08</t>
  </si>
  <si>
    <t>6014.2026/0000979-5</t>
  </si>
  <si>
    <t>005/0001/A</t>
  </si>
  <si>
    <t>RAQUEL MARIA DE MACEDO</t>
  </si>
  <si>
    <t>64.915.385-6</t>
  </si>
  <si>
    <t>858.261.935-90</t>
  </si>
  <si>
    <t>6014.2026/0000597-8</t>
  </si>
  <si>
    <t>005/0002/A</t>
  </si>
  <si>
    <t xml:space="preserve">VINÍCIUS COSTA SANTIAGO </t>
  </si>
  <si>
    <t>60.225.823-3</t>
  </si>
  <si>
    <t>512.023.498-46</t>
  </si>
  <si>
    <t>6014.2025/0008329-2</t>
  </si>
  <si>
    <t>005/0003/A</t>
  </si>
  <si>
    <t xml:space="preserve">TALITA ARAÚJO DE SOUZA </t>
  </si>
  <si>
    <t>43.187.035-4</t>
  </si>
  <si>
    <t>359.042.098-78</t>
  </si>
  <si>
    <t>005/0004/A</t>
  </si>
  <si>
    <t xml:space="preserve">ERIK SOUZA MATTOS </t>
  </si>
  <si>
    <t>394.718.872- 2</t>
  </si>
  <si>
    <t>378.125.638-39</t>
  </si>
  <si>
    <t>6014.2025/0008388-8</t>
  </si>
  <si>
    <t>005/0009/A</t>
  </si>
  <si>
    <t xml:space="preserve">GERALDO BATISTA DOS SANTOS </t>
  </si>
  <si>
    <t>54.359.411-7</t>
  </si>
  <si>
    <t>405.002.846-87</t>
  </si>
  <si>
    <t>6014.2026/0001570-1</t>
  </si>
  <si>
    <t>005/0010/A</t>
  </si>
  <si>
    <t xml:space="preserve">ADRIANA GOMES BATISTA </t>
  </si>
  <si>
    <t>42.483.304-9</t>
  </si>
  <si>
    <t>342.300.228-08</t>
  </si>
  <si>
    <t>6014.2025/0008366-7</t>
  </si>
  <si>
    <t>005/0010/AF2</t>
  </si>
  <si>
    <t xml:space="preserve">KETHELYN LUCENILDE COSTA LOUZEIRO </t>
  </si>
  <si>
    <t>70.038.879-0</t>
  </si>
  <si>
    <t>617.252.173-09</t>
  </si>
  <si>
    <t>005/0011/A</t>
  </si>
  <si>
    <t xml:space="preserve">WHASHINGTON LUIZ RAMOS VITORIO </t>
  </si>
  <si>
    <t>36.089.351-X</t>
  </si>
  <si>
    <t>512.545.815-53</t>
  </si>
  <si>
    <t xml:space="preserve">WHASHINGTON LUIX RAMOS VITORIO </t>
  </si>
  <si>
    <t>005/0012/A</t>
  </si>
  <si>
    <t xml:space="preserve">PALOMA DE JESUS SOUSA </t>
  </si>
  <si>
    <t>45.030.960-5</t>
  </si>
  <si>
    <t>466.944.898-62</t>
  </si>
  <si>
    <t xml:space="preserve">FRANCISCO DE MOURA RODRIGUES </t>
  </si>
  <si>
    <t>772.839.963-20</t>
  </si>
  <si>
    <t>6014.2025/0008380-2</t>
  </si>
  <si>
    <t>005/0013/A</t>
  </si>
  <si>
    <t>GUMERCINDO PEREIRA</t>
  </si>
  <si>
    <t>5.583.917-4</t>
  </si>
  <si>
    <t>563.312.158-91</t>
  </si>
  <si>
    <t>6014.2026/0001064-5</t>
  </si>
  <si>
    <t>006/0001/A</t>
  </si>
  <si>
    <t xml:space="preserve">VANDERLEY SOUSA COSTA </t>
  </si>
  <si>
    <t>21.572.593.1</t>
  </si>
  <si>
    <t>015.403.387-11</t>
  </si>
  <si>
    <t>015.403.387.11</t>
  </si>
  <si>
    <t>6014.2026/0000934-5</t>
  </si>
  <si>
    <t>006/0002/A</t>
  </si>
  <si>
    <t xml:space="preserve">LEONICE CAETANO DO NASCIMENTO </t>
  </si>
  <si>
    <t>18.634.617-7</t>
  </si>
  <si>
    <t>124.838.788-06</t>
  </si>
  <si>
    <t>006/0002/AF2</t>
  </si>
  <si>
    <t>LETICIA CAETANO DO NASCIMENTO</t>
  </si>
  <si>
    <t>39.123.343-9</t>
  </si>
  <si>
    <t>429.230.848-96</t>
  </si>
  <si>
    <t>006/0010/A</t>
  </si>
  <si>
    <t xml:space="preserve">RAFAELA DE LIRA SOARES </t>
  </si>
  <si>
    <t>53.914.633-X</t>
  </si>
  <si>
    <t>433.977.508-81</t>
  </si>
  <si>
    <t>6014.2026/0002725-4</t>
  </si>
  <si>
    <t>006/0010/B</t>
  </si>
  <si>
    <t xml:space="preserve">CAMILA DE LIRA FERNANDES </t>
  </si>
  <si>
    <t>55.939.446-9</t>
  </si>
  <si>
    <t>491.200.608-40</t>
  </si>
  <si>
    <t>6014.2026/0000847-0</t>
  </si>
  <si>
    <t>006/0010/C</t>
  </si>
  <si>
    <t xml:space="preserve">KARINA DE LIRA FERNANDES </t>
  </si>
  <si>
    <t>53.869.318-6</t>
  </si>
  <si>
    <t>510.825.108-40</t>
  </si>
  <si>
    <t>6014.2026/0000994-9</t>
  </si>
  <si>
    <t>006/0011/A</t>
  </si>
  <si>
    <t>FABRICIO DIAS SANTOS</t>
  </si>
  <si>
    <t>63.181.110-2</t>
  </si>
  <si>
    <t>533.751.948-46</t>
  </si>
  <si>
    <t>6014.2026/0003072-7</t>
  </si>
  <si>
    <t>006/0012/A</t>
  </si>
  <si>
    <t xml:space="preserve">GIOVANE FERNANDES DA SILVA </t>
  </si>
  <si>
    <t>177.228.734-21</t>
  </si>
  <si>
    <t>006/0013/A</t>
  </si>
  <si>
    <t xml:space="preserve">ANDRESSA BOTTON FREIRE DE JESUS </t>
  </si>
  <si>
    <t>42.516.825-6</t>
  </si>
  <si>
    <t>370.223.668-61</t>
  </si>
  <si>
    <t>6014.2025/0008575-9</t>
  </si>
  <si>
    <t>006/0014/A</t>
  </si>
  <si>
    <t>JOÃO MARCOS ALVES  ROCHA</t>
  </si>
  <si>
    <t>32.602.902-3</t>
  </si>
  <si>
    <t>267.248.358-28</t>
  </si>
  <si>
    <t>6014.2025/0008361-6</t>
  </si>
  <si>
    <t>006/0016/A</t>
  </si>
  <si>
    <t xml:space="preserve">ANDLIW LEONARDO SILVA PEREIRA </t>
  </si>
  <si>
    <t>66.475.311-5</t>
  </si>
  <si>
    <t>605.449.273-03</t>
  </si>
  <si>
    <t>006/0017/A</t>
  </si>
  <si>
    <t>GILDASIO BARBOZA DE ALMEIDA</t>
  </si>
  <si>
    <t>50.706.760</t>
  </si>
  <si>
    <t>430.572.518-54</t>
  </si>
  <si>
    <t>006/0017/B</t>
  </si>
  <si>
    <t>DAVID DE SOUZA FERREIRA</t>
  </si>
  <si>
    <t>18.572.78</t>
  </si>
  <si>
    <t>094.935.181-40</t>
  </si>
  <si>
    <t>FALTA RATIFICAÇÃO DE LAUDO</t>
  </si>
  <si>
    <t>006/0018/A</t>
  </si>
  <si>
    <t>MICHELHE OLIVEIRA DA SILVA</t>
  </si>
  <si>
    <t>36.896.281-7</t>
  </si>
  <si>
    <t>309.261.058-09</t>
  </si>
  <si>
    <t xml:space="preserve">PROPRIETARIO RESIDENTE </t>
  </si>
  <si>
    <t>24.07.2026</t>
  </si>
  <si>
    <t>006/0018/B</t>
  </si>
  <si>
    <t xml:space="preserve">ALINE MEIRA DA SILVA </t>
  </si>
  <si>
    <t>239.564.488-98</t>
  </si>
  <si>
    <t>006/0019/A</t>
  </si>
  <si>
    <t xml:space="preserve">ADRIANA DE MEDEIROS BORGES </t>
  </si>
  <si>
    <t>44.114.241-2</t>
  </si>
  <si>
    <t>431.335.028-40</t>
  </si>
  <si>
    <t>006/0020/A</t>
  </si>
  <si>
    <t xml:space="preserve">MARIA ELIANE PEREIRA DE ARAUJO </t>
  </si>
  <si>
    <t>38.546.196-3</t>
  </si>
  <si>
    <t>377.134.688-62</t>
  </si>
  <si>
    <t>006/0020/B</t>
  </si>
  <si>
    <t xml:space="preserve">GEILIANE PEREIRA DE ARAUJO </t>
  </si>
  <si>
    <t>548.608.118-95</t>
  </si>
  <si>
    <t>006/0021/A</t>
  </si>
  <si>
    <t>ALDECIR ALVES DE SOUSA</t>
  </si>
  <si>
    <t>50.390.012.6</t>
  </si>
  <si>
    <t>020.592.925-73</t>
  </si>
  <si>
    <t>BENEFICIO BLOQUEADO ATÉ O ACEITE DO PNR</t>
  </si>
  <si>
    <t xml:space="preserve">FRANCISCO DAS CHAGAS LIMA RUFINO </t>
  </si>
  <si>
    <t>NÃO CADASTRADO</t>
  </si>
  <si>
    <t>ESTUDO DE CASO</t>
  </si>
  <si>
    <t>006/0022/C</t>
  </si>
  <si>
    <t xml:space="preserve">FRANCISCO DOS SANTOS ARAÚJO </t>
  </si>
  <si>
    <t>377.822.823-49</t>
  </si>
  <si>
    <t>6014.2025/0008365-9</t>
  </si>
  <si>
    <t>006/0022/E</t>
  </si>
  <si>
    <t xml:space="preserve">ALEXSANDRO DOS SANTOS SILVA </t>
  </si>
  <si>
    <t>54.572.776-5</t>
  </si>
  <si>
    <t>522.163.058-39</t>
  </si>
  <si>
    <t>006/0022/F</t>
  </si>
  <si>
    <t>MARCIA DE OLIVEIRA CANABRAVA</t>
  </si>
  <si>
    <t>67.179.455.3</t>
  </si>
  <si>
    <t>016.075.844-09</t>
  </si>
  <si>
    <t>006/0022/G</t>
  </si>
  <si>
    <t>BRUNO DE OLIVEIRA ALVES</t>
  </si>
  <si>
    <t>327.271.128-74</t>
  </si>
  <si>
    <t>BRUNO OLIVEIRA ALVES</t>
  </si>
  <si>
    <t>006/0022/H</t>
  </si>
  <si>
    <t xml:space="preserve">MÁRCIO DE OLIVEIRA CANABRAVA </t>
  </si>
  <si>
    <t>67.673.347-5</t>
  </si>
  <si>
    <t>089.314.464-97</t>
  </si>
  <si>
    <t>006/0022/I</t>
  </si>
  <si>
    <t>JENIVALDO DA SILVA ARAUJO</t>
  </si>
  <si>
    <t>358.700.888-44</t>
  </si>
  <si>
    <t>007/0001/A</t>
  </si>
  <si>
    <t>MARCIA MARIA BEZERRA</t>
  </si>
  <si>
    <t>40.139.155-3</t>
  </si>
  <si>
    <t>350.153.938-06</t>
  </si>
  <si>
    <t xml:space="preserve">VANESSA DIAS BARRENCE </t>
  </si>
  <si>
    <t>57.991.778-2</t>
  </si>
  <si>
    <t>051.471.715-76</t>
  </si>
  <si>
    <t>6014.2026/0003077-8</t>
  </si>
  <si>
    <t>007/0001/B</t>
  </si>
  <si>
    <t>LÚCIA HELENA SANTOS DE MELO</t>
  </si>
  <si>
    <t>33.651.706-3</t>
  </si>
  <si>
    <t>305.052.398-09</t>
  </si>
  <si>
    <t>LUCIA HELENA SANTOS DE MELO</t>
  </si>
  <si>
    <t>6014.2026/0003290-8</t>
  </si>
  <si>
    <t>007/0001/C</t>
  </si>
  <si>
    <t xml:space="preserve">ANDERSON AIRTON SOUZA DA SILVA </t>
  </si>
  <si>
    <t>49.364.453-2</t>
  </si>
  <si>
    <t>385.502.908-31</t>
  </si>
  <si>
    <t>007/0001/D</t>
  </si>
  <si>
    <t>GUSTAVO ALEXANDRE GUEDES CAVALCANTE</t>
  </si>
  <si>
    <t>56.573.209-2</t>
  </si>
  <si>
    <t>457.206.538-13</t>
  </si>
  <si>
    <t>007/0002/A</t>
  </si>
  <si>
    <t xml:space="preserve">DOUGLAS MIRANDA DA SILVA </t>
  </si>
  <si>
    <t>30.170.318-8</t>
  </si>
  <si>
    <t>269.438.568-04</t>
  </si>
  <si>
    <t>6014.2026/0000870-5</t>
  </si>
  <si>
    <t>MARCIA SOUZA DA CRUZ</t>
  </si>
  <si>
    <t>46.815.719-0</t>
  </si>
  <si>
    <t>361.455.538-04</t>
  </si>
  <si>
    <t>6014.2026/0002349-6</t>
  </si>
  <si>
    <t>007/0003/A</t>
  </si>
  <si>
    <t xml:space="preserve">SAMIRA FERREIRA DE LIMA </t>
  </si>
  <si>
    <t>452.225.148-38</t>
  </si>
  <si>
    <t>SAMIRA FERREIRA DE LIMA</t>
  </si>
  <si>
    <t xml:space="preserve">LUAN FELIPE DA SILVA </t>
  </si>
  <si>
    <t>49.459.185</t>
  </si>
  <si>
    <t>391.222.588-50</t>
  </si>
  <si>
    <t>6014.2026/0005857-5</t>
  </si>
  <si>
    <t>007/0003/B</t>
  </si>
  <si>
    <t>ISAQUE DE SOUZA CORDEIRO PEREIRA</t>
  </si>
  <si>
    <t>524.950.678-08</t>
  </si>
  <si>
    <t>007/0004/A</t>
  </si>
  <si>
    <t xml:space="preserve">LUCIANA FERREIRA </t>
  </si>
  <si>
    <t>34.628.277-9</t>
  </si>
  <si>
    <t>318.779.838-10</t>
  </si>
  <si>
    <t>6014.2026/0002407-7</t>
  </si>
  <si>
    <t xml:space="preserve">CLAUDIO HENRIQUE OLIVEIRA DA SILVA </t>
  </si>
  <si>
    <t>39.040.365-9</t>
  </si>
  <si>
    <t>443.033.208-89</t>
  </si>
  <si>
    <t xml:space="preserve">BENEFICIO CONGELADO </t>
  </si>
  <si>
    <t xml:space="preserve">LEANDRO DE SOUZA MUNIZ </t>
  </si>
  <si>
    <t>59.832.430-6</t>
  </si>
  <si>
    <t>500.252.638-11</t>
  </si>
  <si>
    <t>6014.2026/0001021-1</t>
  </si>
  <si>
    <t>007/0004/B</t>
  </si>
  <si>
    <t xml:space="preserve">MARINA RODRIGUES PERETTA </t>
  </si>
  <si>
    <t>52.813.636-7</t>
  </si>
  <si>
    <t>509.890.798-56</t>
  </si>
  <si>
    <t xml:space="preserve">MARIA JOSEFA ABRANTES </t>
  </si>
  <si>
    <t>37.912.692-8</t>
  </si>
  <si>
    <t>341.913.178-06</t>
  </si>
  <si>
    <t>6014.2026/0002491-3</t>
  </si>
  <si>
    <t>007/0005/A</t>
  </si>
  <si>
    <t>MARIA DA GLÓRIA LEMOS SANTOS</t>
  </si>
  <si>
    <t>64.078.824-5</t>
  </si>
  <si>
    <t>048.286.365-01</t>
  </si>
  <si>
    <t>007/0006/A</t>
  </si>
  <si>
    <t xml:space="preserve">AGUINALDO DA SILVA </t>
  </si>
  <si>
    <t>56.897.836-5</t>
  </si>
  <si>
    <t>705.270.594-04</t>
  </si>
  <si>
    <t>FABIANA DE SOUZA LINS DELLALIBERA</t>
  </si>
  <si>
    <t>58.296.862-8</t>
  </si>
  <si>
    <t>065.727.734-77</t>
  </si>
  <si>
    <t>6014.2026/0002406-9</t>
  </si>
  <si>
    <t>007/0006/B</t>
  </si>
  <si>
    <t xml:space="preserve">WILLIAM LIMA DA SILVA </t>
  </si>
  <si>
    <t>55.132.981-6</t>
  </si>
  <si>
    <t>437.615.768-62</t>
  </si>
  <si>
    <t>007/0007/A</t>
  </si>
  <si>
    <t xml:space="preserve">JOSÉ RIBEIRO DE MOURA </t>
  </si>
  <si>
    <t>38.443.221-9</t>
  </si>
  <si>
    <t>042.681.884-95</t>
  </si>
  <si>
    <t>6014.2026/0001019-0</t>
  </si>
  <si>
    <t>CRISLANIA MAURA DE SOUZA ARAÚJO</t>
  </si>
  <si>
    <t>43.508.382-X</t>
  </si>
  <si>
    <t>438.570.118-07</t>
  </si>
  <si>
    <t>6014.2026/0005839-7</t>
  </si>
  <si>
    <t>007/0008/A</t>
  </si>
  <si>
    <t xml:space="preserve"> DORICIO ALVES DE SOUZA </t>
  </si>
  <si>
    <t>28.142.225-4</t>
  </si>
  <si>
    <t>621.790.395-49</t>
  </si>
  <si>
    <t>6014.2026/0000914-0</t>
  </si>
  <si>
    <t xml:space="preserve">HELOISE NUNES MONTEIRO </t>
  </si>
  <si>
    <t>60.325.880-3</t>
  </si>
  <si>
    <t>505.867.128-01</t>
  </si>
  <si>
    <t>007/0009/A</t>
  </si>
  <si>
    <t xml:space="preserve">VITORIA NERES DA SILVA </t>
  </si>
  <si>
    <t>39.396.071-7</t>
  </si>
  <si>
    <t>507.343.578-85</t>
  </si>
  <si>
    <t xml:space="preserve">ANTONIA VERA BEZERRA DA SILVA </t>
  </si>
  <si>
    <t>32.238.659-7</t>
  </si>
  <si>
    <t>315.653.088-32</t>
  </si>
  <si>
    <t>6014.2026/0001923-5</t>
  </si>
  <si>
    <t>007/0010/A</t>
  </si>
  <si>
    <t xml:space="preserve">SARA MACHADO DA SILVA </t>
  </si>
  <si>
    <t>517.998.668-07</t>
  </si>
  <si>
    <t>6014.2025/0008576-7</t>
  </si>
  <si>
    <t>007/0011/A</t>
  </si>
  <si>
    <t xml:space="preserve">ERNESTO LIRA DOS SANTOS </t>
  </si>
  <si>
    <t>27.797.825-7</t>
  </si>
  <si>
    <t>249.465.618-46</t>
  </si>
  <si>
    <t>6014.2025/0008369-1</t>
  </si>
  <si>
    <t>007/0012/A</t>
  </si>
  <si>
    <t xml:space="preserve">FERNANDO SAMPAIO FORMAGGI </t>
  </si>
  <si>
    <t>47.557.204-X</t>
  </si>
  <si>
    <t>397.502.788-60</t>
  </si>
  <si>
    <t xml:space="preserve">CLAUDIO DA SILVA MACHADO </t>
  </si>
  <si>
    <t>048.155.868-37</t>
  </si>
  <si>
    <t xml:space="preserve">NÃO </t>
  </si>
  <si>
    <t>007/0012/B</t>
  </si>
  <si>
    <t xml:space="preserve">GIOVANNA MARCELLA SAMPAIO MACHADO </t>
  </si>
  <si>
    <t>56.015.152-4</t>
  </si>
  <si>
    <t>449.511.588-09</t>
  </si>
  <si>
    <t>007/0013/A</t>
  </si>
  <si>
    <t>LEONARDO DE CASTRO PAES</t>
  </si>
  <si>
    <t>50.441.151-2</t>
  </si>
  <si>
    <t>419.674.768-02</t>
  </si>
  <si>
    <t>007/0014/A</t>
  </si>
  <si>
    <t>SANTIELLE RAMONE SOUSA</t>
  </si>
  <si>
    <t>423.868.218-11</t>
  </si>
  <si>
    <t>6014.2026/0002476-0</t>
  </si>
  <si>
    <t>007/0015/A</t>
  </si>
  <si>
    <t>JOSEF DOUGLAS SOUSA SANTOS</t>
  </si>
  <si>
    <t>37.344.332-8</t>
  </si>
  <si>
    <t>499.070.278-63</t>
  </si>
  <si>
    <t>007/0016/A</t>
  </si>
  <si>
    <t>ALINE PATRICIA VIEIRA DA COSTA DOURADO</t>
  </si>
  <si>
    <t>56.160.585-3</t>
  </si>
  <si>
    <t>055.032.735-59</t>
  </si>
  <si>
    <t>007/0017/A</t>
  </si>
  <si>
    <t>LUCIENE FRANÇA MARTINS DE SOUZA</t>
  </si>
  <si>
    <t>57.431.996-7</t>
  </si>
  <si>
    <t>859.622.025-97</t>
  </si>
  <si>
    <t>007/0018/A</t>
  </si>
  <si>
    <t>JOSE AGRICELIO GOMES DA SILVA</t>
  </si>
  <si>
    <t>922.220.131-00</t>
  </si>
  <si>
    <t>007/0019/A</t>
  </si>
  <si>
    <t xml:space="preserve">EDMARIA RODRIGUES DE OLIVEIRA </t>
  </si>
  <si>
    <t>070.030.045-77</t>
  </si>
  <si>
    <t>007/0020/A</t>
  </si>
  <si>
    <t xml:space="preserve">GERARDO GENARO MENDOZA RAMIREZ </t>
  </si>
  <si>
    <t>V485196 -F</t>
  </si>
  <si>
    <t>232.106.818-30</t>
  </si>
  <si>
    <t>V485196-F</t>
  </si>
  <si>
    <t>007/0021/A</t>
  </si>
  <si>
    <t xml:space="preserve">YASMIN QUISBERT MENDOZA </t>
  </si>
  <si>
    <t>39.846.913-1</t>
  </si>
  <si>
    <t>540.743.608/61</t>
  </si>
  <si>
    <t>007/0022/A</t>
  </si>
  <si>
    <t>LILIAN AIKO YAMAKATA DOS SANTOS</t>
  </si>
  <si>
    <t>32.606.871-5</t>
  </si>
  <si>
    <t>298.707.158-26</t>
  </si>
  <si>
    <t>007/0023/A</t>
  </si>
  <si>
    <t xml:space="preserve">ANA SILVA DE SOUZA </t>
  </si>
  <si>
    <t>50.525.983-7</t>
  </si>
  <si>
    <t>502.103.158-90</t>
  </si>
  <si>
    <t>ANA SILVA DE SOUZA</t>
  </si>
  <si>
    <t>6014.2026/0001628-7</t>
  </si>
  <si>
    <t>007/0023/B</t>
  </si>
  <si>
    <t xml:space="preserve">RAFAEL ANGELO VENCESLAU </t>
  </si>
  <si>
    <t>56.548.589-1</t>
  </si>
  <si>
    <t>480.263.638-50</t>
  </si>
  <si>
    <t>6014.2026/0001964-2</t>
  </si>
  <si>
    <t>007/0024/A</t>
  </si>
  <si>
    <t xml:space="preserve">GERIMIAS VENCESLAU </t>
  </si>
  <si>
    <t>38.703.531-X</t>
  </si>
  <si>
    <t>766.632.219-49</t>
  </si>
  <si>
    <t>6014.2026/0000952-3</t>
  </si>
  <si>
    <t>007/0025/A</t>
  </si>
  <si>
    <t>CARLOS ANDRÉ CARDOSO DOS SANTOS</t>
  </si>
  <si>
    <t>56.551.579-2</t>
  </si>
  <si>
    <t>047.544.755-77</t>
  </si>
  <si>
    <t>007/0026/A</t>
  </si>
  <si>
    <t>ANA CLARA CARVALHO LIMA</t>
  </si>
  <si>
    <t>56.523.574-6</t>
  </si>
  <si>
    <t>582.076.258-48</t>
  </si>
  <si>
    <t>007/0027/A</t>
  </si>
  <si>
    <t xml:space="preserve">FRANCISCA MARIA DOS SANTOS </t>
  </si>
  <si>
    <t>16.731.405-1</t>
  </si>
  <si>
    <t>100.174.908-12</t>
  </si>
  <si>
    <t>007/0036/A</t>
  </si>
  <si>
    <t>VALÉRIA DE FÁTIMA DA SILVA ALVES</t>
  </si>
  <si>
    <t>36.778.914-0</t>
  </si>
  <si>
    <t>222.474.318-10</t>
  </si>
  <si>
    <t>007/0037/A</t>
  </si>
  <si>
    <t>THIAGO DE SOUZA MANOEL</t>
  </si>
  <si>
    <t>44.485.848-9</t>
  </si>
  <si>
    <t>363.891.988-92</t>
  </si>
  <si>
    <t>6014.2025/0008628-3</t>
  </si>
  <si>
    <t>007/0038/A</t>
  </si>
  <si>
    <t xml:space="preserve">TAYNÁ TAMARA DA SILVA </t>
  </si>
  <si>
    <t>48.710.655-9</t>
  </si>
  <si>
    <t>422.901.008-70</t>
  </si>
  <si>
    <t>6014.2026/0000579-0</t>
  </si>
  <si>
    <t>007/0039/A</t>
  </si>
  <si>
    <t xml:space="preserve">DARIENE CARDOSO FERREIRA </t>
  </si>
  <si>
    <t>47.050.485-7</t>
  </si>
  <si>
    <t>372.499.828-77</t>
  </si>
  <si>
    <t>007/0040/A</t>
  </si>
  <si>
    <t>JOAB PEREIRA DE ALMEIDA</t>
  </si>
  <si>
    <t>39.941.437-X</t>
  </si>
  <si>
    <t>494.840.298-25</t>
  </si>
  <si>
    <t>007/0041/A</t>
  </si>
  <si>
    <t>UEIDE DOS SANTOS OLIVEIRA</t>
  </si>
  <si>
    <t>66.971.804-X</t>
  </si>
  <si>
    <t>067.367.835-00</t>
  </si>
  <si>
    <t>007/0042/A</t>
  </si>
  <si>
    <t xml:space="preserve">THAINA APARECIDA DA SILVA MARTINS </t>
  </si>
  <si>
    <t>38.624.093-0</t>
  </si>
  <si>
    <t>456.550.968-70</t>
  </si>
  <si>
    <t>008/0001/A</t>
  </si>
  <si>
    <t>MIRELLY CARVALHO LIMA</t>
  </si>
  <si>
    <t>38.489.058-1</t>
  </si>
  <si>
    <t>488.506.108-31</t>
  </si>
  <si>
    <t xml:space="preserve">THAISE CRISTINA DA SILVA </t>
  </si>
  <si>
    <t>47.399.278-4</t>
  </si>
  <si>
    <t>417.623.038-09</t>
  </si>
  <si>
    <t>6014.2026/0002409-3</t>
  </si>
  <si>
    <t>008/0002/A</t>
  </si>
  <si>
    <t xml:space="preserve">GRACIELE MACIEL DE OLIVEIRA </t>
  </si>
  <si>
    <t>47.814.726-0</t>
  </si>
  <si>
    <t>115.513.796-51</t>
  </si>
  <si>
    <t>JOSELMA DE ANDRADE SILVA</t>
  </si>
  <si>
    <t>58.027.090-7</t>
  </si>
  <si>
    <t>476.020.848-88</t>
  </si>
  <si>
    <t>008/0003/A</t>
  </si>
  <si>
    <t xml:space="preserve">SILVIA HELENA DA ROCHA </t>
  </si>
  <si>
    <t>37.441.665-5</t>
  </si>
  <si>
    <t>234.619.438-78</t>
  </si>
  <si>
    <t>6014.2026/0002841-2</t>
  </si>
  <si>
    <t>008/0003/AF2</t>
  </si>
  <si>
    <t>HARLEY LAYENE CUNHA JULIANO DE SOUZA</t>
  </si>
  <si>
    <t>65.499.768-8</t>
  </si>
  <si>
    <t>563.720.768-29</t>
  </si>
  <si>
    <t>008/0004/A</t>
  </si>
  <si>
    <t>MARCUS VINICIUS DA CRUZ OLIVEIRA</t>
  </si>
  <si>
    <t>42.771.678</t>
  </si>
  <si>
    <t>407.404.858-22</t>
  </si>
  <si>
    <t xml:space="preserve">RAIMUNDO OLIVEIRA DE JESUS </t>
  </si>
  <si>
    <t>916.093.995-87</t>
  </si>
  <si>
    <t>008/0005/A</t>
  </si>
  <si>
    <t xml:space="preserve">CLAUDIANE DA SILVA </t>
  </si>
  <si>
    <t>57.845.873-1</t>
  </si>
  <si>
    <t>473.580.528-11</t>
  </si>
  <si>
    <t xml:space="preserve">ANA LÚCIA DOS SANTOS </t>
  </si>
  <si>
    <t>24.375.490-5</t>
  </si>
  <si>
    <t>170.158.758-02</t>
  </si>
  <si>
    <t>6014.2026/0002404-2</t>
  </si>
  <si>
    <t>008/0005/B</t>
  </si>
  <si>
    <t xml:space="preserve">DEISE DOS SANTOS TRINDADE </t>
  </si>
  <si>
    <t>55.066.300-9</t>
  </si>
  <si>
    <t>467.546.278-24</t>
  </si>
  <si>
    <t>6014.2026/0002405-0</t>
  </si>
  <si>
    <t>008/0006/A</t>
  </si>
  <si>
    <t>RODRIGO DA SILVA JESUS</t>
  </si>
  <si>
    <t>60.676.544-X</t>
  </si>
  <si>
    <t>590.286.208-69</t>
  </si>
  <si>
    <t xml:space="preserve">VILMA OLIVEIRA DA SILVA </t>
  </si>
  <si>
    <t>22.127.949-0</t>
  </si>
  <si>
    <t>116.502.758-54</t>
  </si>
  <si>
    <t>6014.2026/0002494-8</t>
  </si>
  <si>
    <t>008/0006/B</t>
  </si>
  <si>
    <t xml:space="preserve">JOÃO VICTOR OLIVEIRA DA SILVA </t>
  </si>
  <si>
    <t>46.309.031-7</t>
  </si>
  <si>
    <t>449.662.908-99</t>
  </si>
  <si>
    <t>6014.2026/0002490-5</t>
  </si>
  <si>
    <t>008/0007/A</t>
  </si>
  <si>
    <t>ROSENILZE MARINHO DE JESUS</t>
  </si>
  <si>
    <t>34.522.622-7</t>
  </si>
  <si>
    <t>334.677.938-60</t>
  </si>
  <si>
    <t xml:space="preserve">THULIO ANTONIO ARAUJO PEREIRA </t>
  </si>
  <si>
    <t>47.855.722-X</t>
  </si>
  <si>
    <t>341.638.368-02</t>
  </si>
  <si>
    <t>EMISSÃO APÓS REGULARIZAÇÃO DE SITUAÇÃO CADASTRAL DO CPF</t>
  </si>
  <si>
    <t>008/0007/B</t>
  </si>
  <si>
    <t>LEMI BELEN COARITE CUARACHI</t>
  </si>
  <si>
    <t>38.475.462-4</t>
  </si>
  <si>
    <t>489.409.628-50</t>
  </si>
  <si>
    <t>008/0008/A</t>
  </si>
  <si>
    <t>FRANCISCO RILDOMAR FURTADO DA SILVA</t>
  </si>
  <si>
    <t>46.957.466-5</t>
  </si>
  <si>
    <t>371.226.088-16</t>
  </si>
  <si>
    <t>MIGUEL ANGEL COARITE APAZA</t>
  </si>
  <si>
    <t>RNE Y261716-0</t>
  </si>
  <si>
    <t>221.498.438-03</t>
  </si>
  <si>
    <t>6014.2026/0002811-0</t>
  </si>
  <si>
    <t>008/0008/B</t>
  </si>
  <si>
    <t xml:space="preserve">MARCELO SUMI GUARACHI </t>
  </si>
  <si>
    <t>G041293-O</t>
  </si>
  <si>
    <t>238.846.478-14</t>
  </si>
  <si>
    <t>RNE - G041293-O</t>
  </si>
  <si>
    <t>008/0009/A</t>
  </si>
  <si>
    <t xml:space="preserve">MARIA RODRIGUES DA SILVA </t>
  </si>
  <si>
    <t>17.183.535</t>
  </si>
  <si>
    <t>053.320.708-88</t>
  </si>
  <si>
    <t>6014.2026/0003289-4</t>
  </si>
  <si>
    <t>RUTE GONÇALVES PEDROSA</t>
  </si>
  <si>
    <t>50.564.750-3</t>
  </si>
  <si>
    <t>460.242.058-30</t>
  </si>
  <si>
    <t>008/0009/AF2</t>
  </si>
  <si>
    <t>THAIS LIMA DOS SANTOS</t>
  </si>
  <si>
    <t>43.425.431-9</t>
  </si>
  <si>
    <t>437.847.608-80</t>
  </si>
  <si>
    <t>008/0010/A</t>
  </si>
  <si>
    <t xml:space="preserve">BIANCA NASCIMENTO DE SOUZA </t>
  </si>
  <si>
    <t>58.570.936-1</t>
  </si>
  <si>
    <t>486.349.508-08</t>
  </si>
  <si>
    <t>6014.2026/0000711-3</t>
  </si>
  <si>
    <t xml:space="preserve">EDILSON PAULO DE ALMEIDA </t>
  </si>
  <si>
    <t>21.974.884-6</t>
  </si>
  <si>
    <t>114.471.348-00</t>
  </si>
  <si>
    <t xml:space="preserve">N.A </t>
  </si>
  <si>
    <t>6014.2026/0003164-2</t>
  </si>
  <si>
    <t>008/0011/A</t>
  </si>
  <si>
    <t xml:space="preserve">JAQUELINE SILVA SANTOS </t>
  </si>
  <si>
    <t>49.122.477-1</t>
  </si>
  <si>
    <t>394.313.848-84</t>
  </si>
  <si>
    <t>6014.2026/0001318-0</t>
  </si>
  <si>
    <t xml:space="preserve">REGINALDO BARRENSE DE LIMA </t>
  </si>
  <si>
    <t>35.617.708-7</t>
  </si>
  <si>
    <t>281.454.818-21</t>
  </si>
  <si>
    <t>6014.2026/0000638-9</t>
  </si>
  <si>
    <t>008/0011/B</t>
  </si>
  <si>
    <t xml:space="preserve">CONSTRUÇÃO </t>
  </si>
  <si>
    <t xml:space="preserve">HUGO GUILHERME DUTRA BARRENSE </t>
  </si>
  <si>
    <t>38.214.153-2</t>
  </si>
  <si>
    <t>459.354.488-23</t>
  </si>
  <si>
    <t>6014.2026/0000858-6</t>
  </si>
  <si>
    <t>008/0012/A</t>
  </si>
  <si>
    <t xml:space="preserve">MATHEUS MARÇAL DA SILVA </t>
  </si>
  <si>
    <t>50.525143-7</t>
  </si>
  <si>
    <t>547.976.668-62</t>
  </si>
  <si>
    <t>008/0012/B</t>
  </si>
  <si>
    <t xml:space="preserve">JOSE BRAGA BATISTA JUNIOR </t>
  </si>
  <si>
    <t>38.788.546-8</t>
  </si>
  <si>
    <t>450.193.268-60</t>
  </si>
  <si>
    <t>008/0012/C</t>
  </si>
  <si>
    <t xml:space="preserve">EDER DA SILVA SOUSA </t>
  </si>
  <si>
    <t>49.471.377-x</t>
  </si>
  <si>
    <t>379.402.438-96</t>
  </si>
  <si>
    <t>008/0013/A</t>
  </si>
  <si>
    <t>FABIO MOITINHO SAMPAIO DE LIMA</t>
  </si>
  <si>
    <t>45.023.167-7</t>
  </si>
  <si>
    <t>386.746.318-27</t>
  </si>
  <si>
    <t>008/0014/A</t>
  </si>
  <si>
    <t xml:space="preserve">SEVERINO BELARMINO DA SILVA </t>
  </si>
  <si>
    <t>52.186.143-3</t>
  </si>
  <si>
    <t>450.407.294-72</t>
  </si>
  <si>
    <t>6014.2026/0002493-0</t>
  </si>
  <si>
    <t>008/0015/A</t>
  </si>
  <si>
    <t xml:space="preserve">SIDNEI ANTÔNIO DA SILVA </t>
  </si>
  <si>
    <t>33.847.462-6</t>
  </si>
  <si>
    <t>272.048.998-06</t>
  </si>
  <si>
    <t>008/0016/A</t>
  </si>
  <si>
    <t>MARIANE CAMILA DE FREITAS VALES</t>
  </si>
  <si>
    <t>44.025.241-6</t>
  </si>
  <si>
    <t>439.697.788-32</t>
  </si>
  <si>
    <t>008/0020/A</t>
  </si>
  <si>
    <r>
      <rPr>
        <sz val="12"/>
        <color rgb="FF000000"/>
        <rFont val="Arial"/>
      </rPr>
      <t xml:space="preserve">PROPRIETÁRIO </t>
    </r>
    <r>
      <rPr>
        <sz val="11"/>
        <color rgb="FF000000"/>
        <rFont val="Aptos Narrow"/>
      </rPr>
      <t>RESIDENTE</t>
    </r>
  </si>
  <si>
    <t xml:space="preserve">SILVANA BARBOSA DOS SANTOS </t>
  </si>
  <si>
    <t>335.100.528-89</t>
  </si>
  <si>
    <t>008/0022/A</t>
  </si>
  <si>
    <t xml:space="preserve">NADIA BEATRIZ DOS SANTOS LIMA </t>
  </si>
  <si>
    <t>52.784.176-6</t>
  </si>
  <si>
    <t>575.611.638-94</t>
  </si>
  <si>
    <t>6014.2026/0000862-4</t>
  </si>
  <si>
    <t>008/0022/B</t>
  </si>
  <si>
    <t>FABRICIA DOS SANTOS PEREIRA</t>
  </si>
  <si>
    <t>416.583.068-21</t>
  </si>
  <si>
    <t>008/0036/A</t>
  </si>
  <si>
    <t>CARLOS ALEXANDRE DE SENA LOBO</t>
  </si>
  <si>
    <t>33.381.749</t>
  </si>
  <si>
    <t>300.973.368-23</t>
  </si>
  <si>
    <t>008/0037/A</t>
  </si>
  <si>
    <t>EMILE FARIAS SILVA</t>
  </si>
  <si>
    <t>58.663.032-6</t>
  </si>
  <si>
    <t>542.961.348-76</t>
  </si>
  <si>
    <t>6014.2026/0001626-0</t>
  </si>
  <si>
    <t>008/0037/B</t>
  </si>
  <si>
    <t xml:space="preserve">TAMARA COSTA SANTOS </t>
  </si>
  <si>
    <t>59.141.465-X</t>
  </si>
  <si>
    <t>542.960.478-09</t>
  </si>
  <si>
    <t>008/0038/A</t>
  </si>
  <si>
    <t>ELIANE RAMOS DE OLIVEIRA</t>
  </si>
  <si>
    <t>376.404.508-61</t>
  </si>
  <si>
    <t>008/0039/A</t>
  </si>
  <si>
    <t>ANDREZA CARDOZO LOPES</t>
  </si>
  <si>
    <t>47.710.628</t>
  </si>
  <si>
    <t>428.795.938-83</t>
  </si>
  <si>
    <t>008/0040/A</t>
  </si>
  <si>
    <t xml:space="preserve">MICKAELE MARINHO GOMES </t>
  </si>
  <si>
    <t>69.420.494-8</t>
  </si>
  <si>
    <t>142.099.664-95</t>
  </si>
  <si>
    <t>008/0040/B</t>
  </si>
  <si>
    <t>DIEGO CRUZ DE ALMEIDA</t>
  </si>
  <si>
    <t>48.683.380</t>
  </si>
  <si>
    <t>429.450.238-06</t>
  </si>
  <si>
    <t>008/0041/A</t>
  </si>
  <si>
    <t xml:space="preserve">EVERTON CESAR DA SILVA MARTINS </t>
  </si>
  <si>
    <t>44.737.016</t>
  </si>
  <si>
    <t>363.508.398-46</t>
  </si>
  <si>
    <t>008/0042/A</t>
  </si>
  <si>
    <t xml:space="preserve">JUCIENE DOS SANTOS SILVA </t>
  </si>
  <si>
    <t>67.511.252-7</t>
  </si>
  <si>
    <t>113.482.394-09</t>
  </si>
  <si>
    <t>6014.2026/0000571-4</t>
  </si>
  <si>
    <t>008/0043/A</t>
  </si>
  <si>
    <t>RAIMUNDO NETO DE SOUZA</t>
  </si>
  <si>
    <t>53.348.015-2</t>
  </si>
  <si>
    <t>308.355.888-07</t>
  </si>
  <si>
    <t>008/0044/A</t>
  </si>
  <si>
    <t xml:space="preserve">GABRIEL CRUZ DE ALMEIDA </t>
  </si>
  <si>
    <t>38.343.917-6</t>
  </si>
  <si>
    <t>466.629.618-25</t>
  </si>
  <si>
    <t>008/0045/A</t>
  </si>
  <si>
    <t xml:space="preserve">JOSÉ CLEMENTINO DA COSTA </t>
  </si>
  <si>
    <t>__</t>
  </si>
  <si>
    <t>688.688.044-68</t>
  </si>
  <si>
    <t>008/0046/A</t>
  </si>
  <si>
    <t xml:space="preserve">EDUARDO CAVALCANTE DE LIMA </t>
  </si>
  <si>
    <t>18.279.169-5</t>
  </si>
  <si>
    <t>605.571.414-00</t>
  </si>
  <si>
    <t>008/0047/A</t>
  </si>
  <si>
    <t>CRISTIANA BERNARDO DA SILVA GOMES</t>
  </si>
  <si>
    <t>66.262.573-0</t>
  </si>
  <si>
    <t>101.325.644-16</t>
  </si>
  <si>
    <t>008/0048/A</t>
  </si>
  <si>
    <t>SUÉLI DA SILVA SANTOS</t>
  </si>
  <si>
    <t>57.846.096-8</t>
  </si>
  <si>
    <t>473.580.608-30</t>
  </si>
  <si>
    <t>008/0048/B</t>
  </si>
  <si>
    <t>ROSINEIDE PEREIRA BARBOSA</t>
  </si>
  <si>
    <t>25.040.180-0</t>
  </si>
  <si>
    <t>012.475.205-52</t>
  </si>
  <si>
    <t>008/0049/A</t>
  </si>
  <si>
    <t>JOELMA BRITO DOS SANTOS</t>
  </si>
  <si>
    <t>33.398.379-8</t>
  </si>
  <si>
    <t>305.598.088-36</t>
  </si>
  <si>
    <t>009/0001/A</t>
  </si>
  <si>
    <t>JÉSSICA LIRA RAMOS BESERRA</t>
  </si>
  <si>
    <t>126.033.314-00</t>
  </si>
  <si>
    <t>EDSON ALEIXO DA SILVA</t>
  </si>
  <si>
    <t>13.536.824-8</t>
  </si>
  <si>
    <t>087.737.558-50</t>
  </si>
  <si>
    <t xml:space="preserve">EDSON ALEIXO DA SILVA </t>
  </si>
  <si>
    <t>009/0002/A</t>
  </si>
  <si>
    <t xml:space="preserve">GLAUCIENE SILVA SOUSA </t>
  </si>
  <si>
    <t>52.027.759-4</t>
  </si>
  <si>
    <t>455.910.638-02</t>
  </si>
  <si>
    <t>BENEFICIO CONGELADO</t>
  </si>
  <si>
    <t xml:space="preserve">MARIA CRISTINA RODRIGUES SOUSA </t>
  </si>
  <si>
    <t>26.741.799-8</t>
  </si>
  <si>
    <t>163.408.698-82</t>
  </si>
  <si>
    <t>6014.2026/0001291-5</t>
  </si>
  <si>
    <t>LARISSA INFANTE SANTOS VIEIRA</t>
  </si>
  <si>
    <t>489.626.798-25</t>
  </si>
  <si>
    <t>009/0003/A</t>
  </si>
  <si>
    <t>CAROLINE GONÇALVES MENDES</t>
  </si>
  <si>
    <t>468.651.518-10</t>
  </si>
  <si>
    <t>009/0004/A</t>
  </si>
  <si>
    <t>EDUARDO DE OLIVEIRA PATROCINIO</t>
  </si>
  <si>
    <t>44.485.426-5</t>
  </si>
  <si>
    <t>390.057.908-30</t>
  </si>
  <si>
    <t>009/0005/A</t>
  </si>
  <si>
    <t xml:space="preserve">PAULO SERGIO FERREIRA DIAS </t>
  </si>
  <si>
    <t>23.538.056-8</t>
  </si>
  <si>
    <t>126.995.408-38</t>
  </si>
  <si>
    <t>009/0006/A</t>
  </si>
  <si>
    <t xml:space="preserve">WILLIAM MACIEL BISPO </t>
  </si>
  <si>
    <t>36.689.884-X</t>
  </si>
  <si>
    <t>362.311.548-74</t>
  </si>
  <si>
    <t>009/0007/A</t>
  </si>
  <si>
    <t xml:space="preserve">GUSTAVO DE SANTANA </t>
  </si>
  <si>
    <t>38.401.030-1</t>
  </si>
  <si>
    <t>009/0008/A</t>
  </si>
  <si>
    <t xml:space="preserve">WENDEL ALEIXO DA SILVA </t>
  </si>
  <si>
    <t>53.062.052-2</t>
  </si>
  <si>
    <t>557.148.858-13</t>
  </si>
  <si>
    <t>009/0009/A</t>
  </si>
  <si>
    <t xml:space="preserve">JAQUELINE GONÇALVES FERREIRA SILVA </t>
  </si>
  <si>
    <t>43.566.155-3</t>
  </si>
  <si>
    <t>451.449.698-79</t>
  </si>
  <si>
    <t>009/0010/A</t>
  </si>
  <si>
    <t>LARISSA MICAELA REIS DE JESUS</t>
  </si>
  <si>
    <t>48.128.706-1</t>
  </si>
  <si>
    <t>432.668.978-11</t>
  </si>
  <si>
    <t>009/0011/A</t>
  </si>
  <si>
    <t xml:space="preserve">ARTUR VIANA DOS SANTOS FILHO </t>
  </si>
  <si>
    <t>39.180.004-8</t>
  </si>
  <si>
    <t>002.980.685-24</t>
  </si>
  <si>
    <t>6014.2026/0003291-6</t>
  </si>
  <si>
    <t>009/0012/A</t>
  </si>
  <si>
    <t>FAGNER NUNES GONÇALVES</t>
  </si>
  <si>
    <t>44.485.726-6</t>
  </si>
  <si>
    <t>342.794.248-10</t>
  </si>
  <si>
    <t>009/0013/A</t>
  </si>
  <si>
    <t xml:space="preserve">ISABELLA SOUZA ARAUJO </t>
  </si>
  <si>
    <t>53.959.363-1</t>
  </si>
  <si>
    <t>474.279.248-35</t>
  </si>
  <si>
    <t>009/0014/A</t>
  </si>
  <si>
    <t xml:space="preserve">JACILENE GERALDO DOS SANTOS </t>
  </si>
  <si>
    <t>49.501.134-4</t>
  </si>
  <si>
    <t>387.683.258-60</t>
  </si>
  <si>
    <t>009/0014/AF2</t>
  </si>
  <si>
    <t>RAFAEL APARECIDO DOS SANTOS</t>
  </si>
  <si>
    <t>46.083.500-2</t>
  </si>
  <si>
    <t>400.449.828-79</t>
  </si>
  <si>
    <t>009/0015/A</t>
  </si>
  <si>
    <t>JESSICA DE SOUZA OLIVEIRA</t>
  </si>
  <si>
    <t>43.645.873-1</t>
  </si>
  <si>
    <t xml:space="preserve">415.104.468-00 </t>
  </si>
  <si>
    <t>009/0016/A</t>
  </si>
  <si>
    <t xml:space="preserve">ALEXANDRE GABRIEL GONÇALVES DOS SANTOS </t>
  </si>
  <si>
    <t>54.572.651-7</t>
  </si>
  <si>
    <t>156.394.854-00</t>
  </si>
  <si>
    <t>009/0017/A</t>
  </si>
  <si>
    <t>ANTONIO MARCOS DOS SANTOS</t>
  </si>
  <si>
    <t>222.428.258-36</t>
  </si>
  <si>
    <t>009/0018/A</t>
  </si>
  <si>
    <t>RODRIGO REIS DOS SANTOS</t>
  </si>
  <si>
    <t>049.291.415-08</t>
  </si>
  <si>
    <t>009/0019/A</t>
  </si>
  <si>
    <t xml:space="preserve">JONATHAN MOREIA DOS SANTOS </t>
  </si>
  <si>
    <t>50.836.745-1</t>
  </si>
  <si>
    <t>900.558.188-38</t>
  </si>
  <si>
    <t>009/0020/A</t>
  </si>
  <si>
    <t xml:space="preserve">LUCAS RAFAEL DA SILVA </t>
  </si>
  <si>
    <t>38.538.236-4</t>
  </si>
  <si>
    <t>211.226.577-65</t>
  </si>
  <si>
    <t>009/0021/A</t>
  </si>
  <si>
    <t xml:space="preserve">CIRO ANDRE FRANÇA FILHO </t>
  </si>
  <si>
    <t>49.674.441-0</t>
  </si>
  <si>
    <t>445.456.048-03</t>
  </si>
  <si>
    <t>009/0022/A</t>
  </si>
  <si>
    <t>DIEGO DE SOUSA SAMPAIO</t>
  </si>
  <si>
    <t>34.701.987-0</t>
  </si>
  <si>
    <t>146.005.857-71</t>
  </si>
  <si>
    <t>009/0023/A</t>
  </si>
  <si>
    <t>TABATA ROBERTA ROCHA DA SILVA</t>
  </si>
  <si>
    <t>49.147.835-5</t>
  </si>
  <si>
    <t>403.870.188-32</t>
  </si>
  <si>
    <t>6014.2025/0008170-2</t>
  </si>
  <si>
    <t xml:space="preserve">CAROLINE JOSIANE PINTO DURGAN </t>
  </si>
  <si>
    <t>49.480.603-5</t>
  </si>
  <si>
    <t>389.819.768-99</t>
  </si>
  <si>
    <t>009/0024/A</t>
  </si>
  <si>
    <t xml:space="preserve">DOUGLAS VICTOR FAUSTINO CASTANHEIRA </t>
  </si>
  <si>
    <t>59.101.332-0</t>
  </si>
  <si>
    <t>901.788.138-00</t>
  </si>
  <si>
    <t>009/0024/A F2</t>
  </si>
  <si>
    <t>NOEMI MARIA DOS SANTOS PEREIRA</t>
  </si>
  <si>
    <t>37.654.908-7</t>
  </si>
  <si>
    <t>498.519.968-07</t>
  </si>
  <si>
    <t>009/0025/A</t>
  </si>
  <si>
    <t>TIAGO FAUTINO SOUZA</t>
  </si>
  <si>
    <t>103.095.736-37</t>
  </si>
  <si>
    <t>JORGE ALEXANDRE ALVES DOS SANTOS</t>
  </si>
  <si>
    <t>14.701.428-1</t>
  </si>
  <si>
    <t>023.425.508-04</t>
  </si>
  <si>
    <t>009/0026/A</t>
  </si>
  <si>
    <t xml:space="preserve">MAURILIO JOSE DE SOUZA </t>
  </si>
  <si>
    <t>38.109.348-7</t>
  </si>
  <si>
    <t>307.524.003-63</t>
  </si>
  <si>
    <t>6014.2026/0000955-8</t>
  </si>
  <si>
    <t>SAMIRA DE SANTANA ANDRADE</t>
  </si>
  <si>
    <t>38.401.076-3</t>
  </si>
  <si>
    <t>471.022.278-92</t>
  </si>
  <si>
    <t>009/0026/B</t>
  </si>
  <si>
    <t>RAIMUNDA DE SANTANA</t>
  </si>
  <si>
    <t>29.015.006-1</t>
  </si>
  <si>
    <t>290.136.738-05</t>
  </si>
  <si>
    <t>009/0027/A</t>
  </si>
  <si>
    <t>GABRIELA RODRIGUES CAVALCANTE</t>
  </si>
  <si>
    <t>48.689.130.6</t>
  </si>
  <si>
    <t>383.398.028.10</t>
  </si>
  <si>
    <t xml:space="preserve">VALDELICIO OLIVEIRA DOS SANTOS </t>
  </si>
  <si>
    <t>23.791.924-2</t>
  </si>
  <si>
    <t>523.435.455-53</t>
  </si>
  <si>
    <t>009/0028/A</t>
  </si>
  <si>
    <t>ROBSON REIS DOS SANTOS GONZALEZ</t>
  </si>
  <si>
    <t>53.296.958.3</t>
  </si>
  <si>
    <t>392.069.708.10</t>
  </si>
  <si>
    <t>ROSINALVA RUTE MARÇAL DE OLIVEIRA</t>
  </si>
  <si>
    <t>53.746.680-0</t>
  </si>
  <si>
    <t>107.400.846.40</t>
  </si>
  <si>
    <t>009/0029/A</t>
  </si>
  <si>
    <t>CARLOS EDUARDO OLIVEIRA SANTOS</t>
  </si>
  <si>
    <t>53.025.253-3</t>
  </si>
  <si>
    <t>411.396.438/60</t>
  </si>
  <si>
    <t xml:space="preserve">MARIA NEUZA BISPO DA SILVA </t>
  </si>
  <si>
    <t>54.101.696-9</t>
  </si>
  <si>
    <t>461.905.705-34</t>
  </si>
  <si>
    <t>BLOQUEADO E EXCLUIDO DEVIDO AO RECEBIMENTO DE VERBA INDENIZATÓRIA</t>
  </si>
  <si>
    <t>6014.2026/0003288-6</t>
  </si>
  <si>
    <t>009/0030/A</t>
  </si>
  <si>
    <t>WILSON FAUSTO DA SILVA</t>
  </si>
  <si>
    <t>41.131.497</t>
  </si>
  <si>
    <t>335.974.248.64</t>
  </si>
  <si>
    <t>ALINE SILVA SOUZA</t>
  </si>
  <si>
    <t>44.862.733-4</t>
  </si>
  <si>
    <t>377.484.518-26</t>
  </si>
  <si>
    <t>6014.2026/0002350-0</t>
  </si>
  <si>
    <t>010/0001/A</t>
  </si>
  <si>
    <t xml:space="preserve">DENISE ALEIXO DA SILVA </t>
  </si>
  <si>
    <t>30.631.886-6</t>
  </si>
  <si>
    <t>265.796.368-40</t>
  </si>
  <si>
    <t>ROMILDO DA SILVA</t>
  </si>
  <si>
    <t>48.203.684-9</t>
  </si>
  <si>
    <t>407.376.338-59</t>
  </si>
  <si>
    <t>010/0002/A</t>
  </si>
  <si>
    <t>GABRIELY CHRISTINA DOS SANTOS</t>
  </si>
  <si>
    <t>55.327.384-X</t>
  </si>
  <si>
    <t>568.296.688-08</t>
  </si>
  <si>
    <t xml:space="preserve">ALLANA CRISTINA DE OLIVEIRA LIMA </t>
  </si>
  <si>
    <t>43.707.559-X</t>
  </si>
  <si>
    <t>237.842.998-30</t>
  </si>
  <si>
    <t>010/0002/B</t>
  </si>
  <si>
    <t>CAMILY PEREIRA BRIGIDO DA SILVA</t>
  </si>
  <si>
    <t>63.617.527-3</t>
  </si>
  <si>
    <t>532.437.708-23</t>
  </si>
  <si>
    <t>010/0002/C</t>
  </si>
  <si>
    <t xml:space="preserve">ALLEF PATRICK LIMA DA SILVA </t>
  </si>
  <si>
    <t>42.503.615-7</t>
  </si>
  <si>
    <t>440.687.368-63</t>
  </si>
  <si>
    <t>010/0003/A</t>
  </si>
  <si>
    <t>LARISSA LEITE DE JESUS</t>
  </si>
  <si>
    <t>54.414.895-1</t>
  </si>
  <si>
    <t>503.215.598-51</t>
  </si>
  <si>
    <t xml:space="preserve">PATRICIA PAZ DOMINGUES </t>
  </si>
  <si>
    <t>42.483.734-1</t>
  </si>
  <si>
    <t>297.144.758-80</t>
  </si>
  <si>
    <t>010/0003/B</t>
  </si>
  <si>
    <t>THAUANE PAZ DOMINGUES</t>
  </si>
  <si>
    <t>54.800.350-6</t>
  </si>
  <si>
    <t>451.398.458-90</t>
  </si>
  <si>
    <t>010/0004/A</t>
  </si>
  <si>
    <t>JOSÉ ARMANDO DA SILVA</t>
  </si>
  <si>
    <t>69.214.792-5</t>
  </si>
  <si>
    <t>568.824.818-14</t>
  </si>
  <si>
    <t>6014.2025/0008186-9</t>
  </si>
  <si>
    <t>MARIA SANTANA DE SOUZA SANTOS PAIVA</t>
  </si>
  <si>
    <t>22.713.753-X</t>
  </si>
  <si>
    <t>134.774.498-35</t>
  </si>
  <si>
    <t>6014.2026/0002351-8</t>
  </si>
  <si>
    <t>010/0005/A</t>
  </si>
  <si>
    <t xml:space="preserve">EDEILSON JOSE OLIVEIRA DA SILVA </t>
  </si>
  <si>
    <t>34.137.210-9</t>
  </si>
  <si>
    <t>320.651.118-60</t>
  </si>
  <si>
    <t xml:space="preserve">IVANICE BARROS ALVES </t>
  </si>
  <si>
    <t>30.326.198-1</t>
  </si>
  <si>
    <t>326.175.198-30</t>
  </si>
  <si>
    <t>010/0005/B</t>
  </si>
  <si>
    <t>THAIS DA SILVA SOUSA</t>
  </si>
  <si>
    <t>43.239.22-9</t>
  </si>
  <si>
    <t>439.982.788-26</t>
  </si>
  <si>
    <t>010/0005/C</t>
  </si>
  <si>
    <t>BRUNO VINICIUS LINS DE MOURA</t>
  </si>
  <si>
    <t>54.572.685-2</t>
  </si>
  <si>
    <t>497.282.738-60</t>
  </si>
  <si>
    <t>010/0005/D</t>
  </si>
  <si>
    <t xml:space="preserve">MARGARETE DANTAS DA SILVA </t>
  </si>
  <si>
    <t>299.573.188-02</t>
  </si>
  <si>
    <t>010/0005/E</t>
  </si>
  <si>
    <t>63.952.612-3</t>
  </si>
  <si>
    <t>568.490.338-08</t>
  </si>
  <si>
    <t>010/0006/A</t>
  </si>
  <si>
    <t xml:space="preserve">FLÁVIO EDUARDO DA SILVA SANTOS </t>
  </si>
  <si>
    <t>43.298.429-X</t>
  </si>
  <si>
    <t>345.964.958-58</t>
  </si>
  <si>
    <t>6014.2026/0000923-0</t>
  </si>
  <si>
    <t>MIRINALVA ARAÚJO VITAL</t>
  </si>
  <si>
    <t>37.400.754-8</t>
  </si>
  <si>
    <t>684.369.392-04</t>
  </si>
  <si>
    <t>010/0007/A</t>
  </si>
  <si>
    <t xml:space="preserve">ELISANGELA DA SILVA OLIVEIRA </t>
  </si>
  <si>
    <t>396.896.318-02</t>
  </si>
  <si>
    <t xml:space="preserve">ROSANA MARQUES DA SILVA RIBEIRO NUNES </t>
  </si>
  <si>
    <t>49.655.894-8</t>
  </si>
  <si>
    <t>398.196.018-19</t>
  </si>
  <si>
    <t>010/0008/A</t>
  </si>
  <si>
    <t xml:space="preserve">KELLY CRISTINA SILVA TENÓRIO </t>
  </si>
  <si>
    <t>52.220.789.3</t>
  </si>
  <si>
    <t>495.985.288.71</t>
  </si>
  <si>
    <t>6014.2026/0000929-9</t>
  </si>
  <si>
    <t>MAYARA DRIELLE RIBEIRO ALVES</t>
  </si>
  <si>
    <t>47.621.820-2</t>
  </si>
  <si>
    <t>363.772.688-23</t>
  </si>
  <si>
    <t>6014.2026/0005792-7</t>
  </si>
  <si>
    <t>010/0009/A</t>
  </si>
  <si>
    <t xml:space="preserve">BENEDITO OLIVEIRA FERNANDES </t>
  </si>
  <si>
    <t>32.565.470-0</t>
  </si>
  <si>
    <t>900.835.818-20</t>
  </si>
  <si>
    <t>010/0009/AF2</t>
  </si>
  <si>
    <t>STEFANIE DEJANIRA FERNANDES OLIVEIRA</t>
  </si>
  <si>
    <t>32.798.584-7</t>
  </si>
  <si>
    <t>353.877.818-32</t>
  </si>
  <si>
    <t>010/0010/A</t>
  </si>
  <si>
    <t>ERIVÂNIA GAMA DE OLIVEIRA</t>
  </si>
  <si>
    <t>67.083.848-2</t>
  </si>
  <si>
    <t>099.196.314-85</t>
  </si>
  <si>
    <t>010/0010/B</t>
  </si>
  <si>
    <t>GIPSON ALVES DE SOUZA SILVA</t>
  </si>
  <si>
    <t>55.340.118-X</t>
  </si>
  <si>
    <t>053.833.544-09</t>
  </si>
  <si>
    <t>010/0010/C</t>
  </si>
  <si>
    <t xml:space="preserve">GABRIEL JOSE DOS SANTOS </t>
  </si>
  <si>
    <t>68.850.189-8</t>
  </si>
  <si>
    <t>137.371.864-13</t>
  </si>
  <si>
    <t>6014.2026/0001017-3</t>
  </si>
  <si>
    <t>010/0011/A</t>
  </si>
  <si>
    <t xml:space="preserve">MARCIO ANTONIO ANTUNES </t>
  </si>
  <si>
    <t>11.466.783.4</t>
  </si>
  <si>
    <t>013.716.938-89</t>
  </si>
  <si>
    <t>010/0011/B</t>
  </si>
  <si>
    <t>KARINA FERREIRA DE SOUZA</t>
  </si>
  <si>
    <t>55.783.293-7</t>
  </si>
  <si>
    <t>488.502.738-19</t>
  </si>
  <si>
    <t>010/0014/A</t>
  </si>
  <si>
    <t>BERENICE ALVES DE CARVALHO</t>
  </si>
  <si>
    <t>19.060.432-3</t>
  </si>
  <si>
    <t>168.897.918-27</t>
  </si>
  <si>
    <t>010/0016/A</t>
  </si>
  <si>
    <t xml:space="preserve">LIDIANA NAZARÉ SILVA </t>
  </si>
  <si>
    <t>431.513.838-07</t>
  </si>
  <si>
    <t>010/0016/B</t>
  </si>
  <si>
    <t>PAULO RODRIGO SILVA DE SOUZA</t>
  </si>
  <si>
    <t>241.668.228-88</t>
  </si>
  <si>
    <t>010/0017/A</t>
  </si>
  <si>
    <t xml:space="preserve">MARCIO MOREIRA DO NASCIMENTO </t>
  </si>
  <si>
    <t>49.364.899.9</t>
  </si>
  <si>
    <t>366.322.638-79</t>
  </si>
  <si>
    <t>010/0017/B</t>
  </si>
  <si>
    <t>MILENA DOS ANJOS SILVA</t>
  </si>
  <si>
    <t>38.200.212-X</t>
  </si>
  <si>
    <t>339.404.708-05</t>
  </si>
  <si>
    <t>6014.2026/0002375-5</t>
  </si>
  <si>
    <t>010/0018/A</t>
  </si>
  <si>
    <t>FRANCISCO ERONILDO DE LIMA</t>
  </si>
  <si>
    <t>25.926.061</t>
  </si>
  <si>
    <t>148.252.318-37</t>
  </si>
  <si>
    <t>010/0019/A</t>
  </si>
  <si>
    <t>KAILAINE SILVA SANTOS</t>
  </si>
  <si>
    <t>39.939.962-8</t>
  </si>
  <si>
    <t>442.136.868-76</t>
  </si>
  <si>
    <t>010/0019/B</t>
  </si>
  <si>
    <t>MARIA PAMELA GOMES DA SILVA</t>
  </si>
  <si>
    <t>47.927.964-0</t>
  </si>
  <si>
    <t>236.235.118-11</t>
  </si>
  <si>
    <t>010/0020/A</t>
  </si>
  <si>
    <t>ISRAEL BEZERRA PINHEIRO</t>
  </si>
  <si>
    <t>53.889.356-4</t>
  </si>
  <si>
    <t>070.229.744-54</t>
  </si>
  <si>
    <t>010/0021/A</t>
  </si>
  <si>
    <t>JUNIO ORACIO DE SOUZA</t>
  </si>
  <si>
    <t>66.363.737-5</t>
  </si>
  <si>
    <t>039.916.655-65</t>
  </si>
  <si>
    <t>N</t>
  </si>
  <si>
    <t>010/0022/A</t>
  </si>
  <si>
    <t>RENATO SILVA DE SOUZA</t>
  </si>
  <si>
    <t>470.536.838-00</t>
  </si>
  <si>
    <t>010/0023/A</t>
  </si>
  <si>
    <t xml:space="preserve">NATALICE PEREIRA PIMENTEL  </t>
  </si>
  <si>
    <t>44.804.110-8</t>
  </si>
  <si>
    <t>425.219.628-05</t>
  </si>
  <si>
    <t>010/0024/A</t>
  </si>
  <si>
    <t>FLAVIO ALVES DA SILVA</t>
  </si>
  <si>
    <t>45.661.986-0</t>
  </si>
  <si>
    <t>377.588.878-05</t>
  </si>
  <si>
    <t>6014.2026/0002488-3</t>
  </si>
  <si>
    <t>010/0025/A</t>
  </si>
  <si>
    <t>RODRIGO FERREIRA DE CAMPOS</t>
  </si>
  <si>
    <t>35.010.730-0</t>
  </si>
  <si>
    <t>329.037.168-97</t>
  </si>
  <si>
    <t>010/0026/A</t>
  </si>
  <si>
    <t>JULIANA APARECIDA DA SILVA</t>
  </si>
  <si>
    <t>47.545.059-0</t>
  </si>
  <si>
    <t>400.720.548-59</t>
  </si>
  <si>
    <t>6014.2025/0008381-0</t>
  </si>
  <si>
    <t>010/0027/A</t>
  </si>
  <si>
    <t>TALITA SILVA DOS SANTOS</t>
  </si>
  <si>
    <t>44.110.371-6</t>
  </si>
  <si>
    <t>398.601.158-77</t>
  </si>
  <si>
    <t>010/0027/B</t>
  </si>
  <si>
    <t xml:space="preserve">SABRINA SANTOS DA SILVA </t>
  </si>
  <si>
    <t>43.498.849-2</t>
  </si>
  <si>
    <t>440.270.638-64</t>
  </si>
  <si>
    <t>010/0028/A</t>
  </si>
  <si>
    <t xml:space="preserve">DAYANA PEREIRA DOS SANTOS </t>
  </si>
  <si>
    <t>39.618.802-3</t>
  </si>
  <si>
    <t>385.733.578-51</t>
  </si>
  <si>
    <t>011/0001/A</t>
  </si>
  <si>
    <t>FLAVIO JOSE DOS SANTOS</t>
  </si>
  <si>
    <t>48.578.017-3</t>
  </si>
  <si>
    <t>098.364.634-10</t>
  </si>
  <si>
    <t>011/0001/AF2</t>
  </si>
  <si>
    <t xml:space="preserve">IZABELLA ALEXANDRE SANTOS </t>
  </si>
  <si>
    <t>66.107.500-x</t>
  </si>
  <si>
    <t>575.445.478-33</t>
  </si>
  <si>
    <t>011/0002/A</t>
  </si>
  <si>
    <t>BRENO FREITAS DE CAMPOS</t>
  </si>
  <si>
    <t>57.090.121-2</t>
  </si>
  <si>
    <t>478.786.448-37</t>
  </si>
  <si>
    <t>011/0003/A</t>
  </si>
  <si>
    <t xml:space="preserve">PAULO FELIX DA SILVA </t>
  </si>
  <si>
    <t>67.132.121-3</t>
  </si>
  <si>
    <t>428.824.328-95</t>
  </si>
  <si>
    <t>011/0004/A</t>
  </si>
  <si>
    <t>GISLAINE SILVA ALVES DE ASSIS</t>
  </si>
  <si>
    <t>52.762.736-7</t>
  </si>
  <si>
    <t>508.584.008-98</t>
  </si>
  <si>
    <t>011/0005/A</t>
  </si>
  <si>
    <t>RIQUELVI PROSPERO OLIVEIRA</t>
  </si>
  <si>
    <t>53.267.540-X</t>
  </si>
  <si>
    <t>610.144.638-74</t>
  </si>
  <si>
    <t>011/0006/A</t>
  </si>
  <si>
    <t>JOSÉ HERMOGENES DA SILVA FILHO</t>
  </si>
  <si>
    <t>14.236.581-6</t>
  </si>
  <si>
    <t>075.010.178-40</t>
  </si>
  <si>
    <t>011/0006/B</t>
  </si>
  <si>
    <t>RAFAEL HERMOGENES DA SILVA</t>
  </si>
  <si>
    <t>49.588.302-5</t>
  </si>
  <si>
    <t>411.376.778-56</t>
  </si>
  <si>
    <t>011/0007/A</t>
  </si>
  <si>
    <t xml:space="preserve">ANDRESSA RAMALHO DOS SANTOS </t>
  </si>
  <si>
    <t>57.821.564-0</t>
  </si>
  <si>
    <t>480.715.648-93</t>
  </si>
  <si>
    <t>6014.2026/0000639-7</t>
  </si>
  <si>
    <t>011/0008/A</t>
  </si>
  <si>
    <t xml:space="preserve">ARINETE MARIA DA CONCEIÇÃO </t>
  </si>
  <si>
    <t>21.931.578-4</t>
  </si>
  <si>
    <t>111.821.388-29</t>
  </si>
  <si>
    <t>6014.2026/0000644-3</t>
  </si>
  <si>
    <t>011/0008/B</t>
  </si>
  <si>
    <t xml:space="preserve">MARIA CRISTINA RAMALHO </t>
  </si>
  <si>
    <t>35.685.712-8</t>
  </si>
  <si>
    <t>336.853.448-38</t>
  </si>
  <si>
    <t>6014.2026/0001026-2</t>
  </si>
  <si>
    <t>011/0009/A</t>
  </si>
  <si>
    <t xml:space="preserve">EDISON DE JESUS </t>
  </si>
  <si>
    <t>36.975.138-3</t>
  </si>
  <si>
    <t>383.805.365-68</t>
  </si>
  <si>
    <t>6014.2026/0000710-5</t>
  </si>
  <si>
    <t>011/0010/A</t>
  </si>
  <si>
    <t xml:space="preserve">NATALIA APARECIDA ALVES DA COSTA </t>
  </si>
  <si>
    <t>55.373.113.0</t>
  </si>
  <si>
    <t>484.300.858-31</t>
  </si>
  <si>
    <t>011/0010/AF2</t>
  </si>
  <si>
    <t xml:space="preserve">COABITAÇÃO </t>
  </si>
  <si>
    <t xml:space="preserve">EDNALVA JOANA DE MORAIS </t>
  </si>
  <si>
    <t>38.406.353-6</t>
  </si>
  <si>
    <t>417.109.245-00</t>
  </si>
  <si>
    <t>011/0010/B</t>
  </si>
  <si>
    <t>ANATANE APARECIDA CLAUDIO</t>
  </si>
  <si>
    <t>42.066.749-0</t>
  </si>
  <si>
    <t>371.988.758-82</t>
  </si>
  <si>
    <t>011/0010/BF2</t>
  </si>
  <si>
    <t>NAILLY CLAUDIO</t>
  </si>
  <si>
    <t>68.757.484-5</t>
  </si>
  <si>
    <t>598.088.248-03</t>
  </si>
  <si>
    <t>011/0011/A</t>
  </si>
  <si>
    <t>WENDER APARECIDO DE ANDRADE PEREIRA</t>
  </si>
  <si>
    <t>41.639.822-4</t>
  </si>
  <si>
    <t>460.195.678-18</t>
  </si>
  <si>
    <t>6014.2025/0008163-0</t>
  </si>
  <si>
    <t>011/0011/B</t>
  </si>
  <si>
    <t>CÉLIA DE ANDRADE GOMES</t>
  </si>
  <si>
    <t>40.663.599-7</t>
  </si>
  <si>
    <t>374.927.178-06</t>
  </si>
  <si>
    <t>011/0012/A</t>
  </si>
  <si>
    <t>GRASIELA ROMÃO DOS SANTOS</t>
  </si>
  <si>
    <t>60.077.300-0</t>
  </si>
  <si>
    <t>499.424.408-10</t>
  </si>
  <si>
    <t>011/0013/A</t>
  </si>
  <si>
    <t>ANA PAULA SANTOS DE SOUZA</t>
  </si>
  <si>
    <t>64.816.838-4</t>
  </si>
  <si>
    <t>554.151.688-93</t>
  </si>
  <si>
    <t>011/0014/A</t>
  </si>
  <si>
    <t xml:space="preserve">ROSELI DE ANDRADE SANTOS </t>
  </si>
  <si>
    <t>361.539.758-44</t>
  </si>
  <si>
    <t>011/0015/A</t>
  </si>
  <si>
    <t xml:space="preserve">JOSAFA VIEGA BELARMINO </t>
  </si>
  <si>
    <t>29.987.638-x</t>
  </si>
  <si>
    <t>251.726.298-58</t>
  </si>
  <si>
    <t>011/0016/A</t>
  </si>
  <si>
    <t>CRISLAYNE APARECIDA THOMAZ DOS SANTOS</t>
  </si>
  <si>
    <t>56.554.100-6</t>
  </si>
  <si>
    <t>457.226.358-20</t>
  </si>
  <si>
    <t>6014.2025/0008165-6</t>
  </si>
  <si>
    <t>011/0017/A</t>
  </si>
  <si>
    <t>DOJIVAL SPINA LUCAS</t>
  </si>
  <si>
    <t>182.372.988-61</t>
  </si>
  <si>
    <t>011/0018/A</t>
  </si>
  <si>
    <t>MIRIAM ALVES DA SILVA</t>
  </si>
  <si>
    <t>33.946.889-0</t>
  </si>
  <si>
    <t>308.479.648-33</t>
  </si>
  <si>
    <t>6014.2025/0008182-6</t>
  </si>
  <si>
    <t>011/0019/A</t>
  </si>
  <si>
    <t xml:space="preserve">MARIA DE LOURDES RIBEIRO SANTOS  </t>
  </si>
  <si>
    <t>62.568.096-0</t>
  </si>
  <si>
    <t>004.425.955-73</t>
  </si>
  <si>
    <t>011/0019/B</t>
  </si>
  <si>
    <t xml:space="preserve">IARA SANTOS DE SOUZA </t>
  </si>
  <si>
    <t>59.359.291.8</t>
  </si>
  <si>
    <t>491.940.698-32</t>
  </si>
  <si>
    <t>011/0019/C</t>
  </si>
  <si>
    <t xml:space="preserve">ROSÂNGELA SANTOS SOUZA </t>
  </si>
  <si>
    <t>560.402.838-07</t>
  </si>
  <si>
    <t>011/0020/A</t>
  </si>
  <si>
    <t>LEANDRO DOS SANTOS</t>
  </si>
  <si>
    <t>59.851.391-7</t>
  </si>
  <si>
    <t>588.772.378-56</t>
  </si>
  <si>
    <t>ROSALINA DOS SANTOS</t>
  </si>
  <si>
    <t>387.864.698-43</t>
  </si>
  <si>
    <t>6014.2025/0008175-3</t>
  </si>
  <si>
    <t>011/0021/A</t>
  </si>
  <si>
    <t>CARMITA MOREIRA DOS SANTOS</t>
  </si>
  <si>
    <t>66.846.128-7</t>
  </si>
  <si>
    <t>022.660.235-43</t>
  </si>
  <si>
    <t>011/0022/A</t>
  </si>
  <si>
    <t>JENIFFER CRISTINA FERREIRA MORAES LIMA</t>
  </si>
  <si>
    <t>39.090.194-5</t>
  </si>
  <si>
    <t>459.777.428-94</t>
  </si>
  <si>
    <t>011/0023/A</t>
  </si>
  <si>
    <t>SEBASTIÃO DOS SANTOS CASTRO</t>
  </si>
  <si>
    <t>68.334.208-3</t>
  </si>
  <si>
    <t>381.226.978-36</t>
  </si>
  <si>
    <t>6014.2025/0008624-0</t>
  </si>
  <si>
    <t>011/0024/A</t>
  </si>
  <si>
    <t>NAIARA SANTOS LIMA DA SILVA</t>
  </si>
  <si>
    <t>48.303.126-4</t>
  </si>
  <si>
    <t>447.209.238-79</t>
  </si>
  <si>
    <t>011/0025/A</t>
  </si>
  <si>
    <t>LUANA DE SOUSA JACOB</t>
  </si>
  <si>
    <t>50.927.932-6</t>
  </si>
  <si>
    <t>570.884.358-61</t>
  </si>
  <si>
    <t>011/0025/B</t>
  </si>
  <si>
    <t>ROZINEIDE DE SOUSA QUEIROZ</t>
  </si>
  <si>
    <t>62.495.527-8</t>
  </si>
  <si>
    <t>304.663.378-50</t>
  </si>
  <si>
    <t>011/0026/A</t>
  </si>
  <si>
    <t xml:space="preserve">ERENITA MARIA DA SILVA </t>
  </si>
  <si>
    <t>066.954.618-64</t>
  </si>
  <si>
    <t>6014.2026/0000704-0</t>
  </si>
  <si>
    <t>011/0027/A</t>
  </si>
  <si>
    <t>MIRIAN MARQUES CORREIA</t>
  </si>
  <si>
    <t>40.662.922-5</t>
  </si>
  <si>
    <t>346.020.508-32</t>
  </si>
  <si>
    <t>011/0028/A</t>
  </si>
  <si>
    <t>ALINE ALVES DAMASCENO</t>
  </si>
  <si>
    <t>63.238.617-4</t>
  </si>
  <si>
    <t>106.535.934-90</t>
  </si>
  <si>
    <t>6014.2025/0008160-5</t>
  </si>
  <si>
    <t>011/0029/A</t>
  </si>
  <si>
    <t>CLAUDENICE FRÓES SILVA</t>
  </si>
  <si>
    <t>63.946.279-0</t>
  </si>
  <si>
    <t>031.645.753-19</t>
  </si>
  <si>
    <t>011/0030/A</t>
  </si>
  <si>
    <t xml:space="preserve">RODRIGO DOS SANTOS LIMA </t>
  </si>
  <si>
    <t>43.833.288-x</t>
  </si>
  <si>
    <t>323.772.558-76</t>
  </si>
  <si>
    <t xml:space="preserve">VIVIAN MARIA SOARES </t>
  </si>
  <si>
    <t>28.142.019-1</t>
  </si>
  <si>
    <t>268.550.718-30</t>
  </si>
  <si>
    <t>6014.2026/0000589-7</t>
  </si>
  <si>
    <t>011/0031/A</t>
  </si>
  <si>
    <t>SIRLÉIA MARIA DA ROCHA</t>
  </si>
  <si>
    <t>43.575.867-6</t>
  </si>
  <si>
    <t>435.407.988-70</t>
  </si>
  <si>
    <t>6014.2025/0008172-9</t>
  </si>
  <si>
    <t>011/0032/A</t>
  </si>
  <si>
    <t>VILMA ROSA DOS SANTOS</t>
  </si>
  <si>
    <t>44.264.896-0</t>
  </si>
  <si>
    <t>451.403.818-00</t>
  </si>
  <si>
    <t>6014.2025/0008166-4</t>
  </si>
  <si>
    <t>011/0032/B</t>
  </si>
  <si>
    <t>PABLO MARLEY DOS SANTOS</t>
  </si>
  <si>
    <t>59.007.225-9</t>
  </si>
  <si>
    <t>588.832.018-84</t>
  </si>
  <si>
    <t>6014.2025/0008180-0</t>
  </si>
  <si>
    <t>011/0033/A</t>
  </si>
  <si>
    <t xml:space="preserve">TAUANA CHAYARA FERREIRA ALVES </t>
  </si>
  <si>
    <t>64.638.018-7</t>
  </si>
  <si>
    <t>241.228.328-10</t>
  </si>
  <si>
    <t>011/0033/B</t>
  </si>
  <si>
    <t xml:space="preserve">ADRIANA FERREIRA DA SILVA </t>
  </si>
  <si>
    <t>47.476.712.7</t>
  </si>
  <si>
    <t>422.694.578.62</t>
  </si>
  <si>
    <t>011/0035/A</t>
  </si>
  <si>
    <t xml:space="preserve">MICHELLE LAYS SODRÉ BEZERRA HORA </t>
  </si>
  <si>
    <t>38.626.814-9</t>
  </si>
  <si>
    <t>387.551.768-79</t>
  </si>
  <si>
    <t>011/0036/A</t>
  </si>
  <si>
    <t xml:space="preserve">ISABELA SANTOS DE MORAIS </t>
  </si>
  <si>
    <t>29.379.930-1</t>
  </si>
  <si>
    <t>097.813.414-16</t>
  </si>
  <si>
    <t>011/0037/A</t>
  </si>
  <si>
    <t xml:space="preserve">VALDETE ROSENDO PIANO </t>
  </si>
  <si>
    <t>67.362.892-9</t>
  </si>
  <si>
    <t>129.596.214-41</t>
  </si>
  <si>
    <t>011/0038/A</t>
  </si>
  <si>
    <t xml:space="preserve">JOSEFA ADRIANA SOUZA DOS SANTOS </t>
  </si>
  <si>
    <t>69.354.917-8</t>
  </si>
  <si>
    <t>367.885.168-12</t>
  </si>
  <si>
    <t>012/0002/A</t>
  </si>
  <si>
    <t>MARLEI NASCIMENTO LEITÃO</t>
  </si>
  <si>
    <t>46.678.036-9</t>
  </si>
  <si>
    <t>361.826.198-56</t>
  </si>
  <si>
    <t>6014.2026/0001332-6</t>
  </si>
  <si>
    <t>012/0003/A</t>
  </si>
  <si>
    <t xml:space="preserve">VALDINEI SILVA MARTINS </t>
  </si>
  <si>
    <t>49.406.134-0</t>
  </si>
  <si>
    <t>409.237.638-30</t>
  </si>
  <si>
    <t>012/0004/A</t>
  </si>
  <si>
    <t xml:space="preserve">MÁRCIA CRISTINA SANTOS </t>
  </si>
  <si>
    <t>27.596.447-4</t>
  </si>
  <si>
    <t>166.976.868-63</t>
  </si>
  <si>
    <t>012/0004/AF2</t>
  </si>
  <si>
    <t xml:space="preserve">JESSICA CAROLINE FELIX CONCEIÇÃO </t>
  </si>
  <si>
    <t>44.973.824-3</t>
  </si>
  <si>
    <t>413.002.138-92</t>
  </si>
  <si>
    <t>012/0005/A</t>
  </si>
  <si>
    <t xml:space="preserve">VALQUIRIA LIBORIO SOUSA </t>
  </si>
  <si>
    <t>39.127.389-9</t>
  </si>
  <si>
    <t>349.753.588-59</t>
  </si>
  <si>
    <t> ARTUR LOPES SOUSA</t>
  </si>
  <si>
    <t>52.091.545-8</t>
  </si>
  <si>
    <t>539.817.038-47</t>
  </si>
  <si>
    <t> 6014.2026/0001587-6</t>
  </si>
  <si>
    <t>012/0005/B</t>
  </si>
  <si>
    <t xml:space="preserve">ROSIMERE LOURENÇO LOPES </t>
  </si>
  <si>
    <t>37.959.096-7</t>
  </si>
  <si>
    <t>300.520.058-28</t>
  </si>
  <si>
    <t>6014.2026/0001594-9</t>
  </si>
  <si>
    <t>012/0006/A</t>
  </si>
  <si>
    <t xml:space="preserve">MARIA SELMA NICÁCIO SANTOS </t>
  </si>
  <si>
    <t>19.194.432-4</t>
  </si>
  <si>
    <t>113.484.228-74</t>
  </si>
  <si>
    <t>012/0006/B</t>
  </si>
  <si>
    <t xml:space="preserve">NATASHA DA SILVA MEIRELES </t>
  </si>
  <si>
    <t>081.878.132-70</t>
  </si>
  <si>
    <t xml:space="preserve">GUILHERME SANTOS SARMENTO </t>
  </si>
  <si>
    <t>38.342.896-8</t>
  </si>
  <si>
    <t>518.682.368-62</t>
  </si>
  <si>
    <t>6014.2026/0001056-4</t>
  </si>
  <si>
    <t>012/0007/A</t>
  </si>
  <si>
    <t xml:space="preserve">JOSINO BARBOSA NEVES </t>
  </si>
  <si>
    <t>50.236.571-7</t>
  </si>
  <si>
    <t>920.585.905-20</t>
  </si>
  <si>
    <t>012/0008/B</t>
  </si>
  <si>
    <t xml:space="preserve">ELIAS RIBEIRO GUIMARÃES </t>
  </si>
  <si>
    <t>48.478.955-7</t>
  </si>
  <si>
    <t>381.229.248-32</t>
  </si>
  <si>
    <t>6014.2026/0000707-5</t>
  </si>
  <si>
    <t>012/0009/A</t>
  </si>
  <si>
    <t xml:space="preserve">GERONALDO PAULINO DE SOUSA </t>
  </si>
  <si>
    <t>58.851.369-6</t>
  </si>
  <si>
    <t>027.748.825-75</t>
  </si>
  <si>
    <t>6014.2026/0000953-1</t>
  </si>
  <si>
    <t>012/0011/A</t>
  </si>
  <si>
    <t>LEILIANE ALVES</t>
  </si>
  <si>
    <t>39.218.857-0</t>
  </si>
  <si>
    <t>374.963.818-70</t>
  </si>
  <si>
    <t>012/0011/B</t>
  </si>
  <si>
    <t xml:space="preserve">FABIANA ALVES SANTOS </t>
  </si>
  <si>
    <t>57.222.938-0</t>
  </si>
  <si>
    <t>021.067.295-10</t>
  </si>
  <si>
    <t>012/0012/A</t>
  </si>
  <si>
    <t>THIAGO SILVA DINIZ</t>
  </si>
  <si>
    <t>337.010.028-27</t>
  </si>
  <si>
    <t>012/0012/B</t>
  </si>
  <si>
    <t xml:space="preserve">EDSON DE CARVALHO PEREIRA DA SILVA </t>
  </si>
  <si>
    <t>44.177.835-5</t>
  </si>
  <si>
    <t>439.452.058-40</t>
  </si>
  <si>
    <t xml:space="preserve">GENIVALDO FERREIRA DA SILVA </t>
  </si>
  <si>
    <t>25.778.939-X</t>
  </si>
  <si>
    <t>152.351.848-07</t>
  </si>
  <si>
    <t>6014.2026/0001572-8</t>
  </si>
  <si>
    <t>012/0013/A</t>
  </si>
  <si>
    <t>EMERSON RAMOS DA COSTA LEMOS</t>
  </si>
  <si>
    <t>21.962.211-5</t>
  </si>
  <si>
    <t>134.926.148-33</t>
  </si>
  <si>
    <t>012/0013/B</t>
  </si>
  <si>
    <t xml:space="preserve">CARLOS ROBERTO SILVA DOS SANTOS </t>
  </si>
  <si>
    <t>34.096.978-7</t>
  </si>
  <si>
    <t>299.552.878-29</t>
  </si>
  <si>
    <t>012/0014/A</t>
  </si>
  <si>
    <t xml:space="preserve">EDMILSON DA SILVA </t>
  </si>
  <si>
    <t>38.782.820-5</t>
  </si>
  <si>
    <t>302.796.948-06</t>
  </si>
  <si>
    <t>BENEFICIO DISPONIVEL APÓS DESMEMBRAMENTO DE CADASTRO</t>
  </si>
  <si>
    <t>012/0015/A</t>
  </si>
  <si>
    <t>RAISSA REGINA SERRA SOUSA</t>
  </si>
  <si>
    <t>64.290.194-9</t>
  </si>
  <si>
    <t>543.029.918-95</t>
  </si>
  <si>
    <t>012/0019/A</t>
  </si>
  <si>
    <t>DELCIR LOBATO SILVA SOUSA</t>
  </si>
  <si>
    <t>335.555.833-87</t>
  </si>
  <si>
    <t>012/0019/C</t>
  </si>
  <si>
    <t>GLAUCIANE SILVA SOUSA</t>
  </si>
  <si>
    <t>53.249.137-3</t>
  </si>
  <si>
    <t>311.214.598-46</t>
  </si>
  <si>
    <t>SOLICITAR EXCLUSÃO POIS ESTÁ FORA DO PERIMETRO</t>
  </si>
  <si>
    <t>012/0020/A</t>
  </si>
  <si>
    <t>LUIS ALBERTO SILVA SOUSA</t>
  </si>
  <si>
    <t>54.418.527-4</t>
  </si>
  <si>
    <t>624.871.673-00</t>
  </si>
  <si>
    <t>012/0023/A</t>
  </si>
  <si>
    <t>ADILTON DE JESUS NEVES</t>
  </si>
  <si>
    <t>013.926.275-08</t>
  </si>
  <si>
    <t>6014.2026/0001336-9</t>
  </si>
  <si>
    <t>012/0024/A</t>
  </si>
  <si>
    <t xml:space="preserve">DÉBORA SOUZA NOVAIS DE LIMA </t>
  </si>
  <si>
    <t>52.177.936.4</t>
  </si>
  <si>
    <t>461.287.458.73</t>
  </si>
  <si>
    <t>012/0025/A</t>
  </si>
  <si>
    <t xml:space="preserve"> GLAUCIA REGINA NAVAIS CARNEIRO </t>
  </si>
  <si>
    <t>42.483.026.7</t>
  </si>
  <si>
    <t>373.905.638.00</t>
  </si>
  <si>
    <t>012/0026/A</t>
  </si>
  <si>
    <t xml:space="preserve">ADÃO VIEIRA NOVAIS </t>
  </si>
  <si>
    <t>17.350.761-XX</t>
  </si>
  <si>
    <t>054.354.528-80</t>
  </si>
  <si>
    <t>012/0027/A</t>
  </si>
  <si>
    <t xml:space="preserve">ADÃO VIEIRA NOVAIS JUNIOR </t>
  </si>
  <si>
    <t>42.483.585-X</t>
  </si>
  <si>
    <t>310.111.388-16</t>
  </si>
  <si>
    <t>012/0028/A</t>
  </si>
  <si>
    <t xml:space="preserve">ADRIELLY OLIVEIRA DA SILVA NOVAIS </t>
  </si>
  <si>
    <t>465.363.598-60</t>
  </si>
  <si>
    <t>012/0029/A</t>
  </si>
  <si>
    <t xml:space="preserve">ANDRESSA OLIVEIRA SILVA </t>
  </si>
  <si>
    <t>54.241.829-0</t>
  </si>
  <si>
    <t>453.575.658-99</t>
  </si>
  <si>
    <t>012/0030/A</t>
  </si>
  <si>
    <t>CARLOS ALEXANDRE DE SOUSA SANTOS</t>
  </si>
  <si>
    <t>42.483.802</t>
  </si>
  <si>
    <t>232.796.658-25</t>
  </si>
  <si>
    <t>012/0031/A</t>
  </si>
  <si>
    <t>IVANEIDE DOS SANTOS ARAÚJO</t>
  </si>
  <si>
    <t>56.313.282-6</t>
  </si>
  <si>
    <t>004.293.805-85</t>
  </si>
  <si>
    <t>6014.2025/0008181-8</t>
  </si>
  <si>
    <t>012/0031/B</t>
  </si>
  <si>
    <t>VITORIA FELICIA ARAUJO ALVES</t>
  </si>
  <si>
    <t>38.240.272-8</t>
  </si>
  <si>
    <t>477.525.108-23</t>
  </si>
  <si>
    <t xml:space="preserve">ADRIANE KAROLINE LOPES SATADUTO </t>
  </si>
  <si>
    <t>6014.2025/0008623-2</t>
  </si>
  <si>
    <t>012/0031/C</t>
  </si>
  <si>
    <t>VALERIA FERNANDA TRINDADE BORAGINA</t>
  </si>
  <si>
    <t>52.750.086-0</t>
  </si>
  <si>
    <t>492.290.258-95</t>
  </si>
  <si>
    <t>012/0032/A</t>
  </si>
  <si>
    <t>53.916.471-9</t>
  </si>
  <si>
    <t>422.711.208-70</t>
  </si>
  <si>
    <t>012/0032/B</t>
  </si>
  <si>
    <t>GLEICE SANTOS PESSOA</t>
  </si>
  <si>
    <t>43.026.826-9</t>
  </si>
  <si>
    <t>362.433.078-08</t>
  </si>
  <si>
    <t>012/0032/BF2</t>
  </si>
  <si>
    <t>VERALDINA DOS SANTOS</t>
  </si>
  <si>
    <t>24.744.610-5</t>
  </si>
  <si>
    <t>187.555.768-77</t>
  </si>
  <si>
    <t>012/0032/C</t>
  </si>
  <si>
    <t>ANTONIO CARLOS BRITO TORRES</t>
  </si>
  <si>
    <t>50.904.601-0</t>
  </si>
  <si>
    <t>456.585.363-91</t>
  </si>
  <si>
    <t>012/0033/A</t>
  </si>
  <si>
    <t>JEOVA SILVESTRE PESSOA</t>
  </si>
  <si>
    <t>11.255.711-9</t>
  </si>
  <si>
    <t>003.624.738-38</t>
  </si>
  <si>
    <t>012/0034/A</t>
  </si>
  <si>
    <t>PAULO DENNER LOPES DOS SANTOS</t>
  </si>
  <si>
    <t>55.616.863-3</t>
  </si>
  <si>
    <t>501.554.868-02</t>
  </si>
  <si>
    <t>012/0034/B</t>
  </si>
  <si>
    <t>THARLEY SILVA CABRAL</t>
  </si>
  <si>
    <t>64.826.853-6</t>
  </si>
  <si>
    <t>579.624.558-96</t>
  </si>
  <si>
    <t>012/0034/C</t>
  </si>
  <si>
    <t xml:space="preserve">MATHEUS ALEXANDRE ROSÁRIO FERREIRA DA SILVA </t>
  </si>
  <si>
    <t>58.457.714-X</t>
  </si>
  <si>
    <t>096.763.078-90</t>
  </si>
  <si>
    <t>012/0034/D</t>
  </si>
  <si>
    <t>KAROLINE LOPES DA SILVA</t>
  </si>
  <si>
    <t>49.097.272-X</t>
  </si>
  <si>
    <t>438.318.758-71</t>
  </si>
  <si>
    <t>012/0034/E</t>
  </si>
  <si>
    <t>BRUNA NATASHA FERREIRA DA SILVA</t>
  </si>
  <si>
    <t>48.270.331-3</t>
  </si>
  <si>
    <t>446.081.758-66</t>
  </si>
  <si>
    <t>012/0035/A</t>
  </si>
  <si>
    <t>ERICA SILVA SOUZA LOPES</t>
  </si>
  <si>
    <t>44.712.952-1</t>
  </si>
  <si>
    <t>353.708.538-94</t>
  </si>
  <si>
    <t>012/0036/A</t>
  </si>
  <si>
    <t>RAFAEL SOUSA ROMANO</t>
  </si>
  <si>
    <t>34.139.152-9</t>
  </si>
  <si>
    <t>312.991.238-05</t>
  </si>
  <si>
    <t>013/0001/A</t>
  </si>
  <si>
    <t xml:space="preserve">ROBERTO CABRAL DE OLIVEIRA </t>
  </si>
  <si>
    <t>21.237.135-6</t>
  </si>
  <si>
    <t>169.211.748-32</t>
  </si>
  <si>
    <t>013/0001/B</t>
  </si>
  <si>
    <t>FERNANDO PEREIRA DE ARAUJO</t>
  </si>
  <si>
    <t>217.787.518-81</t>
  </si>
  <si>
    <t>013/0002/A</t>
  </si>
  <si>
    <t>EDSON FRANCISCO DA SILVA  SA</t>
  </si>
  <si>
    <t>17.147.004-7</t>
  </si>
  <si>
    <t>077.552.918-47</t>
  </si>
  <si>
    <t>EDSON FRANCISCO DA SILVA SA</t>
  </si>
  <si>
    <t>6014.2026/0000916-7</t>
  </si>
  <si>
    <t>013/0002/B</t>
  </si>
  <si>
    <t xml:space="preserve">BRUNO DA SILVA SÁ </t>
  </si>
  <si>
    <t>43.645.567-5</t>
  </si>
  <si>
    <t>393.206.368-69</t>
  </si>
  <si>
    <t>013/0003/A</t>
  </si>
  <si>
    <t>ADRIANO CARVALHO SANTOS FILHO</t>
  </si>
  <si>
    <t>478.316.138-03</t>
  </si>
  <si>
    <t>013/0003/B</t>
  </si>
  <si>
    <t xml:space="preserve">FERNANDO ERISSON SOARES DE FREITAS </t>
  </si>
  <si>
    <t>38811870-02</t>
  </si>
  <si>
    <t>013/0004/A</t>
  </si>
  <si>
    <t xml:space="preserve">JOSÉ GILVA HENRIQUE DA SILVA </t>
  </si>
  <si>
    <t>255.878.248-70</t>
  </si>
  <si>
    <t>013/0005/A</t>
  </si>
  <si>
    <t>ANDRE OLIVEIRA STADUTO</t>
  </si>
  <si>
    <t>30.391.607</t>
  </si>
  <si>
    <t>295.307.168-77</t>
  </si>
  <si>
    <t>013/0006/A</t>
  </si>
  <si>
    <t>LUCIANE DOS SANTOS</t>
  </si>
  <si>
    <t>332.221.898-89</t>
  </si>
  <si>
    <t>013/0007/A</t>
  </si>
  <si>
    <t>LETICIA SOUSA STADUTO</t>
  </si>
  <si>
    <t>52.686.063-7</t>
  </si>
  <si>
    <t>445.356.568-27</t>
  </si>
  <si>
    <t>013/0008/A</t>
  </si>
  <si>
    <t>EMERSON DOS SANTOS MOURA</t>
  </si>
  <si>
    <t>37.902.233-3</t>
  </si>
  <si>
    <t>514.141.158-30</t>
  </si>
  <si>
    <t>013/0009/A</t>
  </si>
  <si>
    <t>GLEIDE SANTOS PONTE SALVATO</t>
  </si>
  <si>
    <t>58.611.962-0</t>
  </si>
  <si>
    <t>005.066.635-58</t>
  </si>
  <si>
    <t>013/0010/A</t>
  </si>
  <si>
    <t>PÁTRICIA TEIXEIRA SANTOS</t>
  </si>
  <si>
    <t>44.845.154-2</t>
  </si>
  <si>
    <t>384.348.108-32</t>
  </si>
  <si>
    <t>013/0010/B</t>
  </si>
  <si>
    <t>CIRO CEZAR SOARES DE FREITAS</t>
  </si>
  <si>
    <t>38.811.871-4</t>
  </si>
  <si>
    <t>380.526.508-52</t>
  </si>
  <si>
    <t>013/0011/A</t>
  </si>
  <si>
    <t>KATHLEEN THAUANY LOPES STADUTO</t>
  </si>
  <si>
    <t>53.916.478-1</t>
  </si>
  <si>
    <t>422.711.218-41</t>
  </si>
  <si>
    <t>013/0013/A</t>
  </si>
  <si>
    <t>RAIMUNDO EUSTAQUIO DE SOUSA</t>
  </si>
  <si>
    <t>50.252.386-4</t>
  </si>
  <si>
    <t>001.157.075-06</t>
  </si>
  <si>
    <t>013/0014/A</t>
  </si>
  <si>
    <t>ALEXANDRO PEREIRA DA SILVA</t>
  </si>
  <si>
    <t>36.048.650-2</t>
  </si>
  <si>
    <t>214.225.748-81</t>
  </si>
  <si>
    <t>013/0015/A</t>
  </si>
  <si>
    <t>VICTOR GABRIEL SANTANA ALVES</t>
  </si>
  <si>
    <t>239.707.468-09</t>
  </si>
  <si>
    <t>013/0016/A</t>
  </si>
  <si>
    <t>CLEBER FERREIRA ALVES</t>
  </si>
  <si>
    <t>33.345.269-0</t>
  </si>
  <si>
    <t>350.240.808-40</t>
  </si>
  <si>
    <t>013/0017/A</t>
  </si>
  <si>
    <t>MÁRCIA MARIA DO ROSARIO</t>
  </si>
  <si>
    <t>24.128.920-8</t>
  </si>
  <si>
    <t>139.198.118-95</t>
  </si>
  <si>
    <t>013/0018/A</t>
  </si>
  <si>
    <t>FRANCERLANDIA DOS SANTOS SILVA</t>
  </si>
  <si>
    <t>33.726.359-0</t>
  </si>
  <si>
    <t>344.483.668-63</t>
  </si>
  <si>
    <t>013/0019/A</t>
  </si>
  <si>
    <t xml:space="preserve">EXDRAS HENRIQUE VELOSO DA SILVA </t>
  </si>
  <si>
    <t>44.439.138-1</t>
  </si>
  <si>
    <t>345.349.278-19</t>
  </si>
  <si>
    <t>6014.2026/0000884-5</t>
  </si>
  <si>
    <t>013/0020/A</t>
  </si>
  <si>
    <t>ROBERTO ELIAS SILVA CAMPOS</t>
  </si>
  <si>
    <t>44.265.197-1</t>
  </si>
  <si>
    <t>340.629.788-90</t>
  </si>
  <si>
    <t xml:space="preserve">ALEX CASTRO LOPES DA SILVA  </t>
  </si>
  <si>
    <t>6014.2026/0001178-1</t>
  </si>
  <si>
    <t>013/0021/A</t>
  </si>
  <si>
    <t>BRUNO EDUARDO SANTOS GONÇALVES</t>
  </si>
  <si>
    <t>49.646.020-1</t>
  </si>
  <si>
    <t>354.306.028-76</t>
  </si>
  <si>
    <t>GILMARIO DANTAS JACOB</t>
  </si>
  <si>
    <t>6014.2025/0008164-8</t>
  </si>
  <si>
    <t>013/0022/A</t>
  </si>
  <si>
    <t xml:space="preserve">THAIANE CAETANO DA SILVA </t>
  </si>
  <si>
    <t>57.864.020-X</t>
  </si>
  <si>
    <t>523.145.258-09</t>
  </si>
  <si>
    <t>013/0023/A</t>
  </si>
  <si>
    <t>54.664.879-4</t>
  </si>
  <si>
    <t>434.368.368-00</t>
  </si>
  <si>
    <t>013/0024/A</t>
  </si>
  <si>
    <t>30.417.750-7</t>
  </si>
  <si>
    <t>251.346.628-43</t>
  </si>
  <si>
    <t>013/0025/A</t>
  </si>
  <si>
    <t>MATHEUS RODRIGUES MARTINS DA SILVA</t>
  </si>
  <si>
    <t>57.976.327-4</t>
  </si>
  <si>
    <t>241.158.418-00</t>
  </si>
  <si>
    <t>013/0026/A</t>
  </si>
  <si>
    <t>MARGARETE CARDOZO DE SOUZA</t>
  </si>
  <si>
    <t>28.290.621-6</t>
  </si>
  <si>
    <t>185.828.128-84</t>
  </si>
  <si>
    <t>013/0029/A</t>
  </si>
  <si>
    <t>FLORINDO RIBEIRO ROCHA</t>
  </si>
  <si>
    <t>37.386.068-7</t>
  </si>
  <si>
    <t>292.821.011-34</t>
  </si>
  <si>
    <t>6014.2025/0008608-9</t>
  </si>
  <si>
    <t>013/0030/A</t>
  </si>
  <si>
    <t>DANIEL BITENCOURT BISPO</t>
  </si>
  <si>
    <t>44.429.040</t>
  </si>
  <si>
    <t>433.642.998-70</t>
  </si>
  <si>
    <t>013/0031/A</t>
  </si>
  <si>
    <t>MARIA CELMA DE JESUS SANTOS</t>
  </si>
  <si>
    <t>39.363.904-6</t>
  </si>
  <si>
    <t>322.778.698-21</t>
  </si>
  <si>
    <t>6014.2025/0008189-3</t>
  </si>
  <si>
    <t>013/0032/A</t>
  </si>
  <si>
    <t>ANTONIO CARLOS DOS REIS</t>
  </si>
  <si>
    <t>36.793.892-3</t>
  </si>
  <si>
    <t>261.877.328-47</t>
  </si>
  <si>
    <t>013/0033/A</t>
  </si>
  <si>
    <t>OCIMAR SENA ROCHA</t>
  </si>
  <si>
    <t>53.499.318-7</t>
  </si>
  <si>
    <t>270.486.508-69</t>
  </si>
  <si>
    <t>013/0034/A</t>
  </si>
  <si>
    <t>CAROLINE APARECIDA DE OLIVEIRA</t>
  </si>
  <si>
    <t>39.166.320-3</t>
  </si>
  <si>
    <t>423.451.658.98</t>
  </si>
  <si>
    <t>013/0035/A</t>
  </si>
  <si>
    <t xml:space="preserve">CAUÃ GUILHERME VASSALLA </t>
  </si>
  <si>
    <t>53.019.355.3</t>
  </si>
  <si>
    <t>551.435.438.51</t>
  </si>
  <si>
    <t>013/0036/A</t>
  </si>
  <si>
    <t>HIGOR GABRIEL SILVA VASSALLA</t>
  </si>
  <si>
    <t>56.488.934.9</t>
  </si>
  <si>
    <t>456.149.728-54</t>
  </si>
  <si>
    <t>561.497.728.54</t>
  </si>
  <si>
    <t>013/0037/A</t>
  </si>
  <si>
    <t>HELENICE DE JESUS SILVA</t>
  </si>
  <si>
    <t>45.859.840-9</t>
  </si>
  <si>
    <t>300.538.398-97</t>
  </si>
  <si>
    <t>013/0038/A</t>
  </si>
  <si>
    <t>MARIANA PEREIRA BORGES DE SENAS</t>
  </si>
  <si>
    <t>56.666.030</t>
  </si>
  <si>
    <t>462.836.878-30</t>
  </si>
  <si>
    <t>014/0001/A</t>
  </si>
  <si>
    <t>EDNALDO SANTOS E SILVA</t>
  </si>
  <si>
    <t>52.863.402-1</t>
  </si>
  <si>
    <t>249.058.548-73</t>
  </si>
  <si>
    <t>014/0002/A</t>
  </si>
  <si>
    <t>ALESSANDRO DA SILVA MACHADO</t>
  </si>
  <si>
    <t>27.369.260-4</t>
  </si>
  <si>
    <t>176.369.508-55</t>
  </si>
  <si>
    <t>014/0003/A</t>
  </si>
  <si>
    <t>YOOMI PARK</t>
  </si>
  <si>
    <t>499.002.658-66</t>
  </si>
  <si>
    <t>014/0004/A</t>
  </si>
  <si>
    <t xml:space="preserve">BRUNA VIEIRA DA SILVA </t>
  </si>
  <si>
    <t>53.173.349.x</t>
  </si>
  <si>
    <t>539.167.878-10</t>
  </si>
  <si>
    <t>014/0005/A</t>
  </si>
  <si>
    <t>JULIA VITÓRIA VIEIRA ALMEIDA</t>
  </si>
  <si>
    <t>58.353.900-2</t>
  </si>
  <si>
    <t>462.998.608-12</t>
  </si>
  <si>
    <t>014/0006/A</t>
  </si>
  <si>
    <t>JOÃO PEDRO CIDRÃO DE SOUSA MORA</t>
  </si>
  <si>
    <t>58.485.239-3</t>
  </si>
  <si>
    <t>406.428.728-21</t>
  </si>
  <si>
    <t>014/0007/A</t>
  </si>
  <si>
    <t>RITA KAUANY NASCIMENTO</t>
  </si>
  <si>
    <t>38.457.975-9</t>
  </si>
  <si>
    <t>444.632.918-95</t>
  </si>
  <si>
    <t>014/0008/A</t>
  </si>
  <si>
    <t>PAULA APARECIDA DE JESUS NASCIMENTO</t>
  </si>
  <si>
    <t>49.912.279-3</t>
  </si>
  <si>
    <t>446.402.998-18</t>
  </si>
  <si>
    <t>014/0009/A</t>
  </si>
  <si>
    <t>AMANDA OLIVEIRA CAMANDAROBA</t>
  </si>
  <si>
    <t>38.753.715-6</t>
  </si>
  <si>
    <t>442.134.318-86</t>
  </si>
  <si>
    <t>014/0010/A</t>
  </si>
  <si>
    <t>JESSICA VIEIRA DA SILVA</t>
  </si>
  <si>
    <t>48.094.537-8</t>
  </si>
  <si>
    <t>365.101.568-81</t>
  </si>
  <si>
    <t>014/0011/A</t>
  </si>
  <si>
    <t>ANTONIO EDVAR BATISTA DE LIMA</t>
  </si>
  <si>
    <t>33.383.476-8</t>
  </si>
  <si>
    <t>265.912.478-74</t>
  </si>
  <si>
    <t>014/0012/A</t>
  </si>
  <si>
    <t>KAUAN FERREIRA OLIVEIRA</t>
  </si>
  <si>
    <t>4.326.920</t>
  </si>
  <si>
    <t>075.424.595-03</t>
  </si>
  <si>
    <t>014/0013/A</t>
  </si>
  <si>
    <t>KAWAN GONÇALVES GUERRA</t>
  </si>
  <si>
    <t>57.161.779-7</t>
  </si>
  <si>
    <t>575.259.178-33</t>
  </si>
  <si>
    <t>014/0014/A</t>
  </si>
  <si>
    <t>ANA PAULA DE SOUSA LOPES</t>
  </si>
  <si>
    <t>46.532.141-0</t>
  </si>
  <si>
    <t>379.669.708-92</t>
  </si>
  <si>
    <t>BENEFICIO BLOQUEADO POR AUSENCIA DE SAQUE</t>
  </si>
  <si>
    <t>014/0015/A</t>
  </si>
  <si>
    <t xml:space="preserve">CLÁUDIA NILCIANE PEREIRA </t>
  </si>
  <si>
    <t>67.300.487-9</t>
  </si>
  <si>
    <t>057.055.913-81</t>
  </si>
  <si>
    <t>014/0016/A</t>
  </si>
  <si>
    <t>YASMIN DE LIMA OLIVEIRA</t>
  </si>
  <si>
    <t>57.126.320-3</t>
  </si>
  <si>
    <t>571.777.428-16</t>
  </si>
  <si>
    <t>014/0017/A</t>
  </si>
  <si>
    <t>ANA PAULA DOS SANTOS SILVA</t>
  </si>
  <si>
    <t>44.637.278-X</t>
  </si>
  <si>
    <t>398.701.638-82</t>
  </si>
  <si>
    <t>014/0017/B</t>
  </si>
  <si>
    <t>JOSELIA RIBEIRO DOS SANTOS</t>
  </si>
  <si>
    <t>35.995.257-4</t>
  </si>
  <si>
    <t>250.034.608-05</t>
  </si>
  <si>
    <t>014/0017/BF2</t>
  </si>
  <si>
    <t>RITA DE CÁSSIA DOS SANTOS SILVA</t>
  </si>
  <si>
    <t>062.623.265-10</t>
  </si>
  <si>
    <t>014/0017/C</t>
  </si>
  <si>
    <t>FABRICIA DOS SANTOS SILVA</t>
  </si>
  <si>
    <t>49.097.229-9</t>
  </si>
  <si>
    <t>229.589.308-90</t>
  </si>
  <si>
    <t>014/0018/A</t>
  </si>
  <si>
    <t xml:space="preserve">ALEX BRUNO LUXEIRO DA SILVA  </t>
  </si>
  <si>
    <t>70.145.659-0</t>
  </si>
  <si>
    <t>775.910.382-49</t>
  </si>
  <si>
    <t>014/0019/A</t>
  </si>
  <si>
    <t>ERICK DOS SANTOS REIS</t>
  </si>
  <si>
    <t>23.239.151-34</t>
  </si>
  <si>
    <t>103.283.695-43</t>
  </si>
  <si>
    <t>014/0019/B</t>
  </si>
  <si>
    <t>TAMIRES TEIXEIRA CARVALHO</t>
  </si>
  <si>
    <t>54.294.533-2</t>
  </si>
  <si>
    <t>107.315.286-38</t>
  </si>
  <si>
    <t>014/0019/C</t>
  </si>
  <si>
    <t>ANA LUCIA DA SILVA</t>
  </si>
  <si>
    <t>36.796.037.0</t>
  </si>
  <si>
    <t>236.128.398-02</t>
  </si>
  <si>
    <t>014/0020/A</t>
  </si>
  <si>
    <t>ANTONIELE SOUZA DOS SANTOS</t>
  </si>
  <si>
    <t>56.466.374-8</t>
  </si>
  <si>
    <t>050.624.815-11</t>
  </si>
  <si>
    <t>014/0020/B</t>
  </si>
  <si>
    <t xml:space="preserve">EDINARA REIS DO NASCIMENTO  </t>
  </si>
  <si>
    <t>67.368.745.4</t>
  </si>
  <si>
    <t>098.383.325-77</t>
  </si>
  <si>
    <t>014/0021/A</t>
  </si>
  <si>
    <t xml:space="preserve">FELIPE DA SILVA </t>
  </si>
  <si>
    <t>42.718.246.3</t>
  </si>
  <si>
    <t>451.786.328-00</t>
  </si>
  <si>
    <t>014/0022/A</t>
  </si>
  <si>
    <t>BIANCA BERNARDES DA SILVA</t>
  </si>
  <si>
    <t>64.409.322-5</t>
  </si>
  <si>
    <t>543.550.818-50</t>
  </si>
  <si>
    <t>014/0023/A</t>
  </si>
  <si>
    <t>LIDJANE FERREIRA DA SILVA MACHADO</t>
  </si>
  <si>
    <t>42.784.185-9</t>
  </si>
  <si>
    <t>403.243.988-59</t>
  </si>
  <si>
    <t>014/0024/A</t>
  </si>
  <si>
    <t>ANTONIEL ARAÚJO DA SILVA</t>
  </si>
  <si>
    <t>58.607.344-9</t>
  </si>
  <si>
    <t>039.917.493-19</t>
  </si>
  <si>
    <t>014/0025/A</t>
  </si>
  <si>
    <t>THIAGO DE LIMA FORTUNATO</t>
  </si>
  <si>
    <t>49.439.214-9</t>
  </si>
  <si>
    <t>442.776.808-36</t>
  </si>
  <si>
    <t>014/0025/B</t>
  </si>
  <si>
    <t>TAINA OLIVEIRA RODRIGUES</t>
  </si>
  <si>
    <t>54.800.389-0</t>
  </si>
  <si>
    <t>508.660.508-33</t>
  </si>
  <si>
    <t>014/0026/A</t>
  </si>
  <si>
    <t>FABIO BATISTA DOS SANTOS</t>
  </si>
  <si>
    <t>35.282.76</t>
  </si>
  <si>
    <t>065.412.184-20</t>
  </si>
  <si>
    <t>014/0027/A</t>
  </si>
  <si>
    <t>GUSTAVO RODRIGUES SAMPAIO</t>
  </si>
  <si>
    <t>546.786.638-94</t>
  </si>
  <si>
    <t>6014.2025/0008177-0</t>
  </si>
  <si>
    <t>014/0028/A</t>
  </si>
  <si>
    <t>LAEVERTON DE OLIVEIRA SILVA</t>
  </si>
  <si>
    <t>399.439.398-18</t>
  </si>
  <si>
    <t>014/0029/A</t>
  </si>
  <si>
    <t>ELISÂNGELA SABINO DO NASCIMENTO</t>
  </si>
  <si>
    <t>69.246.486-4</t>
  </si>
  <si>
    <t>083.146.954-40</t>
  </si>
  <si>
    <t>014/0030/A</t>
  </si>
  <si>
    <t>JANILTON BATISTA PEREIRA</t>
  </si>
  <si>
    <t>38.510.018-8</t>
  </si>
  <si>
    <t>655.712.665-20</t>
  </si>
  <si>
    <t>014/0031/A</t>
  </si>
  <si>
    <t>MARIA EDUARDA AMORIM ALBUQUERQUE</t>
  </si>
  <si>
    <t>50.390.260-3</t>
  </si>
  <si>
    <t>427.201.698-97</t>
  </si>
  <si>
    <t>014/0032/A</t>
  </si>
  <si>
    <t>21.324.147</t>
  </si>
  <si>
    <t>105.460.878-41</t>
  </si>
  <si>
    <t>014/0033/A</t>
  </si>
  <si>
    <t>RENATA ROCHA DE OLIVEIRA SOUSA</t>
  </si>
  <si>
    <t>60.898.418-2</t>
  </si>
  <si>
    <t>584.112.138-38</t>
  </si>
  <si>
    <t>014/0034/A</t>
  </si>
  <si>
    <t>WITALLO AUGUSTO BATISTA SANTOS</t>
  </si>
  <si>
    <t>56.958.689-6</t>
  </si>
  <si>
    <t>523.320.908-00</t>
  </si>
  <si>
    <t>014/0035/A</t>
  </si>
  <si>
    <t>DIANA APARECIDA DOS SANTOS</t>
  </si>
  <si>
    <t>44.018.952.4</t>
  </si>
  <si>
    <t>325.281.878-74</t>
  </si>
  <si>
    <t>014/0036/A</t>
  </si>
  <si>
    <t>RODRIGO GONZALEZ</t>
  </si>
  <si>
    <t>32.475.179</t>
  </si>
  <si>
    <t>223.509.748-04</t>
  </si>
  <si>
    <t>014/0037/A</t>
  </si>
  <si>
    <t>MATHEUS ELIAS VIEGA DE ANDRADE</t>
  </si>
  <si>
    <t>37.734.860-0</t>
  </si>
  <si>
    <t>446.945.508-37</t>
  </si>
  <si>
    <t>014/0038/A</t>
  </si>
  <si>
    <t xml:space="preserve">MARIA LIDIA DOS SANTOS SILVA </t>
  </si>
  <si>
    <t>19.194.437</t>
  </si>
  <si>
    <t>115.820.648-81</t>
  </si>
  <si>
    <t>014/0038/AF2</t>
  </si>
  <si>
    <t xml:space="preserve">CAMILA DOS SANTOS SILVA </t>
  </si>
  <si>
    <t>43.592.871-5</t>
  </si>
  <si>
    <t>445.782.768-13</t>
  </si>
  <si>
    <t>014/0039/A</t>
  </si>
  <si>
    <t>PATRICIA MARIA OLIVEIRA</t>
  </si>
  <si>
    <t>33.617.160-2</t>
  </si>
  <si>
    <t>269.706.828-70</t>
  </si>
  <si>
    <t>014/0040/A</t>
  </si>
  <si>
    <t>ROSÂNGELA DOS SANTOS SANTANA</t>
  </si>
  <si>
    <t>19.275.409-09</t>
  </si>
  <si>
    <t>091.014.188-66</t>
  </si>
  <si>
    <t>014/0041/A</t>
  </si>
  <si>
    <t>JONAS OLIVEIRA LEITE</t>
  </si>
  <si>
    <t>32.545.821-2</t>
  </si>
  <si>
    <t>309.652.253-72</t>
  </si>
  <si>
    <t>014/0042/A</t>
  </si>
  <si>
    <t>LEANDRO DOS SANTOS ESTEVAM</t>
  </si>
  <si>
    <t>44.143.408-3</t>
  </si>
  <si>
    <t>385.254.248-03</t>
  </si>
  <si>
    <t>014/0043/A</t>
  </si>
  <si>
    <t>EDSON RODRIGO FERREIRA DA SILVA</t>
  </si>
  <si>
    <t>57.272.787-2</t>
  </si>
  <si>
    <t>541.391.968-90</t>
  </si>
  <si>
    <t>014/0044/A</t>
  </si>
  <si>
    <t>JULIANA CAROLINE SILVA SANTOS</t>
  </si>
  <si>
    <t>37.869.414-5</t>
  </si>
  <si>
    <t>472.696.578-66</t>
  </si>
  <si>
    <t>014/0045/A</t>
  </si>
  <si>
    <t xml:space="preserve">GUSTAVO PEREIRA DE LIMA </t>
  </si>
  <si>
    <t>38.531.583-1</t>
  </si>
  <si>
    <t>473.375.058-76</t>
  </si>
  <si>
    <t>014/0045/B</t>
  </si>
  <si>
    <t>CHARLEY FRANÇA CABRAL</t>
  </si>
  <si>
    <t>48.374.108-5</t>
  </si>
  <si>
    <t>327.630.298-50</t>
  </si>
  <si>
    <t>014/0046/A</t>
  </si>
  <si>
    <t>GREGORY DOS SANTOS ARRUDA</t>
  </si>
  <si>
    <t>549.726.118-39</t>
  </si>
  <si>
    <t>014/0048/A</t>
  </si>
  <si>
    <t xml:space="preserve">CAMILA DA SILVA FERREIRA </t>
  </si>
  <si>
    <t>43.787.367-5</t>
  </si>
  <si>
    <t>373.249.578-70</t>
  </si>
  <si>
    <t>6014.2026/0002171-0</t>
  </si>
  <si>
    <t>014/0049/A</t>
  </si>
  <si>
    <t>RICHARD DUTRA DA SILVA</t>
  </si>
  <si>
    <t>N.T</t>
  </si>
  <si>
    <t>516.478.908-61</t>
  </si>
  <si>
    <t>014/0050/A</t>
  </si>
  <si>
    <t>CAUANY MARQUES DA SILVA</t>
  </si>
  <si>
    <t>60.948.082-0</t>
  </si>
  <si>
    <t>543.089.548-27</t>
  </si>
  <si>
    <t>014/0051/A</t>
  </si>
  <si>
    <t>MELISSA HELLEN VIEGA DE ANDRADE</t>
  </si>
  <si>
    <t>37.734.859-4</t>
  </si>
  <si>
    <t>503.399.178-73</t>
  </si>
  <si>
    <t>014/0052/A</t>
  </si>
  <si>
    <t>ANDREY GUIDI DE FREITAS</t>
  </si>
  <si>
    <t>57.407.623-2</t>
  </si>
  <si>
    <t>504.642.888-19</t>
  </si>
  <si>
    <t>014/0053/A</t>
  </si>
  <si>
    <t>GABRIEL FREITAS DA SILVA</t>
  </si>
  <si>
    <t>60.134.006-1</t>
  </si>
  <si>
    <t>242.173.808-36</t>
  </si>
  <si>
    <t>014/0054/A</t>
  </si>
  <si>
    <t xml:space="preserve">JACKSON GONÇALVES FERREIRA SILVA </t>
  </si>
  <si>
    <t>39.039.467-1</t>
  </si>
  <si>
    <t>482.043.928-69</t>
  </si>
  <si>
    <t>014/0055/A</t>
  </si>
  <si>
    <t>MARIA ELINE SODRÉ BRAGA DE SOUZA</t>
  </si>
  <si>
    <t>39.724.749-7</t>
  </si>
  <si>
    <t>337.043.868-20</t>
  </si>
  <si>
    <t>014/0056/A</t>
  </si>
  <si>
    <t>ROQUILDA RIBEIRO DOS SANTOS</t>
  </si>
  <si>
    <t>52.370.784-8</t>
  </si>
  <si>
    <t>370.306.768-31</t>
  </si>
  <si>
    <t>014/0057/A</t>
  </si>
  <si>
    <t xml:space="preserve">ANDRÉIA DANIEL </t>
  </si>
  <si>
    <t>264.411.408-02</t>
  </si>
  <si>
    <t>014/0058/A</t>
  </si>
  <si>
    <t>MARIA JOSÉ ADALGISA DA SILVA</t>
  </si>
  <si>
    <t>18.772.251-1</t>
  </si>
  <si>
    <t>281.168.948-62</t>
  </si>
  <si>
    <t>014/0059/A</t>
  </si>
  <si>
    <t>SLASH MULLER DANTAS MADUREIRA</t>
  </si>
  <si>
    <t>42.888.369-2</t>
  </si>
  <si>
    <t>418.221.848-51</t>
  </si>
  <si>
    <t>014/0060/A</t>
  </si>
  <si>
    <t>IARA APARECIDA BERLATO</t>
  </si>
  <si>
    <t>24.423.946-0</t>
  </si>
  <si>
    <t>139.980.378-61</t>
  </si>
  <si>
    <t>014/0061/A</t>
  </si>
  <si>
    <t>DIEMENS CUNHA SOUSA</t>
  </si>
  <si>
    <t>35.362.360-X</t>
  </si>
  <si>
    <t>364.970.838-80</t>
  </si>
  <si>
    <t>014/0062/A</t>
  </si>
  <si>
    <t>RODRIGO RIBEIRO DOS SANTOS</t>
  </si>
  <si>
    <t>66.656.329-9</t>
  </si>
  <si>
    <t>576.332.698-98</t>
  </si>
  <si>
    <t>014/0063/A</t>
  </si>
  <si>
    <t>IONE CARDOSO PEREIRA</t>
  </si>
  <si>
    <t>63.026.992-0</t>
  </si>
  <si>
    <t>244.462.348-70</t>
  </si>
  <si>
    <t>014/0064/A</t>
  </si>
  <si>
    <t>ODAIR RESENDE DE SOUSA</t>
  </si>
  <si>
    <t>32.525.837</t>
  </si>
  <si>
    <t>235.304.258-93</t>
  </si>
  <si>
    <t>014/0065/A</t>
  </si>
  <si>
    <t>ELLIENE DE SOUZA SANTOS</t>
  </si>
  <si>
    <t>53.492.580-7</t>
  </si>
  <si>
    <t>439.952.128-75</t>
  </si>
  <si>
    <t>014/0066/A</t>
  </si>
  <si>
    <t>STEPHANIE MARQUES RAMOS</t>
  </si>
  <si>
    <t>463.445.548-00</t>
  </si>
  <si>
    <t>015/0001/A</t>
  </si>
  <si>
    <t>RAQUEL QUITERIA DA SILVA</t>
  </si>
  <si>
    <t>084.199.234-78</t>
  </si>
  <si>
    <t>6014.2026/0002487-5</t>
  </si>
  <si>
    <t>015/0001/B</t>
  </si>
  <si>
    <t>RAFAELA QUITERIA DA SILVA</t>
  </si>
  <si>
    <t>67.318.138-8</t>
  </si>
  <si>
    <t>087.977.404-54</t>
  </si>
  <si>
    <t>6014.2026/0002376-3</t>
  </si>
  <si>
    <t>CONFIRMAÇÃO PAGAMENTO</t>
  </si>
  <si>
    <t>PARAISÓPOLIS/ANTONICO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</si>
  <si>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</si>
  <si>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</si>
  <si>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</si>
  <si>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</si>
  <si>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</si>
  <si>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</si>
  <si>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</si>
  <si>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</si>
  <si>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</si>
  <si>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</si>
  <si>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</si>
  <si>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</si>
  <si>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</si>
  <si>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</si>
  <si>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</si>
  <si>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</si>
  <si>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</si>
  <si>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</si>
  <si>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</si>
  <si>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</si>
  <si>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</si>
  <si>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</si>
  <si>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</si>
  <si>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</si>
  <si>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</si>
  <si>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</si>
  <si>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</si>
  <si>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</si>
  <si>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</si>
  <si>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</si>
  <si>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</si>
  <si>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</si>
  <si>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</si>
  <si>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</si>
  <si>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</si>
  <si>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</si>
  <si>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</si>
  <si>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</si>
  <si>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</si>
  <si>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</si>
  <si>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</si>
  <si>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</si>
  <si>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</si>
  <si>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</si>
  <si>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</si>
  <si>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</si>
  <si>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</si>
  <si>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</si>
  <si>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</si>
  <si>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</si>
  <si>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</si>
  <si>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</si>
  <si>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</si>
  <si>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</si>
  <si>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</si>
  <si>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</si>
  <si>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</si>
  <si>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</si>
  <si>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</si>
  <si>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</si>
  <si>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</si>
  <si>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</si>
  <si>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</si>
  <si>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</si>
  <si>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</si>
  <si>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</si>
  <si>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</si>
  <si>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</si>
  <si>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</si>
  <si>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</si>
  <si>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</si>
  <si>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</si>
  <si>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</si>
  <si>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</si>
  <si>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</si>
  <si>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</si>
  <si>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</si>
  <si>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</si>
  <si>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</si>
  <si>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</si>
  <si>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</si>
  <si>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</si>
  <si>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</si>
  <si>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</si>
  <si>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</si>
  <si>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</si>
  <si>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</si>
  <si>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</si>
  <si>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</si>
  <si>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</si>
  <si>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</si>
  <si>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</si>
  <si>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</si>
  <si>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</si>
  <si>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</si>
  <si>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</si>
  <si>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</si>
  <si>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</si>
  <si>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</si>
  <si>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</si>
  <si>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</si>
  <si>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</si>
  <si>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</si>
  <si>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</si>
  <si>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</si>
  <si>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</si>
  <si>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</si>
  <si>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</si>
  <si>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</si>
  <si>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</si>
  <si>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</si>
  <si>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025/0020/F</t>
  </si>
  <si>
    <t>025/0021/A</t>
  </si>
  <si>
    <t>025/0021/B</t>
  </si>
  <si>
    <t>025/0021/C</t>
  </si>
  <si>
    <t>025/0021/D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</si>
  <si>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</si>
  <si>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</si>
  <si>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</si>
  <si>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</si>
  <si>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</si>
  <si>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</si>
  <si>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</si>
  <si>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025/0023/E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</si>
  <si>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</si>
  <si>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</si>
  <si>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</si>
  <si>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</si>
  <si>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</si>
  <si>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</si>
  <si>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</si>
  <si>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</si>
  <si>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</si>
  <si>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</si>
  <si>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</si>
  <si>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</si>
  <si>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</si>
  <si>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</si>
  <si>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</si>
  <si>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</si>
  <si>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</si>
  <si>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025/0025/M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</si>
  <si>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</si>
  <si>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</si>
  <si>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</si>
  <si>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</si>
  <si>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</si>
  <si>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</si>
  <si>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</si>
  <si>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</si>
  <si>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</si>
  <si>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</si>
  <si>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</si>
  <si>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</si>
  <si>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</si>
  <si>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</si>
  <si>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</si>
  <si>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</si>
  <si>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</si>
  <si>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</si>
  <si>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</si>
  <si>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</si>
  <si>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</si>
  <si>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</si>
  <si>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</si>
  <si>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</si>
  <si>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</si>
  <si>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</si>
  <si>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</si>
  <si>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</si>
  <si>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025/0031/B</t>
  </si>
  <si>
    <t>025/0055/A</t>
  </si>
  <si>
    <t>027/0002/E</t>
  </si>
  <si>
    <t>027/0004/A</t>
  </si>
  <si>
    <t>027/0004/B</t>
  </si>
  <si>
    <t>027/0005/A</t>
  </si>
  <si>
    <t>027/0005/B</t>
  </si>
  <si>
    <t>027/0005/C</t>
  </si>
  <si>
    <t>027/0005/D</t>
  </si>
  <si>
    <t>027/0005/E</t>
  </si>
  <si>
    <t>027/0005/F</t>
  </si>
  <si>
    <t>027/0005/G</t>
  </si>
  <si>
    <t>027/0005/H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</si>
  <si>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</si>
  <si>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</si>
  <si>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</si>
  <si>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</si>
  <si>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</si>
  <si>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</si>
  <si>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</si>
  <si>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</si>
  <si>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</si>
  <si>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027/0008/D</t>
  </si>
  <si>
    <t>027/0009/A</t>
  </si>
  <si>
    <t>027/0009/B</t>
  </si>
  <si>
    <t>027/0009/C</t>
  </si>
  <si>
    <t>027/0010/A</t>
  </si>
  <si>
    <t>027/0010/B</t>
  </si>
  <si>
    <t>027/0012/C</t>
  </si>
  <si>
    <t>027/0014/A</t>
  </si>
  <si>
    <t>027/0014/B</t>
  </si>
  <si>
    <t>027/0014/C</t>
  </si>
  <si>
    <t>027/0014/D</t>
  </si>
  <si>
    <t>027/0014/E</t>
  </si>
  <si>
    <t>027/0014/F</t>
  </si>
  <si>
    <t>027/0014/G</t>
  </si>
  <si>
    <t>027/0014/H</t>
  </si>
  <si>
    <t>027/0015/A</t>
  </si>
  <si>
    <t>027/0016/A</t>
  </si>
  <si>
    <t>027/0016/B</t>
  </si>
  <si>
    <t>027/0016/C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</si>
  <si>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</si>
  <si>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</si>
  <si>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</si>
  <si>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</si>
  <si>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</si>
  <si>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</si>
  <si>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</si>
  <si>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</si>
  <si>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</si>
  <si>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</si>
  <si>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</si>
  <si>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</si>
  <si>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</si>
  <si>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</si>
  <si>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</si>
  <si>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</si>
  <si>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</si>
  <si>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029/0007/A</t>
  </si>
  <si>
    <t>029/0007/B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</si>
  <si>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</si>
  <si>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</si>
  <si>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</si>
  <si>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</si>
  <si>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</si>
  <si>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</si>
  <si>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</si>
  <si>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</si>
  <si>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</si>
  <si>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</si>
  <si>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</si>
  <si>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</si>
  <si>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</si>
  <si>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029/0016/B</t>
  </si>
  <si>
    <t>029/0016/C</t>
  </si>
  <si>
    <t>029/0018/A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</si>
  <si>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</si>
  <si>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</si>
  <si>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</si>
  <si>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</si>
  <si>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</si>
  <si>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</si>
  <si>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</si>
  <si>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</si>
  <si>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</si>
  <si>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</si>
  <si>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029/0022/B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</si>
  <si>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</si>
  <si>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</si>
  <si>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</si>
  <si>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</si>
  <si>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</si>
  <si>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</si>
  <si>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</si>
  <si>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</si>
  <si>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029/0023/E</t>
  </si>
  <si>
    <t>029/0023/F</t>
  </si>
  <si>
    <t>029/0023/G</t>
  </si>
  <si>
    <t>029/0024/A</t>
  </si>
  <si>
    <t>029/0024/B</t>
  </si>
  <si>
    <t>029/0024/C</t>
  </si>
  <si>
    <t>029/0024/D</t>
  </si>
  <si>
    <t>029/0024/E</t>
  </si>
  <si>
    <t>029/0024/F</t>
  </si>
  <si>
    <t>029/0024/G</t>
  </si>
  <si>
    <t>029/0024/H</t>
  </si>
  <si>
    <t>029/0024/I</t>
  </si>
  <si>
    <t>029/0024/J</t>
  </si>
  <si>
    <t>029/0025/A</t>
  </si>
  <si>
    <t>029/0025/B</t>
  </si>
  <si>
    <t>029/0026/A</t>
  </si>
  <si>
    <t>029/0026/B</t>
  </si>
  <si>
    <t>029/0027/A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</si>
  <si>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</si>
  <si>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</si>
  <si>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</si>
  <si>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</si>
  <si>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</si>
  <si>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</si>
  <si>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</si>
  <si>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</si>
  <si>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029/0035/B</t>
  </si>
  <si>
    <t>029/0035/C</t>
  </si>
  <si>
    <t>029/0036/A</t>
  </si>
  <si>
    <t>029/0036/B</t>
  </si>
  <si>
    <t>029/0036/C</t>
  </si>
  <si>
    <t>029/0036/D</t>
  </si>
  <si>
    <t>029/0036/E</t>
  </si>
  <si>
    <t>029/0036/F</t>
  </si>
  <si>
    <t>029/0036/G</t>
  </si>
  <si>
    <t>029/0036/H</t>
  </si>
  <si>
    <t>029/0036/I</t>
  </si>
  <si>
    <t>029/0036/J</t>
  </si>
  <si>
    <t>029/0036/K</t>
  </si>
  <si>
    <t>029/0036/L</t>
  </si>
  <si>
    <t>029/0036/M</t>
  </si>
  <si>
    <t>029/0036/N</t>
  </si>
  <si>
    <t>029/0036/O</t>
  </si>
  <si>
    <t>029/0036/P</t>
  </si>
  <si>
    <t>029/0037/A</t>
  </si>
  <si>
    <t>029/0038/A</t>
  </si>
  <si>
    <t>029/0038/B</t>
  </si>
  <si>
    <t>029/0038/C</t>
  </si>
  <si>
    <t>029/0039/A</t>
  </si>
  <si>
    <t>029/0039/B</t>
  </si>
  <si>
    <t>029/0039/C</t>
  </si>
  <si>
    <t>029/0039/D</t>
  </si>
  <si>
    <t>029/0040/A</t>
  </si>
  <si>
    <t>029/0041/A</t>
  </si>
  <si>
    <t>029/0041/B</t>
  </si>
  <si>
    <t>029/0042/A</t>
  </si>
  <si>
    <t>029/0042/B</t>
  </si>
  <si>
    <t>029/0042/C</t>
  </si>
  <si>
    <t>029/0043/A</t>
  </si>
  <si>
    <t>029/0043/B</t>
  </si>
  <si>
    <t>029/0044/A</t>
  </si>
  <si>
    <t>029/0044/B</t>
  </si>
  <si>
    <t>029/0045/A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</si>
  <si>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</si>
  <si>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</si>
  <si>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</si>
  <si>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</si>
  <si>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</si>
  <si>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</si>
  <si>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</si>
  <si>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</si>
  <si>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</si>
  <si>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</si>
  <si>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</si>
  <si>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</si>
  <si>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</si>
  <si>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</si>
  <si>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</si>
  <si>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</si>
  <si>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</si>
  <si>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029/0054/E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</si>
  <si>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</si>
  <si>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</si>
  <si>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</si>
  <si>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</si>
  <si>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</si>
  <si>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</si>
  <si>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</si>
  <si>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</si>
  <si>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029/0061/A</t>
  </si>
  <si>
    <t>029/0061/B</t>
  </si>
  <si>
    <t>029/0062/A</t>
  </si>
  <si>
    <t>029/0062/B</t>
  </si>
  <si>
    <t>029/0062/C</t>
  </si>
  <si>
    <t>029/0063/A</t>
  </si>
  <si>
    <t>029/0064/A</t>
  </si>
  <si>
    <t>029/0064/B</t>
  </si>
  <si>
    <t>029/0064/C</t>
  </si>
  <si>
    <t>029/0064/D</t>
  </si>
  <si>
    <t>029/0064/E</t>
  </si>
  <si>
    <t>029/0064/F</t>
  </si>
  <si>
    <t>029/0065/A</t>
  </si>
  <si>
    <t>029/0065/B</t>
  </si>
  <si>
    <t>029/0066/A</t>
  </si>
  <si>
    <t>029/0066/B</t>
  </si>
  <si>
    <t>029/0066/C</t>
  </si>
  <si>
    <t>029/0066/D</t>
  </si>
  <si>
    <t>029/0066/E</t>
  </si>
  <si>
    <t>029/0066/F</t>
  </si>
  <si>
    <t>029/0067/A</t>
  </si>
  <si>
    <t>029/0067/B</t>
  </si>
  <si>
    <t>029/0067/C</t>
  </si>
  <si>
    <t>029/0067/D</t>
  </si>
  <si>
    <t>029/0067/E</t>
  </si>
  <si>
    <t>029/0067/F</t>
  </si>
  <si>
    <t>029/0068/A</t>
  </si>
  <si>
    <t>029/0069/A</t>
  </si>
  <si>
    <t>029/0069/B</t>
  </si>
  <si>
    <t>029/0069/C</t>
  </si>
  <si>
    <t>029/0069/D</t>
  </si>
  <si>
    <t>029/0070/A</t>
  </si>
  <si>
    <t>029/0070/B</t>
  </si>
  <si>
    <t>029/0070/C</t>
  </si>
  <si>
    <t>029/0070/D</t>
  </si>
  <si>
    <t>029/0070/E</t>
  </si>
  <si>
    <t>029/0070/F</t>
  </si>
  <si>
    <t>029/0071/A</t>
  </si>
  <si>
    <t>029/0071/B</t>
  </si>
  <si>
    <t>029/0071/C</t>
  </si>
  <si>
    <t>029/0071/D</t>
  </si>
  <si>
    <t>029/0071/E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</si>
  <si>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</si>
  <si>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</si>
  <si>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</si>
  <si>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</si>
  <si>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</si>
  <si>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</si>
  <si>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</si>
  <si>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</si>
  <si>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</si>
  <si>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</si>
  <si>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</si>
  <si>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</si>
  <si>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</si>
  <si>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</si>
  <si>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</si>
  <si>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</si>
  <si>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</si>
  <si>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</si>
  <si>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</si>
  <si>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</si>
  <si>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</si>
  <si>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</si>
  <si>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</si>
  <si>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</si>
  <si>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</si>
  <si>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</si>
  <si>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</si>
  <si>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</si>
  <si>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</si>
  <si>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029/0080/E</t>
  </si>
  <si>
    <t>029/0081/A</t>
  </si>
  <si>
    <t>029/0081/B</t>
  </si>
  <si>
    <t>029/0082/A</t>
  </si>
  <si>
    <t>029/0082/B</t>
  </si>
  <si>
    <t>029/0083/A</t>
  </si>
  <si>
    <t>029/0083/B</t>
  </si>
  <si>
    <t>029/0084/A</t>
  </si>
  <si>
    <t>029/0085/A</t>
  </si>
  <si>
    <t>029/0085/B</t>
  </si>
  <si>
    <t>029/0085/C</t>
  </si>
  <si>
    <t>029/0085/D</t>
  </si>
  <si>
    <t>029/0085/E</t>
  </si>
  <si>
    <t>029/0085/F</t>
  </si>
  <si>
    <t>029/0085/G</t>
  </si>
  <si>
    <t>029/0085/H</t>
  </si>
  <si>
    <t>029/0085/I</t>
  </si>
  <si>
    <t>029/0085/J</t>
  </si>
  <si>
    <t>029/0086/A</t>
  </si>
  <si>
    <t>029/0086/B</t>
  </si>
  <si>
    <t>029/0086/C</t>
  </si>
  <si>
    <t>029/0086/D</t>
  </si>
  <si>
    <t>031/0004/A</t>
  </si>
  <si>
    <t>031/0004/B</t>
  </si>
  <si>
    <t>031/0004/C</t>
  </si>
  <si>
    <t>031/0005/A</t>
  </si>
  <si>
    <t>031/0005/B</t>
  </si>
  <si>
    <t>031/0005/C</t>
  </si>
  <si>
    <t>031/0006/A</t>
  </si>
  <si>
    <t>031/0006/B</t>
  </si>
  <si>
    <t>031/0006/C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</si>
  <si>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</si>
  <si>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</si>
  <si>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</si>
  <si>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</si>
  <si>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</si>
  <si>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</si>
  <si>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</si>
  <si>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031/0009/A</t>
  </si>
  <si>
    <t>031/0009/B</t>
  </si>
  <si>
    <t>031/0009/C</t>
  </si>
  <si>
    <t>031/0009/D</t>
  </si>
  <si>
    <t>031/0009/E</t>
  </si>
  <si>
    <t>031/0009/F</t>
  </si>
  <si>
    <t>031/0010/A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</si>
  <si>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</si>
  <si>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</si>
  <si>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</si>
  <si>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</si>
  <si>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</si>
  <si>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</si>
  <si>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</si>
  <si>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</si>
  <si>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</si>
  <si>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</si>
  <si>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</si>
  <si>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031/0014/A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</si>
  <si>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</si>
  <si>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</si>
  <si>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</si>
  <si>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</si>
  <si>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</si>
  <si>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</si>
  <si>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</si>
  <si>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</si>
  <si>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031/0015/D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</si>
  <si>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</si>
  <si>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</si>
  <si>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</si>
  <si>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</si>
  <si>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</si>
  <si>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</si>
  <si>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</si>
  <si>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</si>
  <si>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031/0017/F</t>
  </si>
  <si>
    <t>031/0017/G</t>
  </si>
  <si>
    <t>031/0017/H</t>
  </si>
  <si>
    <t>031/0018/A</t>
  </si>
  <si>
    <t>031/0019/A</t>
  </si>
  <si>
    <t>031/0019/B</t>
  </si>
  <si>
    <t>031/0019/C</t>
  </si>
  <si>
    <t>031/0020/A</t>
  </si>
  <si>
    <t>031/0020/B</t>
  </si>
  <si>
    <t>031/0020/C</t>
  </si>
  <si>
    <t>031/0020/D</t>
  </si>
  <si>
    <t>031/0021/A</t>
  </si>
  <si>
    <t>031/0022/A</t>
  </si>
  <si>
    <t>031/0022/B</t>
  </si>
  <si>
    <t>031/0022/C</t>
  </si>
  <si>
    <t>031/0022/D</t>
  </si>
  <si>
    <t>031/0022/E</t>
  </si>
  <si>
    <t>031/0023/A</t>
  </si>
  <si>
    <t>031/0023/D</t>
  </si>
  <si>
    <t>031/0024/A</t>
  </si>
  <si>
    <t>031/0025/A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</si>
  <si>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</si>
  <si>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</si>
  <si>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</si>
  <si>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</si>
  <si>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</si>
  <si>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</si>
  <si>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</si>
  <si>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</si>
  <si>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</si>
  <si>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</si>
  <si>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</si>
  <si>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</si>
  <si>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</si>
  <si>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</si>
  <si>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031/0028/D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</si>
  <si>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</si>
  <si>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</si>
  <si>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</si>
  <si>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</si>
  <si>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</si>
  <si>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</si>
  <si>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</si>
  <si>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031/0028/L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</si>
  <si>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</si>
  <si>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</si>
  <si>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</si>
  <si>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</si>
  <si>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</si>
  <si>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</si>
  <si>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</si>
  <si>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</si>
  <si>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</si>
  <si>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</si>
  <si>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</si>
  <si>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</si>
  <si>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</si>
  <si>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</si>
  <si>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031/0031/B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</si>
  <si>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</si>
  <si>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</si>
  <si>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</si>
  <si>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</si>
  <si>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</si>
  <si>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</si>
  <si>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</si>
  <si>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</si>
  <si>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031/0033/E</t>
  </si>
  <si>
    <t>031/0033/F</t>
  </si>
  <si>
    <t>031/0033/G</t>
  </si>
  <si>
    <t>031/0033/H</t>
  </si>
  <si>
    <t>031/0033/I</t>
  </si>
  <si>
    <t>031/0033/J</t>
  </si>
  <si>
    <t>031/0033/K</t>
  </si>
  <si>
    <t>031/0033/L</t>
  </si>
  <si>
    <t>031/0033/M</t>
  </si>
  <si>
    <t>031/0033/N</t>
  </si>
  <si>
    <t>031/0033/O</t>
  </si>
  <si>
    <t>031/0033/P</t>
  </si>
  <si>
    <t>031/0033/Q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</si>
  <si>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</si>
  <si>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</si>
  <si>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</si>
  <si>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</si>
  <si>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</si>
  <si>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</si>
  <si>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</si>
  <si>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</si>
  <si>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</si>
  <si>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</si>
  <si>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</si>
  <si>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</si>
  <si>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031/0035/A</t>
  </si>
  <si>
    <t>031/0035/B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</si>
  <si>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</si>
  <si>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</si>
  <si>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</si>
  <si>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</si>
  <si>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</si>
  <si>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</si>
  <si>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</si>
  <si>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</si>
  <si>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</si>
  <si>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</si>
  <si>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</si>
  <si>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</si>
  <si>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</si>
  <si>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</si>
  <si>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</si>
  <si>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</si>
  <si>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</si>
  <si>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</si>
  <si>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</si>
  <si>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031/0039/C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</si>
  <si>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</si>
  <si>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</si>
  <si>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</si>
  <si>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</si>
  <si>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</si>
  <si>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</si>
  <si>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</si>
  <si>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</si>
  <si>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</si>
  <si>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</si>
  <si>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</si>
  <si>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</si>
  <si>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</si>
  <si>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</si>
  <si>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</si>
  <si>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</si>
  <si>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</si>
  <si>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</si>
  <si>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</si>
  <si>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</si>
  <si>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</si>
  <si>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</si>
  <si>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</si>
  <si>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</si>
  <si>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</si>
  <si>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</si>
  <si>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</si>
  <si>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</si>
  <si>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</si>
  <si>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</si>
  <si>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</si>
  <si>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</si>
  <si>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</si>
  <si>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</si>
  <si>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</si>
  <si>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</si>
  <si>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</si>
  <si>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</si>
  <si>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</si>
  <si>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</si>
  <si>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</si>
  <si>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</si>
  <si>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</si>
  <si>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</si>
  <si>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</si>
  <si>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</si>
  <si>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031/0058/A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</si>
  <si>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</si>
  <si>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</si>
  <si>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</si>
  <si>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</si>
  <si>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</si>
  <si>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</si>
  <si>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</si>
  <si>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</si>
  <si>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</si>
  <si>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</si>
  <si>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</si>
  <si>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</si>
  <si>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</si>
  <si>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</si>
  <si>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</si>
  <si>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</si>
  <si>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</si>
  <si>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</si>
  <si>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</si>
  <si>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</si>
  <si>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</si>
  <si>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</si>
  <si>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</si>
  <si>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</si>
  <si>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</si>
  <si>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</si>
  <si>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031/0067/A</t>
  </si>
  <si>
    <t>031/0067/B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</si>
  <si>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</si>
  <si>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</si>
  <si>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</si>
  <si>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</si>
  <si>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</si>
  <si>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</si>
  <si>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</si>
  <si>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</si>
  <si>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</si>
  <si>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</si>
  <si>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</si>
  <si>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</si>
  <si>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</si>
  <si>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</si>
  <si>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</si>
  <si>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</si>
  <si>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</si>
  <si>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</si>
  <si>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</si>
  <si>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</si>
  <si>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</si>
  <si>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</si>
  <si>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</si>
  <si>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</si>
  <si>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</si>
  <si>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</si>
  <si>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</si>
  <si>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</si>
  <si>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</si>
  <si>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</si>
  <si>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</si>
  <si>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</si>
  <si>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</si>
  <si>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</si>
  <si>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</si>
  <si>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</si>
  <si>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</si>
  <si>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</si>
  <si>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</si>
  <si>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</si>
  <si>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</si>
  <si>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</si>
  <si>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</si>
  <si>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</si>
  <si>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</si>
  <si>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</si>
  <si>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</si>
  <si>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</si>
  <si>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033/0016/C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</si>
  <si>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</si>
  <si>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</si>
  <si>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</si>
  <si>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</si>
  <si>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</si>
  <si>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</si>
  <si>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</si>
  <si>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</si>
  <si>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</si>
  <si>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</si>
  <si>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</si>
  <si>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</si>
  <si>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</si>
  <si>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</si>
  <si>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</si>
  <si>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</si>
  <si>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</si>
  <si>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</si>
  <si>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</si>
  <si>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</si>
  <si>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</si>
  <si>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</si>
  <si>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</si>
  <si>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</si>
  <si>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</si>
  <si>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</si>
  <si>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</si>
  <si>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</si>
  <si>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033/0029/B</t>
  </si>
  <si>
    <t>033/0029/D</t>
  </si>
  <si>
    <t>033/0029/E</t>
  </si>
  <si>
    <t>033/0030/A</t>
  </si>
  <si>
    <t>033/0030/C</t>
  </si>
  <si>
    <t>033/0030/D</t>
  </si>
  <si>
    <t>TERMO INDENIZAÇÃO</t>
  </si>
  <si>
    <t>AGUARDANDO ASSINATURA SECRETÁRIO</t>
  </si>
  <si>
    <t>SÃO MARTINHO DA VÁRZEA</t>
  </si>
  <si>
    <t>VILA PAZ</t>
  </si>
  <si>
    <t>INQULINO</t>
  </si>
  <si>
    <t>VERBA ATENDIMENTO HABITACIONAL</t>
  </si>
  <si>
    <t>CHÁCARA 3 MENINAS</t>
  </si>
  <si>
    <t>AA ATÉ INDENIZAÇÃO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</si>
</sst>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##&quot;.&quot;###&quot;.&quot;###\-##"/>
    <numFmt numFmtId="167" formatCode="&quot;R$&quot;\ #,##0.00"/>
    <numFmt numFmtId="168" formatCode="[$-416]dd\-mmm\-yy;@"/>
    <numFmt numFmtId="169" formatCode="[$-416]d\-mmm\-yy;@"/>
  </numFmts>
  <fonts count="5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</font>
    <font>
      <sz val="9"/>
      <color rgb="FF000000"/>
      <name val="Arial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b/>
      <sz val="10"/>
      <name val="Arial"/>
    </font>
    <font>
      <b/>
      <sz val="12"/>
      <color theme="0"/>
      <name val="Arial"/>
    </font>
    <font>
      <b/>
      <sz val="12"/>
      <color rgb="FF242424"/>
      <name val="Arial"/>
    </font>
    <font>
      <u/>
      <sz val="11"/>
      <color theme="10"/>
      <name val="Calibri"/>
      <family val="2"/>
      <scheme val="minor"/>
    </font>
    <font>
      <sz val="11"/>
      <color rgb="FF000000"/>
      <name val="Aptos Narrow"/>
    </font>
    <font>
      <sz val="12"/>
      <color theme="0"/>
      <name val="Arial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242424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thin">
        <color indexed="64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theme="1" tint="0.499984740745262"/>
      </top>
      <bottom style="dotted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theme="1" tint="0.499984740745262"/>
      </bottom>
      <diagonal/>
    </border>
    <border>
      <left/>
      <right/>
      <top style="medium">
        <color rgb="FF000000"/>
      </top>
      <bottom style="medium">
        <color theme="1" tint="0.499984740745262"/>
      </bottom>
      <diagonal/>
    </border>
  </borders>
  <cellStyleXfs count="51">
    <xf numFmtId="0" fontId="0" fillId="0" borderId="0"/>
    <xf numFmtId="0" fontId="23" fillId="10" borderId="0" applyNumberFormat="0" applyBorder="0" applyAlignment="0" applyProtection="0"/>
    <xf numFmtId="0" fontId="2" fillId="0" borderId="0"/>
    <xf numFmtId="0" fontId="2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341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4" applyFont="1" applyBorder="1" applyAlignment="1">
      <alignment horizontal="left" vertical="center"/>
    </xf>
    <xf numFmtId="166" fontId="0" fillId="0" borderId="1" xfId="0" applyNumberFormat="1" applyBorder="1"/>
    <xf numFmtId="0" fontId="11" fillId="0" borderId="1" xfId="0" applyFont="1" applyBorder="1"/>
    <xf numFmtId="166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6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1" fillId="0" borderId="1" xfId="4" applyFont="1" applyBorder="1" applyAlignment="1">
      <alignment horizontal="left" vertical="center"/>
    </xf>
    <xf numFmtId="166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2" fillId="19" borderId="12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 wrapText="1"/>
    </xf>
    <xf numFmtId="0" fontId="32" fillId="23" borderId="1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168" fontId="35" fillId="0" borderId="12" xfId="0" applyNumberFormat="1" applyFont="1" applyBorder="1" applyAlignment="1">
      <alignment horizontal="center" vertical="center"/>
    </xf>
    <xf numFmtId="168" fontId="35" fillId="11" borderId="12" xfId="0" applyNumberFormat="1" applyFont="1" applyFill="1" applyBorder="1" applyAlignment="1">
      <alignment horizontal="center" vertical="center"/>
    </xf>
    <xf numFmtId="0" fontId="35" fillId="11" borderId="12" xfId="0" applyFont="1" applyFill="1" applyBorder="1" applyAlignment="1">
      <alignment horizontal="center" vertical="center"/>
    </xf>
    <xf numFmtId="168" fontId="36" fillId="0" borderId="12" xfId="0" applyNumberFormat="1" applyFont="1" applyBorder="1" applyAlignment="1">
      <alignment horizontal="center" vertical="center"/>
    </xf>
    <xf numFmtId="0" fontId="36" fillId="11" borderId="12" xfId="0" applyFont="1" applyFill="1" applyBorder="1" applyAlignment="1">
      <alignment horizontal="center" vertical="center"/>
    </xf>
    <xf numFmtId="14" fontId="35" fillId="0" borderId="12" xfId="0" applyNumberFormat="1" applyFont="1" applyBorder="1" applyAlignment="1">
      <alignment horizontal="center" vertical="center"/>
    </xf>
    <xf numFmtId="168" fontId="35" fillId="21" borderId="12" xfId="0" applyNumberFormat="1" applyFont="1" applyFill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22" borderId="12" xfId="0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 wrapText="1"/>
    </xf>
    <xf numFmtId="169" fontId="35" fillId="0" borderId="12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36" fillId="20" borderId="12" xfId="0" applyFont="1" applyFill="1" applyBorder="1" applyAlignment="1">
      <alignment horizontal="center" vertical="center"/>
    </xf>
    <xf numFmtId="0" fontId="35" fillId="26" borderId="12" xfId="0" applyFont="1" applyFill="1" applyBorder="1" applyAlignment="1">
      <alignment horizontal="center" vertical="center" wrapText="1"/>
    </xf>
    <xf numFmtId="0" fontId="28" fillId="21" borderId="6" xfId="0" applyFont="1" applyFill="1" applyBorder="1" applyAlignment="1">
      <alignment horizontal="center" vertical="center"/>
    </xf>
    <xf numFmtId="0" fontId="27" fillId="21" borderId="0" xfId="0" applyFont="1" applyFill="1"/>
    <xf numFmtId="0" fontId="27" fillId="21" borderId="0" xfId="0" applyFont="1" applyFill="1" applyAlignment="1">
      <alignment vertical="top"/>
    </xf>
    <xf numFmtId="0" fontId="28" fillId="21" borderId="11" xfId="0" applyFont="1" applyFill="1" applyBorder="1" applyAlignment="1">
      <alignment horizontal="center" vertical="center"/>
    </xf>
    <xf numFmtId="0" fontId="39" fillId="0" borderId="12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45" fillId="27" borderId="7" xfId="1" applyFont="1" applyFill="1" applyBorder="1" applyAlignment="1">
      <alignment horizontal="center" vertical="center" wrapText="1"/>
    </xf>
    <xf numFmtId="0" fontId="45" fillId="27" borderId="7" xfId="0" applyFont="1" applyFill="1" applyBorder="1" applyAlignment="1">
      <alignment horizontal="center" vertical="center" wrapText="1"/>
    </xf>
    <xf numFmtId="0" fontId="45" fillId="27" borderId="10" xfId="0" applyFont="1" applyFill="1" applyBorder="1" applyAlignment="1">
      <alignment horizontal="center" vertical="center" wrapText="1"/>
    </xf>
    <xf numFmtId="0" fontId="46" fillId="12" borderId="8" xfId="47" applyNumberFormat="1" applyFont="1" applyFill="1" applyBorder="1" applyAlignment="1">
      <alignment horizontal="center" vertical="center" wrapText="1"/>
    </xf>
    <xf numFmtId="167" fontId="46" fillId="12" borderId="8" xfId="47" applyNumberFormat="1" applyFont="1" applyFill="1" applyBorder="1" applyAlignment="1">
      <alignment horizontal="center" vertical="center" wrapText="1"/>
    </xf>
    <xf numFmtId="0" fontId="40" fillId="16" borderId="16" xfId="1" applyFont="1" applyFill="1" applyBorder="1" applyAlignment="1">
      <alignment horizontal="center" vertical="center" wrapText="1"/>
    </xf>
    <xf numFmtId="167" fontId="40" fillId="16" borderId="16" xfId="0" applyNumberFormat="1" applyFont="1" applyFill="1" applyBorder="1" applyAlignment="1">
      <alignment horizontal="center" vertical="center" wrapText="1"/>
    </xf>
    <xf numFmtId="0" fontId="40" fillId="11" borderId="16" xfId="0" applyFont="1" applyFill="1" applyBorder="1" applyAlignment="1">
      <alignment horizontal="center" vertical="center" wrapText="1"/>
    </xf>
    <xf numFmtId="0" fontId="40" fillId="11" borderId="16" xfId="1" applyFont="1" applyFill="1" applyBorder="1" applyAlignment="1">
      <alignment horizontal="center" vertical="center" wrapText="1"/>
    </xf>
    <xf numFmtId="0" fontId="39" fillId="11" borderId="15" xfId="1" applyNumberFormat="1" applyFont="1" applyFill="1" applyBorder="1" applyAlignment="1">
      <alignment horizontal="center" vertical="center" wrapText="1"/>
    </xf>
    <xf numFmtId="167" fontId="39" fillId="0" borderId="12" xfId="0" applyNumberFormat="1" applyFont="1" applyBorder="1" applyAlignment="1">
      <alignment horizontal="center" vertical="center"/>
    </xf>
    <xf numFmtId="0" fontId="39" fillId="11" borderId="16" xfId="1" applyNumberFormat="1" applyFont="1" applyFill="1" applyBorder="1" applyAlignment="1">
      <alignment horizontal="center" vertical="center" wrapText="1"/>
    </xf>
    <xf numFmtId="167" fontId="39" fillId="0" borderId="13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4" fillId="11" borderId="7" xfId="1" applyFont="1" applyFill="1" applyBorder="1" applyAlignment="1">
      <alignment horizontal="center" vertical="center" wrapText="1"/>
    </xf>
    <xf numFmtId="0" fontId="34" fillId="16" borderId="7" xfId="0" applyFont="1" applyFill="1" applyBorder="1" applyAlignment="1">
      <alignment horizontal="center" vertical="center" wrapText="1"/>
    </xf>
    <xf numFmtId="0" fontId="34" fillId="16" borderId="10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0" fontId="51" fillId="21" borderId="1" xfId="0" applyFont="1" applyFill="1" applyBorder="1" applyAlignment="1">
      <alignment horizontal="center" vertical="center"/>
    </xf>
    <xf numFmtId="0" fontId="51" fillId="21" borderId="1" xfId="0" applyFont="1" applyFill="1" applyBorder="1" applyAlignment="1">
      <alignment horizontal="center" vertical="center" wrapText="1"/>
    </xf>
    <xf numFmtId="169" fontId="35" fillId="0" borderId="13" xfId="0" applyNumberFormat="1" applyFont="1" applyBorder="1" applyAlignment="1">
      <alignment horizontal="center" vertical="center"/>
    </xf>
    <xf numFmtId="168" fontId="58" fillId="21" borderId="1" xfId="0" applyNumberFormat="1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26" fillId="0" borderId="0" xfId="0" applyFont="1"/>
    <xf numFmtId="0" fontId="5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5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left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168" fontId="36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167" fontId="39" fillId="0" borderId="0" xfId="0" applyNumberFormat="1" applyFont="1" applyAlignment="1" applyProtection="1">
      <alignment horizontal="center" vertical="center"/>
      <protection locked="0"/>
    </xf>
    <xf numFmtId="169" fontId="36" fillId="0" borderId="0" xfId="0" applyNumberFormat="1" applyFont="1" applyAlignment="1" applyProtection="1">
      <alignment horizontal="center" vertical="center"/>
      <protection locked="0"/>
    </xf>
    <xf numFmtId="167" fontId="35" fillId="0" borderId="0" xfId="0" applyNumberFormat="1" applyFont="1" applyAlignment="1" applyProtection="1">
      <alignment horizontal="center" vertical="center"/>
      <protection locked="0"/>
    </xf>
    <xf numFmtId="0" fontId="46" fillId="12" borderId="8" xfId="47" applyNumberFormat="1" applyFont="1" applyFill="1" applyBorder="1" applyAlignment="1" applyProtection="1">
      <alignment horizontal="center" vertical="center" wrapText="1"/>
      <protection locked="0"/>
    </xf>
    <xf numFmtId="167" fontId="46" fillId="12" borderId="8" xfId="47" applyNumberFormat="1" applyFont="1" applyFill="1" applyBorder="1" applyAlignment="1" applyProtection="1">
      <alignment horizontal="center" vertical="center" wrapText="1"/>
      <protection locked="0"/>
    </xf>
    <xf numFmtId="0" fontId="50" fillId="12" borderId="8" xfId="47" applyNumberFormat="1" applyFont="1" applyFill="1" applyBorder="1" applyAlignment="1" applyProtection="1">
      <alignment horizontal="center" vertical="center" wrapText="1"/>
      <protection locked="0"/>
    </xf>
    <xf numFmtId="0" fontId="46" fillId="12" borderId="0" xfId="47" applyNumberFormat="1" applyFont="1" applyFill="1" applyAlignment="1" applyProtection="1">
      <alignment horizontal="center" vertical="center" wrapText="1"/>
      <protection locked="0"/>
    </xf>
    <xf numFmtId="168" fontId="46" fillId="12" borderId="8" xfId="47" applyNumberFormat="1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39" fillId="11" borderId="15" xfId="1" applyNumberFormat="1" applyFont="1" applyFill="1" applyBorder="1" applyAlignment="1" applyProtection="1">
      <alignment horizontal="center" vertical="center" wrapText="1"/>
      <protection locked="0"/>
    </xf>
    <xf numFmtId="0" fontId="40" fillId="11" borderId="16" xfId="1" applyFont="1" applyFill="1" applyBorder="1" applyAlignment="1" applyProtection="1">
      <alignment horizontal="center" vertical="center" wrapText="1"/>
      <protection locked="0"/>
    </xf>
    <xf numFmtId="0" fontId="39" fillId="11" borderId="16" xfId="1" applyNumberFormat="1" applyFont="1" applyFill="1" applyBorder="1" applyAlignment="1" applyProtection="1">
      <alignment horizontal="center" vertical="center" wrapText="1"/>
      <protection locked="0"/>
    </xf>
    <xf numFmtId="0" fontId="40" fillId="11" borderId="16" xfId="0" applyFont="1" applyFill="1" applyBorder="1" applyAlignment="1" applyProtection="1">
      <alignment horizontal="center" vertical="center" wrapText="1"/>
      <protection locked="0"/>
    </xf>
    <xf numFmtId="168" fontId="40" fillId="15" borderId="16" xfId="0" applyNumberFormat="1" applyFont="1" applyFill="1" applyBorder="1" applyAlignment="1" applyProtection="1">
      <alignment horizontal="center" vertical="center" wrapText="1"/>
      <protection locked="0"/>
    </xf>
    <xf numFmtId="14" fontId="40" fillId="15" borderId="16" xfId="0" applyNumberFormat="1" applyFont="1" applyFill="1" applyBorder="1" applyAlignment="1" applyProtection="1">
      <alignment horizontal="center" vertical="center" wrapText="1"/>
      <protection locked="0"/>
    </xf>
    <xf numFmtId="0" fontId="40" fillId="15" borderId="16" xfId="0" applyFont="1" applyFill="1" applyBorder="1" applyAlignment="1" applyProtection="1">
      <alignment horizontal="center" vertical="center" wrapText="1"/>
      <protection locked="0"/>
    </xf>
    <xf numFmtId="0" fontId="40" fillId="16" borderId="16" xfId="0" applyFont="1" applyFill="1" applyBorder="1" applyAlignment="1" applyProtection="1">
      <alignment horizontal="center" vertical="center" wrapText="1"/>
      <protection locked="0"/>
    </xf>
    <xf numFmtId="0" fontId="40" fillId="16" borderId="16" xfId="1" applyFont="1" applyFill="1" applyBorder="1" applyAlignment="1" applyProtection="1">
      <alignment horizontal="center" vertical="center" wrapText="1"/>
      <protection locked="0"/>
    </xf>
    <xf numFmtId="167" fontId="40" fillId="16" borderId="16" xfId="0" applyNumberFormat="1" applyFont="1" applyFill="1" applyBorder="1" applyAlignment="1" applyProtection="1">
      <alignment horizontal="center" vertical="center" wrapText="1"/>
      <protection locked="0"/>
    </xf>
    <xf numFmtId="0" fontId="38" fillId="16" borderId="16" xfId="0" applyFont="1" applyFill="1" applyBorder="1" applyAlignment="1" applyProtection="1">
      <alignment horizontal="center" vertical="center" wrapText="1"/>
      <protection locked="0"/>
    </xf>
    <xf numFmtId="0" fontId="57" fillId="16" borderId="16" xfId="1" applyFont="1" applyFill="1" applyBorder="1" applyAlignment="1" applyProtection="1">
      <alignment horizontal="center" vertical="center" wrapText="1"/>
      <protection locked="0"/>
    </xf>
    <xf numFmtId="168" fontId="40" fillId="16" borderId="16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10" xfId="0" applyFont="1" applyFill="1" applyBorder="1" applyAlignment="1" applyProtection="1">
      <alignment horizontal="center" vertical="center" wrapText="1"/>
      <protection locked="0"/>
    </xf>
    <xf numFmtId="0" fontId="40" fillId="17" borderId="16" xfId="0" applyFont="1" applyFill="1" applyBorder="1" applyAlignment="1" applyProtection="1">
      <alignment horizontal="center" vertical="center"/>
      <protection locked="0"/>
    </xf>
    <xf numFmtId="0" fontId="40" fillId="24" borderId="16" xfId="0" applyFont="1" applyFill="1" applyBorder="1" applyAlignment="1" applyProtection="1">
      <alignment horizontal="center" vertical="center" wrapText="1"/>
      <protection locked="0"/>
    </xf>
    <xf numFmtId="169" fontId="40" fillId="24" borderId="16" xfId="0" applyNumberFormat="1" applyFont="1" applyFill="1" applyBorder="1" applyAlignment="1" applyProtection="1">
      <alignment horizontal="center" vertical="center" wrapText="1"/>
      <protection locked="0"/>
    </xf>
    <xf numFmtId="169" fontId="40" fillId="24" borderId="16" xfId="0" applyNumberFormat="1" applyFont="1" applyFill="1" applyBorder="1" applyAlignment="1" applyProtection="1">
      <alignment horizontal="center" vertical="center"/>
      <protection locked="0"/>
    </xf>
    <xf numFmtId="0" fontId="40" fillId="24" borderId="16" xfId="0" applyFont="1" applyFill="1" applyBorder="1" applyAlignment="1" applyProtection="1">
      <alignment horizontal="center" vertical="center"/>
      <protection locked="0"/>
    </xf>
    <xf numFmtId="0" fontId="40" fillId="24" borderId="17" xfId="0" applyFont="1" applyFill="1" applyBorder="1" applyAlignment="1" applyProtection="1">
      <alignment horizontal="center" vertical="center" wrapText="1"/>
      <protection locked="0"/>
    </xf>
    <xf numFmtId="0" fontId="35" fillId="0" borderId="13" xfId="0" applyFont="1" applyBorder="1" applyAlignment="1" applyProtection="1">
      <alignment horizontal="center" vertical="center"/>
      <protection locked="0"/>
    </xf>
    <xf numFmtId="0" fontId="39" fillId="0" borderId="13" xfId="0" applyFont="1" applyBorder="1" applyAlignment="1" applyProtection="1">
      <alignment horizontal="center" vertical="center"/>
      <protection locked="0"/>
    </xf>
    <xf numFmtId="0" fontId="35" fillId="0" borderId="13" xfId="0" applyFont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 applyProtection="1">
      <alignment horizontal="center" vertical="center" wrapText="1"/>
      <protection locked="0"/>
    </xf>
    <xf numFmtId="168" fontId="35" fillId="0" borderId="13" xfId="0" applyNumberFormat="1" applyFont="1" applyBorder="1" applyAlignment="1" applyProtection="1">
      <alignment horizontal="center" vertical="center"/>
      <protection locked="0"/>
    </xf>
    <xf numFmtId="168" fontId="35" fillId="0" borderId="12" xfId="0" applyNumberFormat="1" applyFont="1" applyBorder="1" applyAlignment="1" applyProtection="1">
      <alignment horizontal="center" vertical="center"/>
      <protection locked="0"/>
    </xf>
    <xf numFmtId="168" fontId="36" fillId="0" borderId="12" xfId="0" applyNumberFormat="1" applyFont="1" applyBorder="1" applyAlignment="1" applyProtection="1">
      <alignment horizontal="center" vertical="center"/>
      <protection locked="0"/>
    </xf>
    <xf numFmtId="0" fontId="38" fillId="0" borderId="13" xfId="0" applyFont="1" applyBorder="1" applyAlignment="1" applyProtection="1">
      <alignment horizontal="center" vertical="center" wrapText="1"/>
      <protection locked="0"/>
    </xf>
    <xf numFmtId="0" fontId="40" fillId="0" borderId="13" xfId="0" applyFont="1" applyBorder="1" applyAlignment="1" applyProtection="1">
      <alignment horizontal="center" vertical="center" wrapText="1"/>
      <protection locked="0"/>
    </xf>
    <xf numFmtId="0" fontId="40" fillId="0" borderId="13" xfId="0" applyFont="1" applyBorder="1" applyAlignment="1" applyProtection="1">
      <alignment horizontal="center" vertical="center"/>
      <protection locked="0"/>
    </xf>
    <xf numFmtId="0" fontId="35" fillId="0" borderId="12" xfId="0" applyFont="1" applyBorder="1" applyAlignment="1" applyProtection="1">
      <alignment horizontal="center" vertical="center"/>
      <protection locked="0"/>
    </xf>
    <xf numFmtId="168" fontId="36" fillId="21" borderId="12" xfId="0" applyNumberFormat="1" applyFont="1" applyFill="1" applyBorder="1" applyAlignment="1" applyProtection="1">
      <alignment horizontal="center" vertical="center"/>
      <protection locked="0"/>
    </xf>
    <xf numFmtId="168" fontId="35" fillId="21" borderId="13" xfId="0" applyNumberFormat="1" applyFont="1" applyFill="1" applyBorder="1" applyAlignment="1" applyProtection="1">
      <alignment horizontal="center" vertical="center"/>
      <protection locked="0"/>
    </xf>
    <xf numFmtId="0" fontId="41" fillId="0" borderId="13" xfId="0" applyFont="1" applyBorder="1" applyAlignment="1" applyProtection="1">
      <alignment horizontal="center" vertical="center"/>
      <protection locked="0"/>
    </xf>
    <xf numFmtId="0" fontId="38" fillId="0" borderId="13" xfId="0" applyFont="1" applyBorder="1" applyAlignment="1" applyProtection="1">
      <alignment horizontal="center" vertical="center"/>
      <protection locked="0"/>
    </xf>
    <xf numFmtId="0" fontId="38" fillId="11" borderId="18" xfId="0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9" fillId="0" borderId="12" xfId="0" applyFont="1" applyBorder="1" applyAlignment="1" applyProtection="1">
      <alignment horizontal="center" vertical="center"/>
      <protection locked="0"/>
    </xf>
    <xf numFmtId="0" fontId="39" fillId="0" borderId="12" xfId="0" applyFont="1" applyBorder="1" applyAlignment="1" applyProtection="1">
      <alignment horizontal="center" vertical="center" wrapText="1"/>
      <protection locked="0"/>
    </xf>
    <xf numFmtId="168" fontId="35" fillId="0" borderId="12" xfId="0" applyNumberFormat="1" applyFont="1" applyBorder="1" applyAlignment="1" applyProtection="1">
      <alignment horizontal="center" vertical="center" wrapText="1"/>
      <protection locked="0"/>
    </xf>
    <xf numFmtId="0" fontId="35" fillId="0" borderId="12" xfId="0" applyFont="1" applyBorder="1" applyAlignment="1" applyProtection="1">
      <alignment horizontal="center" vertical="center" wrapText="1"/>
      <protection locked="0"/>
    </xf>
    <xf numFmtId="167" fontId="39" fillId="0" borderId="12" xfId="0" applyNumberFormat="1" applyFont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horizontal="center" vertical="center"/>
      <protection locked="0"/>
    </xf>
    <xf numFmtId="0" fontId="37" fillId="0" borderId="12" xfId="0" applyFont="1" applyBorder="1" applyAlignment="1" applyProtection="1">
      <alignment horizontal="center" vertical="center"/>
      <protection locked="0"/>
    </xf>
    <xf numFmtId="169" fontId="36" fillId="0" borderId="12" xfId="0" applyNumberFormat="1" applyFont="1" applyBorder="1" applyAlignment="1" applyProtection="1">
      <alignment horizontal="center" vertical="center"/>
      <protection locked="0"/>
    </xf>
    <xf numFmtId="0" fontId="36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vertical="center"/>
      <protection locked="0"/>
    </xf>
    <xf numFmtId="0" fontId="39" fillId="21" borderId="12" xfId="0" applyFont="1" applyFill="1" applyBorder="1" applyAlignment="1" applyProtection="1">
      <alignment horizontal="center" vertical="center" wrapText="1"/>
      <protection locked="0"/>
    </xf>
    <xf numFmtId="0" fontId="47" fillId="0" borderId="12" xfId="0" applyFont="1" applyBorder="1" applyAlignment="1" applyProtection="1">
      <alignment horizontal="center" vertical="center"/>
      <protection locked="0"/>
    </xf>
    <xf numFmtId="168" fontId="36" fillId="11" borderId="12" xfId="0" applyNumberFormat="1" applyFont="1" applyFill="1" applyBorder="1" applyAlignment="1" applyProtection="1">
      <alignment horizontal="center" vertical="center"/>
      <protection locked="0"/>
    </xf>
    <xf numFmtId="168" fontId="35" fillId="11" borderId="12" xfId="0" applyNumberFormat="1" applyFont="1" applyFill="1" applyBorder="1" applyAlignment="1" applyProtection="1">
      <alignment horizontal="center" vertical="center"/>
      <protection locked="0"/>
    </xf>
    <xf numFmtId="0" fontId="35" fillId="11" borderId="12" xfId="0" applyFont="1" applyFill="1" applyBorder="1" applyAlignment="1" applyProtection="1">
      <alignment horizontal="center" vertical="center"/>
      <protection locked="0"/>
    </xf>
    <xf numFmtId="0" fontId="41" fillId="0" borderId="12" xfId="0" applyFont="1" applyBorder="1" applyAlignment="1" applyProtection="1">
      <alignment horizontal="center" vertical="center"/>
      <protection locked="0"/>
    </xf>
    <xf numFmtId="0" fontId="38" fillId="0" borderId="12" xfId="0" applyFont="1" applyBorder="1" applyAlignment="1" applyProtection="1">
      <alignment horizontal="center" vertical="center"/>
      <protection locked="0"/>
    </xf>
    <xf numFmtId="0" fontId="38" fillId="11" borderId="19" xfId="0" applyFont="1" applyFill="1" applyBorder="1" applyAlignment="1" applyProtection="1">
      <alignment horizontal="center" vertical="center"/>
      <protection locked="0"/>
    </xf>
    <xf numFmtId="0" fontId="56" fillId="11" borderId="19" xfId="0" applyFont="1" applyFill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horizontal="center" vertical="center" wrapText="1"/>
      <protection locked="0"/>
    </xf>
    <xf numFmtId="0" fontId="38" fillId="0" borderId="19" xfId="0" applyFont="1" applyBorder="1" applyAlignment="1" applyProtection="1">
      <alignment horizontal="center" vertical="center"/>
      <protection locked="0"/>
    </xf>
    <xf numFmtId="168" fontId="52" fillId="11" borderId="12" xfId="0" applyNumberFormat="1" applyFont="1" applyFill="1" applyBorder="1" applyAlignment="1" applyProtection="1">
      <alignment horizontal="center" vertical="center"/>
      <protection locked="0"/>
    </xf>
    <xf numFmtId="0" fontId="52" fillId="11" borderId="12" xfId="0" applyFont="1" applyFill="1" applyBorder="1" applyAlignment="1" applyProtection="1">
      <alignment horizontal="center" vertical="center"/>
      <protection locked="0"/>
    </xf>
    <xf numFmtId="0" fontId="53" fillId="0" borderId="12" xfId="0" applyFont="1" applyBorder="1" applyAlignment="1" applyProtection="1">
      <alignment horizontal="center" vertical="center"/>
      <protection locked="0"/>
    </xf>
    <xf numFmtId="0" fontId="54" fillId="0" borderId="12" xfId="0" applyFont="1" applyBorder="1" applyAlignment="1" applyProtection="1">
      <alignment horizontal="center" vertical="center"/>
      <protection locked="0"/>
    </xf>
    <xf numFmtId="168" fontId="35" fillId="21" borderId="12" xfId="0" applyNumberFormat="1" applyFont="1" applyFill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vertical="center"/>
      <protection locked="0"/>
    </xf>
    <xf numFmtId="0" fontId="38" fillId="0" borderId="12" xfId="0" applyFont="1" applyBorder="1" applyAlignment="1" applyProtection="1">
      <alignment horizontal="center" vertical="center" wrapText="1"/>
      <protection locked="0"/>
    </xf>
    <xf numFmtId="0" fontId="40" fillId="0" borderId="12" xfId="0" applyFont="1" applyBorder="1" applyAlignment="1" applyProtection="1">
      <alignment horizontal="center" vertical="center" wrapText="1"/>
      <protection locked="0"/>
    </xf>
    <xf numFmtId="167" fontId="39" fillId="0" borderId="13" xfId="0" applyNumberFormat="1" applyFont="1" applyBorder="1" applyAlignment="1" applyProtection="1">
      <alignment horizontal="center" vertical="center"/>
      <protection locked="0"/>
    </xf>
    <xf numFmtId="168" fontId="35" fillId="11" borderId="13" xfId="0" applyNumberFormat="1" applyFont="1" applyFill="1" applyBorder="1" applyAlignment="1" applyProtection="1">
      <alignment horizontal="center" vertical="center"/>
      <protection locked="0"/>
    </xf>
    <xf numFmtId="0" fontId="35" fillId="11" borderId="13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 applyProtection="1">
      <alignment horizontal="center" vertical="center"/>
      <protection locked="0"/>
    </xf>
    <xf numFmtId="0" fontId="35" fillId="0" borderId="12" xfId="0" applyFont="1" applyBorder="1" applyProtection="1">
      <protection locked="0"/>
    </xf>
    <xf numFmtId="168" fontId="39" fillId="0" borderId="12" xfId="0" applyNumberFormat="1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35" fillId="21" borderId="12" xfId="0" applyFont="1" applyFill="1" applyBorder="1" applyAlignment="1" applyProtection="1">
      <alignment horizontal="center" vertical="center"/>
      <protection locked="0"/>
    </xf>
    <xf numFmtId="0" fontId="35" fillId="0" borderId="12" xfId="0" applyFont="1" applyBorder="1" applyAlignment="1" applyProtection="1">
      <alignment vertical="center"/>
      <protection locked="0"/>
    </xf>
    <xf numFmtId="0" fontId="36" fillId="0" borderId="13" xfId="0" applyFont="1" applyBorder="1" applyAlignment="1" applyProtection="1">
      <alignment horizontal="center" vertical="center" wrapText="1"/>
      <protection locked="0"/>
    </xf>
    <xf numFmtId="168" fontId="36" fillId="0" borderId="13" xfId="0" applyNumberFormat="1" applyFont="1" applyBorder="1" applyAlignment="1" applyProtection="1">
      <alignment horizontal="center" vertical="center"/>
      <protection locked="0"/>
    </xf>
    <xf numFmtId="0" fontId="36" fillId="0" borderId="13" xfId="0" applyFont="1" applyBorder="1" applyAlignment="1" applyProtection="1">
      <alignment horizontal="center" vertical="center"/>
      <protection locked="0"/>
    </xf>
    <xf numFmtId="0" fontId="37" fillId="0" borderId="12" xfId="0" applyFont="1" applyBorder="1" applyAlignment="1" applyProtection="1">
      <alignment horizontal="center" vertical="center" wrapText="1"/>
      <protection locked="0"/>
    </xf>
    <xf numFmtId="0" fontId="54" fillId="11" borderId="19" xfId="0" applyFont="1" applyFill="1" applyBorder="1" applyAlignment="1" applyProtection="1">
      <alignment horizontal="center" vertical="center"/>
      <protection locked="0"/>
    </xf>
    <xf numFmtId="0" fontId="36" fillId="11" borderId="12" xfId="0" applyFont="1" applyFill="1" applyBorder="1" applyAlignment="1" applyProtection="1">
      <alignment horizontal="center" vertical="center"/>
      <protection locked="0"/>
    </xf>
    <xf numFmtId="0" fontId="36" fillId="11" borderId="19" xfId="0" applyFont="1" applyFill="1" applyBorder="1" applyAlignment="1" applyProtection="1">
      <alignment horizontal="center" vertical="center"/>
      <protection locked="0"/>
    </xf>
    <xf numFmtId="0" fontId="36" fillId="0" borderId="13" xfId="0" applyFont="1" applyBorder="1" applyAlignment="1" applyProtection="1">
      <alignment vertical="center"/>
      <protection locked="0"/>
    </xf>
    <xf numFmtId="0" fontId="36" fillId="0" borderId="12" xfId="0" applyFont="1" applyBorder="1" applyAlignment="1" applyProtection="1">
      <alignment vertical="center"/>
      <protection locked="0"/>
    </xf>
    <xf numFmtId="0" fontId="39" fillId="21" borderId="12" xfId="0" applyFont="1" applyFill="1" applyBorder="1" applyAlignment="1" applyProtection="1">
      <alignment horizontal="center" vertical="center"/>
      <protection locked="0"/>
    </xf>
    <xf numFmtId="0" fontId="36" fillId="21" borderId="12" xfId="0" applyFont="1" applyFill="1" applyBorder="1" applyAlignment="1" applyProtection="1">
      <alignment horizontal="center" vertical="center"/>
      <protection locked="0"/>
    </xf>
    <xf numFmtId="0" fontId="57" fillId="0" borderId="12" xfId="0" applyFont="1" applyBorder="1" applyAlignment="1" applyProtection="1">
      <alignment horizontal="center" vertical="center"/>
      <protection locked="0"/>
    </xf>
    <xf numFmtId="168" fontId="56" fillId="11" borderId="12" xfId="0" applyNumberFormat="1" applyFont="1" applyFill="1" applyBorder="1" applyAlignment="1" applyProtection="1">
      <alignment horizontal="center" vertical="center"/>
      <protection locked="0"/>
    </xf>
    <xf numFmtId="0" fontId="38" fillId="11" borderId="12" xfId="0" applyFont="1" applyFill="1" applyBorder="1" applyAlignment="1" applyProtection="1">
      <alignment horizontal="center" vertical="center"/>
      <protection locked="0"/>
    </xf>
    <xf numFmtId="0" fontId="56" fillId="11" borderId="12" xfId="0" applyFont="1" applyFill="1" applyBorder="1" applyAlignment="1" applyProtection="1">
      <alignment horizontal="center" vertical="center"/>
      <protection locked="0"/>
    </xf>
    <xf numFmtId="168" fontId="35" fillId="0" borderId="0" xfId="0" applyNumberFormat="1" applyFont="1" applyAlignment="1" applyProtection="1">
      <alignment horizontal="center" vertical="center"/>
      <protection locked="0"/>
    </xf>
    <xf numFmtId="0" fontId="35" fillId="11" borderId="0" xfId="0" applyFont="1" applyFill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35" fillId="21" borderId="13" xfId="0" applyFont="1" applyFill="1" applyBorder="1" applyAlignment="1" applyProtection="1">
      <alignment horizontal="center" vertical="center"/>
      <protection locked="0"/>
    </xf>
    <xf numFmtId="0" fontId="35" fillId="21" borderId="13" xfId="0" applyFont="1" applyFill="1" applyBorder="1" applyAlignment="1" applyProtection="1">
      <alignment horizontal="center" vertical="center" wrapText="1"/>
      <protection locked="0"/>
    </xf>
    <xf numFmtId="11" fontId="40" fillId="0" borderId="12" xfId="0" applyNumberFormat="1" applyFont="1" applyBorder="1" applyAlignment="1" applyProtection="1">
      <alignment horizontal="center" vertical="center"/>
      <protection locked="0"/>
    </xf>
    <xf numFmtId="0" fontId="54" fillId="11" borderId="12" xfId="0" applyFont="1" applyFill="1" applyBorder="1" applyAlignment="1" applyProtection="1">
      <alignment horizontal="center" vertical="center"/>
      <protection locked="0"/>
    </xf>
    <xf numFmtId="168" fontId="36" fillId="11" borderId="13" xfId="0" applyNumberFormat="1" applyFont="1" applyFill="1" applyBorder="1" applyAlignment="1" applyProtection="1">
      <alignment horizontal="center" vertical="center"/>
      <protection locked="0"/>
    </xf>
    <xf numFmtId="0" fontId="36" fillId="28" borderId="0" xfId="0" applyFont="1" applyFill="1" applyAlignment="1" applyProtection="1">
      <alignment vertical="center"/>
      <protection locked="0"/>
    </xf>
    <xf numFmtId="0" fontId="35" fillId="21" borderId="12" xfId="0" applyFont="1" applyFill="1" applyBorder="1" applyAlignment="1" applyProtection="1">
      <alignment horizontal="center" vertical="center" wrapText="1"/>
      <protection locked="0"/>
    </xf>
    <xf numFmtId="0" fontId="36" fillId="21" borderId="0" xfId="0" applyFont="1" applyFill="1" applyAlignment="1" applyProtection="1">
      <alignment vertical="center"/>
      <protection locked="0"/>
    </xf>
    <xf numFmtId="0" fontId="36" fillId="11" borderId="13" xfId="0" applyFont="1" applyFill="1" applyBorder="1" applyAlignment="1" applyProtection="1">
      <alignment horizontal="center" vertical="center"/>
      <protection locked="0"/>
    </xf>
    <xf numFmtId="14" fontId="36" fillId="0" borderId="12" xfId="0" applyNumberFormat="1" applyFont="1" applyBorder="1" applyAlignment="1" applyProtection="1">
      <alignment horizontal="center" vertical="center"/>
      <protection locked="0"/>
    </xf>
    <xf numFmtId="168" fontId="35" fillId="0" borderId="12" xfId="0" applyNumberFormat="1" applyFont="1" applyBorder="1" applyAlignment="1" applyProtection="1">
      <alignment horizontal="center" vertical="top"/>
      <protection locked="0"/>
    </xf>
    <xf numFmtId="0" fontId="47" fillId="0" borderId="13" xfId="0" applyFont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36" fillId="21" borderId="23" xfId="0" applyFont="1" applyFill="1" applyBorder="1" applyAlignment="1" applyProtection="1">
      <alignment horizontal="center" vertical="center"/>
      <protection locked="0"/>
    </xf>
    <xf numFmtId="0" fontId="36" fillId="0" borderId="22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22" xfId="0" applyFont="1" applyBorder="1" applyAlignment="1" applyProtection="1">
      <alignment horizontal="center" vertical="center"/>
      <protection locked="0"/>
    </xf>
    <xf numFmtId="168" fontId="52" fillId="11" borderId="0" xfId="0" applyNumberFormat="1" applyFont="1" applyFill="1" applyAlignment="1" applyProtection="1">
      <alignment horizontal="center" vertical="center"/>
      <protection locked="0"/>
    </xf>
    <xf numFmtId="0" fontId="52" fillId="11" borderId="0" xfId="0" applyFont="1" applyFill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54" fillId="0" borderId="0" xfId="0" applyFont="1" applyAlignment="1" applyProtection="1">
      <alignment horizontal="center" vertical="center"/>
      <protection locked="0"/>
    </xf>
    <xf numFmtId="0" fontId="54" fillId="11" borderId="0" xfId="0" applyFont="1" applyFill="1" applyAlignment="1" applyProtection="1">
      <alignment horizontal="center" vertical="center"/>
      <protection locked="0"/>
    </xf>
    <xf numFmtId="0" fontId="35" fillId="0" borderId="12" xfId="0" quotePrefix="1" applyFont="1" applyBorder="1" applyAlignment="1" applyProtection="1">
      <alignment horizontal="center" vertical="center"/>
      <protection locked="0"/>
    </xf>
    <xf numFmtId="168" fontId="35" fillId="11" borderId="0" xfId="0" applyNumberFormat="1" applyFont="1" applyFill="1" applyAlignment="1" applyProtection="1">
      <alignment horizontal="center" vertical="center"/>
      <protection locked="0"/>
    </xf>
    <xf numFmtId="167" fontId="35" fillId="0" borderId="12" xfId="0" applyNumberFormat="1" applyFont="1" applyBorder="1" applyAlignment="1" applyProtection="1">
      <alignment horizontal="center" vertical="center"/>
      <protection locked="0"/>
    </xf>
    <xf numFmtId="0" fontId="42" fillId="0" borderId="12" xfId="0" applyFont="1" applyBorder="1" applyAlignment="1" applyProtection="1">
      <alignment horizontal="center" vertical="center"/>
      <protection locked="0"/>
    </xf>
    <xf numFmtId="0" fontId="35" fillId="28" borderId="12" xfId="0" applyFont="1" applyFill="1" applyBorder="1" applyAlignment="1" applyProtection="1">
      <alignment horizontal="center" vertical="center"/>
      <protection locked="0"/>
    </xf>
    <xf numFmtId="0" fontId="40" fillId="28" borderId="13" xfId="0" applyFont="1" applyFill="1" applyBorder="1" applyAlignment="1" applyProtection="1">
      <alignment horizontal="center" vertical="center" wrapText="1"/>
      <protection locked="0"/>
    </xf>
    <xf numFmtId="0" fontId="39" fillId="0" borderId="12" xfId="0" applyFont="1" applyBorder="1" applyAlignment="1" applyProtection="1">
      <alignment horizontal="center" vertical="top" wrapText="1"/>
      <protection locked="0"/>
    </xf>
    <xf numFmtId="0" fontId="39" fillId="0" borderId="13" xfId="0" applyFont="1" applyBorder="1" applyAlignment="1" applyProtection="1">
      <alignment horizontal="center" vertical="top" wrapText="1"/>
      <protection locked="0"/>
    </xf>
    <xf numFmtId="168" fontId="35" fillId="21" borderId="0" xfId="0" applyNumberFormat="1" applyFont="1" applyFill="1" applyAlignment="1" applyProtection="1">
      <alignment horizontal="center" vertical="center"/>
      <protection locked="0"/>
    </xf>
    <xf numFmtId="168" fontId="36" fillId="11" borderId="0" xfId="0" applyNumberFormat="1" applyFont="1" applyFill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8" fillId="11" borderId="0" xfId="0" applyFont="1" applyFill="1" applyAlignment="1" applyProtection="1">
      <alignment horizontal="center" vertical="center"/>
      <protection locked="0"/>
    </xf>
    <xf numFmtId="0" fontId="38" fillId="11" borderId="20" xfId="0" applyFont="1" applyFill="1" applyBorder="1" applyAlignment="1" applyProtection="1">
      <alignment horizontal="center" vertical="center"/>
      <protection locked="0"/>
    </xf>
    <xf numFmtId="14" fontId="36" fillId="0" borderId="0" xfId="0" applyNumberFormat="1" applyFont="1" applyAlignment="1" applyProtection="1">
      <alignment horizontal="center" vertical="center"/>
      <protection locked="0"/>
    </xf>
    <xf numFmtId="168" fontId="36" fillId="0" borderId="5" xfId="0" applyNumberFormat="1" applyFont="1" applyBorder="1" applyAlignment="1" applyProtection="1">
      <alignment horizontal="center" vertical="center"/>
      <protection locked="0"/>
    </xf>
    <xf numFmtId="0" fontId="36" fillId="0" borderId="5" xfId="0" applyFont="1" applyBorder="1" applyAlignment="1" applyProtection="1">
      <alignment horizontal="center" vertical="center"/>
      <protection locked="0"/>
    </xf>
    <xf numFmtId="168" fontId="36" fillId="21" borderId="0" xfId="0" applyNumberFormat="1" applyFont="1" applyFill="1" applyAlignment="1" applyProtection="1">
      <alignment horizontal="center" vertical="center"/>
      <protection locked="0"/>
    </xf>
    <xf numFmtId="167" fontId="37" fillId="0" borderId="0" xfId="0" applyNumberFormat="1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hidden="1"/>
    </xf>
    <xf numFmtId="0" fontId="51" fillId="0" borderId="1" xfId="0" applyFont="1" applyBorder="1" applyAlignment="1" applyProtection="1">
      <alignment horizontal="center" vertical="center"/>
      <protection locked="0"/>
    </xf>
    <xf numFmtId="168" fontId="51" fillId="0" borderId="1" xfId="0" applyNumberFormat="1" applyFont="1" applyBorder="1" applyAlignment="1" applyProtection="1">
      <alignment horizontal="center" vertical="center"/>
      <protection locked="0"/>
    </xf>
    <xf numFmtId="168" fontId="35" fillId="29" borderId="13" xfId="0" applyNumberFormat="1" applyFont="1" applyFill="1" applyBorder="1" applyAlignment="1" applyProtection="1">
      <alignment horizontal="center" vertical="center"/>
      <protection locked="0"/>
    </xf>
    <xf numFmtId="0" fontId="52" fillId="29" borderId="13" xfId="0" applyFont="1" applyFill="1" applyBorder="1" applyAlignment="1" applyProtection="1">
      <alignment horizontal="center" vertical="center"/>
      <protection locked="0"/>
    </xf>
    <xf numFmtId="0" fontId="35" fillId="29" borderId="13" xfId="0" applyFont="1" applyFill="1" applyBorder="1" applyAlignment="1" applyProtection="1">
      <alignment horizontal="center" vertical="center"/>
      <protection hidden="1"/>
    </xf>
    <xf numFmtId="168" fontId="35" fillId="29" borderId="12" xfId="0" applyNumberFormat="1" applyFont="1" applyFill="1" applyBorder="1" applyAlignment="1" applyProtection="1">
      <alignment horizontal="center" vertical="center"/>
      <protection locked="0"/>
    </xf>
    <xf numFmtId="168" fontId="36" fillId="29" borderId="12" xfId="0" applyNumberFormat="1" applyFont="1" applyFill="1" applyBorder="1" applyAlignment="1" applyProtection="1">
      <alignment horizontal="center" vertical="center"/>
      <protection locked="0"/>
    </xf>
    <xf numFmtId="0" fontId="36" fillId="29" borderId="0" xfId="0" applyFont="1" applyFill="1" applyAlignment="1" applyProtection="1">
      <alignment horizontal="center" vertical="center"/>
      <protection locked="0"/>
    </xf>
    <xf numFmtId="0" fontId="36" fillId="29" borderId="0" xfId="0" applyFont="1" applyFill="1" applyAlignment="1" applyProtection="1">
      <alignment horizontal="center" vertical="center"/>
      <protection hidden="1"/>
    </xf>
    <xf numFmtId="168" fontId="35" fillId="29" borderId="12" xfId="0" applyNumberFormat="1" applyFont="1" applyFill="1" applyBorder="1" applyAlignment="1" applyProtection="1">
      <alignment horizontal="center" vertical="center" wrapText="1"/>
      <protection locked="0"/>
    </xf>
    <xf numFmtId="1" fontId="35" fillId="0" borderId="12" xfId="0" applyNumberFormat="1" applyFont="1" applyBorder="1" applyAlignment="1">
      <alignment horizontal="center" vertical="center"/>
    </xf>
    <xf numFmtId="0" fontId="51" fillId="0" borderId="1" xfId="0" applyFont="1" applyBorder="1" applyAlignment="1" applyProtection="1">
      <alignment horizontal="center" vertical="center" wrapText="1"/>
      <protection locked="0"/>
    </xf>
    <xf numFmtId="0" fontId="46" fillId="25" borderId="14" xfId="0" applyFont="1" applyFill="1" applyBorder="1" applyAlignment="1" applyProtection="1">
      <alignment horizontal="center" vertical="center" wrapText="1"/>
      <protection locked="0"/>
    </xf>
    <xf numFmtId="0" fontId="46" fillId="25" borderId="0" xfId="0" applyFont="1" applyFill="1" applyAlignment="1" applyProtection="1">
      <alignment horizontal="center" vertical="center" wrapText="1"/>
      <protection locked="0"/>
    </xf>
    <xf numFmtId="0" fontId="46" fillId="14" borderId="8" xfId="47" applyNumberFormat="1" applyFont="1" applyFill="1" applyBorder="1" applyAlignment="1" applyProtection="1">
      <alignment horizontal="center" vertical="center" wrapText="1"/>
      <protection locked="0"/>
    </xf>
    <xf numFmtId="168" fontId="46" fillId="14" borderId="8" xfId="47" applyNumberFormat="1" applyFont="1" applyFill="1" applyBorder="1" applyAlignment="1" applyProtection="1">
      <alignment horizontal="center" vertical="center" wrapText="1"/>
      <protection locked="0"/>
    </xf>
    <xf numFmtId="14" fontId="46" fillId="14" borderId="8" xfId="47" applyNumberFormat="1" applyFont="1" applyFill="1" applyBorder="1" applyAlignment="1" applyProtection="1">
      <alignment horizontal="center" vertical="center" wrapText="1"/>
      <protection locked="0"/>
    </xf>
    <xf numFmtId="0" fontId="46" fillId="14" borderId="9" xfId="47" applyNumberFormat="1" applyFont="1" applyFill="1" applyBorder="1" applyAlignment="1" applyProtection="1">
      <alignment horizontal="center" vertical="center" wrapText="1"/>
      <protection locked="0"/>
    </xf>
    <xf numFmtId="0" fontId="46" fillId="13" borderId="7" xfId="47" applyNumberFormat="1" applyFont="1" applyFill="1" applyBorder="1" applyAlignment="1" applyProtection="1">
      <alignment horizontal="center" vertical="center" wrapText="1"/>
      <protection locked="0"/>
    </xf>
    <xf numFmtId="0" fontId="46" fillId="13" borderId="8" xfId="47" applyNumberFormat="1" applyFont="1" applyFill="1" applyBorder="1" applyAlignment="1" applyProtection="1">
      <alignment horizontal="center" vertical="center" wrapText="1"/>
      <protection locked="0"/>
    </xf>
    <xf numFmtId="0" fontId="46" fillId="13" borderId="8" xfId="47" applyNumberFormat="1" applyFont="1" applyFill="1" applyBorder="1" applyAlignment="1" applyProtection="1">
      <alignment horizontal="left" vertical="center" wrapText="1"/>
      <protection locked="0"/>
    </xf>
    <xf numFmtId="0" fontId="46" fillId="18" borderId="7" xfId="0" applyFont="1" applyFill="1" applyBorder="1" applyAlignment="1" applyProtection="1">
      <alignment horizontal="center" vertical="center" wrapText="1"/>
      <protection locked="0"/>
    </xf>
    <xf numFmtId="0" fontId="46" fillId="18" borderId="9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0" fillId="4" borderId="0" xfId="0" applyFill="1" applyAlignment="1">
      <alignment horizont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46" fillId="13" borderId="24" xfId="47" applyNumberFormat="1" applyFont="1" applyFill="1" applyBorder="1" applyAlignment="1">
      <alignment horizontal="center" vertical="center" wrapText="1"/>
    </xf>
    <xf numFmtId="0" fontId="46" fillId="13" borderId="25" xfId="47" applyNumberFormat="1" applyFont="1" applyFill="1" applyBorder="1" applyAlignment="1">
      <alignment horizontal="center" vertical="center" wrapText="1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29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8585"/>
      <color rgb="FFFF8F8F"/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  <namedSheetView name="Exibir1" id="{904A681D-94C6-4B26-9172-F6FA7B0BC04B}">
    <nsvFilter filterId="{00000000-0001-0000-0000-000000000000}" ref="A4:DH5353" tableId="0"/>
  </namedSheetView>
  <namedSheetView name="Exibir2" id="{E40D6C0B-8DD2-418B-962B-86ED15D1929E}"/>
  <namedSheetView name="Exibir3" id="{D841A113-E4FB-441F-AEED-11C048D88F65}"/>
  <namedSheetView name="Exibir4" id="{85A2FEA4-97E8-4394-9A69-A48ABB269B9A}">
    <nsvFilter filterId="{00000000-0001-0000-0000-000000000000}" ref="A4:DH5353" tableId="0">
      <sortRules>
        <sortRule colId="4">
          <sortCondition ref="E4:E5353"/>
        </sortRule>
      </sortRules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3" t="s">
        <v>11</v>
      </c>
      <c r="C2" s="3">
        <v>1</v>
      </c>
      <c r="D2" s="3">
        <v>101</v>
      </c>
      <c r="E2" s="24" t="s">
        <v>12</v>
      </c>
      <c r="F2" s="3" t="s">
        <v>13</v>
      </c>
      <c r="G2" s="3" t="s">
        <v>14</v>
      </c>
      <c r="H2" s="3" t="s">
        <v>14</v>
      </c>
      <c r="I2" s="3" t="s">
        <v>15</v>
      </c>
      <c r="J2" s="3" t="s">
        <v>16</v>
      </c>
    </row>
    <row r="3" spans="1:10">
      <c r="A3" s="1" t="s">
        <v>17</v>
      </c>
      <c r="B3" s="3" t="s">
        <v>18</v>
      </c>
      <c r="C3" s="3">
        <v>2</v>
      </c>
      <c r="D3" s="3">
        <v>102</v>
      </c>
      <c r="E3" s="3" t="s">
        <v>19</v>
      </c>
      <c r="F3" s="6" t="s">
        <v>20</v>
      </c>
      <c r="G3" s="3" t="s">
        <v>21</v>
      </c>
      <c r="H3" s="3" t="s">
        <v>22</v>
      </c>
      <c r="I3" s="3" t="s">
        <v>23</v>
      </c>
      <c r="J3" s="3" t="s">
        <v>24</v>
      </c>
    </row>
    <row r="4" spans="1:10">
      <c r="A4" s="1" t="s">
        <v>25</v>
      </c>
      <c r="B4" s="3" t="s">
        <v>26</v>
      </c>
      <c r="C4" s="3">
        <v>3</v>
      </c>
      <c r="D4" s="3">
        <v>103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30</v>
      </c>
    </row>
    <row r="5" spans="1:10">
      <c r="A5" s="1" t="s">
        <v>32</v>
      </c>
      <c r="B5" s="3" t="s">
        <v>33</v>
      </c>
      <c r="C5" s="3">
        <v>4</v>
      </c>
      <c r="D5" s="3">
        <v>104</v>
      </c>
      <c r="E5" s="3" t="s">
        <v>24</v>
      </c>
      <c r="F5" s="3" t="s">
        <v>34</v>
      </c>
      <c r="G5" s="3" t="s">
        <v>35</v>
      </c>
      <c r="H5" s="3" t="s">
        <v>36</v>
      </c>
      <c r="I5" s="3" t="s">
        <v>30</v>
      </c>
    </row>
    <row r="6" spans="1:10">
      <c r="A6" s="1" t="s">
        <v>37</v>
      </c>
      <c r="B6" s="3" t="s">
        <v>38</v>
      </c>
      <c r="C6" s="3">
        <v>5</v>
      </c>
      <c r="D6" s="3">
        <v>201</v>
      </c>
      <c r="E6" s="3" t="s">
        <v>39</v>
      </c>
      <c r="G6" s="3" t="s">
        <v>40</v>
      </c>
      <c r="H6" s="3" t="s">
        <v>41</v>
      </c>
      <c r="I6" s="3" t="s">
        <v>42</v>
      </c>
    </row>
    <row r="7" spans="1:10">
      <c r="A7" s="1" t="s">
        <v>43</v>
      </c>
      <c r="B7" s="3" t="s">
        <v>44</v>
      </c>
      <c r="C7" s="3">
        <v>6</v>
      </c>
      <c r="D7" s="3">
        <v>202</v>
      </c>
      <c r="E7" s="3" t="s">
        <v>45</v>
      </c>
      <c r="G7" s="3" t="s">
        <v>46</v>
      </c>
      <c r="I7" s="3" t="s">
        <v>47</v>
      </c>
    </row>
    <row r="8" spans="1:10">
      <c r="A8" s="1" t="s">
        <v>48</v>
      </c>
      <c r="B8" s="3" t="s">
        <v>49</v>
      </c>
      <c r="C8" s="3">
        <v>7</v>
      </c>
      <c r="D8" s="3">
        <v>203</v>
      </c>
      <c r="E8" s="3" t="s">
        <v>50</v>
      </c>
      <c r="G8" s="3"/>
      <c r="I8" s="3" t="s">
        <v>51</v>
      </c>
    </row>
    <row r="9" spans="1:10">
      <c r="A9" s="1" t="s">
        <v>52</v>
      </c>
      <c r="B9" s="3" t="s">
        <v>53</v>
      </c>
      <c r="C9" s="3">
        <v>8</v>
      </c>
      <c r="D9" s="3">
        <v>204</v>
      </c>
      <c r="E9" s="3" t="s">
        <v>54</v>
      </c>
    </row>
    <row r="10" spans="1:10">
      <c r="A10" s="1" t="s">
        <v>55</v>
      </c>
      <c r="B10" s="3" t="s">
        <v>56</v>
      </c>
      <c r="C10" s="3">
        <v>9</v>
      </c>
      <c r="D10" s="3">
        <v>301</v>
      </c>
      <c r="E10" s="3" t="s">
        <v>57</v>
      </c>
    </row>
    <row r="11" spans="1:10">
      <c r="A11" s="1" t="s">
        <v>58</v>
      </c>
      <c r="B11" s="3" t="s">
        <v>59</v>
      </c>
      <c r="C11" s="3">
        <v>10</v>
      </c>
      <c r="D11" s="3">
        <v>302</v>
      </c>
      <c r="E11" s="3" t="s">
        <v>60</v>
      </c>
    </row>
    <row r="12" spans="1:10">
      <c r="A12" s="1" t="s">
        <v>61</v>
      </c>
      <c r="B12" s="3" t="s">
        <v>62</v>
      </c>
      <c r="C12" s="3">
        <v>11</v>
      </c>
      <c r="D12" s="3">
        <v>303</v>
      </c>
      <c r="E12" s="24" t="s">
        <v>63</v>
      </c>
    </row>
    <row r="13" spans="1:10">
      <c r="A13" s="1" t="s">
        <v>64</v>
      </c>
      <c r="B13" s="3" t="s">
        <v>65</v>
      </c>
      <c r="C13" s="3">
        <v>12</v>
      </c>
      <c r="D13" s="3">
        <v>304</v>
      </c>
      <c r="E13" t="s">
        <v>66</v>
      </c>
    </row>
    <row r="14" spans="1:10">
      <c r="A14" s="1" t="s">
        <v>67</v>
      </c>
      <c r="B14" s="3" t="s">
        <v>68</v>
      </c>
      <c r="C14" s="3">
        <v>13</v>
      </c>
      <c r="D14" s="3">
        <v>401</v>
      </c>
      <c r="E14" s="3" t="s">
        <v>69</v>
      </c>
    </row>
    <row r="15" spans="1:10">
      <c r="A15" s="1" t="s">
        <v>70</v>
      </c>
      <c r="B15" s="3" t="s">
        <v>71</v>
      </c>
      <c r="C15" s="3">
        <v>14</v>
      </c>
      <c r="D15" s="3">
        <v>402</v>
      </c>
      <c r="E15" s="3" t="s">
        <v>28</v>
      </c>
    </row>
    <row r="16" spans="1:10">
      <c r="A16" s="1" t="s">
        <v>72</v>
      </c>
      <c r="C16" s="3">
        <v>15</v>
      </c>
      <c r="D16" s="3">
        <v>403</v>
      </c>
      <c r="E16" s="3" t="s">
        <v>73</v>
      </c>
    </row>
    <row r="17" spans="1:7">
      <c r="A17" s="1" t="s">
        <v>74</v>
      </c>
      <c r="C17" s="3"/>
      <c r="D17" s="3">
        <v>404</v>
      </c>
      <c r="E17" s="3" t="s">
        <v>75</v>
      </c>
    </row>
    <row r="18" spans="1:7">
      <c r="A18" s="1" t="s">
        <v>76</v>
      </c>
      <c r="C18" s="3"/>
      <c r="D18" s="3">
        <v>501</v>
      </c>
      <c r="E18" s="3" t="s">
        <v>77</v>
      </c>
    </row>
    <row r="19" spans="1:7">
      <c r="A19" s="1" t="s">
        <v>78</v>
      </c>
      <c r="D19" s="3">
        <v>502</v>
      </c>
      <c r="E19" s="3" t="s">
        <v>79</v>
      </c>
    </row>
    <row r="20" spans="1:7">
      <c r="A20" s="1" t="s">
        <v>80</v>
      </c>
      <c r="D20" s="3">
        <v>503</v>
      </c>
      <c r="E20" s="3" t="s">
        <v>81</v>
      </c>
    </row>
    <row r="21" spans="1:7">
      <c r="A21" s="1" t="s">
        <v>82</v>
      </c>
      <c r="D21" s="3">
        <v>504</v>
      </c>
      <c r="E21" s="3" t="s">
        <v>16</v>
      </c>
    </row>
    <row r="22" spans="1:7">
      <c r="A22" s="1" t="s">
        <v>83</v>
      </c>
      <c r="E22" s="3" t="s">
        <v>84</v>
      </c>
      <c r="G22" s="3"/>
    </row>
    <row r="23" spans="1:7">
      <c r="A23" s="1" t="s">
        <v>85</v>
      </c>
      <c r="E23" s="3" t="s">
        <v>86</v>
      </c>
    </row>
    <row r="24" spans="1:7">
      <c r="A24" s="1" t="s">
        <v>87</v>
      </c>
    </row>
    <row r="25" spans="1:7">
      <c r="A25" s="1" t="s">
        <v>88</v>
      </c>
      <c r="G25" s="5"/>
    </row>
    <row r="26" spans="1:7">
      <c r="A26" s="1" t="s">
        <v>89</v>
      </c>
      <c r="G26" s="3"/>
    </row>
    <row r="27" spans="1:7">
      <c r="A27" s="1" t="s">
        <v>90</v>
      </c>
      <c r="G27" s="3"/>
    </row>
    <row r="28" spans="1:7">
      <c r="A28" s="1" t="s">
        <v>91</v>
      </c>
      <c r="G28" s="3"/>
    </row>
    <row r="29" spans="1:7">
      <c r="A29" s="1" t="s">
        <v>92</v>
      </c>
      <c r="G29" s="3"/>
    </row>
    <row r="30" spans="1:7">
      <c r="A30" s="1" t="s">
        <v>93</v>
      </c>
      <c r="G30" s="3"/>
    </row>
    <row r="31" spans="1:7">
      <c r="A31" s="1" t="s">
        <v>94</v>
      </c>
    </row>
    <row r="32" spans="1:7">
      <c r="A32" s="1" t="s">
        <v>95</v>
      </c>
    </row>
    <row r="33" spans="1:1">
      <c r="A33" s="1" t="s">
        <v>96</v>
      </c>
    </row>
    <row r="34" spans="1:1">
      <c r="A34" s="1" t="s">
        <v>97</v>
      </c>
    </row>
    <row r="35" spans="1:1">
      <c r="A35" s="1" t="s">
        <v>98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2" ht="24.95" customHeight="1">
      <c r="A1" s="52" t="s">
        <v>99</v>
      </c>
      <c r="B1" s="52" t="s">
        <v>100</v>
      </c>
    </row>
    <row r="2" spans="1:2" ht="24.95" customHeight="1">
      <c r="A2" s="53" t="s">
        <v>11</v>
      </c>
      <c r="B2" s="53" t="e">
        <f>COUNTIF(#REF!,'QUANT COND'!A2)</f>
        <v>#REF!</v>
      </c>
    </row>
    <row r="3" spans="1:2" ht="24.95" customHeight="1">
      <c r="A3" s="53" t="s">
        <v>18</v>
      </c>
      <c r="B3" s="53" t="e">
        <f>COUNTIF(#REF!,'QUANT COND'!A3)</f>
        <v>#REF!</v>
      </c>
    </row>
    <row r="4" spans="1:2" ht="24.95" customHeight="1">
      <c r="A4" s="53" t="s">
        <v>26</v>
      </c>
      <c r="B4" s="53" t="e">
        <f>COUNTIF(#REF!,'QUANT COND'!A4)</f>
        <v>#REF!</v>
      </c>
    </row>
    <row r="5" spans="1:2" ht="24.95" customHeight="1">
      <c r="A5" s="53" t="s">
        <v>33</v>
      </c>
      <c r="B5" s="53" t="e">
        <f>COUNTIF(#REF!,'QUANT COND'!A5)</f>
        <v>#REF!</v>
      </c>
    </row>
    <row r="6" spans="1:2" ht="24.95" customHeight="1">
      <c r="A6" s="53" t="s">
        <v>38</v>
      </c>
      <c r="B6" s="53" t="e">
        <f>COUNTIF(#REF!,'QUANT COND'!A6)</f>
        <v>#REF!</v>
      </c>
    </row>
    <row r="7" spans="1:2" ht="24.95" customHeight="1">
      <c r="A7" s="53" t="s">
        <v>44</v>
      </c>
      <c r="B7" s="53" t="e">
        <f>COUNTIF(#REF!,'QUANT COND'!A7)</f>
        <v>#REF!</v>
      </c>
    </row>
    <row r="8" spans="1:2" ht="24.95" customHeight="1">
      <c r="A8" s="53" t="s">
        <v>49</v>
      </c>
      <c r="B8" s="53" t="e">
        <f>COUNTIF(#REF!,'QUANT COND'!A8)</f>
        <v>#REF!</v>
      </c>
    </row>
    <row r="9" spans="1:2" ht="24.95" customHeight="1">
      <c r="A9" s="53" t="s">
        <v>53</v>
      </c>
      <c r="B9" s="53" t="e">
        <f>COUNTIF(#REF!,'QUANT COND'!A9)</f>
        <v>#REF!</v>
      </c>
    </row>
    <row r="10" spans="1:2" ht="24.95" customHeight="1">
      <c r="A10" s="53" t="s">
        <v>56</v>
      </c>
      <c r="B10" s="53" t="e">
        <f>COUNTIF(#REF!,'QUANT COND'!A10)</f>
        <v>#REF!</v>
      </c>
    </row>
    <row r="11" spans="1:2" ht="24.95" customHeight="1">
      <c r="A11" s="53" t="s">
        <v>59</v>
      </c>
      <c r="B11" s="53" t="e">
        <f>COUNTIF(#REF!,'QUANT COND'!A11)</f>
        <v>#REF!</v>
      </c>
    </row>
    <row r="12" spans="1:2" ht="24.95" customHeight="1">
      <c r="A12" s="53" t="s">
        <v>62</v>
      </c>
      <c r="B12" s="53" t="e">
        <f>COUNTIF(#REF!,'QUANT COND'!A12)</f>
        <v>#REF!</v>
      </c>
    </row>
    <row r="13" spans="1:2" ht="24.95" customHeight="1">
      <c r="A13" s="53" t="s">
        <v>65</v>
      </c>
      <c r="B13" s="53" t="e">
        <f>COUNTIF(#REF!,'QUANT COND'!A13)</f>
        <v>#REF!</v>
      </c>
    </row>
    <row r="14" spans="1:2" ht="24.95" customHeight="1">
      <c r="A14" s="53" t="s">
        <v>68</v>
      </c>
      <c r="B14" s="53" t="e">
        <f>COUNTIF(#REF!,'QUANT COND'!A14)</f>
        <v>#REF!</v>
      </c>
    </row>
    <row r="15" spans="1:2" ht="24.95" customHeight="1">
      <c r="A15" s="53" t="s">
        <v>71</v>
      </c>
      <c r="B15" s="53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059"/>
  <sheetViews>
    <sheetView zoomScale="59" zoomScaleNormal="59" workbookViewId="0">
      <pane ySplit="2" topLeftCell="A73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336" t="s">
        <v>101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8"/>
    </row>
    <row r="2" spans="1:27" ht="50.25" customHeight="1">
      <c r="A2" s="7" t="s">
        <v>102</v>
      </c>
      <c r="B2" s="7" t="s">
        <v>103</v>
      </c>
      <c r="C2" s="7" t="s">
        <v>104</v>
      </c>
      <c r="D2" s="12" t="s">
        <v>103</v>
      </c>
      <c r="E2" s="54" t="s">
        <v>105</v>
      </c>
      <c r="F2" s="54" t="s">
        <v>106</v>
      </c>
      <c r="G2" s="55" t="s">
        <v>107</v>
      </c>
      <c r="H2" s="55" t="s">
        <v>108</v>
      </c>
      <c r="I2" s="39" t="s">
        <v>109</v>
      </c>
      <c r="J2" s="40" t="s">
        <v>106</v>
      </c>
      <c r="K2" s="39" t="s">
        <v>108</v>
      </c>
      <c r="L2" s="51" t="s">
        <v>110</v>
      </c>
      <c r="M2" s="51" t="s">
        <v>111</v>
      </c>
      <c r="O2" s="56" t="s">
        <v>112</v>
      </c>
      <c r="P2" s="57" t="s">
        <v>100</v>
      </c>
      <c r="Q2" s="57" t="s">
        <v>113</v>
      </c>
      <c r="R2" s="57" t="s">
        <v>114</v>
      </c>
      <c r="S2" s="57" t="s">
        <v>115</v>
      </c>
      <c r="T2" s="41" t="s">
        <v>116</v>
      </c>
      <c r="Y2" s="43" t="s">
        <v>117</v>
      </c>
      <c r="Z2" s="43" t="s">
        <v>118</v>
      </c>
      <c r="AA2" s="42" t="s">
        <v>119</v>
      </c>
    </row>
    <row r="3" spans="1:27">
      <c r="A3" s="13" t="s">
        <v>120</v>
      </c>
      <c r="B3" s="58">
        <v>27140979871</v>
      </c>
      <c r="C3" s="59"/>
      <c r="D3" s="60"/>
      <c r="E3" s="9">
        <v>1128</v>
      </c>
      <c r="F3" s="25">
        <v>42972</v>
      </c>
      <c r="G3" s="61" t="s">
        <v>13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121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122</v>
      </c>
      <c r="B4" s="58">
        <v>39200633846</v>
      </c>
      <c r="C4" s="59"/>
      <c r="D4" s="60"/>
      <c r="E4" s="9"/>
      <c r="F4" s="25"/>
      <c r="G4" s="61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123</v>
      </c>
      <c r="Y4" s="24">
        <v>1517</v>
      </c>
      <c r="Z4" s="24">
        <v>1427</v>
      </c>
      <c r="AA4" s="24">
        <v>1559</v>
      </c>
    </row>
    <row r="5" spans="1:27">
      <c r="A5" s="62" t="s">
        <v>124</v>
      </c>
      <c r="B5" s="58">
        <v>75489104872</v>
      </c>
      <c r="C5" s="63"/>
      <c r="D5" s="60"/>
      <c r="E5" s="9">
        <v>1752</v>
      </c>
      <c r="F5" s="25">
        <v>43051</v>
      </c>
      <c r="G5" s="61" t="s">
        <v>13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125</v>
      </c>
      <c r="Y5" s="24">
        <v>73</v>
      </c>
      <c r="Z5" s="24">
        <v>79</v>
      </c>
      <c r="AA5" s="24">
        <v>28</v>
      </c>
    </row>
    <row r="6" spans="1:27">
      <c r="A6" s="62" t="s">
        <v>126</v>
      </c>
      <c r="B6" s="58">
        <v>43286003620</v>
      </c>
      <c r="C6" s="63"/>
      <c r="D6" s="60"/>
      <c r="E6" s="9"/>
      <c r="F6" s="25"/>
      <c r="G6" s="61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127</v>
      </c>
      <c r="Y6" s="24">
        <v>36</v>
      </c>
      <c r="Z6" s="24">
        <v>32</v>
      </c>
      <c r="AA6" s="24">
        <v>11</v>
      </c>
    </row>
    <row r="7" spans="1:27">
      <c r="A7" s="27" t="s">
        <v>128</v>
      </c>
      <c r="B7" s="58"/>
      <c r="C7" s="18" t="s">
        <v>129</v>
      </c>
      <c r="D7" s="60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130</v>
      </c>
      <c r="Y7" s="24">
        <v>224</v>
      </c>
      <c r="Z7" s="24">
        <v>275</v>
      </c>
      <c r="AA7" s="24">
        <v>17</v>
      </c>
    </row>
    <row r="8" spans="1:27">
      <c r="A8" s="62" t="s">
        <v>131</v>
      </c>
      <c r="B8" s="58">
        <v>97443271620</v>
      </c>
      <c r="C8" s="63"/>
      <c r="D8" s="60"/>
      <c r="E8" s="9">
        <v>1106</v>
      </c>
      <c r="F8" s="25">
        <v>42965</v>
      </c>
      <c r="G8" s="61" t="s">
        <v>13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62" t="s">
        <v>132</v>
      </c>
      <c r="B9" s="58">
        <v>98058690597</v>
      </c>
      <c r="C9" s="63"/>
      <c r="D9" s="60"/>
      <c r="E9" s="9">
        <v>423</v>
      </c>
      <c r="F9" s="25">
        <v>43182</v>
      </c>
      <c r="G9" s="61" t="s">
        <v>13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62" t="s">
        <v>133</v>
      </c>
      <c r="B10" s="58">
        <v>38088438888</v>
      </c>
      <c r="C10" s="63"/>
      <c r="D10" s="60"/>
      <c r="E10" s="9"/>
      <c r="F10" s="25"/>
      <c r="G10" s="61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62" t="s">
        <v>134</v>
      </c>
      <c r="B11" s="58">
        <v>26939799869</v>
      </c>
      <c r="C11" s="63"/>
      <c r="D11" s="60"/>
      <c r="E11" s="9">
        <v>573</v>
      </c>
      <c r="F11" s="25">
        <v>43224</v>
      </c>
      <c r="G11" s="61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62" t="s">
        <v>135</v>
      </c>
      <c r="B12" s="58">
        <v>34470559873</v>
      </c>
      <c r="C12" s="63"/>
      <c r="D12" s="60"/>
      <c r="E12" s="9">
        <v>292</v>
      </c>
      <c r="F12" s="25">
        <v>43168</v>
      </c>
      <c r="G12" s="61" t="s">
        <v>13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62" t="s">
        <v>136</v>
      </c>
      <c r="B13" s="58">
        <v>14369564808</v>
      </c>
      <c r="C13" s="63"/>
      <c r="D13" s="60"/>
      <c r="E13" s="9"/>
      <c r="F13" s="25"/>
      <c r="G13" s="61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62" t="s">
        <v>137</v>
      </c>
      <c r="B14" s="58">
        <v>39544185844</v>
      </c>
      <c r="C14" s="63"/>
      <c r="D14" s="60"/>
      <c r="E14" s="9">
        <v>810</v>
      </c>
      <c r="F14" s="25">
        <v>42915</v>
      </c>
      <c r="G14" s="61" t="s">
        <v>13</v>
      </c>
      <c r="H14" s="25">
        <v>42921</v>
      </c>
      <c r="I14" s="8"/>
      <c r="J14" s="8"/>
      <c r="K14" s="8"/>
      <c r="L14" s="9" t="s">
        <v>138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139</v>
      </c>
      <c r="B15" s="58">
        <v>38772276860</v>
      </c>
      <c r="C15" s="18" t="s">
        <v>140</v>
      </c>
      <c r="D15" s="60">
        <v>3808243457</v>
      </c>
      <c r="E15" s="9"/>
      <c r="F15" s="25"/>
      <c r="G15" s="61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62" t="s">
        <v>141</v>
      </c>
      <c r="B16" s="58">
        <v>21538837846</v>
      </c>
      <c r="C16" s="63" t="s">
        <v>142</v>
      </c>
      <c r="D16" s="60">
        <v>94203180520</v>
      </c>
      <c r="E16" s="9">
        <v>810</v>
      </c>
      <c r="F16" s="25">
        <v>42915</v>
      </c>
      <c r="G16" s="61" t="s">
        <v>13</v>
      </c>
      <c r="H16" s="25">
        <v>42921</v>
      </c>
      <c r="I16" s="8"/>
      <c r="J16" s="8"/>
      <c r="K16" s="8"/>
      <c r="L16" s="9" t="s">
        <v>138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62" t="s">
        <v>143</v>
      </c>
      <c r="B17" s="58">
        <v>57455392591</v>
      </c>
      <c r="C17" s="63"/>
      <c r="D17" s="60"/>
      <c r="E17" s="9"/>
      <c r="F17" s="25"/>
      <c r="G17" s="61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62" t="s">
        <v>144</v>
      </c>
      <c r="B18" s="58">
        <v>5304941594</v>
      </c>
      <c r="C18" s="63"/>
      <c r="D18" s="60"/>
      <c r="E18" s="9">
        <v>1106</v>
      </c>
      <c r="F18" s="25">
        <v>42965</v>
      </c>
      <c r="G18" s="61" t="s">
        <v>13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62" t="s">
        <v>145</v>
      </c>
      <c r="B19" s="58">
        <v>21600057896</v>
      </c>
      <c r="C19" s="63"/>
      <c r="D19" s="60"/>
      <c r="E19" s="9">
        <v>262</v>
      </c>
      <c r="F19" s="25">
        <v>43160</v>
      </c>
      <c r="G19" s="61" t="s">
        <v>20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7" t="s">
        <v>146</v>
      </c>
      <c r="B20" s="58">
        <v>18419589802</v>
      </c>
      <c r="C20" s="18" t="s">
        <v>129</v>
      </c>
      <c r="D20" s="60"/>
      <c r="E20" s="9"/>
      <c r="F20" s="25"/>
      <c r="G20" s="61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147</v>
      </c>
      <c r="B21" s="58">
        <v>15538537846</v>
      </c>
      <c r="C21" s="63"/>
      <c r="D21" s="60"/>
      <c r="E21" s="9">
        <v>573</v>
      </c>
      <c r="F21" s="25">
        <v>43224</v>
      </c>
      <c r="G21" s="61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62" t="s">
        <v>148</v>
      </c>
      <c r="B22" s="58">
        <v>899837506</v>
      </c>
      <c r="C22" s="63"/>
      <c r="D22" s="60"/>
      <c r="E22" s="9">
        <v>1824</v>
      </c>
      <c r="F22" s="25">
        <v>43091</v>
      </c>
      <c r="G22" s="61" t="s">
        <v>13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62" t="s">
        <v>149</v>
      </c>
      <c r="B23" s="58">
        <v>36197160803</v>
      </c>
      <c r="C23" s="63"/>
      <c r="D23" s="60"/>
      <c r="E23" s="9">
        <v>229</v>
      </c>
      <c r="F23" s="25">
        <v>43151</v>
      </c>
      <c r="G23" s="61" t="s">
        <v>13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62" t="s">
        <v>150</v>
      </c>
      <c r="B24" s="58">
        <v>39248826814</v>
      </c>
      <c r="C24" s="63"/>
      <c r="D24" s="60"/>
      <c r="E24" s="9">
        <v>292</v>
      </c>
      <c r="F24" s="25">
        <v>43168</v>
      </c>
      <c r="G24" s="61" t="s">
        <v>13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151</v>
      </c>
      <c r="B25" s="58">
        <v>48925276534</v>
      </c>
      <c r="C25" s="63"/>
      <c r="D25" s="60"/>
      <c r="E25" s="9">
        <v>229</v>
      </c>
      <c r="F25" s="25">
        <v>43151</v>
      </c>
      <c r="G25" s="61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7" t="s">
        <v>152</v>
      </c>
      <c r="B26" s="58"/>
      <c r="C26" s="18" t="s">
        <v>129</v>
      </c>
      <c r="D26" s="60"/>
      <c r="E26" s="9"/>
      <c r="F26" s="25"/>
      <c r="G26" s="61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62" t="s">
        <v>153</v>
      </c>
      <c r="B27" s="58">
        <v>25894152810</v>
      </c>
      <c r="C27" s="63" t="s">
        <v>154</v>
      </c>
      <c r="D27" s="60">
        <v>8263008808</v>
      </c>
      <c r="E27" s="9">
        <v>292</v>
      </c>
      <c r="F27" s="25">
        <v>43168</v>
      </c>
      <c r="G27" s="61" t="s">
        <v>13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155</v>
      </c>
      <c r="B28" s="58">
        <v>43026389587</v>
      </c>
      <c r="C28" s="63" t="s">
        <v>156</v>
      </c>
      <c r="D28" s="60">
        <v>29124464813</v>
      </c>
      <c r="E28" s="9">
        <v>485</v>
      </c>
      <c r="F28" s="25">
        <v>43196</v>
      </c>
      <c r="G28" s="61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62" t="s">
        <v>157</v>
      </c>
      <c r="B29" s="58">
        <v>26245112885</v>
      </c>
      <c r="C29" s="63"/>
      <c r="D29" s="60"/>
      <c r="E29" s="9">
        <v>262</v>
      </c>
      <c r="F29" s="25">
        <v>43160</v>
      </c>
      <c r="G29" s="61" t="s">
        <v>20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62" t="s">
        <v>158</v>
      </c>
      <c r="B30" s="58">
        <v>36531080809</v>
      </c>
      <c r="C30" s="63" t="s">
        <v>159</v>
      </c>
      <c r="D30" s="60">
        <v>22485483892</v>
      </c>
      <c r="E30" s="9">
        <v>1489</v>
      </c>
      <c r="F30" s="25">
        <v>43038</v>
      </c>
      <c r="G30" s="61" t="s">
        <v>13</v>
      </c>
      <c r="H30" s="9"/>
      <c r="I30" s="8"/>
      <c r="J30" s="8"/>
      <c r="K30" s="8"/>
      <c r="L30" s="9" t="s">
        <v>160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62" t="s">
        <v>161</v>
      </c>
      <c r="B31" s="58">
        <v>28147186819</v>
      </c>
      <c r="C31" s="63" t="s">
        <v>162</v>
      </c>
      <c r="D31" s="60">
        <v>24499714400</v>
      </c>
      <c r="E31" s="9"/>
      <c r="F31" s="25"/>
      <c r="G31" s="61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64" t="s">
        <v>163</v>
      </c>
      <c r="B32" s="58">
        <v>37559228860</v>
      </c>
      <c r="C32" s="63" t="s">
        <v>164</v>
      </c>
      <c r="D32" s="60">
        <v>28072024892</v>
      </c>
      <c r="E32" s="9">
        <v>1555</v>
      </c>
      <c r="F32" s="25">
        <v>43049</v>
      </c>
      <c r="G32" s="9" t="s">
        <v>13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62" t="s">
        <v>165</v>
      </c>
      <c r="B33" s="58">
        <v>23635229822</v>
      </c>
      <c r="C33" s="63" t="s">
        <v>166</v>
      </c>
      <c r="D33" s="60">
        <v>21668057875</v>
      </c>
      <c r="E33" s="9">
        <v>262</v>
      </c>
      <c r="F33" s="25">
        <v>43160</v>
      </c>
      <c r="G33" s="61" t="s">
        <v>13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7" t="s">
        <v>167</v>
      </c>
      <c r="B34" s="58"/>
      <c r="C34" s="27" t="s">
        <v>129</v>
      </c>
      <c r="D34" s="60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168</v>
      </c>
      <c r="B35" s="58">
        <v>40902634844</v>
      </c>
      <c r="C35" s="63" t="s">
        <v>169</v>
      </c>
      <c r="D35" s="60">
        <v>23795007895</v>
      </c>
      <c r="E35" s="9">
        <v>117</v>
      </c>
      <c r="F35" s="25">
        <v>43117</v>
      </c>
      <c r="G35" s="61" t="s">
        <v>13</v>
      </c>
      <c r="H35" s="25">
        <v>43151</v>
      </c>
      <c r="I35" s="8"/>
      <c r="J35" s="8"/>
      <c r="K35" s="8"/>
      <c r="L35" s="9" t="s">
        <v>170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62" t="s">
        <v>171</v>
      </c>
      <c r="B36" s="58">
        <v>39615629898</v>
      </c>
      <c r="C36" s="63" t="s">
        <v>172</v>
      </c>
      <c r="D36" s="60">
        <v>43328275894</v>
      </c>
      <c r="E36" s="9">
        <v>423</v>
      </c>
      <c r="F36" s="25">
        <v>43182</v>
      </c>
      <c r="G36" s="61" t="s">
        <v>13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62" t="s">
        <v>173</v>
      </c>
      <c r="B37" s="58"/>
      <c r="C37" s="63"/>
      <c r="D37" s="60"/>
      <c r="E37" s="9"/>
      <c r="F37" s="25"/>
      <c r="G37" s="61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7" t="s">
        <v>174</v>
      </c>
      <c r="B38" s="58"/>
      <c r="C38" s="27" t="s">
        <v>175</v>
      </c>
      <c r="D38" s="60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62" t="s">
        <v>176</v>
      </c>
      <c r="B39" s="58">
        <v>14268808809</v>
      </c>
      <c r="C39" s="63"/>
      <c r="D39" s="60"/>
      <c r="E39" s="9">
        <v>262</v>
      </c>
      <c r="F39" s="25">
        <v>43160</v>
      </c>
      <c r="G39" s="61" t="s">
        <v>13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62" t="s">
        <v>177</v>
      </c>
      <c r="B40" s="58">
        <v>29628693867</v>
      </c>
      <c r="C40" s="63"/>
      <c r="D40" s="60"/>
      <c r="E40" s="9">
        <v>292</v>
      </c>
      <c r="F40" s="25">
        <v>43168</v>
      </c>
      <c r="G40" s="9" t="s">
        <v>13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62" t="s">
        <v>178</v>
      </c>
      <c r="B41" s="58">
        <v>35762862844</v>
      </c>
      <c r="C41" s="63"/>
      <c r="D41" s="60"/>
      <c r="E41" s="9">
        <v>1106</v>
      </c>
      <c r="F41" s="25">
        <v>42965</v>
      </c>
      <c r="G41" s="61" t="s">
        <v>13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62" t="s">
        <v>179</v>
      </c>
      <c r="B42" s="58">
        <v>10201704412</v>
      </c>
      <c r="C42" s="63" t="s">
        <v>180</v>
      </c>
      <c r="D42" s="60">
        <v>33674895811</v>
      </c>
      <c r="E42" s="9">
        <v>262</v>
      </c>
      <c r="F42" s="25">
        <v>43160</v>
      </c>
      <c r="G42" s="61" t="s">
        <v>13</v>
      </c>
      <c r="H42" s="25">
        <v>43164</v>
      </c>
      <c r="I42" s="8"/>
      <c r="J42" s="8"/>
      <c r="K42" s="8"/>
      <c r="L42" s="9">
        <v>255</v>
      </c>
      <c r="M42" s="8"/>
      <c r="O42" s="57" t="s">
        <v>181</v>
      </c>
      <c r="P42" s="57">
        <f t="shared" ref="P42:U42" si="2">SUM(P3:P36)</f>
        <v>1922</v>
      </c>
      <c r="Q42" s="57">
        <f t="shared" si="2"/>
        <v>1514</v>
      </c>
      <c r="R42" s="57">
        <f t="shared" si="2"/>
        <v>83</v>
      </c>
      <c r="S42" s="57">
        <f t="shared" si="2"/>
        <v>36</v>
      </c>
      <c r="T42" s="57">
        <f t="shared" si="2"/>
        <v>289</v>
      </c>
      <c r="U42" s="65">
        <f t="shared" si="2"/>
        <v>1922</v>
      </c>
    </row>
    <row r="43" spans="1:21">
      <c r="A43" s="62" t="s">
        <v>182</v>
      </c>
      <c r="B43" s="58">
        <v>35271487873</v>
      </c>
      <c r="C43" s="59" t="s">
        <v>183</v>
      </c>
      <c r="D43" s="60">
        <v>557351502</v>
      </c>
      <c r="E43" s="9">
        <v>1128</v>
      </c>
      <c r="F43" s="25">
        <v>42972</v>
      </c>
      <c r="G43" s="61" t="s">
        <v>13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184</v>
      </c>
      <c r="B44" s="58">
        <v>22360217801</v>
      </c>
      <c r="C44" s="59"/>
      <c r="D44" s="60"/>
      <c r="E44" s="9">
        <v>1128</v>
      </c>
      <c r="F44" s="25">
        <v>42972</v>
      </c>
      <c r="G44" s="61" t="s">
        <v>13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185</v>
      </c>
      <c r="B45" s="58">
        <v>36930783862</v>
      </c>
      <c r="C45" s="63"/>
      <c r="D45" s="60"/>
      <c r="E45" s="9">
        <v>443</v>
      </c>
      <c r="F45" s="25">
        <v>43188</v>
      </c>
      <c r="G45" s="61"/>
      <c r="H45" s="25">
        <v>43192</v>
      </c>
      <c r="I45" s="8"/>
      <c r="J45" s="8"/>
      <c r="K45" s="8"/>
      <c r="L45" s="8"/>
      <c r="M45" s="8"/>
    </row>
    <row r="46" spans="1:21">
      <c r="A46" s="15" t="s">
        <v>186</v>
      </c>
      <c r="B46" s="58">
        <v>36647299866</v>
      </c>
      <c r="C46" s="63"/>
      <c r="D46" s="60"/>
      <c r="E46" s="9">
        <v>292</v>
      </c>
      <c r="F46" s="25">
        <v>43168</v>
      </c>
      <c r="G46" s="61" t="s">
        <v>13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187</v>
      </c>
      <c r="B47" s="58">
        <v>31801479895</v>
      </c>
      <c r="C47" s="63" t="s">
        <v>188</v>
      </c>
      <c r="D47" s="60">
        <v>23103908873</v>
      </c>
      <c r="E47" s="9"/>
      <c r="F47" s="25"/>
      <c r="G47" s="61"/>
      <c r="H47" s="9"/>
      <c r="I47" s="8"/>
      <c r="J47" s="8"/>
      <c r="K47" s="8"/>
      <c r="L47" s="8"/>
      <c r="M47" s="8"/>
    </row>
    <row r="48" spans="1:21">
      <c r="A48" s="14" t="s">
        <v>189</v>
      </c>
      <c r="B48" s="58">
        <v>28638653824</v>
      </c>
      <c r="C48" s="63" t="s">
        <v>190</v>
      </c>
      <c r="D48" s="60">
        <v>50160249520</v>
      </c>
      <c r="E48" s="9"/>
      <c r="F48" s="25"/>
      <c r="G48" s="61"/>
      <c r="H48" s="9"/>
      <c r="I48" s="8"/>
      <c r="J48" s="8"/>
      <c r="K48" s="8"/>
      <c r="L48" s="8"/>
      <c r="M48" s="8"/>
    </row>
    <row r="49" spans="1:21">
      <c r="A49" s="62" t="s">
        <v>191</v>
      </c>
      <c r="B49" s="58">
        <v>17766101807</v>
      </c>
      <c r="C49" s="63" t="s">
        <v>192</v>
      </c>
      <c r="D49" s="60">
        <v>31993041842</v>
      </c>
      <c r="E49" s="9">
        <v>1824</v>
      </c>
      <c r="F49" s="25">
        <v>43091</v>
      </c>
      <c r="G49" s="61" t="s">
        <v>13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63" t="s">
        <v>193</v>
      </c>
      <c r="B50" s="58">
        <v>17902799840</v>
      </c>
      <c r="C50" s="63" t="s">
        <v>194</v>
      </c>
      <c r="D50" s="60">
        <v>44230035896</v>
      </c>
      <c r="E50" s="9"/>
      <c r="F50" s="25"/>
      <c r="G50" s="61"/>
      <c r="H50" s="9"/>
      <c r="I50" s="8"/>
      <c r="J50" s="8"/>
      <c r="K50" s="8"/>
      <c r="L50" s="8"/>
      <c r="M50" s="8"/>
    </row>
    <row r="51" spans="1:21">
      <c r="A51" s="64" t="s">
        <v>195</v>
      </c>
      <c r="B51" s="58">
        <v>49122403892</v>
      </c>
      <c r="C51" s="66" t="s">
        <v>196</v>
      </c>
      <c r="D51" s="60">
        <v>1478139560</v>
      </c>
      <c r="E51" s="9">
        <v>608</v>
      </c>
      <c r="F51" s="25">
        <v>43012</v>
      </c>
      <c r="G51" s="61" t="s">
        <v>13</v>
      </c>
      <c r="H51" s="25">
        <v>43024</v>
      </c>
      <c r="I51" s="8"/>
      <c r="J51" s="8"/>
      <c r="K51" s="8"/>
      <c r="L51" s="8"/>
      <c r="M51" s="8"/>
      <c r="O51" s="335" t="s">
        <v>197</v>
      </c>
      <c r="P51" s="335"/>
      <c r="Q51" s="335"/>
      <c r="R51" s="335"/>
      <c r="S51" s="335"/>
      <c r="T51" s="335"/>
      <c r="U51" s="335"/>
    </row>
    <row r="52" spans="1:21">
      <c r="A52" s="13" t="s">
        <v>198</v>
      </c>
      <c r="B52" s="58">
        <v>37534302854</v>
      </c>
      <c r="C52" s="62" t="s">
        <v>199</v>
      </c>
      <c r="D52" s="58">
        <v>1689246502</v>
      </c>
      <c r="E52" s="9"/>
      <c r="F52" s="25"/>
      <c r="G52" s="61"/>
      <c r="H52" s="9"/>
      <c r="I52" s="8"/>
      <c r="J52" s="8"/>
      <c r="K52" s="8"/>
      <c r="L52" s="8"/>
      <c r="M52" s="8"/>
    </row>
    <row r="53" spans="1:21">
      <c r="A53" s="13" t="s">
        <v>200</v>
      </c>
      <c r="B53" s="58">
        <v>14699996841</v>
      </c>
      <c r="C53" s="59" t="s">
        <v>201</v>
      </c>
      <c r="D53" s="60">
        <v>15089706883</v>
      </c>
      <c r="E53" s="9">
        <v>1128</v>
      </c>
      <c r="F53" s="25">
        <v>42972</v>
      </c>
      <c r="G53" s="61" t="s">
        <v>13</v>
      </c>
      <c r="H53" s="25">
        <v>42979</v>
      </c>
      <c r="I53" s="8"/>
      <c r="J53" s="8"/>
      <c r="K53" s="8"/>
      <c r="L53" s="8"/>
      <c r="M53" s="8"/>
    </row>
    <row r="54" spans="1:21">
      <c r="A54" s="62" t="s">
        <v>202</v>
      </c>
      <c r="B54" s="58">
        <v>47077408809</v>
      </c>
      <c r="C54" s="59"/>
      <c r="D54" s="60"/>
      <c r="E54" s="9"/>
      <c r="F54" s="25"/>
      <c r="G54" s="61"/>
      <c r="H54" s="9"/>
      <c r="I54" s="8"/>
      <c r="J54" s="8"/>
      <c r="K54" s="8"/>
      <c r="L54" s="8"/>
      <c r="M54" s="8"/>
    </row>
    <row r="55" spans="1:21">
      <c r="A55" s="14" t="s">
        <v>203</v>
      </c>
      <c r="B55" s="58">
        <v>40396239838</v>
      </c>
      <c r="C55" s="63" t="s">
        <v>204</v>
      </c>
      <c r="D55" s="60">
        <v>39420747883</v>
      </c>
      <c r="E55" s="9">
        <v>262</v>
      </c>
      <c r="F55" s="25">
        <v>43160</v>
      </c>
      <c r="G55" s="61" t="s">
        <v>13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205</v>
      </c>
      <c r="B56" s="58">
        <v>41333062877</v>
      </c>
      <c r="C56" s="63"/>
      <c r="D56" s="60"/>
      <c r="E56" s="9">
        <v>292</v>
      </c>
      <c r="F56" s="25">
        <v>43168</v>
      </c>
      <c r="G56" s="61" t="s">
        <v>13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7" t="s">
        <v>206</v>
      </c>
      <c r="B57" s="58">
        <v>38781151802</v>
      </c>
      <c r="C57" s="18" t="s">
        <v>129</v>
      </c>
      <c r="D57" s="60"/>
      <c r="E57" s="9"/>
      <c r="F57" s="25"/>
      <c r="G57" s="61"/>
      <c r="H57" s="9"/>
      <c r="I57" s="8"/>
      <c r="J57" s="8"/>
      <c r="K57" s="8"/>
      <c r="L57" s="8"/>
      <c r="M57" s="8"/>
    </row>
    <row r="58" spans="1:21">
      <c r="A58" s="15" t="s">
        <v>207</v>
      </c>
      <c r="B58" s="58"/>
      <c r="C58" s="63"/>
      <c r="D58" s="60"/>
      <c r="E58" s="9"/>
      <c r="F58" s="25"/>
      <c r="G58" s="61"/>
      <c r="H58" s="9"/>
      <c r="I58" s="8"/>
      <c r="J58" s="8"/>
      <c r="K58" s="8"/>
      <c r="L58" s="8"/>
      <c r="M58" s="8"/>
    </row>
    <row r="59" spans="1:21">
      <c r="A59" s="64" t="s">
        <v>208</v>
      </c>
      <c r="B59" s="58">
        <v>2428277219</v>
      </c>
      <c r="C59" s="63" t="s">
        <v>209</v>
      </c>
      <c r="D59" s="60">
        <v>909805229</v>
      </c>
      <c r="E59" s="9">
        <v>810</v>
      </c>
      <c r="F59" s="25">
        <v>42915</v>
      </c>
      <c r="G59" s="61" t="s">
        <v>13</v>
      </c>
      <c r="H59" s="25">
        <v>42921</v>
      </c>
      <c r="I59" s="8"/>
      <c r="J59" s="8"/>
      <c r="K59" s="8"/>
      <c r="L59" s="9" t="s">
        <v>138</v>
      </c>
      <c r="M59" s="8"/>
    </row>
    <row r="60" spans="1:21">
      <c r="A60" s="62" t="s">
        <v>210</v>
      </c>
      <c r="B60" s="58">
        <v>16417464830</v>
      </c>
      <c r="C60" s="63"/>
      <c r="D60" s="60"/>
      <c r="E60" s="9"/>
      <c r="F60" s="25"/>
      <c r="G60" s="61"/>
      <c r="H60" s="9"/>
      <c r="I60" s="8"/>
      <c r="J60" s="8"/>
      <c r="K60" s="8"/>
      <c r="L60" s="8"/>
      <c r="M60" s="8"/>
    </row>
    <row r="61" spans="1:21">
      <c r="A61" s="62" t="s">
        <v>211</v>
      </c>
      <c r="B61" s="58">
        <v>7104481800</v>
      </c>
      <c r="C61" s="63"/>
      <c r="D61" s="60"/>
      <c r="E61" s="9">
        <v>262</v>
      </c>
      <c r="F61" s="25">
        <v>43160</v>
      </c>
      <c r="G61" s="61" t="s">
        <v>13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62" t="s">
        <v>212</v>
      </c>
      <c r="B62" s="58">
        <v>25023266800</v>
      </c>
      <c r="C62" s="63"/>
      <c r="D62" s="60"/>
      <c r="E62" s="9"/>
      <c r="F62" s="25"/>
      <c r="G62" s="61"/>
      <c r="H62" s="9"/>
      <c r="I62" s="8"/>
      <c r="J62" s="8"/>
      <c r="K62" s="8"/>
      <c r="L62" s="8"/>
      <c r="M62" s="8"/>
    </row>
    <row r="63" spans="1:21">
      <c r="A63" s="63" t="s">
        <v>213</v>
      </c>
      <c r="B63" s="58">
        <v>3722493889</v>
      </c>
      <c r="C63" s="63" t="s">
        <v>214</v>
      </c>
      <c r="D63" s="60">
        <v>32416642871</v>
      </c>
      <c r="E63" s="9"/>
      <c r="F63" s="25"/>
      <c r="G63" s="61"/>
      <c r="H63" s="9"/>
      <c r="I63" s="8"/>
      <c r="J63" s="8"/>
      <c r="K63" s="8"/>
      <c r="L63" s="8"/>
      <c r="M63" s="8"/>
    </row>
    <row r="64" spans="1:21">
      <c r="A64" s="62" t="s">
        <v>215</v>
      </c>
      <c r="B64" s="58">
        <v>14519340845</v>
      </c>
      <c r="C64" s="63" t="s">
        <v>216</v>
      </c>
      <c r="D64" s="60">
        <v>88489795568</v>
      </c>
      <c r="E64" s="9">
        <v>262</v>
      </c>
      <c r="F64" s="25">
        <v>43160</v>
      </c>
      <c r="G64" s="61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217</v>
      </c>
      <c r="B65" s="58">
        <v>19266484806</v>
      </c>
      <c r="C65" s="63"/>
      <c r="D65" s="60"/>
      <c r="E65" s="9"/>
      <c r="F65" s="25"/>
      <c r="G65" s="61"/>
      <c r="H65" s="9"/>
      <c r="I65" s="8"/>
      <c r="J65" s="8"/>
      <c r="K65" s="8"/>
      <c r="L65" s="8"/>
      <c r="M65" s="8"/>
    </row>
    <row r="66" spans="1:13">
      <c r="A66" s="63" t="s">
        <v>218</v>
      </c>
      <c r="B66" s="58">
        <v>15322188851</v>
      </c>
      <c r="C66" s="63"/>
      <c r="D66" s="60"/>
      <c r="E66" s="9"/>
      <c r="F66" s="25"/>
      <c r="G66" s="61"/>
      <c r="H66" s="9"/>
      <c r="I66" s="8"/>
      <c r="J66" s="8"/>
      <c r="K66" s="8"/>
      <c r="L66" s="8"/>
      <c r="M66" s="8"/>
    </row>
    <row r="67" spans="1:13">
      <c r="A67" s="15" t="s">
        <v>219</v>
      </c>
      <c r="B67" s="58">
        <v>36392955879</v>
      </c>
      <c r="C67" s="63" t="s">
        <v>220</v>
      </c>
      <c r="D67" s="60">
        <v>5242864346</v>
      </c>
      <c r="E67" s="9">
        <v>117</v>
      </c>
      <c r="F67" s="25">
        <v>43117</v>
      </c>
      <c r="G67" s="61" t="s">
        <v>13</v>
      </c>
      <c r="H67" s="25">
        <v>43151</v>
      </c>
      <c r="I67" s="8"/>
      <c r="J67" s="8"/>
      <c r="K67" s="8"/>
      <c r="L67" s="9" t="s">
        <v>170</v>
      </c>
      <c r="M67" s="8"/>
    </row>
    <row r="68" spans="1:13">
      <c r="A68" s="62" t="s">
        <v>221</v>
      </c>
      <c r="B68" s="58">
        <v>41482647800</v>
      </c>
      <c r="C68" s="63"/>
      <c r="D68" s="60"/>
      <c r="E68" s="9">
        <v>1262</v>
      </c>
      <c r="F68" s="25">
        <v>42997</v>
      </c>
      <c r="G68" s="61" t="s">
        <v>13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222</v>
      </c>
      <c r="B69" s="58">
        <v>47629183852</v>
      </c>
      <c r="C69" s="63"/>
      <c r="D69" s="60"/>
      <c r="E69" s="9"/>
      <c r="F69" s="25"/>
      <c r="G69" s="61"/>
      <c r="H69" s="9"/>
      <c r="I69" s="8"/>
      <c r="J69" s="8"/>
      <c r="K69" s="8"/>
      <c r="L69" s="8"/>
      <c r="M69" s="8"/>
    </row>
    <row r="70" spans="1:13">
      <c r="A70" s="18" t="s">
        <v>223</v>
      </c>
      <c r="B70" s="58">
        <v>9882942490</v>
      </c>
      <c r="C70" s="18" t="s">
        <v>224</v>
      </c>
      <c r="D70" s="60">
        <v>9704111460</v>
      </c>
      <c r="E70" s="9"/>
      <c r="F70" s="25"/>
      <c r="G70" s="61"/>
      <c r="H70" s="9"/>
      <c r="I70" s="8"/>
      <c r="J70" s="8"/>
      <c r="K70" s="8"/>
      <c r="L70" s="8"/>
      <c r="M70" s="8"/>
    </row>
    <row r="71" spans="1:13">
      <c r="A71" s="15" t="s">
        <v>225</v>
      </c>
      <c r="B71" s="58">
        <v>14777572870</v>
      </c>
      <c r="C71" s="63" t="s">
        <v>226</v>
      </c>
      <c r="D71" s="60">
        <v>12874739898</v>
      </c>
      <c r="E71" s="9">
        <v>1824</v>
      </c>
      <c r="F71" s="25">
        <v>43091</v>
      </c>
      <c r="G71" s="61" t="s">
        <v>13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62" t="s">
        <v>227</v>
      </c>
      <c r="B72" s="58">
        <v>31996709895</v>
      </c>
      <c r="C72" s="63"/>
      <c r="D72" s="60"/>
      <c r="E72" s="9"/>
      <c r="F72" s="25"/>
      <c r="G72" s="61"/>
      <c r="H72" s="9"/>
      <c r="I72" s="8"/>
      <c r="J72" s="8"/>
      <c r="K72" s="8"/>
      <c r="L72" s="8"/>
      <c r="M72" s="8"/>
    </row>
    <row r="73" spans="1:13">
      <c r="A73" s="13" t="s">
        <v>228</v>
      </c>
      <c r="B73" s="58">
        <v>26824046850</v>
      </c>
      <c r="C73" s="59"/>
      <c r="D73" s="60"/>
      <c r="E73" s="9">
        <v>1824</v>
      </c>
      <c r="F73" s="25">
        <v>43091</v>
      </c>
      <c r="G73" s="61" t="s">
        <v>13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229</v>
      </c>
      <c r="B74" s="58">
        <v>3523524342</v>
      </c>
      <c r="C74" s="63"/>
      <c r="D74" s="60"/>
      <c r="E74" s="9">
        <v>85</v>
      </c>
      <c r="F74" s="25">
        <v>43109</v>
      </c>
      <c r="G74" s="61" t="s">
        <v>13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230</v>
      </c>
      <c r="B75" s="58">
        <v>26940268855</v>
      </c>
      <c r="C75" s="18" t="s">
        <v>231</v>
      </c>
      <c r="D75" s="60"/>
      <c r="E75" s="9"/>
      <c r="F75" s="25"/>
      <c r="G75" s="61"/>
      <c r="H75" s="9"/>
      <c r="I75" s="8"/>
      <c r="J75" s="8"/>
      <c r="K75" s="8"/>
      <c r="L75" s="8"/>
      <c r="M75" s="8"/>
    </row>
    <row r="76" spans="1:13">
      <c r="A76" s="13" t="s">
        <v>232</v>
      </c>
      <c r="B76" s="58">
        <v>24828498885</v>
      </c>
      <c r="C76" s="63"/>
      <c r="D76" s="60"/>
      <c r="E76" s="9">
        <v>1489</v>
      </c>
      <c r="F76" s="25">
        <v>43038</v>
      </c>
      <c r="G76" s="61" t="s">
        <v>13</v>
      </c>
      <c r="H76" s="9"/>
      <c r="I76" s="8"/>
      <c r="J76" s="8"/>
      <c r="K76" s="8"/>
      <c r="L76" s="9" t="s">
        <v>160</v>
      </c>
      <c r="M76" s="8"/>
    </row>
    <row r="77" spans="1:13">
      <c r="A77" s="15" t="s">
        <v>233</v>
      </c>
      <c r="B77" s="58">
        <v>11482307855</v>
      </c>
      <c r="C77" s="63"/>
      <c r="D77" s="60"/>
      <c r="E77" s="9">
        <v>85</v>
      </c>
      <c r="F77" s="25">
        <v>43109</v>
      </c>
      <c r="G77" s="61" t="s">
        <v>13</v>
      </c>
      <c r="H77" s="25">
        <v>43151</v>
      </c>
      <c r="I77" s="8"/>
      <c r="J77" s="8"/>
      <c r="K77" s="8"/>
      <c r="L77" s="8"/>
      <c r="M77" s="8"/>
    </row>
    <row r="78" spans="1:13">
      <c r="A78" s="62" t="s">
        <v>234</v>
      </c>
      <c r="B78" s="58">
        <v>42352732808</v>
      </c>
      <c r="C78" s="63" t="s">
        <v>235</v>
      </c>
      <c r="D78" s="60">
        <v>281893373</v>
      </c>
      <c r="E78" s="9">
        <v>1214</v>
      </c>
      <c r="F78" s="25">
        <v>42989</v>
      </c>
      <c r="G78" s="61" t="s">
        <v>13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236</v>
      </c>
      <c r="B79" s="58">
        <v>13480043801</v>
      </c>
      <c r="C79" s="18" t="s">
        <v>237</v>
      </c>
      <c r="D79" s="60">
        <v>67141536604</v>
      </c>
      <c r="E79" s="9"/>
      <c r="F79" s="25"/>
      <c r="G79" s="61"/>
      <c r="H79" s="9"/>
      <c r="I79" s="8"/>
      <c r="J79" s="8"/>
      <c r="K79" s="8"/>
      <c r="L79" s="8"/>
      <c r="M79" s="8"/>
    </row>
    <row r="80" spans="1:13">
      <c r="A80" s="62" t="s">
        <v>238</v>
      </c>
      <c r="B80" s="58">
        <v>31874522804</v>
      </c>
      <c r="C80" s="63"/>
      <c r="D80" s="60"/>
      <c r="E80" s="9">
        <v>292</v>
      </c>
      <c r="F80" s="25">
        <v>43168</v>
      </c>
      <c r="G80" s="61" t="s">
        <v>13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62" t="s">
        <v>239</v>
      </c>
      <c r="B81" s="58">
        <v>28889575824</v>
      </c>
      <c r="C81" s="63"/>
      <c r="D81" s="60"/>
      <c r="E81" s="9">
        <v>1241</v>
      </c>
      <c r="F81" s="25">
        <v>42992</v>
      </c>
      <c r="G81" s="61" t="s">
        <v>13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240</v>
      </c>
      <c r="B82" s="58">
        <v>21734589817</v>
      </c>
      <c r="C82" s="63"/>
      <c r="D82" s="60"/>
      <c r="E82" s="9">
        <v>229</v>
      </c>
      <c r="F82" s="25">
        <v>43151</v>
      </c>
      <c r="G82" s="61" t="s">
        <v>13</v>
      </c>
      <c r="H82" s="9"/>
      <c r="I82" s="8"/>
      <c r="J82" s="8"/>
      <c r="K82" s="8"/>
      <c r="L82" s="9">
        <v>232</v>
      </c>
      <c r="M82" s="8"/>
    </row>
    <row r="83" spans="1:13">
      <c r="A83" s="18" t="s">
        <v>241</v>
      </c>
      <c r="B83" s="58"/>
      <c r="C83" s="18"/>
      <c r="D83" s="60"/>
      <c r="E83" s="9"/>
      <c r="F83" s="25"/>
      <c r="G83" s="61"/>
      <c r="H83" s="9"/>
      <c r="I83" s="8"/>
      <c r="J83" s="8"/>
      <c r="K83" s="8"/>
      <c r="L83" s="8"/>
      <c r="M83" s="8"/>
    </row>
    <row r="84" spans="1:13">
      <c r="A84" s="19" t="s">
        <v>242</v>
      </c>
      <c r="B84" s="58">
        <v>18475875858</v>
      </c>
      <c r="C84" s="20"/>
      <c r="D84" s="58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62" t="s">
        <v>243</v>
      </c>
      <c r="B85" s="58">
        <v>40443882886</v>
      </c>
      <c r="C85" s="63"/>
      <c r="D85" s="60"/>
      <c r="E85" s="9">
        <v>509</v>
      </c>
      <c r="F85" s="25">
        <v>43203</v>
      </c>
      <c r="G85" s="67"/>
      <c r="H85" s="67">
        <v>43213</v>
      </c>
      <c r="I85" s="8"/>
      <c r="J85" s="8"/>
      <c r="K85" s="8"/>
      <c r="L85" s="8"/>
      <c r="M85" s="8"/>
    </row>
    <row r="86" spans="1:13">
      <c r="A86" s="13" t="s">
        <v>244</v>
      </c>
      <c r="B86" s="58">
        <v>43053250802</v>
      </c>
      <c r="C86" s="59" t="s">
        <v>245</v>
      </c>
      <c r="D86" s="60">
        <v>35893147880</v>
      </c>
      <c r="E86" s="9">
        <v>1128</v>
      </c>
      <c r="F86" s="25">
        <v>42972</v>
      </c>
      <c r="G86" s="61" t="s">
        <v>13</v>
      </c>
      <c r="H86" s="9"/>
      <c r="I86" s="8"/>
      <c r="J86" s="8"/>
      <c r="K86" s="8"/>
      <c r="L86" s="8"/>
      <c r="M86" s="8"/>
    </row>
    <row r="87" spans="1:13">
      <c r="A87" s="62" t="s">
        <v>246</v>
      </c>
      <c r="B87" s="58">
        <v>28255807837</v>
      </c>
      <c r="C87" s="63"/>
      <c r="D87" s="60"/>
      <c r="E87" s="9">
        <v>292</v>
      </c>
      <c r="F87" s="25">
        <v>43168</v>
      </c>
      <c r="G87" s="61" t="s">
        <v>13</v>
      </c>
      <c r="H87" s="9"/>
      <c r="I87" s="8"/>
      <c r="J87" s="8"/>
      <c r="K87" s="8"/>
      <c r="L87" s="9">
        <v>318</v>
      </c>
      <c r="M87" s="8"/>
    </row>
    <row r="88" spans="1:13">
      <c r="A88" s="64" t="s">
        <v>247</v>
      </c>
      <c r="B88" s="58">
        <v>33617584837</v>
      </c>
      <c r="C88" s="63" t="s">
        <v>248</v>
      </c>
      <c r="D88" s="60">
        <v>26520094862</v>
      </c>
      <c r="E88" s="9">
        <v>608</v>
      </c>
      <c r="F88" s="25">
        <v>43012</v>
      </c>
      <c r="G88" s="61" t="s">
        <v>13</v>
      </c>
      <c r="H88" s="9"/>
      <c r="I88" s="8"/>
      <c r="J88" s="8"/>
      <c r="K88" s="8"/>
      <c r="L88" s="8"/>
      <c r="M88" s="8"/>
    </row>
    <row r="89" spans="1:13">
      <c r="A89" s="14" t="s">
        <v>249</v>
      </c>
      <c r="B89" s="58">
        <v>38168161858</v>
      </c>
      <c r="C89" s="63" t="s">
        <v>250</v>
      </c>
      <c r="D89" s="60">
        <v>24059422835</v>
      </c>
      <c r="E89" s="9"/>
      <c r="F89" s="25"/>
      <c r="G89" s="61"/>
      <c r="H89" s="9"/>
      <c r="I89" s="8"/>
      <c r="J89" s="8"/>
      <c r="K89" s="8"/>
      <c r="L89" s="8"/>
      <c r="M89" s="8"/>
    </row>
    <row r="90" spans="1:13">
      <c r="A90" s="62" t="s">
        <v>251</v>
      </c>
      <c r="B90" s="58">
        <v>38728353862</v>
      </c>
      <c r="C90" s="63" t="s">
        <v>252</v>
      </c>
      <c r="D90" s="60">
        <v>37650358828</v>
      </c>
      <c r="E90" s="9">
        <v>1417</v>
      </c>
      <c r="F90" s="25">
        <v>43017</v>
      </c>
      <c r="G90" s="61" t="s">
        <v>13</v>
      </c>
      <c r="H90" s="9"/>
      <c r="I90" s="8"/>
      <c r="J90" s="8"/>
      <c r="K90" s="8"/>
      <c r="L90" s="9" t="s">
        <v>253</v>
      </c>
      <c r="M90" s="8"/>
    </row>
    <row r="91" spans="1:13">
      <c r="A91" s="15" t="s">
        <v>254</v>
      </c>
      <c r="B91" s="58">
        <v>29479419858</v>
      </c>
      <c r="C91" s="63" t="s">
        <v>255</v>
      </c>
      <c r="D91" s="60">
        <v>71909656534</v>
      </c>
      <c r="E91" s="9"/>
      <c r="F91" s="25"/>
      <c r="G91" s="61"/>
      <c r="H91" s="9"/>
      <c r="I91" s="8"/>
      <c r="J91" s="8"/>
      <c r="K91" s="8"/>
      <c r="L91" s="8"/>
      <c r="M91" s="8"/>
    </row>
    <row r="92" spans="1:13">
      <c r="A92" s="62" t="s">
        <v>256</v>
      </c>
      <c r="B92" s="58">
        <v>37634689866</v>
      </c>
      <c r="C92" s="63"/>
      <c r="D92" s="60"/>
      <c r="E92" s="9">
        <v>443</v>
      </c>
      <c r="F92" s="25">
        <v>43188</v>
      </c>
      <c r="G92" s="61"/>
      <c r="H92" s="9"/>
      <c r="I92" s="8"/>
      <c r="J92" s="8"/>
      <c r="K92" s="8"/>
      <c r="L92" s="8"/>
      <c r="M92" s="8"/>
    </row>
    <row r="93" spans="1:13">
      <c r="A93" s="62" t="s">
        <v>257</v>
      </c>
      <c r="B93" s="58">
        <v>22656606802</v>
      </c>
      <c r="C93" s="63"/>
      <c r="D93" s="60"/>
      <c r="E93" s="9">
        <v>1555</v>
      </c>
      <c r="F93" s="25">
        <v>43049</v>
      </c>
      <c r="G93" s="61" t="s">
        <v>13</v>
      </c>
      <c r="H93" s="9"/>
      <c r="I93" s="8"/>
      <c r="J93" s="8"/>
      <c r="K93" s="8"/>
      <c r="L93" s="8"/>
      <c r="M93" s="8"/>
    </row>
    <row r="94" spans="1:13">
      <c r="A94" s="15" t="s">
        <v>258</v>
      </c>
      <c r="B94" s="58">
        <v>4248144638</v>
      </c>
      <c r="C94" s="63"/>
      <c r="D94" s="60"/>
      <c r="E94" s="9">
        <v>229</v>
      </c>
      <c r="F94" s="25">
        <v>43151</v>
      </c>
      <c r="G94" s="61" t="s">
        <v>13</v>
      </c>
      <c r="H94" s="9"/>
      <c r="I94" s="8"/>
      <c r="J94" s="8"/>
      <c r="K94" s="8"/>
      <c r="L94" s="9">
        <v>232</v>
      </c>
      <c r="M94" s="8"/>
    </row>
    <row r="95" spans="1:13">
      <c r="A95" s="63" t="s">
        <v>259</v>
      </c>
      <c r="B95" s="58">
        <v>29998933889</v>
      </c>
      <c r="C95" s="63"/>
      <c r="D95" s="60"/>
      <c r="E95" s="9"/>
      <c r="F95" s="25"/>
      <c r="G95" s="61"/>
      <c r="H95" s="9"/>
      <c r="I95" s="8"/>
      <c r="J95" s="8"/>
      <c r="K95" s="8"/>
      <c r="L95" s="8"/>
      <c r="M95" s="8"/>
    </row>
    <row r="96" spans="1:13">
      <c r="A96" s="62" t="s">
        <v>260</v>
      </c>
      <c r="B96" s="58">
        <v>2963904533</v>
      </c>
      <c r="C96" s="63"/>
      <c r="D96" s="60"/>
      <c r="E96" s="9">
        <v>1489</v>
      </c>
      <c r="F96" s="25">
        <v>43038</v>
      </c>
      <c r="G96" s="61" t="s">
        <v>13</v>
      </c>
      <c r="H96" s="9"/>
      <c r="I96" s="8"/>
      <c r="J96" s="8"/>
      <c r="K96" s="8"/>
      <c r="L96" s="9" t="s">
        <v>160</v>
      </c>
      <c r="M96" s="8"/>
    </row>
    <row r="97" spans="1:13">
      <c r="A97" s="62" t="s">
        <v>261</v>
      </c>
      <c r="B97" s="58">
        <v>23256005802</v>
      </c>
      <c r="C97" s="63"/>
      <c r="D97" s="60"/>
      <c r="E97" s="9">
        <v>1350</v>
      </c>
      <c r="F97" s="25">
        <v>43006</v>
      </c>
      <c r="G97" s="61" t="s">
        <v>13</v>
      </c>
      <c r="H97" s="9"/>
      <c r="I97" s="8"/>
      <c r="J97" s="8"/>
      <c r="K97" s="8"/>
      <c r="L97" s="8"/>
      <c r="M97" s="8"/>
    </row>
    <row r="98" spans="1:13">
      <c r="A98" s="27" t="s">
        <v>262</v>
      </c>
      <c r="B98" s="58">
        <v>3317260505</v>
      </c>
      <c r="C98" s="27" t="s">
        <v>263</v>
      </c>
      <c r="D98" s="60">
        <v>92396607634</v>
      </c>
      <c r="E98" s="9"/>
      <c r="F98" s="25"/>
      <c r="G98" s="61"/>
      <c r="H98" s="9"/>
      <c r="I98" s="8"/>
      <c r="J98" s="8"/>
      <c r="K98" s="8"/>
      <c r="L98" s="8"/>
      <c r="M98" s="8"/>
    </row>
    <row r="99" spans="1:13">
      <c r="A99" s="62" t="s">
        <v>264</v>
      </c>
      <c r="B99" s="58">
        <v>36234875890</v>
      </c>
      <c r="C99" s="59"/>
      <c r="D99" s="60"/>
      <c r="E99" s="9">
        <v>1128</v>
      </c>
      <c r="F99" s="25">
        <v>42972</v>
      </c>
      <c r="G99" s="61" t="s">
        <v>13</v>
      </c>
      <c r="H99" s="9"/>
      <c r="I99" s="8"/>
      <c r="J99" s="8"/>
      <c r="K99" s="8"/>
      <c r="L99" s="8"/>
      <c r="M99" s="8"/>
    </row>
    <row r="100" spans="1:13">
      <c r="A100" s="15" t="s">
        <v>265</v>
      </c>
      <c r="B100" s="58">
        <v>1243618469</v>
      </c>
      <c r="C100" s="63"/>
      <c r="D100" s="60"/>
      <c r="E100" s="9">
        <v>262</v>
      </c>
      <c r="F100" s="25">
        <v>43160</v>
      </c>
      <c r="G100" s="61" t="s">
        <v>13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266</v>
      </c>
      <c r="B101" s="58">
        <v>30978936876</v>
      </c>
      <c r="C101" s="63"/>
      <c r="D101" s="60"/>
      <c r="E101" s="9">
        <v>229</v>
      </c>
      <c r="F101" s="25">
        <v>43151</v>
      </c>
      <c r="G101" s="61" t="s">
        <v>13</v>
      </c>
      <c r="H101" s="9"/>
      <c r="I101" s="8"/>
      <c r="J101" s="8"/>
      <c r="K101" s="8"/>
      <c r="L101" s="9">
        <v>232</v>
      </c>
      <c r="M101" s="8"/>
    </row>
    <row r="102" spans="1:13">
      <c r="A102" s="62" t="s">
        <v>267</v>
      </c>
      <c r="B102" s="58">
        <v>37469982809</v>
      </c>
      <c r="C102" s="63"/>
      <c r="D102" s="60"/>
      <c r="E102" s="9">
        <v>262</v>
      </c>
      <c r="F102" s="25">
        <v>43160</v>
      </c>
      <c r="G102" s="61" t="s">
        <v>13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7" t="s">
        <v>268</v>
      </c>
      <c r="B103" s="58"/>
      <c r="C103" s="18" t="s">
        <v>129</v>
      </c>
      <c r="D103" s="60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62" t="s">
        <v>269</v>
      </c>
      <c r="B104" s="58">
        <v>31416949828</v>
      </c>
      <c r="C104" s="63"/>
      <c r="D104" s="60"/>
      <c r="E104" s="9">
        <v>1106</v>
      </c>
      <c r="F104" s="25">
        <v>42965</v>
      </c>
      <c r="G104" s="61" t="s">
        <v>13</v>
      </c>
      <c r="H104" s="9"/>
      <c r="I104" s="8"/>
      <c r="J104" s="8"/>
      <c r="K104" s="8"/>
      <c r="L104" s="8"/>
      <c r="M104" s="8"/>
    </row>
    <row r="105" spans="1:13">
      <c r="A105" s="62" t="s">
        <v>270</v>
      </c>
      <c r="B105" s="58">
        <v>34320505859</v>
      </c>
      <c r="C105" s="63"/>
      <c r="D105" s="60"/>
      <c r="E105" s="9">
        <v>85</v>
      </c>
      <c r="F105" s="25">
        <v>43109</v>
      </c>
      <c r="G105" s="61" t="s">
        <v>13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271</v>
      </c>
      <c r="B106" s="58">
        <v>40823037827</v>
      </c>
      <c r="C106" s="63" t="s">
        <v>272</v>
      </c>
      <c r="D106" s="60">
        <v>46346951890</v>
      </c>
      <c r="E106" s="9"/>
      <c r="F106" s="25"/>
      <c r="G106" s="61"/>
      <c r="H106" s="9"/>
      <c r="I106" s="8"/>
      <c r="J106" s="8"/>
      <c r="K106" s="8"/>
      <c r="L106" s="8"/>
      <c r="M106" s="8"/>
    </row>
    <row r="107" spans="1:13">
      <c r="A107" s="18" t="s">
        <v>273</v>
      </c>
      <c r="B107" s="58">
        <v>54215625491</v>
      </c>
      <c r="C107" s="18" t="s">
        <v>274</v>
      </c>
      <c r="D107" s="60">
        <v>86418122453</v>
      </c>
      <c r="E107" s="9"/>
      <c r="F107" s="25"/>
      <c r="G107" s="61"/>
      <c r="H107" s="9"/>
      <c r="I107" s="8"/>
      <c r="J107" s="8"/>
      <c r="K107" s="8"/>
      <c r="L107" s="8"/>
      <c r="M107" s="8"/>
    </row>
    <row r="108" spans="1:13">
      <c r="A108" s="27" t="s">
        <v>275</v>
      </c>
      <c r="B108" s="58">
        <v>8424740807</v>
      </c>
      <c r="C108" s="18" t="s">
        <v>129</v>
      </c>
      <c r="D108" s="60"/>
      <c r="E108" s="9"/>
      <c r="F108" s="25"/>
      <c r="G108" s="61"/>
      <c r="H108" s="9"/>
      <c r="I108" s="8"/>
      <c r="J108" s="8"/>
      <c r="K108" s="8"/>
      <c r="L108" s="8"/>
      <c r="M108" s="8"/>
    </row>
    <row r="109" spans="1:13">
      <c r="A109" s="62" t="s">
        <v>276</v>
      </c>
      <c r="B109" s="58">
        <v>78495857472</v>
      </c>
      <c r="C109" s="63" t="s">
        <v>277</v>
      </c>
      <c r="D109" s="60">
        <v>148572863</v>
      </c>
      <c r="E109" s="9">
        <v>1752</v>
      </c>
      <c r="F109" s="25">
        <v>43051</v>
      </c>
      <c r="G109" s="61" t="s">
        <v>13</v>
      </c>
      <c r="H109" s="9"/>
      <c r="I109" s="8"/>
      <c r="J109" s="8"/>
      <c r="K109" s="8"/>
      <c r="L109" s="9">
        <v>1759</v>
      </c>
      <c r="M109" s="8"/>
    </row>
    <row r="110" spans="1:13">
      <c r="A110" s="62" t="s">
        <v>278</v>
      </c>
      <c r="B110" s="58">
        <v>33210228850</v>
      </c>
      <c r="C110" s="63"/>
      <c r="D110" s="60"/>
      <c r="E110" s="9">
        <v>443</v>
      </c>
      <c r="F110" s="25">
        <v>43188</v>
      </c>
      <c r="G110" s="61"/>
      <c r="H110" s="9"/>
      <c r="I110" s="8"/>
      <c r="J110" s="8"/>
      <c r="K110" s="8"/>
      <c r="L110" s="8"/>
      <c r="M110" s="8"/>
    </row>
    <row r="111" spans="1:13">
      <c r="A111" s="62" t="s">
        <v>279</v>
      </c>
      <c r="B111" s="58">
        <v>40979216818</v>
      </c>
      <c r="C111" s="63"/>
      <c r="D111" s="60"/>
      <c r="E111" s="9">
        <v>1106</v>
      </c>
      <c r="F111" s="25">
        <v>42965</v>
      </c>
      <c r="G111" s="61" t="s">
        <v>13</v>
      </c>
      <c r="H111" s="9"/>
      <c r="I111" s="8"/>
      <c r="J111" s="8"/>
      <c r="K111" s="8"/>
      <c r="L111" s="8"/>
      <c r="M111" s="8"/>
    </row>
    <row r="112" spans="1:13">
      <c r="A112" s="62" t="s">
        <v>280</v>
      </c>
      <c r="B112" s="58">
        <v>42994820854</v>
      </c>
      <c r="C112" s="63"/>
      <c r="D112" s="60"/>
      <c r="E112" s="9"/>
      <c r="F112" s="25"/>
      <c r="G112" s="61"/>
      <c r="H112" s="9"/>
      <c r="I112" s="8"/>
      <c r="J112" s="8"/>
      <c r="K112" s="8"/>
      <c r="L112" s="8"/>
      <c r="M112" s="8"/>
    </row>
    <row r="113" spans="1:13">
      <c r="A113" s="14" t="s">
        <v>281</v>
      </c>
      <c r="B113" s="58">
        <v>44444325860</v>
      </c>
      <c r="C113" s="63" t="s">
        <v>282</v>
      </c>
      <c r="D113" s="60">
        <v>36636133805</v>
      </c>
      <c r="E113" s="9">
        <v>292</v>
      </c>
      <c r="F113" s="25">
        <v>43168</v>
      </c>
      <c r="G113" s="61" t="s">
        <v>13</v>
      </c>
      <c r="H113" s="9"/>
      <c r="I113" s="8"/>
      <c r="J113" s="8"/>
      <c r="K113" s="8"/>
      <c r="L113" s="9">
        <v>318</v>
      </c>
      <c r="M113" s="8"/>
    </row>
    <row r="114" spans="1:13">
      <c r="A114" s="62" t="s">
        <v>283</v>
      </c>
      <c r="B114" s="58">
        <v>39701017862</v>
      </c>
      <c r="C114" s="63" t="s">
        <v>284</v>
      </c>
      <c r="D114" s="60">
        <v>38933316892</v>
      </c>
      <c r="E114" s="9">
        <v>1350</v>
      </c>
      <c r="F114" s="25">
        <v>43006</v>
      </c>
      <c r="G114" s="61" t="s">
        <v>13</v>
      </c>
      <c r="H114" s="9"/>
      <c r="I114" s="8"/>
      <c r="J114" s="8"/>
      <c r="K114" s="8"/>
      <c r="L114" s="8"/>
      <c r="M114" s="8"/>
    </row>
    <row r="115" spans="1:13">
      <c r="A115" s="62" t="s">
        <v>285</v>
      </c>
      <c r="B115" s="58">
        <v>40003107809</v>
      </c>
      <c r="C115" s="63" t="s">
        <v>286</v>
      </c>
      <c r="D115" s="60">
        <v>37929345823</v>
      </c>
      <c r="E115" s="9">
        <v>262</v>
      </c>
      <c r="F115" s="25">
        <v>43160</v>
      </c>
      <c r="G115" s="61" t="s">
        <v>13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7" t="s">
        <v>287</v>
      </c>
      <c r="B116" s="58">
        <v>38786146831</v>
      </c>
      <c r="C116" s="27" t="s">
        <v>288</v>
      </c>
      <c r="D116" s="60">
        <v>34301254803</v>
      </c>
      <c r="E116" s="9"/>
      <c r="F116" s="25"/>
      <c r="G116" s="61"/>
      <c r="H116" s="9"/>
      <c r="I116" s="8"/>
      <c r="J116" s="8"/>
      <c r="K116" s="8"/>
      <c r="L116" s="8"/>
      <c r="M116" s="8"/>
    </row>
    <row r="117" spans="1:13">
      <c r="A117" s="62" t="s">
        <v>289</v>
      </c>
      <c r="B117" s="58">
        <v>35101090824</v>
      </c>
      <c r="C117" s="63"/>
      <c r="D117" s="60"/>
      <c r="E117" s="9">
        <v>1824</v>
      </c>
      <c r="F117" s="25">
        <v>43091</v>
      </c>
      <c r="G117" s="61" t="s">
        <v>28</v>
      </c>
      <c r="H117" s="9"/>
      <c r="I117" s="8"/>
      <c r="J117" s="8"/>
      <c r="K117" s="8"/>
      <c r="L117" s="9">
        <v>1828</v>
      </c>
      <c r="M117" s="8"/>
    </row>
    <row r="118" spans="1:13">
      <c r="A118" s="62" t="s">
        <v>290</v>
      </c>
      <c r="B118" s="58">
        <v>3486705598</v>
      </c>
      <c r="C118" s="63" t="s">
        <v>291</v>
      </c>
      <c r="D118" s="60">
        <v>3581817551</v>
      </c>
      <c r="E118" s="9">
        <v>1752</v>
      </c>
      <c r="F118" s="25">
        <v>43051</v>
      </c>
      <c r="G118" s="61" t="s">
        <v>13</v>
      </c>
      <c r="H118" s="9"/>
      <c r="I118" s="8"/>
      <c r="J118" s="8"/>
      <c r="K118" s="8"/>
      <c r="L118" s="9">
        <v>1759</v>
      </c>
      <c r="M118" s="8"/>
    </row>
    <row r="119" spans="1:13">
      <c r="A119" s="63" t="s">
        <v>292</v>
      </c>
      <c r="B119" s="58">
        <v>37051125893</v>
      </c>
      <c r="C119" s="63" t="s">
        <v>293</v>
      </c>
      <c r="D119" s="60">
        <v>4303791458</v>
      </c>
      <c r="E119" s="9">
        <v>292</v>
      </c>
      <c r="F119" s="25">
        <v>43168</v>
      </c>
      <c r="G119" s="9" t="s">
        <v>13</v>
      </c>
      <c r="H119" s="9"/>
      <c r="I119" s="8"/>
      <c r="J119" s="8"/>
      <c r="K119" s="8"/>
      <c r="L119" s="9">
        <v>318</v>
      </c>
      <c r="M119" s="8"/>
    </row>
    <row r="120" spans="1:13">
      <c r="A120" s="62" t="s">
        <v>294</v>
      </c>
      <c r="B120" s="58">
        <v>40099157810</v>
      </c>
      <c r="C120" s="63"/>
      <c r="D120" s="60"/>
      <c r="E120" s="9">
        <v>292</v>
      </c>
      <c r="F120" s="25">
        <v>43168</v>
      </c>
      <c r="G120" s="61"/>
      <c r="H120" s="9"/>
      <c r="I120" s="8"/>
      <c r="J120" s="8"/>
      <c r="K120" s="8"/>
      <c r="L120" s="9">
        <v>318</v>
      </c>
      <c r="M120" s="8"/>
    </row>
    <row r="121" spans="1:13">
      <c r="A121" s="63" t="s">
        <v>295</v>
      </c>
      <c r="B121" s="58">
        <v>6533732609</v>
      </c>
      <c r="C121" s="63"/>
      <c r="D121" s="60"/>
      <c r="E121" s="9"/>
      <c r="F121" s="25"/>
      <c r="G121" s="61"/>
      <c r="H121" s="9"/>
      <c r="I121" s="8"/>
      <c r="J121" s="8"/>
      <c r="K121" s="8"/>
      <c r="L121" s="8"/>
      <c r="M121" s="8"/>
    </row>
    <row r="122" spans="1:13">
      <c r="A122" s="62" t="s">
        <v>296</v>
      </c>
      <c r="B122" s="58">
        <v>91303141515</v>
      </c>
      <c r="C122" s="63"/>
      <c r="D122" s="60"/>
      <c r="E122" s="9">
        <v>262</v>
      </c>
      <c r="F122" s="25">
        <v>43160</v>
      </c>
      <c r="G122" s="61" t="s">
        <v>13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62" t="s">
        <v>297</v>
      </c>
      <c r="B123" s="58">
        <v>33879586845</v>
      </c>
      <c r="C123" s="68" t="s">
        <v>298</v>
      </c>
      <c r="D123" s="60">
        <v>2296117880</v>
      </c>
      <c r="E123" s="9">
        <v>563</v>
      </c>
      <c r="F123" s="25">
        <v>43217</v>
      </c>
      <c r="G123" s="61"/>
      <c r="H123" s="9"/>
      <c r="I123" s="8"/>
      <c r="J123" s="8"/>
      <c r="K123" s="8"/>
      <c r="L123" s="9" t="s">
        <v>299</v>
      </c>
      <c r="M123" s="8"/>
    </row>
    <row r="124" spans="1:13">
      <c r="A124" s="63" t="s">
        <v>300</v>
      </c>
      <c r="B124" s="58">
        <v>12809351899</v>
      </c>
      <c r="C124" s="63"/>
      <c r="D124" s="60"/>
      <c r="E124" s="9"/>
      <c r="F124" s="25"/>
      <c r="G124" s="61"/>
      <c r="H124" s="9"/>
      <c r="I124" s="8"/>
      <c r="J124" s="8"/>
      <c r="K124" s="8"/>
      <c r="L124" s="8"/>
      <c r="M124" s="8"/>
    </row>
    <row r="125" spans="1:13">
      <c r="A125" s="14" t="s">
        <v>301</v>
      </c>
      <c r="B125" s="58">
        <v>29271022874</v>
      </c>
      <c r="C125" s="63"/>
      <c r="D125" s="60"/>
      <c r="E125" s="9"/>
      <c r="F125" s="25"/>
      <c r="G125" s="61"/>
      <c r="H125" s="9"/>
      <c r="I125" s="8"/>
      <c r="J125" s="8"/>
      <c r="K125" s="8"/>
      <c r="L125" s="8"/>
      <c r="M125" s="8"/>
    </row>
    <row r="126" spans="1:13">
      <c r="A126" s="62" t="s">
        <v>302</v>
      </c>
      <c r="B126" s="58">
        <v>45851816368</v>
      </c>
      <c r="C126" s="63"/>
      <c r="D126" s="60"/>
      <c r="E126" s="9">
        <v>1214</v>
      </c>
      <c r="F126" s="25">
        <v>42989</v>
      </c>
      <c r="G126" s="61" t="s">
        <v>13</v>
      </c>
      <c r="H126" s="9"/>
      <c r="I126" s="8"/>
      <c r="J126" s="8"/>
      <c r="K126" s="8"/>
      <c r="L126" s="8"/>
      <c r="M126" s="8"/>
    </row>
    <row r="127" spans="1:13">
      <c r="A127" s="63" t="s">
        <v>303</v>
      </c>
      <c r="B127" s="58">
        <v>15401963807</v>
      </c>
      <c r="C127" s="63" t="s">
        <v>304</v>
      </c>
      <c r="D127" s="60">
        <v>31330836863</v>
      </c>
      <c r="E127" s="9"/>
      <c r="F127" s="25"/>
      <c r="G127" s="61"/>
      <c r="H127" s="9"/>
      <c r="I127" s="8"/>
      <c r="J127" s="8"/>
      <c r="K127" s="8"/>
      <c r="L127" s="8"/>
      <c r="M127" s="8"/>
    </row>
    <row r="128" spans="1:13">
      <c r="A128" s="62" t="s">
        <v>305</v>
      </c>
      <c r="B128" s="58">
        <v>2022016351</v>
      </c>
      <c r="C128" s="63" t="s">
        <v>306</v>
      </c>
      <c r="D128" s="60">
        <v>84914270315</v>
      </c>
      <c r="E128" s="9">
        <v>1106</v>
      </c>
      <c r="F128" s="25">
        <v>42965</v>
      </c>
      <c r="G128" s="61" t="s">
        <v>13</v>
      </c>
      <c r="H128" s="9"/>
      <c r="I128" s="8"/>
      <c r="J128" s="8"/>
      <c r="K128" s="8"/>
      <c r="L128" s="8"/>
      <c r="M128" s="8"/>
    </row>
    <row r="129" spans="1:13">
      <c r="A129" s="62" t="s">
        <v>307</v>
      </c>
      <c r="B129" s="58">
        <v>12711354857</v>
      </c>
      <c r="C129" s="63"/>
      <c r="D129" s="60"/>
      <c r="E129" s="9"/>
      <c r="F129" s="25"/>
      <c r="G129" s="61"/>
      <c r="H129" s="9"/>
      <c r="I129" s="8"/>
      <c r="J129" s="8"/>
      <c r="K129" s="8"/>
      <c r="L129" s="8"/>
      <c r="M129" s="8"/>
    </row>
    <row r="130" spans="1:13">
      <c r="A130" s="62" t="s">
        <v>308</v>
      </c>
      <c r="B130" s="69">
        <v>35389190890</v>
      </c>
      <c r="C130" s="68"/>
      <c r="D130" s="60"/>
      <c r="E130" s="9"/>
      <c r="F130" s="25"/>
      <c r="G130" s="61"/>
      <c r="H130" s="9"/>
      <c r="I130" s="8"/>
      <c r="J130" s="8"/>
      <c r="K130" s="8"/>
      <c r="L130" s="8"/>
      <c r="M130" s="8"/>
    </row>
    <row r="131" spans="1:13">
      <c r="A131" s="15" t="s">
        <v>309</v>
      </c>
      <c r="B131" s="58">
        <v>43827049873</v>
      </c>
      <c r="C131" s="63"/>
      <c r="D131" s="60"/>
      <c r="E131" s="9">
        <v>85</v>
      </c>
      <c r="F131" s="25">
        <v>43109</v>
      </c>
      <c r="G131" s="61" t="s">
        <v>13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310</v>
      </c>
      <c r="B132" s="58">
        <v>1860886558</v>
      </c>
      <c r="C132" s="63" t="s">
        <v>311</v>
      </c>
      <c r="D132" s="60">
        <v>35132798845</v>
      </c>
      <c r="E132" s="9">
        <v>229</v>
      </c>
      <c r="F132" s="25">
        <v>43151</v>
      </c>
      <c r="G132" s="61" t="s">
        <v>13</v>
      </c>
      <c r="H132" s="9"/>
      <c r="I132" s="8"/>
      <c r="J132" s="8"/>
      <c r="K132" s="8"/>
      <c r="L132" s="9">
        <v>232</v>
      </c>
      <c r="M132" s="8"/>
    </row>
    <row r="133" spans="1:13">
      <c r="A133" s="63" t="s">
        <v>312</v>
      </c>
      <c r="B133" s="58">
        <v>8891318809</v>
      </c>
      <c r="C133" s="63"/>
      <c r="D133" s="60"/>
      <c r="E133" s="9">
        <v>292</v>
      </c>
      <c r="F133" s="25">
        <v>43168</v>
      </c>
      <c r="G133" s="9" t="s">
        <v>13</v>
      </c>
      <c r="H133" s="9"/>
      <c r="I133" s="8"/>
      <c r="J133" s="8"/>
      <c r="K133" s="8"/>
      <c r="L133" s="9">
        <v>318</v>
      </c>
      <c r="M133" s="8"/>
    </row>
    <row r="134" spans="1:13">
      <c r="A134" s="62" t="s">
        <v>313</v>
      </c>
      <c r="B134" s="58">
        <v>5125083569</v>
      </c>
      <c r="C134" s="64"/>
      <c r="D134" s="60"/>
      <c r="E134" s="9">
        <v>573</v>
      </c>
      <c r="F134" s="25">
        <v>43224</v>
      </c>
      <c r="G134" s="61"/>
      <c r="H134" s="9"/>
      <c r="I134" s="8"/>
      <c r="J134" s="8"/>
      <c r="K134" s="8"/>
      <c r="L134" s="8"/>
      <c r="M134" s="8"/>
    </row>
    <row r="135" spans="1:13">
      <c r="A135" s="62" t="s">
        <v>314</v>
      </c>
      <c r="B135" s="58">
        <v>3082802885</v>
      </c>
      <c r="C135" s="63"/>
      <c r="D135" s="60"/>
      <c r="E135" s="9"/>
      <c r="F135" s="25"/>
      <c r="G135" s="61"/>
      <c r="H135" s="9"/>
      <c r="I135" s="8"/>
      <c r="J135" s="8"/>
      <c r="K135" s="8"/>
      <c r="L135" s="8"/>
      <c r="M135" s="8"/>
    </row>
    <row r="136" spans="1:13">
      <c r="A136" s="62" t="s">
        <v>315</v>
      </c>
      <c r="B136" s="58">
        <v>11193531810</v>
      </c>
      <c r="C136" s="63"/>
      <c r="D136" s="60"/>
      <c r="E136" s="9">
        <v>1752</v>
      </c>
      <c r="F136" s="25">
        <v>43051</v>
      </c>
      <c r="G136" s="61" t="s">
        <v>13</v>
      </c>
      <c r="H136" s="9"/>
      <c r="I136" s="8"/>
      <c r="J136" s="8"/>
      <c r="K136" s="8"/>
      <c r="L136" s="9">
        <v>1759</v>
      </c>
      <c r="M136" s="8"/>
    </row>
    <row r="137" spans="1:13">
      <c r="A137" s="62" t="s">
        <v>316</v>
      </c>
      <c r="B137" s="58">
        <v>41229734813</v>
      </c>
      <c r="C137" s="63"/>
      <c r="D137" s="60"/>
      <c r="E137" s="9">
        <v>292</v>
      </c>
      <c r="F137" s="25">
        <v>43168</v>
      </c>
      <c r="G137" s="61" t="s">
        <v>13</v>
      </c>
      <c r="H137" s="9"/>
      <c r="I137" s="8"/>
      <c r="J137" s="8"/>
      <c r="K137" s="8"/>
      <c r="L137" s="9">
        <v>318</v>
      </c>
      <c r="M137" s="8"/>
    </row>
    <row r="138" spans="1:13">
      <c r="A138" s="62" t="s">
        <v>317</v>
      </c>
      <c r="B138" s="58">
        <v>42262731845</v>
      </c>
      <c r="C138" s="63" t="s">
        <v>318</v>
      </c>
      <c r="D138" s="60">
        <v>34728432840</v>
      </c>
      <c r="E138" s="9">
        <v>1824</v>
      </c>
      <c r="F138" s="25">
        <v>43091</v>
      </c>
      <c r="G138" s="61" t="s">
        <v>13</v>
      </c>
      <c r="H138" s="9"/>
      <c r="I138" s="8"/>
      <c r="J138" s="8"/>
      <c r="K138" s="8"/>
      <c r="L138" s="9">
        <v>1828</v>
      </c>
      <c r="M138" s="8"/>
    </row>
    <row r="139" spans="1:13">
      <c r="A139" s="62" t="s">
        <v>319</v>
      </c>
      <c r="B139" s="58">
        <v>35481524813</v>
      </c>
      <c r="C139" s="63"/>
      <c r="D139" s="60"/>
      <c r="E139" s="9">
        <v>262</v>
      </c>
      <c r="F139" s="25">
        <v>43160</v>
      </c>
      <c r="G139" s="61" t="s">
        <v>13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62" t="s">
        <v>320</v>
      </c>
      <c r="B140" s="58">
        <v>41446773892</v>
      </c>
      <c r="C140" s="63" t="s">
        <v>321</v>
      </c>
      <c r="D140" s="60">
        <v>38180353850</v>
      </c>
      <c r="E140" s="9">
        <v>292</v>
      </c>
      <c r="F140" s="25">
        <v>43168</v>
      </c>
      <c r="G140" s="9" t="s">
        <v>13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322</v>
      </c>
      <c r="B141" s="58">
        <v>1436459354</v>
      </c>
      <c r="C141" s="63" t="s">
        <v>323</v>
      </c>
      <c r="D141" s="60">
        <v>4149263310</v>
      </c>
      <c r="E141" s="9">
        <v>229</v>
      </c>
      <c r="F141" s="25">
        <v>43151</v>
      </c>
      <c r="G141" s="61" t="s">
        <v>13</v>
      </c>
      <c r="H141" s="9"/>
      <c r="I141" s="8"/>
      <c r="J141" s="8"/>
      <c r="K141" s="8"/>
      <c r="L141" s="9">
        <v>232</v>
      </c>
      <c r="M141" s="8"/>
    </row>
    <row r="142" spans="1:13">
      <c r="A142" s="27" t="s">
        <v>324</v>
      </c>
      <c r="B142" s="58">
        <v>39953063818</v>
      </c>
      <c r="C142" s="27" t="s">
        <v>325</v>
      </c>
      <c r="D142" s="60">
        <v>39464033878</v>
      </c>
      <c r="E142" s="9"/>
      <c r="F142" s="25"/>
      <c r="G142" s="61"/>
      <c r="H142" s="9"/>
      <c r="I142" s="8"/>
      <c r="J142" s="8"/>
      <c r="K142" s="8"/>
      <c r="L142" s="8"/>
      <c r="M142" s="8"/>
    </row>
    <row r="143" spans="1:13">
      <c r="A143" s="70" t="s">
        <v>326</v>
      </c>
      <c r="B143" s="71">
        <v>15371893873</v>
      </c>
      <c r="C143" s="72" t="s">
        <v>327</v>
      </c>
      <c r="D143" s="73">
        <v>28731800807</v>
      </c>
      <c r="E143" s="45">
        <v>292</v>
      </c>
      <c r="F143" s="46">
        <v>43168</v>
      </c>
      <c r="G143" s="74"/>
      <c r="H143" s="45"/>
      <c r="I143" s="47"/>
      <c r="J143" s="47"/>
      <c r="K143" s="47"/>
      <c r="L143" s="9">
        <v>318</v>
      </c>
      <c r="M143" s="47"/>
    </row>
    <row r="144" spans="1:13">
      <c r="A144" s="62" t="s">
        <v>328</v>
      </c>
      <c r="B144" s="58">
        <v>30339203811</v>
      </c>
      <c r="C144" s="63"/>
      <c r="D144" s="60"/>
      <c r="E144" s="9">
        <v>810</v>
      </c>
      <c r="F144" s="25">
        <v>42915</v>
      </c>
      <c r="G144" s="61" t="s">
        <v>13</v>
      </c>
      <c r="H144" s="9"/>
      <c r="I144" s="8"/>
      <c r="J144" s="8"/>
      <c r="K144" s="8"/>
      <c r="L144" s="9" t="s">
        <v>138</v>
      </c>
      <c r="M144" s="8"/>
    </row>
    <row r="145" spans="1:13">
      <c r="A145" s="64" t="s">
        <v>329</v>
      </c>
      <c r="B145" s="58">
        <v>50773453334</v>
      </c>
      <c r="C145" s="63" t="s">
        <v>330</v>
      </c>
      <c r="D145" s="60">
        <v>51551365391</v>
      </c>
      <c r="E145" s="9">
        <v>1106</v>
      </c>
      <c r="F145" s="25">
        <v>42965</v>
      </c>
      <c r="G145" s="61" t="s">
        <v>20</v>
      </c>
      <c r="H145" s="9"/>
      <c r="I145" s="8"/>
      <c r="J145" s="8"/>
      <c r="K145" s="8"/>
      <c r="L145" s="8"/>
      <c r="M145" s="8"/>
    </row>
    <row r="146" spans="1:13">
      <c r="A146" s="62" t="s">
        <v>331</v>
      </c>
      <c r="B146" s="58">
        <v>37805884803</v>
      </c>
      <c r="C146" s="63" t="s">
        <v>332</v>
      </c>
      <c r="D146" s="60">
        <v>35792474842</v>
      </c>
      <c r="E146" s="9">
        <v>262</v>
      </c>
      <c r="F146" s="25">
        <v>43160</v>
      </c>
      <c r="G146" s="9" t="s">
        <v>13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64" t="s">
        <v>333</v>
      </c>
      <c r="B147" s="58">
        <v>38072219804</v>
      </c>
      <c r="C147" s="63" t="s">
        <v>334</v>
      </c>
      <c r="D147" s="60">
        <v>37125330800</v>
      </c>
      <c r="E147" s="9">
        <v>292</v>
      </c>
      <c r="F147" s="25">
        <v>43168</v>
      </c>
      <c r="G147" s="61" t="s">
        <v>13</v>
      </c>
      <c r="H147" s="9"/>
      <c r="I147" s="8"/>
      <c r="J147" s="8"/>
      <c r="K147" s="8"/>
      <c r="L147" s="9">
        <v>318</v>
      </c>
      <c r="M147" s="8"/>
    </row>
    <row r="148" spans="1:13">
      <c r="A148" s="62" t="s">
        <v>335</v>
      </c>
      <c r="B148" s="58">
        <v>23305485833</v>
      </c>
      <c r="C148" s="63"/>
      <c r="D148" s="60"/>
      <c r="E148" s="9">
        <v>292</v>
      </c>
      <c r="F148" s="25">
        <v>43168</v>
      </c>
      <c r="G148" s="61" t="s">
        <v>13</v>
      </c>
      <c r="H148" s="9"/>
      <c r="I148" s="8"/>
      <c r="J148" s="8"/>
      <c r="K148" s="8"/>
      <c r="L148" s="9">
        <v>318</v>
      </c>
      <c r="M148" s="8"/>
    </row>
    <row r="149" spans="1:13">
      <c r="A149" s="62" t="s">
        <v>336</v>
      </c>
      <c r="B149" s="58">
        <v>37378443808</v>
      </c>
      <c r="C149" s="63"/>
      <c r="D149" s="60"/>
      <c r="E149" s="9">
        <v>443</v>
      </c>
      <c r="F149" s="25">
        <v>43188</v>
      </c>
      <c r="G149" s="61"/>
      <c r="H149" s="9"/>
      <c r="I149" s="8"/>
      <c r="J149" s="8"/>
      <c r="K149" s="8"/>
      <c r="L149" s="8"/>
      <c r="M149" s="8"/>
    </row>
    <row r="150" spans="1:13">
      <c r="A150" s="62" t="s">
        <v>337</v>
      </c>
      <c r="B150" s="58">
        <v>43533063836</v>
      </c>
      <c r="C150" s="63"/>
      <c r="D150" s="60"/>
      <c r="E150" s="9">
        <v>1350</v>
      </c>
      <c r="F150" s="25">
        <v>43006</v>
      </c>
      <c r="G150" s="61" t="s">
        <v>13</v>
      </c>
      <c r="H150" s="9"/>
      <c r="I150" s="8"/>
      <c r="J150" s="8"/>
      <c r="K150" s="8"/>
      <c r="L150" s="8"/>
      <c r="M150" s="8"/>
    </row>
    <row r="151" spans="1:13">
      <c r="A151" s="63" t="s">
        <v>338</v>
      </c>
      <c r="B151" s="58">
        <v>31476352879</v>
      </c>
      <c r="C151" s="63" t="s">
        <v>339</v>
      </c>
      <c r="D151" s="60">
        <v>31481180819</v>
      </c>
      <c r="E151" s="9"/>
      <c r="F151" s="25"/>
      <c r="G151" s="61"/>
      <c r="H151" s="9"/>
      <c r="I151" s="8"/>
      <c r="J151" s="8"/>
      <c r="K151" s="8"/>
      <c r="L151" s="8"/>
      <c r="M151" s="8"/>
    </row>
    <row r="152" spans="1:13">
      <c r="A152" s="13" t="s">
        <v>340</v>
      </c>
      <c r="B152" s="58">
        <v>41207276880</v>
      </c>
      <c r="C152" s="63"/>
      <c r="D152" s="60"/>
      <c r="E152" s="9">
        <v>1350</v>
      </c>
      <c r="F152" s="25">
        <v>43006</v>
      </c>
      <c r="G152" s="61" t="s">
        <v>13</v>
      </c>
      <c r="H152" s="9"/>
      <c r="I152" s="8"/>
      <c r="J152" s="8"/>
      <c r="K152" s="8"/>
      <c r="L152" s="8"/>
      <c r="M152" s="8"/>
    </row>
    <row r="153" spans="1:13">
      <c r="A153" s="62" t="s">
        <v>341</v>
      </c>
      <c r="B153" s="58">
        <v>31388805847</v>
      </c>
      <c r="C153" s="63"/>
      <c r="D153" s="60"/>
      <c r="E153" s="9">
        <v>1106</v>
      </c>
      <c r="F153" s="25">
        <v>42965</v>
      </c>
      <c r="G153" s="61" t="s">
        <v>13</v>
      </c>
      <c r="H153" s="9"/>
      <c r="I153" s="8"/>
      <c r="J153" s="8"/>
      <c r="K153" s="8"/>
      <c r="L153" s="8"/>
      <c r="M153" s="8"/>
    </row>
    <row r="154" spans="1:13">
      <c r="A154" s="62" t="s">
        <v>342</v>
      </c>
      <c r="B154" s="58">
        <v>44567535871</v>
      </c>
      <c r="C154" s="63"/>
      <c r="D154" s="60"/>
      <c r="E154" s="9"/>
      <c r="F154" s="25"/>
      <c r="G154" s="61"/>
      <c r="H154" s="9"/>
      <c r="I154" s="8"/>
      <c r="J154" s="8"/>
      <c r="K154" s="8"/>
      <c r="L154" s="8"/>
      <c r="M154" s="8"/>
    </row>
    <row r="155" spans="1:13">
      <c r="A155" s="18" t="s">
        <v>343</v>
      </c>
      <c r="B155" s="58">
        <v>36142628803</v>
      </c>
      <c r="C155" s="18"/>
      <c r="D155" s="60"/>
      <c r="E155" s="9"/>
      <c r="F155" s="25"/>
      <c r="G155" s="61"/>
      <c r="H155" s="9"/>
      <c r="I155" s="8"/>
      <c r="J155" s="8"/>
      <c r="K155" s="8"/>
      <c r="L155" s="8"/>
      <c r="M155" s="8"/>
    </row>
    <row r="156" spans="1:13">
      <c r="A156" s="62" t="s">
        <v>344</v>
      </c>
      <c r="B156" s="58">
        <v>29038681828</v>
      </c>
      <c r="C156" s="63"/>
      <c r="D156" s="60"/>
      <c r="E156" s="9"/>
      <c r="F156" s="25"/>
      <c r="G156" s="61"/>
      <c r="H156" s="9"/>
      <c r="I156" s="8"/>
      <c r="J156" s="8"/>
      <c r="K156" s="8"/>
      <c r="L156" s="8"/>
      <c r="M156" s="8"/>
    </row>
    <row r="157" spans="1:13">
      <c r="A157" s="62" t="s">
        <v>345</v>
      </c>
      <c r="B157" s="58">
        <v>86665944468</v>
      </c>
      <c r="C157" s="63" t="s">
        <v>346</v>
      </c>
      <c r="D157" s="60">
        <v>28517381866</v>
      </c>
      <c r="E157" s="9">
        <v>443</v>
      </c>
      <c r="F157" s="25">
        <v>43188</v>
      </c>
      <c r="G157" s="61"/>
      <c r="H157" s="9"/>
      <c r="I157" s="8"/>
      <c r="J157" s="8"/>
      <c r="K157" s="8"/>
      <c r="L157" s="8"/>
      <c r="M157" s="8"/>
    </row>
    <row r="158" spans="1:13">
      <c r="A158" s="15" t="s">
        <v>347</v>
      </c>
      <c r="B158" s="58">
        <v>39747831805</v>
      </c>
      <c r="C158" s="63" t="s">
        <v>348</v>
      </c>
      <c r="D158" s="60">
        <v>1202056458</v>
      </c>
      <c r="E158" s="9">
        <v>292</v>
      </c>
      <c r="F158" s="25">
        <v>43168</v>
      </c>
      <c r="G158" s="61" t="s">
        <v>13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349</v>
      </c>
      <c r="B159" s="58">
        <v>33748171811</v>
      </c>
      <c r="C159" s="59"/>
      <c r="D159" s="60"/>
      <c r="E159" s="9">
        <v>1128</v>
      </c>
      <c r="F159" s="25">
        <v>42972</v>
      </c>
      <c r="G159" s="61" t="s">
        <v>13</v>
      </c>
      <c r="H159" s="9"/>
      <c r="I159" s="8"/>
      <c r="J159" s="8"/>
      <c r="K159" s="8"/>
      <c r="L159" s="8"/>
      <c r="M159" s="8"/>
    </row>
    <row r="160" spans="1:13">
      <c r="A160" s="27" t="s">
        <v>350</v>
      </c>
      <c r="B160" s="58"/>
      <c r="C160" s="27" t="s">
        <v>351</v>
      </c>
      <c r="D160" s="60"/>
      <c r="E160" s="9"/>
      <c r="F160" s="25"/>
      <c r="G160" s="61"/>
      <c r="H160" s="9"/>
      <c r="I160" s="8"/>
      <c r="J160" s="8"/>
      <c r="K160" s="8"/>
      <c r="L160" s="8"/>
      <c r="M160" s="8"/>
    </row>
    <row r="161" spans="1:13">
      <c r="A161" s="62" t="s">
        <v>352</v>
      </c>
      <c r="B161" s="58">
        <v>38107907884</v>
      </c>
      <c r="C161" s="63" t="s">
        <v>353</v>
      </c>
      <c r="D161" s="60">
        <v>8669747685</v>
      </c>
      <c r="E161" s="9">
        <v>117</v>
      </c>
      <c r="F161" s="25">
        <v>43117</v>
      </c>
      <c r="G161" s="61" t="s">
        <v>13</v>
      </c>
      <c r="H161" s="9"/>
      <c r="I161" s="8"/>
      <c r="J161" s="8"/>
      <c r="K161" s="8"/>
      <c r="L161" s="9" t="s">
        <v>170</v>
      </c>
      <c r="M161" s="8"/>
    </row>
    <row r="162" spans="1:13">
      <c r="A162" s="27" t="s">
        <v>354</v>
      </c>
      <c r="B162" s="58">
        <v>24759436880</v>
      </c>
      <c r="C162" s="27" t="s">
        <v>355</v>
      </c>
      <c r="D162" s="60">
        <v>14245918802</v>
      </c>
      <c r="E162" s="9"/>
      <c r="F162" s="25"/>
      <c r="G162" s="61"/>
      <c r="H162" s="9"/>
      <c r="I162" s="8"/>
      <c r="J162" s="8"/>
      <c r="K162" s="8"/>
      <c r="L162" s="8"/>
      <c r="M162" s="8"/>
    </row>
    <row r="163" spans="1:13">
      <c r="A163" s="15" t="s">
        <v>356</v>
      </c>
      <c r="B163" s="58">
        <v>22728900833</v>
      </c>
      <c r="C163" s="63"/>
      <c r="D163" s="60"/>
      <c r="E163" s="9">
        <v>1824</v>
      </c>
      <c r="F163" s="25">
        <v>43091</v>
      </c>
      <c r="G163" s="61" t="s">
        <v>13</v>
      </c>
      <c r="H163" s="9"/>
      <c r="I163" s="8"/>
      <c r="J163" s="8"/>
      <c r="K163" s="8"/>
      <c r="L163" s="9">
        <v>1828</v>
      </c>
      <c r="M163" s="8"/>
    </row>
    <row r="164" spans="1:13">
      <c r="A164" s="27" t="s">
        <v>357</v>
      </c>
      <c r="B164" s="58">
        <v>22537971892</v>
      </c>
      <c r="C164" s="27" t="s">
        <v>358</v>
      </c>
      <c r="D164" s="60">
        <v>25652143835</v>
      </c>
      <c r="E164" s="9"/>
      <c r="F164" s="25"/>
      <c r="G164" s="61"/>
      <c r="H164" s="9"/>
      <c r="I164" s="8"/>
      <c r="J164" s="8"/>
      <c r="K164" s="8"/>
      <c r="L164" s="8"/>
      <c r="M164" s="8"/>
    </row>
    <row r="165" spans="1:13">
      <c r="A165" s="62" t="s">
        <v>359</v>
      </c>
      <c r="B165" s="58">
        <v>31362502812</v>
      </c>
      <c r="C165" s="63" t="s">
        <v>360</v>
      </c>
      <c r="D165" s="60">
        <v>25780435820</v>
      </c>
      <c r="E165" s="9"/>
      <c r="F165" s="25"/>
      <c r="G165" s="61"/>
      <c r="H165" s="9"/>
      <c r="I165" s="8"/>
      <c r="J165" s="8"/>
      <c r="K165" s="8"/>
      <c r="L165" s="8"/>
      <c r="M165" s="8"/>
    </row>
    <row r="166" spans="1:13">
      <c r="A166" s="18" t="s">
        <v>361</v>
      </c>
      <c r="B166" s="58">
        <v>4625640539</v>
      </c>
      <c r="C166" s="18" t="s">
        <v>362</v>
      </c>
      <c r="D166" s="60">
        <v>37596848826</v>
      </c>
      <c r="E166" s="9"/>
      <c r="F166" s="25"/>
      <c r="G166" s="61"/>
      <c r="H166" s="9"/>
      <c r="I166" s="8"/>
      <c r="J166" s="8"/>
      <c r="K166" s="8"/>
      <c r="L166" s="8"/>
      <c r="M166" s="8"/>
    </row>
    <row r="167" spans="1:13">
      <c r="A167" s="62" t="s">
        <v>363</v>
      </c>
      <c r="B167" s="58">
        <v>28920223807</v>
      </c>
      <c r="C167" s="63"/>
      <c r="D167" s="60"/>
      <c r="E167" s="9">
        <v>262</v>
      </c>
      <c r="F167" s="25">
        <v>43160</v>
      </c>
      <c r="G167" s="61" t="s">
        <v>13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62" t="s">
        <v>364</v>
      </c>
      <c r="B168" s="58">
        <v>22234108802</v>
      </c>
      <c r="C168" s="63" t="s">
        <v>365</v>
      </c>
      <c r="D168" s="60"/>
      <c r="E168" s="9"/>
      <c r="F168" s="25"/>
      <c r="G168" s="61" t="s">
        <v>13</v>
      </c>
      <c r="H168" s="9"/>
      <c r="I168" s="8"/>
      <c r="J168" s="8"/>
      <c r="K168" s="8"/>
      <c r="L168" s="8"/>
      <c r="M168" s="8"/>
    </row>
    <row r="169" spans="1:13">
      <c r="A169" s="28" t="s">
        <v>366</v>
      </c>
      <c r="B169" s="58">
        <v>37101159818</v>
      </c>
      <c r="C169" s="18"/>
      <c r="D169" s="60"/>
      <c r="E169" s="9"/>
      <c r="F169" s="25"/>
      <c r="G169" s="61"/>
      <c r="H169" s="9"/>
      <c r="I169" s="8"/>
      <c r="J169" s="8"/>
      <c r="K169" s="8"/>
      <c r="L169" s="8"/>
      <c r="M169" s="8"/>
    </row>
    <row r="170" spans="1:13">
      <c r="A170" s="62" t="s">
        <v>367</v>
      </c>
      <c r="B170" s="58">
        <v>182316599</v>
      </c>
      <c r="C170" s="63" t="s">
        <v>368</v>
      </c>
      <c r="D170" s="60">
        <v>73673560549</v>
      </c>
      <c r="E170" s="9">
        <v>292</v>
      </c>
      <c r="F170" s="25">
        <v>43168</v>
      </c>
      <c r="G170" s="9" t="s">
        <v>13</v>
      </c>
      <c r="H170" s="9"/>
      <c r="I170" s="8"/>
      <c r="J170" s="8"/>
      <c r="K170" s="8"/>
      <c r="L170" s="9">
        <v>318</v>
      </c>
      <c r="M170" s="8"/>
    </row>
    <row r="171" spans="1:13">
      <c r="A171" s="62" t="s">
        <v>369</v>
      </c>
      <c r="B171" s="58">
        <v>2136646400</v>
      </c>
      <c r="C171" s="63"/>
      <c r="D171" s="60"/>
      <c r="E171" s="9">
        <v>1417</v>
      </c>
      <c r="F171" s="25">
        <v>43017</v>
      </c>
      <c r="G171" s="61" t="s">
        <v>13</v>
      </c>
      <c r="H171" s="9"/>
      <c r="I171" s="8">
        <v>117</v>
      </c>
      <c r="J171" s="26">
        <v>43117</v>
      </c>
      <c r="K171" s="26">
        <v>43151</v>
      </c>
      <c r="L171" s="9" t="s">
        <v>253</v>
      </c>
      <c r="M171" s="26"/>
    </row>
    <row r="172" spans="1:13">
      <c r="A172" s="62" t="s">
        <v>370</v>
      </c>
      <c r="B172" s="58">
        <v>15520391882</v>
      </c>
      <c r="C172" s="63"/>
      <c r="D172" s="60"/>
      <c r="E172" s="9">
        <v>1106</v>
      </c>
      <c r="F172" s="25">
        <v>42965</v>
      </c>
      <c r="G172" s="61" t="s">
        <v>13</v>
      </c>
      <c r="H172" s="9"/>
      <c r="I172" s="8"/>
      <c r="J172" s="8"/>
      <c r="K172" s="8"/>
      <c r="L172" s="8"/>
      <c r="M172" s="8"/>
    </row>
    <row r="173" spans="1:13">
      <c r="A173" s="62" t="s">
        <v>371</v>
      </c>
      <c r="B173" s="58">
        <v>16703382824</v>
      </c>
      <c r="C173" s="63"/>
      <c r="D173" s="60"/>
      <c r="E173" s="9">
        <v>1824</v>
      </c>
      <c r="F173" s="25">
        <v>43091</v>
      </c>
      <c r="G173" s="61" t="s">
        <v>13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372</v>
      </c>
      <c r="B174" s="58">
        <v>12367185859</v>
      </c>
      <c r="C174" s="63"/>
      <c r="D174" s="60"/>
      <c r="E174" s="9"/>
      <c r="F174" s="25"/>
      <c r="G174" s="61"/>
      <c r="H174" s="9"/>
      <c r="I174" s="8"/>
      <c r="J174" s="8"/>
      <c r="K174" s="8"/>
      <c r="L174" s="8"/>
      <c r="M174" s="8"/>
    </row>
    <row r="175" spans="1:13">
      <c r="A175" s="62" t="s">
        <v>373</v>
      </c>
      <c r="B175" s="58">
        <v>18359976864</v>
      </c>
      <c r="C175" s="63"/>
      <c r="D175" s="60"/>
      <c r="E175" s="9">
        <v>1106</v>
      </c>
      <c r="F175" s="25">
        <v>42965</v>
      </c>
      <c r="G175" s="61" t="s">
        <v>13</v>
      </c>
      <c r="H175" s="9"/>
      <c r="I175" s="8"/>
      <c r="J175" s="8"/>
      <c r="K175" s="8"/>
      <c r="L175" s="8"/>
      <c r="M175" s="8"/>
    </row>
    <row r="176" spans="1:13">
      <c r="A176" s="62" t="s">
        <v>374</v>
      </c>
      <c r="B176" s="58">
        <v>36777190899</v>
      </c>
      <c r="C176" s="63" t="s">
        <v>375</v>
      </c>
      <c r="D176" s="60">
        <v>37104057854</v>
      </c>
      <c r="E176" s="9">
        <v>810</v>
      </c>
      <c r="F176" s="25">
        <v>42915</v>
      </c>
      <c r="G176" s="61" t="s">
        <v>13</v>
      </c>
      <c r="H176" s="9"/>
      <c r="I176" s="8"/>
      <c r="J176" s="8"/>
      <c r="K176" s="8"/>
      <c r="L176" s="9" t="s">
        <v>138</v>
      </c>
      <c r="M176" s="8"/>
    </row>
    <row r="177" spans="1:13">
      <c r="A177" s="15" t="s">
        <v>376</v>
      </c>
      <c r="B177" s="58">
        <v>23599602883</v>
      </c>
      <c r="C177" s="63"/>
      <c r="D177" s="60"/>
      <c r="E177" s="9">
        <v>229</v>
      </c>
      <c r="F177" s="25">
        <v>43151</v>
      </c>
      <c r="G177" s="61" t="s">
        <v>13</v>
      </c>
      <c r="H177" s="9"/>
      <c r="I177" s="8"/>
      <c r="J177" s="8"/>
      <c r="K177" s="8"/>
      <c r="L177" s="9">
        <v>232</v>
      </c>
      <c r="M177" s="8"/>
    </row>
    <row r="178" spans="1:13">
      <c r="A178" s="63" t="s">
        <v>377</v>
      </c>
      <c r="B178" s="58">
        <v>32428102877</v>
      </c>
      <c r="C178" s="63" t="s">
        <v>378</v>
      </c>
      <c r="D178" s="60">
        <v>23908200857</v>
      </c>
      <c r="E178" s="9"/>
      <c r="F178" s="25"/>
      <c r="G178" s="61"/>
      <c r="H178" s="9"/>
      <c r="I178" s="8"/>
      <c r="J178" s="8"/>
      <c r="K178" s="8"/>
      <c r="L178" s="8"/>
      <c r="M178" s="8"/>
    </row>
    <row r="179" spans="1:13">
      <c r="A179" s="62" t="s">
        <v>379</v>
      </c>
      <c r="B179" s="58">
        <v>28640229821</v>
      </c>
      <c r="C179" s="63" t="s">
        <v>380</v>
      </c>
      <c r="D179" s="60">
        <v>7752420808</v>
      </c>
      <c r="E179" s="9">
        <v>1106</v>
      </c>
      <c r="F179" s="25">
        <v>42965</v>
      </c>
      <c r="G179" s="61" t="s">
        <v>13</v>
      </c>
      <c r="H179" s="9"/>
      <c r="I179" s="8"/>
      <c r="J179" s="8"/>
      <c r="K179" s="8"/>
      <c r="L179" s="8"/>
      <c r="M179" s="8"/>
    </row>
    <row r="180" spans="1:13">
      <c r="A180" s="68" t="s">
        <v>381</v>
      </c>
      <c r="B180" s="58">
        <v>38122976808</v>
      </c>
      <c r="C180" s="27" t="s">
        <v>382</v>
      </c>
      <c r="D180" s="60">
        <v>38145176875</v>
      </c>
      <c r="E180" s="9"/>
      <c r="F180" s="25"/>
      <c r="G180" s="61"/>
      <c r="H180" s="9"/>
      <c r="I180" s="8"/>
      <c r="J180" s="8"/>
      <c r="K180" s="8"/>
      <c r="L180" s="8"/>
      <c r="M180" s="8"/>
    </row>
    <row r="181" spans="1:13">
      <c r="A181" s="62" t="s">
        <v>383</v>
      </c>
      <c r="B181" s="58">
        <v>41494645882</v>
      </c>
      <c r="C181" s="63" t="s">
        <v>384</v>
      </c>
      <c r="D181" s="60">
        <v>23413130862</v>
      </c>
      <c r="E181" s="9">
        <v>1824</v>
      </c>
      <c r="F181" s="25">
        <v>43091</v>
      </c>
      <c r="G181" s="61" t="s">
        <v>13</v>
      </c>
      <c r="H181" s="9"/>
      <c r="I181" s="8"/>
      <c r="J181" s="8"/>
      <c r="K181" s="8"/>
      <c r="L181" s="9">
        <v>1828</v>
      </c>
      <c r="M181" s="8"/>
    </row>
    <row r="182" spans="1:13">
      <c r="A182" s="62" t="s">
        <v>385</v>
      </c>
      <c r="B182" s="58">
        <v>34414733880</v>
      </c>
      <c r="C182" s="63"/>
      <c r="D182" s="60"/>
      <c r="E182" s="9">
        <v>1106</v>
      </c>
      <c r="F182" s="25">
        <v>42965</v>
      </c>
      <c r="G182" s="61" t="s">
        <v>13</v>
      </c>
      <c r="H182" s="9"/>
      <c r="I182" s="8"/>
      <c r="J182" s="8"/>
      <c r="K182" s="8"/>
      <c r="L182" s="8"/>
      <c r="M182" s="8"/>
    </row>
    <row r="183" spans="1:13">
      <c r="A183" s="62" t="s">
        <v>386</v>
      </c>
      <c r="B183" s="58">
        <v>32882437846</v>
      </c>
      <c r="C183" s="68" t="s">
        <v>387</v>
      </c>
      <c r="D183" s="60" t="s">
        <v>388</v>
      </c>
      <c r="E183" s="9"/>
      <c r="F183" s="25"/>
      <c r="G183" s="61"/>
      <c r="H183" s="9"/>
      <c r="I183" s="8"/>
      <c r="J183" s="8"/>
      <c r="K183" s="8"/>
      <c r="L183" s="8"/>
      <c r="M183" s="8"/>
    </row>
    <row r="184" spans="1:13">
      <c r="A184" s="62" t="s">
        <v>389</v>
      </c>
      <c r="B184" s="58">
        <v>40733908802</v>
      </c>
      <c r="C184" s="63" t="s">
        <v>390</v>
      </c>
      <c r="D184" s="60"/>
      <c r="E184" s="9">
        <v>1128</v>
      </c>
      <c r="F184" s="25">
        <v>42972</v>
      </c>
      <c r="G184" s="61" t="s">
        <v>13</v>
      </c>
      <c r="H184" s="9"/>
      <c r="I184" s="8"/>
      <c r="J184" s="8"/>
      <c r="K184" s="8"/>
      <c r="L184" s="8"/>
      <c r="M184" s="8"/>
    </row>
    <row r="185" spans="1:13">
      <c r="A185" s="62" t="s">
        <v>391</v>
      </c>
      <c r="B185" s="58">
        <v>31408057808</v>
      </c>
      <c r="C185" s="63"/>
      <c r="D185" s="60"/>
      <c r="E185" s="9"/>
      <c r="F185" s="25"/>
      <c r="G185" s="61"/>
      <c r="H185" s="9"/>
      <c r="I185" s="8"/>
      <c r="J185" s="8"/>
      <c r="K185" s="8"/>
      <c r="L185" s="8"/>
      <c r="M185" s="8"/>
    </row>
    <row r="186" spans="1:13">
      <c r="A186" s="14" t="s">
        <v>392</v>
      </c>
      <c r="B186" s="58">
        <v>31534739866</v>
      </c>
      <c r="C186" s="63"/>
      <c r="D186" s="60"/>
      <c r="E186" s="9">
        <v>262</v>
      </c>
      <c r="F186" s="25">
        <v>43160</v>
      </c>
      <c r="G186" s="61" t="s">
        <v>13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62" t="s">
        <v>393</v>
      </c>
      <c r="B187" s="58">
        <v>32321499877</v>
      </c>
      <c r="C187" s="63" t="s">
        <v>394</v>
      </c>
      <c r="D187" s="60">
        <v>4788348373</v>
      </c>
      <c r="E187" s="9">
        <v>292</v>
      </c>
      <c r="F187" s="25">
        <v>43168</v>
      </c>
      <c r="G187" s="61" t="s">
        <v>13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395</v>
      </c>
      <c r="B188" s="58">
        <v>23197474864</v>
      </c>
      <c r="C188" s="63"/>
      <c r="D188" s="60"/>
      <c r="E188" s="9">
        <v>85</v>
      </c>
      <c r="F188" s="25">
        <v>43109</v>
      </c>
      <c r="G188" s="61" t="s">
        <v>13</v>
      </c>
      <c r="H188" s="25">
        <v>43151</v>
      </c>
      <c r="I188" s="8"/>
      <c r="J188" s="8"/>
      <c r="K188" s="8"/>
      <c r="L188" s="8"/>
      <c r="M188" s="8"/>
    </row>
    <row r="189" spans="1:13">
      <c r="A189" s="62" t="s">
        <v>396</v>
      </c>
      <c r="B189" s="58">
        <v>31268473820</v>
      </c>
      <c r="C189" s="63"/>
      <c r="D189" s="60"/>
      <c r="E189" s="9">
        <v>1214</v>
      </c>
      <c r="F189" s="25">
        <v>42989</v>
      </c>
      <c r="G189" s="61" t="s">
        <v>13</v>
      </c>
      <c r="H189" s="9"/>
      <c r="I189" s="8"/>
      <c r="J189" s="8"/>
      <c r="K189" s="8"/>
      <c r="L189" s="8"/>
      <c r="M189" s="8"/>
    </row>
    <row r="190" spans="1:13">
      <c r="A190" s="62" t="s">
        <v>397</v>
      </c>
      <c r="B190" s="58">
        <v>40951207890</v>
      </c>
      <c r="C190" s="63"/>
      <c r="D190" s="60"/>
      <c r="E190" s="9">
        <v>1555</v>
      </c>
      <c r="F190" s="25">
        <v>43049</v>
      </c>
      <c r="G190" s="61" t="s">
        <v>28</v>
      </c>
      <c r="H190" s="9"/>
      <c r="I190" s="8"/>
      <c r="J190" s="8"/>
      <c r="K190" s="8"/>
      <c r="L190" s="9" t="s">
        <v>398</v>
      </c>
      <c r="M190" s="8"/>
    </row>
    <row r="191" spans="1:13">
      <c r="A191" s="13" t="s">
        <v>399</v>
      </c>
      <c r="B191" s="58">
        <v>43882835842</v>
      </c>
      <c r="C191" s="63"/>
      <c r="D191" s="60"/>
      <c r="E191" s="9">
        <v>1350</v>
      </c>
      <c r="F191" s="25">
        <v>43006</v>
      </c>
      <c r="G191" s="61" t="s">
        <v>13</v>
      </c>
      <c r="H191" s="9"/>
      <c r="I191" s="8"/>
      <c r="J191" s="8"/>
      <c r="K191" s="8"/>
      <c r="L191" s="8"/>
      <c r="M191" s="8"/>
    </row>
    <row r="192" spans="1:13">
      <c r="A192" s="14" t="s">
        <v>400</v>
      </c>
      <c r="B192" s="58">
        <v>16700300835</v>
      </c>
      <c r="C192" s="63" t="s">
        <v>401</v>
      </c>
      <c r="D192" s="60">
        <v>28699951809</v>
      </c>
      <c r="E192" s="9">
        <v>262</v>
      </c>
      <c r="F192" s="25">
        <v>43160</v>
      </c>
      <c r="G192" s="61" t="s">
        <v>13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62" t="s">
        <v>402</v>
      </c>
      <c r="B193" s="58">
        <v>33595120817</v>
      </c>
      <c r="C193" s="59" t="s">
        <v>403</v>
      </c>
      <c r="D193" s="60">
        <v>38449158850</v>
      </c>
      <c r="E193" s="9"/>
      <c r="F193" s="25"/>
      <c r="G193" s="61"/>
      <c r="H193" s="9"/>
      <c r="I193" s="8"/>
      <c r="J193" s="8"/>
      <c r="K193" s="8"/>
      <c r="L193" s="8"/>
      <c r="M193" s="8"/>
    </row>
    <row r="194" spans="1:13">
      <c r="A194" s="13" t="s">
        <v>404</v>
      </c>
      <c r="B194" s="58">
        <v>40386203873</v>
      </c>
      <c r="C194" s="59" t="s">
        <v>405</v>
      </c>
      <c r="D194" s="60">
        <v>27988479822</v>
      </c>
      <c r="E194" s="9">
        <v>1128</v>
      </c>
      <c r="F194" s="25">
        <v>42972</v>
      </c>
      <c r="G194" s="61" t="s">
        <v>13</v>
      </c>
      <c r="H194" s="9"/>
      <c r="I194" s="8"/>
      <c r="J194" s="8"/>
      <c r="K194" s="8"/>
      <c r="L194" s="8"/>
      <c r="M194" s="8"/>
    </row>
    <row r="195" spans="1:13">
      <c r="A195" s="62" t="s">
        <v>406</v>
      </c>
      <c r="B195" s="58">
        <v>23408598835</v>
      </c>
      <c r="C195" s="63"/>
      <c r="D195" s="60"/>
      <c r="E195" s="9">
        <v>573</v>
      </c>
      <c r="F195" s="25">
        <v>43224</v>
      </c>
      <c r="G195" s="61"/>
      <c r="H195" s="9"/>
      <c r="I195" s="8"/>
      <c r="J195" s="8"/>
      <c r="K195" s="8"/>
      <c r="L195" s="8"/>
      <c r="M195" s="8"/>
    </row>
    <row r="196" spans="1:13">
      <c r="A196" s="15" t="s">
        <v>407</v>
      </c>
      <c r="B196" s="58">
        <v>26195293873</v>
      </c>
      <c r="C196" s="63"/>
      <c r="D196" s="60"/>
      <c r="E196" s="9"/>
      <c r="F196" s="25"/>
      <c r="G196" s="61"/>
      <c r="H196" s="9"/>
      <c r="I196" s="8"/>
      <c r="J196" s="8"/>
      <c r="K196" s="8"/>
      <c r="L196" s="8"/>
      <c r="M196" s="8"/>
    </row>
    <row r="197" spans="1:13">
      <c r="A197" s="15" t="s">
        <v>408</v>
      </c>
      <c r="B197" s="58">
        <v>23473254851</v>
      </c>
      <c r="C197" s="63" t="s">
        <v>409</v>
      </c>
      <c r="D197" s="60">
        <v>32944503898</v>
      </c>
      <c r="E197" s="9">
        <v>85</v>
      </c>
      <c r="F197" s="25">
        <v>43109</v>
      </c>
      <c r="G197" s="61" t="s">
        <v>13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410</v>
      </c>
      <c r="B198" s="58">
        <v>7330290866</v>
      </c>
      <c r="C198" s="63"/>
      <c r="D198" s="60"/>
      <c r="E198" s="9">
        <v>1350</v>
      </c>
      <c r="F198" s="25">
        <v>43006</v>
      </c>
      <c r="G198" s="61" t="s">
        <v>13</v>
      </c>
      <c r="H198" s="9"/>
      <c r="I198" s="8"/>
      <c r="J198" s="8"/>
      <c r="K198" s="8"/>
      <c r="L198" s="8"/>
      <c r="M198" s="8"/>
    </row>
    <row r="199" spans="1:13">
      <c r="A199" s="15" t="s">
        <v>411</v>
      </c>
      <c r="B199" s="58">
        <v>40128893893</v>
      </c>
      <c r="C199" s="63"/>
      <c r="D199" s="60"/>
      <c r="E199" s="9">
        <v>229</v>
      </c>
      <c r="F199" s="25">
        <v>43151</v>
      </c>
      <c r="G199" s="61" t="s">
        <v>13</v>
      </c>
      <c r="H199" s="9"/>
      <c r="I199" s="8"/>
      <c r="J199" s="8"/>
      <c r="K199" s="8"/>
      <c r="L199" s="9">
        <v>232</v>
      </c>
      <c r="M199" s="8"/>
    </row>
    <row r="200" spans="1:13">
      <c r="A200" s="63" t="s">
        <v>412</v>
      </c>
      <c r="B200" s="58">
        <v>2218915871</v>
      </c>
      <c r="C200" s="63" t="s">
        <v>413</v>
      </c>
      <c r="D200" s="60">
        <v>1467311820</v>
      </c>
      <c r="E200" s="9">
        <v>443</v>
      </c>
      <c r="F200" s="25">
        <v>43188</v>
      </c>
      <c r="G200" s="61"/>
      <c r="H200" s="9"/>
      <c r="I200" s="8"/>
      <c r="J200" s="8"/>
      <c r="K200" s="8"/>
      <c r="L200" s="8"/>
      <c r="M200" s="8"/>
    </row>
    <row r="201" spans="1:13">
      <c r="A201" s="62" t="s">
        <v>414</v>
      </c>
      <c r="B201" s="58">
        <v>66761255520</v>
      </c>
      <c r="C201" s="63"/>
      <c r="D201" s="60"/>
      <c r="E201" s="9"/>
      <c r="F201" s="25"/>
      <c r="G201" s="61"/>
      <c r="H201" s="9"/>
      <c r="I201" s="8"/>
      <c r="J201" s="8"/>
      <c r="K201" s="8"/>
      <c r="L201" s="8"/>
      <c r="M201" s="8"/>
    </row>
    <row r="202" spans="1:13">
      <c r="A202" s="13" t="s">
        <v>415</v>
      </c>
      <c r="B202" s="58">
        <v>35799104854</v>
      </c>
      <c r="C202" s="63"/>
      <c r="D202" s="60"/>
      <c r="E202" s="9"/>
      <c r="F202" s="25"/>
      <c r="G202" s="61"/>
      <c r="H202" s="9"/>
      <c r="I202" s="8"/>
      <c r="J202" s="8"/>
      <c r="K202" s="8"/>
      <c r="L202" s="8"/>
      <c r="M202" s="8"/>
    </row>
    <row r="203" spans="1:13">
      <c r="A203" s="63" t="s">
        <v>416</v>
      </c>
      <c r="B203" s="58">
        <v>31793836825</v>
      </c>
      <c r="C203" s="63" t="s">
        <v>417</v>
      </c>
      <c r="D203" s="60">
        <v>26401573880</v>
      </c>
      <c r="E203" s="9"/>
      <c r="F203" s="25"/>
      <c r="G203" s="61"/>
      <c r="H203" s="9"/>
      <c r="I203" s="8"/>
      <c r="J203" s="8"/>
      <c r="K203" s="8"/>
      <c r="L203" s="8"/>
      <c r="M203" s="8"/>
    </row>
    <row r="204" spans="1:13">
      <c r="A204" s="27" t="s">
        <v>418</v>
      </c>
      <c r="B204" s="58">
        <v>41307266843</v>
      </c>
      <c r="C204" s="18" t="s">
        <v>419</v>
      </c>
      <c r="D204" s="60">
        <v>18718910866</v>
      </c>
      <c r="E204" s="9"/>
      <c r="F204" s="25"/>
      <c r="G204" s="61"/>
      <c r="H204" s="9"/>
      <c r="I204" s="8"/>
      <c r="J204" s="8"/>
      <c r="K204" s="8"/>
      <c r="L204" s="8"/>
      <c r="M204" s="8"/>
    </row>
    <row r="205" spans="1:13">
      <c r="A205" s="62" t="s">
        <v>420</v>
      </c>
      <c r="B205" s="58">
        <v>96683295549</v>
      </c>
      <c r="C205" s="63"/>
      <c r="D205" s="60"/>
      <c r="E205" s="9"/>
      <c r="F205" s="25"/>
      <c r="G205" s="61" t="s">
        <v>13</v>
      </c>
      <c r="H205" s="9"/>
      <c r="I205" s="8"/>
      <c r="J205" s="8"/>
      <c r="K205" s="8"/>
      <c r="L205" s="8"/>
      <c r="M205" s="8"/>
    </row>
    <row r="206" spans="1:13">
      <c r="A206" s="15" t="s">
        <v>421</v>
      </c>
      <c r="B206" s="58">
        <v>18965913888</v>
      </c>
      <c r="C206" s="63" t="s">
        <v>422</v>
      </c>
      <c r="D206" s="60">
        <v>30385646801</v>
      </c>
      <c r="E206" s="9">
        <v>117</v>
      </c>
      <c r="F206" s="25">
        <v>43117</v>
      </c>
      <c r="G206" s="61" t="s">
        <v>13</v>
      </c>
      <c r="H206" s="9"/>
      <c r="I206" s="8"/>
      <c r="J206" s="8"/>
      <c r="K206" s="8"/>
      <c r="L206" s="9" t="s">
        <v>170</v>
      </c>
      <c r="M206" s="8"/>
    </row>
    <row r="207" spans="1:13">
      <c r="A207" s="27" t="s">
        <v>423</v>
      </c>
      <c r="B207" s="58">
        <v>52371501875</v>
      </c>
      <c r="C207" s="18" t="s">
        <v>129</v>
      </c>
      <c r="D207" s="60"/>
      <c r="E207" s="9"/>
      <c r="F207" s="25"/>
      <c r="G207" s="61"/>
      <c r="H207" s="9"/>
      <c r="I207" s="8"/>
      <c r="J207" s="8"/>
      <c r="K207" s="8"/>
      <c r="L207" s="8"/>
      <c r="M207" s="8"/>
    </row>
    <row r="208" spans="1:13">
      <c r="A208" s="27" t="s">
        <v>424</v>
      </c>
      <c r="B208" s="58"/>
      <c r="C208" s="18" t="s">
        <v>129</v>
      </c>
      <c r="D208" s="60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425</v>
      </c>
      <c r="B209" s="58">
        <v>29938760821</v>
      </c>
      <c r="C209" s="63"/>
      <c r="D209" s="60"/>
      <c r="E209" s="9">
        <v>509</v>
      </c>
      <c r="F209" s="25">
        <v>43203</v>
      </c>
      <c r="G209" s="67"/>
      <c r="H209" s="67">
        <v>43213</v>
      </c>
      <c r="I209" s="8"/>
      <c r="J209" s="8"/>
      <c r="K209" s="8"/>
      <c r="L209" s="8"/>
      <c r="M209" s="8"/>
    </row>
    <row r="210" spans="1:13">
      <c r="A210" s="62" t="s">
        <v>426</v>
      </c>
      <c r="B210" s="58">
        <v>35004723893</v>
      </c>
      <c r="C210" s="63"/>
      <c r="D210" s="60"/>
      <c r="E210" s="9">
        <v>573</v>
      </c>
      <c r="F210" s="25">
        <v>43224</v>
      </c>
      <c r="G210" s="61"/>
      <c r="H210" s="61"/>
      <c r="I210" s="8"/>
      <c r="J210" s="8"/>
      <c r="K210" s="8"/>
      <c r="L210" s="8"/>
      <c r="M210" s="8"/>
    </row>
    <row r="211" spans="1:13">
      <c r="A211" s="13" t="s">
        <v>427</v>
      </c>
      <c r="B211" s="58">
        <v>91982154420</v>
      </c>
      <c r="C211" s="59"/>
      <c r="D211" s="60"/>
      <c r="E211" s="9">
        <v>1128</v>
      </c>
      <c r="F211" s="25">
        <v>42972</v>
      </c>
      <c r="G211" s="61" t="s">
        <v>20</v>
      </c>
      <c r="H211" s="9"/>
      <c r="I211" s="8"/>
      <c r="J211" s="8"/>
      <c r="K211" s="8"/>
      <c r="L211" s="8"/>
      <c r="M211" s="8"/>
    </row>
    <row r="212" spans="1:13">
      <c r="A212" s="14" t="s">
        <v>428</v>
      </c>
      <c r="B212" s="58">
        <v>25897391840</v>
      </c>
      <c r="C212" s="63" t="s">
        <v>429</v>
      </c>
      <c r="D212" s="60">
        <v>31859827896</v>
      </c>
      <c r="E212" s="9"/>
      <c r="F212" s="25"/>
      <c r="G212" s="61"/>
      <c r="H212" s="61"/>
      <c r="I212" s="8"/>
      <c r="J212" s="8"/>
      <c r="K212" s="8"/>
      <c r="L212" s="8"/>
      <c r="M212" s="8"/>
    </row>
    <row r="213" spans="1:13">
      <c r="A213" s="63" t="s">
        <v>430</v>
      </c>
      <c r="B213" s="58">
        <v>22605780805</v>
      </c>
      <c r="C213" s="63"/>
      <c r="D213" s="60"/>
      <c r="E213" s="9"/>
      <c r="F213" s="25"/>
      <c r="G213" s="61"/>
      <c r="H213" s="61"/>
      <c r="I213" s="8"/>
      <c r="J213" s="8"/>
      <c r="K213" s="8"/>
      <c r="L213" s="8"/>
      <c r="M213" s="8"/>
    </row>
    <row r="214" spans="1:13">
      <c r="A214" s="62" t="s">
        <v>431</v>
      </c>
      <c r="B214" s="58">
        <v>13456595808</v>
      </c>
      <c r="C214" s="63"/>
      <c r="D214" s="60"/>
      <c r="E214" s="9">
        <v>443</v>
      </c>
      <c r="F214" s="25">
        <v>43188</v>
      </c>
      <c r="G214" s="61"/>
      <c r="H214" s="61"/>
      <c r="I214" s="8"/>
      <c r="J214" s="8"/>
      <c r="K214" s="8"/>
      <c r="L214" s="8"/>
      <c r="M214" s="8"/>
    </row>
    <row r="215" spans="1:13">
      <c r="A215" s="62" t="s">
        <v>432</v>
      </c>
      <c r="B215" s="58">
        <v>32841222810</v>
      </c>
      <c r="C215" s="63" t="s">
        <v>433</v>
      </c>
      <c r="D215" s="60">
        <v>80906176549</v>
      </c>
      <c r="E215" s="9">
        <v>262</v>
      </c>
      <c r="F215" s="25">
        <v>43160</v>
      </c>
      <c r="G215" s="61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62" t="s">
        <v>434</v>
      </c>
      <c r="B216" s="58">
        <v>32242692860</v>
      </c>
      <c r="C216" s="63" t="s">
        <v>435</v>
      </c>
      <c r="D216" s="60">
        <v>43538893896</v>
      </c>
      <c r="E216" s="9">
        <v>485</v>
      </c>
      <c r="F216" s="25">
        <v>43196</v>
      </c>
      <c r="G216" s="61"/>
      <c r="H216" s="61"/>
      <c r="I216" s="8"/>
      <c r="J216" s="8"/>
      <c r="K216" s="8"/>
      <c r="L216" s="9">
        <v>483</v>
      </c>
      <c r="M216" s="8"/>
    </row>
    <row r="217" spans="1:13">
      <c r="A217" s="62" t="s">
        <v>436</v>
      </c>
      <c r="B217" s="58">
        <v>7105559462</v>
      </c>
      <c r="C217" s="63"/>
      <c r="D217" s="60"/>
      <c r="E217" s="9">
        <v>573</v>
      </c>
      <c r="F217" s="25">
        <v>43224</v>
      </c>
      <c r="G217" s="61"/>
      <c r="H217" s="61"/>
      <c r="I217" s="8"/>
      <c r="J217" s="8"/>
      <c r="K217" s="8"/>
      <c r="L217" s="8"/>
      <c r="M217" s="8"/>
    </row>
    <row r="218" spans="1:13">
      <c r="A218" s="62" t="s">
        <v>437</v>
      </c>
      <c r="B218" s="58">
        <v>35157366892</v>
      </c>
      <c r="C218" s="63" t="s">
        <v>438</v>
      </c>
      <c r="D218" s="60">
        <v>7540659440</v>
      </c>
      <c r="E218" s="9">
        <v>262</v>
      </c>
      <c r="F218" s="25">
        <v>43160</v>
      </c>
      <c r="G218" s="61" t="s">
        <v>13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439</v>
      </c>
      <c r="B219" s="58">
        <v>28951720802</v>
      </c>
      <c r="C219" s="63"/>
      <c r="D219" s="60"/>
      <c r="E219" s="9">
        <v>1350</v>
      </c>
      <c r="F219" s="25">
        <v>43006</v>
      </c>
      <c r="G219" s="61" t="s">
        <v>13</v>
      </c>
      <c r="H219" s="61"/>
      <c r="I219" s="8"/>
      <c r="J219" s="8"/>
      <c r="K219" s="8"/>
      <c r="L219" s="8"/>
      <c r="M219" s="8"/>
    </row>
    <row r="220" spans="1:13">
      <c r="A220" s="15" t="s">
        <v>440</v>
      </c>
      <c r="B220" s="58">
        <v>86052484594</v>
      </c>
      <c r="C220" s="63" t="s">
        <v>441</v>
      </c>
      <c r="D220" s="60">
        <v>5551698556</v>
      </c>
      <c r="E220" s="9">
        <v>117</v>
      </c>
      <c r="F220" s="25">
        <v>43117</v>
      </c>
      <c r="G220" s="61" t="s">
        <v>13</v>
      </c>
      <c r="H220" s="61"/>
      <c r="I220" s="8"/>
      <c r="J220" s="8"/>
      <c r="K220" s="8"/>
      <c r="L220" s="9" t="s">
        <v>170</v>
      </c>
      <c r="M220" s="8"/>
    </row>
    <row r="221" spans="1:13">
      <c r="A221" s="15" t="s">
        <v>442</v>
      </c>
      <c r="B221" s="58">
        <v>32193061874</v>
      </c>
      <c r="C221" s="63" t="s">
        <v>443</v>
      </c>
      <c r="D221" s="60">
        <v>31315741865</v>
      </c>
      <c r="E221" s="9"/>
      <c r="F221" s="25"/>
      <c r="G221" s="61"/>
      <c r="H221" s="61"/>
      <c r="I221" s="8"/>
      <c r="J221" s="8"/>
      <c r="K221" s="8"/>
      <c r="L221" s="8"/>
      <c r="M221" s="8"/>
    </row>
    <row r="222" spans="1:13">
      <c r="A222" s="27" t="s">
        <v>444</v>
      </c>
      <c r="B222" s="58">
        <v>32729382810</v>
      </c>
      <c r="C222" s="27" t="s">
        <v>445</v>
      </c>
      <c r="D222" s="60">
        <v>27801639847</v>
      </c>
      <c r="E222" s="9"/>
      <c r="F222" s="25"/>
      <c r="G222" s="61"/>
      <c r="H222" s="61"/>
      <c r="I222" s="8"/>
      <c r="J222" s="8"/>
      <c r="K222" s="8"/>
      <c r="L222" s="8"/>
      <c r="M222" s="8"/>
    </row>
    <row r="223" spans="1:13">
      <c r="A223" s="62" t="s">
        <v>446</v>
      </c>
      <c r="B223" s="58">
        <v>32554462879</v>
      </c>
      <c r="C223" s="63" t="s">
        <v>447</v>
      </c>
      <c r="D223" s="60">
        <v>22395211800</v>
      </c>
      <c r="E223" s="9">
        <v>573</v>
      </c>
      <c r="F223" s="25">
        <v>43224</v>
      </c>
      <c r="G223" s="61"/>
      <c r="H223" s="61"/>
      <c r="I223" s="8"/>
      <c r="J223" s="8"/>
      <c r="K223" s="8"/>
      <c r="L223" s="8"/>
      <c r="M223" s="8"/>
    </row>
    <row r="224" spans="1:13">
      <c r="A224" s="62" t="s">
        <v>448</v>
      </c>
      <c r="B224" s="58">
        <v>25897850895</v>
      </c>
      <c r="C224" s="63"/>
      <c r="D224" s="60"/>
      <c r="E224" s="9">
        <v>527</v>
      </c>
      <c r="F224" s="25">
        <v>43210</v>
      </c>
      <c r="G224" s="61"/>
      <c r="H224" s="61"/>
      <c r="I224" s="8"/>
      <c r="J224" s="8"/>
      <c r="K224" s="8"/>
      <c r="L224" s="9">
        <v>528</v>
      </c>
      <c r="M224" s="8"/>
    </row>
    <row r="225" spans="1:13">
      <c r="A225" s="62" t="s">
        <v>449</v>
      </c>
      <c r="B225" s="58">
        <v>31983130826</v>
      </c>
      <c r="C225" s="63"/>
      <c r="D225" s="60"/>
      <c r="E225" s="9">
        <v>527</v>
      </c>
      <c r="F225" s="25">
        <v>43210</v>
      </c>
      <c r="G225" s="61"/>
      <c r="H225" s="61"/>
      <c r="I225" s="8"/>
      <c r="J225" s="8"/>
      <c r="K225" s="8"/>
      <c r="L225" s="9">
        <v>528</v>
      </c>
      <c r="M225" s="8"/>
    </row>
    <row r="226" spans="1:13">
      <c r="A226" s="62" t="s">
        <v>450</v>
      </c>
      <c r="B226" s="58">
        <v>21867202808</v>
      </c>
      <c r="C226" s="63"/>
      <c r="D226" s="60"/>
      <c r="E226" s="9"/>
      <c r="F226" s="25"/>
      <c r="G226" s="61"/>
      <c r="H226" s="61"/>
      <c r="I226" s="8"/>
      <c r="J226" s="8"/>
      <c r="K226" s="8"/>
      <c r="L226" s="8"/>
      <c r="M226" s="8"/>
    </row>
    <row r="227" spans="1:13">
      <c r="A227" s="62" t="s">
        <v>451</v>
      </c>
      <c r="B227" s="58">
        <v>31785766813</v>
      </c>
      <c r="C227" s="63"/>
      <c r="D227" s="60"/>
      <c r="E227" s="9">
        <v>810</v>
      </c>
      <c r="F227" s="25">
        <v>42915</v>
      </c>
      <c r="G227" s="61" t="s">
        <v>13</v>
      </c>
      <c r="H227" s="61"/>
      <c r="I227" s="8"/>
      <c r="J227" s="8"/>
      <c r="K227" s="8"/>
      <c r="L227" s="9" t="s">
        <v>138</v>
      </c>
      <c r="M227" s="8"/>
    </row>
    <row r="228" spans="1:13">
      <c r="A228" s="63" t="s">
        <v>452</v>
      </c>
      <c r="B228" s="58">
        <v>39961258878</v>
      </c>
      <c r="C228" s="63" t="s">
        <v>453</v>
      </c>
      <c r="D228" s="60">
        <v>36141502830</v>
      </c>
      <c r="E228" s="9"/>
      <c r="F228" s="25"/>
      <c r="G228" s="61"/>
      <c r="H228" s="61"/>
      <c r="I228" s="8"/>
      <c r="J228" s="8"/>
      <c r="K228" s="8"/>
      <c r="L228" s="8"/>
      <c r="M228" s="8"/>
    </row>
    <row r="229" spans="1:13">
      <c r="A229" s="29" t="s">
        <v>454</v>
      </c>
      <c r="B229" s="58">
        <v>47054624831</v>
      </c>
      <c r="C229" s="27"/>
      <c r="D229" s="60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62" t="s">
        <v>455</v>
      </c>
      <c r="B230" s="58">
        <v>35719819878</v>
      </c>
      <c r="C230" s="63" t="s">
        <v>456</v>
      </c>
      <c r="D230" s="60">
        <v>11407737473</v>
      </c>
      <c r="E230" s="9">
        <v>1214</v>
      </c>
      <c r="F230" s="25">
        <v>42989</v>
      </c>
      <c r="G230" s="61" t="s">
        <v>13</v>
      </c>
      <c r="H230" s="61"/>
      <c r="I230" s="8"/>
      <c r="J230" s="8"/>
      <c r="K230" s="8"/>
      <c r="L230" s="8"/>
      <c r="M230" s="8"/>
    </row>
    <row r="231" spans="1:13">
      <c r="A231" s="13" t="s">
        <v>457</v>
      </c>
      <c r="B231" s="58">
        <v>45813645829</v>
      </c>
      <c r="C231" s="59" t="s">
        <v>458</v>
      </c>
      <c r="D231" s="60">
        <v>40890894841</v>
      </c>
      <c r="E231" s="9">
        <v>1752</v>
      </c>
      <c r="F231" s="25">
        <v>43051</v>
      </c>
      <c r="G231" s="61" t="s">
        <v>13</v>
      </c>
      <c r="H231" s="61"/>
      <c r="I231" s="8"/>
      <c r="J231" s="8"/>
      <c r="K231" s="8"/>
      <c r="L231" s="9">
        <v>1759</v>
      </c>
      <c r="M231" s="8"/>
    </row>
    <row r="232" spans="1:13">
      <c r="A232" s="15" t="s">
        <v>459</v>
      </c>
      <c r="B232" s="58">
        <v>43811085824</v>
      </c>
      <c r="C232" s="15" t="s">
        <v>460</v>
      </c>
      <c r="D232" s="60">
        <v>42304979890</v>
      </c>
      <c r="E232" s="9"/>
      <c r="F232" s="25"/>
      <c r="G232" s="61"/>
      <c r="H232" s="61"/>
      <c r="I232" s="8"/>
      <c r="J232" s="8"/>
      <c r="K232" s="8"/>
      <c r="L232" s="8"/>
      <c r="M232" s="8"/>
    </row>
    <row r="233" spans="1:13">
      <c r="A233" s="62" t="s">
        <v>461</v>
      </c>
      <c r="B233" s="58">
        <v>50470146818</v>
      </c>
      <c r="C233" s="68"/>
      <c r="D233" s="60"/>
      <c r="E233" s="9">
        <v>563</v>
      </c>
      <c r="F233" s="25">
        <v>43217</v>
      </c>
      <c r="G233" s="61"/>
      <c r="H233" s="61"/>
      <c r="I233" s="8"/>
      <c r="J233" s="8"/>
      <c r="K233" s="8"/>
      <c r="L233" s="9" t="s">
        <v>299</v>
      </c>
      <c r="M233" s="8"/>
    </row>
    <row r="234" spans="1:13">
      <c r="A234" s="27" t="s">
        <v>462</v>
      </c>
      <c r="B234" s="58"/>
      <c r="C234" s="18" t="s">
        <v>129</v>
      </c>
      <c r="D234" s="60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463</v>
      </c>
      <c r="B235" s="58">
        <v>33287840800</v>
      </c>
      <c r="C235" s="63"/>
      <c r="D235" s="60"/>
      <c r="E235" s="9"/>
      <c r="F235" s="25"/>
      <c r="G235" s="61"/>
      <c r="H235" s="61"/>
      <c r="I235" s="8"/>
      <c r="J235" s="8"/>
      <c r="K235" s="8"/>
      <c r="L235" s="8"/>
      <c r="M235" s="8"/>
    </row>
    <row r="236" spans="1:13">
      <c r="A236" s="62" t="s">
        <v>464</v>
      </c>
      <c r="B236" s="58">
        <v>31518758827</v>
      </c>
      <c r="C236" s="63"/>
      <c r="D236" s="60"/>
      <c r="E236" s="9">
        <v>292</v>
      </c>
      <c r="F236" s="25">
        <v>43168</v>
      </c>
      <c r="G236" s="61" t="s">
        <v>13</v>
      </c>
      <c r="H236" s="61"/>
      <c r="I236" s="8"/>
      <c r="J236" s="8"/>
      <c r="K236" s="8"/>
      <c r="L236" s="9">
        <v>318</v>
      </c>
      <c r="M236" s="8"/>
    </row>
    <row r="237" spans="1:13">
      <c r="A237" s="62" t="s">
        <v>465</v>
      </c>
      <c r="B237" s="58">
        <v>86221152593</v>
      </c>
      <c r="C237" s="63" t="s">
        <v>466</v>
      </c>
      <c r="D237" s="60">
        <v>3688414560</v>
      </c>
      <c r="E237" s="9">
        <v>1214</v>
      </c>
      <c r="F237" s="25">
        <v>42989</v>
      </c>
      <c r="G237" s="61" t="s">
        <v>13</v>
      </c>
      <c r="H237" s="61"/>
      <c r="I237" s="8"/>
      <c r="J237" s="8"/>
      <c r="K237" s="8"/>
      <c r="L237" s="8"/>
      <c r="M237" s="8"/>
    </row>
    <row r="238" spans="1:13">
      <c r="A238" s="15" t="s">
        <v>467</v>
      </c>
      <c r="B238" s="58">
        <v>5918222456</v>
      </c>
      <c r="C238" s="63" t="s">
        <v>468</v>
      </c>
      <c r="D238" s="60">
        <v>22995243800</v>
      </c>
      <c r="E238" s="9"/>
      <c r="F238" s="25"/>
      <c r="G238" s="61"/>
      <c r="H238" s="61"/>
      <c r="I238" s="8"/>
      <c r="J238" s="8"/>
      <c r="K238" s="8"/>
      <c r="L238" s="8"/>
      <c r="M238" s="8"/>
    </row>
    <row r="239" spans="1:13">
      <c r="A239" s="62" t="s">
        <v>469</v>
      </c>
      <c r="B239" s="58">
        <v>37239200809</v>
      </c>
      <c r="C239" s="63" t="s">
        <v>470</v>
      </c>
      <c r="D239" s="60">
        <v>36014828869</v>
      </c>
      <c r="E239" s="9">
        <v>1350</v>
      </c>
      <c r="F239" s="25">
        <v>43006</v>
      </c>
      <c r="G239" s="61" t="s">
        <v>13</v>
      </c>
      <c r="H239" s="61"/>
      <c r="I239" s="8"/>
      <c r="J239" s="8"/>
      <c r="K239" s="8"/>
      <c r="L239" s="8"/>
      <c r="M239" s="8"/>
    </row>
    <row r="240" spans="1:13">
      <c r="A240" s="62" t="s">
        <v>471</v>
      </c>
      <c r="B240" s="58">
        <v>6620279813</v>
      </c>
      <c r="C240" s="63" t="s">
        <v>472</v>
      </c>
      <c r="D240" s="60">
        <v>18461089855</v>
      </c>
      <c r="E240" s="9">
        <v>1824</v>
      </c>
      <c r="F240" s="25">
        <v>43091</v>
      </c>
      <c r="G240" s="61" t="s">
        <v>13</v>
      </c>
      <c r="H240" s="61"/>
      <c r="I240" s="8"/>
      <c r="J240" s="8"/>
      <c r="K240" s="8"/>
      <c r="L240" s="9">
        <v>1828</v>
      </c>
      <c r="M240" s="8"/>
    </row>
    <row r="241" spans="1:13">
      <c r="A241" s="75" t="s">
        <v>473</v>
      </c>
      <c r="B241" s="58">
        <v>11805424874</v>
      </c>
      <c r="C241" s="68" t="s">
        <v>474</v>
      </c>
      <c r="D241" s="60">
        <v>13513057865</v>
      </c>
      <c r="E241" s="9"/>
      <c r="F241" s="25"/>
      <c r="G241" s="61"/>
      <c r="H241" s="61"/>
      <c r="I241" s="8"/>
      <c r="J241" s="8"/>
      <c r="K241" s="8"/>
      <c r="L241" s="8"/>
      <c r="M241" s="8"/>
    </row>
    <row r="242" spans="1:13">
      <c r="A242" s="14" t="s">
        <v>475</v>
      </c>
      <c r="B242" s="58">
        <v>39444568822</v>
      </c>
      <c r="C242" s="63"/>
      <c r="D242" s="60"/>
      <c r="E242" s="9">
        <v>262</v>
      </c>
      <c r="F242" s="25">
        <v>43160</v>
      </c>
      <c r="G242" s="61" t="s">
        <v>13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476</v>
      </c>
      <c r="B243" s="58">
        <v>39423733867</v>
      </c>
      <c r="C243" s="63"/>
      <c r="D243" s="60"/>
      <c r="E243" s="9">
        <v>85</v>
      </c>
      <c r="F243" s="25">
        <v>43109</v>
      </c>
      <c r="G243" s="61" t="s">
        <v>13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477</v>
      </c>
      <c r="B244" s="58">
        <v>34001342871</v>
      </c>
      <c r="C244" s="18" t="s">
        <v>478</v>
      </c>
      <c r="D244" s="60">
        <v>87924803300</v>
      </c>
      <c r="E244" s="9"/>
      <c r="F244" s="25"/>
      <c r="G244" s="61"/>
      <c r="H244" s="61"/>
      <c r="I244" s="8"/>
      <c r="J244" s="8"/>
      <c r="K244" s="8"/>
      <c r="L244" s="8"/>
      <c r="M244" s="8"/>
    </row>
    <row r="245" spans="1:13">
      <c r="A245" s="62" t="s">
        <v>479</v>
      </c>
      <c r="B245" s="58">
        <v>31939758858</v>
      </c>
      <c r="C245" s="63"/>
      <c r="D245" s="60"/>
      <c r="E245" s="9">
        <v>262</v>
      </c>
      <c r="F245" s="25">
        <v>43160</v>
      </c>
      <c r="G245" s="61" t="s">
        <v>13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62" t="s">
        <v>480</v>
      </c>
      <c r="B246" s="58">
        <v>18199193824</v>
      </c>
      <c r="C246" s="63"/>
      <c r="D246" s="60"/>
      <c r="E246" s="9">
        <v>527</v>
      </c>
      <c r="F246" s="25">
        <v>43210</v>
      </c>
      <c r="G246" s="61"/>
      <c r="H246" s="61"/>
      <c r="I246" s="8"/>
      <c r="J246" s="8"/>
      <c r="K246" s="8"/>
      <c r="L246" s="9">
        <v>528</v>
      </c>
      <c r="M246" s="8"/>
    </row>
    <row r="247" spans="1:13">
      <c r="A247" s="14" t="s">
        <v>481</v>
      </c>
      <c r="B247" s="58">
        <v>1308082533</v>
      </c>
      <c r="C247" s="63" t="s">
        <v>482</v>
      </c>
      <c r="D247" s="60">
        <v>73690139520</v>
      </c>
      <c r="E247" s="9">
        <v>262</v>
      </c>
      <c r="F247" s="25">
        <v>43160</v>
      </c>
      <c r="G247" s="61" t="s">
        <v>13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483</v>
      </c>
      <c r="B248" s="58">
        <v>27084998829</v>
      </c>
      <c r="C248" s="63"/>
      <c r="D248" s="60"/>
      <c r="E248" s="9">
        <v>117</v>
      </c>
      <c r="F248" s="25">
        <v>43117</v>
      </c>
      <c r="G248" s="61" t="s">
        <v>13</v>
      </c>
      <c r="H248" s="61"/>
      <c r="I248" s="8"/>
      <c r="J248" s="8"/>
      <c r="K248" s="8"/>
      <c r="L248" s="9" t="s">
        <v>170</v>
      </c>
      <c r="M248" s="8"/>
    </row>
    <row r="249" spans="1:13">
      <c r="A249" s="62" t="s">
        <v>484</v>
      </c>
      <c r="B249" s="58">
        <v>4068496846</v>
      </c>
      <c r="C249" s="63" t="s">
        <v>485</v>
      </c>
      <c r="D249" s="60">
        <v>26922524896</v>
      </c>
      <c r="E249" s="9">
        <v>1752</v>
      </c>
      <c r="F249" s="25">
        <v>43051</v>
      </c>
      <c r="G249" s="61" t="s">
        <v>13</v>
      </c>
      <c r="H249" s="61"/>
      <c r="I249" s="8"/>
      <c r="J249" s="8"/>
      <c r="K249" s="8"/>
      <c r="L249" s="9">
        <v>1759</v>
      </c>
      <c r="M249" s="8"/>
    </row>
    <row r="250" spans="1:13">
      <c r="A250" s="15" t="s">
        <v>486</v>
      </c>
      <c r="B250" s="58">
        <v>92175163849</v>
      </c>
      <c r="C250" s="63" t="s">
        <v>487</v>
      </c>
      <c r="D250" s="60">
        <v>21955511861</v>
      </c>
      <c r="E250" s="9"/>
      <c r="F250" s="25"/>
      <c r="G250" s="61"/>
      <c r="H250" s="61"/>
      <c r="I250" s="8"/>
      <c r="J250" s="8"/>
      <c r="K250" s="8"/>
      <c r="L250" s="8"/>
      <c r="M250" s="8"/>
    </row>
    <row r="251" spans="1:13">
      <c r="A251" s="18" t="s">
        <v>488</v>
      </c>
      <c r="B251" s="58">
        <v>76906388304</v>
      </c>
      <c r="C251" s="18" t="s">
        <v>489</v>
      </c>
      <c r="D251" s="60">
        <v>93161590</v>
      </c>
      <c r="E251" s="9"/>
      <c r="F251" s="25"/>
      <c r="G251" s="61"/>
      <c r="H251" s="61"/>
      <c r="I251" s="8"/>
      <c r="J251" s="8"/>
      <c r="K251" s="8"/>
      <c r="L251" s="8"/>
      <c r="M251" s="8"/>
    </row>
    <row r="252" spans="1:13">
      <c r="A252" s="15" t="s">
        <v>490</v>
      </c>
      <c r="B252" s="58">
        <v>25569397884</v>
      </c>
      <c r="C252" s="63"/>
      <c r="D252" s="60"/>
      <c r="E252" s="9">
        <v>117</v>
      </c>
      <c r="F252" s="25">
        <v>43117</v>
      </c>
      <c r="G252" s="61" t="s">
        <v>13</v>
      </c>
      <c r="H252" s="61"/>
      <c r="I252" s="8"/>
      <c r="J252" s="8"/>
      <c r="K252" s="8"/>
      <c r="L252" s="9" t="s">
        <v>170</v>
      </c>
      <c r="M252" s="8"/>
    </row>
    <row r="253" spans="1:13">
      <c r="A253" s="62" t="s">
        <v>491</v>
      </c>
      <c r="B253" s="58">
        <v>2925106323</v>
      </c>
      <c r="C253" s="63" t="s">
        <v>492</v>
      </c>
      <c r="D253" s="60">
        <v>16131378851</v>
      </c>
      <c r="E253" s="9">
        <v>1214</v>
      </c>
      <c r="F253" s="25">
        <v>42989</v>
      </c>
      <c r="G253" s="61" t="s">
        <v>13</v>
      </c>
      <c r="H253" s="61"/>
      <c r="I253" s="8"/>
      <c r="J253" s="8"/>
      <c r="K253" s="8"/>
      <c r="L253" s="8"/>
      <c r="M253" s="8"/>
    </row>
    <row r="254" spans="1:13">
      <c r="A254" s="13" t="s">
        <v>493</v>
      </c>
      <c r="B254" s="58">
        <v>33865569811</v>
      </c>
      <c r="C254" s="59"/>
      <c r="D254" s="60"/>
      <c r="E254" s="9">
        <v>1267</v>
      </c>
      <c r="F254" s="25">
        <v>42998</v>
      </c>
      <c r="G254" s="61" t="s">
        <v>13</v>
      </c>
      <c r="H254" s="61"/>
      <c r="I254" s="8"/>
      <c r="J254" s="8"/>
      <c r="K254" s="8"/>
      <c r="L254" s="8"/>
      <c r="M254" s="8"/>
    </row>
    <row r="255" spans="1:13">
      <c r="A255" s="13" t="s">
        <v>494</v>
      </c>
      <c r="B255" s="58">
        <v>30871120895</v>
      </c>
      <c r="C255" s="59" t="s">
        <v>495</v>
      </c>
      <c r="D255" s="60">
        <v>7635106457</v>
      </c>
      <c r="E255" s="9">
        <v>1241</v>
      </c>
      <c r="F255" s="25">
        <v>42992</v>
      </c>
      <c r="G255" s="61" t="s">
        <v>13</v>
      </c>
      <c r="H255" s="61"/>
      <c r="I255" s="8"/>
      <c r="J255" s="8"/>
      <c r="K255" s="8"/>
      <c r="L255" s="8"/>
      <c r="M255" s="8"/>
    </row>
    <row r="256" spans="1:13">
      <c r="A256" s="62" t="s">
        <v>496</v>
      </c>
      <c r="B256" s="58">
        <v>32016102837</v>
      </c>
      <c r="C256" s="63" t="s">
        <v>497</v>
      </c>
      <c r="D256" s="60">
        <v>25077406553</v>
      </c>
      <c r="E256" s="9">
        <v>292</v>
      </c>
      <c r="F256" s="25">
        <v>43168</v>
      </c>
      <c r="G256" s="61" t="s">
        <v>13</v>
      </c>
      <c r="H256" s="61"/>
      <c r="I256" s="8"/>
      <c r="J256" s="8"/>
      <c r="K256" s="8"/>
      <c r="L256" s="9">
        <v>318</v>
      </c>
      <c r="M256" s="8"/>
    </row>
    <row r="257" spans="1:13">
      <c r="A257" s="63" t="s">
        <v>498</v>
      </c>
      <c r="B257" s="58">
        <v>14226894847</v>
      </c>
      <c r="C257" s="63"/>
      <c r="D257" s="60"/>
      <c r="E257" s="9"/>
      <c r="F257" s="25"/>
      <c r="G257" s="61"/>
      <c r="H257" s="61"/>
      <c r="I257" s="8"/>
      <c r="J257" s="8"/>
      <c r="K257" s="8"/>
      <c r="L257" s="8"/>
      <c r="M257" s="8"/>
    </row>
    <row r="258" spans="1:13">
      <c r="A258" s="63" t="s">
        <v>499</v>
      </c>
      <c r="B258" s="58">
        <v>98689622772</v>
      </c>
      <c r="C258" s="63"/>
      <c r="D258" s="60"/>
      <c r="E258" s="9"/>
      <c r="F258" s="25"/>
      <c r="G258" s="61"/>
      <c r="H258" s="61"/>
      <c r="I258" s="8"/>
      <c r="J258" s="8"/>
      <c r="K258" s="8"/>
      <c r="L258" s="8"/>
      <c r="M258" s="8"/>
    </row>
    <row r="259" spans="1:13">
      <c r="A259" s="62" t="s">
        <v>500</v>
      </c>
      <c r="B259" s="58">
        <v>9722798812</v>
      </c>
      <c r="C259" s="63"/>
      <c r="D259" s="60"/>
      <c r="E259" s="9"/>
      <c r="F259" s="25"/>
      <c r="G259" s="61"/>
      <c r="H259" s="61"/>
      <c r="I259" s="8"/>
      <c r="J259" s="8"/>
      <c r="K259" s="8"/>
      <c r="L259" s="8"/>
      <c r="M259" s="8"/>
    </row>
    <row r="260" spans="1:13">
      <c r="A260" s="62" t="s">
        <v>501</v>
      </c>
      <c r="B260" s="58">
        <v>23448937843</v>
      </c>
      <c r="C260" s="63"/>
      <c r="D260" s="60"/>
      <c r="E260" s="9">
        <v>1439</v>
      </c>
      <c r="F260" s="25">
        <v>43025</v>
      </c>
      <c r="G260" s="61" t="s">
        <v>13</v>
      </c>
      <c r="H260" s="61"/>
      <c r="I260" s="8"/>
      <c r="J260" s="8"/>
      <c r="K260" s="8"/>
      <c r="L260" s="9" t="s">
        <v>502</v>
      </c>
      <c r="M260" s="8"/>
    </row>
    <row r="261" spans="1:13">
      <c r="A261" s="15" t="s">
        <v>503</v>
      </c>
      <c r="B261" s="58">
        <v>18856620847</v>
      </c>
      <c r="C261" s="63" t="s">
        <v>504</v>
      </c>
      <c r="D261" s="60">
        <v>60739592815</v>
      </c>
      <c r="E261" s="9">
        <v>443</v>
      </c>
      <c r="F261" s="25">
        <v>43188</v>
      </c>
      <c r="G261" s="61"/>
      <c r="H261" s="61"/>
      <c r="I261" s="8"/>
      <c r="J261" s="8"/>
      <c r="K261" s="8"/>
      <c r="L261" s="8"/>
      <c r="M261" s="8"/>
    </row>
    <row r="262" spans="1:13">
      <c r="A262" s="13" t="s">
        <v>505</v>
      </c>
      <c r="B262" s="58">
        <v>9733441805</v>
      </c>
      <c r="C262" s="63"/>
      <c r="D262" s="60"/>
      <c r="E262" s="9"/>
      <c r="F262" s="25"/>
      <c r="G262" s="61"/>
      <c r="H262" s="61"/>
      <c r="I262" s="8"/>
      <c r="J262" s="8"/>
      <c r="K262" s="8"/>
      <c r="L262" s="8"/>
      <c r="M262" s="8"/>
    </row>
    <row r="263" spans="1:13">
      <c r="A263" s="62" t="s">
        <v>506</v>
      </c>
      <c r="B263" s="58">
        <v>2766966382</v>
      </c>
      <c r="C263" s="63" t="s">
        <v>507</v>
      </c>
      <c r="D263" s="60">
        <v>2385838303</v>
      </c>
      <c r="E263" s="9">
        <v>262</v>
      </c>
      <c r="F263" s="25">
        <v>43160</v>
      </c>
      <c r="G263" s="61" t="s">
        <v>13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62" t="s">
        <v>508</v>
      </c>
      <c r="B264" s="58">
        <v>17092493315</v>
      </c>
      <c r="C264" s="68"/>
      <c r="D264" s="60"/>
      <c r="E264" s="9"/>
      <c r="F264" s="25"/>
      <c r="G264" s="61"/>
      <c r="H264" s="61"/>
      <c r="I264" s="8"/>
      <c r="J264" s="8"/>
      <c r="K264" s="8"/>
      <c r="L264" s="8"/>
      <c r="M264" s="8"/>
    </row>
    <row r="265" spans="1:13">
      <c r="A265" s="15" t="s">
        <v>509</v>
      </c>
      <c r="B265" s="58">
        <v>15697775865</v>
      </c>
      <c r="C265" s="63"/>
      <c r="D265" s="60"/>
      <c r="E265" s="9">
        <v>229</v>
      </c>
      <c r="F265" s="25">
        <v>43151</v>
      </c>
      <c r="G265" s="61" t="s">
        <v>13</v>
      </c>
      <c r="H265" s="61"/>
      <c r="I265" s="8"/>
      <c r="J265" s="8"/>
      <c r="K265" s="8"/>
      <c r="L265" s="9">
        <v>232</v>
      </c>
      <c r="M265" s="8"/>
    </row>
    <row r="266" spans="1:13">
      <c r="A266" s="62" t="s">
        <v>510</v>
      </c>
      <c r="B266" s="58">
        <v>2612745386</v>
      </c>
      <c r="C266" s="63"/>
      <c r="D266" s="60"/>
      <c r="E266" s="9">
        <v>1214</v>
      </c>
      <c r="F266" s="25">
        <v>42989</v>
      </c>
      <c r="G266" s="61" t="s">
        <v>13</v>
      </c>
      <c r="H266" s="61"/>
      <c r="I266" s="8"/>
      <c r="J266" s="8"/>
      <c r="K266" s="8"/>
      <c r="L266" s="8"/>
      <c r="M266" s="8"/>
    </row>
    <row r="267" spans="1:13">
      <c r="A267" s="62" t="s">
        <v>511</v>
      </c>
      <c r="B267" s="58">
        <v>22511943808</v>
      </c>
      <c r="C267" s="63"/>
      <c r="D267" s="60"/>
      <c r="E267" s="9">
        <v>292</v>
      </c>
      <c r="F267" s="25">
        <v>43168</v>
      </c>
      <c r="G267" s="61" t="s">
        <v>13</v>
      </c>
      <c r="H267" s="61"/>
      <c r="I267" s="8"/>
      <c r="J267" s="8"/>
      <c r="K267" s="8"/>
      <c r="L267" s="9">
        <v>318</v>
      </c>
      <c r="M267" s="8"/>
    </row>
    <row r="268" spans="1:13">
      <c r="A268" s="62" t="s">
        <v>512</v>
      </c>
      <c r="B268" s="58">
        <v>24937124803</v>
      </c>
      <c r="C268" s="63"/>
      <c r="D268" s="60"/>
      <c r="E268" s="9">
        <v>1752</v>
      </c>
      <c r="F268" s="25">
        <v>43051</v>
      </c>
      <c r="G268" s="61" t="s">
        <v>13</v>
      </c>
      <c r="H268" s="61"/>
      <c r="I268" s="8"/>
      <c r="J268" s="8"/>
      <c r="K268" s="8"/>
      <c r="L268" s="9">
        <v>1759</v>
      </c>
      <c r="M268" s="8"/>
    </row>
    <row r="269" spans="1:13">
      <c r="A269" s="62" t="s">
        <v>513</v>
      </c>
      <c r="B269" s="58">
        <v>10705957802</v>
      </c>
      <c r="C269" s="63"/>
      <c r="D269" s="60"/>
      <c r="E269" s="9">
        <v>292</v>
      </c>
      <c r="F269" s="25">
        <v>43168</v>
      </c>
      <c r="G269" s="61" t="s">
        <v>13</v>
      </c>
      <c r="H269" s="61"/>
      <c r="I269" s="8"/>
      <c r="J269" s="8"/>
      <c r="K269" s="8"/>
      <c r="L269" s="9">
        <v>318</v>
      </c>
      <c r="M269" s="8"/>
    </row>
    <row r="270" spans="1:13">
      <c r="A270" s="62" t="s">
        <v>514</v>
      </c>
      <c r="B270" s="58">
        <v>11697967884</v>
      </c>
      <c r="C270" s="63"/>
      <c r="D270" s="60"/>
      <c r="E270" s="9">
        <v>573</v>
      </c>
      <c r="F270" s="25">
        <v>43224</v>
      </c>
      <c r="G270" s="61"/>
      <c r="H270" s="61"/>
      <c r="I270" s="8"/>
      <c r="J270" s="8"/>
      <c r="K270" s="8"/>
      <c r="L270" s="8"/>
      <c r="M270" s="8"/>
    </row>
    <row r="271" spans="1:13">
      <c r="A271" s="62" t="s">
        <v>515</v>
      </c>
      <c r="B271" s="58">
        <v>14780099854</v>
      </c>
      <c r="C271" s="63"/>
      <c r="D271" s="60"/>
      <c r="E271" s="9">
        <v>1489</v>
      </c>
      <c r="F271" s="25">
        <v>43038</v>
      </c>
      <c r="G271" s="61" t="s">
        <v>13</v>
      </c>
      <c r="H271" s="61"/>
      <c r="I271" s="8"/>
      <c r="J271" s="8"/>
      <c r="K271" s="8"/>
      <c r="L271" s="9" t="s">
        <v>160</v>
      </c>
      <c r="M271" s="8"/>
    </row>
    <row r="272" spans="1:13">
      <c r="A272" s="62" t="s">
        <v>516</v>
      </c>
      <c r="B272" s="58">
        <v>4788584859</v>
      </c>
      <c r="C272" s="63"/>
      <c r="D272" s="60"/>
      <c r="E272" s="9"/>
      <c r="F272" s="25"/>
      <c r="G272" s="61"/>
      <c r="H272" s="61"/>
      <c r="I272" s="8"/>
      <c r="J272" s="8"/>
      <c r="K272" s="8"/>
      <c r="L272" s="8"/>
      <c r="M272" s="8"/>
    </row>
    <row r="273" spans="1:13">
      <c r="A273" s="62" t="s">
        <v>517</v>
      </c>
      <c r="B273" s="58">
        <v>32823382879</v>
      </c>
      <c r="C273" s="63"/>
      <c r="D273" s="60"/>
      <c r="E273" s="9">
        <v>1489</v>
      </c>
      <c r="F273" s="25">
        <v>43038</v>
      </c>
      <c r="G273" s="61" t="s">
        <v>13</v>
      </c>
      <c r="H273" s="61"/>
      <c r="I273" s="8"/>
      <c r="J273" s="8"/>
      <c r="K273" s="8"/>
      <c r="L273" s="9" t="s">
        <v>160</v>
      </c>
      <c r="M273" s="8"/>
    </row>
    <row r="274" spans="1:13">
      <c r="A274" s="62" t="s">
        <v>518</v>
      </c>
      <c r="B274" s="58">
        <v>8647099869</v>
      </c>
      <c r="C274" s="63"/>
      <c r="D274" s="60"/>
      <c r="E274" s="9">
        <v>1752</v>
      </c>
      <c r="F274" s="25">
        <v>43051</v>
      </c>
      <c r="G274" s="61" t="s">
        <v>13</v>
      </c>
      <c r="H274" s="61"/>
      <c r="I274" s="8"/>
      <c r="J274" s="8"/>
      <c r="K274" s="8"/>
      <c r="L274" s="9">
        <v>1759</v>
      </c>
      <c r="M274" s="8"/>
    </row>
    <row r="275" spans="1:13">
      <c r="A275" s="63" t="s">
        <v>519</v>
      </c>
      <c r="B275" s="58">
        <v>27546228883</v>
      </c>
      <c r="C275" s="63"/>
      <c r="D275" s="60"/>
      <c r="E275" s="9"/>
      <c r="F275" s="25"/>
      <c r="G275" s="61"/>
      <c r="H275" s="61"/>
      <c r="I275" s="8"/>
      <c r="J275" s="8"/>
      <c r="K275" s="8"/>
      <c r="L275" s="8"/>
      <c r="M275" s="8"/>
    </row>
    <row r="276" spans="1:13">
      <c r="A276" s="62" t="s">
        <v>520</v>
      </c>
      <c r="B276" s="58">
        <v>37354059838</v>
      </c>
      <c r="C276" s="63"/>
      <c r="D276" s="60"/>
      <c r="E276" s="9">
        <v>810</v>
      </c>
      <c r="F276" s="25">
        <v>42915</v>
      </c>
      <c r="G276" s="61" t="s">
        <v>13</v>
      </c>
      <c r="H276" s="61"/>
      <c r="I276" s="8"/>
      <c r="J276" s="8"/>
      <c r="K276" s="8"/>
      <c r="L276" s="9" t="s">
        <v>138</v>
      </c>
      <c r="M276" s="8"/>
    </row>
    <row r="277" spans="1:13">
      <c r="A277" s="13" t="s">
        <v>521</v>
      </c>
      <c r="B277" s="58">
        <v>60319631591</v>
      </c>
      <c r="C277" s="63"/>
      <c r="D277" s="60"/>
      <c r="E277" s="9"/>
      <c r="F277" s="25"/>
      <c r="G277" s="61"/>
      <c r="H277" s="61"/>
      <c r="I277" s="8"/>
      <c r="J277" s="8"/>
      <c r="K277" s="8"/>
      <c r="L277" s="8"/>
      <c r="M277" s="8"/>
    </row>
    <row r="278" spans="1:13">
      <c r="A278" s="62" t="s">
        <v>522</v>
      </c>
      <c r="B278" s="58">
        <v>27642817819</v>
      </c>
      <c r="C278" s="63"/>
      <c r="D278" s="60"/>
      <c r="E278" s="9">
        <v>1241</v>
      </c>
      <c r="F278" s="25">
        <v>42992</v>
      </c>
      <c r="G278" s="61" t="s">
        <v>13</v>
      </c>
      <c r="H278" s="61"/>
      <c r="I278" s="8"/>
      <c r="J278" s="8"/>
      <c r="K278" s="8"/>
      <c r="L278" s="8"/>
      <c r="M278" s="8"/>
    </row>
    <row r="279" spans="1:13">
      <c r="A279" s="62" t="s">
        <v>523</v>
      </c>
      <c r="B279" s="58">
        <v>30096895861</v>
      </c>
      <c r="C279" s="63"/>
      <c r="D279" s="60"/>
      <c r="E279" s="9"/>
      <c r="F279" s="25"/>
      <c r="G279" s="61"/>
      <c r="H279" s="61"/>
      <c r="I279" s="8"/>
      <c r="J279" s="8"/>
      <c r="K279" s="8"/>
      <c r="L279" s="8"/>
      <c r="M279" s="8"/>
    </row>
    <row r="280" spans="1:13">
      <c r="A280" s="14" t="s">
        <v>524</v>
      </c>
      <c r="B280" s="58">
        <v>85580368887</v>
      </c>
      <c r="C280" s="63"/>
      <c r="D280" s="60"/>
      <c r="E280" s="9">
        <v>262</v>
      </c>
      <c r="F280" s="25">
        <v>43160</v>
      </c>
      <c r="G280" s="61" t="s">
        <v>13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63" t="s">
        <v>525</v>
      </c>
      <c r="B281" s="58">
        <v>5261128838</v>
      </c>
      <c r="C281" s="63" t="s">
        <v>526</v>
      </c>
      <c r="D281" s="60">
        <v>10082825882</v>
      </c>
      <c r="E281" s="9"/>
      <c r="F281" s="25"/>
      <c r="G281" s="61"/>
      <c r="H281" s="61"/>
      <c r="I281" s="8"/>
      <c r="J281" s="8"/>
      <c r="K281" s="8"/>
      <c r="L281" s="8"/>
      <c r="M281" s="8"/>
    </row>
    <row r="282" spans="1:13">
      <c r="A282" s="27" t="s">
        <v>527</v>
      </c>
      <c r="B282" s="58">
        <v>69929696334</v>
      </c>
      <c r="C282" s="18"/>
      <c r="D282" s="60"/>
      <c r="E282" s="9"/>
      <c r="F282" s="25"/>
      <c r="G282" s="61"/>
      <c r="H282" s="61"/>
      <c r="I282" s="8"/>
      <c r="J282" s="8"/>
      <c r="K282" s="8"/>
      <c r="L282" s="8"/>
      <c r="M282" s="8"/>
    </row>
    <row r="283" spans="1:13">
      <c r="A283" s="62" t="s">
        <v>528</v>
      </c>
      <c r="B283" s="58">
        <v>37793221885</v>
      </c>
      <c r="C283" s="63"/>
      <c r="D283" s="60"/>
      <c r="E283" s="9">
        <v>443</v>
      </c>
      <c r="F283" s="25">
        <v>43188</v>
      </c>
      <c r="G283" s="61"/>
      <c r="H283" s="61"/>
      <c r="I283" s="8"/>
      <c r="J283" s="8"/>
      <c r="K283" s="8"/>
      <c r="L283" s="8"/>
      <c r="M283" s="8"/>
    </row>
    <row r="284" spans="1:13">
      <c r="A284" s="27" t="s">
        <v>529</v>
      </c>
      <c r="B284" s="58"/>
      <c r="C284" s="27" t="s">
        <v>129</v>
      </c>
      <c r="D284" s="60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530</v>
      </c>
      <c r="B285" s="58">
        <v>87671298891</v>
      </c>
      <c r="C285" s="63"/>
      <c r="D285" s="60"/>
      <c r="E285" s="9">
        <v>262</v>
      </c>
      <c r="F285" s="25">
        <v>43160</v>
      </c>
      <c r="G285" s="61" t="s">
        <v>13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531</v>
      </c>
      <c r="B286" s="58">
        <v>60787457868</v>
      </c>
      <c r="C286" s="18"/>
      <c r="D286" s="60"/>
      <c r="E286" s="9"/>
      <c r="F286" s="25"/>
      <c r="G286" s="61"/>
      <c r="H286" s="61"/>
      <c r="I286" s="8"/>
      <c r="J286" s="8"/>
      <c r="K286" s="8"/>
      <c r="L286" s="8"/>
      <c r="M286" s="8"/>
    </row>
    <row r="287" spans="1:13">
      <c r="A287" s="62" t="s">
        <v>532</v>
      </c>
      <c r="B287" s="58">
        <v>49922300320</v>
      </c>
      <c r="C287" s="63"/>
      <c r="D287" s="60"/>
      <c r="E287" s="9">
        <v>1214</v>
      </c>
      <c r="F287" s="25">
        <v>42989</v>
      </c>
      <c r="G287" s="61" t="s">
        <v>13</v>
      </c>
      <c r="H287" s="61"/>
      <c r="I287" s="8"/>
      <c r="J287" s="8"/>
      <c r="K287" s="8"/>
      <c r="L287" s="8"/>
      <c r="M287" s="8"/>
    </row>
    <row r="288" spans="1:13">
      <c r="A288" s="15" t="s">
        <v>533</v>
      </c>
      <c r="B288" s="58">
        <v>14647582809</v>
      </c>
      <c r="C288" s="63"/>
      <c r="D288" s="60"/>
      <c r="E288" s="9">
        <v>262</v>
      </c>
      <c r="F288" s="25">
        <v>43160</v>
      </c>
      <c r="G288" s="61" t="s">
        <v>13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534</v>
      </c>
      <c r="B289" s="58">
        <v>80117694304</v>
      </c>
      <c r="C289" s="63" t="s">
        <v>535</v>
      </c>
      <c r="D289" s="60">
        <v>34557265855</v>
      </c>
      <c r="E289" s="9"/>
      <c r="F289" s="25"/>
      <c r="G289" s="61"/>
      <c r="H289" s="61"/>
      <c r="I289" s="8"/>
      <c r="J289" s="8"/>
      <c r="K289" s="8"/>
      <c r="L289" s="8"/>
      <c r="M289" s="8"/>
    </row>
    <row r="290" spans="1:13">
      <c r="A290" s="18" t="s">
        <v>536</v>
      </c>
      <c r="B290" s="58">
        <v>18531885817</v>
      </c>
      <c r="C290" s="18"/>
      <c r="D290" s="60"/>
      <c r="E290" s="9"/>
      <c r="F290" s="25"/>
      <c r="G290" s="61"/>
      <c r="H290" s="61"/>
      <c r="I290" s="8"/>
      <c r="J290" s="8"/>
      <c r="K290" s="8"/>
      <c r="L290" s="8"/>
      <c r="M290" s="8"/>
    </row>
    <row r="291" spans="1:13">
      <c r="A291" s="62" t="s">
        <v>537</v>
      </c>
      <c r="B291" s="58">
        <v>29573283808</v>
      </c>
      <c r="C291" s="63"/>
      <c r="D291" s="60"/>
      <c r="E291" s="9"/>
      <c r="F291" s="25"/>
      <c r="G291" s="61"/>
      <c r="H291" s="61"/>
      <c r="I291" s="8"/>
      <c r="J291" s="8"/>
      <c r="K291" s="8"/>
      <c r="L291" s="8"/>
      <c r="M291" s="8"/>
    </row>
    <row r="292" spans="1:13">
      <c r="A292" s="15" t="s">
        <v>538</v>
      </c>
      <c r="B292" s="58">
        <v>69227608320</v>
      </c>
      <c r="C292" s="63"/>
      <c r="D292" s="60"/>
      <c r="E292" s="9"/>
      <c r="F292" s="25"/>
      <c r="G292" s="61"/>
      <c r="H292" s="61"/>
      <c r="I292" s="8"/>
      <c r="J292" s="8"/>
      <c r="K292" s="8"/>
      <c r="L292" s="8"/>
      <c r="M292" s="8"/>
    </row>
    <row r="293" spans="1:13">
      <c r="A293" s="62" t="s">
        <v>539</v>
      </c>
      <c r="B293" s="58">
        <v>78169712734</v>
      </c>
      <c r="C293" s="8"/>
      <c r="D293" s="21"/>
      <c r="E293" s="9"/>
      <c r="F293" s="25"/>
      <c r="G293" s="61"/>
      <c r="H293" s="61"/>
      <c r="I293" s="8"/>
      <c r="J293" s="8"/>
      <c r="K293" s="8"/>
      <c r="L293" s="8"/>
      <c r="M293" s="8"/>
    </row>
    <row r="294" spans="1:13">
      <c r="A294" s="62" t="s">
        <v>540</v>
      </c>
      <c r="B294" s="58">
        <v>24560747857</v>
      </c>
      <c r="C294" s="63"/>
      <c r="D294" s="60"/>
      <c r="E294" s="9">
        <v>1106</v>
      </c>
      <c r="F294" s="25">
        <v>42965</v>
      </c>
      <c r="G294" s="61" t="s">
        <v>13</v>
      </c>
      <c r="H294" s="61"/>
      <c r="I294" s="8"/>
      <c r="J294" s="8"/>
      <c r="K294" s="8"/>
      <c r="L294" s="8"/>
      <c r="M294" s="8"/>
    </row>
    <row r="295" spans="1:13">
      <c r="A295" s="62" t="s">
        <v>541</v>
      </c>
      <c r="B295" s="58">
        <v>27654676840</v>
      </c>
      <c r="C295" s="63"/>
      <c r="D295" s="60"/>
      <c r="E295" s="9">
        <v>292</v>
      </c>
      <c r="F295" s="25">
        <v>43168</v>
      </c>
      <c r="G295" s="9" t="s">
        <v>13</v>
      </c>
      <c r="H295" s="9"/>
      <c r="I295" s="8"/>
      <c r="J295" s="8"/>
      <c r="K295" s="8"/>
      <c r="L295" s="9">
        <v>318</v>
      </c>
      <c r="M295" s="8"/>
    </row>
    <row r="296" spans="1:13">
      <c r="A296" s="62" t="s">
        <v>542</v>
      </c>
      <c r="B296" s="58">
        <v>34227913888</v>
      </c>
      <c r="C296" s="63" t="s">
        <v>543</v>
      </c>
      <c r="D296" s="60">
        <v>22306586896</v>
      </c>
      <c r="E296" s="9">
        <v>1214</v>
      </c>
      <c r="F296" s="25">
        <v>42989</v>
      </c>
      <c r="G296" s="61" t="s">
        <v>13</v>
      </c>
      <c r="H296" s="61"/>
      <c r="I296" s="8"/>
      <c r="J296" s="8"/>
      <c r="K296" s="8"/>
      <c r="L296" s="8"/>
      <c r="M296" s="8"/>
    </row>
    <row r="297" spans="1:13">
      <c r="A297" s="62" t="s">
        <v>544</v>
      </c>
      <c r="B297" s="58">
        <v>37708718805</v>
      </c>
      <c r="C297" s="63"/>
      <c r="D297" s="60"/>
      <c r="E297" s="9">
        <v>292</v>
      </c>
      <c r="F297" s="25">
        <v>43168</v>
      </c>
      <c r="G297" s="61" t="s">
        <v>13</v>
      </c>
      <c r="H297" s="61"/>
      <c r="I297" s="8"/>
      <c r="J297" s="8"/>
      <c r="K297" s="8"/>
      <c r="L297" s="9">
        <v>318</v>
      </c>
      <c r="M297" s="8"/>
    </row>
    <row r="298" spans="1:13">
      <c r="A298" s="62" t="s">
        <v>545</v>
      </c>
      <c r="B298" s="58">
        <v>32409041876</v>
      </c>
      <c r="C298" s="63"/>
      <c r="D298" s="60"/>
      <c r="E298" s="9">
        <v>1824</v>
      </c>
      <c r="F298" s="25">
        <v>43091</v>
      </c>
      <c r="G298" s="61" t="s">
        <v>20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546</v>
      </c>
      <c r="B299" s="58">
        <v>33547844827</v>
      </c>
      <c r="C299" s="63" t="s">
        <v>547</v>
      </c>
      <c r="D299" s="60">
        <v>4930259444</v>
      </c>
      <c r="E299" s="9"/>
      <c r="F299" s="25"/>
      <c r="G299" s="61"/>
      <c r="H299" s="9"/>
      <c r="I299" s="8"/>
      <c r="J299" s="8"/>
      <c r="K299" s="8"/>
      <c r="L299" s="8"/>
      <c r="M299" s="8"/>
    </row>
    <row r="300" spans="1:13">
      <c r="A300" s="27" t="s">
        <v>548</v>
      </c>
      <c r="B300" s="58"/>
      <c r="C300" s="18" t="s">
        <v>129</v>
      </c>
      <c r="D300" s="60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549</v>
      </c>
      <c r="B301" s="58">
        <v>5212801842</v>
      </c>
      <c r="C301" s="63" t="s">
        <v>550</v>
      </c>
      <c r="D301" s="60">
        <v>7101207880</v>
      </c>
      <c r="E301" s="9">
        <v>262</v>
      </c>
      <c r="F301" s="25">
        <v>43160</v>
      </c>
      <c r="G301" s="61" t="s">
        <v>13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62" t="s">
        <v>551</v>
      </c>
      <c r="B302" s="58">
        <v>33053326892</v>
      </c>
      <c r="C302" s="63"/>
      <c r="D302" s="60"/>
      <c r="E302" s="9">
        <v>810</v>
      </c>
      <c r="F302" s="25">
        <v>42915</v>
      </c>
      <c r="G302" s="61" t="s">
        <v>13</v>
      </c>
      <c r="H302" s="9"/>
      <c r="I302" s="8"/>
      <c r="J302" s="8"/>
      <c r="K302" s="8"/>
      <c r="L302" s="9" t="s">
        <v>138</v>
      </c>
      <c r="M302" s="8"/>
    </row>
    <row r="303" spans="1:13">
      <c r="A303" s="62" t="s">
        <v>552</v>
      </c>
      <c r="B303" s="58">
        <v>32259369871</v>
      </c>
      <c r="C303" s="63"/>
      <c r="D303" s="60"/>
      <c r="E303" s="9">
        <v>1106</v>
      </c>
      <c r="F303" s="25">
        <v>42965</v>
      </c>
      <c r="G303" s="61" t="s">
        <v>13</v>
      </c>
      <c r="H303" s="9"/>
      <c r="I303" s="8"/>
      <c r="J303" s="8"/>
      <c r="K303" s="8"/>
      <c r="L303" s="8"/>
      <c r="M303" s="8"/>
    </row>
    <row r="304" spans="1:13">
      <c r="A304" s="27" t="s">
        <v>553</v>
      </c>
      <c r="B304" s="58"/>
      <c r="C304" s="27" t="s">
        <v>554</v>
      </c>
      <c r="D304" s="60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555</v>
      </c>
      <c r="B305" s="58">
        <v>34427647855</v>
      </c>
      <c r="C305" s="59"/>
      <c r="D305" s="60"/>
      <c r="E305" s="9">
        <v>1128</v>
      </c>
      <c r="F305" s="25">
        <v>42972</v>
      </c>
      <c r="G305" s="61" t="s">
        <v>13</v>
      </c>
      <c r="H305" s="9"/>
      <c r="I305" s="8"/>
      <c r="J305" s="8"/>
      <c r="K305" s="8"/>
      <c r="L305" s="8"/>
      <c r="M305" s="8"/>
    </row>
    <row r="306" spans="1:13">
      <c r="A306" s="27" t="s">
        <v>556</v>
      </c>
      <c r="B306" s="58">
        <v>43257974833</v>
      </c>
      <c r="C306" s="18" t="s">
        <v>129</v>
      </c>
      <c r="D306" s="60"/>
      <c r="E306" s="9"/>
      <c r="F306" s="25"/>
      <c r="G306" s="61"/>
      <c r="H306" s="9"/>
      <c r="I306" s="8"/>
      <c r="J306" s="8"/>
      <c r="K306" s="8"/>
      <c r="L306" s="8"/>
      <c r="M306" s="8"/>
    </row>
    <row r="307" spans="1:13">
      <c r="A307" s="62" t="s">
        <v>557</v>
      </c>
      <c r="B307" s="58">
        <v>41704970822</v>
      </c>
      <c r="C307" s="63"/>
      <c r="D307" s="60"/>
      <c r="E307" s="9">
        <v>1350</v>
      </c>
      <c r="F307" s="25">
        <v>43006</v>
      </c>
      <c r="G307" s="61" t="s">
        <v>13</v>
      </c>
      <c r="H307" s="9"/>
      <c r="I307" s="8"/>
      <c r="J307" s="8"/>
      <c r="K307" s="8"/>
      <c r="L307" s="8"/>
      <c r="M307" s="8"/>
    </row>
    <row r="308" spans="1:13">
      <c r="A308" s="62" t="s">
        <v>558</v>
      </c>
      <c r="B308" s="58">
        <v>43593261812</v>
      </c>
      <c r="C308" s="63"/>
      <c r="D308" s="60"/>
      <c r="E308" s="9"/>
      <c r="F308" s="25"/>
      <c r="G308" s="61"/>
      <c r="H308" s="9"/>
      <c r="I308" s="8"/>
      <c r="J308" s="8"/>
      <c r="K308" s="8"/>
      <c r="L308" s="8"/>
      <c r="M308" s="8"/>
    </row>
    <row r="309" spans="1:13">
      <c r="A309" s="62" t="s">
        <v>559</v>
      </c>
      <c r="B309" s="58">
        <v>77718690504</v>
      </c>
      <c r="C309" s="63"/>
      <c r="D309" s="60"/>
      <c r="E309" s="9">
        <v>810</v>
      </c>
      <c r="F309" s="25">
        <v>42915</v>
      </c>
      <c r="G309" s="61" t="s">
        <v>13</v>
      </c>
      <c r="H309" s="9"/>
      <c r="I309" s="8"/>
      <c r="J309" s="8"/>
      <c r="K309" s="8"/>
      <c r="L309" s="9" t="s">
        <v>138</v>
      </c>
      <c r="M309" s="8"/>
    </row>
    <row r="310" spans="1:13">
      <c r="A310" s="13" t="s">
        <v>560</v>
      </c>
      <c r="B310" s="58">
        <v>29377700884</v>
      </c>
      <c r="C310" s="59"/>
      <c r="D310" s="60"/>
      <c r="E310" s="9">
        <v>1128</v>
      </c>
      <c r="F310" s="25">
        <v>42972</v>
      </c>
      <c r="G310" s="61" t="s">
        <v>13</v>
      </c>
      <c r="H310" s="9"/>
      <c r="I310" s="8"/>
      <c r="J310" s="8"/>
      <c r="K310" s="8"/>
      <c r="L310" s="8"/>
      <c r="M310" s="8"/>
    </row>
    <row r="311" spans="1:13">
      <c r="A311" s="63" t="s">
        <v>561</v>
      </c>
      <c r="B311" s="58">
        <v>38492510803</v>
      </c>
      <c r="C311" s="63"/>
      <c r="D311" s="60"/>
      <c r="E311" s="9">
        <v>1489</v>
      </c>
      <c r="F311" s="25">
        <v>43038</v>
      </c>
      <c r="G311" s="61" t="s">
        <v>13</v>
      </c>
      <c r="H311" s="9"/>
      <c r="I311" s="8"/>
      <c r="J311" s="8"/>
      <c r="K311" s="8"/>
      <c r="L311" s="9" t="s">
        <v>160</v>
      </c>
      <c r="M311" s="8"/>
    </row>
    <row r="312" spans="1:13">
      <c r="A312" s="18" t="s">
        <v>562</v>
      </c>
      <c r="B312" s="58">
        <v>13018186826</v>
      </c>
      <c r="C312" s="18"/>
      <c r="D312" s="60"/>
      <c r="E312" s="9"/>
      <c r="F312" s="25"/>
      <c r="G312" s="61"/>
      <c r="H312" s="9"/>
      <c r="I312" s="8"/>
      <c r="J312" s="8"/>
      <c r="K312" s="8"/>
      <c r="L312" s="8"/>
      <c r="M312" s="8"/>
    </row>
    <row r="313" spans="1:13">
      <c r="A313" s="13" t="s">
        <v>563</v>
      </c>
      <c r="B313" s="58">
        <v>32382040840</v>
      </c>
      <c r="C313" s="63"/>
      <c r="D313" s="60"/>
      <c r="E313" s="9">
        <v>1350</v>
      </c>
      <c r="F313" s="25">
        <v>43006</v>
      </c>
      <c r="G313" s="61" t="s">
        <v>13</v>
      </c>
      <c r="H313" s="9"/>
      <c r="I313" s="8"/>
      <c r="J313" s="8"/>
      <c r="K313" s="8"/>
      <c r="L313" s="8"/>
      <c r="M313" s="8"/>
    </row>
    <row r="314" spans="1:13">
      <c r="A314" s="15" t="s">
        <v>564</v>
      </c>
      <c r="B314" s="58">
        <v>56647751300</v>
      </c>
      <c r="C314" s="63" t="s">
        <v>565</v>
      </c>
      <c r="D314" s="60">
        <v>31891324888</v>
      </c>
      <c r="E314" s="9"/>
      <c r="F314" s="25"/>
      <c r="G314" s="61"/>
      <c r="H314" s="9"/>
      <c r="I314" s="8"/>
      <c r="J314" s="8"/>
      <c r="K314" s="8"/>
      <c r="L314" s="8"/>
      <c r="M314" s="8"/>
    </row>
    <row r="315" spans="1:13">
      <c r="A315" s="62" t="s">
        <v>566</v>
      </c>
      <c r="B315" s="58">
        <v>8805153842</v>
      </c>
      <c r="C315" s="63"/>
      <c r="D315" s="60"/>
      <c r="E315" s="9">
        <v>1489</v>
      </c>
      <c r="F315" s="25">
        <v>43038</v>
      </c>
      <c r="G315" s="61" t="s">
        <v>13</v>
      </c>
      <c r="H315" s="9"/>
      <c r="I315" s="8"/>
      <c r="J315" s="8"/>
      <c r="K315" s="8"/>
      <c r="L315" s="9" t="s">
        <v>160</v>
      </c>
      <c r="M315" s="8"/>
    </row>
    <row r="316" spans="1:13">
      <c r="A316" s="62" t="s">
        <v>567</v>
      </c>
      <c r="B316" s="58">
        <v>62310925500</v>
      </c>
      <c r="C316" s="63"/>
      <c r="D316" s="60"/>
      <c r="E316" s="9"/>
      <c r="F316" s="25"/>
      <c r="G316" s="61"/>
      <c r="H316" s="9"/>
      <c r="I316" s="8"/>
      <c r="J316" s="8"/>
      <c r="K316" s="8"/>
      <c r="L316" s="8"/>
      <c r="M316" s="8"/>
    </row>
    <row r="317" spans="1:13">
      <c r="A317" s="62" t="s">
        <v>568</v>
      </c>
      <c r="B317" s="58">
        <v>49391283500</v>
      </c>
      <c r="C317" s="63"/>
      <c r="D317" s="60"/>
      <c r="E317" s="9">
        <v>1824</v>
      </c>
      <c r="F317" s="25">
        <v>43091</v>
      </c>
      <c r="G317" s="61" t="s">
        <v>13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569</v>
      </c>
      <c r="B318" s="58">
        <v>42049249802</v>
      </c>
      <c r="C318" s="63" t="s">
        <v>570</v>
      </c>
      <c r="D318" s="60">
        <v>22669338844</v>
      </c>
      <c r="E318" s="9">
        <v>1267</v>
      </c>
      <c r="F318" s="25">
        <v>42998</v>
      </c>
      <c r="G318" s="61" t="s">
        <v>13</v>
      </c>
      <c r="H318" s="9"/>
      <c r="I318" s="8"/>
      <c r="J318" s="8"/>
      <c r="K318" s="8"/>
      <c r="L318" s="8"/>
      <c r="M318" s="8"/>
    </row>
    <row r="319" spans="1:13">
      <c r="A319" s="62" t="s">
        <v>571</v>
      </c>
      <c r="B319" s="58">
        <v>22127558804</v>
      </c>
      <c r="C319" s="63"/>
      <c r="D319" s="60"/>
      <c r="E319" s="9">
        <v>608</v>
      </c>
      <c r="F319" s="25">
        <v>43012</v>
      </c>
      <c r="G319" s="61" t="s">
        <v>13</v>
      </c>
      <c r="H319" s="9"/>
      <c r="I319" s="8"/>
      <c r="J319" s="8"/>
      <c r="K319" s="8"/>
      <c r="L319" s="8"/>
      <c r="M319" s="8"/>
    </row>
    <row r="320" spans="1:13">
      <c r="A320" s="14" t="s">
        <v>572</v>
      </c>
      <c r="B320" s="58">
        <v>1863847502</v>
      </c>
      <c r="C320" s="63" t="s">
        <v>573</v>
      </c>
      <c r="D320" s="60">
        <v>1636882579</v>
      </c>
      <c r="E320" s="9">
        <v>292</v>
      </c>
      <c r="F320" s="25">
        <v>43168</v>
      </c>
      <c r="G320" s="61" t="s">
        <v>13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574</v>
      </c>
      <c r="B321" s="58">
        <v>24759459820</v>
      </c>
      <c r="C321" s="18" t="s">
        <v>575</v>
      </c>
      <c r="D321" s="60">
        <v>6107032851</v>
      </c>
      <c r="E321" s="9"/>
      <c r="F321" s="25"/>
      <c r="G321" s="61"/>
      <c r="H321" s="9"/>
      <c r="I321" s="8"/>
      <c r="J321" s="8"/>
      <c r="K321" s="8"/>
      <c r="L321" s="8"/>
      <c r="M321" s="8"/>
    </row>
    <row r="322" spans="1:13">
      <c r="A322" s="62" t="s">
        <v>576</v>
      </c>
      <c r="B322" s="58">
        <v>67332404591</v>
      </c>
      <c r="C322" s="63"/>
      <c r="D322" s="60"/>
      <c r="E322" s="9">
        <v>1555</v>
      </c>
      <c r="F322" s="25">
        <v>43049</v>
      </c>
      <c r="G322" s="61" t="s">
        <v>13</v>
      </c>
      <c r="H322" s="9"/>
      <c r="I322" s="8"/>
      <c r="J322" s="8"/>
      <c r="K322" s="8"/>
      <c r="L322" s="9" t="s">
        <v>398</v>
      </c>
      <c r="M322" s="8"/>
    </row>
    <row r="323" spans="1:13">
      <c r="A323" s="27" t="s">
        <v>577</v>
      </c>
      <c r="B323" s="58"/>
      <c r="C323" s="18" t="s">
        <v>129</v>
      </c>
      <c r="D323" s="60"/>
      <c r="E323" s="9"/>
      <c r="F323" s="25"/>
      <c r="G323" s="61"/>
      <c r="H323" s="9"/>
      <c r="I323" s="8"/>
      <c r="J323" s="8"/>
      <c r="K323" s="8"/>
      <c r="L323" s="8"/>
      <c r="M323" s="8"/>
    </row>
    <row r="324" spans="1:13">
      <c r="A324" s="13" t="s">
        <v>578</v>
      </c>
      <c r="B324" s="58">
        <v>82789193487</v>
      </c>
      <c r="C324" s="59"/>
      <c r="D324" s="60"/>
      <c r="E324" s="9">
        <v>1241</v>
      </c>
      <c r="F324" s="25">
        <v>42992</v>
      </c>
      <c r="G324" s="61" t="s">
        <v>13</v>
      </c>
      <c r="H324" s="9"/>
      <c r="I324" s="8"/>
      <c r="J324" s="8"/>
      <c r="K324" s="8"/>
      <c r="L324" s="8"/>
      <c r="M324" s="8"/>
    </row>
    <row r="325" spans="1:13">
      <c r="A325" s="62" t="s">
        <v>579</v>
      </c>
      <c r="B325" s="58">
        <v>5946203734</v>
      </c>
      <c r="C325" s="64"/>
      <c r="D325" s="60"/>
      <c r="E325" s="9"/>
      <c r="F325" s="25"/>
      <c r="G325" s="61"/>
      <c r="H325" s="9"/>
      <c r="I325" s="8"/>
      <c r="J325" s="8"/>
      <c r="K325" s="8"/>
      <c r="L325" s="8"/>
      <c r="M325" s="8"/>
    </row>
    <row r="326" spans="1:13">
      <c r="A326" s="62" t="s">
        <v>580</v>
      </c>
      <c r="B326" s="58">
        <v>21563505827</v>
      </c>
      <c r="C326" s="63"/>
      <c r="D326" s="60"/>
      <c r="E326" s="9">
        <v>292</v>
      </c>
      <c r="F326" s="25">
        <v>43168</v>
      </c>
      <c r="G326" s="9" t="s">
        <v>13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581</v>
      </c>
      <c r="B327" s="58">
        <v>9004484825</v>
      </c>
      <c r="C327" s="63"/>
      <c r="D327" s="60"/>
      <c r="E327" s="9"/>
      <c r="F327" s="25"/>
      <c r="G327" s="61"/>
      <c r="H327" s="9"/>
      <c r="I327" s="8"/>
      <c r="J327" s="8"/>
      <c r="K327" s="8"/>
      <c r="L327" s="8"/>
      <c r="M327" s="8"/>
    </row>
    <row r="328" spans="1:13">
      <c r="A328" s="15" t="s">
        <v>582</v>
      </c>
      <c r="B328" s="58">
        <v>9744508477</v>
      </c>
      <c r="C328" s="63"/>
      <c r="D328" s="60"/>
      <c r="E328" s="9">
        <v>573</v>
      </c>
      <c r="F328" s="25">
        <v>43224</v>
      </c>
      <c r="G328" s="61"/>
      <c r="H328" s="9"/>
      <c r="I328" s="8"/>
      <c r="J328" s="8"/>
      <c r="K328" s="8"/>
      <c r="L328" s="8"/>
      <c r="M328" s="8"/>
    </row>
    <row r="329" spans="1:13">
      <c r="A329" s="62" t="s">
        <v>583</v>
      </c>
      <c r="B329" s="58">
        <v>46287051515</v>
      </c>
      <c r="C329" s="63"/>
      <c r="D329" s="60"/>
      <c r="E329" s="9">
        <v>1106</v>
      </c>
      <c r="F329" s="25">
        <v>42965</v>
      </c>
      <c r="G329" s="61" t="s">
        <v>13</v>
      </c>
      <c r="H329" s="9"/>
      <c r="I329" s="8"/>
      <c r="J329" s="8"/>
      <c r="K329" s="8"/>
      <c r="L329" s="8"/>
      <c r="M329" s="8"/>
    </row>
    <row r="330" spans="1:13">
      <c r="A330" s="62" t="s">
        <v>584</v>
      </c>
      <c r="B330" s="58">
        <v>3584881846</v>
      </c>
      <c r="C330" s="63"/>
      <c r="D330" s="60"/>
      <c r="E330" s="9">
        <v>292</v>
      </c>
      <c r="F330" s="25">
        <v>43168</v>
      </c>
      <c r="G330" s="61" t="s">
        <v>13</v>
      </c>
      <c r="H330" s="9"/>
      <c r="I330" s="8"/>
      <c r="J330" s="8"/>
      <c r="K330" s="8"/>
      <c r="L330" s="9">
        <v>318</v>
      </c>
      <c r="M330" s="8"/>
    </row>
    <row r="331" spans="1:13">
      <c r="A331" s="28" t="s">
        <v>585</v>
      </c>
      <c r="B331" s="58">
        <v>47964283804</v>
      </c>
      <c r="C331" s="63"/>
      <c r="D331" s="60"/>
      <c r="E331" s="9">
        <v>1350</v>
      </c>
      <c r="F331" s="25">
        <v>43006</v>
      </c>
      <c r="G331" s="61" t="s">
        <v>13</v>
      </c>
      <c r="H331" s="9"/>
      <c r="I331" s="8"/>
      <c r="J331" s="8"/>
      <c r="K331" s="8"/>
      <c r="L331" s="8"/>
      <c r="M331" s="8"/>
    </row>
    <row r="332" spans="1:13">
      <c r="A332" s="62" t="s">
        <v>586</v>
      </c>
      <c r="B332" s="58">
        <v>43830821816</v>
      </c>
      <c r="C332" s="63" t="s">
        <v>587</v>
      </c>
      <c r="D332" s="60">
        <v>6074977429</v>
      </c>
      <c r="E332" s="9">
        <v>443</v>
      </c>
      <c r="F332" s="25">
        <v>43188</v>
      </c>
      <c r="G332" s="61"/>
      <c r="H332" s="9"/>
      <c r="I332" s="8"/>
      <c r="J332" s="8"/>
      <c r="K332" s="8"/>
      <c r="L332" s="8"/>
      <c r="M332" s="8"/>
    </row>
    <row r="333" spans="1:13">
      <c r="A333" s="15" t="s">
        <v>588</v>
      </c>
      <c r="B333" s="58">
        <v>37696346830</v>
      </c>
      <c r="C333" s="63"/>
      <c r="D333" s="60"/>
      <c r="E333" s="9">
        <v>85</v>
      </c>
      <c r="F333" s="25">
        <v>43109</v>
      </c>
      <c r="G333" s="61" t="s">
        <v>28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589</v>
      </c>
      <c r="B334" s="58">
        <v>37645683805</v>
      </c>
      <c r="C334" s="59"/>
      <c r="D334" s="60"/>
      <c r="E334" s="9"/>
      <c r="F334" s="25"/>
      <c r="G334" s="61"/>
      <c r="H334" s="9"/>
      <c r="I334" s="8"/>
      <c r="J334" s="8"/>
      <c r="K334" s="8"/>
      <c r="L334" s="8"/>
      <c r="M334" s="8"/>
    </row>
    <row r="335" spans="1:13">
      <c r="A335" s="62" t="s">
        <v>590</v>
      </c>
      <c r="B335" s="58">
        <v>26501719879</v>
      </c>
      <c r="C335" s="66" t="s">
        <v>591</v>
      </c>
      <c r="D335" s="60">
        <v>26502973876</v>
      </c>
      <c r="E335" s="9">
        <v>1106</v>
      </c>
      <c r="F335" s="25">
        <v>42965</v>
      </c>
      <c r="G335" s="61" t="s">
        <v>13</v>
      </c>
      <c r="H335" s="9"/>
      <c r="I335" s="8"/>
      <c r="J335" s="8"/>
      <c r="K335" s="8"/>
      <c r="L335" s="8"/>
      <c r="M335" s="8"/>
    </row>
    <row r="336" spans="1:13">
      <c r="A336" s="13" t="s">
        <v>592</v>
      </c>
      <c r="B336" s="58">
        <v>38869624587</v>
      </c>
      <c r="C336" s="59"/>
      <c r="D336" s="60"/>
      <c r="E336" s="9">
        <v>1214</v>
      </c>
      <c r="F336" s="25">
        <v>42989</v>
      </c>
      <c r="G336" s="61" t="s">
        <v>13</v>
      </c>
      <c r="H336" s="9"/>
      <c r="I336" s="8"/>
      <c r="J336" s="8"/>
      <c r="K336" s="8"/>
      <c r="L336" s="8"/>
      <c r="M336" s="8"/>
    </row>
    <row r="337" spans="1:13">
      <c r="A337" s="14" t="s">
        <v>593</v>
      </c>
      <c r="B337" s="58">
        <v>18311318549</v>
      </c>
      <c r="C337" s="63"/>
      <c r="D337" s="60"/>
      <c r="E337" s="9"/>
      <c r="F337" s="25"/>
      <c r="G337" s="61"/>
      <c r="H337" s="9"/>
      <c r="I337" s="8"/>
      <c r="J337" s="8"/>
      <c r="K337" s="8"/>
      <c r="L337" s="8"/>
      <c r="M337" s="8"/>
    </row>
    <row r="338" spans="1:13">
      <c r="A338" s="62" t="s">
        <v>594</v>
      </c>
      <c r="B338" s="58">
        <v>88407004472</v>
      </c>
      <c r="C338" s="63"/>
      <c r="D338" s="60"/>
      <c r="E338" s="9">
        <v>1214</v>
      </c>
      <c r="F338" s="25">
        <v>42989</v>
      </c>
      <c r="G338" s="61" t="s">
        <v>13</v>
      </c>
      <c r="H338" s="9"/>
      <c r="I338" s="8"/>
      <c r="J338" s="8"/>
      <c r="K338" s="8"/>
      <c r="L338" s="8"/>
      <c r="M338" s="8"/>
    </row>
    <row r="339" spans="1:13">
      <c r="A339" s="62" t="s">
        <v>595</v>
      </c>
      <c r="B339" s="58">
        <v>12523530813</v>
      </c>
      <c r="C339" s="63"/>
      <c r="D339" s="60"/>
      <c r="E339" s="9"/>
      <c r="F339" s="25"/>
      <c r="G339" s="61"/>
      <c r="H339" s="9"/>
      <c r="I339" s="8"/>
      <c r="J339" s="8"/>
      <c r="K339" s="8"/>
      <c r="L339" s="8"/>
      <c r="M339" s="8"/>
    </row>
    <row r="340" spans="1:13">
      <c r="A340" s="62" t="s">
        <v>596</v>
      </c>
      <c r="B340" s="58">
        <v>17509878802</v>
      </c>
      <c r="C340" s="63"/>
      <c r="D340" s="60"/>
      <c r="E340" s="9"/>
      <c r="F340" s="25"/>
      <c r="G340" s="61"/>
      <c r="H340" s="9"/>
      <c r="I340" s="8"/>
      <c r="J340" s="8"/>
      <c r="K340" s="8"/>
      <c r="L340" s="8"/>
      <c r="M340" s="8"/>
    </row>
    <row r="341" spans="1:13">
      <c r="A341" s="62" t="s">
        <v>597</v>
      </c>
      <c r="B341" s="58">
        <v>33603802829</v>
      </c>
      <c r="C341" s="63" t="s">
        <v>598</v>
      </c>
      <c r="D341" s="60">
        <v>26302620813</v>
      </c>
      <c r="E341" s="9">
        <v>1262</v>
      </c>
      <c r="F341" s="25">
        <v>42997</v>
      </c>
      <c r="G341" s="61" t="s">
        <v>13</v>
      </c>
      <c r="H341" s="9"/>
      <c r="I341" s="8"/>
      <c r="J341" s="8"/>
      <c r="K341" s="8"/>
      <c r="L341" s="8"/>
      <c r="M341" s="8"/>
    </row>
    <row r="342" spans="1:13">
      <c r="A342" s="13" t="s">
        <v>599</v>
      </c>
      <c r="B342" s="58">
        <v>23802013824</v>
      </c>
      <c r="C342" s="63" t="s">
        <v>600</v>
      </c>
      <c r="D342" s="60">
        <v>23099249890</v>
      </c>
      <c r="E342" s="9">
        <v>1489</v>
      </c>
      <c r="F342" s="25">
        <v>43038</v>
      </c>
      <c r="G342" s="61" t="s">
        <v>13</v>
      </c>
      <c r="H342" s="9"/>
      <c r="I342" s="8"/>
      <c r="J342" s="8"/>
      <c r="K342" s="8"/>
      <c r="L342" s="9" t="s">
        <v>160</v>
      </c>
      <c r="M342" s="8"/>
    </row>
    <row r="343" spans="1:13">
      <c r="A343" s="62" t="s">
        <v>601</v>
      </c>
      <c r="B343" s="58">
        <v>37189059814</v>
      </c>
      <c r="C343" s="68"/>
      <c r="D343" s="60"/>
      <c r="E343" s="9"/>
      <c r="F343" s="25"/>
      <c r="G343" s="61"/>
      <c r="H343" s="9"/>
      <c r="I343" s="8"/>
      <c r="J343" s="8"/>
      <c r="K343" s="8"/>
      <c r="L343" s="8"/>
      <c r="M343" s="8"/>
    </row>
    <row r="344" spans="1:13">
      <c r="A344" s="62" t="s">
        <v>602</v>
      </c>
      <c r="B344" s="58">
        <v>39348497847</v>
      </c>
      <c r="C344" s="63" t="s">
        <v>603</v>
      </c>
      <c r="D344" s="60">
        <v>42681401828</v>
      </c>
      <c r="E344" s="9"/>
      <c r="F344" s="25"/>
      <c r="G344" s="61"/>
      <c r="H344" s="9"/>
      <c r="I344" s="8"/>
      <c r="J344" s="8"/>
      <c r="K344" s="8"/>
      <c r="L344" s="8"/>
      <c r="M344" s="8"/>
    </row>
    <row r="345" spans="1:13">
      <c r="A345" s="63" t="s">
        <v>604</v>
      </c>
      <c r="B345" s="58">
        <v>35976924867</v>
      </c>
      <c r="C345" s="63"/>
      <c r="D345" s="60"/>
      <c r="E345" s="9">
        <v>1489</v>
      </c>
      <c r="F345" s="25">
        <v>43038</v>
      </c>
      <c r="G345" s="61" t="s">
        <v>13</v>
      </c>
      <c r="H345" s="9"/>
      <c r="I345" s="8"/>
      <c r="J345" s="8"/>
      <c r="K345" s="8"/>
      <c r="L345" s="9" t="s">
        <v>160</v>
      </c>
      <c r="M345" s="8"/>
    </row>
    <row r="346" spans="1:13">
      <c r="A346" s="62" t="s">
        <v>605</v>
      </c>
      <c r="B346" s="58">
        <v>46102945832</v>
      </c>
      <c r="C346" s="63" t="s">
        <v>606</v>
      </c>
      <c r="D346" s="60">
        <v>48110319890</v>
      </c>
      <c r="E346" s="9">
        <v>262</v>
      </c>
      <c r="F346" s="25">
        <v>43160</v>
      </c>
      <c r="G346" s="61" t="s">
        <v>13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62" t="s">
        <v>607</v>
      </c>
      <c r="B347" s="58">
        <v>30499987845</v>
      </c>
      <c r="C347" s="63"/>
      <c r="D347" s="60"/>
      <c r="E347" s="9">
        <v>1106</v>
      </c>
      <c r="F347" s="25">
        <v>42965</v>
      </c>
      <c r="G347" s="61" t="s">
        <v>13</v>
      </c>
      <c r="H347" s="9"/>
      <c r="I347" s="8"/>
      <c r="J347" s="8"/>
      <c r="K347" s="8"/>
      <c r="L347" s="8"/>
      <c r="M347" s="8"/>
    </row>
    <row r="348" spans="1:13">
      <c r="A348" s="62" t="s">
        <v>608</v>
      </c>
      <c r="B348" s="58">
        <v>94623953572</v>
      </c>
      <c r="C348" s="63"/>
      <c r="D348" s="60"/>
      <c r="E348" s="9"/>
      <c r="F348" s="25"/>
      <c r="G348" s="61"/>
      <c r="H348" s="9"/>
      <c r="I348" s="8"/>
      <c r="J348" s="8"/>
      <c r="K348" s="8"/>
      <c r="L348" s="8"/>
      <c r="M348" s="8"/>
    </row>
    <row r="349" spans="1:13">
      <c r="A349" s="62" t="s">
        <v>609</v>
      </c>
      <c r="B349" s="58">
        <v>45679496844</v>
      </c>
      <c r="C349" s="63"/>
      <c r="D349" s="60"/>
      <c r="E349" s="9">
        <v>229</v>
      </c>
      <c r="F349" s="25">
        <v>43151</v>
      </c>
      <c r="G349" s="61" t="s">
        <v>28</v>
      </c>
      <c r="H349" s="9"/>
      <c r="I349" s="8"/>
      <c r="J349" s="8"/>
      <c r="K349" s="8"/>
      <c r="L349" s="9">
        <v>232</v>
      </c>
      <c r="M349" s="8"/>
    </row>
    <row r="350" spans="1:13">
      <c r="A350" s="62" t="s">
        <v>610</v>
      </c>
      <c r="B350" s="58">
        <v>37396947855</v>
      </c>
      <c r="C350" s="63"/>
      <c r="D350" s="60"/>
      <c r="E350" s="9">
        <v>292</v>
      </c>
      <c r="F350" s="25">
        <v>43168</v>
      </c>
      <c r="G350" s="61" t="s">
        <v>13</v>
      </c>
      <c r="H350" s="9"/>
      <c r="I350" s="8"/>
      <c r="J350" s="8"/>
      <c r="K350" s="8"/>
      <c r="L350" s="9">
        <v>318</v>
      </c>
      <c r="M350" s="8"/>
    </row>
    <row r="351" spans="1:13">
      <c r="A351" s="63" t="s">
        <v>611</v>
      </c>
      <c r="B351" s="58">
        <v>46605291859</v>
      </c>
      <c r="C351" s="63"/>
      <c r="D351" s="60"/>
      <c r="E351" s="9"/>
      <c r="F351" s="25"/>
      <c r="G351" s="61"/>
      <c r="H351" s="9"/>
      <c r="I351" s="8"/>
      <c r="J351" s="8"/>
      <c r="K351" s="8"/>
      <c r="L351" s="8"/>
      <c r="M351" s="8"/>
    </row>
    <row r="352" spans="1:13">
      <c r="A352" s="13" t="s">
        <v>612</v>
      </c>
      <c r="B352" s="58">
        <v>45468863812</v>
      </c>
      <c r="C352" s="63"/>
      <c r="D352" s="60"/>
      <c r="E352" s="9">
        <v>1350</v>
      </c>
      <c r="F352" s="25">
        <v>43006</v>
      </c>
      <c r="G352" s="61" t="s">
        <v>13</v>
      </c>
      <c r="H352" s="9"/>
      <c r="I352" s="8"/>
      <c r="J352" s="8"/>
      <c r="K352" s="8"/>
      <c r="L352" s="8"/>
      <c r="M352" s="8"/>
    </row>
    <row r="353" spans="1:13">
      <c r="A353" s="13" t="s">
        <v>613</v>
      </c>
      <c r="B353" s="58">
        <v>23263173863</v>
      </c>
      <c r="C353" s="63"/>
      <c r="D353" s="60"/>
      <c r="E353" s="9">
        <v>1417</v>
      </c>
      <c r="F353" s="25">
        <v>43017</v>
      </c>
      <c r="G353" s="61" t="s">
        <v>13</v>
      </c>
      <c r="H353" s="9"/>
      <c r="I353" s="8"/>
      <c r="J353" s="8"/>
      <c r="K353" s="8"/>
      <c r="L353" s="9" t="s">
        <v>253</v>
      </c>
      <c r="M353" s="8"/>
    </row>
    <row r="354" spans="1:13">
      <c r="A354" s="15" t="s">
        <v>614</v>
      </c>
      <c r="B354" s="58">
        <v>37738978805</v>
      </c>
      <c r="C354" s="15" t="s">
        <v>615</v>
      </c>
      <c r="D354" s="60">
        <v>47388546820</v>
      </c>
      <c r="E354" s="9"/>
      <c r="F354" s="25"/>
      <c r="G354" s="61"/>
      <c r="H354" s="9"/>
      <c r="I354" s="8"/>
      <c r="J354" s="8"/>
      <c r="K354" s="8"/>
      <c r="L354" s="8"/>
      <c r="M354" s="8"/>
    </row>
    <row r="355" spans="1:13">
      <c r="A355" s="62" t="s">
        <v>616</v>
      </c>
      <c r="B355" s="58">
        <v>38525803820</v>
      </c>
      <c r="C355" s="63"/>
      <c r="D355" s="60"/>
      <c r="E355" s="9"/>
      <c r="F355" s="25"/>
      <c r="G355" s="61"/>
      <c r="H355" s="9"/>
      <c r="I355" s="8"/>
      <c r="J355" s="8"/>
      <c r="K355" s="8"/>
      <c r="L355" s="8"/>
      <c r="M355" s="8"/>
    </row>
    <row r="356" spans="1:13">
      <c r="A356" s="15" t="s">
        <v>617</v>
      </c>
      <c r="B356" s="58">
        <v>37004595803</v>
      </c>
      <c r="C356" s="63"/>
      <c r="D356" s="60"/>
      <c r="E356" s="9"/>
      <c r="F356" s="25"/>
      <c r="G356" s="61"/>
      <c r="H356" s="9"/>
      <c r="I356" s="8"/>
      <c r="J356" s="8"/>
      <c r="K356" s="8"/>
      <c r="L356" s="8"/>
      <c r="M356" s="8"/>
    </row>
    <row r="357" spans="1:13">
      <c r="A357" s="14" t="s">
        <v>618</v>
      </c>
      <c r="B357" s="58">
        <v>37439665813</v>
      </c>
      <c r="C357" s="63" t="s">
        <v>619</v>
      </c>
      <c r="D357" s="60">
        <v>29005069805</v>
      </c>
      <c r="E357" s="9">
        <v>563</v>
      </c>
      <c r="F357" s="25">
        <v>43217</v>
      </c>
      <c r="G357" s="61"/>
      <c r="H357" s="9"/>
      <c r="I357" s="8"/>
      <c r="J357" s="8"/>
      <c r="K357" s="8"/>
      <c r="L357" s="9" t="s">
        <v>299</v>
      </c>
      <c r="M357" s="8"/>
    </row>
    <row r="358" spans="1:13">
      <c r="A358" s="15" t="s">
        <v>620</v>
      </c>
      <c r="B358" s="58">
        <v>4658881519</v>
      </c>
      <c r="C358" s="63"/>
      <c r="D358" s="60"/>
      <c r="E358" s="9"/>
      <c r="F358" s="25"/>
      <c r="G358" s="61"/>
      <c r="H358" s="9"/>
      <c r="I358" s="8"/>
      <c r="J358" s="8"/>
      <c r="K358" s="8"/>
      <c r="L358" s="8"/>
      <c r="M358" s="8"/>
    </row>
    <row r="359" spans="1:13">
      <c r="A359" s="14" t="s">
        <v>621</v>
      </c>
      <c r="B359" s="58">
        <v>40141684844</v>
      </c>
      <c r="C359" s="63"/>
      <c r="D359" s="60"/>
      <c r="E359" s="9"/>
      <c r="F359" s="25"/>
      <c r="G359" s="61"/>
      <c r="H359" s="9"/>
      <c r="I359" s="8"/>
      <c r="J359" s="8"/>
      <c r="K359" s="8"/>
      <c r="L359" s="8"/>
      <c r="M359" s="8"/>
    </row>
    <row r="360" spans="1:13">
      <c r="A360" s="13" t="s">
        <v>622</v>
      </c>
      <c r="B360" s="58">
        <v>8882122409</v>
      </c>
      <c r="C360" s="63"/>
      <c r="D360" s="60"/>
      <c r="E360" s="9">
        <v>1439</v>
      </c>
      <c r="F360" s="25">
        <v>43025</v>
      </c>
      <c r="G360" s="61" t="s">
        <v>13</v>
      </c>
      <c r="H360" s="9"/>
      <c r="I360" s="8"/>
      <c r="J360" s="8"/>
      <c r="K360" s="8"/>
      <c r="L360" s="9" t="s">
        <v>502</v>
      </c>
      <c r="M360" s="8"/>
    </row>
    <row r="361" spans="1:13">
      <c r="A361" s="15" t="s">
        <v>623</v>
      </c>
      <c r="B361" s="58">
        <v>45131488885</v>
      </c>
      <c r="C361" s="63"/>
      <c r="D361" s="60"/>
      <c r="E361" s="9"/>
      <c r="F361" s="25"/>
      <c r="G361" s="61"/>
      <c r="H361" s="9"/>
      <c r="I361" s="8"/>
      <c r="J361" s="8"/>
      <c r="K361" s="8"/>
      <c r="L361" s="8"/>
      <c r="M361" s="8"/>
    </row>
    <row r="362" spans="1:13">
      <c r="A362" s="14" t="s">
        <v>624</v>
      </c>
      <c r="B362" s="58">
        <v>39263170860</v>
      </c>
      <c r="C362" s="63" t="s">
        <v>625</v>
      </c>
      <c r="D362" s="60">
        <v>40387317821</v>
      </c>
      <c r="E362" s="9"/>
      <c r="F362" s="25"/>
      <c r="G362" s="61"/>
      <c r="H362" s="9"/>
      <c r="I362" s="8"/>
      <c r="J362" s="8"/>
      <c r="K362" s="8"/>
      <c r="L362" s="8"/>
      <c r="M362" s="8"/>
    </row>
    <row r="363" spans="1:13">
      <c r="A363" s="62" t="s">
        <v>626</v>
      </c>
      <c r="B363" s="58">
        <v>17803665829</v>
      </c>
      <c r="C363" s="63" t="s">
        <v>627</v>
      </c>
      <c r="D363" s="60">
        <v>26130659822</v>
      </c>
      <c r="E363" s="9"/>
      <c r="F363" s="25"/>
      <c r="G363" s="61"/>
      <c r="H363" s="9"/>
      <c r="I363" s="8"/>
      <c r="J363" s="8"/>
      <c r="K363" s="8"/>
      <c r="L363" s="8"/>
      <c r="M363" s="8"/>
    </row>
    <row r="364" spans="1:13">
      <c r="A364" s="62" t="s">
        <v>628</v>
      </c>
      <c r="B364" s="58">
        <v>39996489884</v>
      </c>
      <c r="C364" s="63" t="s">
        <v>629</v>
      </c>
      <c r="D364" s="60">
        <v>1225037409</v>
      </c>
      <c r="E364" s="9"/>
      <c r="F364" s="25"/>
      <c r="G364" s="61"/>
      <c r="H364" s="9"/>
      <c r="I364" s="8"/>
      <c r="J364" s="8"/>
      <c r="K364" s="8"/>
      <c r="L364" s="8"/>
      <c r="M364" s="8"/>
    </row>
    <row r="365" spans="1:13">
      <c r="A365" s="15" t="s">
        <v>630</v>
      </c>
      <c r="B365" s="58">
        <v>45117049888</v>
      </c>
      <c r="C365" s="63"/>
      <c r="D365" s="60"/>
      <c r="E365" s="9">
        <v>85</v>
      </c>
      <c r="F365" s="25">
        <v>43109</v>
      </c>
      <c r="G365" s="61" t="s">
        <v>13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631</v>
      </c>
      <c r="B366" s="58">
        <v>36210371876</v>
      </c>
      <c r="C366" s="63" t="s">
        <v>632</v>
      </c>
      <c r="D366" s="60">
        <v>32340716837</v>
      </c>
      <c r="E366" s="9">
        <v>229</v>
      </c>
      <c r="F366" s="25">
        <v>43151</v>
      </c>
      <c r="G366" s="61" t="s">
        <v>13</v>
      </c>
      <c r="H366" s="9"/>
      <c r="I366" s="8"/>
      <c r="J366" s="8"/>
      <c r="K366" s="8"/>
      <c r="L366" s="9">
        <v>232</v>
      </c>
      <c r="M366" s="8"/>
    </row>
    <row r="367" spans="1:13">
      <c r="A367" s="64" t="s">
        <v>633</v>
      </c>
      <c r="B367" s="58">
        <v>42016007850</v>
      </c>
      <c r="C367" s="63" t="s">
        <v>634</v>
      </c>
      <c r="D367" s="60">
        <v>35228090843</v>
      </c>
      <c r="E367" s="9">
        <v>810</v>
      </c>
      <c r="F367" s="25">
        <v>42915</v>
      </c>
      <c r="G367" s="61" t="s">
        <v>13</v>
      </c>
      <c r="H367" s="9"/>
      <c r="I367" s="8"/>
      <c r="J367" s="8"/>
      <c r="K367" s="8"/>
      <c r="L367" s="9" t="s">
        <v>138</v>
      </c>
      <c r="M367" s="8"/>
    </row>
    <row r="368" spans="1:13">
      <c r="A368" s="14" t="s">
        <v>635</v>
      </c>
      <c r="B368" s="58">
        <v>43462687816</v>
      </c>
      <c r="C368" s="63"/>
      <c r="D368" s="60"/>
      <c r="E368" s="9">
        <v>292</v>
      </c>
      <c r="F368" s="25">
        <v>43168</v>
      </c>
      <c r="G368" s="61" t="s">
        <v>13</v>
      </c>
      <c r="H368" s="9"/>
      <c r="I368" s="8"/>
      <c r="J368" s="8"/>
      <c r="K368" s="8"/>
      <c r="L368" s="9">
        <v>318</v>
      </c>
      <c r="M368" s="8"/>
    </row>
    <row r="369" spans="1:13">
      <c r="A369" s="62" t="s">
        <v>636</v>
      </c>
      <c r="B369" s="58">
        <v>37694927810</v>
      </c>
      <c r="C369" s="63"/>
      <c r="D369" s="60"/>
      <c r="E369" s="9">
        <v>1752</v>
      </c>
      <c r="F369" s="25">
        <v>43051</v>
      </c>
      <c r="G369" s="61" t="s">
        <v>13</v>
      </c>
      <c r="H369" s="9"/>
      <c r="I369" s="8"/>
      <c r="J369" s="8"/>
      <c r="K369" s="8"/>
      <c r="L369" s="9">
        <v>1759</v>
      </c>
      <c r="M369" s="8"/>
    </row>
    <row r="370" spans="1:13">
      <c r="A370" s="62" t="s">
        <v>637</v>
      </c>
      <c r="B370" s="58">
        <v>41761778889</v>
      </c>
      <c r="C370" s="63"/>
      <c r="D370" s="60"/>
      <c r="E370" s="9">
        <v>292</v>
      </c>
      <c r="F370" s="25">
        <v>43168</v>
      </c>
      <c r="G370" s="61" t="s">
        <v>13</v>
      </c>
      <c r="H370" s="9"/>
      <c r="I370" s="8"/>
      <c r="J370" s="8"/>
      <c r="K370" s="8"/>
      <c r="L370" s="9">
        <v>318</v>
      </c>
      <c r="M370" s="8"/>
    </row>
    <row r="371" spans="1:13">
      <c r="A371" s="27" t="s">
        <v>638</v>
      </c>
      <c r="B371" s="58">
        <v>34350558802</v>
      </c>
      <c r="C371" s="18" t="s">
        <v>639</v>
      </c>
      <c r="D371" s="60">
        <v>33984523882</v>
      </c>
      <c r="E371" s="9"/>
      <c r="F371" s="25"/>
      <c r="G371" s="61"/>
      <c r="H371" s="9"/>
      <c r="I371" s="8"/>
      <c r="J371" s="8"/>
      <c r="K371" s="8"/>
      <c r="L371" s="8"/>
      <c r="M371" s="8"/>
    </row>
    <row r="372" spans="1:13">
      <c r="A372" s="62" t="s">
        <v>640</v>
      </c>
      <c r="B372" s="58">
        <v>41502336839</v>
      </c>
      <c r="C372" s="68" t="s">
        <v>641</v>
      </c>
      <c r="D372" s="60">
        <v>42175616878</v>
      </c>
      <c r="E372" s="9"/>
      <c r="F372" s="25"/>
      <c r="G372" s="61"/>
      <c r="H372" s="9"/>
      <c r="I372" s="8"/>
      <c r="J372" s="8"/>
      <c r="K372" s="8"/>
      <c r="L372" s="8"/>
      <c r="M372" s="8"/>
    </row>
    <row r="373" spans="1:13">
      <c r="A373" s="14" t="s">
        <v>642</v>
      </c>
      <c r="B373" s="58">
        <v>38156943880</v>
      </c>
      <c r="C373" s="63" t="s">
        <v>643</v>
      </c>
      <c r="D373" s="60">
        <v>35830934884</v>
      </c>
      <c r="E373" s="9">
        <v>262</v>
      </c>
      <c r="F373" s="25">
        <v>43160</v>
      </c>
      <c r="G373" s="61" t="s">
        <v>13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62" t="s">
        <v>644</v>
      </c>
      <c r="B374" s="58">
        <v>41261444809</v>
      </c>
      <c r="C374" s="63"/>
      <c r="D374" s="60"/>
      <c r="E374" s="9">
        <v>810</v>
      </c>
      <c r="F374" s="25">
        <v>42915</v>
      </c>
      <c r="G374" s="61" t="s">
        <v>13</v>
      </c>
      <c r="H374" s="9"/>
      <c r="I374" s="8"/>
      <c r="J374" s="8"/>
      <c r="K374" s="8"/>
      <c r="L374" s="9" t="s">
        <v>138</v>
      </c>
      <c r="M374" s="8"/>
    </row>
    <row r="375" spans="1:13">
      <c r="A375" s="62" t="s">
        <v>645</v>
      </c>
      <c r="B375" s="58">
        <v>41776515838</v>
      </c>
      <c r="C375" s="63"/>
      <c r="D375" s="60"/>
      <c r="E375" s="9">
        <v>1106</v>
      </c>
      <c r="F375" s="25">
        <v>42965</v>
      </c>
      <c r="G375" s="61" t="s">
        <v>13</v>
      </c>
      <c r="H375" s="9"/>
      <c r="I375" s="8"/>
      <c r="J375" s="8"/>
      <c r="K375" s="8"/>
      <c r="L375" s="8"/>
      <c r="M375" s="8"/>
    </row>
    <row r="376" spans="1:13">
      <c r="A376" s="62" t="s">
        <v>646</v>
      </c>
      <c r="B376" s="58" t="s">
        <v>647</v>
      </c>
      <c r="C376" s="64" t="s">
        <v>648</v>
      </c>
      <c r="D376" s="60" t="s">
        <v>649</v>
      </c>
      <c r="E376" s="9">
        <v>573</v>
      </c>
      <c r="F376" s="25">
        <v>43224</v>
      </c>
      <c r="G376" s="61"/>
      <c r="H376" s="9"/>
      <c r="I376" s="8"/>
      <c r="J376" s="8"/>
      <c r="K376" s="8"/>
      <c r="L376" s="8"/>
      <c r="M376" s="8"/>
    </row>
    <row r="377" spans="1:13">
      <c r="A377" s="64" t="s">
        <v>650</v>
      </c>
      <c r="B377" s="58">
        <v>41104888858</v>
      </c>
      <c r="C377" s="63" t="s">
        <v>651</v>
      </c>
      <c r="D377" s="60">
        <v>35714357884</v>
      </c>
      <c r="E377" s="9">
        <v>810</v>
      </c>
      <c r="F377" s="25">
        <v>42915</v>
      </c>
      <c r="G377" s="61" t="s">
        <v>13</v>
      </c>
      <c r="H377" s="9"/>
      <c r="I377" s="8"/>
      <c r="J377" s="8"/>
      <c r="K377" s="8"/>
      <c r="L377" s="9" t="s">
        <v>138</v>
      </c>
      <c r="M377" s="8"/>
    </row>
    <row r="378" spans="1:13">
      <c r="A378" s="62" t="s">
        <v>652</v>
      </c>
      <c r="B378" s="58">
        <v>34954516846</v>
      </c>
      <c r="C378" s="63" t="s">
        <v>653</v>
      </c>
      <c r="D378" s="60">
        <v>18356312825</v>
      </c>
      <c r="E378" s="9">
        <v>1824</v>
      </c>
      <c r="F378" s="25">
        <v>43091</v>
      </c>
      <c r="G378" s="61" t="s">
        <v>28</v>
      </c>
      <c r="H378" s="9"/>
      <c r="I378" s="8"/>
      <c r="J378" s="8"/>
      <c r="K378" s="8"/>
      <c r="L378" s="9">
        <v>1828</v>
      </c>
      <c r="M378" s="8"/>
    </row>
    <row r="379" spans="1:13">
      <c r="A379" s="27" t="s">
        <v>654</v>
      </c>
      <c r="B379" s="58"/>
      <c r="C379" s="27" t="s">
        <v>655</v>
      </c>
      <c r="D379" s="60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62" t="s">
        <v>656</v>
      </c>
      <c r="B380" s="58">
        <v>90144082772</v>
      </c>
      <c r="C380" s="63"/>
      <c r="D380" s="60"/>
      <c r="E380" s="9">
        <v>608</v>
      </c>
      <c r="F380" s="25">
        <v>43012</v>
      </c>
      <c r="G380" s="61" t="s">
        <v>13</v>
      </c>
      <c r="H380" s="9"/>
      <c r="I380" s="8"/>
      <c r="J380" s="8"/>
      <c r="K380" s="8"/>
      <c r="L380" s="8"/>
      <c r="M380" s="8"/>
    </row>
    <row r="381" spans="1:13">
      <c r="A381" s="13" t="s">
        <v>657</v>
      </c>
      <c r="B381" s="58">
        <v>34023913847</v>
      </c>
      <c r="C381" s="63"/>
      <c r="D381" s="60"/>
      <c r="E381" s="9">
        <v>1489</v>
      </c>
      <c r="F381" s="25">
        <v>43038</v>
      </c>
      <c r="G381" s="61" t="s">
        <v>13</v>
      </c>
      <c r="H381" s="9"/>
      <c r="I381" s="8"/>
      <c r="J381" s="8"/>
      <c r="K381" s="8"/>
      <c r="L381" s="9" t="s">
        <v>160</v>
      </c>
      <c r="M381" s="8"/>
    </row>
    <row r="382" spans="1:13">
      <c r="A382" s="62" t="s">
        <v>658</v>
      </c>
      <c r="B382" s="58">
        <v>14271660809</v>
      </c>
      <c r="C382" s="63"/>
      <c r="D382" s="60"/>
      <c r="E382" s="9">
        <v>443</v>
      </c>
      <c r="F382" s="25">
        <v>43188</v>
      </c>
      <c r="G382" s="61"/>
      <c r="H382" s="9"/>
      <c r="I382" s="8"/>
      <c r="J382" s="8"/>
      <c r="K382" s="8"/>
      <c r="L382" s="8"/>
      <c r="M382" s="8"/>
    </row>
    <row r="383" spans="1:13">
      <c r="A383" s="62" t="s">
        <v>659</v>
      </c>
      <c r="B383" s="58">
        <v>2509232894</v>
      </c>
      <c r="C383" s="63"/>
      <c r="D383" s="60"/>
      <c r="E383" s="9">
        <v>292</v>
      </c>
      <c r="F383" s="25">
        <v>43168</v>
      </c>
      <c r="G383" s="61" t="s">
        <v>13</v>
      </c>
      <c r="H383" s="9"/>
      <c r="I383" s="8"/>
      <c r="J383" s="8"/>
      <c r="K383" s="8"/>
      <c r="L383" s="9">
        <v>318</v>
      </c>
      <c r="M383" s="8"/>
    </row>
    <row r="384" spans="1:13">
      <c r="A384" s="62" t="s">
        <v>660</v>
      </c>
      <c r="B384" s="58">
        <v>37268126875</v>
      </c>
      <c r="C384" s="63"/>
      <c r="D384" s="60"/>
      <c r="E384" s="9">
        <v>1489</v>
      </c>
      <c r="F384" s="25">
        <v>43038</v>
      </c>
      <c r="G384" s="61" t="s">
        <v>13</v>
      </c>
      <c r="H384" s="9"/>
      <c r="I384" s="8"/>
      <c r="J384" s="8"/>
      <c r="K384" s="8"/>
      <c r="L384" s="9" t="s">
        <v>160</v>
      </c>
      <c r="M384" s="8"/>
    </row>
    <row r="385" spans="1:13">
      <c r="A385" s="15" t="s">
        <v>661</v>
      </c>
      <c r="B385" s="58">
        <v>33239238802</v>
      </c>
      <c r="C385" s="63" t="s">
        <v>662</v>
      </c>
      <c r="D385" s="60">
        <v>33111360806</v>
      </c>
      <c r="E385" s="9"/>
      <c r="F385" s="25"/>
      <c r="G385" s="61"/>
      <c r="H385" s="9"/>
      <c r="I385" s="8"/>
      <c r="J385" s="8"/>
      <c r="K385" s="8"/>
      <c r="L385" s="8"/>
      <c r="M385" s="8"/>
    </row>
    <row r="386" spans="1:13">
      <c r="A386" s="62" t="s">
        <v>663</v>
      </c>
      <c r="B386" s="58">
        <v>12443686876</v>
      </c>
      <c r="C386" s="63"/>
      <c r="D386" s="60"/>
      <c r="E386" s="9"/>
      <c r="F386" s="25"/>
      <c r="G386" s="61"/>
      <c r="H386" s="9"/>
      <c r="I386" s="8"/>
      <c r="J386" s="8"/>
      <c r="K386" s="8"/>
      <c r="L386" s="8"/>
      <c r="M386" s="8"/>
    </row>
    <row r="387" spans="1:13">
      <c r="A387" s="62" t="s">
        <v>664</v>
      </c>
      <c r="B387" s="58">
        <v>24867029890</v>
      </c>
      <c r="C387" s="63"/>
      <c r="D387" s="60"/>
      <c r="E387" s="9">
        <v>1106</v>
      </c>
      <c r="F387" s="25">
        <v>42965</v>
      </c>
      <c r="G387" s="61" t="s">
        <v>13</v>
      </c>
      <c r="H387" s="9"/>
      <c r="I387" s="8"/>
      <c r="J387" s="8"/>
      <c r="K387" s="8"/>
      <c r="L387" s="8"/>
      <c r="M387" s="8"/>
    </row>
    <row r="388" spans="1:13">
      <c r="A388" s="62" t="s">
        <v>665</v>
      </c>
      <c r="B388" s="58">
        <v>23331926825</v>
      </c>
      <c r="C388" s="63"/>
      <c r="D388" s="60"/>
      <c r="E388" s="9">
        <v>292</v>
      </c>
      <c r="F388" s="25">
        <v>43168</v>
      </c>
      <c r="G388" s="61" t="s">
        <v>20</v>
      </c>
      <c r="H388" s="9"/>
      <c r="I388" s="8"/>
      <c r="J388" s="8"/>
      <c r="K388" s="8"/>
      <c r="L388" s="9">
        <v>318</v>
      </c>
      <c r="M388" s="8"/>
    </row>
    <row r="389" spans="1:13">
      <c r="A389" s="62" t="s">
        <v>666</v>
      </c>
      <c r="B389" s="58">
        <v>86351966515</v>
      </c>
      <c r="C389" s="63"/>
      <c r="D389" s="60"/>
      <c r="E389" s="9">
        <v>1752</v>
      </c>
      <c r="F389" s="25">
        <v>43051</v>
      </c>
      <c r="G389" s="61" t="s">
        <v>13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667</v>
      </c>
      <c r="B390" s="58">
        <v>13486189816</v>
      </c>
      <c r="C390" s="63" t="s">
        <v>668</v>
      </c>
      <c r="D390" s="60">
        <v>15745057858</v>
      </c>
      <c r="E390" s="9">
        <v>262</v>
      </c>
      <c r="F390" s="25">
        <v>43160</v>
      </c>
      <c r="G390" s="61" t="s">
        <v>13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669</v>
      </c>
      <c r="B391" s="58">
        <v>17852414869</v>
      </c>
      <c r="C391" s="59"/>
      <c r="D391" s="60"/>
      <c r="E391" s="9">
        <v>1824</v>
      </c>
      <c r="F391" s="25">
        <v>43091</v>
      </c>
      <c r="G391" s="61" t="s">
        <v>13</v>
      </c>
      <c r="H391" s="9"/>
      <c r="I391" s="8"/>
      <c r="J391" s="8"/>
      <c r="K391" s="8"/>
      <c r="L391" s="9">
        <v>1828</v>
      </c>
      <c r="M391" s="8"/>
    </row>
    <row r="392" spans="1:13">
      <c r="A392" s="62" t="s">
        <v>670</v>
      </c>
      <c r="B392" s="58">
        <v>33426723824</v>
      </c>
      <c r="C392" s="63"/>
      <c r="D392" s="60"/>
      <c r="E392" s="9">
        <v>1214</v>
      </c>
      <c r="F392" s="25">
        <v>42989</v>
      </c>
      <c r="G392" s="61" t="s">
        <v>13</v>
      </c>
      <c r="H392" s="9"/>
      <c r="I392" s="8"/>
      <c r="J392" s="8"/>
      <c r="K392" s="8"/>
      <c r="L392" s="8"/>
      <c r="M392" s="8"/>
    </row>
    <row r="393" spans="1:13">
      <c r="A393" s="62" t="s">
        <v>671</v>
      </c>
      <c r="B393" s="58">
        <v>29672702884</v>
      </c>
      <c r="C393" s="63" t="s">
        <v>672</v>
      </c>
      <c r="D393" s="60">
        <v>28836016820</v>
      </c>
      <c r="E393" s="9">
        <v>262</v>
      </c>
      <c r="F393" s="25">
        <v>43160</v>
      </c>
      <c r="G393" s="61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7" t="s">
        <v>673</v>
      </c>
      <c r="B394" s="58"/>
      <c r="C394" s="27" t="s">
        <v>129</v>
      </c>
      <c r="D394" s="60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62" t="s">
        <v>674</v>
      </c>
      <c r="B395" s="58">
        <v>27895299816</v>
      </c>
      <c r="C395" s="63"/>
      <c r="D395" s="60"/>
      <c r="E395" s="9">
        <v>1350</v>
      </c>
      <c r="F395" s="25">
        <v>43006</v>
      </c>
      <c r="G395" s="61" t="s">
        <v>13</v>
      </c>
      <c r="H395" s="9"/>
      <c r="I395" s="8"/>
      <c r="J395" s="8"/>
      <c r="K395" s="8"/>
      <c r="L395" s="8"/>
      <c r="M395" s="8"/>
    </row>
    <row r="396" spans="1:13">
      <c r="A396" s="15" t="s">
        <v>675</v>
      </c>
      <c r="B396" s="58">
        <v>35511781860</v>
      </c>
      <c r="C396" s="63"/>
      <c r="D396" s="60"/>
      <c r="E396" s="9">
        <v>117</v>
      </c>
      <c r="F396" s="25">
        <v>43117</v>
      </c>
      <c r="G396" s="61" t="s">
        <v>13</v>
      </c>
      <c r="H396" s="9"/>
      <c r="I396" s="8"/>
      <c r="J396" s="8"/>
      <c r="K396" s="8"/>
      <c r="L396" s="9" t="s">
        <v>170</v>
      </c>
      <c r="M396" s="8"/>
    </row>
    <row r="397" spans="1:13">
      <c r="A397" s="15" t="s">
        <v>676</v>
      </c>
      <c r="B397" s="58">
        <v>7030224582</v>
      </c>
      <c r="C397" s="63" t="s">
        <v>677</v>
      </c>
      <c r="D397" s="60">
        <v>4763433563</v>
      </c>
      <c r="E397" s="9"/>
      <c r="F397" s="25"/>
      <c r="G397" s="61"/>
      <c r="H397" s="9"/>
      <c r="I397" s="8"/>
      <c r="J397" s="8"/>
      <c r="K397" s="8"/>
      <c r="L397" s="8"/>
      <c r="M397" s="8"/>
    </row>
    <row r="398" spans="1:13">
      <c r="A398" s="62" t="s">
        <v>678</v>
      </c>
      <c r="B398" s="58">
        <v>35071048817</v>
      </c>
      <c r="C398" s="63"/>
      <c r="D398" s="60"/>
      <c r="E398" s="9">
        <v>1350</v>
      </c>
      <c r="F398" s="25">
        <v>43006</v>
      </c>
      <c r="G398" s="61" t="s">
        <v>13</v>
      </c>
      <c r="H398" s="9"/>
      <c r="I398" s="8"/>
      <c r="J398" s="8"/>
      <c r="K398" s="8"/>
      <c r="L398" s="8"/>
      <c r="M398" s="8"/>
    </row>
    <row r="399" spans="1:13">
      <c r="A399" s="63" t="s">
        <v>679</v>
      </c>
      <c r="B399" s="58">
        <v>39783437895</v>
      </c>
      <c r="C399" s="63" t="s">
        <v>680</v>
      </c>
      <c r="D399" s="60">
        <v>12062296754</v>
      </c>
      <c r="E399" s="9">
        <v>292</v>
      </c>
      <c r="F399" s="25">
        <v>43168</v>
      </c>
      <c r="G399" s="9" t="s">
        <v>13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681</v>
      </c>
      <c r="B400" s="58">
        <v>41759713864</v>
      </c>
      <c r="C400" s="63" t="s">
        <v>682</v>
      </c>
      <c r="D400" s="60">
        <v>38653116877</v>
      </c>
      <c r="E400" s="9">
        <v>1824</v>
      </c>
      <c r="F400" s="25">
        <v>43091</v>
      </c>
      <c r="G400" s="61" t="s">
        <v>13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683</v>
      </c>
      <c r="B401" s="58">
        <v>37686754839</v>
      </c>
      <c r="C401" s="63" t="s">
        <v>684</v>
      </c>
      <c r="D401" s="60">
        <v>23445605807</v>
      </c>
      <c r="E401" s="9"/>
      <c r="F401" s="25"/>
      <c r="G401" s="61"/>
      <c r="H401" s="9"/>
      <c r="I401" s="8"/>
      <c r="J401" s="8"/>
      <c r="K401" s="8"/>
      <c r="L401" s="8"/>
      <c r="M401" s="8"/>
    </row>
    <row r="402" spans="1:13">
      <c r="A402" s="27" t="s">
        <v>685</v>
      </c>
      <c r="B402" s="58"/>
      <c r="C402" s="27" t="s">
        <v>686</v>
      </c>
      <c r="D402" s="60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62" t="s">
        <v>687</v>
      </c>
      <c r="B403" s="58">
        <v>45525905884</v>
      </c>
      <c r="C403" s="63"/>
      <c r="D403" s="60"/>
      <c r="E403" s="9">
        <v>1350</v>
      </c>
      <c r="F403" s="25">
        <v>43006</v>
      </c>
      <c r="G403" s="61" t="s">
        <v>13</v>
      </c>
      <c r="H403" s="9"/>
      <c r="I403" s="8"/>
      <c r="J403" s="8"/>
      <c r="K403" s="8"/>
      <c r="L403" s="8"/>
      <c r="M403" s="8"/>
    </row>
    <row r="404" spans="1:13">
      <c r="A404" s="62" t="s">
        <v>688</v>
      </c>
      <c r="B404" s="58">
        <v>44864217874</v>
      </c>
      <c r="C404" s="63" t="s">
        <v>689</v>
      </c>
      <c r="D404" s="60">
        <v>37462441888</v>
      </c>
      <c r="E404" s="9"/>
      <c r="F404" s="25"/>
      <c r="G404" s="61"/>
      <c r="H404" s="9"/>
      <c r="I404" s="8"/>
      <c r="J404" s="8"/>
      <c r="K404" s="8"/>
      <c r="L404" s="8"/>
      <c r="M404" s="8"/>
    </row>
    <row r="405" spans="1:13">
      <c r="A405" s="14" t="s">
        <v>690</v>
      </c>
      <c r="B405" s="58">
        <v>40516592831</v>
      </c>
      <c r="C405" s="63"/>
      <c r="D405" s="60"/>
      <c r="E405" s="9">
        <v>1417</v>
      </c>
      <c r="F405" s="25">
        <v>43017</v>
      </c>
      <c r="G405" s="61" t="s">
        <v>13</v>
      </c>
      <c r="H405" s="9"/>
      <c r="I405" s="8"/>
      <c r="J405" s="8"/>
      <c r="K405" s="8"/>
      <c r="L405" s="9" t="s">
        <v>253</v>
      </c>
      <c r="M405" s="8"/>
    </row>
    <row r="406" spans="1:13">
      <c r="A406" s="15" t="s">
        <v>691</v>
      </c>
      <c r="B406" s="58">
        <v>17509978866</v>
      </c>
      <c r="C406" s="63"/>
      <c r="D406" s="60"/>
      <c r="E406" s="9">
        <v>117</v>
      </c>
      <c r="F406" s="25">
        <v>43117</v>
      </c>
      <c r="G406" s="61" t="s">
        <v>13</v>
      </c>
      <c r="H406" s="9"/>
      <c r="I406" s="8"/>
      <c r="J406" s="8"/>
      <c r="K406" s="8"/>
      <c r="L406" s="9" t="s">
        <v>170</v>
      </c>
      <c r="M406" s="8"/>
    </row>
    <row r="407" spans="1:13">
      <c r="A407" s="13" t="s">
        <v>692</v>
      </c>
      <c r="B407" s="58">
        <v>1329442512</v>
      </c>
      <c r="C407" s="59" t="s">
        <v>693</v>
      </c>
      <c r="D407" s="60">
        <v>1320825516</v>
      </c>
      <c r="E407" s="9">
        <v>1214</v>
      </c>
      <c r="F407" s="25">
        <v>42989</v>
      </c>
      <c r="G407" s="61" t="s">
        <v>13</v>
      </c>
      <c r="H407" s="9"/>
      <c r="I407" s="8"/>
      <c r="J407" s="8"/>
      <c r="K407" s="8"/>
      <c r="L407" s="8"/>
      <c r="M407" s="8"/>
    </row>
    <row r="408" spans="1:13">
      <c r="A408" s="62" t="s">
        <v>694</v>
      </c>
      <c r="B408" s="58">
        <v>33270447833</v>
      </c>
      <c r="C408" s="63"/>
      <c r="D408" s="60"/>
      <c r="E408" s="9"/>
      <c r="F408" s="25"/>
      <c r="G408" s="61"/>
      <c r="H408" s="9"/>
      <c r="I408" s="8"/>
      <c r="J408" s="8"/>
      <c r="K408" s="8"/>
      <c r="L408" s="8"/>
      <c r="M408" s="8"/>
    </row>
    <row r="409" spans="1:13">
      <c r="A409" s="62" t="s">
        <v>695</v>
      </c>
      <c r="B409" s="58">
        <v>28179023869</v>
      </c>
      <c r="C409" s="63"/>
      <c r="D409" s="60"/>
      <c r="E409" s="9"/>
      <c r="F409" s="25"/>
      <c r="G409" s="61"/>
      <c r="H409" s="9"/>
      <c r="I409" s="8"/>
      <c r="J409" s="8"/>
      <c r="K409" s="8"/>
      <c r="L409" s="8"/>
      <c r="M409" s="8"/>
    </row>
    <row r="410" spans="1:13">
      <c r="A410" s="27" t="s">
        <v>696</v>
      </c>
      <c r="B410" s="58"/>
      <c r="C410" s="27" t="s">
        <v>129</v>
      </c>
      <c r="D410" s="60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62" t="s">
        <v>697</v>
      </c>
      <c r="B411" s="58">
        <v>2443078574</v>
      </c>
      <c r="C411" s="63"/>
      <c r="D411" s="60"/>
      <c r="E411" s="9">
        <v>1350</v>
      </c>
      <c r="F411" s="25">
        <v>43006</v>
      </c>
      <c r="G411" s="61" t="s">
        <v>13</v>
      </c>
      <c r="H411" s="9"/>
      <c r="I411" s="8"/>
      <c r="J411" s="8"/>
      <c r="K411" s="8"/>
      <c r="L411" s="8"/>
      <c r="M411" s="8"/>
    </row>
    <row r="412" spans="1:13">
      <c r="A412" s="62" t="s">
        <v>698</v>
      </c>
      <c r="B412" s="58">
        <v>35140471892</v>
      </c>
      <c r="C412" s="63"/>
      <c r="D412" s="60"/>
      <c r="E412" s="9">
        <v>292</v>
      </c>
      <c r="F412" s="25">
        <v>43168</v>
      </c>
      <c r="G412" s="61" t="s">
        <v>13</v>
      </c>
      <c r="H412" s="9"/>
      <c r="I412" s="8"/>
      <c r="J412" s="8"/>
      <c r="K412" s="8"/>
      <c r="L412" s="9">
        <v>318</v>
      </c>
      <c r="M412" s="8"/>
    </row>
    <row r="413" spans="1:13">
      <c r="A413" s="62" t="s">
        <v>699</v>
      </c>
      <c r="B413" s="58">
        <v>37264939804</v>
      </c>
      <c r="C413" s="63"/>
      <c r="D413" s="60"/>
      <c r="E413" s="9"/>
      <c r="F413" s="25"/>
      <c r="G413" s="61"/>
      <c r="H413" s="9"/>
      <c r="I413" s="8"/>
      <c r="J413" s="8"/>
      <c r="K413" s="8"/>
      <c r="L413" s="8"/>
      <c r="M413" s="8"/>
    </row>
    <row r="414" spans="1:13">
      <c r="A414" s="13" t="s">
        <v>700</v>
      </c>
      <c r="B414" s="58">
        <v>93440340520</v>
      </c>
      <c r="C414" s="59" t="s">
        <v>701</v>
      </c>
      <c r="D414" s="60">
        <v>8858333845</v>
      </c>
      <c r="E414" s="9">
        <v>1267</v>
      </c>
      <c r="F414" s="25">
        <v>42998</v>
      </c>
      <c r="G414" s="61" t="s">
        <v>13</v>
      </c>
      <c r="H414" s="9"/>
      <c r="I414" s="8"/>
      <c r="J414" s="8"/>
      <c r="K414" s="8"/>
      <c r="L414" s="8"/>
      <c r="M414" s="8"/>
    </row>
    <row r="415" spans="1:13">
      <c r="A415" s="27" t="s">
        <v>702</v>
      </c>
      <c r="B415" s="58">
        <v>21947877801</v>
      </c>
      <c r="C415" s="27" t="s">
        <v>703</v>
      </c>
      <c r="D415" s="60">
        <v>4921613567</v>
      </c>
      <c r="E415" s="9"/>
      <c r="F415" s="25"/>
      <c r="G415" s="61"/>
      <c r="H415" s="9"/>
      <c r="I415" s="8"/>
      <c r="J415" s="8"/>
      <c r="K415" s="8"/>
      <c r="L415" s="8"/>
      <c r="M415" s="8"/>
    </row>
    <row r="416" spans="1:13">
      <c r="A416" s="62" t="s">
        <v>704</v>
      </c>
      <c r="B416" s="58">
        <v>31712571818</v>
      </c>
      <c r="C416" s="63"/>
      <c r="D416" s="60"/>
      <c r="E416" s="9">
        <v>1350</v>
      </c>
      <c r="F416" s="25">
        <v>43006</v>
      </c>
      <c r="G416" s="61" t="s">
        <v>13</v>
      </c>
      <c r="H416" s="9"/>
      <c r="I416" s="8"/>
      <c r="J416" s="8"/>
      <c r="K416" s="8"/>
      <c r="L416" s="8"/>
      <c r="M416" s="8"/>
    </row>
    <row r="417" spans="1:13">
      <c r="A417" s="62" t="s">
        <v>705</v>
      </c>
      <c r="B417" s="58">
        <v>22358160881</v>
      </c>
      <c r="C417" s="63"/>
      <c r="D417" s="60"/>
      <c r="E417" s="9">
        <v>1752</v>
      </c>
      <c r="F417" s="25">
        <v>43051</v>
      </c>
      <c r="G417" s="61" t="s">
        <v>13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706</v>
      </c>
      <c r="B418" s="58">
        <v>29938931812</v>
      </c>
      <c r="C418" s="63"/>
      <c r="D418" s="60"/>
      <c r="E418" s="9">
        <v>1824</v>
      </c>
      <c r="F418" s="25">
        <v>43091</v>
      </c>
      <c r="G418" s="61" t="s">
        <v>13</v>
      </c>
      <c r="H418" s="9"/>
      <c r="I418" s="8"/>
      <c r="J418" s="8"/>
      <c r="K418" s="8"/>
      <c r="L418" s="9">
        <v>1828</v>
      </c>
      <c r="M418" s="8"/>
    </row>
    <row r="419" spans="1:13">
      <c r="A419" s="62" t="s">
        <v>707</v>
      </c>
      <c r="B419" s="58">
        <v>84674300444</v>
      </c>
      <c r="C419" s="63"/>
      <c r="D419" s="60"/>
      <c r="E419" s="9">
        <v>85</v>
      </c>
      <c r="F419" s="25">
        <v>43109</v>
      </c>
      <c r="G419" s="61" t="s">
        <v>13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708</v>
      </c>
      <c r="B420" s="58">
        <v>71739637372</v>
      </c>
      <c r="C420" s="63"/>
      <c r="D420" s="60"/>
      <c r="E420" s="9">
        <v>1824</v>
      </c>
      <c r="F420" s="25">
        <v>43091</v>
      </c>
      <c r="G420" s="61" t="s">
        <v>13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709</v>
      </c>
      <c r="B421" s="58">
        <v>29999729894</v>
      </c>
      <c r="C421" s="18"/>
      <c r="D421" s="60"/>
      <c r="E421" s="9"/>
      <c r="F421" s="25"/>
      <c r="G421" s="61"/>
      <c r="H421" s="9"/>
      <c r="I421" s="8"/>
      <c r="J421" s="8"/>
      <c r="K421" s="8"/>
      <c r="L421" s="8"/>
      <c r="M421" s="8"/>
    </row>
    <row r="422" spans="1:13">
      <c r="A422" s="62" t="s">
        <v>710</v>
      </c>
      <c r="B422" s="58">
        <v>11163355810</v>
      </c>
      <c r="C422" s="63" t="s">
        <v>711</v>
      </c>
      <c r="D422" s="60">
        <v>4435148870</v>
      </c>
      <c r="E422" s="9">
        <v>443</v>
      </c>
      <c r="F422" s="25">
        <v>43188</v>
      </c>
      <c r="G422" s="61"/>
      <c r="H422" s="9"/>
      <c r="I422" s="8"/>
      <c r="J422" s="8"/>
      <c r="K422" s="8"/>
      <c r="L422" s="8"/>
      <c r="M422" s="8"/>
    </row>
    <row r="423" spans="1:13">
      <c r="A423" s="13" t="s">
        <v>712</v>
      </c>
      <c r="B423" s="58">
        <v>12870537859</v>
      </c>
      <c r="C423" s="63" t="s">
        <v>713</v>
      </c>
      <c r="D423" s="60">
        <v>59856912849</v>
      </c>
      <c r="E423" s="9">
        <v>1417</v>
      </c>
      <c r="F423" s="25">
        <v>43017</v>
      </c>
      <c r="G423" s="61" t="s">
        <v>13</v>
      </c>
      <c r="H423" s="9"/>
      <c r="I423" s="8"/>
      <c r="J423" s="8"/>
      <c r="K423" s="8"/>
      <c r="L423" s="9" t="s">
        <v>253</v>
      </c>
      <c r="M423" s="8"/>
    </row>
    <row r="424" spans="1:13">
      <c r="A424" s="14" t="s">
        <v>714</v>
      </c>
      <c r="B424" s="58">
        <v>22019624800</v>
      </c>
      <c r="C424" s="63"/>
      <c r="D424" s="60"/>
      <c r="E424" s="9">
        <v>262</v>
      </c>
      <c r="F424" s="25">
        <v>43160</v>
      </c>
      <c r="G424" s="61" t="s">
        <v>13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715</v>
      </c>
      <c r="B425" s="58">
        <v>3414309513</v>
      </c>
      <c r="C425" s="18"/>
      <c r="D425" s="60"/>
      <c r="E425" s="9"/>
      <c r="F425" s="25"/>
      <c r="G425" s="61"/>
      <c r="H425" s="9"/>
      <c r="I425" s="8"/>
      <c r="J425" s="8"/>
      <c r="K425" s="8"/>
      <c r="L425" s="8"/>
      <c r="M425" s="8"/>
    </row>
    <row r="426" spans="1:13">
      <c r="A426" s="15" t="s">
        <v>716</v>
      </c>
      <c r="B426" s="58">
        <v>46046277892</v>
      </c>
      <c r="C426" s="63"/>
      <c r="D426" s="60"/>
      <c r="E426" s="9">
        <v>85</v>
      </c>
      <c r="F426" s="25">
        <v>43109</v>
      </c>
      <c r="G426" s="61" t="s">
        <v>13</v>
      </c>
      <c r="H426" s="25">
        <v>43151</v>
      </c>
      <c r="I426" s="8"/>
      <c r="J426" s="8"/>
      <c r="K426" s="8"/>
      <c r="L426" s="8"/>
      <c r="M426" s="8"/>
    </row>
    <row r="427" spans="1:13">
      <c r="A427" s="62" t="s">
        <v>717</v>
      </c>
      <c r="B427" s="58">
        <v>35458479858</v>
      </c>
      <c r="C427" s="63"/>
      <c r="D427" s="60"/>
      <c r="E427" s="9">
        <v>1350</v>
      </c>
      <c r="F427" s="25">
        <v>43006</v>
      </c>
      <c r="G427" s="61" t="s">
        <v>13</v>
      </c>
      <c r="H427" s="9"/>
      <c r="I427" s="8"/>
      <c r="J427" s="8"/>
      <c r="K427" s="8"/>
      <c r="L427" s="8"/>
      <c r="M427" s="8"/>
    </row>
    <row r="428" spans="1:13">
      <c r="A428" s="15" t="s">
        <v>718</v>
      </c>
      <c r="B428" s="58">
        <v>34133269888</v>
      </c>
      <c r="C428" s="63" t="s">
        <v>719</v>
      </c>
      <c r="D428" s="60">
        <v>35360635860</v>
      </c>
      <c r="E428" s="9">
        <v>1824</v>
      </c>
      <c r="F428" s="25">
        <v>43091</v>
      </c>
      <c r="G428" s="61" t="s">
        <v>13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720</v>
      </c>
      <c r="B429" s="58">
        <v>10690540892</v>
      </c>
      <c r="C429" s="63"/>
      <c r="D429" s="60"/>
      <c r="E429" s="9">
        <v>262</v>
      </c>
      <c r="F429" s="25">
        <v>43160</v>
      </c>
      <c r="G429" s="61" t="s">
        <v>13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721</v>
      </c>
      <c r="B430" s="58">
        <v>26370314846</v>
      </c>
      <c r="C430" s="63" t="s">
        <v>722</v>
      </c>
      <c r="D430" s="60">
        <v>26923862809</v>
      </c>
      <c r="E430" s="9">
        <v>117</v>
      </c>
      <c r="F430" s="25">
        <v>43117</v>
      </c>
      <c r="G430" s="61" t="s">
        <v>13</v>
      </c>
      <c r="H430" s="9"/>
      <c r="I430" s="8"/>
      <c r="J430" s="8"/>
      <c r="K430" s="8"/>
      <c r="L430" s="9" t="s">
        <v>170</v>
      </c>
      <c r="M430" s="8"/>
    </row>
    <row r="431" spans="1:13">
      <c r="A431" s="62" t="s">
        <v>723</v>
      </c>
      <c r="B431" s="58">
        <v>7512836490</v>
      </c>
      <c r="C431" s="68"/>
      <c r="D431" s="60"/>
      <c r="E431" s="9"/>
      <c r="F431" s="25"/>
      <c r="G431" s="61"/>
      <c r="H431" s="9"/>
      <c r="I431" s="8"/>
      <c r="J431" s="8"/>
      <c r="K431" s="8"/>
      <c r="L431" s="8"/>
      <c r="M431" s="8"/>
    </row>
    <row r="432" spans="1:13">
      <c r="A432" s="13" t="s">
        <v>724</v>
      </c>
      <c r="B432" s="58">
        <v>26406652860</v>
      </c>
      <c r="C432" s="59"/>
      <c r="D432" s="60"/>
      <c r="E432" s="9">
        <v>1241</v>
      </c>
      <c r="F432" s="25">
        <v>42992</v>
      </c>
      <c r="G432" s="61" t="s">
        <v>13</v>
      </c>
      <c r="H432" s="9"/>
      <c r="I432" s="8"/>
      <c r="J432" s="8"/>
      <c r="K432" s="8"/>
      <c r="L432" s="8"/>
      <c r="M432" s="8"/>
    </row>
    <row r="433" spans="1:13">
      <c r="A433" s="62" t="s">
        <v>725</v>
      </c>
      <c r="B433" s="58">
        <v>2997846811</v>
      </c>
      <c r="C433" s="63"/>
      <c r="D433" s="60"/>
      <c r="E433" s="9">
        <v>292</v>
      </c>
      <c r="F433" s="25">
        <v>43168</v>
      </c>
      <c r="G433" s="61" t="s">
        <v>13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726</v>
      </c>
      <c r="B434" s="58">
        <v>1185289801</v>
      </c>
      <c r="C434" s="59"/>
      <c r="D434" s="60"/>
      <c r="E434" s="9">
        <v>1267</v>
      </c>
      <c r="F434" s="25">
        <v>42998</v>
      </c>
      <c r="G434" s="61" t="s">
        <v>13</v>
      </c>
      <c r="H434" s="9"/>
      <c r="I434" s="8"/>
      <c r="J434" s="8"/>
      <c r="K434" s="8"/>
      <c r="L434" s="8"/>
      <c r="M434" s="8"/>
    </row>
    <row r="435" spans="1:13">
      <c r="A435" s="62" t="s">
        <v>727</v>
      </c>
      <c r="B435" s="58">
        <v>7267104827</v>
      </c>
      <c r="C435" s="63"/>
      <c r="D435" s="60"/>
      <c r="E435" s="9">
        <v>1752</v>
      </c>
      <c r="F435" s="25">
        <v>43051</v>
      </c>
      <c r="G435" s="61" t="s">
        <v>13</v>
      </c>
      <c r="H435" s="9"/>
      <c r="I435" s="8"/>
      <c r="J435" s="8"/>
      <c r="K435" s="8"/>
      <c r="L435" s="9">
        <v>1759</v>
      </c>
      <c r="M435" s="8"/>
    </row>
    <row r="436" spans="1:13">
      <c r="A436" s="27" t="s">
        <v>728</v>
      </c>
      <c r="B436" s="58"/>
      <c r="C436" s="27" t="s">
        <v>129</v>
      </c>
      <c r="D436" s="60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62" t="s">
        <v>729</v>
      </c>
      <c r="B437" s="58">
        <v>37364783806</v>
      </c>
      <c r="C437" s="63"/>
      <c r="D437" s="60"/>
      <c r="E437" s="9">
        <v>117</v>
      </c>
      <c r="F437" s="25">
        <v>43117</v>
      </c>
      <c r="G437" s="61" t="s">
        <v>28</v>
      </c>
      <c r="H437" s="9"/>
      <c r="I437" s="8"/>
      <c r="J437" s="8"/>
      <c r="K437" s="8"/>
      <c r="L437" s="9" t="s">
        <v>170</v>
      </c>
      <c r="M437" s="8"/>
    </row>
    <row r="438" spans="1:13">
      <c r="A438" s="62" t="s">
        <v>730</v>
      </c>
      <c r="B438" s="58">
        <v>28413241847</v>
      </c>
      <c r="C438" s="63" t="s">
        <v>731</v>
      </c>
      <c r="D438" s="60">
        <v>14661915895</v>
      </c>
      <c r="E438" s="9">
        <v>810</v>
      </c>
      <c r="F438" s="25">
        <v>42915</v>
      </c>
      <c r="G438" s="61" t="s">
        <v>13</v>
      </c>
      <c r="H438" s="9"/>
      <c r="I438" s="8"/>
      <c r="J438" s="8"/>
      <c r="K438" s="8"/>
      <c r="L438" s="9" t="s">
        <v>138</v>
      </c>
      <c r="M438" s="8"/>
    </row>
    <row r="439" spans="1:13">
      <c r="A439" s="15" t="s">
        <v>732</v>
      </c>
      <c r="B439" s="58">
        <v>12898733806</v>
      </c>
      <c r="C439" s="63" t="s">
        <v>733</v>
      </c>
      <c r="D439" s="60">
        <v>25210307832</v>
      </c>
      <c r="E439" s="9">
        <v>262</v>
      </c>
      <c r="F439" s="25">
        <v>43160</v>
      </c>
      <c r="G439" s="61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63" t="s">
        <v>734</v>
      </c>
      <c r="B440" s="58">
        <v>1912295636</v>
      </c>
      <c r="C440" s="63"/>
      <c r="D440" s="60"/>
      <c r="E440" s="9">
        <v>292</v>
      </c>
      <c r="F440" s="25">
        <v>43168</v>
      </c>
      <c r="G440" s="9" t="s">
        <v>13</v>
      </c>
      <c r="H440" s="9"/>
      <c r="I440" s="8"/>
      <c r="J440" s="8"/>
      <c r="K440" s="8"/>
      <c r="L440" s="9">
        <v>318</v>
      </c>
      <c r="M440" s="8"/>
    </row>
    <row r="441" spans="1:13">
      <c r="A441" s="62" t="s">
        <v>735</v>
      </c>
      <c r="B441" s="58">
        <v>14315745898</v>
      </c>
      <c r="C441" s="63"/>
      <c r="D441" s="60"/>
      <c r="E441" s="9">
        <v>292</v>
      </c>
      <c r="F441" s="25">
        <v>43168</v>
      </c>
      <c r="G441" s="61"/>
      <c r="H441" s="9"/>
      <c r="I441" s="8"/>
      <c r="J441" s="8"/>
      <c r="K441" s="8"/>
      <c r="L441" s="9">
        <v>318</v>
      </c>
      <c r="M441" s="8"/>
    </row>
    <row r="442" spans="1:13">
      <c r="A442" s="27" t="s">
        <v>736</v>
      </c>
      <c r="B442" s="58">
        <v>667192328</v>
      </c>
      <c r="C442" s="27" t="s">
        <v>737</v>
      </c>
      <c r="D442" s="60">
        <v>4573662499</v>
      </c>
      <c r="E442" s="9"/>
      <c r="F442" s="25"/>
      <c r="G442" s="61"/>
      <c r="H442" s="9"/>
      <c r="I442" s="8"/>
      <c r="J442" s="8"/>
      <c r="K442" s="8"/>
      <c r="L442" s="8"/>
      <c r="M442" s="8"/>
    </row>
    <row r="443" spans="1:13">
      <c r="A443" s="62" t="s">
        <v>738</v>
      </c>
      <c r="B443" s="58">
        <v>3474339443</v>
      </c>
      <c r="C443" s="63" t="s">
        <v>739</v>
      </c>
      <c r="D443" s="60">
        <v>58073604515</v>
      </c>
      <c r="E443" s="9">
        <v>810</v>
      </c>
      <c r="F443" s="25">
        <v>42915</v>
      </c>
      <c r="G443" s="61" t="s">
        <v>13</v>
      </c>
      <c r="H443" s="9"/>
      <c r="I443" s="8"/>
      <c r="J443" s="8"/>
      <c r="K443" s="8"/>
      <c r="L443" s="9" t="s">
        <v>138</v>
      </c>
      <c r="M443" s="8"/>
    </row>
    <row r="444" spans="1:13">
      <c r="A444" s="62" t="s">
        <v>740</v>
      </c>
      <c r="B444" s="58">
        <v>10782322883</v>
      </c>
      <c r="C444" s="63"/>
      <c r="D444" s="60"/>
      <c r="E444" s="9">
        <v>1106</v>
      </c>
      <c r="F444" s="25">
        <v>42965</v>
      </c>
      <c r="G444" s="61" t="s">
        <v>13</v>
      </c>
      <c r="H444" s="9"/>
      <c r="I444" s="8"/>
      <c r="J444" s="8"/>
      <c r="K444" s="8"/>
      <c r="L444" s="8"/>
      <c r="M444" s="8"/>
    </row>
    <row r="445" spans="1:13">
      <c r="A445" s="14" t="s">
        <v>741</v>
      </c>
      <c r="B445" s="58">
        <v>30191184845</v>
      </c>
      <c r="C445" s="63"/>
      <c r="D445" s="60"/>
      <c r="E445" s="9"/>
      <c r="F445" s="25"/>
      <c r="G445" s="61"/>
      <c r="H445" s="9"/>
      <c r="I445" s="8"/>
      <c r="J445" s="8"/>
      <c r="K445" s="8"/>
      <c r="L445" s="8"/>
      <c r="M445" s="8"/>
    </row>
    <row r="446" spans="1:13">
      <c r="A446" s="62" t="s">
        <v>742</v>
      </c>
      <c r="B446" s="58">
        <v>70014140349</v>
      </c>
      <c r="C446" s="63" t="s">
        <v>743</v>
      </c>
      <c r="D446" s="60">
        <v>16412436863</v>
      </c>
      <c r="E446" s="9">
        <v>1262</v>
      </c>
      <c r="F446" s="25">
        <v>42997</v>
      </c>
      <c r="G446" s="61" t="s">
        <v>13</v>
      </c>
      <c r="H446" s="9"/>
      <c r="I446" s="8"/>
      <c r="J446" s="8"/>
      <c r="K446" s="8"/>
      <c r="L446" s="8"/>
      <c r="M446" s="8"/>
    </row>
    <row r="447" spans="1:13">
      <c r="A447" s="62" t="s">
        <v>744</v>
      </c>
      <c r="B447" s="58">
        <v>32144128847</v>
      </c>
      <c r="C447" s="63"/>
      <c r="D447" s="60"/>
      <c r="E447" s="9"/>
      <c r="F447" s="25"/>
      <c r="G447" s="61"/>
      <c r="H447" s="9"/>
      <c r="I447" s="8"/>
      <c r="J447" s="8"/>
      <c r="K447" s="8"/>
      <c r="L447" s="8"/>
      <c r="M447" s="8"/>
    </row>
    <row r="448" spans="1:13">
      <c r="A448" s="64" t="s">
        <v>745</v>
      </c>
      <c r="B448" s="58">
        <v>29314602818</v>
      </c>
      <c r="C448" s="63"/>
      <c r="D448" s="60"/>
      <c r="E448" s="9">
        <v>1570</v>
      </c>
      <c r="F448" s="25">
        <v>43055</v>
      </c>
      <c r="G448" s="9" t="s">
        <v>13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7" t="s">
        <v>746</v>
      </c>
      <c r="B449" s="58">
        <v>42230945807</v>
      </c>
      <c r="C449" s="27" t="s">
        <v>747</v>
      </c>
      <c r="D449" s="60">
        <v>44852433895</v>
      </c>
      <c r="E449" s="9"/>
      <c r="F449" s="25"/>
      <c r="G449" s="61"/>
      <c r="H449" s="9"/>
      <c r="I449" s="8"/>
      <c r="J449" s="8"/>
      <c r="K449" s="8"/>
      <c r="L449" s="8"/>
      <c r="M449" s="8"/>
    </row>
    <row r="450" spans="1:13">
      <c r="A450" s="62" t="s">
        <v>748</v>
      </c>
      <c r="B450" s="58">
        <v>36157472839</v>
      </c>
      <c r="C450" s="63"/>
      <c r="D450" s="60"/>
      <c r="E450" s="9">
        <v>262</v>
      </c>
      <c r="F450" s="25">
        <v>43160</v>
      </c>
      <c r="G450" s="61" t="s">
        <v>13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749</v>
      </c>
      <c r="B451" s="58">
        <v>37745138809</v>
      </c>
      <c r="C451" s="59"/>
      <c r="D451" s="60"/>
      <c r="E451" s="9">
        <v>1267</v>
      </c>
      <c r="F451" s="25">
        <v>42998</v>
      </c>
      <c r="G451" s="61" t="s">
        <v>13</v>
      </c>
      <c r="H451" s="9"/>
      <c r="I451" s="8"/>
      <c r="J451" s="8"/>
      <c r="K451" s="8"/>
      <c r="L451" s="8"/>
      <c r="M451" s="8"/>
    </row>
    <row r="452" spans="1:13">
      <c r="A452" s="13" t="s">
        <v>750</v>
      </c>
      <c r="B452" s="58">
        <v>32560299810</v>
      </c>
      <c r="C452" s="59"/>
      <c r="D452" s="60"/>
      <c r="E452" s="9">
        <v>1489</v>
      </c>
      <c r="F452" s="25">
        <v>43038</v>
      </c>
      <c r="G452" s="61" t="s">
        <v>13</v>
      </c>
      <c r="H452" s="9"/>
      <c r="I452" s="8"/>
      <c r="J452" s="8"/>
      <c r="K452" s="8"/>
      <c r="L452" s="9" t="s">
        <v>160</v>
      </c>
      <c r="M452" s="8"/>
    </row>
    <row r="453" spans="1:13">
      <c r="A453" s="62" t="s">
        <v>751</v>
      </c>
      <c r="B453" s="58">
        <v>7380335456</v>
      </c>
      <c r="C453" s="63" t="s">
        <v>752</v>
      </c>
      <c r="D453" s="60">
        <v>7548744439</v>
      </c>
      <c r="E453" s="9">
        <v>810</v>
      </c>
      <c r="F453" s="25">
        <v>42915</v>
      </c>
      <c r="G453" s="61" t="s">
        <v>13</v>
      </c>
      <c r="H453" s="9"/>
      <c r="I453" s="8"/>
      <c r="J453" s="8"/>
      <c r="K453" s="8"/>
      <c r="L453" s="9" t="s">
        <v>138</v>
      </c>
      <c r="M453" s="8"/>
    </row>
    <row r="454" spans="1:13">
      <c r="A454" s="18" t="s">
        <v>753</v>
      </c>
      <c r="B454" s="58">
        <v>16488527851</v>
      </c>
      <c r="C454" s="18"/>
      <c r="D454" s="60"/>
      <c r="E454" s="9"/>
      <c r="F454" s="25"/>
      <c r="G454" s="61"/>
      <c r="H454" s="9"/>
      <c r="I454" s="8"/>
      <c r="J454" s="8"/>
      <c r="K454" s="8"/>
      <c r="L454" s="8"/>
      <c r="M454" s="8"/>
    </row>
    <row r="455" spans="1:13">
      <c r="A455" s="62" t="s">
        <v>754</v>
      </c>
      <c r="B455" s="58">
        <v>38529900847</v>
      </c>
      <c r="C455" s="63" t="s">
        <v>755</v>
      </c>
      <c r="D455" s="60">
        <v>36056823830</v>
      </c>
      <c r="E455" s="9">
        <v>262</v>
      </c>
      <c r="F455" s="25">
        <v>43160</v>
      </c>
      <c r="G455" s="61" t="s">
        <v>13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756</v>
      </c>
      <c r="B456" s="58">
        <v>3294051522</v>
      </c>
      <c r="C456" s="59"/>
      <c r="D456" s="60"/>
      <c r="E456" s="9">
        <v>1417</v>
      </c>
      <c r="F456" s="25">
        <v>43017</v>
      </c>
      <c r="G456" s="61" t="s">
        <v>13</v>
      </c>
      <c r="H456" s="9"/>
      <c r="I456" s="8"/>
      <c r="J456" s="8"/>
      <c r="K456" s="8"/>
      <c r="L456" s="9" t="s">
        <v>253</v>
      </c>
      <c r="M456" s="8"/>
    </row>
    <row r="457" spans="1:13">
      <c r="A457" s="13" t="s">
        <v>757</v>
      </c>
      <c r="B457" s="58">
        <v>40764489879</v>
      </c>
      <c r="C457" s="59"/>
      <c r="D457" s="60"/>
      <c r="E457" s="9">
        <v>1752</v>
      </c>
      <c r="F457" s="25">
        <v>43051</v>
      </c>
      <c r="G457" s="61" t="s">
        <v>13</v>
      </c>
      <c r="H457" s="9"/>
      <c r="I457" s="8"/>
      <c r="J457" s="8"/>
      <c r="K457" s="8"/>
      <c r="L457" s="9">
        <v>1759</v>
      </c>
      <c r="M457" s="8"/>
    </row>
    <row r="458" spans="1:13">
      <c r="A458" s="62" t="s">
        <v>758</v>
      </c>
      <c r="B458" s="58">
        <v>30085860824</v>
      </c>
      <c r="C458" s="63"/>
      <c r="D458" s="60"/>
      <c r="E458" s="9">
        <v>85</v>
      </c>
      <c r="F458" s="25">
        <v>43109</v>
      </c>
      <c r="G458" s="61" t="s">
        <v>13</v>
      </c>
      <c r="H458" s="25">
        <v>43151</v>
      </c>
      <c r="I458" s="8"/>
      <c r="J458" s="8"/>
      <c r="K458" s="8"/>
      <c r="L458" s="8"/>
      <c r="M458" s="8"/>
    </row>
    <row r="459" spans="1:13">
      <c r="A459" s="62" t="s">
        <v>759</v>
      </c>
      <c r="B459" s="58">
        <v>11806390817</v>
      </c>
      <c r="C459" s="63" t="s">
        <v>760</v>
      </c>
      <c r="D459" s="60">
        <v>6924399860</v>
      </c>
      <c r="E459" s="9">
        <v>85</v>
      </c>
      <c r="F459" s="25">
        <v>43109</v>
      </c>
      <c r="G459" s="61" t="s">
        <v>13</v>
      </c>
      <c r="H459" s="25">
        <v>43151</v>
      </c>
      <c r="I459" s="8"/>
      <c r="J459" s="8"/>
      <c r="K459" s="8"/>
      <c r="L459" s="8"/>
      <c r="M459" s="8"/>
    </row>
    <row r="460" spans="1:13">
      <c r="A460" s="63" t="s">
        <v>761</v>
      </c>
      <c r="B460" s="58">
        <v>38569204809</v>
      </c>
      <c r="C460" s="63"/>
      <c r="D460" s="60"/>
      <c r="E460" s="9"/>
      <c r="F460" s="25"/>
      <c r="G460" s="61"/>
      <c r="H460" s="9"/>
      <c r="I460" s="8"/>
      <c r="J460" s="8"/>
      <c r="K460" s="8"/>
      <c r="L460" s="8"/>
      <c r="M460" s="8"/>
    </row>
    <row r="461" spans="1:13">
      <c r="A461" s="62" t="s">
        <v>762</v>
      </c>
      <c r="B461" s="58">
        <v>34340995819</v>
      </c>
      <c r="C461" s="63"/>
      <c r="D461" s="60"/>
      <c r="E461" s="9">
        <v>292</v>
      </c>
      <c r="F461" s="25">
        <v>43168</v>
      </c>
      <c r="G461" s="9" t="s">
        <v>13</v>
      </c>
      <c r="H461" s="9"/>
      <c r="I461" s="8"/>
      <c r="J461" s="8"/>
      <c r="K461" s="8"/>
      <c r="L461" s="9">
        <v>318</v>
      </c>
      <c r="M461" s="8"/>
    </row>
    <row r="462" spans="1:13">
      <c r="A462" s="62" t="s">
        <v>763</v>
      </c>
      <c r="B462" s="58">
        <v>32734621835</v>
      </c>
      <c r="C462" s="68" t="s">
        <v>764</v>
      </c>
      <c r="D462" s="60" t="s">
        <v>765</v>
      </c>
      <c r="E462" s="9"/>
      <c r="F462" s="25"/>
      <c r="G462" s="61"/>
      <c r="H462" s="9"/>
      <c r="I462" s="8"/>
      <c r="J462" s="8"/>
      <c r="K462" s="8"/>
      <c r="L462" s="8"/>
      <c r="M462" s="8"/>
    </row>
    <row r="463" spans="1:13">
      <c r="A463" s="62" t="s">
        <v>766</v>
      </c>
      <c r="B463" s="58">
        <v>32317321821</v>
      </c>
      <c r="C463" s="63"/>
      <c r="D463" s="60"/>
      <c r="E463" s="9">
        <v>292</v>
      </c>
      <c r="F463" s="25">
        <v>43168</v>
      </c>
      <c r="G463" s="61" t="s">
        <v>13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767</v>
      </c>
      <c r="B464" s="58">
        <v>35629470892</v>
      </c>
      <c r="C464" s="63"/>
      <c r="D464" s="60"/>
      <c r="E464" s="9">
        <v>443</v>
      </c>
      <c r="F464" s="25">
        <v>43188</v>
      </c>
      <c r="G464" s="61"/>
      <c r="H464" s="9"/>
      <c r="I464" s="8"/>
      <c r="J464" s="8"/>
      <c r="K464" s="8"/>
      <c r="L464" s="8"/>
      <c r="M464" s="8"/>
    </row>
    <row r="465" spans="1:13">
      <c r="A465" s="13" t="s">
        <v>768</v>
      </c>
      <c r="B465" s="58">
        <v>31367730805</v>
      </c>
      <c r="C465" s="59" t="s">
        <v>769</v>
      </c>
      <c r="D465" s="60">
        <v>39532354867</v>
      </c>
      <c r="E465" s="9">
        <v>1350</v>
      </c>
      <c r="F465" s="25">
        <v>43006</v>
      </c>
      <c r="G465" s="61" t="s">
        <v>13</v>
      </c>
      <c r="H465" s="9"/>
      <c r="I465" s="8"/>
      <c r="J465" s="8"/>
      <c r="K465" s="8"/>
      <c r="L465" s="8"/>
      <c r="M465" s="8"/>
    </row>
    <row r="466" spans="1:13">
      <c r="A466" s="62" t="s">
        <v>770</v>
      </c>
      <c r="B466" s="58">
        <v>5579867611</v>
      </c>
      <c r="C466" s="63" t="s">
        <v>771</v>
      </c>
      <c r="D466" s="60">
        <v>40051815893</v>
      </c>
      <c r="E466" s="9"/>
      <c r="F466" s="25"/>
      <c r="G466" s="61"/>
      <c r="H466" s="9"/>
      <c r="I466" s="8"/>
      <c r="J466" s="8"/>
      <c r="K466" s="8"/>
      <c r="L466" s="8"/>
      <c r="M466" s="8"/>
    </row>
    <row r="467" spans="1:13">
      <c r="A467" s="14" t="s">
        <v>772</v>
      </c>
      <c r="B467" s="58">
        <v>17118545813</v>
      </c>
      <c r="C467" s="63" t="s">
        <v>773</v>
      </c>
      <c r="D467" s="60">
        <v>29932279803</v>
      </c>
      <c r="E467" s="9">
        <v>262</v>
      </c>
      <c r="F467" s="25">
        <v>43160</v>
      </c>
      <c r="G467" s="61" t="s">
        <v>13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62" t="s">
        <v>774</v>
      </c>
      <c r="B468" s="58">
        <v>35031003855</v>
      </c>
      <c r="C468" s="63" t="s">
        <v>775</v>
      </c>
      <c r="D468" s="60">
        <v>41246529840</v>
      </c>
      <c r="E468" s="9">
        <v>1422</v>
      </c>
      <c r="F468" s="25">
        <v>43018</v>
      </c>
      <c r="G468" s="61" t="s">
        <v>13</v>
      </c>
      <c r="H468" s="9"/>
      <c r="I468" s="8"/>
      <c r="J468" s="8"/>
      <c r="K468" s="8"/>
      <c r="L468" s="8"/>
      <c r="M468" s="8"/>
    </row>
    <row r="469" spans="1:13">
      <c r="A469" s="30" t="s">
        <v>776</v>
      </c>
      <c r="B469" s="58">
        <v>17803718884</v>
      </c>
      <c r="C469" s="30" t="s">
        <v>777</v>
      </c>
      <c r="D469" s="60">
        <v>364628880</v>
      </c>
      <c r="E469" s="9">
        <v>1570</v>
      </c>
      <c r="F469" s="25">
        <v>43077</v>
      </c>
      <c r="G469" s="61" t="s">
        <v>13</v>
      </c>
      <c r="H469" s="9"/>
      <c r="I469" s="8"/>
      <c r="J469" s="8"/>
      <c r="K469" s="8"/>
      <c r="L469" s="8"/>
      <c r="M469" s="8"/>
    </row>
    <row r="470" spans="1:13">
      <c r="A470" s="62" t="s">
        <v>778</v>
      </c>
      <c r="B470" s="58">
        <v>99990792534</v>
      </c>
      <c r="C470" s="63"/>
      <c r="D470" s="60"/>
      <c r="E470" s="9">
        <v>117</v>
      </c>
      <c r="F470" s="25">
        <v>43117</v>
      </c>
      <c r="G470" s="61" t="s">
        <v>13</v>
      </c>
      <c r="H470" s="9"/>
      <c r="I470" s="8"/>
      <c r="J470" s="8"/>
      <c r="K470" s="8"/>
      <c r="L470" s="9" t="s">
        <v>170</v>
      </c>
      <c r="M470" s="8"/>
    </row>
    <row r="471" spans="1:13">
      <c r="A471" s="13" t="s">
        <v>779</v>
      </c>
      <c r="B471" s="58">
        <v>26479067851</v>
      </c>
      <c r="C471" s="59"/>
      <c r="D471" s="60"/>
      <c r="E471" s="9">
        <v>1128</v>
      </c>
      <c r="F471" s="25">
        <v>42972</v>
      </c>
      <c r="G471" s="61" t="s">
        <v>13</v>
      </c>
      <c r="H471" s="9"/>
      <c r="I471" s="8"/>
      <c r="J471" s="8"/>
      <c r="K471" s="8"/>
      <c r="L471" s="8"/>
      <c r="M471" s="8"/>
    </row>
    <row r="472" spans="1:13">
      <c r="A472" s="62" t="s">
        <v>780</v>
      </c>
      <c r="B472" s="58">
        <v>27206842879</v>
      </c>
      <c r="C472" s="63"/>
      <c r="D472" s="60"/>
      <c r="E472" s="9">
        <v>1267</v>
      </c>
      <c r="F472" s="25">
        <v>42998</v>
      </c>
      <c r="G472" s="61" t="s">
        <v>13</v>
      </c>
      <c r="H472" s="9"/>
      <c r="I472" s="8"/>
      <c r="J472" s="8"/>
      <c r="K472" s="8"/>
      <c r="L472" s="8"/>
      <c r="M472" s="8"/>
    </row>
    <row r="473" spans="1:13">
      <c r="A473" s="27" t="s">
        <v>781</v>
      </c>
      <c r="B473" s="58">
        <v>22740303831</v>
      </c>
      <c r="C473" s="18" t="s">
        <v>129</v>
      </c>
      <c r="D473" s="60"/>
      <c r="E473" s="9"/>
      <c r="F473" s="25"/>
      <c r="G473" s="61"/>
      <c r="H473" s="9"/>
      <c r="I473" s="8"/>
      <c r="J473" s="8"/>
      <c r="K473" s="8"/>
      <c r="L473" s="8"/>
      <c r="M473" s="8"/>
    </row>
    <row r="474" spans="1:13">
      <c r="A474" s="62" t="s">
        <v>782</v>
      </c>
      <c r="B474" s="58">
        <v>35482535800</v>
      </c>
      <c r="C474" s="63" t="s">
        <v>783</v>
      </c>
      <c r="D474" s="60">
        <v>31593139802</v>
      </c>
      <c r="E474" s="9">
        <v>262</v>
      </c>
      <c r="F474" s="25">
        <v>43160</v>
      </c>
      <c r="G474" s="61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62" t="s">
        <v>784</v>
      </c>
      <c r="B475" s="58">
        <v>22213116806</v>
      </c>
      <c r="C475" s="63" t="s">
        <v>785</v>
      </c>
      <c r="D475" s="60">
        <v>17530281836</v>
      </c>
      <c r="E475" s="9"/>
      <c r="F475" s="25"/>
      <c r="G475" s="61"/>
      <c r="H475" s="9"/>
      <c r="I475" s="8"/>
      <c r="J475" s="8"/>
      <c r="K475" s="8"/>
      <c r="L475" s="8"/>
      <c r="M475" s="8"/>
    </row>
    <row r="476" spans="1:13">
      <c r="A476" s="27" t="s">
        <v>786</v>
      </c>
      <c r="B476" s="58">
        <v>22168840814</v>
      </c>
      <c r="C476" s="27" t="s">
        <v>787</v>
      </c>
      <c r="D476" s="60">
        <v>31079104810</v>
      </c>
      <c r="E476" s="9"/>
      <c r="F476" s="25"/>
      <c r="G476" s="61"/>
      <c r="H476" s="9"/>
      <c r="I476" s="8"/>
      <c r="J476" s="8"/>
      <c r="K476" s="8"/>
      <c r="L476" s="8"/>
      <c r="M476" s="8"/>
    </row>
    <row r="477" spans="1:13">
      <c r="A477" s="18" t="s">
        <v>788</v>
      </c>
      <c r="B477" s="58">
        <v>30609785818</v>
      </c>
      <c r="C477" s="18" t="s">
        <v>789</v>
      </c>
      <c r="D477" s="60">
        <v>89844122872</v>
      </c>
      <c r="E477" s="9"/>
      <c r="F477" s="25"/>
      <c r="G477" s="61"/>
      <c r="H477" s="9"/>
      <c r="I477" s="8"/>
      <c r="J477" s="8"/>
      <c r="K477" s="8"/>
      <c r="L477" s="8"/>
      <c r="M477" s="8"/>
    </row>
    <row r="478" spans="1:13">
      <c r="A478" s="27" t="s">
        <v>790</v>
      </c>
      <c r="B478" s="58">
        <v>18515704897</v>
      </c>
      <c r="C478" s="18" t="s">
        <v>129</v>
      </c>
      <c r="D478" s="60"/>
      <c r="E478" s="9"/>
      <c r="F478" s="25"/>
      <c r="G478" s="61"/>
      <c r="H478" s="9"/>
      <c r="I478" s="8"/>
      <c r="J478" s="8"/>
      <c r="K478" s="8"/>
      <c r="L478" s="8"/>
      <c r="M478" s="8"/>
    </row>
    <row r="479" spans="1:13">
      <c r="A479" s="63" t="s">
        <v>791</v>
      </c>
      <c r="B479" s="58">
        <v>14683022800</v>
      </c>
      <c r="C479" s="63" t="s">
        <v>792</v>
      </c>
      <c r="D479" s="60">
        <v>6617596870</v>
      </c>
      <c r="E479" s="9"/>
      <c r="F479" s="25"/>
      <c r="G479" s="61"/>
      <c r="H479" s="9"/>
      <c r="I479" s="8"/>
      <c r="J479" s="8"/>
      <c r="K479" s="8"/>
      <c r="L479" s="8"/>
      <c r="M479" s="8"/>
    </row>
    <row r="480" spans="1:13">
      <c r="A480" s="62" t="s">
        <v>793</v>
      </c>
      <c r="B480" s="58">
        <v>98984349534</v>
      </c>
      <c r="C480" s="63"/>
      <c r="D480" s="60"/>
      <c r="E480" s="9"/>
      <c r="F480" s="25"/>
      <c r="G480" s="61"/>
      <c r="H480" s="9"/>
      <c r="I480" s="8"/>
      <c r="J480" s="8"/>
      <c r="K480" s="8"/>
      <c r="L480" s="8"/>
      <c r="M480" s="8"/>
    </row>
    <row r="481" spans="1:13">
      <c r="A481" s="62" t="s">
        <v>794</v>
      </c>
      <c r="B481" s="58">
        <v>25196350888</v>
      </c>
      <c r="C481" s="63"/>
      <c r="D481" s="60"/>
      <c r="E481" s="9">
        <v>292</v>
      </c>
      <c r="F481" s="25">
        <v>43168</v>
      </c>
      <c r="G481" s="61" t="s">
        <v>13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795</v>
      </c>
      <c r="B482" s="58">
        <v>17120173812</v>
      </c>
      <c r="C482" s="63"/>
      <c r="D482" s="60"/>
      <c r="E482" s="9"/>
      <c r="F482" s="25"/>
      <c r="G482" s="61"/>
      <c r="H482" s="9"/>
      <c r="I482" s="8"/>
      <c r="J482" s="8"/>
      <c r="K482" s="8"/>
      <c r="L482" s="8"/>
      <c r="M482" s="8"/>
    </row>
    <row r="483" spans="1:13">
      <c r="A483" s="27" t="s">
        <v>796</v>
      </c>
      <c r="B483" s="58"/>
      <c r="C483" s="27" t="s">
        <v>129</v>
      </c>
      <c r="D483" s="60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62" t="s">
        <v>797</v>
      </c>
      <c r="B484" s="58">
        <v>38285179869</v>
      </c>
      <c r="C484" s="63"/>
      <c r="D484" s="60"/>
      <c r="E484" s="9">
        <v>1752</v>
      </c>
      <c r="F484" s="25">
        <v>43051</v>
      </c>
      <c r="G484" s="61" t="s">
        <v>13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798</v>
      </c>
      <c r="B485" s="58">
        <v>78767377572</v>
      </c>
      <c r="C485" s="63"/>
      <c r="D485" s="60"/>
      <c r="E485" s="9">
        <v>85</v>
      </c>
      <c r="F485" s="25">
        <v>43109</v>
      </c>
      <c r="G485" s="61" t="s">
        <v>13</v>
      </c>
      <c r="H485" s="25">
        <v>43151</v>
      </c>
      <c r="I485" s="8"/>
      <c r="J485" s="8"/>
      <c r="K485" s="8"/>
      <c r="L485" s="8"/>
      <c r="M485" s="8"/>
    </row>
    <row r="486" spans="1:13">
      <c r="A486" s="62" t="s">
        <v>799</v>
      </c>
      <c r="B486" s="58">
        <v>93945507553</v>
      </c>
      <c r="C486" s="63"/>
      <c r="D486" s="60"/>
      <c r="E486" s="9">
        <v>292</v>
      </c>
      <c r="F486" s="25">
        <v>43168</v>
      </c>
      <c r="G486" s="9" t="s">
        <v>13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800</v>
      </c>
      <c r="B487" s="58">
        <v>23648065858</v>
      </c>
      <c r="C487" s="63"/>
      <c r="D487" s="60"/>
      <c r="E487" s="9">
        <v>1489</v>
      </c>
      <c r="F487" s="25">
        <v>43038</v>
      </c>
      <c r="G487" s="61" t="s">
        <v>13</v>
      </c>
      <c r="H487" s="9"/>
      <c r="I487" s="8"/>
      <c r="J487" s="8"/>
      <c r="K487" s="8"/>
      <c r="L487" s="9" t="s">
        <v>160</v>
      </c>
      <c r="M487" s="8"/>
    </row>
    <row r="488" spans="1:13">
      <c r="A488" s="13" t="s">
        <v>801</v>
      </c>
      <c r="B488" s="58">
        <v>44298003833</v>
      </c>
      <c r="C488" s="63"/>
      <c r="D488" s="60"/>
      <c r="E488" s="9">
        <v>1350</v>
      </c>
      <c r="F488" s="25">
        <v>43006</v>
      </c>
      <c r="G488" s="61" t="s">
        <v>13</v>
      </c>
      <c r="H488" s="9"/>
      <c r="I488" s="8"/>
      <c r="J488" s="8"/>
      <c r="K488" s="8"/>
      <c r="L488" s="8"/>
      <c r="M488" s="8"/>
    </row>
    <row r="489" spans="1:13">
      <c r="A489" s="62" t="s">
        <v>802</v>
      </c>
      <c r="B489" s="58">
        <v>36664921855</v>
      </c>
      <c r="C489" s="63" t="s">
        <v>803</v>
      </c>
      <c r="D489" s="60">
        <v>28495923823</v>
      </c>
      <c r="E489" s="9">
        <v>117</v>
      </c>
      <c r="F489" s="25">
        <v>43117</v>
      </c>
      <c r="G489" s="61" t="s">
        <v>20</v>
      </c>
      <c r="H489" s="9"/>
      <c r="I489" s="8"/>
      <c r="J489" s="8"/>
      <c r="K489" s="8"/>
      <c r="L489" s="9" t="s">
        <v>170</v>
      </c>
      <c r="M489" s="8"/>
    </row>
    <row r="490" spans="1:13">
      <c r="A490" s="70" t="s">
        <v>804</v>
      </c>
      <c r="B490" s="71">
        <v>22561317854</v>
      </c>
      <c r="C490" s="72" t="s">
        <v>805</v>
      </c>
      <c r="D490" s="73">
        <v>26718748803</v>
      </c>
      <c r="E490" s="45">
        <v>1106</v>
      </c>
      <c r="F490" s="46">
        <v>42965</v>
      </c>
      <c r="G490" s="74" t="s">
        <v>20</v>
      </c>
      <c r="H490" s="45"/>
      <c r="I490" s="47"/>
      <c r="J490" s="47"/>
      <c r="K490" s="47"/>
      <c r="L490" s="47"/>
      <c r="M490" s="47"/>
    </row>
    <row r="491" spans="1:13">
      <c r="A491" s="15" t="s">
        <v>806</v>
      </c>
      <c r="B491" s="58">
        <v>34870463857</v>
      </c>
      <c r="C491" s="63" t="s">
        <v>807</v>
      </c>
      <c r="D491" s="60">
        <v>7049816531</v>
      </c>
      <c r="E491" s="9">
        <v>292</v>
      </c>
      <c r="F491" s="25">
        <v>43168</v>
      </c>
      <c r="G491" s="61" t="s">
        <v>13</v>
      </c>
      <c r="H491" s="9"/>
      <c r="I491" s="8"/>
      <c r="J491" s="8"/>
      <c r="K491" s="8"/>
      <c r="L491" s="9">
        <v>318</v>
      </c>
      <c r="M491" s="8"/>
    </row>
    <row r="492" spans="1:13">
      <c r="A492" s="62" t="s">
        <v>808</v>
      </c>
      <c r="B492" s="58">
        <v>35225854885</v>
      </c>
      <c r="C492" s="63" t="s">
        <v>809</v>
      </c>
      <c r="D492" s="60">
        <v>12690641852</v>
      </c>
      <c r="E492" s="9"/>
      <c r="F492" s="25"/>
      <c r="G492" s="61"/>
      <c r="H492" s="9"/>
      <c r="I492" s="8"/>
      <c r="J492" s="8"/>
      <c r="K492" s="8"/>
      <c r="L492" s="8"/>
      <c r="M492" s="8"/>
    </row>
    <row r="493" spans="1:13">
      <c r="A493" s="62" t="s">
        <v>810</v>
      </c>
      <c r="B493" s="58">
        <v>35010044862</v>
      </c>
      <c r="C493" s="63"/>
      <c r="D493" s="60"/>
      <c r="E493" s="9">
        <v>1752</v>
      </c>
      <c r="F493" s="25">
        <v>43051</v>
      </c>
      <c r="G493" s="61" t="s">
        <v>13</v>
      </c>
      <c r="H493" s="9"/>
      <c r="I493" s="8"/>
      <c r="J493" s="8"/>
      <c r="K493" s="8"/>
      <c r="L493" s="9">
        <v>1759</v>
      </c>
      <c r="M493" s="8"/>
    </row>
    <row r="494" spans="1:13">
      <c r="A494" s="62" t="s">
        <v>811</v>
      </c>
      <c r="B494" s="58">
        <v>35929092826</v>
      </c>
      <c r="C494" s="63" t="s">
        <v>812</v>
      </c>
      <c r="D494" s="60">
        <v>29462804893</v>
      </c>
      <c r="E494" s="9">
        <v>1267</v>
      </c>
      <c r="F494" s="25">
        <v>42998</v>
      </c>
      <c r="G494" s="61" t="s">
        <v>13</v>
      </c>
      <c r="H494" s="9"/>
      <c r="I494" s="8"/>
      <c r="J494" s="8"/>
      <c r="K494" s="8"/>
      <c r="L494" s="8"/>
      <c r="M494" s="8"/>
    </row>
    <row r="495" spans="1:13">
      <c r="A495" s="62" t="s">
        <v>813</v>
      </c>
      <c r="B495" s="58">
        <v>23232479804</v>
      </c>
      <c r="C495" s="63"/>
      <c r="D495" s="60"/>
      <c r="E495" s="9"/>
      <c r="F495" s="25"/>
      <c r="G495" s="61"/>
      <c r="H495" s="9"/>
      <c r="I495" s="8"/>
      <c r="J495" s="8"/>
      <c r="K495" s="8"/>
      <c r="L495" s="8"/>
      <c r="M495" s="8"/>
    </row>
    <row r="496" spans="1:13">
      <c r="A496" s="62" t="s">
        <v>814</v>
      </c>
      <c r="B496" s="58">
        <v>13240252805</v>
      </c>
      <c r="C496" s="63"/>
      <c r="D496" s="60"/>
      <c r="E496" s="9"/>
      <c r="F496" s="25"/>
      <c r="G496" s="61"/>
      <c r="H496" s="9"/>
      <c r="I496" s="8"/>
      <c r="J496" s="8"/>
      <c r="K496" s="8"/>
      <c r="L496" s="8"/>
      <c r="M496" s="8"/>
    </row>
    <row r="497" spans="1:13">
      <c r="A497" s="62" t="s">
        <v>815</v>
      </c>
      <c r="B497" s="58">
        <v>15751265831</v>
      </c>
      <c r="C497" s="68"/>
      <c r="D497" s="60"/>
      <c r="E497" s="9"/>
      <c r="F497" s="25"/>
      <c r="G497" s="61"/>
      <c r="H497" s="9"/>
      <c r="I497" s="8"/>
      <c r="J497" s="8"/>
      <c r="K497" s="8"/>
      <c r="L497" s="8"/>
      <c r="M497" s="8"/>
    </row>
    <row r="498" spans="1:13">
      <c r="A498" s="15" t="s">
        <v>816</v>
      </c>
      <c r="B498" s="58">
        <v>3182701452</v>
      </c>
      <c r="C498" s="63"/>
      <c r="D498" s="60"/>
      <c r="E498" s="9">
        <v>85</v>
      </c>
      <c r="F498" s="25">
        <v>43109</v>
      </c>
      <c r="G498" s="61" t="s">
        <v>13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817</v>
      </c>
      <c r="B499" s="58">
        <v>23564937862</v>
      </c>
      <c r="C499" s="63"/>
      <c r="D499" s="60"/>
      <c r="E499" s="9">
        <v>85</v>
      </c>
      <c r="F499" s="25">
        <v>43109</v>
      </c>
      <c r="G499" s="61" t="s">
        <v>28</v>
      </c>
      <c r="H499" s="25">
        <v>43151</v>
      </c>
      <c r="I499" s="8"/>
      <c r="J499" s="8"/>
      <c r="K499" s="8"/>
      <c r="L499" s="8"/>
      <c r="M499" s="8"/>
    </row>
    <row r="500" spans="1:13">
      <c r="A500" s="62" t="s">
        <v>818</v>
      </c>
      <c r="B500" s="58">
        <v>35256834568</v>
      </c>
      <c r="C500" s="63"/>
      <c r="D500" s="60"/>
      <c r="E500" s="9"/>
      <c r="F500" s="25"/>
      <c r="G500" s="61"/>
      <c r="H500" s="9"/>
      <c r="I500" s="8"/>
      <c r="J500" s="8"/>
      <c r="K500" s="8"/>
      <c r="L500" s="8"/>
      <c r="M500" s="8"/>
    </row>
    <row r="501" spans="1:13">
      <c r="A501" s="62" t="s">
        <v>819</v>
      </c>
      <c r="B501" s="58">
        <v>24660726886</v>
      </c>
      <c r="C501" s="63" t="s">
        <v>820</v>
      </c>
      <c r="D501" s="60">
        <v>96400951504</v>
      </c>
      <c r="E501" s="9">
        <v>292</v>
      </c>
      <c r="F501" s="25">
        <v>43168</v>
      </c>
      <c r="G501" s="61" t="s">
        <v>20</v>
      </c>
      <c r="H501" s="9"/>
      <c r="I501" s="8"/>
      <c r="J501" s="8"/>
      <c r="K501" s="8"/>
      <c r="L501" s="9">
        <v>318</v>
      </c>
      <c r="M501" s="8"/>
    </row>
    <row r="502" spans="1:13">
      <c r="A502" s="63" t="s">
        <v>821</v>
      </c>
      <c r="B502" s="60">
        <v>27863381827</v>
      </c>
      <c r="C502" s="62" t="s">
        <v>822</v>
      </c>
      <c r="D502" s="58">
        <v>32370356880</v>
      </c>
      <c r="E502" s="9"/>
      <c r="F502" s="25"/>
      <c r="G502" s="61"/>
      <c r="H502" s="9"/>
      <c r="I502" s="8"/>
      <c r="J502" s="8"/>
      <c r="K502" s="8"/>
      <c r="L502" s="8"/>
      <c r="M502" s="8"/>
    </row>
    <row r="503" spans="1:13">
      <c r="A503" s="63" t="s">
        <v>823</v>
      </c>
      <c r="B503" s="58">
        <v>26551744885</v>
      </c>
      <c r="C503" s="63"/>
      <c r="D503" s="60"/>
      <c r="E503" s="9">
        <v>1752</v>
      </c>
      <c r="F503" s="25">
        <v>43051</v>
      </c>
      <c r="G503" s="61" t="s">
        <v>13</v>
      </c>
      <c r="H503" s="9"/>
      <c r="I503" s="8"/>
      <c r="J503" s="8"/>
      <c r="K503" s="8"/>
      <c r="L503" s="9">
        <v>1759</v>
      </c>
      <c r="M503" s="8"/>
    </row>
    <row r="504" spans="1:13">
      <c r="A504" s="63" t="s">
        <v>824</v>
      </c>
      <c r="B504" s="58">
        <v>8177529609</v>
      </c>
      <c r="C504" s="63"/>
      <c r="D504" s="60"/>
      <c r="E504" s="9"/>
      <c r="F504" s="25"/>
      <c r="G504" s="61"/>
      <c r="H504" s="9"/>
      <c r="I504" s="8"/>
      <c r="J504" s="8"/>
      <c r="K504" s="8"/>
      <c r="L504" s="8"/>
      <c r="M504" s="8"/>
    </row>
    <row r="505" spans="1:13">
      <c r="A505" s="62" t="s">
        <v>825</v>
      </c>
      <c r="B505" s="58">
        <v>25856034821</v>
      </c>
      <c r="C505" s="63" t="s">
        <v>826</v>
      </c>
      <c r="D505" s="60">
        <v>74821083353</v>
      </c>
      <c r="E505" s="9">
        <v>810</v>
      </c>
      <c r="F505" s="25">
        <v>42915</v>
      </c>
      <c r="G505" s="61" t="s">
        <v>13</v>
      </c>
      <c r="H505" s="9"/>
      <c r="I505" s="8"/>
      <c r="J505" s="8"/>
      <c r="K505" s="8"/>
      <c r="L505" s="9" t="s">
        <v>138</v>
      </c>
      <c r="M505" s="8"/>
    </row>
    <row r="506" spans="1:13">
      <c r="A506" s="62" t="s">
        <v>827</v>
      </c>
      <c r="B506" s="58">
        <v>17011991816</v>
      </c>
      <c r="C506" s="68"/>
      <c r="D506" s="60"/>
      <c r="E506" s="9">
        <v>563</v>
      </c>
      <c r="F506" s="25">
        <v>43217</v>
      </c>
      <c r="G506" s="61"/>
      <c r="H506" s="9"/>
      <c r="I506" s="8"/>
      <c r="J506" s="8"/>
      <c r="K506" s="8"/>
      <c r="L506" s="9" t="s">
        <v>299</v>
      </c>
      <c r="M506" s="8"/>
    </row>
    <row r="507" spans="1:13">
      <c r="A507" s="62" t="s">
        <v>828</v>
      </c>
      <c r="B507" s="58">
        <v>39806127838</v>
      </c>
      <c r="C507" s="64"/>
      <c r="D507" s="60"/>
      <c r="E507" s="9"/>
      <c r="F507" s="25"/>
      <c r="G507" s="61"/>
      <c r="H507" s="9"/>
      <c r="I507" s="8"/>
      <c r="J507" s="8"/>
      <c r="K507" s="8"/>
      <c r="L507" s="8"/>
      <c r="M507" s="8"/>
    </row>
    <row r="508" spans="1:13">
      <c r="A508" s="15" t="s">
        <v>829</v>
      </c>
      <c r="B508" s="58">
        <v>33557321843</v>
      </c>
      <c r="C508" s="63"/>
      <c r="D508" s="60"/>
      <c r="E508" s="9">
        <v>563</v>
      </c>
      <c r="F508" s="25">
        <v>43217</v>
      </c>
      <c r="G508" s="61"/>
      <c r="H508" s="9"/>
      <c r="I508" s="8"/>
      <c r="J508" s="8"/>
      <c r="K508" s="8"/>
      <c r="L508" s="9" t="s">
        <v>299</v>
      </c>
      <c r="M508" s="8"/>
    </row>
    <row r="509" spans="1:13">
      <c r="A509" s="27" t="s">
        <v>830</v>
      </c>
      <c r="B509" s="58">
        <v>4802267843</v>
      </c>
      <c r="C509" s="27" t="s">
        <v>831</v>
      </c>
      <c r="D509" s="60">
        <v>39952851472</v>
      </c>
      <c r="E509" s="9"/>
      <c r="F509" s="25"/>
      <c r="G509" s="61"/>
      <c r="H509" s="9"/>
      <c r="I509" s="8"/>
      <c r="J509" s="8"/>
      <c r="K509" s="8"/>
      <c r="L509" s="8"/>
      <c r="M509" s="8"/>
    </row>
    <row r="510" spans="1:13">
      <c r="A510" s="62" t="s">
        <v>832</v>
      </c>
      <c r="B510" s="58">
        <v>6672502807</v>
      </c>
      <c r="C510" s="63" t="s">
        <v>833</v>
      </c>
      <c r="D510" s="60">
        <v>3948605866</v>
      </c>
      <c r="E510" s="9">
        <v>563</v>
      </c>
      <c r="F510" s="25">
        <v>43217</v>
      </c>
      <c r="G510" s="61"/>
      <c r="H510" s="9"/>
      <c r="I510" s="8"/>
      <c r="J510" s="8"/>
      <c r="K510" s="8"/>
      <c r="L510" s="9" t="s">
        <v>299</v>
      </c>
      <c r="M510" s="8"/>
    </row>
    <row r="511" spans="1:13">
      <c r="A511" s="18" t="s">
        <v>834</v>
      </c>
      <c r="B511" s="58">
        <v>22596504812</v>
      </c>
      <c r="C511" s="18"/>
      <c r="D511" s="60"/>
      <c r="E511" s="9"/>
      <c r="F511" s="25"/>
      <c r="G511" s="61"/>
      <c r="H511" s="9"/>
      <c r="I511" s="8"/>
      <c r="J511" s="8"/>
      <c r="K511" s="8"/>
      <c r="L511" s="8"/>
      <c r="M511" s="8"/>
    </row>
    <row r="512" spans="1:13">
      <c r="A512" s="14" t="s">
        <v>835</v>
      </c>
      <c r="B512" s="58">
        <v>33697197894</v>
      </c>
      <c r="C512" s="63"/>
      <c r="D512" s="60"/>
      <c r="E512" s="9">
        <v>443</v>
      </c>
      <c r="F512" s="25">
        <v>43188</v>
      </c>
      <c r="G512" s="61"/>
      <c r="H512" s="9"/>
      <c r="I512" s="8"/>
      <c r="J512" s="8"/>
      <c r="K512" s="8"/>
      <c r="L512" s="8"/>
      <c r="M512" s="8"/>
    </row>
    <row r="513" spans="1:13">
      <c r="A513" s="27" t="s">
        <v>836</v>
      </c>
      <c r="B513" s="58">
        <v>37233245843</v>
      </c>
      <c r="C513" s="27" t="s">
        <v>837</v>
      </c>
      <c r="D513" s="60">
        <v>35653055840</v>
      </c>
      <c r="E513" s="9"/>
      <c r="F513" s="25"/>
      <c r="G513" s="61"/>
      <c r="H513" s="9"/>
      <c r="I513" s="8"/>
      <c r="J513" s="8"/>
      <c r="K513" s="8"/>
      <c r="L513" s="8"/>
      <c r="M513" s="8"/>
    </row>
    <row r="514" spans="1:13">
      <c r="A514" s="15" t="s">
        <v>838</v>
      </c>
      <c r="B514" s="58">
        <v>16381918837</v>
      </c>
      <c r="C514" s="63"/>
      <c r="D514" s="60"/>
      <c r="E514" s="9"/>
      <c r="F514" s="25"/>
      <c r="G514" s="61"/>
      <c r="H514" s="9"/>
      <c r="I514" s="8"/>
      <c r="J514" s="8"/>
      <c r="K514" s="8"/>
      <c r="L514" s="8"/>
      <c r="M514" s="8"/>
    </row>
    <row r="515" spans="1:13">
      <c r="A515" s="62" t="s">
        <v>839</v>
      </c>
      <c r="B515" s="58">
        <v>33456412835</v>
      </c>
      <c r="C515" s="63" t="s">
        <v>840</v>
      </c>
      <c r="D515" s="60">
        <v>9387669882</v>
      </c>
      <c r="E515" s="9">
        <v>229</v>
      </c>
      <c r="F515" s="25">
        <v>43151</v>
      </c>
      <c r="G515" s="61" t="s">
        <v>28</v>
      </c>
      <c r="H515" s="9"/>
      <c r="I515" s="8"/>
      <c r="J515" s="8"/>
      <c r="K515" s="8"/>
      <c r="L515" s="9">
        <v>232</v>
      </c>
      <c r="M515" s="8"/>
    </row>
    <row r="516" spans="1:13">
      <c r="A516" s="62" t="s">
        <v>841</v>
      </c>
      <c r="B516" s="58">
        <v>32093394812</v>
      </c>
      <c r="C516" s="63"/>
      <c r="D516" s="60"/>
      <c r="E516" s="9">
        <v>1106</v>
      </c>
      <c r="F516" s="25">
        <v>42965</v>
      </c>
      <c r="G516" s="61" t="s">
        <v>13</v>
      </c>
      <c r="H516" s="9"/>
      <c r="I516" s="8"/>
      <c r="J516" s="8"/>
      <c r="K516" s="8"/>
      <c r="L516" s="8"/>
      <c r="M516" s="8"/>
    </row>
    <row r="517" spans="1:13">
      <c r="A517" s="63" t="s">
        <v>842</v>
      </c>
      <c r="B517" s="58">
        <v>10317452894</v>
      </c>
      <c r="C517" s="63" t="s">
        <v>843</v>
      </c>
      <c r="D517" s="60">
        <v>16527669879</v>
      </c>
      <c r="E517" s="9"/>
      <c r="F517" s="25"/>
      <c r="G517" s="61"/>
      <c r="H517" s="9"/>
      <c r="I517" s="8"/>
      <c r="J517" s="8"/>
      <c r="K517" s="8"/>
      <c r="L517" s="8"/>
      <c r="M517" s="8"/>
    </row>
    <row r="518" spans="1:13">
      <c r="A518" s="62" t="s">
        <v>844</v>
      </c>
      <c r="B518" s="58">
        <v>2554491860</v>
      </c>
      <c r="C518" s="63"/>
      <c r="D518" s="60"/>
      <c r="E518" s="9">
        <v>1106</v>
      </c>
      <c r="F518" s="25">
        <v>42965</v>
      </c>
      <c r="G518" s="61" t="s">
        <v>13</v>
      </c>
      <c r="H518" s="9"/>
      <c r="I518" s="8"/>
      <c r="J518" s="8"/>
      <c r="K518" s="8"/>
      <c r="L518" s="8"/>
      <c r="M518" s="8"/>
    </row>
    <row r="519" spans="1:13">
      <c r="A519" s="27" t="s">
        <v>845</v>
      </c>
      <c r="B519" s="58"/>
      <c r="C519" s="27" t="s">
        <v>846</v>
      </c>
      <c r="D519" s="60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847</v>
      </c>
      <c r="B520" s="58">
        <v>42782953591</v>
      </c>
      <c r="C520" s="63" t="s">
        <v>848</v>
      </c>
      <c r="D520" s="60">
        <v>53921186587</v>
      </c>
      <c r="E520" s="9">
        <v>85</v>
      </c>
      <c r="F520" s="25">
        <v>43109</v>
      </c>
      <c r="G520" s="61" t="s">
        <v>13</v>
      </c>
      <c r="H520" s="25">
        <v>43151</v>
      </c>
      <c r="I520" s="8"/>
      <c r="J520" s="8"/>
      <c r="K520" s="8"/>
      <c r="L520" s="8"/>
      <c r="M520" s="8"/>
    </row>
    <row r="521" spans="1:13">
      <c r="A521" s="62" t="s">
        <v>849</v>
      </c>
      <c r="B521" s="58">
        <v>3086762896</v>
      </c>
      <c r="C521" s="63" t="s">
        <v>850</v>
      </c>
      <c r="D521" s="60">
        <v>89632877853</v>
      </c>
      <c r="E521" s="9">
        <v>810</v>
      </c>
      <c r="F521" s="25">
        <v>42915</v>
      </c>
      <c r="G521" s="61" t="s">
        <v>13</v>
      </c>
      <c r="H521" s="9"/>
      <c r="I521" s="8"/>
      <c r="J521" s="8"/>
      <c r="K521" s="8"/>
      <c r="L521" s="9" t="s">
        <v>138</v>
      </c>
      <c r="M521" s="8"/>
    </row>
    <row r="522" spans="1:13">
      <c r="A522" s="62" t="s">
        <v>851</v>
      </c>
      <c r="B522" s="58">
        <v>50196529468</v>
      </c>
      <c r="C522" s="63"/>
      <c r="D522" s="60"/>
      <c r="E522" s="9">
        <v>1214</v>
      </c>
      <c r="F522" s="25">
        <v>42989</v>
      </c>
      <c r="G522" s="61" t="s">
        <v>13</v>
      </c>
      <c r="H522" s="9"/>
      <c r="I522" s="8"/>
      <c r="J522" s="8"/>
      <c r="K522" s="8"/>
      <c r="L522" s="8"/>
      <c r="M522" s="8"/>
    </row>
    <row r="523" spans="1:13">
      <c r="A523" s="13" t="s">
        <v>852</v>
      </c>
      <c r="B523" s="58">
        <v>28477638802</v>
      </c>
      <c r="C523" s="63"/>
      <c r="D523" s="60"/>
      <c r="E523" s="9">
        <v>1417</v>
      </c>
      <c r="F523" s="25">
        <v>43017</v>
      </c>
      <c r="G523" s="61" t="s">
        <v>13</v>
      </c>
      <c r="H523" s="9"/>
      <c r="I523" s="8"/>
      <c r="J523" s="8"/>
      <c r="K523" s="8"/>
      <c r="L523" s="9" t="s">
        <v>253</v>
      </c>
      <c r="M523" s="8"/>
    </row>
    <row r="524" spans="1:13">
      <c r="A524" s="31" t="s">
        <v>853</v>
      </c>
      <c r="B524" s="58">
        <v>22624049843</v>
      </c>
      <c r="C524" s="30" t="s">
        <v>854</v>
      </c>
      <c r="D524" s="60">
        <v>32978302801</v>
      </c>
      <c r="E524" s="9">
        <v>1570</v>
      </c>
      <c r="F524" s="25">
        <v>43077</v>
      </c>
      <c r="G524" s="61" t="s">
        <v>13</v>
      </c>
      <c r="H524" s="9"/>
      <c r="I524" s="8"/>
      <c r="J524" s="8"/>
      <c r="K524" s="8"/>
      <c r="L524" s="8"/>
      <c r="M524" s="8"/>
    </row>
    <row r="525" spans="1:13">
      <c r="A525" s="15" t="s">
        <v>855</v>
      </c>
      <c r="B525" s="58">
        <v>18668991809</v>
      </c>
      <c r="C525" s="63"/>
      <c r="D525" s="60"/>
      <c r="E525" s="9"/>
      <c r="F525" s="25"/>
      <c r="G525" s="61"/>
      <c r="H525" s="9"/>
      <c r="I525" s="8"/>
      <c r="J525" s="8"/>
      <c r="K525" s="8"/>
      <c r="L525" s="8"/>
      <c r="M525" s="8"/>
    </row>
    <row r="526" spans="1:13">
      <c r="A526" s="62" t="s">
        <v>856</v>
      </c>
      <c r="B526" s="58">
        <v>36105789807</v>
      </c>
      <c r="C526" s="63"/>
      <c r="D526" s="60"/>
      <c r="E526" s="9">
        <v>1489</v>
      </c>
      <c r="F526" s="25">
        <v>43038</v>
      </c>
      <c r="G526" s="61" t="s">
        <v>13</v>
      </c>
      <c r="H526" s="9"/>
      <c r="I526" s="8"/>
      <c r="J526" s="8"/>
      <c r="K526" s="8"/>
      <c r="L526" s="9" t="s">
        <v>160</v>
      </c>
      <c r="M526" s="8"/>
    </row>
    <row r="527" spans="1:13">
      <c r="A527" s="62" t="s">
        <v>857</v>
      </c>
      <c r="B527" s="58">
        <v>34370634806</v>
      </c>
      <c r="C527" s="63"/>
      <c r="D527" s="60"/>
      <c r="E527" s="9">
        <v>1824</v>
      </c>
      <c r="F527" s="25">
        <v>43091</v>
      </c>
      <c r="G527" s="61" t="s">
        <v>13</v>
      </c>
      <c r="H527" s="9"/>
      <c r="I527" s="8"/>
      <c r="J527" s="8"/>
      <c r="K527" s="8"/>
      <c r="L527" s="9">
        <v>1828</v>
      </c>
      <c r="M527" s="8"/>
    </row>
    <row r="528" spans="1:13">
      <c r="A528" s="64" t="s">
        <v>858</v>
      </c>
      <c r="B528" s="58">
        <v>27112847869</v>
      </c>
      <c r="C528" s="63" t="s">
        <v>859</v>
      </c>
      <c r="D528" s="60">
        <v>37782363420</v>
      </c>
      <c r="E528" s="9">
        <v>1106</v>
      </c>
      <c r="F528" s="25">
        <v>42965</v>
      </c>
      <c r="G528" s="61" t="s">
        <v>13</v>
      </c>
      <c r="H528" s="9"/>
      <c r="I528" s="8"/>
      <c r="J528" s="8"/>
      <c r="K528" s="8"/>
      <c r="L528" s="8"/>
      <c r="M528" s="8"/>
    </row>
    <row r="529" spans="1:13">
      <c r="A529" s="15" t="s">
        <v>860</v>
      </c>
      <c r="B529" s="58">
        <v>32811648895</v>
      </c>
      <c r="C529" s="63" t="s">
        <v>861</v>
      </c>
      <c r="D529" s="60">
        <v>25428395818</v>
      </c>
      <c r="E529" s="9">
        <v>85</v>
      </c>
      <c r="F529" s="25">
        <v>43109</v>
      </c>
      <c r="G529" s="61" t="s">
        <v>13</v>
      </c>
      <c r="H529" s="25">
        <v>43151</v>
      </c>
      <c r="I529" s="8"/>
      <c r="J529" s="8"/>
      <c r="K529" s="8"/>
      <c r="L529" s="8"/>
      <c r="M529" s="8"/>
    </row>
    <row r="530" spans="1:13">
      <c r="A530" s="62" t="s">
        <v>862</v>
      </c>
      <c r="B530" s="58">
        <v>12811159835</v>
      </c>
      <c r="C530" s="63" t="s">
        <v>863</v>
      </c>
      <c r="D530" s="60">
        <v>2185716824</v>
      </c>
      <c r="E530" s="9"/>
      <c r="F530" s="25"/>
      <c r="G530" s="61"/>
      <c r="H530" s="9"/>
      <c r="I530" s="8"/>
      <c r="J530" s="8"/>
      <c r="K530" s="8"/>
      <c r="L530" s="8"/>
      <c r="M530" s="8"/>
    </row>
    <row r="531" spans="1:13">
      <c r="A531" s="63" t="s">
        <v>864</v>
      </c>
      <c r="B531" s="58">
        <v>30007328885</v>
      </c>
      <c r="C531" s="63"/>
      <c r="D531" s="60"/>
      <c r="E531" s="9"/>
      <c r="F531" s="25"/>
      <c r="G531" s="61"/>
      <c r="H531" s="9"/>
      <c r="I531" s="8"/>
      <c r="J531" s="8"/>
      <c r="K531" s="8"/>
      <c r="L531" s="8"/>
      <c r="M531" s="8"/>
    </row>
    <row r="532" spans="1:13">
      <c r="A532" s="63" t="s">
        <v>865</v>
      </c>
      <c r="B532" s="58">
        <v>77389913487</v>
      </c>
      <c r="C532" s="63"/>
      <c r="D532" s="60"/>
      <c r="E532" s="9">
        <v>292</v>
      </c>
      <c r="F532" s="25">
        <v>43168</v>
      </c>
      <c r="G532" s="61"/>
      <c r="H532" s="9"/>
      <c r="I532" s="8"/>
      <c r="J532" s="8"/>
      <c r="K532" s="8"/>
      <c r="L532" s="9">
        <v>318</v>
      </c>
      <c r="M532" s="8"/>
    </row>
    <row r="533" spans="1:13">
      <c r="A533" s="18" t="s">
        <v>866</v>
      </c>
      <c r="B533" s="58">
        <v>83941010468</v>
      </c>
      <c r="C533" s="18" t="s">
        <v>867</v>
      </c>
      <c r="D533" s="60">
        <v>14270071877</v>
      </c>
      <c r="E533" s="9"/>
      <c r="F533" s="25"/>
      <c r="G533" s="61"/>
      <c r="H533" s="9"/>
      <c r="I533" s="8"/>
      <c r="J533" s="8"/>
      <c r="K533" s="8"/>
      <c r="L533" s="8"/>
      <c r="M533" s="8"/>
    </row>
    <row r="534" spans="1:13">
      <c r="A534" s="27" t="s">
        <v>868</v>
      </c>
      <c r="B534" s="58">
        <v>43152462808</v>
      </c>
      <c r="C534" s="27" t="s">
        <v>869</v>
      </c>
      <c r="D534" s="60">
        <v>43215886855</v>
      </c>
      <c r="E534" s="9"/>
      <c r="F534" s="25"/>
      <c r="G534" s="61"/>
      <c r="H534" s="9"/>
      <c r="I534" s="8"/>
      <c r="J534" s="8"/>
      <c r="K534" s="8"/>
      <c r="L534" s="8"/>
      <c r="M534" s="8"/>
    </row>
    <row r="535" spans="1:13">
      <c r="A535" s="14" t="s">
        <v>870</v>
      </c>
      <c r="B535" s="58">
        <v>42910405800</v>
      </c>
      <c r="C535" s="63"/>
      <c r="D535" s="60"/>
      <c r="E535" s="9"/>
      <c r="F535" s="25"/>
      <c r="G535" s="61"/>
      <c r="H535" s="9"/>
      <c r="I535" s="8"/>
      <c r="J535" s="8"/>
      <c r="K535" s="8"/>
      <c r="L535" s="8"/>
      <c r="M535" s="8"/>
    </row>
    <row r="536" spans="1:13">
      <c r="A536" s="62" t="s">
        <v>871</v>
      </c>
      <c r="B536" s="58">
        <v>35499203857</v>
      </c>
      <c r="C536" s="63"/>
      <c r="D536" s="60"/>
      <c r="E536" s="9">
        <v>1350</v>
      </c>
      <c r="F536" s="25">
        <v>43006</v>
      </c>
      <c r="G536" s="61" t="s">
        <v>13</v>
      </c>
      <c r="H536" s="9"/>
      <c r="I536" s="8"/>
      <c r="J536" s="8"/>
      <c r="K536" s="8"/>
      <c r="L536" s="8"/>
      <c r="M536" s="8"/>
    </row>
    <row r="537" spans="1:13">
      <c r="A537" s="27" t="s">
        <v>872</v>
      </c>
      <c r="B537" s="58"/>
      <c r="C537" s="18" t="s">
        <v>129</v>
      </c>
      <c r="D537" s="60"/>
      <c r="E537" s="9"/>
      <c r="F537" s="25"/>
      <c r="G537" s="61"/>
      <c r="H537" s="9"/>
      <c r="I537" s="8"/>
      <c r="J537" s="8"/>
      <c r="K537" s="8"/>
      <c r="L537" s="8"/>
      <c r="M537" s="8"/>
    </row>
    <row r="538" spans="1:13">
      <c r="A538" s="15" t="s">
        <v>873</v>
      </c>
      <c r="B538" s="58">
        <v>41249931886</v>
      </c>
      <c r="C538" s="63" t="s">
        <v>874</v>
      </c>
      <c r="D538" s="60">
        <v>39982443879</v>
      </c>
      <c r="E538" s="9">
        <v>262</v>
      </c>
      <c r="F538" s="25">
        <v>43160</v>
      </c>
      <c r="G538" s="61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875</v>
      </c>
      <c r="B539" s="58">
        <v>34361118809</v>
      </c>
      <c r="C539" s="63" t="s">
        <v>876</v>
      </c>
      <c r="D539" s="60">
        <v>14784595813</v>
      </c>
      <c r="E539" s="9">
        <v>85</v>
      </c>
      <c r="F539" s="25">
        <v>43109</v>
      </c>
      <c r="G539" s="61" t="s">
        <v>13</v>
      </c>
      <c r="H539" s="25">
        <v>43151</v>
      </c>
      <c r="I539" s="8"/>
      <c r="J539" s="8"/>
      <c r="K539" s="8"/>
      <c r="L539" s="8"/>
      <c r="M539" s="8"/>
    </row>
    <row r="540" spans="1:13">
      <c r="A540" s="62" t="s">
        <v>877</v>
      </c>
      <c r="B540" s="58">
        <v>32686389885</v>
      </c>
      <c r="C540" s="63"/>
      <c r="D540" s="60"/>
      <c r="E540" s="9">
        <v>1439</v>
      </c>
      <c r="F540" s="25">
        <v>43025</v>
      </c>
      <c r="G540" s="61" t="s">
        <v>13</v>
      </c>
      <c r="H540" s="9"/>
      <c r="I540" s="8"/>
      <c r="J540" s="8"/>
      <c r="K540" s="8"/>
      <c r="L540" s="9" t="s">
        <v>502</v>
      </c>
      <c r="M540" s="8"/>
    </row>
    <row r="541" spans="1:13">
      <c r="A541" s="62" t="s">
        <v>878</v>
      </c>
      <c r="B541" s="58">
        <v>45469747875</v>
      </c>
      <c r="C541" s="63" t="s">
        <v>879</v>
      </c>
      <c r="D541" s="60">
        <v>39042679816</v>
      </c>
      <c r="E541" s="9">
        <v>117</v>
      </c>
      <c r="F541" s="25">
        <v>43117</v>
      </c>
      <c r="G541" s="61" t="s">
        <v>13</v>
      </c>
      <c r="H541" s="9"/>
      <c r="I541" s="8"/>
      <c r="J541" s="8"/>
      <c r="K541" s="8"/>
      <c r="L541" s="9" t="s">
        <v>170</v>
      </c>
      <c r="M541" s="8"/>
    </row>
    <row r="542" spans="1:13">
      <c r="A542" s="62" t="s">
        <v>880</v>
      </c>
      <c r="B542" s="58">
        <v>28496393895</v>
      </c>
      <c r="C542" s="63"/>
      <c r="D542" s="60"/>
      <c r="E542" s="9"/>
      <c r="F542" s="25"/>
      <c r="G542" s="61"/>
      <c r="H542" s="9"/>
      <c r="I542" s="8"/>
      <c r="J542" s="8"/>
      <c r="K542" s="8"/>
      <c r="L542" s="8"/>
      <c r="M542" s="8"/>
    </row>
    <row r="543" spans="1:13">
      <c r="A543" s="62" t="s">
        <v>881</v>
      </c>
      <c r="B543" s="58">
        <v>22347102869</v>
      </c>
      <c r="C543" s="63"/>
      <c r="D543" s="60"/>
      <c r="E543" s="9">
        <v>1824</v>
      </c>
      <c r="F543" s="25">
        <v>43091</v>
      </c>
      <c r="G543" s="61" t="s">
        <v>13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882</v>
      </c>
      <c r="B544" s="58">
        <v>33199855822</v>
      </c>
      <c r="C544" s="18" t="s">
        <v>883</v>
      </c>
      <c r="D544" s="60">
        <v>39123783800</v>
      </c>
      <c r="E544" s="9"/>
      <c r="F544" s="25"/>
      <c r="G544" s="61"/>
      <c r="H544" s="9"/>
      <c r="I544" s="8"/>
      <c r="J544" s="8"/>
      <c r="K544" s="8"/>
      <c r="L544" s="8"/>
      <c r="M544" s="8"/>
    </row>
    <row r="545" spans="1:13">
      <c r="A545" s="18" t="s">
        <v>884</v>
      </c>
      <c r="B545" s="58">
        <v>32878318870</v>
      </c>
      <c r="C545" s="18" t="s">
        <v>885</v>
      </c>
      <c r="D545" s="60">
        <v>35310176837</v>
      </c>
      <c r="E545" s="9"/>
      <c r="F545" s="25"/>
      <c r="G545" s="61"/>
      <c r="H545" s="9"/>
      <c r="I545" s="8"/>
      <c r="J545" s="8"/>
      <c r="K545" s="8"/>
      <c r="L545" s="8"/>
      <c r="M545" s="8"/>
    </row>
    <row r="546" spans="1:13">
      <c r="A546" s="62" t="s">
        <v>886</v>
      </c>
      <c r="B546" s="58">
        <v>36120858830</v>
      </c>
      <c r="C546" s="63"/>
      <c r="D546" s="60"/>
      <c r="E546" s="9">
        <v>292</v>
      </c>
      <c r="F546" s="25">
        <v>43168</v>
      </c>
      <c r="G546" s="61" t="s">
        <v>13</v>
      </c>
      <c r="H546" s="9"/>
      <c r="I546" s="8"/>
      <c r="J546" s="8"/>
      <c r="K546" s="8"/>
      <c r="L546" s="9">
        <v>318</v>
      </c>
      <c r="M546" s="8"/>
    </row>
    <row r="547" spans="1:13">
      <c r="A547" s="62" t="s">
        <v>887</v>
      </c>
      <c r="B547" s="58">
        <v>31328839800</v>
      </c>
      <c r="C547" s="63" t="s">
        <v>888</v>
      </c>
      <c r="D547" s="60">
        <v>13482435898</v>
      </c>
      <c r="E547" s="9">
        <v>262</v>
      </c>
      <c r="F547" s="25">
        <v>43160</v>
      </c>
      <c r="G547" s="61" t="s">
        <v>13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62" t="s">
        <v>889</v>
      </c>
      <c r="B548" s="58">
        <v>18355451813</v>
      </c>
      <c r="C548" s="63"/>
      <c r="D548" s="60"/>
      <c r="E548" s="9">
        <v>262</v>
      </c>
      <c r="F548" s="25">
        <v>43160</v>
      </c>
      <c r="G548" s="61" t="s">
        <v>13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890</v>
      </c>
      <c r="B549" s="58">
        <v>3051677310</v>
      </c>
      <c r="C549" s="63"/>
      <c r="D549" s="60"/>
      <c r="E549" s="9">
        <v>117</v>
      </c>
      <c r="F549" s="25">
        <v>43117</v>
      </c>
      <c r="G549" s="61" t="s">
        <v>13</v>
      </c>
      <c r="H549" s="9"/>
      <c r="I549" s="8"/>
      <c r="J549" s="8"/>
      <c r="K549" s="8"/>
      <c r="L549" s="9" t="s">
        <v>170</v>
      </c>
      <c r="M549" s="8"/>
    </row>
    <row r="550" spans="1:13">
      <c r="A550" s="64" t="s">
        <v>891</v>
      </c>
      <c r="B550" s="58">
        <v>33311756843</v>
      </c>
      <c r="C550" s="63" t="s">
        <v>892</v>
      </c>
      <c r="D550" s="60">
        <v>31561945811</v>
      </c>
      <c r="E550" s="9">
        <v>1106</v>
      </c>
      <c r="F550" s="25">
        <v>42965</v>
      </c>
      <c r="G550" s="61" t="s">
        <v>13</v>
      </c>
      <c r="H550" s="9"/>
      <c r="I550" s="8"/>
      <c r="J550" s="8"/>
      <c r="K550" s="8"/>
      <c r="L550" s="8"/>
      <c r="M550" s="8"/>
    </row>
    <row r="551" spans="1:13">
      <c r="A551" s="62" t="s">
        <v>893</v>
      </c>
      <c r="B551" s="58" t="s">
        <v>894</v>
      </c>
      <c r="C551" s="68" t="s">
        <v>895</v>
      </c>
      <c r="D551" s="60">
        <v>14809823857</v>
      </c>
      <c r="E551" s="9"/>
      <c r="F551" s="25"/>
      <c r="G551" s="61"/>
      <c r="H551" s="9"/>
      <c r="I551" s="8"/>
      <c r="J551" s="8"/>
      <c r="K551" s="8"/>
      <c r="L551" s="8"/>
      <c r="M551" s="8"/>
    </row>
    <row r="552" spans="1:13">
      <c r="A552" s="62" t="s">
        <v>896</v>
      </c>
      <c r="B552" s="58">
        <v>37079404894</v>
      </c>
      <c r="C552" s="63"/>
      <c r="D552" s="60"/>
      <c r="E552" s="9">
        <v>1824</v>
      </c>
      <c r="F552" s="25">
        <v>43091</v>
      </c>
      <c r="G552" s="61" t="s">
        <v>13</v>
      </c>
      <c r="H552" s="9"/>
      <c r="I552" s="8"/>
      <c r="J552" s="8"/>
      <c r="K552" s="8"/>
      <c r="L552" s="9">
        <v>1828</v>
      </c>
      <c r="M552" s="8"/>
    </row>
    <row r="553" spans="1:13">
      <c r="A553" s="62" t="s">
        <v>897</v>
      </c>
      <c r="B553" s="58">
        <v>37065542831</v>
      </c>
      <c r="C553" s="63"/>
      <c r="D553" s="60"/>
      <c r="E553" s="9">
        <v>1106</v>
      </c>
      <c r="F553" s="25">
        <v>42965</v>
      </c>
      <c r="G553" s="61" t="s">
        <v>13</v>
      </c>
      <c r="H553" s="9"/>
      <c r="I553" s="8"/>
      <c r="J553" s="8"/>
      <c r="K553" s="8"/>
      <c r="L553" s="8"/>
      <c r="M553" s="8"/>
    </row>
    <row r="554" spans="1:13">
      <c r="A554" s="27" t="s">
        <v>898</v>
      </c>
      <c r="B554" s="58"/>
      <c r="C554" s="18" t="s">
        <v>129</v>
      </c>
      <c r="D554" s="60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899</v>
      </c>
      <c r="B555" s="58">
        <v>35273573866</v>
      </c>
      <c r="C555" s="59"/>
      <c r="D555" s="60"/>
      <c r="E555" s="9">
        <v>1128</v>
      </c>
      <c r="F555" s="25">
        <v>42972</v>
      </c>
      <c r="G555" s="61" t="s">
        <v>13</v>
      </c>
      <c r="H555" s="9"/>
      <c r="I555" s="8"/>
      <c r="J555" s="8"/>
      <c r="K555" s="8"/>
      <c r="L555" s="8"/>
      <c r="M555" s="8"/>
    </row>
    <row r="556" spans="1:13">
      <c r="A556" s="13" t="s">
        <v>900</v>
      </c>
      <c r="B556" s="58">
        <v>37608246847</v>
      </c>
      <c r="C556" s="59" t="s">
        <v>901</v>
      </c>
      <c r="D556" s="60">
        <v>27976942875</v>
      </c>
      <c r="E556" s="9">
        <v>608</v>
      </c>
      <c r="F556" s="25">
        <v>43012</v>
      </c>
      <c r="G556" s="61" t="s">
        <v>13</v>
      </c>
      <c r="H556" s="9"/>
      <c r="I556" s="8"/>
      <c r="J556" s="8"/>
      <c r="K556" s="8"/>
      <c r="L556" s="8"/>
      <c r="M556" s="8"/>
    </row>
    <row r="557" spans="1:13">
      <c r="A557" s="14" t="s">
        <v>902</v>
      </c>
      <c r="B557" s="58">
        <v>19271503880</v>
      </c>
      <c r="C557" s="63"/>
      <c r="D557" s="60"/>
      <c r="E557" s="9">
        <v>443</v>
      </c>
      <c r="F557" s="25">
        <v>43188</v>
      </c>
      <c r="G557" s="61"/>
      <c r="H557" s="9"/>
      <c r="I557" s="8"/>
      <c r="J557" s="8"/>
      <c r="K557" s="8"/>
      <c r="L557" s="8"/>
      <c r="M557" s="8"/>
    </row>
    <row r="558" spans="1:13">
      <c r="A558" s="62" t="s">
        <v>903</v>
      </c>
      <c r="B558" s="58">
        <v>37300363865</v>
      </c>
      <c r="C558" s="63"/>
      <c r="D558" s="60"/>
      <c r="E558" s="9"/>
      <c r="F558" s="25"/>
      <c r="G558" s="61"/>
      <c r="H558" s="9"/>
      <c r="I558" s="8"/>
      <c r="J558" s="8"/>
      <c r="K558" s="8"/>
      <c r="L558" s="8"/>
      <c r="M558" s="8"/>
    </row>
    <row r="559" spans="1:13">
      <c r="A559" s="62" t="s">
        <v>904</v>
      </c>
      <c r="B559" s="58">
        <v>39990709866</v>
      </c>
      <c r="C559" s="63" t="s">
        <v>905</v>
      </c>
      <c r="D559" s="60">
        <v>46936249850</v>
      </c>
      <c r="E559" s="9">
        <v>229</v>
      </c>
      <c r="F559" s="25">
        <v>43151</v>
      </c>
      <c r="G559" s="61" t="s">
        <v>13</v>
      </c>
      <c r="H559" s="9"/>
      <c r="I559" s="8"/>
      <c r="J559" s="8"/>
      <c r="K559" s="8"/>
      <c r="L559" s="9">
        <v>232</v>
      </c>
      <c r="M559" s="8"/>
    </row>
    <row r="560" spans="1:13">
      <c r="A560" s="62" t="s">
        <v>906</v>
      </c>
      <c r="B560" s="58">
        <v>30814903835</v>
      </c>
      <c r="C560" s="63"/>
      <c r="D560" s="60"/>
      <c r="E560" s="9"/>
      <c r="F560" s="25"/>
      <c r="G560" s="61"/>
      <c r="H560" s="9"/>
      <c r="I560" s="8"/>
      <c r="J560" s="8"/>
      <c r="K560" s="8"/>
      <c r="L560" s="8"/>
      <c r="M560" s="8"/>
    </row>
    <row r="561" spans="1:13">
      <c r="A561" s="13" t="s">
        <v>907</v>
      </c>
      <c r="B561" s="58">
        <v>36788585890</v>
      </c>
      <c r="C561" s="63"/>
      <c r="D561" s="60"/>
      <c r="E561" s="9">
        <v>1350</v>
      </c>
      <c r="F561" s="25">
        <v>43006</v>
      </c>
      <c r="G561" s="61" t="s">
        <v>13</v>
      </c>
      <c r="H561" s="9"/>
      <c r="I561" s="8"/>
      <c r="J561" s="8"/>
      <c r="K561" s="8"/>
      <c r="L561" s="8"/>
      <c r="M561" s="8"/>
    </row>
    <row r="562" spans="1:13">
      <c r="A562" s="62" t="s">
        <v>908</v>
      </c>
      <c r="B562" s="58">
        <v>38559368892</v>
      </c>
      <c r="C562" s="63"/>
      <c r="D562" s="60"/>
      <c r="E562" s="9">
        <v>810</v>
      </c>
      <c r="F562" s="25">
        <v>42915</v>
      </c>
      <c r="G562" s="61" t="s">
        <v>13</v>
      </c>
      <c r="H562" s="9"/>
      <c r="I562" s="8"/>
      <c r="J562" s="8"/>
      <c r="K562" s="8"/>
      <c r="L562" s="9" t="s">
        <v>138</v>
      </c>
      <c r="M562" s="8"/>
    </row>
    <row r="563" spans="1:13">
      <c r="A563" s="62" t="s">
        <v>909</v>
      </c>
      <c r="B563" s="58">
        <v>35922156802</v>
      </c>
      <c r="C563" s="63"/>
      <c r="D563" s="60"/>
      <c r="E563" s="9"/>
      <c r="F563" s="25"/>
      <c r="G563" s="61"/>
      <c r="H563" s="9"/>
      <c r="I563" s="8"/>
      <c r="J563" s="8"/>
      <c r="K563" s="8"/>
      <c r="L563" s="8"/>
      <c r="M563" s="8"/>
    </row>
    <row r="564" spans="1:13">
      <c r="A564" s="63" t="s">
        <v>910</v>
      </c>
      <c r="B564" s="58">
        <v>33291554850</v>
      </c>
      <c r="C564" s="63"/>
      <c r="D564" s="60"/>
      <c r="E564" s="9"/>
      <c r="F564" s="25"/>
      <c r="G564" s="61"/>
      <c r="H564" s="9"/>
      <c r="I564" s="8"/>
      <c r="J564" s="8"/>
      <c r="K564" s="8"/>
      <c r="L564" s="8"/>
      <c r="M564" s="8"/>
    </row>
    <row r="565" spans="1:13">
      <c r="A565" s="14" t="s">
        <v>911</v>
      </c>
      <c r="B565" s="58">
        <v>23675111873</v>
      </c>
      <c r="C565" s="63"/>
      <c r="D565" s="60"/>
      <c r="E565" s="9">
        <v>292</v>
      </c>
      <c r="F565" s="25">
        <v>43168</v>
      </c>
      <c r="G565" s="61" t="s">
        <v>13</v>
      </c>
      <c r="H565" s="9"/>
      <c r="I565" s="8"/>
      <c r="J565" s="8"/>
      <c r="K565" s="8"/>
      <c r="L565" s="9">
        <v>318</v>
      </c>
      <c r="M565" s="8"/>
    </row>
    <row r="566" spans="1:13">
      <c r="A566" s="63" t="s">
        <v>912</v>
      </c>
      <c r="B566" s="58">
        <v>39051433808</v>
      </c>
      <c r="C566" s="63"/>
      <c r="D566" s="60"/>
      <c r="E566" s="9"/>
      <c r="F566" s="25"/>
      <c r="G566" s="61"/>
      <c r="H566" s="9"/>
      <c r="I566" s="8"/>
      <c r="J566" s="8"/>
      <c r="K566" s="8"/>
      <c r="L566" s="8"/>
      <c r="M566" s="8"/>
    </row>
    <row r="567" spans="1:13">
      <c r="A567" s="62" t="s">
        <v>913</v>
      </c>
      <c r="B567" s="58">
        <v>9056201867</v>
      </c>
      <c r="C567" s="63" t="s">
        <v>914</v>
      </c>
      <c r="D567" s="60">
        <v>59754605815</v>
      </c>
      <c r="E567" s="9">
        <v>810</v>
      </c>
      <c r="F567" s="25">
        <v>42915</v>
      </c>
      <c r="G567" s="61" t="s">
        <v>13</v>
      </c>
      <c r="H567" s="9"/>
      <c r="I567" s="8"/>
      <c r="J567" s="8"/>
      <c r="K567" s="8"/>
      <c r="L567" s="9" t="s">
        <v>138</v>
      </c>
      <c r="M567" s="8"/>
    </row>
    <row r="568" spans="1:13">
      <c r="A568" s="62" t="s">
        <v>915</v>
      </c>
      <c r="B568" s="58">
        <v>4434698656</v>
      </c>
      <c r="C568" s="63" t="s">
        <v>916</v>
      </c>
      <c r="D568" s="60">
        <v>75851300400</v>
      </c>
      <c r="E568" s="9">
        <v>810</v>
      </c>
      <c r="F568" s="25">
        <v>42915</v>
      </c>
      <c r="G568" s="61" t="s">
        <v>13</v>
      </c>
      <c r="H568" s="9"/>
      <c r="I568" s="8"/>
      <c r="J568" s="8"/>
      <c r="K568" s="8"/>
      <c r="L568" s="9" t="s">
        <v>138</v>
      </c>
      <c r="M568" s="8"/>
    </row>
    <row r="569" spans="1:13">
      <c r="A569" s="62" t="s">
        <v>917</v>
      </c>
      <c r="B569" s="58">
        <v>27030279824</v>
      </c>
      <c r="C569" s="63" t="s">
        <v>918</v>
      </c>
      <c r="D569" s="60">
        <v>87414392449</v>
      </c>
      <c r="E569" s="9">
        <v>509</v>
      </c>
      <c r="F569" s="25">
        <v>43203</v>
      </c>
      <c r="G569" s="67"/>
      <c r="H569" s="67">
        <v>43213</v>
      </c>
      <c r="I569" s="8"/>
      <c r="J569" s="8"/>
      <c r="K569" s="8"/>
      <c r="L569" s="8"/>
      <c r="M569" s="8"/>
    </row>
    <row r="570" spans="1:13">
      <c r="A570" s="62" t="s">
        <v>919</v>
      </c>
      <c r="B570" s="58">
        <v>30478760884</v>
      </c>
      <c r="C570" s="68" t="s">
        <v>920</v>
      </c>
      <c r="D570" s="60">
        <v>29327060806</v>
      </c>
      <c r="E570" s="9"/>
      <c r="F570" s="25"/>
      <c r="G570" s="61"/>
      <c r="H570" s="67">
        <v>43213</v>
      </c>
      <c r="I570" s="8"/>
      <c r="J570" s="8"/>
      <c r="K570" s="8"/>
      <c r="L570" s="8"/>
      <c r="M570" s="8"/>
    </row>
    <row r="571" spans="1:13">
      <c r="A571" s="62" t="s">
        <v>921</v>
      </c>
      <c r="B571" s="58">
        <v>11701143852</v>
      </c>
      <c r="C571" s="63"/>
      <c r="D571" s="60"/>
      <c r="E571" s="9">
        <v>810</v>
      </c>
      <c r="F571" s="25">
        <v>42915</v>
      </c>
      <c r="G571" s="61" t="s">
        <v>13</v>
      </c>
      <c r="H571" s="67">
        <v>43213</v>
      </c>
      <c r="I571" s="8"/>
      <c r="J571" s="8"/>
      <c r="K571" s="8"/>
      <c r="L571" s="9" t="s">
        <v>138</v>
      </c>
      <c r="M571" s="8"/>
    </row>
    <row r="572" spans="1:13">
      <c r="A572" s="62" t="s">
        <v>922</v>
      </c>
      <c r="B572" s="58">
        <v>8444896896</v>
      </c>
      <c r="C572" s="63"/>
      <c r="D572" s="60"/>
      <c r="E572" s="9">
        <v>1417</v>
      </c>
      <c r="F572" s="25">
        <v>43017</v>
      </c>
      <c r="G572" s="61" t="s">
        <v>13</v>
      </c>
      <c r="H572" s="67">
        <v>43213</v>
      </c>
      <c r="I572" s="8"/>
      <c r="J572" s="8"/>
      <c r="K572" s="8"/>
      <c r="L572" s="9" t="s">
        <v>253</v>
      </c>
      <c r="M572" s="8"/>
    </row>
    <row r="573" spans="1:13">
      <c r="A573" s="63" t="s">
        <v>923</v>
      </c>
      <c r="B573" s="58">
        <v>16583214806</v>
      </c>
      <c r="C573" s="63" t="s">
        <v>924</v>
      </c>
      <c r="D573" s="60">
        <v>26637612812</v>
      </c>
      <c r="E573" s="9"/>
      <c r="F573" s="25"/>
      <c r="G573" s="61"/>
      <c r="H573" s="67">
        <v>43213</v>
      </c>
      <c r="I573" s="8"/>
      <c r="J573" s="8"/>
      <c r="K573" s="8"/>
      <c r="L573" s="8"/>
      <c r="M573" s="8"/>
    </row>
    <row r="574" spans="1:13">
      <c r="A574" s="63" t="s">
        <v>925</v>
      </c>
      <c r="B574" s="58">
        <v>41749323877</v>
      </c>
      <c r="C574" s="63"/>
      <c r="D574" s="60"/>
      <c r="E574" s="9">
        <v>443</v>
      </c>
      <c r="F574" s="25">
        <v>43188</v>
      </c>
      <c r="G574" s="61"/>
      <c r="H574" s="67">
        <v>43213</v>
      </c>
      <c r="I574" s="8"/>
      <c r="J574" s="8"/>
      <c r="K574" s="8"/>
      <c r="L574" s="8"/>
      <c r="M574" s="8"/>
    </row>
    <row r="575" spans="1:13">
      <c r="A575" s="62" t="s">
        <v>926</v>
      </c>
      <c r="B575" s="58">
        <v>10718520866</v>
      </c>
      <c r="C575" s="63"/>
      <c r="D575" s="60"/>
      <c r="E575" s="9">
        <v>292</v>
      </c>
      <c r="F575" s="25">
        <v>43168</v>
      </c>
      <c r="G575" s="9" t="s">
        <v>13</v>
      </c>
      <c r="H575" s="67">
        <v>43213</v>
      </c>
      <c r="I575" s="8"/>
      <c r="J575" s="8"/>
      <c r="K575" s="8"/>
      <c r="L575" s="9">
        <v>318</v>
      </c>
      <c r="M575" s="8"/>
    </row>
    <row r="576" spans="1:13">
      <c r="A576" s="27" t="s">
        <v>927</v>
      </c>
      <c r="B576" s="58">
        <v>6882969639</v>
      </c>
      <c r="C576" s="27" t="s">
        <v>928</v>
      </c>
      <c r="D576" s="60">
        <v>3765312665</v>
      </c>
      <c r="E576" s="9"/>
      <c r="F576" s="25"/>
      <c r="G576" s="61"/>
      <c r="H576" s="67">
        <v>43213</v>
      </c>
      <c r="I576" s="8"/>
      <c r="J576" s="8"/>
      <c r="K576" s="8"/>
      <c r="L576" s="8"/>
      <c r="M576" s="8"/>
    </row>
    <row r="577" spans="1:13">
      <c r="A577" s="27" t="s">
        <v>929</v>
      </c>
      <c r="B577" s="58">
        <v>22449339892</v>
      </c>
      <c r="C577" s="27" t="s">
        <v>930</v>
      </c>
      <c r="D577" s="60">
        <v>5569034471</v>
      </c>
      <c r="E577" s="9"/>
      <c r="F577" s="25"/>
      <c r="G577" s="61"/>
      <c r="H577" s="67">
        <v>43213</v>
      </c>
      <c r="I577" s="8"/>
      <c r="J577" s="8"/>
      <c r="K577" s="8"/>
      <c r="L577" s="8"/>
      <c r="M577" s="8"/>
    </row>
    <row r="578" spans="1:13">
      <c r="A578" s="27" t="s">
        <v>931</v>
      </c>
      <c r="B578" s="58"/>
      <c r="C578" s="18" t="s">
        <v>129</v>
      </c>
      <c r="D578" s="60"/>
      <c r="E578" s="9"/>
      <c r="F578" s="25"/>
      <c r="G578" s="2"/>
      <c r="H578" s="67">
        <v>43213</v>
      </c>
      <c r="I578" s="8"/>
      <c r="J578" s="8"/>
      <c r="K578" s="8"/>
      <c r="L578" s="8"/>
      <c r="M578" s="8"/>
    </row>
    <row r="579" spans="1:13">
      <c r="A579" s="62" t="s">
        <v>932</v>
      </c>
      <c r="B579" s="58">
        <v>22854740831</v>
      </c>
      <c r="C579" s="63" t="s">
        <v>933</v>
      </c>
      <c r="D579" s="60">
        <v>27802383803</v>
      </c>
      <c r="E579" s="9"/>
      <c r="F579" s="25"/>
      <c r="G579" s="61"/>
      <c r="H579" s="9"/>
      <c r="I579" s="8"/>
      <c r="J579" s="8"/>
      <c r="K579" s="8"/>
      <c r="L579" s="8"/>
      <c r="M579" s="8"/>
    </row>
    <row r="580" spans="1:13">
      <c r="A580" s="15" t="s">
        <v>934</v>
      </c>
      <c r="B580" s="58">
        <v>33868796835</v>
      </c>
      <c r="C580" s="63"/>
      <c r="D580" s="60"/>
      <c r="E580" s="9">
        <v>443</v>
      </c>
      <c r="F580" s="25">
        <v>43188</v>
      </c>
      <c r="G580" s="61"/>
      <c r="H580" s="9"/>
      <c r="I580" s="8"/>
      <c r="J580" s="8"/>
      <c r="K580" s="8"/>
      <c r="L580" s="8"/>
      <c r="M580" s="8"/>
    </row>
    <row r="581" spans="1:13">
      <c r="A581" s="15" t="s">
        <v>935</v>
      </c>
      <c r="B581" s="58">
        <v>28437745861</v>
      </c>
      <c r="C581" s="63"/>
      <c r="D581" s="60"/>
      <c r="E581" s="9">
        <v>229</v>
      </c>
      <c r="F581" s="25">
        <v>43151</v>
      </c>
      <c r="G581" s="61" t="s">
        <v>13</v>
      </c>
      <c r="H581" s="9"/>
      <c r="I581" s="8"/>
      <c r="J581" s="8"/>
      <c r="K581" s="8"/>
      <c r="L581" s="9">
        <v>232</v>
      </c>
      <c r="M581" s="8"/>
    </row>
    <row r="582" spans="1:13">
      <c r="A582" s="62" t="s">
        <v>936</v>
      </c>
      <c r="B582" s="58">
        <v>36618054877</v>
      </c>
      <c r="C582" s="63"/>
      <c r="D582" s="60"/>
      <c r="E582" s="9">
        <v>810</v>
      </c>
      <c r="F582" s="25">
        <v>42915</v>
      </c>
      <c r="G582" s="61" t="s">
        <v>13</v>
      </c>
      <c r="H582" s="9"/>
      <c r="I582" s="8"/>
      <c r="J582" s="8"/>
      <c r="K582" s="8"/>
      <c r="L582" s="9" t="s">
        <v>138</v>
      </c>
      <c r="M582" s="8"/>
    </row>
    <row r="583" spans="1:13">
      <c r="A583" s="62" t="s">
        <v>937</v>
      </c>
      <c r="B583" s="58">
        <v>47110994848</v>
      </c>
      <c r="C583" s="62" t="s">
        <v>938</v>
      </c>
      <c r="D583" s="58">
        <v>28679243833</v>
      </c>
      <c r="E583" s="9"/>
      <c r="F583" s="25"/>
      <c r="G583" s="61"/>
      <c r="H583" s="9"/>
      <c r="I583" s="8"/>
      <c r="J583" s="8"/>
      <c r="K583" s="8"/>
      <c r="L583" s="8"/>
      <c r="M583" s="8"/>
    </row>
    <row r="584" spans="1:13">
      <c r="A584" s="62" t="s">
        <v>939</v>
      </c>
      <c r="B584" s="58">
        <v>39353276845</v>
      </c>
      <c r="C584" s="63" t="s">
        <v>940</v>
      </c>
      <c r="D584" s="60">
        <v>33343612847</v>
      </c>
      <c r="E584" s="9">
        <v>1417</v>
      </c>
      <c r="F584" s="25">
        <v>43017</v>
      </c>
      <c r="G584" s="61" t="s">
        <v>20</v>
      </c>
      <c r="H584" s="9"/>
      <c r="I584" s="8"/>
      <c r="J584" s="8"/>
      <c r="K584" s="8"/>
      <c r="L584" s="9" t="s">
        <v>253</v>
      </c>
      <c r="M584" s="8"/>
    </row>
    <row r="585" spans="1:13">
      <c r="A585" s="13" t="s">
        <v>941</v>
      </c>
      <c r="B585" s="58">
        <v>37978352803</v>
      </c>
      <c r="C585" s="63"/>
      <c r="D585" s="60"/>
      <c r="E585" s="9">
        <v>1350</v>
      </c>
      <c r="F585" s="25">
        <v>43006</v>
      </c>
      <c r="G585" s="61" t="s">
        <v>13</v>
      </c>
      <c r="H585" s="9"/>
      <c r="I585" s="8"/>
      <c r="J585" s="8"/>
      <c r="K585" s="8"/>
      <c r="L585" s="8"/>
      <c r="M585" s="8"/>
    </row>
    <row r="586" spans="1:13">
      <c r="A586" s="13" t="s">
        <v>942</v>
      </c>
      <c r="B586" s="58">
        <v>39937482801</v>
      </c>
      <c r="C586" s="59" t="s">
        <v>943</v>
      </c>
      <c r="D586" s="60">
        <v>36243454860</v>
      </c>
      <c r="E586" s="9">
        <v>1128</v>
      </c>
      <c r="F586" s="25">
        <v>42972</v>
      </c>
      <c r="G586" s="61" t="s">
        <v>13</v>
      </c>
      <c r="H586" s="9"/>
      <c r="I586" s="8"/>
      <c r="J586" s="8"/>
      <c r="K586" s="8"/>
      <c r="L586" s="8"/>
      <c r="M586" s="8"/>
    </row>
    <row r="587" spans="1:13">
      <c r="A587" s="13" t="s">
        <v>944</v>
      </c>
      <c r="B587" s="58">
        <v>35674019800</v>
      </c>
      <c r="C587" s="63"/>
      <c r="D587" s="60"/>
      <c r="E587" s="9">
        <v>1350</v>
      </c>
      <c r="F587" s="25">
        <v>43006</v>
      </c>
      <c r="G587" s="61" t="s">
        <v>13</v>
      </c>
      <c r="H587" s="9"/>
      <c r="I587" s="8"/>
      <c r="J587" s="8"/>
      <c r="K587" s="8"/>
      <c r="L587" s="8"/>
      <c r="M587" s="8"/>
    </row>
    <row r="588" spans="1:13">
      <c r="A588" s="62" t="s">
        <v>945</v>
      </c>
      <c r="B588" s="58">
        <v>4090078466</v>
      </c>
      <c r="C588" s="63" t="s">
        <v>946</v>
      </c>
      <c r="D588" s="60">
        <v>31135278806</v>
      </c>
      <c r="E588" s="9">
        <v>1555</v>
      </c>
      <c r="F588" s="25">
        <v>43049</v>
      </c>
      <c r="G588" s="61" t="s">
        <v>20</v>
      </c>
      <c r="H588" s="9"/>
      <c r="I588" s="8"/>
      <c r="J588" s="8"/>
      <c r="K588" s="8"/>
      <c r="L588" s="9" t="s">
        <v>398</v>
      </c>
      <c r="M588" s="8"/>
    </row>
    <row r="589" spans="1:13">
      <c r="A589" s="63" t="s">
        <v>947</v>
      </c>
      <c r="B589" s="58">
        <v>22857706855</v>
      </c>
      <c r="C589" s="63" t="s">
        <v>948</v>
      </c>
      <c r="D589" s="60">
        <v>5397398802</v>
      </c>
      <c r="E589" s="9"/>
      <c r="F589" s="25"/>
      <c r="G589" s="61"/>
      <c r="H589" s="9"/>
      <c r="I589" s="8"/>
      <c r="J589" s="8"/>
      <c r="K589" s="8"/>
      <c r="L589" s="8"/>
      <c r="M589" s="8"/>
    </row>
    <row r="590" spans="1:13">
      <c r="A590" s="63" t="s">
        <v>949</v>
      </c>
      <c r="B590" s="58">
        <v>30278629873</v>
      </c>
      <c r="C590" s="63" t="s">
        <v>950</v>
      </c>
      <c r="D590" s="60">
        <v>27817894884</v>
      </c>
      <c r="E590" s="9"/>
      <c r="F590" s="25"/>
      <c r="G590" s="61"/>
      <c r="H590" s="9"/>
      <c r="I590" s="8"/>
      <c r="J590" s="8"/>
      <c r="K590" s="8"/>
      <c r="L590" s="8"/>
      <c r="M590" s="8"/>
    </row>
    <row r="591" spans="1:13">
      <c r="A591" s="27" t="s">
        <v>951</v>
      </c>
      <c r="B591" s="58"/>
      <c r="C591" s="27" t="s">
        <v>952</v>
      </c>
      <c r="D591" s="60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62" t="s">
        <v>953</v>
      </c>
      <c r="B592" s="58">
        <v>35569130896</v>
      </c>
      <c r="C592" s="63" t="s">
        <v>954</v>
      </c>
      <c r="D592" s="60">
        <v>34252178878</v>
      </c>
      <c r="E592" s="9">
        <v>262</v>
      </c>
      <c r="F592" s="25">
        <v>43160</v>
      </c>
      <c r="G592" s="9" t="s">
        <v>13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955</v>
      </c>
      <c r="B593" s="58">
        <v>33214684841</v>
      </c>
      <c r="C593" s="63"/>
      <c r="D593" s="60"/>
      <c r="E593" s="9">
        <v>1350</v>
      </c>
      <c r="F593" s="25">
        <v>43006</v>
      </c>
      <c r="G593" s="61" t="s">
        <v>13</v>
      </c>
      <c r="H593" s="9"/>
      <c r="I593" s="8"/>
      <c r="J593" s="8"/>
      <c r="K593" s="8"/>
      <c r="L593" s="8"/>
      <c r="M593" s="8"/>
    </row>
    <row r="594" spans="1:13">
      <c r="A594" s="62" t="s">
        <v>956</v>
      </c>
      <c r="B594" s="58">
        <v>23217962869</v>
      </c>
      <c r="C594" s="63"/>
      <c r="D594" s="60"/>
      <c r="E594" s="9">
        <v>1555</v>
      </c>
      <c r="F594" s="25">
        <v>43049</v>
      </c>
      <c r="G594" s="61" t="s">
        <v>13</v>
      </c>
      <c r="H594" s="9"/>
      <c r="I594" s="8"/>
      <c r="J594" s="8"/>
      <c r="K594" s="8"/>
      <c r="L594" s="9" t="s">
        <v>398</v>
      </c>
      <c r="M594" s="8"/>
    </row>
    <row r="595" spans="1:13">
      <c r="A595" s="63" t="s">
        <v>957</v>
      </c>
      <c r="B595" s="58">
        <v>45994333816</v>
      </c>
      <c r="C595" s="63"/>
      <c r="D595" s="60"/>
      <c r="E595" s="9"/>
      <c r="F595" s="25"/>
      <c r="G595" s="61"/>
      <c r="H595" s="9"/>
      <c r="I595" s="8"/>
      <c r="J595" s="8"/>
      <c r="K595" s="8"/>
      <c r="L595" s="8"/>
      <c r="M595" s="8"/>
    </row>
    <row r="596" spans="1:13">
      <c r="A596" s="15" t="s">
        <v>958</v>
      </c>
      <c r="B596" s="58">
        <v>5704186580</v>
      </c>
      <c r="C596" s="63" t="s">
        <v>959</v>
      </c>
      <c r="D596" s="60">
        <v>43994391814</v>
      </c>
      <c r="E596" s="9"/>
      <c r="F596" s="25"/>
      <c r="G596" s="61"/>
      <c r="H596" s="9"/>
      <c r="I596" s="8"/>
      <c r="J596" s="8"/>
      <c r="K596" s="8"/>
      <c r="L596" s="8"/>
      <c r="M596" s="8"/>
    </row>
    <row r="597" spans="1:13">
      <c r="A597" s="62" t="s">
        <v>960</v>
      </c>
      <c r="B597" s="58">
        <v>37966967832</v>
      </c>
      <c r="C597" s="63"/>
      <c r="D597" s="60"/>
      <c r="E597" s="9">
        <v>1214</v>
      </c>
      <c r="F597" s="25">
        <v>42989</v>
      </c>
      <c r="G597" s="61" t="s">
        <v>13</v>
      </c>
      <c r="H597" s="9"/>
      <c r="I597" s="8"/>
      <c r="J597" s="8"/>
      <c r="K597" s="8"/>
      <c r="L597" s="8"/>
      <c r="M597" s="8"/>
    </row>
    <row r="598" spans="1:13">
      <c r="A598" s="13" t="s">
        <v>961</v>
      </c>
      <c r="B598" s="58">
        <v>31112261826</v>
      </c>
      <c r="C598" s="59"/>
      <c r="D598" s="60"/>
      <c r="E598" s="9">
        <v>1128</v>
      </c>
      <c r="F598" s="25">
        <v>42972</v>
      </c>
      <c r="G598" s="61" t="s">
        <v>13</v>
      </c>
      <c r="H598" s="9"/>
      <c r="I598" s="8"/>
      <c r="J598" s="8"/>
      <c r="K598" s="8"/>
      <c r="L598" s="8"/>
      <c r="M598" s="8"/>
    </row>
    <row r="599" spans="1:13">
      <c r="A599" s="62" t="s">
        <v>962</v>
      </c>
      <c r="B599" s="58">
        <v>38964391896</v>
      </c>
      <c r="C599" s="63"/>
      <c r="D599" s="60"/>
      <c r="E599" s="9"/>
      <c r="F599" s="25"/>
      <c r="G599" s="61"/>
      <c r="H599" s="9"/>
      <c r="I599" s="8"/>
      <c r="J599" s="8"/>
      <c r="K599" s="8"/>
      <c r="L599" s="8"/>
      <c r="M599" s="8"/>
    </row>
    <row r="600" spans="1:13">
      <c r="A600" s="62" t="s">
        <v>963</v>
      </c>
      <c r="B600" s="58">
        <v>42223388850</v>
      </c>
      <c r="C600" s="63"/>
      <c r="D600" s="60"/>
      <c r="E600" s="9">
        <v>1214</v>
      </c>
      <c r="F600" s="25">
        <v>42989</v>
      </c>
      <c r="G600" s="61" t="s">
        <v>13</v>
      </c>
      <c r="H600" s="9"/>
      <c r="I600" s="8"/>
      <c r="J600" s="8"/>
      <c r="K600" s="8"/>
      <c r="L600" s="8"/>
      <c r="M600" s="8"/>
    </row>
    <row r="601" spans="1:13">
      <c r="A601" s="62" t="s">
        <v>964</v>
      </c>
      <c r="B601" s="58">
        <v>38453816808</v>
      </c>
      <c r="C601" s="63" t="s">
        <v>965</v>
      </c>
      <c r="D601" s="60">
        <v>22843883881</v>
      </c>
      <c r="E601" s="9">
        <v>262</v>
      </c>
      <c r="F601" s="25">
        <v>43160</v>
      </c>
      <c r="G601" s="61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7" t="s">
        <v>966</v>
      </c>
      <c r="B602" s="58">
        <v>46366084882</v>
      </c>
      <c r="C602" s="18" t="s">
        <v>129</v>
      </c>
      <c r="D602" s="60"/>
      <c r="E602" s="9"/>
      <c r="F602" s="25"/>
      <c r="G602" s="61"/>
      <c r="H602" s="9"/>
      <c r="I602" s="8"/>
      <c r="J602" s="8"/>
      <c r="K602" s="8"/>
      <c r="L602" s="8"/>
      <c r="M602" s="8"/>
    </row>
    <row r="603" spans="1:13">
      <c r="A603" s="27" t="s">
        <v>967</v>
      </c>
      <c r="B603" s="58"/>
      <c r="C603" s="18" t="s">
        <v>129</v>
      </c>
      <c r="D603" s="60"/>
      <c r="E603" s="9"/>
      <c r="F603" s="25"/>
      <c r="G603" s="61"/>
      <c r="H603" s="9"/>
      <c r="I603" s="8"/>
      <c r="J603" s="8"/>
      <c r="K603" s="8"/>
      <c r="L603" s="8"/>
      <c r="M603" s="8"/>
    </row>
    <row r="604" spans="1:13">
      <c r="A604" s="62" t="s">
        <v>968</v>
      </c>
      <c r="B604" s="58">
        <v>40415212898</v>
      </c>
      <c r="C604" s="63" t="s">
        <v>969</v>
      </c>
      <c r="D604" s="60">
        <v>35522659882</v>
      </c>
      <c r="E604" s="9">
        <v>262</v>
      </c>
      <c r="F604" s="25">
        <v>43160</v>
      </c>
      <c r="G604" s="61" t="s">
        <v>13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970</v>
      </c>
      <c r="B605" s="58">
        <v>41957432810</v>
      </c>
      <c r="C605" s="63" t="s">
        <v>971</v>
      </c>
      <c r="D605" s="60">
        <v>22992085855</v>
      </c>
      <c r="E605" s="9">
        <v>1824</v>
      </c>
      <c r="F605" s="25">
        <v>43091</v>
      </c>
      <c r="G605" s="61" t="s">
        <v>13</v>
      </c>
      <c r="H605" s="9"/>
      <c r="I605" s="8"/>
      <c r="J605" s="8"/>
      <c r="K605" s="8"/>
      <c r="L605" s="9">
        <v>1828</v>
      </c>
      <c r="M605" s="8"/>
    </row>
    <row r="606" spans="1:13">
      <c r="A606" s="62" t="s">
        <v>972</v>
      </c>
      <c r="B606" s="58">
        <v>43393817809</v>
      </c>
      <c r="C606" s="63"/>
      <c r="D606" s="60"/>
      <c r="E606" s="9">
        <v>117</v>
      </c>
      <c r="F606" s="25">
        <v>43117</v>
      </c>
      <c r="G606" s="61" t="s">
        <v>13</v>
      </c>
      <c r="H606" s="9"/>
      <c r="I606" s="8"/>
      <c r="J606" s="8"/>
      <c r="K606" s="8"/>
      <c r="L606" s="9" t="s">
        <v>170</v>
      </c>
      <c r="M606" s="8"/>
    </row>
    <row r="607" spans="1:13">
      <c r="A607" s="15" t="s">
        <v>973</v>
      </c>
      <c r="B607" s="58">
        <v>36252717886</v>
      </c>
      <c r="C607" s="63" t="s">
        <v>974</v>
      </c>
      <c r="D607" s="60">
        <v>34743190860</v>
      </c>
      <c r="E607" s="9">
        <v>443</v>
      </c>
      <c r="F607" s="25">
        <v>43188</v>
      </c>
      <c r="G607" s="61"/>
      <c r="H607" s="9"/>
      <c r="I607" s="8"/>
      <c r="J607" s="8"/>
      <c r="K607" s="8"/>
      <c r="L607" s="8"/>
      <c r="M607" s="8"/>
    </row>
    <row r="608" spans="1:13">
      <c r="A608" s="62" t="s">
        <v>975</v>
      </c>
      <c r="B608" s="58">
        <v>13458181814</v>
      </c>
      <c r="C608" s="63"/>
      <c r="D608" s="60"/>
      <c r="E608" s="9">
        <v>292</v>
      </c>
      <c r="F608" s="25">
        <v>43168</v>
      </c>
      <c r="G608" s="61" t="s">
        <v>13</v>
      </c>
      <c r="H608" s="9"/>
      <c r="I608" s="8"/>
      <c r="J608" s="8"/>
      <c r="K608" s="8"/>
      <c r="L608" s="9">
        <v>318</v>
      </c>
      <c r="M608" s="8"/>
    </row>
    <row r="609" spans="1:13">
      <c r="A609" s="76" t="s">
        <v>976</v>
      </c>
      <c r="B609" s="58">
        <v>23436019844</v>
      </c>
      <c r="C609" s="63" t="s">
        <v>977</v>
      </c>
      <c r="D609" s="60">
        <v>35927095852</v>
      </c>
      <c r="E609" s="9">
        <v>810</v>
      </c>
      <c r="F609" s="25">
        <v>42915</v>
      </c>
      <c r="G609" s="61" t="s">
        <v>13</v>
      </c>
      <c r="H609" s="9"/>
      <c r="I609" s="8"/>
      <c r="J609" s="8"/>
      <c r="K609" s="8"/>
      <c r="L609" s="9" t="s">
        <v>138</v>
      </c>
      <c r="M609" s="8"/>
    </row>
    <row r="610" spans="1:13">
      <c r="A610" s="62" t="s">
        <v>978</v>
      </c>
      <c r="B610" s="58">
        <v>39473758839</v>
      </c>
      <c r="C610" s="63"/>
      <c r="D610" s="60"/>
      <c r="E610" s="9">
        <v>292</v>
      </c>
      <c r="F610" s="25">
        <v>43168</v>
      </c>
      <c r="G610" s="9" t="s">
        <v>13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979</v>
      </c>
      <c r="B611" s="58">
        <v>24855310808</v>
      </c>
      <c r="C611" s="59"/>
      <c r="D611" s="60"/>
      <c r="E611" s="9">
        <v>1128</v>
      </c>
      <c r="F611" s="25">
        <v>42972</v>
      </c>
      <c r="G611" s="61" t="s">
        <v>13</v>
      </c>
      <c r="H611" s="9"/>
      <c r="I611" s="8"/>
      <c r="J611" s="8"/>
      <c r="K611" s="8"/>
      <c r="L611" s="8"/>
      <c r="M611" s="8"/>
    </row>
    <row r="612" spans="1:13">
      <c r="A612" s="62" t="s">
        <v>980</v>
      </c>
      <c r="B612" s="58">
        <v>34580235851</v>
      </c>
      <c r="C612" s="63"/>
      <c r="D612" s="60"/>
      <c r="E612" s="9">
        <v>1350</v>
      </c>
      <c r="F612" s="25">
        <v>43006</v>
      </c>
      <c r="G612" s="61" t="s">
        <v>13</v>
      </c>
      <c r="H612" s="9"/>
      <c r="I612" s="8"/>
      <c r="J612" s="8"/>
      <c r="K612" s="8"/>
      <c r="L612" s="8"/>
      <c r="M612" s="8"/>
    </row>
    <row r="613" spans="1:13">
      <c r="A613" s="62" t="s">
        <v>981</v>
      </c>
      <c r="B613" s="58">
        <v>32687071811</v>
      </c>
      <c r="C613" s="63"/>
      <c r="D613" s="60"/>
      <c r="E613" s="9"/>
      <c r="F613" s="25"/>
      <c r="G613" s="61"/>
      <c r="H613" s="9"/>
      <c r="I613" s="8"/>
      <c r="J613" s="8"/>
      <c r="K613" s="8"/>
      <c r="L613" s="8"/>
      <c r="M613" s="8"/>
    </row>
    <row r="614" spans="1:13">
      <c r="A614" s="62" t="s">
        <v>982</v>
      </c>
      <c r="B614" s="58">
        <v>32114645819</v>
      </c>
      <c r="C614" s="63" t="s">
        <v>983</v>
      </c>
      <c r="D614" s="60">
        <v>33183764857</v>
      </c>
      <c r="E614" s="9">
        <v>810</v>
      </c>
      <c r="F614" s="25">
        <v>42915</v>
      </c>
      <c r="G614" s="61" t="s">
        <v>13</v>
      </c>
      <c r="H614" s="9"/>
      <c r="I614" s="8"/>
      <c r="J614" s="8"/>
      <c r="K614" s="8"/>
      <c r="L614" s="9" t="s">
        <v>138</v>
      </c>
      <c r="M614" s="8"/>
    </row>
    <row r="615" spans="1:13">
      <c r="A615" s="27" t="s">
        <v>984</v>
      </c>
      <c r="B615" s="58">
        <v>8664004862</v>
      </c>
      <c r="C615" s="27"/>
      <c r="D615" s="60"/>
      <c r="E615" s="9"/>
      <c r="F615" s="25"/>
      <c r="G615" s="61"/>
      <c r="H615" s="9"/>
      <c r="I615" s="8"/>
      <c r="J615" s="8"/>
      <c r="K615" s="8"/>
      <c r="L615" s="8"/>
      <c r="M615" s="8"/>
    </row>
    <row r="616" spans="1:13">
      <c r="A616" s="18" t="s">
        <v>985</v>
      </c>
      <c r="B616" s="58">
        <v>4836720508</v>
      </c>
      <c r="C616" s="18" t="s">
        <v>986</v>
      </c>
      <c r="D616" s="60">
        <v>5479236512</v>
      </c>
      <c r="E616" s="9"/>
      <c r="F616" s="25"/>
      <c r="G616" s="61"/>
      <c r="H616" s="9"/>
      <c r="I616" s="8"/>
      <c r="J616" s="8"/>
      <c r="K616" s="8"/>
      <c r="L616" s="8"/>
      <c r="M616" s="8"/>
    </row>
    <row r="617" spans="1:13">
      <c r="A617" s="13" t="s">
        <v>987</v>
      </c>
      <c r="B617" s="58">
        <v>35003087837</v>
      </c>
      <c r="C617" s="59"/>
      <c r="D617" s="60"/>
      <c r="E617" s="9">
        <v>1128</v>
      </c>
      <c r="F617" s="25">
        <v>42972</v>
      </c>
      <c r="G617" s="61" t="s">
        <v>13</v>
      </c>
      <c r="H617" s="9"/>
      <c r="I617" s="8"/>
      <c r="J617" s="8"/>
      <c r="K617" s="8"/>
      <c r="L617" s="8"/>
      <c r="M617" s="8"/>
    </row>
    <row r="618" spans="1:13">
      <c r="A618" s="27" t="s">
        <v>988</v>
      </c>
      <c r="B618" s="58">
        <v>42187654800</v>
      </c>
      <c r="C618" s="27" t="s">
        <v>989</v>
      </c>
      <c r="D618" s="60">
        <v>86087100059</v>
      </c>
      <c r="E618" s="9"/>
      <c r="F618" s="25"/>
      <c r="G618" s="61"/>
      <c r="H618" s="9"/>
      <c r="I618" s="8"/>
      <c r="J618" s="8"/>
      <c r="K618" s="8"/>
      <c r="L618" s="8"/>
      <c r="M618" s="8"/>
    </row>
    <row r="619" spans="1:13">
      <c r="A619" s="62" t="s">
        <v>990</v>
      </c>
      <c r="B619" s="58">
        <v>19677169866</v>
      </c>
      <c r="C619" s="63"/>
      <c r="D619" s="60"/>
      <c r="E619" s="9">
        <v>1439</v>
      </c>
      <c r="F619" s="25">
        <v>43025</v>
      </c>
      <c r="G619" s="61" t="s">
        <v>13</v>
      </c>
      <c r="H619" s="9"/>
      <c r="I619" s="8"/>
      <c r="J619" s="8"/>
      <c r="K619" s="8"/>
      <c r="L619" s="9" t="s">
        <v>502</v>
      </c>
      <c r="M619" s="8"/>
    </row>
    <row r="620" spans="1:13">
      <c r="A620" s="62" t="s">
        <v>991</v>
      </c>
      <c r="B620" s="58">
        <v>35725789810</v>
      </c>
      <c r="C620" s="64"/>
      <c r="D620" s="60"/>
      <c r="E620" s="9"/>
      <c r="F620" s="25"/>
      <c r="G620" s="61"/>
      <c r="H620" s="9"/>
      <c r="I620" s="8"/>
      <c r="J620" s="8"/>
      <c r="K620" s="8"/>
      <c r="L620" s="8"/>
      <c r="M620" s="8"/>
    </row>
    <row r="621" spans="1:13">
      <c r="A621" s="62" t="s">
        <v>992</v>
      </c>
      <c r="B621" s="58">
        <v>34575541885</v>
      </c>
      <c r="C621" s="63"/>
      <c r="D621" s="60"/>
      <c r="E621" s="9"/>
      <c r="F621" s="25"/>
      <c r="G621" s="61"/>
      <c r="H621" s="9"/>
      <c r="I621" s="8"/>
      <c r="J621" s="8"/>
      <c r="K621" s="8"/>
      <c r="L621" s="8"/>
      <c r="M621" s="8"/>
    </row>
    <row r="622" spans="1:13">
      <c r="A622" s="14" t="s">
        <v>993</v>
      </c>
      <c r="B622" s="58">
        <v>10453137857</v>
      </c>
      <c r="C622" s="63"/>
      <c r="D622" s="60"/>
      <c r="E622" s="9">
        <v>485</v>
      </c>
      <c r="F622" s="25">
        <v>43196</v>
      </c>
      <c r="G622" s="61"/>
      <c r="H622" s="9"/>
      <c r="I622" s="8"/>
      <c r="J622" s="8"/>
      <c r="K622" s="8"/>
      <c r="L622" s="9">
        <v>483</v>
      </c>
      <c r="M622" s="8"/>
    </row>
    <row r="623" spans="1:13">
      <c r="A623" s="62" t="s">
        <v>994</v>
      </c>
      <c r="B623" s="58">
        <v>1283631504</v>
      </c>
      <c r="C623" s="63" t="s">
        <v>995</v>
      </c>
      <c r="D623" s="60">
        <v>62180886349</v>
      </c>
      <c r="E623" s="9">
        <v>1824</v>
      </c>
      <c r="F623" s="25">
        <v>43091</v>
      </c>
      <c r="G623" s="61" t="s">
        <v>13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996</v>
      </c>
      <c r="B624" s="58">
        <v>5389709527</v>
      </c>
      <c r="C624" s="77" t="s">
        <v>997</v>
      </c>
      <c r="D624" s="60">
        <v>4582911536</v>
      </c>
      <c r="E624" s="9"/>
      <c r="F624" s="25"/>
      <c r="G624" s="61"/>
      <c r="H624" s="9"/>
      <c r="I624" s="8"/>
      <c r="J624" s="8"/>
      <c r="K624" s="8"/>
      <c r="L624" s="8"/>
      <c r="M624" s="8"/>
    </row>
    <row r="625" spans="1:13">
      <c r="A625" s="13" t="s">
        <v>998</v>
      </c>
      <c r="B625" s="58">
        <v>1262412528</v>
      </c>
      <c r="C625" s="59" t="s">
        <v>999</v>
      </c>
      <c r="D625" s="60">
        <v>3045815502</v>
      </c>
      <c r="E625" s="9">
        <v>1241</v>
      </c>
      <c r="F625" s="25">
        <v>42992</v>
      </c>
      <c r="G625" s="61" t="s">
        <v>13</v>
      </c>
      <c r="H625" s="9"/>
      <c r="I625" s="8"/>
      <c r="J625" s="8"/>
      <c r="K625" s="8"/>
      <c r="L625" s="8"/>
      <c r="M625" s="8"/>
    </row>
    <row r="626" spans="1:13">
      <c r="A626" s="62" t="s">
        <v>1000</v>
      </c>
      <c r="B626" s="58">
        <v>25417767808</v>
      </c>
      <c r="C626" s="68"/>
      <c r="D626" s="60"/>
      <c r="E626" s="9">
        <v>563</v>
      </c>
      <c r="F626" s="25">
        <v>43217</v>
      </c>
      <c r="G626" s="61"/>
      <c r="H626" s="9"/>
      <c r="I626" s="8"/>
      <c r="J626" s="8"/>
      <c r="K626" s="8"/>
      <c r="L626" s="9" t="s">
        <v>299</v>
      </c>
      <c r="M626" s="8"/>
    </row>
    <row r="627" spans="1:13">
      <c r="A627" s="62" t="s">
        <v>1001</v>
      </c>
      <c r="B627" s="58">
        <v>12964256810</v>
      </c>
      <c r="C627" s="63"/>
      <c r="D627" s="60"/>
      <c r="E627" s="9">
        <v>573</v>
      </c>
      <c r="F627" s="25">
        <v>43224</v>
      </c>
      <c r="G627" s="61"/>
      <c r="H627" s="9"/>
      <c r="I627" s="8"/>
      <c r="J627" s="8"/>
      <c r="K627" s="8"/>
      <c r="L627" s="8"/>
      <c r="M627" s="8"/>
    </row>
    <row r="628" spans="1:13">
      <c r="A628" s="62" t="s">
        <v>224</v>
      </c>
      <c r="B628" s="58">
        <v>9704111460</v>
      </c>
      <c r="C628" s="63" t="s">
        <v>1002</v>
      </c>
      <c r="D628" s="60">
        <v>9882942490</v>
      </c>
      <c r="E628" s="9"/>
      <c r="F628" s="25"/>
      <c r="G628" s="61"/>
      <c r="H628" s="9"/>
      <c r="I628" s="8"/>
      <c r="J628" s="8"/>
      <c r="K628" s="8"/>
      <c r="L628" s="8"/>
      <c r="M628" s="8"/>
    </row>
    <row r="629" spans="1:13">
      <c r="A629" s="13" t="s">
        <v>1003</v>
      </c>
      <c r="B629" s="58">
        <v>41653576855</v>
      </c>
      <c r="C629" s="63" t="s">
        <v>1004</v>
      </c>
      <c r="D629" s="60">
        <v>33219880894</v>
      </c>
      <c r="E629" s="9">
        <v>1439</v>
      </c>
      <c r="F629" s="25">
        <v>43025</v>
      </c>
      <c r="G629" s="61" t="s">
        <v>13</v>
      </c>
      <c r="H629" s="9"/>
      <c r="I629" s="8"/>
      <c r="J629" s="8"/>
      <c r="K629" s="8"/>
      <c r="L629" s="9" t="s">
        <v>502</v>
      </c>
      <c r="M629" s="8"/>
    </row>
    <row r="630" spans="1:13">
      <c r="A630" s="62" t="s">
        <v>1005</v>
      </c>
      <c r="B630" s="58">
        <v>32250994811</v>
      </c>
      <c r="C630" s="63"/>
      <c r="D630" s="60"/>
      <c r="E630" s="9">
        <v>262</v>
      </c>
      <c r="F630" s="25">
        <v>43160</v>
      </c>
      <c r="G630" s="9" t="s">
        <v>13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62" t="s">
        <v>1006</v>
      </c>
      <c r="B631" s="58">
        <v>93817258887</v>
      </c>
      <c r="C631" s="63"/>
      <c r="D631" s="60"/>
      <c r="E631" s="9">
        <v>810</v>
      </c>
      <c r="F631" s="25">
        <v>42915</v>
      </c>
      <c r="G631" s="61" t="s">
        <v>13</v>
      </c>
      <c r="H631" s="9"/>
      <c r="I631" s="8"/>
      <c r="J631" s="8"/>
      <c r="K631" s="8"/>
      <c r="L631" s="9" t="s">
        <v>138</v>
      </c>
      <c r="M631" s="8"/>
    </row>
    <row r="632" spans="1:13">
      <c r="A632" s="27" t="s">
        <v>1007</v>
      </c>
      <c r="B632" s="58">
        <v>29065742875</v>
      </c>
      <c r="C632" s="27" t="s">
        <v>1008</v>
      </c>
      <c r="D632" s="60">
        <v>1937454533</v>
      </c>
      <c r="E632" s="9"/>
      <c r="F632" s="25"/>
      <c r="G632" s="61"/>
      <c r="H632" s="9"/>
      <c r="I632" s="8"/>
      <c r="J632" s="8"/>
      <c r="K632" s="8"/>
      <c r="L632" s="8"/>
      <c r="M632" s="8"/>
    </row>
    <row r="633" spans="1:13">
      <c r="A633" s="63" t="s">
        <v>1009</v>
      </c>
      <c r="B633" s="58">
        <v>39491305867</v>
      </c>
      <c r="C633" s="63" t="s">
        <v>1010</v>
      </c>
      <c r="D633" s="60">
        <v>37500044801</v>
      </c>
      <c r="E633" s="9">
        <v>292</v>
      </c>
      <c r="F633" s="25">
        <v>43168</v>
      </c>
      <c r="G633" s="61"/>
      <c r="H633" s="9"/>
      <c r="I633" s="8"/>
      <c r="J633" s="8"/>
      <c r="K633" s="8"/>
      <c r="L633" s="9">
        <v>318</v>
      </c>
      <c r="M633" s="8"/>
    </row>
    <row r="634" spans="1:13">
      <c r="A634" s="18" t="s">
        <v>1011</v>
      </c>
      <c r="B634" s="58">
        <v>35049140846</v>
      </c>
      <c r="C634" s="18" t="s">
        <v>1012</v>
      </c>
      <c r="D634" s="60">
        <v>6902701512</v>
      </c>
      <c r="E634" s="9"/>
      <c r="F634" s="25"/>
      <c r="G634" s="61"/>
      <c r="H634" s="9"/>
      <c r="I634" s="8"/>
      <c r="J634" s="8"/>
      <c r="K634" s="8"/>
      <c r="L634" s="8"/>
      <c r="M634" s="8"/>
    </row>
    <row r="635" spans="1:13">
      <c r="A635" s="62" t="s">
        <v>1013</v>
      </c>
      <c r="B635" s="58">
        <v>33927442801</v>
      </c>
      <c r="C635" s="63"/>
      <c r="D635" s="60"/>
      <c r="E635" s="9">
        <v>262</v>
      </c>
      <c r="F635" s="25">
        <v>43160</v>
      </c>
      <c r="G635" s="61" t="s">
        <v>13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62" t="s">
        <v>1014</v>
      </c>
      <c r="B636" s="58">
        <v>37125351808</v>
      </c>
      <c r="C636" s="63"/>
      <c r="D636" s="60"/>
      <c r="E636" s="9">
        <v>563</v>
      </c>
      <c r="F636" s="25">
        <v>43217</v>
      </c>
      <c r="G636" s="61"/>
      <c r="H636" s="9"/>
      <c r="I636" s="8"/>
      <c r="J636" s="8"/>
      <c r="K636" s="8"/>
      <c r="L636" s="9" t="s">
        <v>299</v>
      </c>
      <c r="M636" s="8"/>
    </row>
    <row r="637" spans="1:13">
      <c r="A637" s="62" t="s">
        <v>1015</v>
      </c>
      <c r="B637" s="58">
        <v>30172019885</v>
      </c>
      <c r="C637" s="63"/>
      <c r="D637" s="60"/>
      <c r="E637" s="9">
        <v>1628</v>
      </c>
      <c r="F637" s="25">
        <v>43077</v>
      </c>
      <c r="G637" s="61" t="s">
        <v>13</v>
      </c>
      <c r="H637" s="9"/>
      <c r="I637" s="8"/>
      <c r="J637" s="8"/>
      <c r="K637" s="8"/>
      <c r="L637" s="8"/>
      <c r="M637" s="8"/>
    </row>
    <row r="638" spans="1:13">
      <c r="A638" s="18" t="s">
        <v>1016</v>
      </c>
      <c r="B638" s="58"/>
      <c r="C638" s="18" t="s">
        <v>1017</v>
      </c>
      <c r="D638" s="60"/>
      <c r="E638" s="9"/>
      <c r="F638" s="25"/>
      <c r="G638" s="61"/>
      <c r="H638" s="9"/>
      <c r="I638" s="8"/>
      <c r="J638" s="8"/>
      <c r="K638" s="8"/>
      <c r="L638" s="8"/>
      <c r="M638" s="8"/>
    </row>
    <row r="639" spans="1:13">
      <c r="A639" s="27" t="s">
        <v>1018</v>
      </c>
      <c r="B639" s="58">
        <v>198674503</v>
      </c>
      <c r="C639" s="18" t="s">
        <v>1019</v>
      </c>
      <c r="D639" s="60">
        <v>57944865549</v>
      </c>
      <c r="E639" s="9"/>
      <c r="F639" s="25"/>
      <c r="G639" s="61"/>
      <c r="H639" s="9"/>
      <c r="I639" s="8"/>
      <c r="J639" s="8"/>
      <c r="K639" s="8"/>
      <c r="L639" s="8"/>
      <c r="M639" s="8"/>
    </row>
    <row r="640" spans="1:13">
      <c r="A640" s="62" t="s">
        <v>1020</v>
      </c>
      <c r="B640" s="58">
        <v>36101828816</v>
      </c>
      <c r="C640" s="68"/>
      <c r="D640" s="60"/>
      <c r="E640" s="9"/>
      <c r="F640" s="25"/>
      <c r="G640" s="61"/>
      <c r="H640" s="9"/>
      <c r="I640" s="8"/>
      <c r="J640" s="8"/>
      <c r="K640" s="8"/>
      <c r="L640" s="8"/>
      <c r="M640" s="8"/>
    </row>
    <row r="641" spans="1:13">
      <c r="A641" s="63" t="s">
        <v>1021</v>
      </c>
      <c r="B641" s="58">
        <v>35244906895</v>
      </c>
      <c r="C641" s="63"/>
      <c r="D641" s="60"/>
      <c r="E641" s="9"/>
      <c r="F641" s="25"/>
      <c r="G641" s="61"/>
      <c r="H641" s="9"/>
      <c r="I641" s="8"/>
      <c r="J641" s="8"/>
      <c r="K641" s="8"/>
      <c r="L641" s="8"/>
      <c r="M641" s="8"/>
    </row>
    <row r="642" spans="1:13">
      <c r="A642" s="64" t="s">
        <v>1022</v>
      </c>
      <c r="B642" s="58">
        <v>28074733858</v>
      </c>
      <c r="C642" s="63" t="s">
        <v>1023</v>
      </c>
      <c r="D642" s="60">
        <v>18033766867</v>
      </c>
      <c r="E642" s="9">
        <v>810</v>
      </c>
      <c r="F642" s="25">
        <v>42915</v>
      </c>
      <c r="G642" s="61" t="s">
        <v>13</v>
      </c>
      <c r="H642" s="9"/>
      <c r="I642" s="8"/>
      <c r="J642" s="8"/>
      <c r="K642" s="8"/>
      <c r="L642" s="9" t="s">
        <v>138</v>
      </c>
      <c r="M642" s="8"/>
    </row>
    <row r="643" spans="1:13">
      <c r="A643" s="62" t="s">
        <v>1024</v>
      </c>
      <c r="B643" s="58">
        <v>41583475800</v>
      </c>
      <c r="C643" s="63" t="s">
        <v>1025</v>
      </c>
      <c r="D643" s="60">
        <v>47688665817</v>
      </c>
      <c r="E643" s="9">
        <v>810</v>
      </c>
      <c r="F643" s="25">
        <v>42915</v>
      </c>
      <c r="G643" s="61" t="s">
        <v>13</v>
      </c>
      <c r="H643" s="9"/>
      <c r="I643" s="8"/>
      <c r="J643" s="8"/>
      <c r="K643" s="8"/>
      <c r="L643" s="9" t="s">
        <v>138</v>
      </c>
      <c r="M643" s="8"/>
    </row>
    <row r="644" spans="1:13">
      <c r="A644" s="62" t="s">
        <v>1026</v>
      </c>
      <c r="B644" s="58">
        <v>38532326803</v>
      </c>
      <c r="C644" s="63"/>
      <c r="D644" s="60"/>
      <c r="E644" s="9">
        <v>810</v>
      </c>
      <c r="F644" s="25">
        <v>42915</v>
      </c>
      <c r="G644" s="61" t="s">
        <v>13</v>
      </c>
      <c r="H644" s="9"/>
      <c r="I644" s="8"/>
      <c r="J644" s="8"/>
      <c r="K644" s="8"/>
      <c r="L644" s="9" t="s">
        <v>138</v>
      </c>
      <c r="M644" s="8"/>
    </row>
    <row r="645" spans="1:13">
      <c r="A645" s="13" t="s">
        <v>1027</v>
      </c>
      <c r="B645" s="58">
        <v>40338986898</v>
      </c>
      <c r="C645" s="63"/>
      <c r="D645" s="60"/>
      <c r="E645" s="9">
        <v>1350</v>
      </c>
      <c r="F645" s="25">
        <v>43006</v>
      </c>
      <c r="G645" s="61" t="s">
        <v>13</v>
      </c>
      <c r="H645" s="9"/>
      <c r="I645" s="8"/>
      <c r="J645" s="8"/>
      <c r="K645" s="8"/>
      <c r="L645" s="8"/>
      <c r="M645" s="8"/>
    </row>
    <row r="646" spans="1:13">
      <c r="A646" s="27" t="s">
        <v>1028</v>
      </c>
      <c r="B646" s="58"/>
      <c r="C646" s="18" t="s">
        <v>129</v>
      </c>
      <c r="D646" s="60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62" t="s">
        <v>1029</v>
      </c>
      <c r="B647" s="58">
        <v>2109588551</v>
      </c>
      <c r="C647" s="63"/>
      <c r="D647" s="60"/>
      <c r="E647" s="9">
        <v>1570</v>
      </c>
      <c r="F647" s="25">
        <v>43055</v>
      </c>
      <c r="G647" s="61" t="s">
        <v>13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1030</v>
      </c>
      <c r="B648" s="58">
        <v>47718625400</v>
      </c>
      <c r="C648" s="63"/>
      <c r="D648" s="60"/>
      <c r="E648" s="9">
        <v>85</v>
      </c>
      <c r="F648" s="25">
        <v>43109</v>
      </c>
      <c r="G648" s="61" t="s">
        <v>13</v>
      </c>
      <c r="H648" s="25">
        <v>43151</v>
      </c>
      <c r="I648" s="8"/>
      <c r="J648" s="8"/>
      <c r="K648" s="8"/>
      <c r="L648" s="8"/>
      <c r="M648" s="8"/>
    </row>
    <row r="649" spans="1:13">
      <c r="A649" s="62" t="s">
        <v>1031</v>
      </c>
      <c r="B649" s="58">
        <v>22622695802</v>
      </c>
      <c r="C649" s="63"/>
      <c r="D649" s="60"/>
      <c r="E649" s="9"/>
      <c r="F649" s="25"/>
      <c r="G649" s="61"/>
      <c r="H649" s="9"/>
      <c r="I649" s="8"/>
      <c r="J649" s="8"/>
      <c r="K649" s="8"/>
      <c r="L649" s="8"/>
      <c r="M649" s="8"/>
    </row>
    <row r="650" spans="1:13">
      <c r="A650" s="62" t="s">
        <v>1032</v>
      </c>
      <c r="B650" s="58">
        <v>80234836334</v>
      </c>
      <c r="C650" s="63" t="s">
        <v>1033</v>
      </c>
      <c r="D650" s="60">
        <v>22522250841</v>
      </c>
      <c r="E650" s="9">
        <v>1267</v>
      </c>
      <c r="F650" s="25">
        <v>42998</v>
      </c>
      <c r="G650" s="61" t="s">
        <v>13</v>
      </c>
      <c r="H650" s="9"/>
      <c r="I650" s="8"/>
      <c r="J650" s="8"/>
      <c r="K650" s="8"/>
      <c r="L650" s="8"/>
      <c r="M650" s="8"/>
    </row>
    <row r="651" spans="1:13">
      <c r="A651" s="62" t="s">
        <v>1034</v>
      </c>
      <c r="B651" s="58">
        <v>40468831894</v>
      </c>
      <c r="C651" s="63"/>
      <c r="D651" s="60"/>
      <c r="E651" s="9">
        <v>608</v>
      </c>
      <c r="F651" s="25">
        <v>43012</v>
      </c>
      <c r="G651" s="61" t="s">
        <v>13</v>
      </c>
      <c r="H651" s="9"/>
      <c r="I651" s="8"/>
      <c r="J651" s="8"/>
      <c r="K651" s="8"/>
      <c r="L651" s="8"/>
      <c r="M651" s="8"/>
    </row>
    <row r="652" spans="1:13">
      <c r="A652" s="62" t="s">
        <v>1035</v>
      </c>
      <c r="B652" s="58">
        <v>14890501835</v>
      </c>
      <c r="C652" s="63"/>
      <c r="D652" s="60"/>
      <c r="E652" s="9">
        <v>1824</v>
      </c>
      <c r="F652" s="25">
        <v>43091</v>
      </c>
      <c r="G652" s="61" t="s">
        <v>13</v>
      </c>
      <c r="H652" s="9"/>
      <c r="I652" s="8"/>
      <c r="J652" s="8"/>
      <c r="K652" s="8"/>
      <c r="L652" s="9">
        <v>1828</v>
      </c>
      <c r="M652" s="8"/>
    </row>
    <row r="653" spans="1:13">
      <c r="A653" s="62" t="s">
        <v>1036</v>
      </c>
      <c r="B653" s="58">
        <v>11253287899</v>
      </c>
      <c r="C653" s="68"/>
      <c r="D653" s="60"/>
      <c r="E653" s="9"/>
      <c r="F653" s="25"/>
      <c r="G653" s="61"/>
      <c r="H653" s="9"/>
      <c r="I653" s="8"/>
      <c r="J653" s="8"/>
      <c r="K653" s="8"/>
      <c r="L653" s="8"/>
      <c r="M653" s="8"/>
    </row>
    <row r="654" spans="1:13">
      <c r="A654" s="15" t="s">
        <v>1037</v>
      </c>
      <c r="B654" s="58">
        <v>49796909634</v>
      </c>
      <c r="C654" s="63"/>
      <c r="D654" s="60"/>
      <c r="E654" s="9">
        <v>229</v>
      </c>
      <c r="F654" s="25">
        <v>43151</v>
      </c>
      <c r="G654" s="61" t="s">
        <v>13</v>
      </c>
      <c r="H654" s="9"/>
      <c r="I654" s="8"/>
      <c r="J654" s="8"/>
      <c r="K654" s="8"/>
      <c r="L654" s="9">
        <v>232</v>
      </c>
      <c r="M654" s="8"/>
    </row>
    <row r="655" spans="1:13">
      <c r="A655" s="63" t="s">
        <v>1038</v>
      </c>
      <c r="B655" s="58">
        <v>7385460895</v>
      </c>
      <c r="C655" s="63" t="s">
        <v>1039</v>
      </c>
      <c r="D655" s="60">
        <v>14764593807</v>
      </c>
      <c r="E655" s="9"/>
      <c r="F655" s="25"/>
      <c r="G655" s="61"/>
      <c r="H655" s="9"/>
      <c r="I655" s="8"/>
      <c r="J655" s="8"/>
      <c r="K655" s="8"/>
      <c r="L655" s="8"/>
      <c r="M655" s="8"/>
    </row>
    <row r="656" spans="1:13">
      <c r="A656" s="18" t="s">
        <v>1040</v>
      </c>
      <c r="B656" s="58">
        <v>31828009814</v>
      </c>
      <c r="C656" s="18" t="s">
        <v>1041</v>
      </c>
      <c r="D656" s="60">
        <v>21427993882</v>
      </c>
      <c r="E656" s="9"/>
      <c r="F656" s="25"/>
      <c r="G656" s="61"/>
      <c r="H656" s="9"/>
      <c r="I656" s="8"/>
      <c r="J656" s="8"/>
      <c r="K656" s="8"/>
      <c r="L656" s="8"/>
      <c r="M656" s="8"/>
    </row>
    <row r="657" spans="1:13">
      <c r="A657" s="62" t="s">
        <v>1042</v>
      </c>
      <c r="B657" s="58">
        <v>4377674420</v>
      </c>
      <c r="C657" s="63"/>
      <c r="D657" s="60"/>
      <c r="E657" s="9">
        <v>1214</v>
      </c>
      <c r="F657" s="25">
        <v>42989</v>
      </c>
      <c r="G657" s="61" t="s">
        <v>13</v>
      </c>
      <c r="H657" s="9"/>
      <c r="I657" s="8"/>
      <c r="J657" s="8"/>
      <c r="K657" s="8"/>
      <c r="L657" s="8"/>
      <c r="M657" s="8"/>
    </row>
    <row r="658" spans="1:13">
      <c r="A658" s="62" t="s">
        <v>1043</v>
      </c>
      <c r="B658" s="58">
        <v>15090098840</v>
      </c>
      <c r="C658" s="63" t="s">
        <v>1044</v>
      </c>
      <c r="D658" s="60">
        <v>3376233845</v>
      </c>
      <c r="E658" s="9">
        <v>1752</v>
      </c>
      <c r="F658" s="25">
        <v>43051</v>
      </c>
      <c r="G658" s="61" t="s">
        <v>13</v>
      </c>
      <c r="H658" s="9"/>
      <c r="I658" s="8"/>
      <c r="J658" s="8"/>
      <c r="K658" s="8"/>
      <c r="L658" s="9">
        <v>1759</v>
      </c>
      <c r="M658" s="8"/>
    </row>
    <row r="659" spans="1:13">
      <c r="A659" s="62" t="s">
        <v>1045</v>
      </c>
      <c r="B659" s="58">
        <v>27271183841</v>
      </c>
      <c r="C659" s="63"/>
      <c r="D659" s="60"/>
      <c r="E659" s="9">
        <v>1214</v>
      </c>
      <c r="F659" s="25">
        <v>42989</v>
      </c>
      <c r="G659" s="61" t="s">
        <v>13</v>
      </c>
      <c r="H659" s="9"/>
      <c r="I659" s="8"/>
      <c r="J659" s="8"/>
      <c r="K659" s="8"/>
      <c r="L659" s="8"/>
      <c r="M659" s="8"/>
    </row>
    <row r="660" spans="1:13">
      <c r="A660" s="62" t="s">
        <v>1046</v>
      </c>
      <c r="B660" s="58">
        <v>30652965865</v>
      </c>
      <c r="C660" s="63" t="s">
        <v>1047</v>
      </c>
      <c r="D660" s="60">
        <v>23330127813</v>
      </c>
      <c r="E660" s="9">
        <v>1214</v>
      </c>
      <c r="F660" s="25">
        <v>42989</v>
      </c>
      <c r="G660" s="61" t="s">
        <v>13</v>
      </c>
      <c r="H660" s="9"/>
      <c r="I660" s="8"/>
      <c r="J660" s="8"/>
      <c r="K660" s="8"/>
      <c r="L660" s="8"/>
      <c r="M660" s="8"/>
    </row>
    <row r="661" spans="1:13">
      <c r="A661" s="14" t="s">
        <v>1048</v>
      </c>
      <c r="B661" s="58">
        <v>8589565866</v>
      </c>
      <c r="C661" s="63"/>
      <c r="D661" s="60"/>
      <c r="E661" s="9">
        <v>262</v>
      </c>
      <c r="F661" s="25">
        <v>43160</v>
      </c>
      <c r="G661" s="61" t="s">
        <v>13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63" t="s">
        <v>1049</v>
      </c>
      <c r="B662" s="58">
        <v>24314625520</v>
      </c>
      <c r="C662" s="63"/>
      <c r="D662" s="60"/>
      <c r="E662" s="9"/>
      <c r="F662" s="25"/>
      <c r="G662" s="61"/>
      <c r="H662" s="9"/>
      <c r="I662" s="8"/>
      <c r="J662" s="8"/>
      <c r="K662" s="8"/>
      <c r="L662" s="8"/>
      <c r="M662" s="8"/>
    </row>
    <row r="663" spans="1:13">
      <c r="A663" s="15" t="s">
        <v>1050</v>
      </c>
      <c r="B663" s="58">
        <v>97060550887</v>
      </c>
      <c r="C663" s="63"/>
      <c r="D663" s="60"/>
      <c r="E663" s="9">
        <v>262</v>
      </c>
      <c r="F663" s="25">
        <v>43160</v>
      </c>
      <c r="G663" s="61" t="s">
        <v>13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62" t="s">
        <v>1051</v>
      </c>
      <c r="B664" s="58">
        <v>41327735822</v>
      </c>
      <c r="C664" s="68"/>
      <c r="D664" s="60"/>
      <c r="E664" s="9">
        <v>563</v>
      </c>
      <c r="F664" s="25">
        <v>43217</v>
      </c>
      <c r="G664" s="61"/>
      <c r="H664" s="9"/>
      <c r="I664" s="8"/>
      <c r="J664" s="8"/>
      <c r="K664" s="8"/>
      <c r="L664" s="9" t="s">
        <v>299</v>
      </c>
      <c r="M664" s="8"/>
    </row>
    <row r="665" spans="1:13">
      <c r="A665" s="62" t="s">
        <v>1052</v>
      </c>
      <c r="B665" s="58">
        <v>14052918851</v>
      </c>
      <c r="C665" s="63"/>
      <c r="D665" s="60"/>
      <c r="E665" s="9">
        <v>1106</v>
      </c>
      <c r="F665" s="25">
        <v>42965</v>
      </c>
      <c r="G665" s="61" t="s">
        <v>13</v>
      </c>
      <c r="H665" s="9"/>
      <c r="I665" s="8"/>
      <c r="J665" s="8"/>
      <c r="K665" s="8"/>
      <c r="L665" s="8"/>
      <c r="M665" s="8"/>
    </row>
    <row r="666" spans="1:13">
      <c r="A666" s="13" t="s">
        <v>1053</v>
      </c>
      <c r="B666" s="58">
        <v>40699288800</v>
      </c>
      <c r="C666" s="63"/>
      <c r="D666" s="60"/>
      <c r="E666" s="9">
        <v>1350</v>
      </c>
      <c r="F666" s="25">
        <v>43006</v>
      </c>
      <c r="G666" s="61" t="s">
        <v>13</v>
      </c>
      <c r="H666" s="9"/>
      <c r="I666" s="8"/>
      <c r="J666" s="8"/>
      <c r="K666" s="8"/>
      <c r="L666" s="8"/>
      <c r="M666" s="8"/>
    </row>
    <row r="667" spans="1:13">
      <c r="A667" s="62" t="s">
        <v>1054</v>
      </c>
      <c r="B667" s="58">
        <v>39898491825</v>
      </c>
      <c r="C667" s="63" t="s">
        <v>1055</v>
      </c>
      <c r="D667" s="60">
        <v>29869949894</v>
      </c>
      <c r="E667" s="9">
        <v>1214</v>
      </c>
      <c r="F667" s="25">
        <v>42989</v>
      </c>
      <c r="G667" s="61"/>
      <c r="H667" s="9"/>
      <c r="I667" s="8"/>
      <c r="J667" s="8"/>
      <c r="K667" s="8"/>
      <c r="L667" s="8"/>
      <c r="M667" s="8"/>
    </row>
    <row r="668" spans="1:13">
      <c r="A668" s="27" t="s">
        <v>1056</v>
      </c>
      <c r="B668" s="58">
        <v>96629428587</v>
      </c>
      <c r="C668" s="27" t="s">
        <v>1057</v>
      </c>
      <c r="D668" s="60">
        <v>47750391568</v>
      </c>
      <c r="E668" s="9"/>
      <c r="F668" s="25"/>
      <c r="G668" s="61"/>
      <c r="H668" s="9"/>
      <c r="I668" s="8"/>
      <c r="J668" s="8"/>
      <c r="K668" s="8"/>
      <c r="L668" s="8"/>
      <c r="M668" s="8"/>
    </row>
    <row r="669" spans="1:13">
      <c r="A669" s="62" t="s">
        <v>1058</v>
      </c>
      <c r="B669" s="58">
        <v>7383235860</v>
      </c>
      <c r="C669" s="63"/>
      <c r="D669" s="60"/>
      <c r="E669" s="9">
        <v>1752</v>
      </c>
      <c r="F669" s="25">
        <v>43051</v>
      </c>
      <c r="G669" s="61" t="s">
        <v>13</v>
      </c>
      <c r="H669" s="9"/>
      <c r="I669" s="8"/>
      <c r="J669" s="8"/>
      <c r="K669" s="8"/>
      <c r="L669" s="9">
        <v>1759</v>
      </c>
      <c r="M669" s="8"/>
    </row>
    <row r="670" spans="1:13">
      <c r="A670" s="62" t="s">
        <v>1059</v>
      </c>
      <c r="B670" s="58">
        <v>31620089807</v>
      </c>
      <c r="C670" s="63"/>
      <c r="D670" s="60"/>
      <c r="E670" s="9">
        <v>423</v>
      </c>
      <c r="F670" s="25">
        <v>43182</v>
      </c>
      <c r="G670" s="61" t="s">
        <v>13</v>
      </c>
      <c r="H670" s="9"/>
      <c r="I670" s="8"/>
      <c r="J670" s="8"/>
      <c r="K670" s="8"/>
      <c r="L670" s="8"/>
      <c r="M670" s="8"/>
    </row>
    <row r="671" spans="1:13">
      <c r="A671" s="14" t="s">
        <v>1060</v>
      </c>
      <c r="B671" s="58">
        <v>47371597869</v>
      </c>
      <c r="C671" s="63"/>
      <c r="D671" s="60"/>
      <c r="E671" s="9"/>
      <c r="F671" s="25"/>
      <c r="G671" s="61"/>
      <c r="H671" s="9"/>
      <c r="I671" s="8"/>
      <c r="J671" s="8"/>
      <c r="K671" s="8"/>
      <c r="L671" s="8"/>
      <c r="M671" s="8"/>
    </row>
    <row r="672" spans="1:13">
      <c r="A672" s="13" t="s">
        <v>1061</v>
      </c>
      <c r="B672" s="58">
        <v>29155768822</v>
      </c>
      <c r="C672" s="63"/>
      <c r="D672" s="60"/>
      <c r="E672" s="9">
        <v>1417</v>
      </c>
      <c r="F672" s="25">
        <v>43017</v>
      </c>
      <c r="G672" s="61" t="s">
        <v>13</v>
      </c>
      <c r="H672" s="9"/>
      <c r="I672" s="8"/>
      <c r="J672" s="8"/>
      <c r="K672" s="8"/>
      <c r="L672" s="9" t="s">
        <v>253</v>
      </c>
      <c r="M672" s="8"/>
    </row>
    <row r="673" spans="1:13">
      <c r="A673" s="62" t="s">
        <v>1062</v>
      </c>
      <c r="B673" s="58">
        <v>16642039823</v>
      </c>
      <c r="C673" s="63"/>
      <c r="D673" s="60"/>
      <c r="E673" s="9">
        <v>262</v>
      </c>
      <c r="F673" s="25">
        <v>43160</v>
      </c>
      <c r="G673" s="61" t="s">
        <v>13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1063</v>
      </c>
      <c r="B674" s="58">
        <v>11438313810</v>
      </c>
      <c r="C674" s="63" t="s">
        <v>1064</v>
      </c>
      <c r="D674" s="60">
        <v>11400812844</v>
      </c>
      <c r="E674" s="9">
        <v>292</v>
      </c>
      <c r="F674" s="25">
        <v>43168</v>
      </c>
      <c r="G674" s="61" t="s">
        <v>13</v>
      </c>
      <c r="H674" s="9"/>
      <c r="I674" s="8"/>
      <c r="J674" s="8"/>
      <c r="K674" s="8"/>
      <c r="L674" s="9">
        <v>318</v>
      </c>
      <c r="M674" s="8"/>
    </row>
    <row r="675" spans="1:13">
      <c r="A675" s="62" t="s">
        <v>1065</v>
      </c>
      <c r="B675" s="58">
        <v>11958981850</v>
      </c>
      <c r="C675" s="63"/>
      <c r="D675" s="60"/>
      <c r="E675" s="9">
        <v>485</v>
      </c>
      <c r="F675" s="25">
        <v>43196</v>
      </c>
      <c r="G675" s="61"/>
      <c r="H675" s="9"/>
      <c r="I675" s="8"/>
      <c r="J675" s="8"/>
      <c r="K675" s="8"/>
      <c r="L675" s="9">
        <v>483</v>
      </c>
      <c r="M675" s="8"/>
    </row>
    <row r="676" spans="1:13">
      <c r="A676" s="13" t="s">
        <v>1066</v>
      </c>
      <c r="B676" s="58">
        <v>25786185850</v>
      </c>
      <c r="C676" s="63"/>
      <c r="D676" s="60"/>
      <c r="E676" s="9">
        <v>1350</v>
      </c>
      <c r="F676" s="25">
        <v>43006</v>
      </c>
      <c r="G676" s="61" t="s">
        <v>13</v>
      </c>
      <c r="H676" s="9"/>
      <c r="I676" s="8"/>
      <c r="J676" s="8"/>
      <c r="K676" s="8"/>
      <c r="L676" s="8"/>
      <c r="M676" s="8"/>
    </row>
    <row r="677" spans="1:13">
      <c r="A677" s="14" t="s">
        <v>1067</v>
      </c>
      <c r="B677" s="58">
        <v>16308413828</v>
      </c>
      <c r="C677" s="63"/>
      <c r="D677" s="60"/>
      <c r="E677" s="9">
        <v>262</v>
      </c>
      <c r="F677" s="25">
        <v>43160</v>
      </c>
      <c r="G677" s="61" t="s">
        <v>13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62" t="s">
        <v>1068</v>
      </c>
      <c r="B678" s="58"/>
      <c r="C678" s="63"/>
      <c r="D678" s="60"/>
      <c r="E678" s="9"/>
      <c r="F678" s="25"/>
      <c r="G678" s="61"/>
      <c r="H678" s="9"/>
      <c r="I678" s="8"/>
      <c r="J678" s="8"/>
      <c r="K678" s="8"/>
      <c r="L678" s="8"/>
      <c r="M678" s="8"/>
    </row>
    <row r="679" spans="1:13">
      <c r="A679" s="62" t="s">
        <v>1069</v>
      </c>
      <c r="B679" s="58">
        <v>32739551800</v>
      </c>
      <c r="C679" s="63"/>
      <c r="D679" s="60"/>
      <c r="E679" s="9"/>
      <c r="F679" s="25"/>
      <c r="G679" s="61"/>
      <c r="H679" s="9"/>
      <c r="I679" s="8"/>
      <c r="J679" s="8"/>
      <c r="K679" s="8"/>
      <c r="L679" s="8"/>
      <c r="M679" s="8"/>
    </row>
    <row r="680" spans="1:13">
      <c r="A680" s="15" t="s">
        <v>1070</v>
      </c>
      <c r="B680" s="58">
        <v>10756997895</v>
      </c>
      <c r="C680" s="63"/>
      <c r="D680" s="60"/>
      <c r="E680" s="9">
        <v>229</v>
      </c>
      <c r="F680" s="25">
        <v>43151</v>
      </c>
      <c r="G680" s="61" t="s">
        <v>13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1071</v>
      </c>
      <c r="B681" s="32">
        <v>31970473894</v>
      </c>
      <c r="C681" s="17" t="s">
        <v>1072</v>
      </c>
      <c r="D681" s="33">
        <v>22945039885</v>
      </c>
      <c r="E681" s="34">
        <v>1128</v>
      </c>
      <c r="F681" s="35">
        <v>42972</v>
      </c>
      <c r="G681" s="36" t="s">
        <v>13</v>
      </c>
      <c r="H681" s="9"/>
      <c r="I681" s="8"/>
      <c r="J681" s="8"/>
      <c r="K681" s="8"/>
      <c r="L681" s="8"/>
      <c r="M681" s="8"/>
    </row>
    <row r="682" spans="1:13">
      <c r="A682" s="63" t="s">
        <v>1073</v>
      </c>
      <c r="B682" s="58">
        <v>29486419850</v>
      </c>
      <c r="C682" s="63" t="s">
        <v>1074</v>
      </c>
      <c r="D682" s="60">
        <v>4523976694</v>
      </c>
      <c r="E682" s="9"/>
      <c r="F682" s="25"/>
      <c r="G682" s="61"/>
      <c r="H682" s="9"/>
      <c r="I682" s="8"/>
      <c r="J682" s="8"/>
      <c r="K682" s="8"/>
      <c r="L682" s="8"/>
      <c r="M682" s="8"/>
    </row>
    <row r="683" spans="1:13">
      <c r="A683" s="62" t="s">
        <v>1075</v>
      </c>
      <c r="B683" s="58">
        <v>73699993272</v>
      </c>
      <c r="C683" s="63" t="s">
        <v>1076</v>
      </c>
      <c r="D683" s="60">
        <v>76412997253</v>
      </c>
      <c r="E683" s="9">
        <v>292</v>
      </c>
      <c r="F683" s="25">
        <v>43168</v>
      </c>
      <c r="G683" s="61"/>
      <c r="H683" s="9"/>
      <c r="I683" s="8"/>
      <c r="J683" s="8"/>
      <c r="K683" s="8"/>
      <c r="L683" s="9">
        <v>318</v>
      </c>
      <c r="M683" s="8"/>
    </row>
    <row r="684" spans="1:13">
      <c r="A684" s="62" t="s">
        <v>1077</v>
      </c>
      <c r="B684" s="58">
        <v>32024237894</v>
      </c>
      <c r="C684" s="63"/>
      <c r="D684" s="60"/>
      <c r="E684" s="9">
        <v>262</v>
      </c>
      <c r="F684" s="25">
        <v>43160</v>
      </c>
      <c r="G684" s="61" t="s">
        <v>13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62" t="s">
        <v>1078</v>
      </c>
      <c r="B685" s="58">
        <v>34833459817</v>
      </c>
      <c r="C685" s="59" t="s">
        <v>1079</v>
      </c>
      <c r="D685" s="60">
        <v>32077064870</v>
      </c>
      <c r="E685" s="9">
        <v>1128</v>
      </c>
      <c r="F685" s="25">
        <v>42972</v>
      </c>
      <c r="G685" s="61" t="s">
        <v>13</v>
      </c>
      <c r="H685" s="9"/>
      <c r="I685" s="8"/>
      <c r="J685" s="8"/>
      <c r="K685" s="8"/>
      <c r="L685" s="8"/>
      <c r="M685" s="8"/>
    </row>
    <row r="686" spans="1:13">
      <c r="A686" s="13" t="s">
        <v>1080</v>
      </c>
      <c r="B686" s="58">
        <v>15203953880</v>
      </c>
      <c r="C686" s="63" t="s">
        <v>1081</v>
      </c>
      <c r="D686" s="60">
        <v>16339364810</v>
      </c>
      <c r="E686" s="9">
        <v>229</v>
      </c>
      <c r="F686" s="25">
        <v>43151</v>
      </c>
      <c r="G686" s="61" t="s">
        <v>20</v>
      </c>
      <c r="H686" s="9"/>
      <c r="I686" s="8"/>
      <c r="J686" s="8"/>
      <c r="K686" s="8"/>
      <c r="L686" s="9">
        <v>232</v>
      </c>
      <c r="M686" s="8"/>
    </row>
    <row r="687" spans="1:13">
      <c r="A687" s="62" t="s">
        <v>1082</v>
      </c>
      <c r="B687" s="58">
        <v>23891239882</v>
      </c>
      <c r="C687" s="63" t="s">
        <v>1083</v>
      </c>
      <c r="D687" s="60">
        <v>22474449892</v>
      </c>
      <c r="E687" s="9">
        <v>1555</v>
      </c>
      <c r="F687" s="25">
        <v>43049</v>
      </c>
      <c r="G687" s="61" t="s">
        <v>13</v>
      </c>
      <c r="H687" s="9"/>
      <c r="I687" s="8"/>
      <c r="J687" s="8"/>
      <c r="K687" s="8"/>
      <c r="L687" s="9" t="s">
        <v>398</v>
      </c>
      <c r="M687" s="8"/>
    </row>
    <row r="688" spans="1:13">
      <c r="A688" s="15" t="s">
        <v>1084</v>
      </c>
      <c r="B688" s="58">
        <v>376349506</v>
      </c>
      <c r="C688" s="8"/>
      <c r="D688" s="21"/>
      <c r="E688" s="9">
        <v>262</v>
      </c>
      <c r="F688" s="25">
        <v>43160</v>
      </c>
      <c r="G688" s="61" t="s">
        <v>13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62" t="s">
        <v>1085</v>
      </c>
      <c r="B689" s="58">
        <v>19441854883</v>
      </c>
      <c r="C689" s="63"/>
      <c r="D689" s="60"/>
      <c r="E689" s="9">
        <v>810</v>
      </c>
      <c r="F689" s="25">
        <v>42915</v>
      </c>
      <c r="G689" s="61" t="s">
        <v>13</v>
      </c>
      <c r="H689" s="9"/>
      <c r="I689" s="8"/>
      <c r="J689" s="8"/>
      <c r="K689" s="8"/>
      <c r="L689" s="9" t="s">
        <v>138</v>
      </c>
      <c r="M689" s="8"/>
    </row>
    <row r="690" spans="1:13">
      <c r="A690" s="63" t="s">
        <v>1086</v>
      </c>
      <c r="B690" s="58">
        <v>18274701860</v>
      </c>
      <c r="C690" s="63"/>
      <c r="D690" s="60"/>
      <c r="E690" s="9">
        <v>563</v>
      </c>
      <c r="F690" s="25">
        <v>43217</v>
      </c>
      <c r="G690" s="61"/>
      <c r="H690" s="9"/>
      <c r="I690" s="8"/>
      <c r="J690" s="8"/>
      <c r="K690" s="8"/>
      <c r="L690" s="9" t="s">
        <v>299</v>
      </c>
      <c r="M690" s="8"/>
    </row>
    <row r="691" spans="1:13">
      <c r="A691" s="13" t="s">
        <v>1087</v>
      </c>
      <c r="B691" s="58">
        <v>2232912850</v>
      </c>
      <c r="C691" s="59"/>
      <c r="D691" s="60"/>
      <c r="E691" s="9">
        <v>1451</v>
      </c>
      <c r="F691" s="25">
        <v>43027</v>
      </c>
      <c r="G691" s="61" t="s">
        <v>13</v>
      </c>
      <c r="H691" s="9"/>
      <c r="I691" s="8"/>
      <c r="J691" s="8"/>
      <c r="K691" s="8"/>
      <c r="L691" s="8"/>
      <c r="M691" s="8"/>
    </row>
    <row r="692" spans="1:13">
      <c r="A692" s="28" t="s">
        <v>1088</v>
      </c>
      <c r="B692" s="58">
        <v>80372481515</v>
      </c>
      <c r="C692" s="63"/>
      <c r="D692" s="60"/>
      <c r="E692" s="9"/>
      <c r="F692" s="25"/>
      <c r="G692" s="61"/>
      <c r="H692" s="9"/>
      <c r="I692" s="8"/>
      <c r="J692" s="8"/>
      <c r="K692" s="8"/>
      <c r="L692" s="8"/>
      <c r="M692" s="8"/>
    </row>
    <row r="693" spans="1:13">
      <c r="A693" s="14" t="s">
        <v>1089</v>
      </c>
      <c r="B693" s="58">
        <v>27052527898</v>
      </c>
      <c r="C693" s="63"/>
      <c r="D693" s="60"/>
      <c r="E693" s="9">
        <v>292</v>
      </c>
      <c r="F693" s="25">
        <v>43168</v>
      </c>
      <c r="G693" s="61" t="s">
        <v>13</v>
      </c>
      <c r="H693" s="9"/>
      <c r="I693" s="8"/>
      <c r="J693" s="8"/>
      <c r="K693" s="8"/>
      <c r="L693" s="9">
        <v>318</v>
      </c>
      <c r="M693" s="8"/>
    </row>
    <row r="694" spans="1:13">
      <c r="A694" s="62" t="s">
        <v>1090</v>
      </c>
      <c r="B694" s="58">
        <v>37665282890</v>
      </c>
      <c r="C694" s="63"/>
      <c r="D694" s="60"/>
      <c r="E694" s="9">
        <v>527</v>
      </c>
      <c r="F694" s="25">
        <v>43210</v>
      </c>
      <c r="G694" s="61"/>
      <c r="H694" s="9"/>
      <c r="I694" s="8"/>
      <c r="J694" s="8"/>
      <c r="K694" s="8"/>
      <c r="L694" s="9">
        <v>528</v>
      </c>
      <c r="M694" s="8"/>
    </row>
    <row r="695" spans="1:13">
      <c r="A695" s="62" t="s">
        <v>1091</v>
      </c>
      <c r="B695" s="58">
        <v>82606935420</v>
      </c>
      <c r="C695" s="63"/>
      <c r="D695" s="60"/>
      <c r="E695" s="9">
        <v>1752</v>
      </c>
      <c r="F695" s="25">
        <v>43051</v>
      </c>
      <c r="G695" s="61" t="s">
        <v>13</v>
      </c>
      <c r="H695" s="9"/>
      <c r="I695" s="8"/>
      <c r="J695" s="8"/>
      <c r="K695" s="8"/>
      <c r="L695" s="9">
        <v>1759</v>
      </c>
      <c r="M695" s="8"/>
    </row>
    <row r="696" spans="1:13">
      <c r="A696" s="62" t="s">
        <v>1092</v>
      </c>
      <c r="B696" s="58">
        <v>58736212504</v>
      </c>
      <c r="C696" s="63"/>
      <c r="D696" s="60"/>
      <c r="E696" s="9">
        <v>423</v>
      </c>
      <c r="F696" s="25">
        <v>43182</v>
      </c>
      <c r="G696" s="61" t="s">
        <v>20</v>
      </c>
      <c r="H696" s="9"/>
      <c r="I696" s="8"/>
      <c r="J696" s="8"/>
      <c r="K696" s="8"/>
      <c r="L696" s="8"/>
      <c r="M696" s="8"/>
    </row>
    <row r="697" spans="1:13">
      <c r="A697" s="62" t="s">
        <v>1093</v>
      </c>
      <c r="B697" s="58">
        <v>25950866851</v>
      </c>
      <c r="C697" s="63"/>
      <c r="D697" s="60"/>
      <c r="E697" s="9">
        <v>1214</v>
      </c>
      <c r="F697" s="25">
        <v>42989</v>
      </c>
      <c r="G697" s="61" t="s">
        <v>13</v>
      </c>
      <c r="H697" s="9"/>
      <c r="I697" s="8"/>
      <c r="J697" s="8"/>
      <c r="K697" s="8"/>
      <c r="L697" s="8"/>
      <c r="M697" s="8"/>
    </row>
    <row r="698" spans="1:13">
      <c r="A698" s="62" t="s">
        <v>1094</v>
      </c>
      <c r="B698" s="58">
        <v>78094780444</v>
      </c>
      <c r="C698" s="63"/>
      <c r="D698" s="60"/>
      <c r="E698" s="9">
        <v>810</v>
      </c>
      <c r="F698" s="25">
        <v>42915</v>
      </c>
      <c r="G698" s="61" t="s">
        <v>13</v>
      </c>
      <c r="H698" s="9"/>
      <c r="I698" s="8"/>
      <c r="J698" s="8"/>
      <c r="K698" s="8"/>
      <c r="L698" s="9" t="s">
        <v>138</v>
      </c>
      <c r="M698" s="8"/>
    </row>
    <row r="699" spans="1:13">
      <c r="A699" s="62" t="s">
        <v>1095</v>
      </c>
      <c r="B699" s="58">
        <v>1250276489</v>
      </c>
      <c r="C699" s="63"/>
      <c r="D699" s="60"/>
      <c r="E699" s="9"/>
      <c r="F699" s="25"/>
      <c r="G699" s="61"/>
      <c r="H699" s="9"/>
      <c r="I699" s="8"/>
      <c r="J699" s="8"/>
      <c r="K699" s="8"/>
      <c r="L699" s="8"/>
      <c r="M699" s="8"/>
    </row>
    <row r="700" spans="1:13">
      <c r="A700" s="13" t="s">
        <v>1096</v>
      </c>
      <c r="B700" s="58">
        <v>27030694805</v>
      </c>
      <c r="C700" s="59"/>
      <c r="D700" s="60"/>
      <c r="E700" s="9">
        <v>1489</v>
      </c>
      <c r="F700" s="25">
        <v>43038</v>
      </c>
      <c r="G700" s="61" t="s">
        <v>13</v>
      </c>
      <c r="H700" s="9"/>
      <c r="I700" s="8"/>
      <c r="J700" s="8"/>
      <c r="K700" s="8"/>
      <c r="L700" s="9" t="s">
        <v>160</v>
      </c>
      <c r="M700" s="8"/>
    </row>
    <row r="701" spans="1:13">
      <c r="A701" s="62" t="s">
        <v>1097</v>
      </c>
      <c r="B701" s="58">
        <v>29329354882</v>
      </c>
      <c r="C701" s="63"/>
      <c r="D701" s="60"/>
      <c r="E701" s="9">
        <v>509</v>
      </c>
      <c r="F701" s="25">
        <v>43203</v>
      </c>
      <c r="G701" s="67"/>
      <c r="H701" s="67">
        <v>43213</v>
      </c>
      <c r="I701" s="8"/>
      <c r="J701" s="8"/>
      <c r="K701" s="8"/>
      <c r="L701" s="8"/>
      <c r="M701" s="8"/>
    </row>
    <row r="702" spans="1:13">
      <c r="A702" s="63" t="s">
        <v>1098</v>
      </c>
      <c r="B702" s="58">
        <v>5057226827</v>
      </c>
      <c r="C702" s="63"/>
      <c r="D702" s="60"/>
      <c r="E702" s="9"/>
      <c r="F702" s="25"/>
      <c r="G702" s="61"/>
      <c r="H702" s="67">
        <v>43213</v>
      </c>
      <c r="I702" s="8"/>
      <c r="J702" s="8"/>
      <c r="K702" s="8"/>
      <c r="L702" s="8"/>
      <c r="M702" s="8"/>
    </row>
    <row r="703" spans="1:13">
      <c r="A703" s="62" t="s">
        <v>1099</v>
      </c>
      <c r="B703" s="58">
        <v>25698933820</v>
      </c>
      <c r="C703" s="63" t="s">
        <v>1100</v>
      </c>
      <c r="D703" s="60">
        <v>14047433837</v>
      </c>
      <c r="E703" s="9">
        <v>810</v>
      </c>
      <c r="F703" s="25">
        <v>42915</v>
      </c>
      <c r="G703" s="61" t="s">
        <v>13</v>
      </c>
      <c r="H703" s="67">
        <v>43213</v>
      </c>
      <c r="I703" s="8"/>
      <c r="J703" s="8"/>
      <c r="K703" s="8"/>
      <c r="L703" s="9" t="s">
        <v>138</v>
      </c>
      <c r="M703" s="8"/>
    </row>
    <row r="704" spans="1:13">
      <c r="A704" s="62" t="s">
        <v>1101</v>
      </c>
      <c r="B704" s="58">
        <v>34806644315</v>
      </c>
      <c r="C704" s="63" t="s">
        <v>1102</v>
      </c>
      <c r="D704" s="60">
        <v>34770240368</v>
      </c>
      <c r="E704" s="9">
        <v>1752</v>
      </c>
      <c r="F704" s="25">
        <v>43051</v>
      </c>
      <c r="G704" s="61"/>
      <c r="H704" s="67">
        <v>43213</v>
      </c>
      <c r="I704" s="8"/>
      <c r="J704" s="8"/>
      <c r="K704" s="8"/>
      <c r="L704" s="9">
        <v>1759</v>
      </c>
      <c r="M704" s="8"/>
    </row>
    <row r="705" spans="1:13">
      <c r="A705" s="62" t="s">
        <v>1103</v>
      </c>
      <c r="B705" s="58">
        <v>33189488886</v>
      </c>
      <c r="C705" s="63" t="s">
        <v>1104</v>
      </c>
      <c r="D705" s="60">
        <v>35085572866</v>
      </c>
      <c r="E705" s="9"/>
      <c r="F705" s="25"/>
      <c r="G705" s="61"/>
      <c r="H705" s="67">
        <v>43213</v>
      </c>
      <c r="I705" s="8"/>
      <c r="J705" s="8"/>
      <c r="K705" s="8"/>
      <c r="L705" s="8"/>
      <c r="M705" s="8"/>
    </row>
    <row r="706" spans="1:13">
      <c r="A706" s="62" t="s">
        <v>1105</v>
      </c>
      <c r="B706" s="58">
        <v>75540959515</v>
      </c>
      <c r="C706" s="63"/>
      <c r="D706" s="60"/>
      <c r="E706" s="9">
        <v>810</v>
      </c>
      <c r="F706" s="25">
        <v>42915</v>
      </c>
      <c r="G706" s="61" t="s">
        <v>13</v>
      </c>
      <c r="H706" s="67">
        <v>43213</v>
      </c>
      <c r="I706" s="8"/>
      <c r="J706" s="8"/>
      <c r="K706" s="8"/>
      <c r="L706" s="9" t="s">
        <v>138</v>
      </c>
      <c r="M706" s="8"/>
    </row>
    <row r="707" spans="1:13">
      <c r="A707" s="62" t="s">
        <v>1106</v>
      </c>
      <c r="B707" s="58">
        <v>38256774860</v>
      </c>
      <c r="C707" s="63"/>
      <c r="D707" s="60"/>
      <c r="E707" s="9">
        <v>1555</v>
      </c>
      <c r="F707" s="25">
        <v>43049</v>
      </c>
      <c r="G707" s="61" t="s">
        <v>13</v>
      </c>
      <c r="H707" s="67">
        <v>43213</v>
      </c>
      <c r="I707" s="8"/>
      <c r="J707" s="8"/>
      <c r="K707" s="8"/>
      <c r="L707" s="9" t="s">
        <v>398</v>
      </c>
      <c r="M707" s="8"/>
    </row>
    <row r="708" spans="1:13">
      <c r="A708" s="13" t="s">
        <v>1107</v>
      </c>
      <c r="B708" s="58">
        <v>28390636549</v>
      </c>
      <c r="C708" s="63" t="s">
        <v>1108</v>
      </c>
      <c r="D708" s="60">
        <v>49042904534</v>
      </c>
      <c r="E708" s="9">
        <v>1343</v>
      </c>
      <c r="F708" s="25">
        <v>43004</v>
      </c>
      <c r="G708" s="61" t="s">
        <v>13</v>
      </c>
      <c r="H708" s="67">
        <v>43213</v>
      </c>
      <c r="I708" s="8"/>
      <c r="J708" s="8"/>
      <c r="K708" s="8"/>
      <c r="L708" s="8"/>
      <c r="M708" s="8"/>
    </row>
    <row r="709" spans="1:13">
      <c r="A709" s="62" t="s">
        <v>1109</v>
      </c>
      <c r="B709" s="58">
        <v>73855529515</v>
      </c>
      <c r="C709" s="63"/>
      <c r="D709" s="60"/>
      <c r="E709" s="9">
        <v>443</v>
      </c>
      <c r="F709" s="25">
        <v>43188</v>
      </c>
      <c r="G709" s="61"/>
      <c r="H709" s="67">
        <v>43213</v>
      </c>
      <c r="I709" s="8"/>
      <c r="J709" s="8"/>
      <c r="K709" s="8"/>
      <c r="L709" s="8"/>
      <c r="M709" s="8"/>
    </row>
    <row r="710" spans="1:13">
      <c r="A710" s="62" t="s">
        <v>1110</v>
      </c>
      <c r="B710" s="58">
        <v>37424392867</v>
      </c>
      <c r="C710" s="63"/>
      <c r="D710" s="60"/>
      <c r="E710" s="9">
        <v>810</v>
      </c>
      <c r="F710" s="25">
        <v>42915</v>
      </c>
      <c r="G710" s="61" t="s">
        <v>13</v>
      </c>
      <c r="H710" s="67">
        <v>43213</v>
      </c>
      <c r="I710" s="8"/>
      <c r="J710" s="8"/>
      <c r="K710" s="8"/>
      <c r="L710" s="9" t="s">
        <v>138</v>
      </c>
      <c r="M710" s="8"/>
    </row>
    <row r="711" spans="1:13">
      <c r="A711" s="62" t="s">
        <v>1111</v>
      </c>
      <c r="B711" s="58">
        <v>27863123534</v>
      </c>
      <c r="C711" s="63" t="s">
        <v>1112</v>
      </c>
      <c r="D711" s="60">
        <v>33480142800</v>
      </c>
      <c r="E711" s="9">
        <v>1214</v>
      </c>
      <c r="F711" s="25">
        <v>42989</v>
      </c>
      <c r="G711" s="61" t="s">
        <v>13</v>
      </c>
      <c r="H711" s="9"/>
      <c r="I711" s="8"/>
      <c r="J711" s="8"/>
      <c r="K711" s="8"/>
      <c r="L711" s="8"/>
      <c r="M711" s="8"/>
    </row>
    <row r="712" spans="1:13">
      <c r="A712" s="63" t="s">
        <v>1113</v>
      </c>
      <c r="B712" s="58">
        <v>39454972804</v>
      </c>
      <c r="C712" s="63" t="s">
        <v>1114</v>
      </c>
      <c r="D712" s="60">
        <v>62833740344</v>
      </c>
      <c r="E712" s="9">
        <v>485</v>
      </c>
      <c r="F712" s="25">
        <v>43196</v>
      </c>
      <c r="G712" s="61"/>
      <c r="H712" s="9"/>
      <c r="I712" s="8"/>
      <c r="J712" s="8"/>
      <c r="K712" s="8"/>
      <c r="L712" s="9">
        <v>483</v>
      </c>
      <c r="M712" s="8"/>
    </row>
    <row r="713" spans="1:13">
      <c r="A713" s="27" t="s">
        <v>1115</v>
      </c>
      <c r="B713" s="58"/>
      <c r="C713" s="27" t="s">
        <v>1116</v>
      </c>
      <c r="D713" s="60"/>
      <c r="E713" s="9"/>
      <c r="F713" s="25"/>
      <c r="G713" s="61"/>
      <c r="H713" s="9"/>
      <c r="I713" s="8"/>
      <c r="J713" s="8"/>
      <c r="K713" s="8"/>
      <c r="L713" s="8"/>
      <c r="M713" s="8"/>
    </row>
    <row r="714" spans="1:13">
      <c r="A714" s="62" t="s">
        <v>1117</v>
      </c>
      <c r="B714" s="58">
        <v>34175637800</v>
      </c>
      <c r="C714" s="63"/>
      <c r="D714" s="60"/>
      <c r="E714" s="9">
        <v>1267</v>
      </c>
      <c r="F714" s="25">
        <v>42998</v>
      </c>
      <c r="G714" s="61" t="s">
        <v>13</v>
      </c>
      <c r="H714" s="9"/>
      <c r="I714" s="8"/>
      <c r="J714" s="8"/>
      <c r="K714" s="8"/>
      <c r="L714" s="8"/>
      <c r="M714" s="8"/>
    </row>
    <row r="715" spans="1:13">
      <c r="A715" s="15" t="s">
        <v>1118</v>
      </c>
      <c r="B715" s="58">
        <v>28953066808</v>
      </c>
      <c r="C715" s="63"/>
      <c r="D715" s="60"/>
      <c r="E715" s="9">
        <v>229</v>
      </c>
      <c r="F715" s="25">
        <v>43151</v>
      </c>
      <c r="G715" s="61" t="s">
        <v>13</v>
      </c>
      <c r="H715" s="9"/>
      <c r="I715" s="8"/>
      <c r="J715" s="8"/>
      <c r="K715" s="8"/>
      <c r="L715" s="9">
        <v>232</v>
      </c>
      <c r="M715" s="8"/>
    </row>
    <row r="716" spans="1:13">
      <c r="A716" s="62" t="s">
        <v>1119</v>
      </c>
      <c r="B716" s="58">
        <v>17810014803</v>
      </c>
      <c r="C716" s="63" t="s">
        <v>1120</v>
      </c>
      <c r="D716" s="60">
        <v>28934526807</v>
      </c>
      <c r="E716" s="9">
        <v>292</v>
      </c>
      <c r="F716" s="25">
        <v>43168</v>
      </c>
      <c r="G716" s="9" t="s">
        <v>13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1121</v>
      </c>
      <c r="B717" s="58">
        <v>724258574</v>
      </c>
      <c r="C717" s="63" t="s">
        <v>1122</v>
      </c>
      <c r="D717" s="60">
        <v>18303361856</v>
      </c>
      <c r="E717" s="9">
        <v>262</v>
      </c>
      <c r="F717" s="25">
        <v>43160</v>
      </c>
      <c r="G717" s="61" t="s">
        <v>13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62" t="s">
        <v>1123</v>
      </c>
      <c r="B718" s="58">
        <v>37453999863</v>
      </c>
      <c r="C718" s="63" t="s">
        <v>1124</v>
      </c>
      <c r="D718" s="60"/>
      <c r="E718" s="9">
        <v>1241</v>
      </c>
      <c r="F718" s="25">
        <v>42992</v>
      </c>
      <c r="G718" s="61" t="s">
        <v>13</v>
      </c>
      <c r="H718" s="9"/>
      <c r="I718" s="8"/>
      <c r="J718" s="8"/>
      <c r="K718" s="8"/>
      <c r="L718" s="8"/>
      <c r="M718" s="8"/>
    </row>
    <row r="719" spans="1:13">
      <c r="A719" s="62" t="s">
        <v>1125</v>
      </c>
      <c r="B719" s="58">
        <v>39796729806</v>
      </c>
      <c r="C719" s="63"/>
      <c r="D719" s="60"/>
      <c r="E719" s="9">
        <v>443</v>
      </c>
      <c r="F719" s="25">
        <v>43188</v>
      </c>
      <c r="G719" s="61"/>
      <c r="H719" s="9"/>
      <c r="I719" s="8"/>
      <c r="J719" s="8"/>
      <c r="K719" s="8"/>
      <c r="L719" s="8"/>
      <c r="M719" s="8"/>
    </row>
    <row r="720" spans="1:13">
      <c r="A720" s="62" t="s">
        <v>1126</v>
      </c>
      <c r="B720" s="58">
        <v>41545867852</v>
      </c>
      <c r="C720" s="63"/>
      <c r="D720" s="60"/>
      <c r="E720" s="9">
        <v>292</v>
      </c>
      <c r="F720" s="25">
        <v>43168</v>
      </c>
      <c r="G720" s="61" t="s">
        <v>13</v>
      </c>
      <c r="H720" s="9"/>
      <c r="I720" s="8"/>
      <c r="J720" s="8"/>
      <c r="K720" s="8"/>
      <c r="L720" s="9">
        <v>318</v>
      </c>
      <c r="M720" s="8"/>
    </row>
    <row r="721" spans="1:13">
      <c r="A721" s="62" t="s">
        <v>1127</v>
      </c>
      <c r="B721" s="58">
        <v>30308539850</v>
      </c>
      <c r="C721" s="63" t="s">
        <v>1128</v>
      </c>
      <c r="D721" s="60">
        <v>84739517434</v>
      </c>
      <c r="E721" s="9">
        <v>810</v>
      </c>
      <c r="F721" s="25">
        <v>42915</v>
      </c>
      <c r="G721" s="61" t="s">
        <v>13</v>
      </c>
      <c r="H721" s="9"/>
      <c r="I721" s="8"/>
      <c r="J721" s="8"/>
      <c r="K721" s="8"/>
      <c r="L721" s="9" t="s">
        <v>138</v>
      </c>
      <c r="M721" s="8"/>
    </row>
    <row r="722" spans="1:13">
      <c r="A722" s="62" t="s">
        <v>1129</v>
      </c>
      <c r="B722" s="58">
        <v>83153640491</v>
      </c>
      <c r="C722" s="63"/>
      <c r="D722" s="60"/>
      <c r="E722" s="9"/>
      <c r="F722" s="25"/>
      <c r="G722" s="61"/>
      <c r="H722" s="9"/>
      <c r="I722" s="8"/>
      <c r="J722" s="8"/>
      <c r="K722" s="8"/>
      <c r="L722" s="8"/>
      <c r="M722" s="8"/>
    </row>
    <row r="723" spans="1:13">
      <c r="A723" s="62" t="s">
        <v>1130</v>
      </c>
      <c r="B723" s="58">
        <v>52247341420</v>
      </c>
      <c r="C723" s="63"/>
      <c r="D723" s="60"/>
      <c r="E723" s="9"/>
      <c r="F723" s="25"/>
      <c r="G723" s="61"/>
      <c r="H723" s="9"/>
      <c r="I723" s="8"/>
      <c r="J723" s="8"/>
      <c r="K723" s="8"/>
      <c r="L723" s="8"/>
      <c r="M723" s="8"/>
    </row>
    <row r="724" spans="1:13">
      <c r="A724" s="15" t="s">
        <v>1131</v>
      </c>
      <c r="B724" s="58">
        <v>21716687845</v>
      </c>
      <c r="C724" s="15" t="s">
        <v>1132</v>
      </c>
      <c r="D724" s="60">
        <v>31247045846</v>
      </c>
      <c r="E724" s="9"/>
      <c r="F724" s="25"/>
      <c r="G724" s="61"/>
      <c r="H724" s="9"/>
      <c r="I724" s="8"/>
      <c r="J724" s="8"/>
      <c r="K724" s="8"/>
      <c r="L724" s="8"/>
      <c r="M724" s="8"/>
    </row>
    <row r="725" spans="1:13">
      <c r="A725" s="62" t="s">
        <v>1133</v>
      </c>
      <c r="B725" s="58">
        <v>30678362866</v>
      </c>
      <c r="C725" s="63"/>
      <c r="D725" s="60"/>
      <c r="E725" s="9">
        <v>608</v>
      </c>
      <c r="F725" s="25">
        <v>43012</v>
      </c>
      <c r="G725" s="61" t="s">
        <v>13</v>
      </c>
      <c r="H725" s="9"/>
      <c r="I725" s="8"/>
      <c r="J725" s="8"/>
      <c r="K725" s="8"/>
      <c r="L725" s="8"/>
      <c r="M725" s="8"/>
    </row>
    <row r="726" spans="1:13">
      <c r="A726" s="14" t="s">
        <v>1134</v>
      </c>
      <c r="B726" s="58">
        <v>8254914877</v>
      </c>
      <c r="C726" s="63"/>
      <c r="D726" s="60"/>
      <c r="E726" s="9">
        <v>262</v>
      </c>
      <c r="F726" s="25">
        <v>43160</v>
      </c>
      <c r="G726" s="61" t="s">
        <v>13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62" t="s">
        <v>1135</v>
      </c>
      <c r="B727" s="58">
        <v>25647773842</v>
      </c>
      <c r="C727" s="63"/>
      <c r="D727" s="60"/>
      <c r="E727" s="9">
        <v>1417</v>
      </c>
      <c r="F727" s="25">
        <v>43017</v>
      </c>
      <c r="G727" s="61" t="s">
        <v>13</v>
      </c>
      <c r="H727" s="9"/>
      <c r="I727" s="8"/>
      <c r="J727" s="8"/>
      <c r="K727" s="8"/>
      <c r="L727" s="9" t="s">
        <v>253</v>
      </c>
      <c r="M727" s="8"/>
    </row>
    <row r="728" spans="1:13">
      <c r="A728" s="14" t="s">
        <v>1136</v>
      </c>
      <c r="B728" s="58">
        <v>99658925553</v>
      </c>
      <c r="C728" s="63" t="s">
        <v>1137</v>
      </c>
      <c r="D728" s="60">
        <v>99610108504</v>
      </c>
      <c r="E728" s="9">
        <v>262</v>
      </c>
      <c r="F728" s="25">
        <v>43160</v>
      </c>
      <c r="G728" s="61" t="s">
        <v>13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62" t="s">
        <v>1138</v>
      </c>
      <c r="B729" s="58">
        <v>11598225812</v>
      </c>
      <c r="C729" s="63"/>
      <c r="D729" s="60"/>
      <c r="E729" s="9">
        <v>292</v>
      </c>
      <c r="F729" s="25">
        <v>43168</v>
      </c>
      <c r="G729" s="9" t="s">
        <v>13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1139</v>
      </c>
      <c r="B730" s="58">
        <v>37284102845</v>
      </c>
      <c r="C730" s="59"/>
      <c r="D730" s="60"/>
      <c r="E730" s="9">
        <v>1128</v>
      </c>
      <c r="F730" s="25">
        <v>42972</v>
      </c>
      <c r="G730" s="61" t="s">
        <v>13</v>
      </c>
      <c r="H730" s="9"/>
      <c r="I730" s="8"/>
      <c r="J730" s="8"/>
      <c r="K730" s="8"/>
      <c r="L730" s="8"/>
      <c r="M730" s="8"/>
    </row>
    <row r="731" spans="1:13">
      <c r="A731" s="27" t="s">
        <v>1140</v>
      </c>
      <c r="B731" s="58"/>
      <c r="C731" s="18" t="s">
        <v>129</v>
      </c>
      <c r="D731" s="60"/>
      <c r="E731" s="9"/>
      <c r="F731" s="25"/>
      <c r="G731" s="61"/>
      <c r="H731" s="9"/>
      <c r="I731" s="8"/>
      <c r="J731" s="8"/>
      <c r="K731" s="8"/>
      <c r="L731" s="8"/>
      <c r="M731" s="8"/>
    </row>
    <row r="732" spans="1:13">
      <c r="A732" s="13" t="s">
        <v>1141</v>
      </c>
      <c r="B732" s="58">
        <v>25905224870</v>
      </c>
      <c r="C732" s="59" t="s">
        <v>1142</v>
      </c>
      <c r="D732" s="60">
        <v>36185256304</v>
      </c>
      <c r="E732" s="9">
        <v>1824</v>
      </c>
      <c r="F732" s="25">
        <v>43091</v>
      </c>
      <c r="G732" s="61" t="s">
        <v>13</v>
      </c>
      <c r="H732" s="9"/>
      <c r="I732" s="8"/>
      <c r="J732" s="8"/>
      <c r="K732" s="8"/>
      <c r="L732" s="9">
        <v>1828</v>
      </c>
      <c r="M732" s="8"/>
    </row>
    <row r="733" spans="1:13">
      <c r="A733" s="62" t="s">
        <v>1143</v>
      </c>
      <c r="B733" s="58">
        <v>23451988852</v>
      </c>
      <c r="C733" s="63"/>
      <c r="D733" s="60"/>
      <c r="E733" s="9">
        <v>262</v>
      </c>
      <c r="F733" s="25">
        <v>43160</v>
      </c>
      <c r="G733" s="61" t="s">
        <v>13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62" t="s">
        <v>1144</v>
      </c>
      <c r="B734" s="58">
        <v>33160363856</v>
      </c>
      <c r="C734" s="63" t="s">
        <v>1145</v>
      </c>
      <c r="D734" s="60">
        <v>37627168899</v>
      </c>
      <c r="E734" s="9"/>
      <c r="F734" s="25"/>
      <c r="G734" s="61"/>
      <c r="H734" s="9"/>
      <c r="I734" s="8"/>
      <c r="J734" s="8"/>
      <c r="K734" s="8"/>
      <c r="L734" s="8"/>
      <c r="M734" s="8"/>
    </row>
    <row r="735" spans="1:13">
      <c r="A735" s="62" t="s">
        <v>1146</v>
      </c>
      <c r="B735" s="58">
        <v>19447362800</v>
      </c>
      <c r="C735" s="64"/>
      <c r="D735" s="60"/>
      <c r="E735" s="9">
        <v>1417</v>
      </c>
      <c r="F735" s="25">
        <v>43017</v>
      </c>
      <c r="G735" s="61" t="s">
        <v>13</v>
      </c>
      <c r="H735" s="9"/>
      <c r="I735" s="8"/>
      <c r="J735" s="8"/>
      <c r="K735" s="8"/>
      <c r="L735" s="9" t="s">
        <v>253</v>
      </c>
      <c r="M735" s="8"/>
    </row>
    <row r="736" spans="1:13">
      <c r="A736" s="15" t="s">
        <v>1147</v>
      </c>
      <c r="B736" s="58">
        <v>36984824877</v>
      </c>
      <c r="C736" s="63"/>
      <c r="D736" s="60"/>
      <c r="E736" s="9">
        <v>229</v>
      </c>
      <c r="F736" s="25">
        <v>43151</v>
      </c>
      <c r="G736" s="61" t="s">
        <v>13</v>
      </c>
      <c r="H736" s="9"/>
      <c r="I736" s="8"/>
      <c r="J736" s="8"/>
      <c r="K736" s="8"/>
      <c r="L736" s="9">
        <v>232</v>
      </c>
      <c r="M736" s="8"/>
    </row>
    <row r="737" spans="1:13">
      <c r="A737" s="27" t="s">
        <v>1148</v>
      </c>
      <c r="B737" s="58">
        <v>71752722434</v>
      </c>
      <c r="C737" s="18" t="s">
        <v>129</v>
      </c>
      <c r="D737" s="60"/>
      <c r="E737" s="9"/>
      <c r="F737" s="25"/>
      <c r="G737" s="61"/>
      <c r="H737" s="9"/>
      <c r="I737" s="8"/>
      <c r="J737" s="8"/>
      <c r="K737" s="8"/>
      <c r="L737" s="8"/>
      <c r="M737" s="8"/>
    </row>
    <row r="738" spans="1:13">
      <c r="A738" s="62" t="s">
        <v>1149</v>
      </c>
      <c r="B738" s="58">
        <v>8590565890</v>
      </c>
      <c r="C738" s="63" t="s">
        <v>1150</v>
      </c>
      <c r="D738" s="60">
        <v>12969988860</v>
      </c>
      <c r="E738" s="9">
        <v>563</v>
      </c>
      <c r="F738" s="25">
        <v>43217</v>
      </c>
      <c r="G738" s="61"/>
      <c r="H738" s="9"/>
      <c r="I738" s="8"/>
      <c r="J738" s="8"/>
      <c r="K738" s="8"/>
      <c r="L738" s="9" t="s">
        <v>299</v>
      </c>
      <c r="M738" s="8"/>
    </row>
    <row r="739" spans="1:13">
      <c r="A739" s="62" t="s">
        <v>1151</v>
      </c>
      <c r="B739" s="58">
        <v>35556660883</v>
      </c>
      <c r="C739" s="63" t="s">
        <v>1152</v>
      </c>
      <c r="D739" s="60">
        <v>68800851568</v>
      </c>
      <c r="E739" s="9">
        <v>573</v>
      </c>
      <c r="F739" s="25">
        <v>43224</v>
      </c>
      <c r="G739" s="61"/>
      <c r="H739" s="9"/>
      <c r="I739" s="8"/>
      <c r="J739" s="8"/>
      <c r="K739" s="8"/>
      <c r="L739" s="8"/>
      <c r="M739" s="8"/>
    </row>
    <row r="740" spans="1:13">
      <c r="A740" s="62" t="s">
        <v>1153</v>
      </c>
      <c r="B740" s="58">
        <v>33238164805</v>
      </c>
      <c r="C740" s="63"/>
      <c r="D740" s="60"/>
      <c r="E740" s="9"/>
      <c r="F740" s="25"/>
      <c r="G740" s="61"/>
      <c r="H740" s="9"/>
      <c r="I740" s="8"/>
      <c r="J740" s="8"/>
      <c r="K740" s="8"/>
      <c r="L740" s="8"/>
      <c r="M740" s="8"/>
    </row>
    <row r="741" spans="1:13">
      <c r="A741" s="62" t="s">
        <v>1154</v>
      </c>
      <c r="B741" s="58">
        <v>25905305870</v>
      </c>
      <c r="C741" s="63" t="s">
        <v>1155</v>
      </c>
      <c r="D741" s="60">
        <v>11480794830</v>
      </c>
      <c r="E741" s="9">
        <v>1267</v>
      </c>
      <c r="F741" s="25">
        <v>42998</v>
      </c>
      <c r="G741" s="61" t="s">
        <v>13</v>
      </c>
      <c r="H741" s="9"/>
      <c r="I741" s="8"/>
      <c r="J741" s="8"/>
      <c r="K741" s="8"/>
      <c r="L741" s="8"/>
      <c r="M741" s="8"/>
    </row>
    <row r="742" spans="1:13">
      <c r="A742" s="62" t="s">
        <v>1156</v>
      </c>
      <c r="B742" s="58">
        <v>82881723500</v>
      </c>
      <c r="C742" s="63"/>
      <c r="D742" s="60"/>
      <c r="E742" s="9"/>
      <c r="F742" s="25"/>
      <c r="G742" s="61"/>
      <c r="H742" s="9"/>
      <c r="I742" s="8"/>
      <c r="J742" s="8"/>
      <c r="K742" s="8"/>
      <c r="L742" s="8"/>
      <c r="M742" s="8"/>
    </row>
    <row r="743" spans="1:13">
      <c r="A743" s="62" t="s">
        <v>1157</v>
      </c>
      <c r="B743" s="58">
        <v>18360141800</v>
      </c>
      <c r="C743" s="63" t="s">
        <v>1158</v>
      </c>
      <c r="D743" s="60">
        <v>48201979591</v>
      </c>
      <c r="E743" s="9">
        <v>117</v>
      </c>
      <c r="F743" s="25">
        <v>43117</v>
      </c>
      <c r="G743" s="61" t="s">
        <v>13</v>
      </c>
      <c r="H743" s="9"/>
      <c r="I743" s="8"/>
      <c r="J743" s="8"/>
      <c r="K743" s="8"/>
      <c r="L743" s="9" t="s">
        <v>170</v>
      </c>
      <c r="M743" s="8"/>
    </row>
    <row r="744" spans="1:13">
      <c r="A744" s="15" t="s">
        <v>1159</v>
      </c>
      <c r="B744" s="58">
        <v>28199479809</v>
      </c>
      <c r="C744" s="63"/>
      <c r="D744" s="60"/>
      <c r="E744" s="9">
        <v>117</v>
      </c>
      <c r="F744" s="25">
        <v>43117</v>
      </c>
      <c r="G744" s="61"/>
      <c r="H744" s="9"/>
      <c r="I744" s="8"/>
      <c r="J744" s="8"/>
      <c r="K744" s="8"/>
      <c r="L744" s="9" t="s">
        <v>170</v>
      </c>
      <c r="M744" s="8"/>
    </row>
    <row r="745" spans="1:13">
      <c r="A745" s="62" t="s">
        <v>1160</v>
      </c>
      <c r="B745" s="58"/>
      <c r="C745" s="63"/>
      <c r="D745" s="60"/>
      <c r="E745" s="9"/>
      <c r="F745" s="25"/>
      <c r="G745" s="61"/>
      <c r="H745" s="9"/>
      <c r="I745" s="8"/>
      <c r="J745" s="8"/>
      <c r="K745" s="8"/>
      <c r="L745" s="8"/>
      <c r="M745" s="8"/>
    </row>
    <row r="746" spans="1:13">
      <c r="A746" s="15" t="s">
        <v>1161</v>
      </c>
      <c r="B746" s="58">
        <v>36613647829</v>
      </c>
      <c r="C746" s="63" t="s">
        <v>1162</v>
      </c>
      <c r="D746" s="60">
        <v>35387477840</v>
      </c>
      <c r="E746" s="9"/>
      <c r="F746" s="25"/>
      <c r="G746" s="61"/>
      <c r="H746" s="9"/>
      <c r="I746" s="8"/>
      <c r="J746" s="8"/>
      <c r="K746" s="8"/>
      <c r="L746" s="8"/>
      <c r="M746" s="8"/>
    </row>
    <row r="747" spans="1:13">
      <c r="A747" s="15" t="s">
        <v>1163</v>
      </c>
      <c r="B747" s="58">
        <v>1936117169</v>
      </c>
      <c r="C747" s="63"/>
      <c r="D747" s="60"/>
      <c r="E747" s="9">
        <v>85</v>
      </c>
      <c r="F747" s="25">
        <v>43109</v>
      </c>
      <c r="G747" s="61" t="s">
        <v>13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1164</v>
      </c>
      <c r="B748" s="58">
        <v>25332480881</v>
      </c>
      <c r="C748" s="18" t="s">
        <v>129</v>
      </c>
      <c r="D748" s="60"/>
      <c r="E748" s="9"/>
      <c r="F748" s="25"/>
      <c r="G748" s="61"/>
      <c r="H748" s="9"/>
      <c r="I748" s="8"/>
      <c r="J748" s="8"/>
      <c r="K748" s="8"/>
      <c r="L748" s="8"/>
      <c r="M748" s="8"/>
    </row>
    <row r="749" spans="1:13">
      <c r="A749" s="15" t="s">
        <v>1165</v>
      </c>
      <c r="B749" s="58">
        <v>16365042809</v>
      </c>
      <c r="C749" s="63" t="s">
        <v>1166</v>
      </c>
      <c r="D749" s="60">
        <v>26488933850</v>
      </c>
      <c r="E749" s="9">
        <v>117</v>
      </c>
      <c r="F749" s="25">
        <v>43117</v>
      </c>
      <c r="G749" s="61" t="s">
        <v>13</v>
      </c>
      <c r="H749" s="25">
        <v>43151</v>
      </c>
      <c r="I749" s="8"/>
      <c r="J749" s="8"/>
      <c r="K749" s="8"/>
      <c r="L749" s="9" t="s">
        <v>170</v>
      </c>
      <c r="M749" s="8"/>
    </row>
    <row r="750" spans="1:13">
      <c r="A750" s="15" t="s">
        <v>1167</v>
      </c>
      <c r="B750" s="58">
        <v>70816581649</v>
      </c>
      <c r="C750" s="63"/>
      <c r="D750" s="60"/>
      <c r="E750" s="9">
        <v>117</v>
      </c>
      <c r="F750" s="25">
        <v>43117</v>
      </c>
      <c r="G750" s="61" t="s">
        <v>13</v>
      </c>
      <c r="H750" s="25">
        <v>43151</v>
      </c>
      <c r="I750" s="8"/>
      <c r="J750" s="8"/>
      <c r="K750" s="8"/>
      <c r="L750" s="9" t="s">
        <v>170</v>
      </c>
      <c r="M750" s="8"/>
    </row>
    <row r="751" spans="1:13">
      <c r="A751" s="62" t="s">
        <v>1168</v>
      </c>
      <c r="B751" s="58">
        <v>35339896749</v>
      </c>
      <c r="C751" s="63"/>
      <c r="D751" s="60"/>
      <c r="E751" s="9"/>
      <c r="F751" s="25"/>
      <c r="G751" s="61"/>
      <c r="H751" s="9"/>
      <c r="I751" s="8"/>
      <c r="J751" s="8"/>
      <c r="K751" s="8"/>
      <c r="L751" s="8"/>
      <c r="M751" s="8"/>
    </row>
    <row r="752" spans="1:13">
      <c r="A752" s="13" t="s">
        <v>1169</v>
      </c>
      <c r="B752" s="58">
        <v>16122428809</v>
      </c>
      <c r="C752" s="59"/>
      <c r="D752" s="60"/>
      <c r="E752" s="9">
        <v>1267</v>
      </c>
      <c r="F752" s="25">
        <v>42998</v>
      </c>
      <c r="G752" s="61" t="s">
        <v>20</v>
      </c>
      <c r="H752" s="9"/>
      <c r="I752" s="8"/>
      <c r="J752" s="8"/>
      <c r="K752" s="8"/>
      <c r="L752" s="8"/>
      <c r="M752" s="8"/>
    </row>
    <row r="753" spans="1:13">
      <c r="A753" s="62" t="s">
        <v>1170</v>
      </c>
      <c r="B753" s="58">
        <v>39338748820</v>
      </c>
      <c r="C753" s="63"/>
      <c r="D753" s="60"/>
      <c r="E753" s="9">
        <v>85</v>
      </c>
      <c r="F753" s="25">
        <v>43109</v>
      </c>
      <c r="G753" s="61" t="s">
        <v>13</v>
      </c>
      <c r="H753" s="25">
        <v>43151</v>
      </c>
      <c r="I753" s="8"/>
      <c r="J753" s="8"/>
      <c r="K753" s="8"/>
      <c r="L753" s="8"/>
      <c r="M753" s="8"/>
    </row>
    <row r="754" spans="1:13">
      <c r="A754" s="62" t="s">
        <v>1171</v>
      </c>
      <c r="B754" s="58">
        <v>99813653515</v>
      </c>
      <c r="C754" s="63"/>
      <c r="D754" s="60"/>
      <c r="E754" s="9">
        <v>1214</v>
      </c>
      <c r="F754" s="25">
        <v>42989</v>
      </c>
      <c r="G754" s="61" t="s">
        <v>13</v>
      </c>
      <c r="H754" s="9"/>
      <c r="I754" s="8"/>
      <c r="J754" s="8"/>
      <c r="K754" s="8"/>
      <c r="L754" s="8"/>
      <c r="M754" s="8"/>
    </row>
    <row r="755" spans="1:13">
      <c r="A755" s="27" t="s">
        <v>1172</v>
      </c>
      <c r="B755" s="58"/>
      <c r="C755" s="18" t="s">
        <v>129</v>
      </c>
      <c r="D755" s="60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1173</v>
      </c>
      <c r="B756" s="58">
        <v>28424023838</v>
      </c>
      <c r="C756" s="59"/>
      <c r="D756" s="60"/>
      <c r="E756" s="9"/>
      <c r="F756" s="25"/>
      <c r="G756" s="61"/>
      <c r="H756" s="9"/>
      <c r="I756" s="8"/>
      <c r="J756" s="8"/>
      <c r="K756" s="8"/>
      <c r="L756" s="8"/>
      <c r="M756" s="8"/>
    </row>
    <row r="757" spans="1:13">
      <c r="A757" s="62" t="s">
        <v>1174</v>
      </c>
      <c r="B757" s="58">
        <v>78018455449</v>
      </c>
      <c r="C757" s="63"/>
      <c r="D757" s="60"/>
      <c r="E757" s="9">
        <v>1350</v>
      </c>
      <c r="F757" s="25">
        <v>43006</v>
      </c>
      <c r="G757" s="61" t="s">
        <v>13</v>
      </c>
      <c r="H757" s="9"/>
      <c r="I757" s="8"/>
      <c r="J757" s="8"/>
      <c r="K757" s="8"/>
      <c r="L757" s="8"/>
      <c r="M757" s="8"/>
    </row>
    <row r="758" spans="1:13">
      <c r="A758" s="62" t="s">
        <v>1175</v>
      </c>
      <c r="B758" s="58">
        <v>47531908972</v>
      </c>
      <c r="C758" s="63"/>
      <c r="D758" s="60"/>
      <c r="E758" s="9"/>
      <c r="F758" s="25"/>
      <c r="G758" s="61"/>
      <c r="H758" s="9"/>
      <c r="I758" s="8"/>
      <c r="J758" s="8"/>
      <c r="K758" s="8"/>
      <c r="L758" s="8"/>
      <c r="M758" s="8"/>
    </row>
    <row r="759" spans="1:13">
      <c r="A759" s="62" t="s">
        <v>1176</v>
      </c>
      <c r="B759" s="58">
        <v>26980266500</v>
      </c>
      <c r="C759" s="63"/>
      <c r="D759" s="60"/>
      <c r="E759" s="9">
        <v>810</v>
      </c>
      <c r="F759" s="25">
        <v>42915</v>
      </c>
      <c r="G759" s="61"/>
      <c r="H759" s="9"/>
      <c r="I759" s="8"/>
      <c r="J759" s="8"/>
      <c r="K759" s="8"/>
      <c r="L759" s="9" t="s">
        <v>138</v>
      </c>
      <c r="M759" s="8"/>
    </row>
    <row r="760" spans="1:13">
      <c r="A760" s="62" t="s">
        <v>1177</v>
      </c>
      <c r="B760" s="58">
        <v>41756319847</v>
      </c>
      <c r="C760" s="63" t="s">
        <v>1178</v>
      </c>
      <c r="D760" s="60">
        <v>28780799817</v>
      </c>
      <c r="E760" s="9">
        <v>1489</v>
      </c>
      <c r="F760" s="25">
        <v>43038</v>
      </c>
      <c r="G760" s="61" t="s">
        <v>28</v>
      </c>
      <c r="H760" s="9"/>
      <c r="I760" s="8"/>
      <c r="J760" s="8"/>
      <c r="K760" s="8"/>
      <c r="L760" s="9" t="s">
        <v>160</v>
      </c>
      <c r="M760" s="8"/>
    </row>
    <row r="761" spans="1:13">
      <c r="A761" s="62" t="s">
        <v>1179</v>
      </c>
      <c r="B761" s="58">
        <v>38607854860</v>
      </c>
      <c r="C761" s="63"/>
      <c r="D761" s="60"/>
      <c r="E761" s="9">
        <v>1824</v>
      </c>
      <c r="F761" s="25">
        <v>43091</v>
      </c>
      <c r="G761" s="61" t="s">
        <v>13</v>
      </c>
      <c r="H761" s="9"/>
      <c r="I761" s="8"/>
      <c r="J761" s="8"/>
      <c r="K761" s="8"/>
      <c r="L761" s="9">
        <v>1828</v>
      </c>
      <c r="M761" s="8"/>
    </row>
    <row r="762" spans="1:13">
      <c r="A762" s="27" t="s">
        <v>1180</v>
      </c>
      <c r="B762" s="58"/>
      <c r="C762" s="27" t="s">
        <v>129</v>
      </c>
      <c r="D762" s="60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1181</v>
      </c>
      <c r="B763" s="58">
        <v>34511540802</v>
      </c>
      <c r="C763" s="63"/>
      <c r="D763" s="60"/>
      <c r="E763" s="9">
        <v>443</v>
      </c>
      <c r="F763" s="25">
        <v>43188</v>
      </c>
      <c r="G763" s="61"/>
      <c r="H763" s="9"/>
      <c r="I763" s="8"/>
      <c r="J763" s="8"/>
      <c r="K763" s="8"/>
      <c r="L763" s="8"/>
      <c r="M763" s="8"/>
    </row>
    <row r="764" spans="1:13">
      <c r="A764" s="13" t="s">
        <v>1182</v>
      </c>
      <c r="B764" s="58">
        <v>39762019873</v>
      </c>
      <c r="C764" s="59" t="s">
        <v>1183</v>
      </c>
      <c r="D764" s="60">
        <v>28639452890</v>
      </c>
      <c r="E764" s="9">
        <v>1128</v>
      </c>
      <c r="F764" s="25">
        <v>42972</v>
      </c>
      <c r="G764" s="61" t="s">
        <v>13</v>
      </c>
      <c r="H764" s="9"/>
      <c r="I764" s="8"/>
      <c r="J764" s="8"/>
      <c r="K764" s="8"/>
      <c r="L764" s="8"/>
      <c r="M764" s="8"/>
    </row>
    <row r="765" spans="1:13">
      <c r="A765" s="62" t="s">
        <v>1184</v>
      </c>
      <c r="B765" s="58">
        <v>13014716820</v>
      </c>
      <c r="C765" s="63"/>
      <c r="D765" s="60"/>
      <c r="E765" s="9">
        <v>262</v>
      </c>
      <c r="F765" s="25">
        <v>43160</v>
      </c>
      <c r="G765" s="61" t="s">
        <v>13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62" t="s">
        <v>1185</v>
      </c>
      <c r="B766" s="58">
        <v>33182321811</v>
      </c>
      <c r="C766" s="63"/>
      <c r="D766" s="60"/>
      <c r="E766" s="9"/>
      <c r="F766" s="25"/>
      <c r="G766" s="61"/>
      <c r="H766" s="9"/>
      <c r="I766" s="8"/>
      <c r="J766" s="8"/>
      <c r="K766" s="8"/>
      <c r="L766" s="8"/>
      <c r="M766" s="8"/>
    </row>
    <row r="767" spans="1:13">
      <c r="A767" s="62" t="s">
        <v>1186</v>
      </c>
      <c r="B767" s="58">
        <v>23391801808</v>
      </c>
      <c r="C767" s="63"/>
      <c r="D767" s="60"/>
      <c r="E767" s="9">
        <v>292</v>
      </c>
      <c r="F767" s="25">
        <v>43168</v>
      </c>
      <c r="G767" s="61" t="s">
        <v>13</v>
      </c>
      <c r="H767" s="9"/>
      <c r="I767" s="8"/>
      <c r="J767" s="8"/>
      <c r="K767" s="8"/>
      <c r="L767" s="9">
        <v>318</v>
      </c>
      <c r="M767" s="8"/>
    </row>
    <row r="768" spans="1:13">
      <c r="A768" s="62" t="s">
        <v>1187</v>
      </c>
      <c r="B768" s="58">
        <v>21914504828</v>
      </c>
      <c r="C768" s="63" t="s">
        <v>1188</v>
      </c>
      <c r="D768" s="60">
        <v>23497294861</v>
      </c>
      <c r="E768" s="9">
        <v>443</v>
      </c>
      <c r="F768" s="25">
        <v>43188</v>
      </c>
      <c r="G768" s="61"/>
      <c r="H768" s="9"/>
      <c r="I768" s="8"/>
      <c r="J768" s="8"/>
      <c r="K768" s="8"/>
      <c r="L768" s="8"/>
      <c r="M768" s="8"/>
    </row>
    <row r="769" spans="1:13">
      <c r="A769" s="62" t="s">
        <v>1189</v>
      </c>
      <c r="B769" s="58">
        <v>11259745830</v>
      </c>
      <c r="C769" s="63" t="s">
        <v>1190</v>
      </c>
      <c r="D769" s="60">
        <v>49121901368</v>
      </c>
      <c r="E769" s="9">
        <v>262</v>
      </c>
      <c r="F769" s="25">
        <v>43160</v>
      </c>
      <c r="G769" s="61" t="s">
        <v>13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62" t="s">
        <v>1191</v>
      </c>
      <c r="B770" s="58">
        <v>22486863826</v>
      </c>
      <c r="C770" s="63"/>
      <c r="D770" s="60"/>
      <c r="E770" s="9">
        <v>1214</v>
      </c>
      <c r="F770" s="25">
        <v>42989</v>
      </c>
      <c r="G770" s="61" t="s">
        <v>13</v>
      </c>
      <c r="H770" s="9"/>
      <c r="I770" s="8"/>
      <c r="J770" s="8"/>
      <c r="K770" s="8"/>
      <c r="L770" s="8"/>
      <c r="M770" s="8"/>
    </row>
    <row r="771" spans="1:13">
      <c r="A771" s="63" t="s">
        <v>1192</v>
      </c>
      <c r="B771" s="58">
        <v>22547591839</v>
      </c>
      <c r="C771" s="63" t="s">
        <v>1193</v>
      </c>
      <c r="D771" s="60">
        <v>33368927833</v>
      </c>
      <c r="E771" s="9"/>
      <c r="F771" s="25"/>
      <c r="G771" s="61"/>
      <c r="H771" s="9"/>
      <c r="I771" s="8"/>
      <c r="J771" s="8"/>
      <c r="K771" s="8"/>
      <c r="L771" s="8"/>
      <c r="M771" s="8"/>
    </row>
    <row r="772" spans="1:13">
      <c r="A772" s="75" t="s">
        <v>1194</v>
      </c>
      <c r="B772" s="58">
        <v>38179706842</v>
      </c>
      <c r="C772" s="68"/>
      <c r="D772" s="60"/>
      <c r="E772" s="9"/>
      <c r="F772" s="25"/>
      <c r="G772" s="61"/>
      <c r="H772" s="9"/>
      <c r="I772" s="8"/>
      <c r="J772" s="8"/>
      <c r="K772" s="8"/>
      <c r="L772" s="8"/>
      <c r="M772" s="8"/>
    </row>
    <row r="773" spans="1:13">
      <c r="A773" s="62" t="s">
        <v>1195</v>
      </c>
      <c r="B773" s="58">
        <v>36120891889</v>
      </c>
      <c r="C773" s="63"/>
      <c r="D773" s="60"/>
      <c r="E773" s="9"/>
      <c r="F773" s="25"/>
      <c r="G773" s="61"/>
      <c r="H773" s="9"/>
      <c r="I773" s="8"/>
      <c r="J773" s="8"/>
      <c r="K773" s="8"/>
      <c r="L773" s="8"/>
      <c r="M773" s="8"/>
    </row>
    <row r="774" spans="1:13">
      <c r="A774" s="62" t="s">
        <v>1196</v>
      </c>
      <c r="B774" s="58">
        <v>9881940400</v>
      </c>
      <c r="C774" s="63" t="s">
        <v>1197</v>
      </c>
      <c r="D774" s="60">
        <v>1778905501</v>
      </c>
      <c r="E774" s="9">
        <v>262</v>
      </c>
      <c r="F774" s="25">
        <v>43160</v>
      </c>
      <c r="G774" s="61" t="s">
        <v>20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75" t="s">
        <v>1198</v>
      </c>
      <c r="B775" s="58">
        <v>18240627889</v>
      </c>
      <c r="C775" s="68" t="s">
        <v>1199</v>
      </c>
      <c r="D775" s="60">
        <v>15196624830</v>
      </c>
      <c r="E775" s="9"/>
      <c r="F775" s="25"/>
      <c r="G775" s="61"/>
      <c r="H775" s="9"/>
      <c r="I775" s="8"/>
      <c r="J775" s="8"/>
      <c r="K775" s="8"/>
      <c r="L775" s="8"/>
      <c r="M775" s="8"/>
    </row>
    <row r="776" spans="1:13">
      <c r="A776" s="62" t="s">
        <v>1200</v>
      </c>
      <c r="B776" s="58">
        <v>34715955890</v>
      </c>
      <c r="C776" s="63" t="s">
        <v>1201</v>
      </c>
      <c r="D776" s="60">
        <v>41375457829</v>
      </c>
      <c r="E776" s="9"/>
      <c r="F776" s="25"/>
      <c r="G776" s="61"/>
      <c r="H776" s="9"/>
      <c r="I776" s="8"/>
      <c r="J776" s="8"/>
      <c r="K776" s="8"/>
      <c r="L776" s="8"/>
      <c r="M776" s="8"/>
    </row>
    <row r="777" spans="1:13">
      <c r="A777" s="62" t="s">
        <v>1202</v>
      </c>
      <c r="B777" s="58">
        <v>34853801804</v>
      </c>
      <c r="C777" s="63"/>
      <c r="D777" s="60"/>
      <c r="E777" s="9">
        <v>85</v>
      </c>
      <c r="F777" s="25">
        <v>43109</v>
      </c>
      <c r="G777" s="61" t="s">
        <v>13</v>
      </c>
      <c r="H777" s="25">
        <v>43151</v>
      </c>
      <c r="I777" s="8"/>
      <c r="J777" s="8"/>
      <c r="K777" s="8"/>
      <c r="L777" s="8"/>
      <c r="M777" s="8"/>
    </row>
    <row r="778" spans="1:13">
      <c r="A778" s="62" t="s">
        <v>1203</v>
      </c>
      <c r="B778" s="58">
        <v>2413902490</v>
      </c>
      <c r="C778" s="68" t="s">
        <v>1204</v>
      </c>
      <c r="D778" s="60">
        <v>29211407800</v>
      </c>
      <c r="E778" s="9"/>
      <c r="F778" s="25"/>
      <c r="G778" s="61"/>
      <c r="H778" s="9"/>
      <c r="I778" s="8"/>
      <c r="J778" s="8"/>
      <c r="K778" s="8"/>
      <c r="L778" s="8"/>
      <c r="M778" s="8"/>
    </row>
    <row r="779" spans="1:13">
      <c r="A779" s="62" t="s">
        <v>1205</v>
      </c>
      <c r="B779" s="58">
        <v>30558706894</v>
      </c>
      <c r="C779" s="63" t="s">
        <v>1206</v>
      </c>
      <c r="D779" s="60">
        <v>87700352372</v>
      </c>
      <c r="E779" s="9">
        <v>810</v>
      </c>
      <c r="F779" s="25">
        <v>42915</v>
      </c>
      <c r="G779" s="61" t="s">
        <v>13</v>
      </c>
      <c r="H779" s="9"/>
      <c r="I779" s="8"/>
      <c r="J779" s="8"/>
      <c r="K779" s="8"/>
      <c r="L779" s="9" t="s">
        <v>138</v>
      </c>
      <c r="M779" s="8"/>
    </row>
    <row r="780" spans="1:13">
      <c r="A780" s="62" t="s">
        <v>1207</v>
      </c>
      <c r="B780" s="58">
        <v>27926471836</v>
      </c>
      <c r="C780" s="63" t="s">
        <v>1208</v>
      </c>
      <c r="D780" s="60">
        <v>2210309484</v>
      </c>
      <c r="E780" s="9">
        <v>1439</v>
      </c>
      <c r="F780" s="25">
        <v>43025</v>
      </c>
      <c r="G780" s="61" t="s">
        <v>20</v>
      </c>
      <c r="H780" s="9"/>
      <c r="I780" s="8"/>
      <c r="J780" s="8"/>
      <c r="K780" s="8"/>
      <c r="L780" s="9" t="s">
        <v>502</v>
      </c>
      <c r="M780" s="8"/>
    </row>
    <row r="781" spans="1:13">
      <c r="A781" s="15" t="s">
        <v>1209</v>
      </c>
      <c r="B781" s="58">
        <v>82033269515</v>
      </c>
      <c r="C781" s="63"/>
      <c r="D781" s="60"/>
      <c r="E781" s="9">
        <v>117</v>
      </c>
      <c r="F781" s="25">
        <v>43117</v>
      </c>
      <c r="G781" s="61" t="s">
        <v>13</v>
      </c>
      <c r="H781" s="9"/>
      <c r="I781" s="8"/>
      <c r="J781" s="8"/>
      <c r="K781" s="8"/>
      <c r="L781" s="9" t="s">
        <v>170</v>
      </c>
      <c r="M781" s="8"/>
    </row>
    <row r="782" spans="1:13">
      <c r="A782" s="62" t="s">
        <v>1210</v>
      </c>
      <c r="B782" s="58">
        <v>47361352391</v>
      </c>
      <c r="C782" s="63" t="s">
        <v>1211</v>
      </c>
      <c r="D782" s="60">
        <v>37084542353</v>
      </c>
      <c r="E782" s="9">
        <v>573</v>
      </c>
      <c r="F782" s="25">
        <v>43224</v>
      </c>
      <c r="G782" s="61"/>
      <c r="H782" s="9"/>
      <c r="I782" s="8"/>
      <c r="J782" s="8"/>
      <c r="K782" s="8"/>
      <c r="L782" s="8"/>
      <c r="M782" s="8"/>
    </row>
    <row r="783" spans="1:13">
      <c r="A783" s="62" t="s">
        <v>1212</v>
      </c>
      <c r="B783" s="58">
        <v>32763223826</v>
      </c>
      <c r="C783" s="63" t="s">
        <v>1213</v>
      </c>
      <c r="D783" s="60">
        <v>27936363807</v>
      </c>
      <c r="E783" s="9">
        <v>608</v>
      </c>
      <c r="F783" s="25">
        <v>43012</v>
      </c>
      <c r="G783" s="61" t="s">
        <v>13</v>
      </c>
      <c r="H783" s="9"/>
      <c r="I783" s="8"/>
      <c r="J783" s="8"/>
      <c r="K783" s="8"/>
      <c r="L783" s="8"/>
      <c r="M783" s="8"/>
    </row>
    <row r="784" spans="1:13">
      <c r="A784" s="18" t="s">
        <v>1214</v>
      </c>
      <c r="B784" s="58"/>
      <c r="C784" s="18" t="s">
        <v>1215</v>
      </c>
      <c r="D784" s="60"/>
      <c r="E784" s="9"/>
      <c r="F784" s="25"/>
      <c r="G784" s="61"/>
      <c r="H784" s="9"/>
      <c r="I784" s="8"/>
      <c r="J784" s="8"/>
      <c r="K784" s="8"/>
      <c r="L784" s="8"/>
      <c r="M784" s="8"/>
    </row>
    <row r="785" spans="1:13">
      <c r="A785" s="15" t="s">
        <v>1216</v>
      </c>
      <c r="B785" s="58">
        <v>4231077398</v>
      </c>
      <c r="C785" s="63"/>
      <c r="D785" s="60"/>
      <c r="E785" s="9">
        <v>85</v>
      </c>
      <c r="F785" s="25">
        <v>43109</v>
      </c>
      <c r="G785" s="61" t="s">
        <v>13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1217</v>
      </c>
      <c r="B786" s="58">
        <v>39068600869</v>
      </c>
      <c r="C786" s="63"/>
      <c r="D786" s="60"/>
      <c r="E786" s="9"/>
      <c r="F786" s="25"/>
      <c r="G786" s="61" t="s">
        <v>13</v>
      </c>
      <c r="H786" s="9"/>
      <c r="I786" s="8"/>
      <c r="J786" s="8"/>
      <c r="K786" s="8"/>
      <c r="L786" s="8"/>
      <c r="M786" s="8"/>
    </row>
    <row r="787" spans="1:13">
      <c r="A787" s="27" t="s">
        <v>1218</v>
      </c>
      <c r="B787" s="58">
        <v>31875471847</v>
      </c>
      <c r="C787" s="18" t="s">
        <v>1219</v>
      </c>
      <c r="D787" s="60">
        <v>60187042187</v>
      </c>
      <c r="E787" s="9"/>
      <c r="F787" s="25"/>
      <c r="G787" s="61"/>
      <c r="H787" s="9"/>
      <c r="I787" s="8"/>
      <c r="J787" s="8"/>
      <c r="K787" s="8"/>
      <c r="L787" s="8"/>
      <c r="M787" s="8"/>
    </row>
    <row r="788" spans="1:13">
      <c r="A788" s="62" t="s">
        <v>1220</v>
      </c>
      <c r="B788" s="58">
        <v>48124837864</v>
      </c>
      <c r="C788" s="63"/>
      <c r="D788" s="60"/>
      <c r="E788" s="9"/>
      <c r="F788" s="25"/>
      <c r="G788" s="61"/>
      <c r="H788" s="9"/>
      <c r="I788" s="8"/>
      <c r="J788" s="8"/>
      <c r="K788" s="8"/>
      <c r="L788" s="8"/>
      <c r="M788" s="8"/>
    </row>
    <row r="789" spans="1:13">
      <c r="A789" s="62" t="s">
        <v>1221</v>
      </c>
      <c r="B789" s="58">
        <v>5662502846</v>
      </c>
      <c r="C789" s="63"/>
      <c r="D789" s="60"/>
      <c r="E789" s="9"/>
      <c r="F789" s="25"/>
      <c r="G789" s="61"/>
      <c r="H789" s="9"/>
      <c r="I789" s="8"/>
      <c r="J789" s="8"/>
      <c r="K789" s="8"/>
      <c r="L789" s="8"/>
      <c r="M789" s="8"/>
    </row>
    <row r="790" spans="1:13">
      <c r="A790" s="27" t="s">
        <v>1222</v>
      </c>
      <c r="B790" s="58">
        <v>11634805844</v>
      </c>
      <c r="C790" s="27" t="s">
        <v>129</v>
      </c>
      <c r="D790" s="60"/>
      <c r="E790" s="9"/>
      <c r="F790" s="25"/>
      <c r="G790" s="61"/>
      <c r="H790" s="9"/>
      <c r="I790" s="8"/>
      <c r="J790" s="8"/>
      <c r="K790" s="8"/>
      <c r="L790" s="8"/>
      <c r="M790" s="8"/>
    </row>
    <row r="791" spans="1:13">
      <c r="A791" s="15" t="s">
        <v>1223</v>
      </c>
      <c r="B791" s="58">
        <v>39485124856</v>
      </c>
      <c r="C791" s="63" t="s">
        <v>1224</v>
      </c>
      <c r="D791" s="60">
        <v>33972534892</v>
      </c>
      <c r="E791" s="9">
        <v>262</v>
      </c>
      <c r="F791" s="25">
        <v>43160</v>
      </c>
      <c r="G791" s="61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1225</v>
      </c>
      <c r="B792" s="58">
        <v>18477548803</v>
      </c>
      <c r="C792" s="64"/>
      <c r="D792" s="60"/>
      <c r="E792" s="9"/>
      <c r="F792" s="25"/>
      <c r="G792" s="61"/>
      <c r="H792" s="9"/>
      <c r="I792" s="8"/>
      <c r="J792" s="8"/>
      <c r="K792" s="8"/>
      <c r="L792" s="8"/>
      <c r="M792" s="8"/>
    </row>
    <row r="793" spans="1:13">
      <c r="A793" s="18" t="s">
        <v>1226</v>
      </c>
      <c r="B793" s="58">
        <v>31801494851</v>
      </c>
      <c r="C793" s="18"/>
      <c r="D793" s="60"/>
      <c r="E793" s="9"/>
      <c r="F793" s="25"/>
      <c r="G793" s="61"/>
      <c r="H793" s="9"/>
      <c r="I793" s="8"/>
      <c r="J793" s="8"/>
      <c r="K793" s="8"/>
      <c r="L793" s="8"/>
      <c r="M793" s="8"/>
    </row>
    <row r="794" spans="1:13">
      <c r="A794" s="62" t="s">
        <v>1227</v>
      </c>
      <c r="B794" s="58">
        <v>32221516877</v>
      </c>
      <c r="C794" s="63" t="s">
        <v>1228</v>
      </c>
      <c r="D794" s="60">
        <v>18338419800</v>
      </c>
      <c r="E794" s="9">
        <v>1752</v>
      </c>
      <c r="F794" s="25">
        <v>43051</v>
      </c>
      <c r="G794" s="61" t="s">
        <v>13</v>
      </c>
      <c r="H794" s="9"/>
      <c r="I794" s="8"/>
      <c r="J794" s="8"/>
      <c r="K794" s="8"/>
      <c r="L794" s="9">
        <v>1759</v>
      </c>
      <c r="M794" s="8"/>
    </row>
    <row r="795" spans="1:13">
      <c r="A795" s="62" t="s">
        <v>1229</v>
      </c>
      <c r="B795" s="58">
        <v>39802625884</v>
      </c>
      <c r="C795" s="63"/>
      <c r="D795" s="60"/>
      <c r="E795" s="9"/>
      <c r="F795" s="25"/>
      <c r="G795" s="61"/>
      <c r="H795" s="9"/>
      <c r="I795" s="8"/>
      <c r="J795" s="8"/>
      <c r="K795" s="8"/>
      <c r="L795" s="8"/>
      <c r="M795" s="8"/>
    </row>
    <row r="796" spans="1:13">
      <c r="A796" s="15" t="s">
        <v>1230</v>
      </c>
      <c r="B796" s="58">
        <v>43951626810</v>
      </c>
      <c r="C796" s="63" t="s">
        <v>1231</v>
      </c>
      <c r="D796" s="60">
        <v>39706258825</v>
      </c>
      <c r="E796" s="9">
        <v>509</v>
      </c>
      <c r="F796" s="25">
        <v>43203</v>
      </c>
      <c r="G796" s="67"/>
      <c r="H796" s="67">
        <v>43213</v>
      </c>
      <c r="I796" s="8"/>
      <c r="J796" s="8"/>
      <c r="K796" s="8"/>
      <c r="L796" s="8"/>
      <c r="M796" s="8"/>
    </row>
    <row r="797" spans="1:13">
      <c r="A797" s="15" t="s">
        <v>1232</v>
      </c>
      <c r="B797" s="58">
        <v>71045821500</v>
      </c>
      <c r="C797" s="63"/>
      <c r="D797" s="60"/>
      <c r="E797" s="9"/>
      <c r="F797" s="25"/>
      <c r="G797" s="61"/>
      <c r="H797" s="67">
        <v>43213</v>
      </c>
      <c r="I797" s="8"/>
      <c r="J797" s="8"/>
      <c r="K797" s="8"/>
      <c r="L797" s="8"/>
      <c r="M797" s="8"/>
    </row>
    <row r="798" spans="1:13">
      <c r="A798" s="64" t="s">
        <v>1233</v>
      </c>
      <c r="B798" s="58">
        <v>40840895836</v>
      </c>
      <c r="C798" s="63" t="s">
        <v>1234</v>
      </c>
      <c r="D798" s="60">
        <v>39329913890</v>
      </c>
      <c r="E798" s="9">
        <v>1106</v>
      </c>
      <c r="F798" s="25">
        <v>42965</v>
      </c>
      <c r="G798" s="61" t="s">
        <v>13</v>
      </c>
      <c r="H798" s="67">
        <v>43213</v>
      </c>
      <c r="I798" s="8"/>
      <c r="J798" s="8"/>
      <c r="K798" s="8"/>
      <c r="L798" s="8"/>
      <c r="M798" s="8"/>
    </row>
    <row r="799" spans="1:13">
      <c r="A799" s="64" t="s">
        <v>1235</v>
      </c>
      <c r="B799" s="58">
        <v>30969194809</v>
      </c>
      <c r="C799" s="63" t="s">
        <v>1236</v>
      </c>
      <c r="D799" s="60">
        <v>13013456876</v>
      </c>
      <c r="E799" s="9">
        <v>810</v>
      </c>
      <c r="F799" s="25">
        <v>42915</v>
      </c>
      <c r="G799" s="61" t="s">
        <v>13</v>
      </c>
      <c r="H799" s="67">
        <v>43213</v>
      </c>
      <c r="I799" s="8"/>
      <c r="J799" s="8"/>
      <c r="K799" s="8"/>
      <c r="L799" s="9" t="s">
        <v>138</v>
      </c>
      <c r="M799" s="8"/>
    </row>
    <row r="800" spans="1:13">
      <c r="A800" s="62" t="s">
        <v>1237</v>
      </c>
      <c r="B800" s="58">
        <v>33186484855</v>
      </c>
      <c r="C800" s="68" t="s">
        <v>1238</v>
      </c>
      <c r="D800" s="60">
        <v>28792123830</v>
      </c>
      <c r="E800" s="9"/>
      <c r="F800" s="25"/>
      <c r="G800" s="61"/>
      <c r="H800" s="67">
        <v>43213</v>
      </c>
      <c r="I800" s="8"/>
      <c r="J800" s="8"/>
      <c r="K800" s="8"/>
      <c r="L800" s="8"/>
      <c r="M800" s="8"/>
    </row>
    <row r="801" spans="1:13">
      <c r="A801" s="62" t="s">
        <v>1239</v>
      </c>
      <c r="B801" s="58">
        <v>33172771814</v>
      </c>
      <c r="C801" s="63"/>
      <c r="D801" s="60"/>
      <c r="E801" s="9">
        <v>262</v>
      </c>
      <c r="F801" s="25">
        <v>43160</v>
      </c>
      <c r="G801" s="9" t="s">
        <v>13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1240</v>
      </c>
      <c r="B802" s="58">
        <v>27298776819</v>
      </c>
      <c r="C802" s="63" t="s">
        <v>1241</v>
      </c>
      <c r="D802" s="60">
        <v>31387900544</v>
      </c>
      <c r="E802" s="9">
        <v>229</v>
      </c>
      <c r="F802" s="25">
        <v>43151</v>
      </c>
      <c r="G802" s="61" t="s">
        <v>13</v>
      </c>
      <c r="H802" s="67">
        <v>43213</v>
      </c>
      <c r="I802" s="8"/>
      <c r="J802" s="8"/>
      <c r="K802" s="8"/>
      <c r="L802" s="9">
        <v>232</v>
      </c>
      <c r="M802" s="8"/>
    </row>
    <row r="803" spans="1:13">
      <c r="A803" s="62" t="s">
        <v>1242</v>
      </c>
      <c r="B803" s="58">
        <v>28802120811</v>
      </c>
      <c r="C803" s="63" t="s">
        <v>1243</v>
      </c>
      <c r="D803" s="60">
        <v>60971240400</v>
      </c>
      <c r="E803" s="9"/>
      <c r="F803" s="25"/>
      <c r="G803" s="61"/>
      <c r="H803" s="67">
        <v>43213</v>
      </c>
      <c r="I803" s="8"/>
      <c r="J803" s="8"/>
      <c r="K803" s="8"/>
      <c r="L803" s="8"/>
      <c r="M803" s="8"/>
    </row>
    <row r="804" spans="1:13">
      <c r="A804" s="18" t="s">
        <v>1244</v>
      </c>
      <c r="B804" s="58">
        <v>34581351898</v>
      </c>
      <c r="C804" s="18" t="s">
        <v>1245</v>
      </c>
      <c r="D804" s="60">
        <v>68836376487</v>
      </c>
      <c r="E804" s="9"/>
      <c r="F804" s="25"/>
      <c r="G804" s="61"/>
      <c r="H804" s="67">
        <v>43213</v>
      </c>
      <c r="I804" s="8"/>
      <c r="J804" s="8"/>
      <c r="K804" s="8"/>
      <c r="L804" s="8"/>
      <c r="M804" s="8"/>
    </row>
    <row r="805" spans="1:13">
      <c r="A805" s="62" t="s">
        <v>1246</v>
      </c>
      <c r="B805" s="58">
        <v>47141007857</v>
      </c>
      <c r="C805" s="68"/>
      <c r="D805" s="60"/>
      <c r="E805" s="9"/>
      <c r="F805" s="25"/>
      <c r="G805" s="61"/>
      <c r="H805" s="67">
        <v>43213</v>
      </c>
      <c r="I805" s="8"/>
      <c r="J805" s="8"/>
      <c r="K805" s="8"/>
      <c r="L805" s="8"/>
      <c r="M805" s="8"/>
    </row>
    <row r="806" spans="1:13">
      <c r="A806" s="13" t="s">
        <v>1247</v>
      </c>
      <c r="B806" s="58">
        <v>14886679854</v>
      </c>
      <c r="C806" s="63"/>
      <c r="D806" s="60"/>
      <c r="E806" s="9">
        <v>1350</v>
      </c>
      <c r="F806" s="25">
        <v>43006</v>
      </c>
      <c r="G806" s="61" t="s">
        <v>13</v>
      </c>
      <c r="H806" s="9"/>
      <c r="I806" s="8"/>
      <c r="J806" s="8"/>
      <c r="K806" s="8"/>
      <c r="L806" s="8"/>
      <c r="M806" s="8"/>
    </row>
    <row r="807" spans="1:13">
      <c r="A807" s="27" t="s">
        <v>1248</v>
      </c>
      <c r="B807" s="58"/>
      <c r="C807" s="27" t="s">
        <v>129</v>
      </c>
      <c r="D807" s="60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62" t="s">
        <v>1249</v>
      </c>
      <c r="B808" s="58">
        <v>40324052391</v>
      </c>
      <c r="C808" s="63" t="s">
        <v>1250</v>
      </c>
      <c r="D808" s="60">
        <v>48341088568</v>
      </c>
      <c r="E808" s="9">
        <v>443</v>
      </c>
      <c r="F808" s="25">
        <v>43188</v>
      </c>
      <c r="G808" s="61"/>
      <c r="H808" s="9"/>
      <c r="I808" s="8"/>
      <c r="J808" s="8"/>
      <c r="K808" s="8"/>
      <c r="L808" s="8"/>
      <c r="M808" s="8"/>
    </row>
    <row r="809" spans="1:13">
      <c r="A809" s="62" t="s">
        <v>1251</v>
      </c>
      <c r="B809" s="58">
        <v>22504335857</v>
      </c>
      <c r="C809" s="63"/>
      <c r="D809" s="60"/>
      <c r="E809" s="9">
        <v>810</v>
      </c>
      <c r="F809" s="25">
        <v>42915</v>
      </c>
      <c r="G809" s="61" t="s">
        <v>13</v>
      </c>
      <c r="H809" s="9"/>
      <c r="I809" s="8"/>
      <c r="J809" s="8"/>
      <c r="K809" s="8"/>
      <c r="L809" s="9" t="s">
        <v>138</v>
      </c>
      <c r="M809" s="8"/>
    </row>
    <row r="810" spans="1:13">
      <c r="A810" s="62" t="s">
        <v>1252</v>
      </c>
      <c r="B810" s="58">
        <v>29022777847</v>
      </c>
      <c r="C810" s="63" t="s">
        <v>1253</v>
      </c>
      <c r="D810" s="60">
        <v>33430349400</v>
      </c>
      <c r="E810" s="9">
        <v>262</v>
      </c>
      <c r="F810" s="25">
        <v>43160</v>
      </c>
      <c r="G810" s="61" t="s">
        <v>13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62" t="s">
        <v>1254</v>
      </c>
      <c r="B811" s="58">
        <v>38949324814</v>
      </c>
      <c r="C811" s="63"/>
      <c r="D811" s="60"/>
      <c r="E811" s="9">
        <v>1267</v>
      </c>
      <c r="F811" s="25">
        <v>42998</v>
      </c>
      <c r="G811" s="61" t="s">
        <v>13</v>
      </c>
      <c r="H811" s="9"/>
      <c r="I811" s="8"/>
      <c r="J811" s="8"/>
      <c r="K811" s="8"/>
      <c r="L811" s="8"/>
      <c r="M811" s="8"/>
    </row>
    <row r="812" spans="1:13">
      <c r="A812" s="62" t="s">
        <v>1255</v>
      </c>
      <c r="B812" s="58">
        <v>21892383829</v>
      </c>
      <c r="C812" s="68"/>
      <c r="D812" s="60"/>
      <c r="E812" s="9"/>
      <c r="F812" s="25"/>
      <c r="G812" s="61"/>
      <c r="H812" s="9"/>
      <c r="I812" s="8"/>
      <c r="J812" s="8"/>
      <c r="K812" s="8"/>
      <c r="L812" s="8"/>
      <c r="M812" s="8"/>
    </row>
    <row r="813" spans="1:13">
      <c r="A813" s="62" t="s">
        <v>1256</v>
      </c>
      <c r="B813" s="58">
        <v>72671912668</v>
      </c>
      <c r="C813" s="63"/>
      <c r="D813" s="60"/>
      <c r="E813" s="9">
        <v>1106</v>
      </c>
      <c r="F813" s="25">
        <v>42965</v>
      </c>
      <c r="G813" s="61" t="s">
        <v>13</v>
      </c>
      <c r="H813" s="9"/>
      <c r="I813" s="8"/>
      <c r="J813" s="8"/>
      <c r="K813" s="8"/>
      <c r="L813" s="8"/>
      <c r="M813" s="8"/>
    </row>
    <row r="814" spans="1:13">
      <c r="A814" s="62" t="s">
        <v>1257</v>
      </c>
      <c r="B814" s="58">
        <v>43523026865</v>
      </c>
      <c r="C814" s="63" t="s">
        <v>1258</v>
      </c>
      <c r="D814" s="60">
        <v>34320843827</v>
      </c>
      <c r="E814" s="9">
        <v>443</v>
      </c>
      <c r="F814" s="25">
        <v>43188</v>
      </c>
      <c r="G814" s="61"/>
      <c r="H814" s="9"/>
      <c r="I814" s="8"/>
      <c r="J814" s="8"/>
      <c r="K814" s="8"/>
      <c r="L814" s="8"/>
      <c r="M814" s="8"/>
    </row>
    <row r="815" spans="1:13">
      <c r="A815" s="27" t="s">
        <v>1259</v>
      </c>
      <c r="B815" s="58"/>
      <c r="C815" s="27" t="s">
        <v>129</v>
      </c>
      <c r="D815" s="60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62" t="s">
        <v>1260</v>
      </c>
      <c r="B816" s="58">
        <v>22677175819</v>
      </c>
      <c r="C816" s="63"/>
      <c r="D816" s="60"/>
      <c r="E816" s="9">
        <v>1752</v>
      </c>
      <c r="F816" s="25">
        <v>43051</v>
      </c>
      <c r="G816" s="61" t="s">
        <v>13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1261</v>
      </c>
      <c r="B817" s="58">
        <v>4535744599</v>
      </c>
      <c r="C817" s="63"/>
      <c r="D817" s="60"/>
      <c r="E817" s="9">
        <v>229</v>
      </c>
      <c r="F817" s="25">
        <v>43151</v>
      </c>
      <c r="G817" s="61" t="s">
        <v>13</v>
      </c>
      <c r="H817" s="9"/>
      <c r="I817" s="8"/>
      <c r="J817" s="8"/>
      <c r="K817" s="8"/>
      <c r="L817" s="9">
        <v>232</v>
      </c>
      <c r="M817" s="8"/>
    </row>
    <row r="818" spans="1:13">
      <c r="A818" s="62" t="s">
        <v>1262</v>
      </c>
      <c r="B818" s="58">
        <v>40994549830</v>
      </c>
      <c r="C818" s="63"/>
      <c r="D818" s="60"/>
      <c r="E818" s="9">
        <v>810</v>
      </c>
      <c r="F818" s="25">
        <v>42915</v>
      </c>
      <c r="G818" s="61" t="s">
        <v>13</v>
      </c>
      <c r="H818" s="9"/>
      <c r="I818" s="8"/>
      <c r="J818" s="8"/>
      <c r="K818" s="8"/>
      <c r="L818" s="9" t="s">
        <v>138</v>
      </c>
      <c r="M818" s="8"/>
    </row>
    <row r="819" spans="1:13">
      <c r="A819" s="62" t="s">
        <v>1263</v>
      </c>
      <c r="B819" s="58">
        <v>17617958803</v>
      </c>
      <c r="C819" s="63"/>
      <c r="D819" s="60"/>
      <c r="E819" s="9"/>
      <c r="F819" s="25"/>
      <c r="G819" s="61"/>
      <c r="H819" s="9"/>
      <c r="I819" s="8"/>
      <c r="J819" s="8"/>
      <c r="K819" s="8"/>
      <c r="L819" s="8"/>
      <c r="M819" s="8"/>
    </row>
    <row r="820" spans="1:13">
      <c r="A820" s="13" t="s">
        <v>1264</v>
      </c>
      <c r="B820" s="58">
        <v>27801402839</v>
      </c>
      <c r="C820" s="59"/>
      <c r="D820" s="60"/>
      <c r="E820" s="9"/>
      <c r="F820" s="25"/>
      <c r="G820" s="61"/>
      <c r="H820" s="9"/>
      <c r="I820" s="8"/>
      <c r="J820" s="8"/>
      <c r="K820" s="8"/>
      <c r="L820" s="8"/>
      <c r="M820" s="8"/>
    </row>
    <row r="821" spans="1:13">
      <c r="A821" s="62" t="s">
        <v>1265</v>
      </c>
      <c r="B821" s="58">
        <v>32672074879</v>
      </c>
      <c r="C821" s="63"/>
      <c r="D821" s="60"/>
      <c r="E821" s="9">
        <v>292</v>
      </c>
      <c r="F821" s="25">
        <v>43168</v>
      </c>
      <c r="G821" s="61" t="s">
        <v>13</v>
      </c>
      <c r="H821" s="9"/>
      <c r="I821" s="8"/>
      <c r="J821" s="8"/>
      <c r="K821" s="8"/>
      <c r="L821" s="9">
        <v>318</v>
      </c>
      <c r="M821" s="8"/>
    </row>
    <row r="822" spans="1:13">
      <c r="A822" s="62" t="s">
        <v>1266</v>
      </c>
      <c r="B822" s="58">
        <v>31103432826</v>
      </c>
      <c r="C822" s="63"/>
      <c r="D822" s="60"/>
      <c r="E822" s="9">
        <v>1262</v>
      </c>
      <c r="F822" s="25">
        <v>42997</v>
      </c>
      <c r="G822" s="61" t="s">
        <v>13</v>
      </c>
      <c r="H822" s="9"/>
      <c r="I822" s="8"/>
      <c r="J822" s="8"/>
      <c r="K822" s="8"/>
      <c r="L822" s="8"/>
      <c r="M822" s="8"/>
    </row>
    <row r="823" spans="1:13">
      <c r="A823" s="62" t="s">
        <v>1267</v>
      </c>
      <c r="B823" s="58">
        <v>5102923480</v>
      </c>
      <c r="C823" s="63" t="s">
        <v>1268</v>
      </c>
      <c r="D823" s="60">
        <v>70514526491</v>
      </c>
      <c r="E823" s="9"/>
      <c r="F823" s="25"/>
      <c r="G823" s="61"/>
      <c r="H823" s="9"/>
      <c r="I823" s="8"/>
      <c r="J823" s="8"/>
      <c r="K823" s="8"/>
      <c r="L823" s="8"/>
      <c r="M823" s="8"/>
    </row>
    <row r="824" spans="1:13">
      <c r="A824" s="62" t="s">
        <v>1269</v>
      </c>
      <c r="B824" s="58">
        <v>7268622406</v>
      </c>
      <c r="C824" s="63" t="s">
        <v>1270</v>
      </c>
      <c r="D824" s="60">
        <v>40507630874</v>
      </c>
      <c r="E824" s="9">
        <v>1267</v>
      </c>
      <c r="F824" s="25">
        <v>42998</v>
      </c>
      <c r="G824" s="61" t="s">
        <v>13</v>
      </c>
      <c r="H824" s="9"/>
      <c r="I824" s="8"/>
      <c r="J824" s="8"/>
      <c r="K824" s="8"/>
      <c r="L824" s="8"/>
      <c r="M824" s="8"/>
    </row>
    <row r="825" spans="1:13">
      <c r="A825" s="62" t="s">
        <v>1271</v>
      </c>
      <c r="B825" s="58" t="s">
        <v>1272</v>
      </c>
      <c r="C825" s="68" t="s">
        <v>1273</v>
      </c>
      <c r="D825" s="60" t="s">
        <v>1274</v>
      </c>
      <c r="E825" s="9"/>
      <c r="F825" s="25"/>
      <c r="G825" s="61"/>
      <c r="H825" s="9"/>
      <c r="I825" s="8"/>
      <c r="J825" s="8"/>
      <c r="K825" s="8"/>
      <c r="L825" s="8"/>
      <c r="M825" s="8"/>
    </row>
    <row r="826" spans="1:13">
      <c r="A826" s="27" t="s">
        <v>1275</v>
      </c>
      <c r="B826" s="58"/>
      <c r="C826" s="27" t="s">
        <v>129</v>
      </c>
      <c r="D826" s="60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63" t="s">
        <v>1276</v>
      </c>
      <c r="B827" s="58">
        <v>31429224827</v>
      </c>
      <c r="C827" s="63" t="s">
        <v>1277</v>
      </c>
      <c r="D827" s="60">
        <v>27263725894</v>
      </c>
      <c r="E827" s="9">
        <v>292</v>
      </c>
      <c r="F827" s="25">
        <v>43168</v>
      </c>
      <c r="G827" s="61" t="s">
        <v>20</v>
      </c>
      <c r="H827" s="9"/>
      <c r="I827" s="8"/>
      <c r="J827" s="8"/>
      <c r="K827" s="8"/>
      <c r="L827" s="9">
        <v>318</v>
      </c>
      <c r="M827" s="8"/>
    </row>
    <row r="828" spans="1:13">
      <c r="A828" s="62" t="s">
        <v>1278</v>
      </c>
      <c r="B828" s="58">
        <v>3753540420</v>
      </c>
      <c r="C828" s="63" t="s">
        <v>1215</v>
      </c>
      <c r="D828" s="60">
        <v>68360118434</v>
      </c>
      <c r="E828" s="9"/>
      <c r="F828" s="25"/>
      <c r="G828" s="61"/>
      <c r="H828" s="9"/>
      <c r="I828" s="8"/>
      <c r="J828" s="8"/>
      <c r="K828" s="8"/>
      <c r="L828" s="8"/>
      <c r="M828" s="8"/>
    </row>
    <row r="829" spans="1:13">
      <c r="A829" s="27" t="s">
        <v>1279</v>
      </c>
      <c r="B829" s="58">
        <v>5797649667</v>
      </c>
      <c r="C829" s="27"/>
      <c r="D829" s="60"/>
      <c r="E829" s="9"/>
      <c r="F829" s="25"/>
      <c r="G829" s="61"/>
      <c r="H829" s="9"/>
      <c r="I829" s="8"/>
      <c r="J829" s="8"/>
      <c r="K829" s="8"/>
      <c r="L829" s="8"/>
      <c r="M829" s="8"/>
    </row>
    <row r="830" spans="1:13">
      <c r="A830" s="64" t="s">
        <v>1280</v>
      </c>
      <c r="B830" s="58">
        <v>36723660803</v>
      </c>
      <c r="C830" s="63" t="s">
        <v>1281</v>
      </c>
      <c r="D830" s="60">
        <v>32763586899</v>
      </c>
      <c r="E830" s="9">
        <v>608</v>
      </c>
      <c r="F830" s="25">
        <v>43012</v>
      </c>
      <c r="G830" s="61" t="s">
        <v>13</v>
      </c>
      <c r="H830" s="9"/>
      <c r="I830" s="8"/>
      <c r="J830" s="8"/>
      <c r="K830" s="8"/>
      <c r="L830" s="8"/>
      <c r="M830" s="8"/>
    </row>
    <row r="831" spans="1:13">
      <c r="A831" s="13" t="s">
        <v>1282</v>
      </c>
      <c r="B831" s="58">
        <v>81445407868</v>
      </c>
      <c r="C831" s="59"/>
      <c r="D831" s="60"/>
      <c r="E831" s="9">
        <v>1128</v>
      </c>
      <c r="F831" s="25">
        <v>42972</v>
      </c>
      <c r="G831" s="61" t="s">
        <v>13</v>
      </c>
      <c r="H831" s="9"/>
      <c r="I831" s="8"/>
      <c r="J831" s="8"/>
      <c r="K831" s="8"/>
      <c r="L831" s="8"/>
      <c r="M831" s="8"/>
    </row>
    <row r="832" spans="1:13">
      <c r="A832" s="63" t="s">
        <v>1283</v>
      </c>
      <c r="B832" s="58">
        <v>166405462</v>
      </c>
      <c r="C832" s="15" t="s">
        <v>1284</v>
      </c>
      <c r="D832" s="60">
        <v>14662128889</v>
      </c>
      <c r="E832" s="9"/>
      <c r="F832" s="25"/>
      <c r="G832" s="61"/>
      <c r="H832" s="9"/>
      <c r="I832" s="8"/>
      <c r="J832" s="8"/>
      <c r="K832" s="8"/>
      <c r="L832" s="8"/>
      <c r="M832" s="8"/>
    </row>
    <row r="833" spans="1:13">
      <c r="A833" s="62" t="s">
        <v>1285</v>
      </c>
      <c r="B833" s="58">
        <v>12840272873</v>
      </c>
      <c r="C833" s="63"/>
      <c r="D833" s="60"/>
      <c r="E833" s="9">
        <v>810</v>
      </c>
      <c r="F833" s="25">
        <v>42915</v>
      </c>
      <c r="G833" s="61" t="s">
        <v>13</v>
      </c>
      <c r="H833" s="9"/>
      <c r="I833" s="8"/>
      <c r="J833" s="8"/>
      <c r="K833" s="8"/>
      <c r="L833" s="9" t="s">
        <v>138</v>
      </c>
      <c r="M833" s="8"/>
    </row>
    <row r="834" spans="1:13">
      <c r="A834" s="15" t="s">
        <v>1286</v>
      </c>
      <c r="B834" s="58">
        <v>39072123808</v>
      </c>
      <c r="C834" s="63"/>
      <c r="D834" s="60"/>
      <c r="E834" s="9">
        <v>229</v>
      </c>
      <c r="F834" s="25">
        <v>43151</v>
      </c>
      <c r="G834" s="61" t="s">
        <v>13</v>
      </c>
      <c r="H834" s="9"/>
      <c r="I834" s="8"/>
      <c r="J834" s="8"/>
      <c r="K834" s="8"/>
      <c r="L834" s="9">
        <v>232</v>
      </c>
      <c r="M834" s="8"/>
    </row>
    <row r="835" spans="1:13">
      <c r="A835" s="31" t="s">
        <v>1287</v>
      </c>
      <c r="B835" s="58">
        <v>13621159835</v>
      </c>
      <c r="C835" s="63" t="s">
        <v>1288</v>
      </c>
      <c r="D835" s="60">
        <v>35124170867</v>
      </c>
      <c r="E835" s="9">
        <v>229</v>
      </c>
      <c r="F835" s="25">
        <v>43151</v>
      </c>
      <c r="G835" s="61" t="s">
        <v>13</v>
      </c>
      <c r="H835" s="9"/>
      <c r="I835" s="8"/>
      <c r="J835" s="8"/>
      <c r="K835" s="8"/>
      <c r="L835" s="9">
        <v>232</v>
      </c>
      <c r="M835" s="8"/>
    </row>
    <row r="836" spans="1:13">
      <c r="A836" s="64" t="s">
        <v>1289</v>
      </c>
      <c r="B836" s="58">
        <v>34649647878</v>
      </c>
      <c r="C836" s="63" t="s">
        <v>1290</v>
      </c>
      <c r="D836" s="60">
        <v>17811429802</v>
      </c>
      <c r="E836" s="9">
        <v>810</v>
      </c>
      <c r="F836" s="25">
        <v>42915</v>
      </c>
      <c r="G836" s="61" t="s">
        <v>13</v>
      </c>
      <c r="H836" s="9"/>
      <c r="I836" s="8"/>
      <c r="J836" s="8"/>
      <c r="K836" s="8"/>
      <c r="L836" s="9" t="s">
        <v>138</v>
      </c>
      <c r="M836" s="8"/>
    </row>
    <row r="837" spans="1:13">
      <c r="A837" s="62" t="s">
        <v>1291</v>
      </c>
      <c r="B837" s="58">
        <v>25809517846</v>
      </c>
      <c r="C837" s="64" t="s">
        <v>1292</v>
      </c>
      <c r="D837" s="60">
        <v>68856830434</v>
      </c>
      <c r="E837" s="9">
        <v>292</v>
      </c>
      <c r="F837" s="25">
        <v>43168</v>
      </c>
      <c r="G837" s="61" t="s">
        <v>20</v>
      </c>
      <c r="H837" s="9"/>
      <c r="I837" s="8"/>
      <c r="J837" s="8"/>
      <c r="K837" s="8"/>
      <c r="L837" s="9">
        <v>318</v>
      </c>
      <c r="M837" s="8"/>
    </row>
    <row r="838" spans="1:13">
      <c r="A838" s="62" t="s">
        <v>1293</v>
      </c>
      <c r="B838" s="58">
        <v>6952730435</v>
      </c>
      <c r="C838" s="63" t="s">
        <v>1294</v>
      </c>
      <c r="D838" s="60">
        <v>8004608477</v>
      </c>
      <c r="E838" s="9">
        <v>810</v>
      </c>
      <c r="F838" s="25">
        <v>42915</v>
      </c>
      <c r="G838" s="61" t="s">
        <v>13</v>
      </c>
      <c r="H838" s="9"/>
      <c r="I838" s="8"/>
      <c r="J838" s="8"/>
      <c r="K838" s="8"/>
      <c r="L838" s="9" t="s">
        <v>138</v>
      </c>
      <c r="M838" s="8"/>
    </row>
    <row r="839" spans="1:13">
      <c r="A839" s="62" t="s">
        <v>1295</v>
      </c>
      <c r="B839" s="58">
        <v>23440697800</v>
      </c>
      <c r="C839" s="63" t="s">
        <v>1296</v>
      </c>
      <c r="D839" s="60">
        <v>93690177553</v>
      </c>
      <c r="E839" s="9">
        <v>292</v>
      </c>
      <c r="F839" s="25">
        <v>43168</v>
      </c>
      <c r="G839" s="61" t="s">
        <v>13</v>
      </c>
      <c r="H839" s="9"/>
      <c r="I839" s="8"/>
      <c r="J839" s="8"/>
      <c r="K839" s="8"/>
      <c r="L839" s="9">
        <v>318</v>
      </c>
      <c r="M839" s="8"/>
    </row>
    <row r="840" spans="1:13">
      <c r="A840" s="62" t="s">
        <v>1297</v>
      </c>
      <c r="B840" s="58">
        <v>93567421549</v>
      </c>
      <c r="C840" s="63" t="s">
        <v>1298</v>
      </c>
      <c r="D840" s="60"/>
      <c r="E840" s="9"/>
      <c r="F840" s="25"/>
      <c r="G840" s="61"/>
      <c r="H840" s="9"/>
      <c r="I840" s="8"/>
      <c r="J840" s="8"/>
      <c r="K840" s="8"/>
      <c r="L840" s="8"/>
      <c r="M840" s="8"/>
    </row>
    <row r="841" spans="1:13">
      <c r="A841" s="62" t="s">
        <v>1299</v>
      </c>
      <c r="B841" s="58">
        <v>27080114802</v>
      </c>
      <c r="C841" s="63"/>
      <c r="D841" s="60"/>
      <c r="E841" s="9"/>
      <c r="F841" s="25"/>
      <c r="G841" s="61"/>
      <c r="H841" s="9"/>
      <c r="I841" s="8"/>
      <c r="J841" s="8"/>
      <c r="K841" s="8"/>
      <c r="L841" s="8"/>
      <c r="M841" s="8"/>
    </row>
    <row r="842" spans="1:13">
      <c r="A842" s="15" t="s">
        <v>1300</v>
      </c>
      <c r="B842" s="58">
        <v>35370332819</v>
      </c>
      <c r="C842" s="63"/>
      <c r="D842" s="60"/>
      <c r="E842" s="9">
        <v>117</v>
      </c>
      <c r="F842" s="25">
        <v>43117</v>
      </c>
      <c r="G842" s="61" t="s">
        <v>13</v>
      </c>
      <c r="H842" s="9"/>
      <c r="I842" s="8"/>
      <c r="J842" s="8"/>
      <c r="K842" s="8"/>
      <c r="L842" s="9" t="s">
        <v>170</v>
      </c>
      <c r="M842" s="8"/>
    </row>
    <row r="843" spans="1:13">
      <c r="A843" s="62" t="s">
        <v>1301</v>
      </c>
      <c r="B843" s="58">
        <v>28610864839</v>
      </c>
      <c r="C843" s="63"/>
      <c r="D843" s="60"/>
      <c r="E843" s="9">
        <v>292</v>
      </c>
      <c r="F843" s="25">
        <v>43168</v>
      </c>
      <c r="G843" s="61" t="s">
        <v>13</v>
      </c>
      <c r="H843" s="9"/>
      <c r="I843" s="8"/>
      <c r="J843" s="8"/>
      <c r="K843" s="8"/>
      <c r="L843" s="9">
        <v>318</v>
      </c>
      <c r="M843" s="8"/>
    </row>
    <row r="844" spans="1:13">
      <c r="A844" s="62" t="s">
        <v>1302</v>
      </c>
      <c r="B844" s="58">
        <v>33739957875</v>
      </c>
      <c r="C844" s="63"/>
      <c r="D844" s="60"/>
      <c r="E844" s="9"/>
      <c r="F844" s="25"/>
      <c r="G844" s="61"/>
      <c r="H844" s="9"/>
      <c r="I844" s="8"/>
      <c r="J844" s="8"/>
      <c r="K844" s="8"/>
      <c r="L844" s="8"/>
      <c r="M844" s="8"/>
    </row>
    <row r="845" spans="1:13">
      <c r="A845" s="15" t="s">
        <v>1303</v>
      </c>
      <c r="B845" s="58">
        <v>30864304862</v>
      </c>
      <c r="C845" s="63"/>
      <c r="D845" s="60"/>
      <c r="E845" s="9">
        <v>117</v>
      </c>
      <c r="F845" s="25">
        <v>43117</v>
      </c>
      <c r="G845" s="61" t="s">
        <v>13</v>
      </c>
      <c r="H845" s="9"/>
      <c r="I845" s="8"/>
      <c r="J845" s="8"/>
      <c r="K845" s="8"/>
      <c r="L845" s="9" t="s">
        <v>170</v>
      </c>
      <c r="M845" s="8"/>
    </row>
    <row r="846" spans="1:13">
      <c r="A846" s="62" t="s">
        <v>1304</v>
      </c>
      <c r="B846" s="58">
        <v>27689625894</v>
      </c>
      <c r="C846" s="63"/>
      <c r="D846" s="60"/>
      <c r="E846" s="9">
        <v>1417</v>
      </c>
      <c r="F846" s="25">
        <v>43017</v>
      </c>
      <c r="G846" s="61" t="s">
        <v>13</v>
      </c>
      <c r="H846" s="9"/>
      <c r="I846" s="8"/>
      <c r="J846" s="8"/>
      <c r="K846" s="8"/>
      <c r="L846" s="9" t="s">
        <v>253</v>
      </c>
      <c r="M846" s="8"/>
    </row>
    <row r="847" spans="1:13">
      <c r="A847" s="62" t="s">
        <v>1305</v>
      </c>
      <c r="B847" s="58">
        <v>10762166843</v>
      </c>
      <c r="C847" s="63" t="s">
        <v>1306</v>
      </c>
      <c r="D847" s="60">
        <v>18471490811</v>
      </c>
      <c r="E847" s="9">
        <v>1752</v>
      </c>
      <c r="F847" s="25">
        <v>43051</v>
      </c>
      <c r="G847" s="74" t="s">
        <v>13</v>
      </c>
      <c r="H847" s="9"/>
      <c r="I847" s="8"/>
      <c r="J847" s="8"/>
      <c r="K847" s="8"/>
      <c r="L847" s="9">
        <v>1759</v>
      </c>
      <c r="M847" s="8"/>
    </row>
    <row r="848" spans="1:13">
      <c r="A848" s="62" t="s">
        <v>1307</v>
      </c>
      <c r="B848" s="58">
        <v>22667549805</v>
      </c>
      <c r="C848" s="63"/>
      <c r="D848" s="60"/>
      <c r="E848" s="9"/>
      <c r="F848" s="25"/>
      <c r="G848" s="61"/>
      <c r="H848" s="9"/>
      <c r="I848" s="8"/>
      <c r="J848" s="8"/>
      <c r="K848" s="8"/>
      <c r="L848" s="8"/>
      <c r="M848" s="8"/>
    </row>
    <row r="849" spans="1:13">
      <c r="A849" s="15" t="s">
        <v>1308</v>
      </c>
      <c r="B849" s="58">
        <v>38988535863</v>
      </c>
      <c r="C849" s="63" t="s">
        <v>1309</v>
      </c>
      <c r="D849" s="60">
        <v>34543536886</v>
      </c>
      <c r="E849" s="9">
        <v>1555</v>
      </c>
      <c r="F849" s="25">
        <v>43049</v>
      </c>
      <c r="G849" s="61" t="s">
        <v>13</v>
      </c>
      <c r="H849" s="9"/>
      <c r="I849" s="8"/>
      <c r="J849" s="8"/>
      <c r="K849" s="8"/>
      <c r="L849" s="9" t="s">
        <v>398</v>
      </c>
      <c r="M849" s="8"/>
    </row>
    <row r="850" spans="1:13">
      <c r="A850" s="62" t="s">
        <v>1310</v>
      </c>
      <c r="B850" s="58">
        <v>81902581334</v>
      </c>
      <c r="C850" s="63" t="s">
        <v>1311</v>
      </c>
      <c r="D850" s="60">
        <v>42305020368</v>
      </c>
      <c r="E850" s="9">
        <v>1752</v>
      </c>
      <c r="F850" s="25">
        <v>43051</v>
      </c>
      <c r="G850" s="61" t="s">
        <v>13</v>
      </c>
      <c r="H850" s="9"/>
      <c r="I850" s="8"/>
      <c r="J850" s="8"/>
      <c r="K850" s="8"/>
      <c r="L850" s="9">
        <v>1759</v>
      </c>
      <c r="M850" s="8"/>
    </row>
    <row r="851" spans="1:13">
      <c r="A851" s="63" t="s">
        <v>1312</v>
      </c>
      <c r="B851" s="58">
        <v>15273848881</v>
      </c>
      <c r="C851" s="63"/>
      <c r="D851" s="60"/>
      <c r="E851" s="9"/>
      <c r="F851" s="25"/>
      <c r="G851" s="61"/>
      <c r="H851" s="9"/>
      <c r="I851" s="8"/>
      <c r="J851" s="8"/>
      <c r="K851" s="8"/>
      <c r="L851" s="8"/>
      <c r="M851" s="8"/>
    </row>
    <row r="852" spans="1:13">
      <c r="A852" s="62" t="s">
        <v>1313</v>
      </c>
      <c r="B852" s="58">
        <v>10724870806</v>
      </c>
      <c r="C852" s="59"/>
      <c r="D852" s="60"/>
      <c r="E852" s="9">
        <v>1128</v>
      </c>
      <c r="F852" s="25">
        <v>42972</v>
      </c>
      <c r="G852" s="61" t="s">
        <v>13</v>
      </c>
      <c r="H852" s="9"/>
      <c r="I852" s="8"/>
      <c r="J852" s="8"/>
      <c r="K852" s="8"/>
      <c r="L852" s="8"/>
      <c r="M852" s="8"/>
    </row>
    <row r="853" spans="1:13">
      <c r="A853" s="63" t="s">
        <v>1314</v>
      </c>
      <c r="B853" s="58">
        <v>24359025491</v>
      </c>
      <c r="C853" s="63"/>
      <c r="D853" s="60"/>
      <c r="E853" s="9">
        <v>1470</v>
      </c>
      <c r="F853" s="25">
        <v>43031</v>
      </c>
      <c r="G853" s="61" t="s">
        <v>13</v>
      </c>
      <c r="H853" s="9"/>
      <c r="I853" s="8"/>
      <c r="J853" s="8"/>
      <c r="K853" s="8"/>
      <c r="L853" s="8"/>
      <c r="M853" s="8"/>
    </row>
    <row r="854" spans="1:13">
      <c r="A854" s="15" t="s">
        <v>1315</v>
      </c>
      <c r="B854" s="58">
        <v>35779992843</v>
      </c>
      <c r="C854" s="63"/>
      <c r="D854" s="60"/>
      <c r="E854" s="9"/>
      <c r="F854" s="25"/>
      <c r="G854" s="61"/>
      <c r="H854" s="9"/>
      <c r="I854" s="8"/>
      <c r="J854" s="8"/>
      <c r="K854" s="8"/>
      <c r="L854" s="8"/>
      <c r="M854" s="8"/>
    </row>
    <row r="855" spans="1:13">
      <c r="A855" s="62" t="s">
        <v>1316</v>
      </c>
      <c r="B855" s="58">
        <v>37794188865</v>
      </c>
      <c r="C855" s="64"/>
      <c r="D855" s="60"/>
      <c r="E855" s="9">
        <v>292</v>
      </c>
      <c r="F855" s="25">
        <v>43168</v>
      </c>
      <c r="G855" s="61" t="s">
        <v>13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1317</v>
      </c>
      <c r="B856" s="58">
        <v>36135801520</v>
      </c>
      <c r="C856" s="15" t="s">
        <v>1318</v>
      </c>
      <c r="D856" s="60"/>
      <c r="E856" s="9"/>
      <c r="F856" s="25"/>
      <c r="G856" s="61"/>
      <c r="H856" s="9"/>
      <c r="I856" s="8"/>
      <c r="J856" s="8"/>
      <c r="K856" s="8"/>
      <c r="L856" s="8"/>
      <c r="M856" s="8"/>
    </row>
    <row r="857" spans="1:13">
      <c r="A857" s="15" t="s">
        <v>1319</v>
      </c>
      <c r="B857" s="58">
        <v>43231450802</v>
      </c>
      <c r="C857" s="63" t="s">
        <v>1320</v>
      </c>
      <c r="D857" s="60">
        <v>44306255816</v>
      </c>
      <c r="E857" s="9">
        <v>527</v>
      </c>
      <c r="F857" s="25">
        <v>43210</v>
      </c>
      <c r="G857" s="61"/>
      <c r="H857" s="9"/>
      <c r="I857" s="8"/>
      <c r="J857" s="8"/>
      <c r="K857" s="8"/>
      <c r="L857" s="9">
        <v>528</v>
      </c>
      <c r="M857" s="8"/>
    </row>
    <row r="858" spans="1:13">
      <c r="A858" s="68" t="s">
        <v>1321</v>
      </c>
      <c r="B858" s="58">
        <v>38163601817</v>
      </c>
      <c r="C858" s="63" t="s">
        <v>1322</v>
      </c>
      <c r="D858" s="60">
        <v>36840584836</v>
      </c>
      <c r="E858" s="9">
        <v>292</v>
      </c>
      <c r="F858" s="25">
        <v>43168</v>
      </c>
      <c r="G858" s="61" t="s">
        <v>13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1323</v>
      </c>
      <c r="B859" s="58">
        <v>40853154805</v>
      </c>
      <c r="C859" s="63" t="s">
        <v>1324</v>
      </c>
      <c r="D859" s="60">
        <v>23596403804</v>
      </c>
      <c r="E859" s="9">
        <v>229</v>
      </c>
      <c r="F859" s="25">
        <v>43151</v>
      </c>
      <c r="G859" s="61" t="s">
        <v>13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1325</v>
      </c>
      <c r="B860" s="58">
        <v>25906972870</v>
      </c>
      <c r="C860" s="63"/>
      <c r="D860" s="60"/>
      <c r="E860" s="9">
        <v>262</v>
      </c>
      <c r="F860" s="25">
        <v>43160</v>
      </c>
      <c r="G860" s="61" t="s">
        <v>13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1326</v>
      </c>
      <c r="B861" s="58">
        <v>43008370829</v>
      </c>
      <c r="C861" s="59"/>
      <c r="D861" s="60"/>
      <c r="E861" s="9"/>
      <c r="F861" s="25"/>
      <c r="G861" s="61"/>
      <c r="H861" s="9"/>
      <c r="I861" s="8"/>
      <c r="J861" s="8"/>
      <c r="K861" s="8"/>
      <c r="L861" s="8"/>
      <c r="M861" s="8"/>
    </row>
    <row r="862" spans="1:13">
      <c r="A862" s="62" t="s">
        <v>1327</v>
      </c>
      <c r="B862" s="58">
        <v>95551964434</v>
      </c>
      <c r="C862" s="63"/>
      <c r="D862" s="60"/>
      <c r="E862" s="9">
        <v>1555</v>
      </c>
      <c r="F862" s="25">
        <v>43049</v>
      </c>
      <c r="G862" s="61" t="s">
        <v>13</v>
      </c>
      <c r="H862" s="9"/>
      <c r="I862" s="8"/>
      <c r="J862" s="8"/>
      <c r="K862" s="8"/>
      <c r="L862" s="9" t="s">
        <v>398</v>
      </c>
      <c r="M862" s="8"/>
    </row>
    <row r="863" spans="1:13">
      <c r="A863" s="14" t="s">
        <v>1328</v>
      </c>
      <c r="B863" s="58">
        <v>35839827894</v>
      </c>
      <c r="C863" s="63"/>
      <c r="D863" s="60"/>
      <c r="E863" s="9">
        <v>292</v>
      </c>
      <c r="F863" s="25">
        <v>43168</v>
      </c>
      <c r="G863" s="61" t="s">
        <v>13</v>
      </c>
      <c r="H863" s="9"/>
      <c r="I863" s="8"/>
      <c r="J863" s="8"/>
      <c r="K863" s="8"/>
      <c r="L863" s="9">
        <v>318</v>
      </c>
      <c r="M863" s="8"/>
    </row>
    <row r="864" spans="1:13">
      <c r="A864" s="62" t="s">
        <v>1329</v>
      </c>
      <c r="B864" s="58">
        <v>16124240823</v>
      </c>
      <c r="C864" s="63"/>
      <c r="D864" s="60"/>
      <c r="E864" s="9">
        <v>1214</v>
      </c>
      <c r="F864" s="25">
        <v>42989</v>
      </c>
      <c r="G864" s="61" t="s">
        <v>13</v>
      </c>
      <c r="H864" s="9"/>
      <c r="I864" s="8"/>
      <c r="J864" s="8"/>
      <c r="K864" s="8"/>
      <c r="L864" s="8"/>
      <c r="M864" s="8"/>
    </row>
    <row r="865" spans="1:13">
      <c r="A865" s="62" t="s">
        <v>1330</v>
      </c>
      <c r="B865" s="58">
        <v>30708968805</v>
      </c>
      <c r="C865" s="63" t="s">
        <v>1331</v>
      </c>
      <c r="D865" s="60">
        <v>835545563</v>
      </c>
      <c r="E865" s="9">
        <v>573</v>
      </c>
      <c r="F865" s="25">
        <v>43224</v>
      </c>
      <c r="G865" s="61"/>
      <c r="H865" s="9"/>
      <c r="I865" s="8"/>
      <c r="J865" s="8"/>
      <c r="K865" s="8"/>
      <c r="L865" s="8"/>
      <c r="M865" s="8"/>
    </row>
    <row r="866" spans="1:13">
      <c r="A866" s="62" t="s">
        <v>1332</v>
      </c>
      <c r="B866" s="58">
        <v>11300803827</v>
      </c>
      <c r="C866" s="63"/>
      <c r="D866" s="60"/>
      <c r="E866" s="9"/>
      <c r="F866" s="25"/>
      <c r="G866" s="61"/>
      <c r="H866" s="9"/>
      <c r="I866" s="8"/>
      <c r="J866" s="8"/>
      <c r="K866" s="8"/>
      <c r="L866" s="8"/>
      <c r="M866" s="8"/>
    </row>
    <row r="867" spans="1:13">
      <c r="A867" s="62" t="s">
        <v>1333</v>
      </c>
      <c r="B867" s="58">
        <v>16408882846</v>
      </c>
      <c r="C867" s="63"/>
      <c r="D867" s="60"/>
      <c r="E867" s="9">
        <v>810</v>
      </c>
      <c r="F867" s="25">
        <v>42915</v>
      </c>
      <c r="G867" s="61" t="s">
        <v>13</v>
      </c>
      <c r="H867" s="9"/>
      <c r="I867" s="8"/>
      <c r="J867" s="8"/>
      <c r="K867" s="8"/>
      <c r="L867" s="9" t="s">
        <v>138</v>
      </c>
      <c r="M867" s="8"/>
    </row>
    <row r="868" spans="1:13">
      <c r="A868" s="62" t="s">
        <v>1334</v>
      </c>
      <c r="B868" s="58">
        <v>40966441885</v>
      </c>
      <c r="C868" s="63"/>
      <c r="D868" s="60"/>
      <c r="E868" s="9">
        <v>509</v>
      </c>
      <c r="F868" s="25">
        <v>43203</v>
      </c>
      <c r="G868" s="67"/>
      <c r="H868" s="67">
        <v>43213</v>
      </c>
      <c r="I868" s="8"/>
      <c r="J868" s="8"/>
      <c r="K868" s="8"/>
      <c r="L868" s="8"/>
      <c r="M868" s="8"/>
    </row>
    <row r="869" spans="1:13">
      <c r="A869" s="62" t="s">
        <v>1335</v>
      </c>
      <c r="B869" s="58">
        <v>32545141810</v>
      </c>
      <c r="C869" s="59"/>
      <c r="D869" s="60"/>
      <c r="E869" s="9">
        <v>1128</v>
      </c>
      <c r="F869" s="25">
        <v>42972</v>
      </c>
      <c r="G869" s="61" t="s">
        <v>13</v>
      </c>
      <c r="H869" s="67">
        <v>43213</v>
      </c>
      <c r="I869" s="8"/>
      <c r="J869" s="8"/>
      <c r="K869" s="8"/>
      <c r="L869" s="8"/>
      <c r="M869" s="8"/>
    </row>
    <row r="870" spans="1:13">
      <c r="A870" s="15" t="s">
        <v>1336</v>
      </c>
      <c r="B870" s="58">
        <v>41379878829</v>
      </c>
      <c r="C870" s="63" t="s">
        <v>1337</v>
      </c>
      <c r="D870" s="60">
        <v>31873661800</v>
      </c>
      <c r="E870" s="9">
        <v>443</v>
      </c>
      <c r="F870" s="25">
        <v>43188</v>
      </c>
      <c r="G870" s="61"/>
      <c r="H870" s="67">
        <v>43213</v>
      </c>
      <c r="I870" s="8"/>
      <c r="J870" s="8"/>
      <c r="K870" s="8"/>
      <c r="L870" s="8"/>
      <c r="M870" s="8"/>
    </row>
    <row r="871" spans="1:13">
      <c r="A871" s="63" t="s">
        <v>1338</v>
      </c>
      <c r="B871" s="58">
        <v>31471499863</v>
      </c>
      <c r="C871" s="63" t="s">
        <v>1339</v>
      </c>
      <c r="D871" s="60">
        <v>29559137824</v>
      </c>
      <c r="E871" s="9"/>
      <c r="F871" s="25"/>
      <c r="G871" s="61"/>
      <c r="H871" s="67">
        <v>43213</v>
      </c>
      <c r="I871" s="8"/>
      <c r="J871" s="8"/>
      <c r="K871" s="8"/>
      <c r="L871" s="8"/>
      <c r="M871" s="8"/>
    </row>
    <row r="872" spans="1:13">
      <c r="A872" s="62" t="s">
        <v>1340</v>
      </c>
      <c r="B872" s="58">
        <v>66728916504</v>
      </c>
      <c r="C872" s="59"/>
      <c r="D872" s="60"/>
      <c r="E872" s="9">
        <v>1128</v>
      </c>
      <c r="F872" s="25">
        <v>42972</v>
      </c>
      <c r="G872" s="61" t="s">
        <v>13</v>
      </c>
      <c r="H872" s="67">
        <v>43213</v>
      </c>
      <c r="I872" s="8"/>
      <c r="J872" s="8"/>
      <c r="K872" s="8"/>
      <c r="L872" s="8"/>
      <c r="M872" s="8"/>
    </row>
    <row r="873" spans="1:13">
      <c r="A873" s="62" t="s">
        <v>1341</v>
      </c>
      <c r="B873" s="58">
        <v>31620084848</v>
      </c>
      <c r="C873" s="63"/>
      <c r="D873" s="60"/>
      <c r="E873" s="9">
        <v>262</v>
      </c>
      <c r="F873" s="25">
        <v>43160</v>
      </c>
      <c r="G873" s="61" t="s">
        <v>13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62" t="s">
        <v>1342</v>
      </c>
      <c r="B874" s="58">
        <v>27878860866</v>
      </c>
      <c r="C874" s="63" t="s">
        <v>1343</v>
      </c>
      <c r="D874" s="60">
        <v>19522369837</v>
      </c>
      <c r="E874" s="9"/>
      <c r="F874" s="25"/>
      <c r="G874" s="61"/>
      <c r="H874" s="67">
        <v>43213</v>
      </c>
      <c r="I874" s="8"/>
      <c r="J874" s="8"/>
      <c r="K874" s="8"/>
      <c r="L874" s="8"/>
      <c r="M874" s="8"/>
    </row>
    <row r="875" spans="1:13">
      <c r="A875" s="63" t="s">
        <v>1344</v>
      </c>
      <c r="B875" s="58">
        <v>25002291813</v>
      </c>
      <c r="C875" s="63" t="s">
        <v>1345</v>
      </c>
      <c r="D875" s="60">
        <v>35149047821</v>
      </c>
      <c r="E875" s="9"/>
      <c r="F875" s="25"/>
      <c r="G875" s="61"/>
      <c r="H875" s="67">
        <v>43213</v>
      </c>
      <c r="I875" s="8"/>
      <c r="J875" s="8"/>
      <c r="K875" s="8"/>
      <c r="L875" s="8"/>
      <c r="M875" s="8"/>
    </row>
    <row r="876" spans="1:13">
      <c r="A876" s="18" t="s">
        <v>1346</v>
      </c>
      <c r="B876" s="58">
        <v>41096640805</v>
      </c>
      <c r="C876" s="18"/>
      <c r="D876" s="60"/>
      <c r="E876" s="9"/>
      <c r="F876" s="25"/>
      <c r="G876" s="61"/>
      <c r="H876" s="67">
        <v>43213</v>
      </c>
      <c r="I876" s="8"/>
      <c r="J876" s="8"/>
      <c r="K876" s="8"/>
      <c r="L876" s="8"/>
      <c r="M876" s="8"/>
    </row>
    <row r="877" spans="1:13">
      <c r="A877" s="27" t="s">
        <v>1347</v>
      </c>
      <c r="B877" s="58"/>
      <c r="C877" s="27" t="s">
        <v>1348</v>
      </c>
      <c r="D877" s="60"/>
      <c r="E877" s="9"/>
      <c r="F877" s="25"/>
      <c r="G877" s="2"/>
      <c r="H877" s="67">
        <v>43213</v>
      </c>
      <c r="I877" s="8"/>
      <c r="J877" s="8"/>
      <c r="K877" s="8"/>
      <c r="L877" s="8"/>
      <c r="M877" s="8"/>
    </row>
    <row r="878" spans="1:13">
      <c r="A878" s="62" t="s">
        <v>1349</v>
      </c>
      <c r="B878" s="58">
        <v>7205116589</v>
      </c>
      <c r="C878" s="63" t="s">
        <v>1350</v>
      </c>
      <c r="D878" s="60">
        <v>6411739544</v>
      </c>
      <c r="E878" s="9"/>
      <c r="F878" s="25"/>
      <c r="G878" s="61"/>
      <c r="H878" s="9"/>
      <c r="I878" s="8"/>
      <c r="J878" s="8"/>
      <c r="K878" s="8"/>
      <c r="L878" s="8"/>
      <c r="M878" s="8"/>
    </row>
    <row r="879" spans="1:13">
      <c r="A879" s="62" t="s">
        <v>1351</v>
      </c>
      <c r="B879" s="58">
        <v>11856821803</v>
      </c>
      <c r="C879" s="63"/>
      <c r="D879" s="60"/>
      <c r="E879" s="9"/>
      <c r="F879" s="25"/>
      <c r="G879" s="61"/>
      <c r="H879" s="9"/>
      <c r="I879" s="8"/>
      <c r="J879" s="8"/>
      <c r="K879" s="8"/>
      <c r="L879" s="8"/>
      <c r="M879" s="8"/>
    </row>
    <row r="880" spans="1:13">
      <c r="A880" s="62" t="s">
        <v>1352</v>
      </c>
      <c r="B880" s="58">
        <v>82084602491</v>
      </c>
      <c r="C880" s="63" t="s">
        <v>1353</v>
      </c>
      <c r="D880" s="60">
        <v>74937758420</v>
      </c>
      <c r="E880" s="9">
        <v>292</v>
      </c>
      <c r="F880" s="25">
        <v>43168</v>
      </c>
      <c r="G880" s="9" t="s">
        <v>13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1354</v>
      </c>
      <c r="B881" s="58">
        <v>2741693471</v>
      </c>
      <c r="C881" s="63"/>
      <c r="D881" s="60"/>
      <c r="E881" s="9"/>
      <c r="F881" s="25"/>
      <c r="G881" s="61"/>
      <c r="H881" s="9"/>
      <c r="I881" s="8"/>
      <c r="J881" s="8"/>
      <c r="K881" s="8"/>
      <c r="L881" s="8"/>
      <c r="M881" s="8"/>
    </row>
    <row r="882" spans="1:13">
      <c r="A882" s="62" t="s">
        <v>1355</v>
      </c>
      <c r="B882" s="58">
        <v>85446564804</v>
      </c>
      <c r="C882" s="63"/>
      <c r="D882" s="60"/>
      <c r="E882" s="9"/>
      <c r="F882" s="25"/>
      <c r="G882" s="61"/>
      <c r="H882" s="9"/>
      <c r="I882" s="8"/>
      <c r="J882" s="8"/>
      <c r="K882" s="8"/>
      <c r="L882" s="8"/>
      <c r="M882" s="8"/>
    </row>
    <row r="883" spans="1:13">
      <c r="A883" s="62" t="s">
        <v>1356</v>
      </c>
      <c r="B883" s="58">
        <v>36953148349</v>
      </c>
      <c r="C883" s="63"/>
      <c r="D883" s="60"/>
      <c r="E883" s="9">
        <v>1106</v>
      </c>
      <c r="F883" s="25">
        <v>42965</v>
      </c>
      <c r="G883" s="61" t="s">
        <v>13</v>
      </c>
      <c r="H883" s="9"/>
      <c r="I883" s="8"/>
      <c r="J883" s="8"/>
      <c r="K883" s="8"/>
      <c r="L883" s="8"/>
      <c r="M883" s="8"/>
    </row>
    <row r="884" spans="1:13">
      <c r="A884" s="13" t="s">
        <v>1357</v>
      </c>
      <c r="B884" s="58">
        <v>8984480851</v>
      </c>
      <c r="C884" s="59"/>
      <c r="D884" s="60"/>
      <c r="E884" s="9">
        <v>1128</v>
      </c>
      <c r="F884" s="25">
        <v>42972</v>
      </c>
      <c r="G884" s="61" t="s">
        <v>13</v>
      </c>
      <c r="H884" s="9"/>
      <c r="I884" s="8"/>
      <c r="J884" s="8"/>
      <c r="K884" s="8"/>
      <c r="L884" s="8"/>
      <c r="M884" s="8"/>
    </row>
    <row r="885" spans="1:13">
      <c r="A885" s="62" t="s">
        <v>1358</v>
      </c>
      <c r="B885" s="58">
        <v>34169264800</v>
      </c>
      <c r="C885" s="63"/>
      <c r="D885" s="60"/>
      <c r="E885" s="9"/>
      <c r="F885" s="25"/>
      <c r="G885" s="61"/>
      <c r="H885" s="9"/>
      <c r="I885" s="8"/>
      <c r="J885" s="8"/>
      <c r="K885" s="8"/>
      <c r="L885" s="8"/>
      <c r="M885" s="8"/>
    </row>
    <row r="886" spans="1:13">
      <c r="A886" s="13" t="s">
        <v>1359</v>
      </c>
      <c r="B886" s="58">
        <v>63234904553</v>
      </c>
      <c r="C886" s="59" t="s">
        <v>1360</v>
      </c>
      <c r="D886" s="60">
        <v>1193464870</v>
      </c>
      <c r="E886" s="9">
        <v>1128</v>
      </c>
      <c r="F886" s="25">
        <v>42972</v>
      </c>
      <c r="G886" s="61" t="s">
        <v>13</v>
      </c>
      <c r="H886" s="9"/>
      <c r="I886" s="8"/>
      <c r="J886" s="8"/>
      <c r="K886" s="8"/>
      <c r="L886" s="8"/>
      <c r="M886" s="8"/>
    </row>
    <row r="887" spans="1:13">
      <c r="A887" s="62" t="s">
        <v>1361</v>
      </c>
      <c r="B887" s="58">
        <v>39165206878</v>
      </c>
      <c r="C887" s="63"/>
      <c r="D887" s="60"/>
      <c r="E887" s="9"/>
      <c r="F887" s="25"/>
      <c r="G887" s="61"/>
      <c r="H887" s="9"/>
      <c r="I887" s="8"/>
      <c r="J887" s="8"/>
      <c r="K887" s="8"/>
      <c r="L887" s="8"/>
      <c r="M887" s="8"/>
    </row>
    <row r="888" spans="1:13">
      <c r="A888" s="13" t="s">
        <v>1362</v>
      </c>
      <c r="B888" s="58">
        <v>41235380530</v>
      </c>
      <c r="C888" s="59"/>
      <c r="D888" s="60"/>
      <c r="E888" s="9"/>
      <c r="F888" s="25"/>
      <c r="G888" s="61"/>
      <c r="H888" s="9"/>
      <c r="I888" s="8"/>
      <c r="J888" s="8"/>
      <c r="K888" s="8"/>
      <c r="L888" s="8"/>
      <c r="M888" s="8"/>
    </row>
    <row r="889" spans="1:13">
      <c r="A889" s="18" t="s">
        <v>1363</v>
      </c>
      <c r="B889" s="58">
        <v>30967680808</v>
      </c>
      <c r="C889" s="18" t="s">
        <v>1364</v>
      </c>
      <c r="D889" s="60"/>
      <c r="E889" s="9"/>
      <c r="F889" s="25"/>
      <c r="G889" s="61"/>
      <c r="H889" s="9"/>
      <c r="I889" s="8"/>
      <c r="J889" s="8"/>
      <c r="K889" s="8"/>
      <c r="L889" s="8"/>
      <c r="M889" s="8"/>
    </row>
    <row r="890" spans="1:13">
      <c r="A890" s="62" t="s">
        <v>1365</v>
      </c>
      <c r="B890" s="58">
        <v>1791061397</v>
      </c>
      <c r="C890" s="63"/>
      <c r="D890" s="60"/>
      <c r="E890" s="9">
        <v>810</v>
      </c>
      <c r="F890" s="25">
        <v>42915</v>
      </c>
      <c r="G890" s="61" t="s">
        <v>13</v>
      </c>
      <c r="H890" s="9"/>
      <c r="I890" s="8"/>
      <c r="J890" s="8"/>
      <c r="K890" s="8"/>
      <c r="L890" s="9" t="s">
        <v>138</v>
      </c>
      <c r="M890" s="8"/>
    </row>
    <row r="891" spans="1:13">
      <c r="A891" s="15" t="s">
        <v>1366</v>
      </c>
      <c r="B891" s="58">
        <v>3570397696</v>
      </c>
      <c r="C891" s="63" t="s">
        <v>1367</v>
      </c>
      <c r="D891" s="60">
        <v>21892123835</v>
      </c>
      <c r="E891" s="9"/>
      <c r="F891" s="25"/>
      <c r="G891" s="61"/>
      <c r="H891" s="9"/>
      <c r="I891" s="8"/>
      <c r="J891" s="8"/>
      <c r="K891" s="8"/>
      <c r="L891" s="8"/>
      <c r="M891" s="8"/>
    </row>
    <row r="892" spans="1:13">
      <c r="A892" s="63" t="s">
        <v>1368</v>
      </c>
      <c r="B892" s="58">
        <v>17003156253</v>
      </c>
      <c r="C892" s="63"/>
      <c r="D892" s="60"/>
      <c r="E892" s="9"/>
      <c r="F892" s="25"/>
      <c r="G892" s="61"/>
      <c r="H892" s="9"/>
      <c r="I892" s="8"/>
      <c r="J892" s="8"/>
      <c r="K892" s="8"/>
      <c r="L892" s="8"/>
      <c r="M892" s="8"/>
    </row>
    <row r="893" spans="1:13">
      <c r="A893" s="15" t="s">
        <v>1369</v>
      </c>
      <c r="B893" s="58">
        <v>1170658547</v>
      </c>
      <c r="C893" s="63" t="s">
        <v>1370</v>
      </c>
      <c r="D893" s="60">
        <v>2695281560</v>
      </c>
      <c r="E893" s="9">
        <v>1824</v>
      </c>
      <c r="F893" s="25">
        <v>43091</v>
      </c>
      <c r="G893" s="61" t="s">
        <v>20</v>
      </c>
      <c r="H893" s="9"/>
      <c r="I893" s="8"/>
      <c r="J893" s="8"/>
      <c r="K893" s="8"/>
      <c r="L893" s="9">
        <v>1828</v>
      </c>
      <c r="M893" s="8"/>
    </row>
    <row r="894" spans="1:13">
      <c r="A894" s="62" t="s">
        <v>1371</v>
      </c>
      <c r="B894" s="58">
        <v>19592829802</v>
      </c>
      <c r="C894" s="63"/>
      <c r="D894" s="60"/>
      <c r="E894" s="9">
        <v>810</v>
      </c>
      <c r="F894" s="25">
        <v>42915</v>
      </c>
      <c r="G894" s="61" t="s">
        <v>13</v>
      </c>
      <c r="H894" s="9"/>
      <c r="I894" s="8"/>
      <c r="J894" s="8"/>
      <c r="K894" s="8"/>
      <c r="L894" s="9" t="s">
        <v>138</v>
      </c>
      <c r="M894" s="8"/>
    </row>
    <row r="895" spans="1:13">
      <c r="A895" s="62" t="s">
        <v>1372</v>
      </c>
      <c r="B895" s="58">
        <v>29927032811</v>
      </c>
      <c r="C895" s="63" t="s">
        <v>1373</v>
      </c>
      <c r="D895" s="60">
        <v>11960733842</v>
      </c>
      <c r="E895" s="9"/>
      <c r="F895" s="25"/>
      <c r="G895" s="61"/>
      <c r="H895" s="9"/>
      <c r="I895" s="8"/>
      <c r="J895" s="8"/>
      <c r="K895" s="8"/>
      <c r="L895" s="8"/>
      <c r="M895" s="8"/>
    </row>
    <row r="896" spans="1:13">
      <c r="A896" s="62" t="s">
        <v>1374</v>
      </c>
      <c r="B896" s="58">
        <v>6070581881</v>
      </c>
      <c r="C896" s="63"/>
      <c r="D896" s="60"/>
      <c r="E896" s="9"/>
      <c r="F896" s="25"/>
      <c r="G896" s="74"/>
      <c r="H896" s="9"/>
      <c r="I896" s="8"/>
      <c r="J896" s="8"/>
      <c r="K896" s="8"/>
      <c r="L896" s="8"/>
      <c r="M896" s="8"/>
    </row>
    <row r="897" spans="1:13">
      <c r="A897" s="15" t="s">
        <v>1375</v>
      </c>
      <c r="B897" s="58">
        <v>32545155870</v>
      </c>
      <c r="C897" s="63"/>
      <c r="D897" s="60"/>
      <c r="E897" s="9">
        <v>85</v>
      </c>
      <c r="F897" s="25">
        <v>43109</v>
      </c>
      <c r="G897" s="61" t="s">
        <v>13</v>
      </c>
      <c r="H897" s="25">
        <v>43151</v>
      </c>
      <c r="I897" s="8"/>
      <c r="J897" s="8"/>
      <c r="K897" s="8"/>
      <c r="L897" s="8"/>
      <c r="M897" s="8"/>
    </row>
    <row r="898" spans="1:13">
      <c r="A898" s="62" t="s">
        <v>1376</v>
      </c>
      <c r="B898" s="58">
        <v>24774574899</v>
      </c>
      <c r="C898" s="63"/>
      <c r="D898" s="60"/>
      <c r="E898" s="9">
        <v>292</v>
      </c>
      <c r="F898" s="25">
        <v>43168</v>
      </c>
      <c r="G898" s="61" t="s">
        <v>13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1377</v>
      </c>
      <c r="B899" s="58">
        <v>37064427877</v>
      </c>
      <c r="C899" s="59" t="s">
        <v>1378</v>
      </c>
      <c r="D899" s="60">
        <v>34881680854</v>
      </c>
      <c r="E899" s="9">
        <v>1128</v>
      </c>
      <c r="F899" s="25">
        <v>42972</v>
      </c>
      <c r="G899" s="61" t="s">
        <v>13</v>
      </c>
      <c r="H899" s="9"/>
      <c r="I899" s="8"/>
      <c r="J899" s="8"/>
      <c r="K899" s="8"/>
      <c r="L899" s="8"/>
      <c r="M899" s="8"/>
    </row>
    <row r="900" spans="1:13">
      <c r="A900" s="15" t="s">
        <v>1379</v>
      </c>
      <c r="B900" s="58">
        <v>34712023821</v>
      </c>
      <c r="C900" s="63" t="s">
        <v>1380</v>
      </c>
      <c r="D900" s="60">
        <v>80700918868</v>
      </c>
      <c r="E900" s="9">
        <v>117</v>
      </c>
      <c r="F900" s="25">
        <v>43117</v>
      </c>
      <c r="G900" s="61" t="s">
        <v>13</v>
      </c>
      <c r="H900" s="9"/>
      <c r="I900" s="8"/>
      <c r="J900" s="8"/>
      <c r="K900" s="8"/>
      <c r="L900" s="9" t="s">
        <v>170</v>
      </c>
      <c r="M900" s="8"/>
    </row>
    <row r="901" spans="1:13">
      <c r="A901" s="62" t="s">
        <v>1381</v>
      </c>
      <c r="B901" s="58">
        <v>26221278805</v>
      </c>
      <c r="C901" s="63"/>
      <c r="D901" s="60"/>
      <c r="E901" s="9">
        <v>810</v>
      </c>
      <c r="F901" s="25">
        <v>42915</v>
      </c>
      <c r="G901" s="61" t="s">
        <v>13</v>
      </c>
      <c r="H901" s="9"/>
      <c r="I901" s="8"/>
      <c r="J901" s="8"/>
      <c r="K901" s="8"/>
      <c r="L901" s="9" t="s">
        <v>138</v>
      </c>
      <c r="M901" s="8"/>
    </row>
    <row r="902" spans="1:13">
      <c r="A902" s="62" t="s">
        <v>1382</v>
      </c>
      <c r="B902" s="58">
        <v>31847688802</v>
      </c>
      <c r="C902" s="63"/>
      <c r="D902" s="60"/>
      <c r="E902" s="9">
        <v>527</v>
      </c>
      <c r="F902" s="25">
        <v>43210</v>
      </c>
      <c r="G902" s="61"/>
      <c r="H902" s="9"/>
      <c r="I902" s="8"/>
      <c r="J902" s="8"/>
      <c r="K902" s="8"/>
      <c r="L902" s="9">
        <v>528</v>
      </c>
      <c r="M902" s="8"/>
    </row>
    <row r="903" spans="1:13">
      <c r="A903" s="13" t="s">
        <v>1383</v>
      </c>
      <c r="B903" s="58">
        <v>21305591828</v>
      </c>
      <c r="C903" s="59"/>
      <c r="D903" s="60"/>
      <c r="E903" s="9">
        <v>1128</v>
      </c>
      <c r="F903" s="25">
        <v>42972</v>
      </c>
      <c r="G903" s="61" t="s">
        <v>13</v>
      </c>
      <c r="H903" s="9"/>
      <c r="I903" s="8"/>
      <c r="J903" s="8"/>
      <c r="K903" s="8"/>
      <c r="L903" s="8"/>
      <c r="M903" s="8"/>
    </row>
    <row r="904" spans="1:13">
      <c r="A904" s="63" t="s">
        <v>1384</v>
      </c>
      <c r="B904" s="58">
        <v>9170469865</v>
      </c>
      <c r="C904" s="63"/>
      <c r="D904" s="60"/>
      <c r="E904" s="9">
        <v>292</v>
      </c>
      <c r="F904" s="25">
        <v>43168</v>
      </c>
      <c r="G904" s="9" t="s">
        <v>13</v>
      </c>
      <c r="H904" s="9"/>
      <c r="I904" s="8"/>
      <c r="J904" s="8"/>
      <c r="K904" s="8"/>
      <c r="L904" s="9">
        <v>318</v>
      </c>
      <c r="M904" s="8"/>
    </row>
    <row r="905" spans="1:13">
      <c r="A905" s="62" t="s">
        <v>1385</v>
      </c>
      <c r="B905" s="58">
        <v>42517278865</v>
      </c>
      <c r="C905" s="63" t="s">
        <v>1386</v>
      </c>
      <c r="D905" s="60">
        <v>45677965863</v>
      </c>
      <c r="E905" s="9">
        <v>117</v>
      </c>
      <c r="F905" s="25">
        <v>43117</v>
      </c>
      <c r="G905" s="61" t="s">
        <v>13</v>
      </c>
      <c r="H905" s="9"/>
      <c r="I905" s="8"/>
      <c r="J905" s="8"/>
      <c r="K905" s="8"/>
      <c r="L905" s="9" t="s">
        <v>170</v>
      </c>
      <c r="M905" s="8"/>
    </row>
    <row r="906" spans="1:13">
      <c r="A906" s="18" t="s">
        <v>1387</v>
      </c>
      <c r="B906" s="58">
        <v>34053574897</v>
      </c>
      <c r="C906" s="8" t="s">
        <v>1388</v>
      </c>
      <c r="D906" s="60">
        <v>19272522889</v>
      </c>
      <c r="E906" s="9"/>
      <c r="F906" s="25"/>
      <c r="G906" s="61"/>
      <c r="H906" s="9"/>
      <c r="I906" s="8"/>
      <c r="J906" s="8"/>
      <c r="K906" s="8"/>
      <c r="L906" s="8"/>
      <c r="M906" s="8"/>
    </row>
    <row r="907" spans="1:13">
      <c r="A907" s="62" t="s">
        <v>1389</v>
      </c>
      <c r="B907" s="58">
        <v>50223550515</v>
      </c>
      <c r="C907" s="63"/>
      <c r="D907" s="60"/>
      <c r="E907" s="9">
        <v>1752</v>
      </c>
      <c r="F907" s="25">
        <v>43051</v>
      </c>
      <c r="G907" s="61" t="s">
        <v>13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1390</v>
      </c>
      <c r="B908" s="58">
        <v>26240083810</v>
      </c>
      <c r="C908" s="59"/>
      <c r="D908" s="60"/>
      <c r="E908" s="9">
        <v>1128</v>
      </c>
      <c r="F908" s="25">
        <v>42972</v>
      </c>
      <c r="G908" s="61" t="s">
        <v>13</v>
      </c>
      <c r="H908" s="9"/>
      <c r="I908" s="8"/>
      <c r="J908" s="8"/>
      <c r="K908" s="8"/>
      <c r="L908" s="8"/>
      <c r="M908" s="8"/>
    </row>
    <row r="909" spans="1:13">
      <c r="A909" s="62" t="s">
        <v>1391</v>
      </c>
      <c r="B909" s="58">
        <v>32391122802</v>
      </c>
      <c r="C909" s="63" t="s">
        <v>1392</v>
      </c>
      <c r="D909" s="60">
        <v>21653624825</v>
      </c>
      <c r="E909" s="9">
        <v>262</v>
      </c>
      <c r="F909" s="25">
        <v>43160</v>
      </c>
      <c r="G909" s="9" t="s">
        <v>13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7" t="s">
        <v>1393</v>
      </c>
      <c r="B910" s="58"/>
      <c r="C910" s="27" t="s">
        <v>1394</v>
      </c>
      <c r="D910" s="60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62" t="s">
        <v>1395</v>
      </c>
      <c r="B911" s="58">
        <v>39641812858</v>
      </c>
      <c r="C911" s="63" t="s">
        <v>1396</v>
      </c>
      <c r="D911" s="60">
        <v>23425114859</v>
      </c>
      <c r="E911" s="9">
        <v>262</v>
      </c>
      <c r="F911" s="25">
        <v>43160</v>
      </c>
      <c r="G911" s="61" t="s">
        <v>13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1397</v>
      </c>
      <c r="B912" s="58">
        <v>7664892481</v>
      </c>
      <c r="C912" s="63" t="s">
        <v>1398</v>
      </c>
      <c r="D912" s="60">
        <v>37120937804</v>
      </c>
      <c r="E912" s="9">
        <v>1570</v>
      </c>
      <c r="F912" s="25">
        <v>43077</v>
      </c>
      <c r="G912" s="61" t="s">
        <v>13</v>
      </c>
      <c r="H912" s="9"/>
      <c r="I912" s="8"/>
      <c r="J912" s="8"/>
      <c r="K912" s="8"/>
      <c r="L912" s="8"/>
      <c r="M912" s="8"/>
    </row>
    <row r="913" spans="1:13">
      <c r="A913" s="62" t="s">
        <v>1399</v>
      </c>
      <c r="B913" s="58">
        <v>40970766807</v>
      </c>
      <c r="C913" s="63"/>
      <c r="D913" s="60"/>
      <c r="E913" s="9">
        <v>1824</v>
      </c>
      <c r="F913" s="25">
        <v>43091</v>
      </c>
      <c r="G913" s="61" t="s">
        <v>13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1400</v>
      </c>
      <c r="B914" s="58">
        <v>35535310883</v>
      </c>
      <c r="C914" s="63" t="s">
        <v>1401</v>
      </c>
      <c r="D914" s="60">
        <v>2200555563</v>
      </c>
      <c r="E914" s="9"/>
      <c r="F914" s="25"/>
      <c r="G914" s="61"/>
      <c r="H914" s="9"/>
      <c r="I914" s="8"/>
      <c r="J914" s="8"/>
      <c r="K914" s="8"/>
      <c r="L914" s="8"/>
      <c r="M914" s="8"/>
    </row>
    <row r="915" spans="1:13">
      <c r="A915" s="14" t="s">
        <v>1402</v>
      </c>
      <c r="B915" s="58">
        <v>40993785867</v>
      </c>
      <c r="C915" s="63" t="s">
        <v>1403</v>
      </c>
      <c r="D915" s="60">
        <v>39284894883</v>
      </c>
      <c r="E915" s="9">
        <v>262</v>
      </c>
      <c r="F915" s="25">
        <v>43160</v>
      </c>
      <c r="G915" s="61" t="s">
        <v>13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62" t="s">
        <v>1404</v>
      </c>
      <c r="B916" s="58">
        <v>31654455830</v>
      </c>
      <c r="C916" s="63"/>
      <c r="D916" s="60"/>
      <c r="E916" s="9">
        <v>1752</v>
      </c>
      <c r="F916" s="25">
        <v>43051</v>
      </c>
      <c r="G916" s="61" t="s">
        <v>13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1405</v>
      </c>
      <c r="B917" s="58">
        <v>22506327827</v>
      </c>
      <c r="C917" s="63"/>
      <c r="D917" s="60"/>
      <c r="E917" s="9">
        <v>262</v>
      </c>
      <c r="F917" s="25">
        <v>43160</v>
      </c>
      <c r="G917" s="61" t="s">
        <v>13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62" t="s">
        <v>1406</v>
      </c>
      <c r="B918" s="58">
        <v>38671079805</v>
      </c>
      <c r="C918" s="63"/>
      <c r="D918" s="60"/>
      <c r="E918" s="9">
        <v>608</v>
      </c>
      <c r="F918" s="25">
        <v>43012</v>
      </c>
      <c r="G918" s="61" t="s">
        <v>13</v>
      </c>
      <c r="H918" s="9"/>
      <c r="I918" s="8"/>
      <c r="J918" s="8"/>
      <c r="K918" s="8"/>
      <c r="L918" s="8"/>
      <c r="M918" s="8"/>
    </row>
    <row r="919" spans="1:13">
      <c r="A919" s="62" t="s">
        <v>1407</v>
      </c>
      <c r="B919" s="58">
        <v>4576049488</v>
      </c>
      <c r="C919" s="63"/>
      <c r="D919" s="60"/>
      <c r="E919" s="9">
        <v>1752</v>
      </c>
      <c r="F919" s="25">
        <v>43051</v>
      </c>
      <c r="G919" s="61" t="s">
        <v>13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1408</v>
      </c>
      <c r="B920" s="58">
        <v>39485589816</v>
      </c>
      <c r="C920" s="63" t="s">
        <v>1409</v>
      </c>
      <c r="D920" s="60">
        <v>6884648589</v>
      </c>
      <c r="E920" s="9">
        <v>85</v>
      </c>
      <c r="F920" s="25">
        <v>43109</v>
      </c>
      <c r="G920" s="61" t="s">
        <v>13</v>
      </c>
      <c r="H920" s="25">
        <v>43151</v>
      </c>
      <c r="I920" s="8"/>
      <c r="J920" s="8"/>
      <c r="K920" s="8"/>
      <c r="L920" s="8"/>
      <c r="M920" s="8"/>
    </row>
    <row r="921" spans="1:13">
      <c r="A921" s="62" t="s">
        <v>1410</v>
      </c>
      <c r="B921" s="58">
        <v>30969091800</v>
      </c>
      <c r="C921" s="63"/>
      <c r="D921" s="60"/>
      <c r="E921" s="9"/>
      <c r="F921" s="25"/>
      <c r="G921" s="61"/>
      <c r="H921" s="9"/>
      <c r="I921" s="8"/>
      <c r="J921" s="8"/>
      <c r="K921" s="8"/>
      <c r="L921" s="8"/>
      <c r="M921" s="8"/>
    </row>
    <row r="922" spans="1:13">
      <c r="A922" s="15" t="s">
        <v>1411</v>
      </c>
      <c r="B922" s="58">
        <v>39454700804</v>
      </c>
      <c r="C922" s="63" t="s">
        <v>1412</v>
      </c>
      <c r="D922" s="60">
        <v>41093877871</v>
      </c>
      <c r="E922" s="9">
        <v>443</v>
      </c>
      <c r="F922" s="25">
        <v>43188</v>
      </c>
      <c r="G922" s="61"/>
      <c r="H922" s="9"/>
      <c r="I922" s="8"/>
      <c r="J922" s="8"/>
      <c r="K922" s="8"/>
      <c r="L922" s="8"/>
      <c r="M922" s="8"/>
    </row>
    <row r="923" spans="1:13">
      <c r="A923" s="62" t="s">
        <v>1413</v>
      </c>
      <c r="B923" s="58">
        <v>23479536808</v>
      </c>
      <c r="C923" s="63"/>
      <c r="D923" s="60"/>
      <c r="E923" s="9">
        <v>443</v>
      </c>
      <c r="F923" s="25">
        <v>43188</v>
      </c>
      <c r="G923" s="61"/>
      <c r="H923" s="9"/>
      <c r="I923" s="8"/>
      <c r="J923" s="8"/>
      <c r="K923" s="8"/>
      <c r="L923" s="8"/>
      <c r="M923" s="8"/>
    </row>
    <row r="924" spans="1:13">
      <c r="A924" s="18" t="s">
        <v>1414</v>
      </c>
      <c r="B924" s="58">
        <v>33045725899</v>
      </c>
      <c r="C924" s="18"/>
      <c r="D924" s="60"/>
      <c r="E924" s="9"/>
      <c r="F924" s="25"/>
      <c r="G924" s="61"/>
      <c r="H924" s="9"/>
      <c r="I924" s="8"/>
      <c r="J924" s="8"/>
      <c r="K924" s="8"/>
      <c r="L924" s="8"/>
      <c r="M924" s="8"/>
    </row>
    <row r="925" spans="1:13">
      <c r="A925" s="62" t="s">
        <v>1415</v>
      </c>
      <c r="B925" s="58">
        <v>19681993810</v>
      </c>
      <c r="C925" s="63" t="s">
        <v>1416</v>
      </c>
      <c r="D925" s="60">
        <v>22451795875</v>
      </c>
      <c r="E925" s="9"/>
      <c r="F925" s="25"/>
      <c r="G925" s="61"/>
      <c r="H925" s="9"/>
      <c r="I925" s="8"/>
      <c r="J925" s="8"/>
      <c r="K925" s="8"/>
      <c r="L925" s="8"/>
      <c r="M925" s="8"/>
    </row>
    <row r="926" spans="1:13">
      <c r="A926" s="62" t="s">
        <v>1417</v>
      </c>
      <c r="B926" s="58">
        <v>22740299893</v>
      </c>
      <c r="C926" s="63"/>
      <c r="D926" s="60"/>
      <c r="E926" s="9">
        <v>810</v>
      </c>
      <c r="F926" s="25">
        <v>42915</v>
      </c>
      <c r="G926" s="61" t="s">
        <v>13</v>
      </c>
      <c r="H926" s="9"/>
      <c r="I926" s="8"/>
      <c r="J926" s="8"/>
      <c r="K926" s="8"/>
      <c r="L926" s="9" t="s">
        <v>138</v>
      </c>
      <c r="M926" s="8"/>
    </row>
    <row r="927" spans="1:13">
      <c r="A927" s="62" t="s">
        <v>1418</v>
      </c>
      <c r="B927" s="58">
        <v>37846315846</v>
      </c>
      <c r="C927" s="63"/>
      <c r="D927" s="60"/>
      <c r="E927" s="9"/>
      <c r="F927" s="25"/>
      <c r="G927" s="61"/>
      <c r="H927" s="9"/>
      <c r="I927" s="8"/>
      <c r="J927" s="8"/>
      <c r="K927" s="8"/>
      <c r="L927" s="8"/>
      <c r="M927" s="8"/>
    </row>
    <row r="928" spans="1:13">
      <c r="A928" s="15" t="s">
        <v>1419</v>
      </c>
      <c r="B928" s="58">
        <v>32424255881</v>
      </c>
      <c r="C928" s="63" t="s">
        <v>1420</v>
      </c>
      <c r="D928" s="60">
        <v>4615874596</v>
      </c>
      <c r="E928" s="9">
        <v>229</v>
      </c>
      <c r="F928" s="25">
        <v>43151</v>
      </c>
      <c r="G928" s="61" t="s">
        <v>13</v>
      </c>
      <c r="H928" s="9"/>
      <c r="I928" s="8"/>
      <c r="J928" s="8"/>
      <c r="K928" s="8"/>
      <c r="L928" s="9">
        <v>232</v>
      </c>
      <c r="M928" s="8"/>
    </row>
    <row r="929" spans="1:13">
      <c r="A929" s="62" t="s">
        <v>1421</v>
      </c>
      <c r="B929" s="58">
        <v>12982409801</v>
      </c>
      <c r="C929" s="63"/>
      <c r="D929" s="60"/>
      <c r="E929" s="9">
        <v>1824</v>
      </c>
      <c r="F929" s="25">
        <v>43091</v>
      </c>
      <c r="G929" s="61" t="s">
        <v>13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1422</v>
      </c>
      <c r="B930" s="58">
        <v>77663551591</v>
      </c>
      <c r="C930" s="63" t="s">
        <v>1423</v>
      </c>
      <c r="D930" s="60">
        <v>93914822520</v>
      </c>
      <c r="E930" s="9">
        <v>527</v>
      </c>
      <c r="F930" s="25">
        <v>43210</v>
      </c>
      <c r="G930" s="61"/>
      <c r="H930" s="9"/>
      <c r="I930" s="8"/>
      <c r="J930" s="8"/>
      <c r="K930" s="8"/>
      <c r="L930" s="9">
        <v>528</v>
      </c>
      <c r="M930" s="8"/>
    </row>
    <row r="931" spans="1:13">
      <c r="A931" s="62" t="s">
        <v>1424</v>
      </c>
      <c r="B931" s="58">
        <v>30768670837</v>
      </c>
      <c r="C931" s="63" t="s">
        <v>1425</v>
      </c>
      <c r="D931" s="60">
        <v>17858599860</v>
      </c>
      <c r="E931" s="9">
        <v>810</v>
      </c>
      <c r="F931" s="25">
        <v>42915</v>
      </c>
      <c r="G931" s="61" t="s">
        <v>13</v>
      </c>
      <c r="H931" s="9"/>
      <c r="I931" s="8"/>
      <c r="J931" s="8"/>
      <c r="K931" s="8"/>
      <c r="L931" s="9" t="s">
        <v>138</v>
      </c>
      <c r="M931" s="8"/>
    </row>
    <row r="932" spans="1:13">
      <c r="A932" s="62" t="s">
        <v>1426</v>
      </c>
      <c r="B932" s="58">
        <v>40801562864</v>
      </c>
      <c r="C932" s="63" t="s">
        <v>1427</v>
      </c>
      <c r="D932" s="60">
        <v>40630792879</v>
      </c>
      <c r="E932" s="9">
        <v>117</v>
      </c>
      <c r="F932" s="25">
        <v>43117</v>
      </c>
      <c r="G932" s="61" t="s">
        <v>20</v>
      </c>
      <c r="H932" s="9"/>
      <c r="I932" s="8"/>
      <c r="J932" s="8"/>
      <c r="K932" s="8"/>
      <c r="L932" s="9" t="s">
        <v>170</v>
      </c>
      <c r="M932" s="8"/>
    </row>
    <row r="933" spans="1:13">
      <c r="A933" s="62" t="s">
        <v>1428</v>
      </c>
      <c r="B933" s="58">
        <v>19861243801</v>
      </c>
      <c r="C933" s="63"/>
      <c r="D933" s="60"/>
      <c r="E933" s="9">
        <v>1824</v>
      </c>
      <c r="F933" s="25">
        <v>43091</v>
      </c>
      <c r="G933" s="61" t="s">
        <v>13</v>
      </c>
      <c r="H933" s="9"/>
      <c r="I933" s="8"/>
      <c r="J933" s="8"/>
      <c r="K933" s="8"/>
      <c r="L933" s="9">
        <v>1828</v>
      </c>
      <c r="M933" s="8"/>
    </row>
    <row r="934" spans="1:13">
      <c r="A934" s="62" t="s">
        <v>1429</v>
      </c>
      <c r="B934" s="58">
        <v>11579058892</v>
      </c>
      <c r="C934" s="63"/>
      <c r="D934" s="60"/>
      <c r="E934" s="9">
        <v>292</v>
      </c>
      <c r="F934" s="25">
        <v>43168</v>
      </c>
      <c r="G934" s="9" t="s">
        <v>13</v>
      </c>
      <c r="H934" s="9"/>
      <c r="I934" s="8"/>
      <c r="J934" s="8"/>
      <c r="K934" s="8"/>
      <c r="L934" s="9">
        <v>318</v>
      </c>
      <c r="M934" s="8"/>
    </row>
    <row r="935" spans="1:13">
      <c r="A935" s="63" t="s">
        <v>1430</v>
      </c>
      <c r="B935" s="58">
        <v>41671137833</v>
      </c>
      <c r="C935" s="63"/>
      <c r="D935" s="60"/>
      <c r="E935" s="9"/>
      <c r="F935" s="25"/>
      <c r="G935" s="61"/>
      <c r="H935" s="9"/>
      <c r="I935" s="8"/>
      <c r="J935" s="8"/>
      <c r="K935" s="8"/>
      <c r="L935" s="8"/>
      <c r="M935" s="8"/>
    </row>
    <row r="936" spans="1:13">
      <c r="A936" s="62" t="s">
        <v>1431</v>
      </c>
      <c r="B936" s="58">
        <v>33897782847</v>
      </c>
      <c r="C936" s="63" t="s">
        <v>1432</v>
      </c>
      <c r="D936" s="60">
        <v>22207136876</v>
      </c>
      <c r="E936" s="9">
        <v>1267</v>
      </c>
      <c r="F936" s="25">
        <v>42998</v>
      </c>
      <c r="G936" s="61" t="s">
        <v>13</v>
      </c>
      <c r="H936" s="9"/>
      <c r="I936" s="8"/>
      <c r="J936" s="8"/>
      <c r="K936" s="8"/>
      <c r="L936" s="8"/>
      <c r="M936" s="8"/>
    </row>
    <row r="937" spans="1:13">
      <c r="A937" s="63" t="s">
        <v>1433</v>
      </c>
      <c r="B937" s="58">
        <v>31219124885</v>
      </c>
      <c r="C937" s="63" t="s">
        <v>1434</v>
      </c>
      <c r="D937" s="60">
        <v>53808967315</v>
      </c>
      <c r="E937" s="9">
        <v>292</v>
      </c>
      <c r="F937" s="25">
        <v>43168</v>
      </c>
      <c r="G937" s="61" t="s">
        <v>13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1435</v>
      </c>
      <c r="B938" s="58">
        <v>32332935851</v>
      </c>
      <c r="C938" s="18" t="s">
        <v>1436</v>
      </c>
      <c r="D938" s="60">
        <v>33002112801</v>
      </c>
      <c r="E938" s="9"/>
      <c r="F938" s="25"/>
      <c r="G938" s="61"/>
      <c r="H938" s="9"/>
      <c r="I938" s="8"/>
      <c r="J938" s="8"/>
      <c r="K938" s="8"/>
      <c r="L938" s="8"/>
      <c r="M938" s="8"/>
    </row>
    <row r="939" spans="1:13">
      <c r="A939" s="62" t="s">
        <v>1437</v>
      </c>
      <c r="B939" s="58">
        <v>22797861841</v>
      </c>
      <c r="C939" s="63"/>
      <c r="D939" s="60"/>
      <c r="E939" s="9"/>
      <c r="F939" s="25"/>
      <c r="G939" s="61"/>
      <c r="H939" s="9"/>
      <c r="I939" s="8"/>
      <c r="J939" s="8"/>
      <c r="K939" s="8"/>
      <c r="L939" s="8"/>
      <c r="M939" s="8"/>
    </row>
    <row r="940" spans="1:13">
      <c r="A940" s="48" t="s">
        <v>1438</v>
      </c>
      <c r="B940" s="71">
        <v>35004628807</v>
      </c>
      <c r="C940" s="72"/>
      <c r="D940" s="73"/>
      <c r="E940" s="45">
        <v>117</v>
      </c>
      <c r="F940" s="46">
        <v>43117</v>
      </c>
      <c r="G940" s="74" t="s">
        <v>28</v>
      </c>
      <c r="H940" s="45"/>
      <c r="I940" s="47"/>
      <c r="J940" s="47"/>
      <c r="K940" s="47"/>
      <c r="L940" s="9" t="s">
        <v>170</v>
      </c>
      <c r="M940" s="47"/>
    </row>
    <row r="941" spans="1:13">
      <c r="A941" s="62" t="s">
        <v>1439</v>
      </c>
      <c r="B941" s="58">
        <v>35124692804</v>
      </c>
      <c r="C941" s="63" t="s">
        <v>1440</v>
      </c>
      <c r="D941" s="60">
        <v>17091274814</v>
      </c>
      <c r="E941" s="9">
        <v>262</v>
      </c>
      <c r="F941" s="25">
        <v>43160</v>
      </c>
      <c r="G941" s="61" t="s">
        <v>13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62" t="s">
        <v>1441</v>
      </c>
      <c r="B942" s="58">
        <v>32643126890</v>
      </c>
      <c r="C942" s="63"/>
      <c r="D942" s="60"/>
      <c r="E942" s="9"/>
      <c r="F942" s="25"/>
      <c r="G942" s="61"/>
      <c r="H942" s="9"/>
      <c r="I942" s="8"/>
      <c r="J942" s="8"/>
      <c r="K942" s="8"/>
      <c r="L942" s="8"/>
      <c r="M942" s="8"/>
    </row>
    <row r="943" spans="1:13">
      <c r="A943" s="18" t="s">
        <v>1442</v>
      </c>
      <c r="B943" s="58">
        <v>22581631880</v>
      </c>
      <c r="C943" s="18"/>
      <c r="D943" s="60"/>
      <c r="E943" s="9"/>
      <c r="F943" s="25"/>
      <c r="G943" s="61"/>
      <c r="H943" s="9"/>
      <c r="I943" s="8"/>
      <c r="J943" s="8"/>
      <c r="K943" s="8"/>
      <c r="L943" s="8"/>
      <c r="M943" s="8"/>
    </row>
    <row r="944" spans="1:13">
      <c r="A944" s="63" t="s">
        <v>1443</v>
      </c>
      <c r="B944" s="58">
        <v>35271393895</v>
      </c>
      <c r="C944" s="63" t="s">
        <v>1444</v>
      </c>
      <c r="D944" s="60">
        <v>34728254801</v>
      </c>
      <c r="E944" s="9"/>
      <c r="F944" s="25"/>
      <c r="G944" s="61"/>
      <c r="H944" s="9"/>
      <c r="I944" s="8"/>
      <c r="J944" s="8"/>
      <c r="K944" s="8"/>
      <c r="L944" s="8"/>
      <c r="M944" s="8"/>
    </row>
    <row r="945" spans="1:13">
      <c r="A945" s="13" t="s">
        <v>1445</v>
      </c>
      <c r="B945" s="58">
        <v>38306850840</v>
      </c>
      <c r="C945" s="59"/>
      <c r="D945" s="60"/>
      <c r="E945" s="9">
        <v>1128</v>
      </c>
      <c r="F945" s="25">
        <v>42972</v>
      </c>
      <c r="G945" s="61" t="s">
        <v>13</v>
      </c>
      <c r="H945" s="9"/>
      <c r="I945" s="8"/>
      <c r="J945" s="8"/>
      <c r="K945" s="8"/>
      <c r="L945" s="8"/>
      <c r="M945" s="8"/>
    </row>
    <row r="946" spans="1:13">
      <c r="A946" s="15" t="s">
        <v>1446</v>
      </c>
      <c r="B946" s="58">
        <v>8902185877</v>
      </c>
      <c r="C946" s="63"/>
      <c r="D946" s="60"/>
      <c r="E946" s="9">
        <v>563</v>
      </c>
      <c r="F946" s="25">
        <v>43217</v>
      </c>
      <c r="G946" s="61"/>
      <c r="H946" s="9"/>
      <c r="I946" s="8"/>
      <c r="J946" s="8"/>
      <c r="K946" s="8"/>
      <c r="L946" s="9" t="s">
        <v>299</v>
      </c>
      <c r="M946" s="8"/>
    </row>
    <row r="947" spans="1:13">
      <c r="A947" s="62" t="s">
        <v>1447</v>
      </c>
      <c r="B947" s="58">
        <v>899199399</v>
      </c>
      <c r="C947" s="63" t="s">
        <v>1448</v>
      </c>
      <c r="D947" s="60">
        <v>3617423396</v>
      </c>
      <c r="E947" s="9"/>
      <c r="F947" s="25"/>
      <c r="G947" s="61"/>
      <c r="H947" s="9"/>
      <c r="I947" s="8"/>
      <c r="J947" s="8"/>
      <c r="K947" s="8"/>
      <c r="L947" s="8"/>
      <c r="M947" s="8"/>
    </row>
    <row r="948" spans="1:13">
      <c r="A948" s="62" t="s">
        <v>1449</v>
      </c>
      <c r="B948" s="58">
        <v>34965038827</v>
      </c>
      <c r="C948" s="63"/>
      <c r="D948" s="60"/>
      <c r="E948" s="9">
        <v>810</v>
      </c>
      <c r="F948" s="25">
        <v>42915</v>
      </c>
      <c r="G948" s="61" t="s">
        <v>13</v>
      </c>
      <c r="H948" s="9"/>
      <c r="I948" s="8"/>
      <c r="J948" s="8"/>
      <c r="K948" s="8"/>
      <c r="L948" s="9" t="s">
        <v>138</v>
      </c>
      <c r="M948" s="8"/>
    </row>
    <row r="949" spans="1:13">
      <c r="A949" s="15" t="s">
        <v>1450</v>
      </c>
      <c r="B949" s="58">
        <v>32560904861</v>
      </c>
      <c r="C949" s="63"/>
      <c r="D949" s="60"/>
      <c r="E949" s="9">
        <v>573</v>
      </c>
      <c r="F949" s="25">
        <v>43224</v>
      </c>
      <c r="G949" s="61"/>
      <c r="H949" s="9"/>
      <c r="I949" s="8"/>
      <c r="J949" s="8"/>
      <c r="K949" s="8"/>
      <c r="L949" s="8"/>
      <c r="M949" s="8"/>
    </row>
    <row r="950" spans="1:13">
      <c r="A950" s="62" t="s">
        <v>1451</v>
      </c>
      <c r="B950" s="58">
        <v>17655715882</v>
      </c>
      <c r="C950" s="63"/>
      <c r="D950" s="60"/>
      <c r="E950" s="9">
        <v>1214</v>
      </c>
      <c r="F950" s="25">
        <v>42989</v>
      </c>
      <c r="G950" s="61" t="s">
        <v>13</v>
      </c>
      <c r="H950" s="9"/>
      <c r="I950" s="8"/>
      <c r="J950" s="8"/>
      <c r="K950" s="8"/>
      <c r="L950" s="8"/>
      <c r="M950" s="8"/>
    </row>
    <row r="951" spans="1:13">
      <c r="A951" s="15" t="s">
        <v>1452</v>
      </c>
      <c r="B951" s="58">
        <v>42403523801</v>
      </c>
      <c r="C951" s="63"/>
      <c r="D951" s="60"/>
      <c r="E951" s="9">
        <v>117</v>
      </c>
      <c r="F951" s="25">
        <v>43117</v>
      </c>
      <c r="G951" s="61" t="s">
        <v>20</v>
      </c>
      <c r="H951" s="9"/>
      <c r="I951" s="8"/>
      <c r="J951" s="8"/>
      <c r="K951" s="8"/>
      <c r="L951" s="9" t="s">
        <v>170</v>
      </c>
      <c r="M951" s="8"/>
    </row>
    <row r="952" spans="1:13">
      <c r="A952" s="15" t="s">
        <v>1453</v>
      </c>
      <c r="B952" s="58">
        <v>5586324407</v>
      </c>
      <c r="C952" s="63"/>
      <c r="D952" s="60"/>
      <c r="E952" s="9">
        <v>85</v>
      </c>
      <c r="F952" s="25">
        <v>43109</v>
      </c>
      <c r="G952" s="61" t="s">
        <v>13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1454</v>
      </c>
      <c r="B953" s="58">
        <v>14776051850</v>
      </c>
      <c r="C953" s="63"/>
      <c r="D953" s="60"/>
      <c r="E953" s="9">
        <v>1824</v>
      </c>
      <c r="F953" s="25">
        <v>43091</v>
      </c>
      <c r="G953" s="61" t="s">
        <v>13</v>
      </c>
      <c r="H953" s="9"/>
      <c r="I953" s="8"/>
      <c r="J953" s="8"/>
      <c r="K953" s="8"/>
      <c r="L953" s="9">
        <v>1828</v>
      </c>
      <c r="M953" s="8"/>
    </row>
    <row r="954" spans="1:13">
      <c r="A954" s="62" t="s">
        <v>1455</v>
      </c>
      <c r="B954" s="58">
        <v>33176089864</v>
      </c>
      <c r="C954" s="63"/>
      <c r="D954" s="60"/>
      <c r="E954" s="9">
        <v>1570</v>
      </c>
      <c r="F954" s="25">
        <v>43055</v>
      </c>
      <c r="G954" s="61" t="s">
        <v>13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62" t="s">
        <v>1456</v>
      </c>
      <c r="B955" s="58">
        <v>19584308890</v>
      </c>
      <c r="C955" s="63" t="s">
        <v>1457</v>
      </c>
      <c r="D955" s="60">
        <v>42081262487</v>
      </c>
      <c r="E955" s="9">
        <v>262</v>
      </c>
      <c r="F955" s="25">
        <v>43160</v>
      </c>
      <c r="G955" s="61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62" t="s">
        <v>1458</v>
      </c>
      <c r="B956" s="58">
        <v>3220872441</v>
      </c>
      <c r="C956" s="63" t="s">
        <v>1459</v>
      </c>
      <c r="D956" s="60">
        <v>11805166808</v>
      </c>
      <c r="E956" s="9">
        <v>810</v>
      </c>
      <c r="F956" s="25">
        <v>42915</v>
      </c>
      <c r="G956" s="61" t="s">
        <v>13</v>
      </c>
      <c r="H956" s="9"/>
      <c r="I956" s="8"/>
      <c r="J956" s="8"/>
      <c r="K956" s="8"/>
      <c r="L956" s="9" t="s">
        <v>138</v>
      </c>
      <c r="M956" s="8"/>
    </row>
    <row r="957" spans="1:13">
      <c r="A957" s="64" t="s">
        <v>1460</v>
      </c>
      <c r="B957" s="58">
        <v>29773950832</v>
      </c>
      <c r="C957" s="63" t="s">
        <v>1461</v>
      </c>
      <c r="D957" s="60">
        <v>84030283349</v>
      </c>
      <c r="E957" s="9"/>
      <c r="F957" s="25"/>
      <c r="G957" s="61"/>
      <c r="H957" s="9"/>
      <c r="I957" s="8"/>
      <c r="J957" s="8"/>
      <c r="K957" s="8"/>
      <c r="L957" s="8"/>
      <c r="M957" s="8"/>
    </row>
    <row r="958" spans="1:13">
      <c r="A958" s="62" t="s">
        <v>1462</v>
      </c>
      <c r="B958" s="69" t="s">
        <v>1463</v>
      </c>
      <c r="C958" s="63" t="s">
        <v>1464</v>
      </c>
      <c r="D958" s="60">
        <v>84102780300</v>
      </c>
      <c r="E958" s="9">
        <v>292</v>
      </c>
      <c r="F958" s="25">
        <v>43168</v>
      </c>
      <c r="G958" s="9" t="s">
        <v>13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1465</v>
      </c>
      <c r="B959" s="58">
        <v>30638877814</v>
      </c>
      <c r="C959" s="63"/>
      <c r="D959" s="60"/>
      <c r="E959" s="9">
        <v>1350</v>
      </c>
      <c r="F959" s="25">
        <v>43006</v>
      </c>
      <c r="G959" s="61" t="s">
        <v>13</v>
      </c>
      <c r="H959" s="9"/>
      <c r="I959" s="8"/>
      <c r="J959" s="8"/>
      <c r="K959" s="8"/>
      <c r="L959" s="8"/>
      <c r="M959" s="8"/>
    </row>
    <row r="960" spans="1:13">
      <c r="A960" s="62" t="s">
        <v>1466</v>
      </c>
      <c r="B960" s="58">
        <v>39987807852</v>
      </c>
      <c r="C960" s="68"/>
      <c r="D960" s="60"/>
      <c r="E960" s="9"/>
      <c r="F960" s="25"/>
      <c r="G960" s="61"/>
      <c r="H960" s="9"/>
      <c r="I960" s="8"/>
      <c r="J960" s="8"/>
      <c r="K960" s="8"/>
      <c r="L960" s="8"/>
      <c r="M960" s="8"/>
    </row>
    <row r="961" spans="1:13">
      <c r="A961" s="62" t="s">
        <v>1467</v>
      </c>
      <c r="B961" s="58">
        <v>25314132869</v>
      </c>
      <c r="C961" s="63"/>
      <c r="D961" s="60"/>
      <c r="E961" s="9">
        <v>1359</v>
      </c>
      <c r="F961" s="25">
        <v>43006</v>
      </c>
      <c r="G961" s="61" t="s">
        <v>13</v>
      </c>
      <c r="H961" s="9"/>
      <c r="I961" s="8"/>
      <c r="J961" s="8"/>
      <c r="K961" s="8"/>
      <c r="L961" s="8"/>
      <c r="M961" s="8"/>
    </row>
    <row r="962" spans="1:13">
      <c r="A962" s="62" t="s">
        <v>1468</v>
      </c>
      <c r="B962" s="58">
        <v>6943742884</v>
      </c>
      <c r="C962" s="63"/>
      <c r="D962" s="60"/>
      <c r="E962" s="9">
        <v>1555</v>
      </c>
      <c r="F962" s="25">
        <v>43049</v>
      </c>
      <c r="G962" s="61" t="s">
        <v>13</v>
      </c>
      <c r="H962" s="9"/>
      <c r="I962" s="8"/>
      <c r="J962" s="8"/>
      <c r="K962" s="8"/>
      <c r="L962" s="9" t="s">
        <v>398</v>
      </c>
      <c r="M962" s="8"/>
    </row>
    <row r="963" spans="1:13">
      <c r="A963" s="15" t="s">
        <v>1469</v>
      </c>
      <c r="B963" s="58">
        <v>854189351</v>
      </c>
      <c r="C963" s="63"/>
      <c r="D963" s="60"/>
      <c r="E963" s="9">
        <v>85</v>
      </c>
      <c r="F963" s="25">
        <v>43109</v>
      </c>
      <c r="G963" s="61" t="s">
        <v>13</v>
      </c>
      <c r="H963" s="25">
        <v>43151</v>
      </c>
      <c r="I963" s="8"/>
      <c r="J963" s="8"/>
      <c r="K963" s="8"/>
      <c r="L963" s="8"/>
      <c r="M963" s="8"/>
    </row>
    <row r="964" spans="1:13">
      <c r="A964" s="62" t="s">
        <v>1470</v>
      </c>
      <c r="B964" s="58">
        <v>46248420300</v>
      </c>
      <c r="C964" s="63" t="s">
        <v>1471</v>
      </c>
      <c r="D964" s="60">
        <v>17485330888</v>
      </c>
      <c r="E964" s="9">
        <v>262</v>
      </c>
      <c r="F964" s="25">
        <v>43160</v>
      </c>
      <c r="G964" s="61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62" t="s">
        <v>1472</v>
      </c>
      <c r="B965" s="58">
        <v>84090294304</v>
      </c>
      <c r="C965" s="63" t="s">
        <v>1473</v>
      </c>
      <c r="D965" s="60">
        <v>31398589810</v>
      </c>
      <c r="E965" s="9"/>
      <c r="F965" s="25"/>
      <c r="G965" s="61"/>
      <c r="H965" s="9"/>
      <c r="I965" s="8"/>
      <c r="J965" s="8"/>
      <c r="K965" s="8"/>
      <c r="L965" s="8"/>
      <c r="M965" s="8"/>
    </row>
    <row r="966" spans="1:13">
      <c r="A966" s="63" t="s">
        <v>1474</v>
      </c>
      <c r="B966" s="58">
        <v>8018563888</v>
      </c>
      <c r="C966" s="63"/>
      <c r="D966" s="60"/>
      <c r="E966" s="9"/>
      <c r="F966" s="25"/>
      <c r="G966" s="61"/>
      <c r="H966" s="9"/>
      <c r="I966" s="8"/>
      <c r="J966" s="8"/>
      <c r="K966" s="8"/>
      <c r="L966" s="8"/>
      <c r="M966" s="8"/>
    </row>
    <row r="967" spans="1:13">
      <c r="A967" s="62" t="s">
        <v>1475</v>
      </c>
      <c r="B967" s="58">
        <v>918071313</v>
      </c>
      <c r="C967" s="63" t="s">
        <v>1476</v>
      </c>
      <c r="D967" s="60">
        <v>98555502349</v>
      </c>
      <c r="E967" s="9">
        <v>443</v>
      </c>
      <c r="F967" s="25">
        <v>43188</v>
      </c>
      <c r="G967" s="61"/>
      <c r="H967" s="9"/>
      <c r="I967" s="8"/>
      <c r="J967" s="8"/>
      <c r="K967" s="8"/>
      <c r="L967" s="8"/>
      <c r="M967" s="8"/>
    </row>
    <row r="968" spans="1:13">
      <c r="A968" s="15" t="s">
        <v>1477</v>
      </c>
      <c r="B968" s="58">
        <v>25700869837</v>
      </c>
      <c r="C968" s="63"/>
      <c r="D968" s="60"/>
      <c r="E968" s="9">
        <v>117</v>
      </c>
      <c r="F968" s="25">
        <v>43117</v>
      </c>
      <c r="G968" s="61" t="s">
        <v>13</v>
      </c>
      <c r="H968" s="9"/>
      <c r="I968" s="8"/>
      <c r="J968" s="8"/>
      <c r="K968" s="8"/>
      <c r="L968" s="9" t="s">
        <v>170</v>
      </c>
      <c r="M968" s="8"/>
    </row>
    <row r="969" spans="1:13">
      <c r="A969" s="62" t="s">
        <v>1478</v>
      </c>
      <c r="B969" s="58">
        <v>86465651300</v>
      </c>
      <c r="C969" s="63" t="s">
        <v>1479</v>
      </c>
      <c r="D969" s="60">
        <v>7091216792</v>
      </c>
      <c r="E969" s="9">
        <v>1350</v>
      </c>
      <c r="F969" s="25">
        <v>43006</v>
      </c>
      <c r="G969" s="61" t="s">
        <v>13</v>
      </c>
      <c r="H969" s="9"/>
      <c r="I969" s="8"/>
      <c r="J969" s="8"/>
      <c r="K969" s="8"/>
      <c r="L969" s="8"/>
      <c r="M969" s="8"/>
    </row>
    <row r="970" spans="1:13">
      <c r="A970" s="63" t="s">
        <v>1480</v>
      </c>
      <c r="B970" s="58">
        <v>22893362893</v>
      </c>
      <c r="C970" s="63" t="s">
        <v>1481</v>
      </c>
      <c r="D970" s="60">
        <v>41762002434</v>
      </c>
      <c r="E970" s="9"/>
      <c r="F970" s="25"/>
      <c r="G970" s="61"/>
      <c r="H970" s="9"/>
      <c r="I970" s="8"/>
      <c r="J970" s="8"/>
      <c r="K970" s="8"/>
      <c r="L970" s="8"/>
      <c r="M970" s="8"/>
    </row>
    <row r="971" spans="1:13">
      <c r="A971" s="62" t="s">
        <v>1482</v>
      </c>
      <c r="B971" s="58">
        <v>11448120896</v>
      </c>
      <c r="C971" s="63"/>
      <c r="D971" s="60"/>
      <c r="E971" s="9">
        <v>1417</v>
      </c>
      <c r="F971" s="25">
        <v>43017</v>
      </c>
      <c r="G971" s="61" t="s">
        <v>13</v>
      </c>
      <c r="H971" s="9"/>
      <c r="I971" s="8"/>
      <c r="J971" s="8"/>
      <c r="K971" s="8"/>
      <c r="L971" s="9" t="s">
        <v>253</v>
      </c>
      <c r="M971" s="8"/>
    </row>
    <row r="972" spans="1:13">
      <c r="A972" s="27" t="s">
        <v>1483</v>
      </c>
      <c r="B972" s="58">
        <v>9964640854</v>
      </c>
      <c r="C972" s="18" t="s">
        <v>129</v>
      </c>
      <c r="D972" s="60"/>
      <c r="E972" s="9"/>
      <c r="F972" s="25"/>
      <c r="G972" s="61"/>
      <c r="H972" s="9"/>
      <c r="I972" s="8"/>
      <c r="J972" s="8"/>
      <c r="K972" s="8"/>
      <c r="L972" s="8"/>
      <c r="M972" s="8"/>
    </row>
    <row r="973" spans="1:13">
      <c r="A973" s="27" t="s">
        <v>1484</v>
      </c>
      <c r="B973" s="58">
        <v>46593499854</v>
      </c>
      <c r="C973" s="27" t="s">
        <v>1485</v>
      </c>
      <c r="D973" s="60">
        <v>46146841811</v>
      </c>
      <c r="E973" s="9"/>
      <c r="F973" s="25"/>
      <c r="G973" s="61"/>
      <c r="H973" s="9"/>
      <c r="I973" s="8"/>
      <c r="J973" s="8"/>
      <c r="K973" s="8"/>
      <c r="L973" s="8"/>
      <c r="M973" s="8"/>
    </row>
    <row r="974" spans="1:13">
      <c r="A974" s="62" t="s">
        <v>1486</v>
      </c>
      <c r="B974" s="58">
        <v>34412339807</v>
      </c>
      <c r="C974" s="63" t="s">
        <v>1487</v>
      </c>
      <c r="D974" s="60">
        <v>30849792860</v>
      </c>
      <c r="E974" s="9">
        <v>1824</v>
      </c>
      <c r="F974" s="25">
        <v>43091</v>
      </c>
      <c r="G974" s="61" t="s">
        <v>13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1488</v>
      </c>
      <c r="B975" s="58">
        <v>63905825449</v>
      </c>
      <c r="C975" s="63" t="s">
        <v>1489</v>
      </c>
      <c r="D975" s="60">
        <v>11803331879</v>
      </c>
      <c r="E975" s="9"/>
      <c r="F975" s="25"/>
      <c r="G975" s="61"/>
      <c r="H975" s="9"/>
      <c r="I975" s="8"/>
      <c r="J975" s="8"/>
      <c r="K975" s="8"/>
      <c r="L975" s="8"/>
      <c r="M975" s="8"/>
    </row>
    <row r="976" spans="1:13">
      <c r="A976" s="62" t="s">
        <v>1490</v>
      </c>
      <c r="B976" s="58">
        <v>24869568837</v>
      </c>
      <c r="C976" s="63"/>
      <c r="D976" s="60"/>
      <c r="E976" s="9">
        <v>810</v>
      </c>
      <c r="F976" s="25">
        <v>42915</v>
      </c>
      <c r="G976" s="61" t="s">
        <v>13</v>
      </c>
      <c r="H976" s="9"/>
      <c r="I976" s="8"/>
      <c r="J976" s="8"/>
      <c r="K976" s="8"/>
      <c r="L976" s="9" t="s">
        <v>138</v>
      </c>
      <c r="M976" s="8"/>
    </row>
    <row r="977" spans="1:13">
      <c r="A977" s="62" t="s">
        <v>1491</v>
      </c>
      <c r="B977" s="58">
        <v>1916417400</v>
      </c>
      <c r="C977" s="63"/>
      <c r="D977" s="60"/>
      <c r="E977" s="9">
        <v>292</v>
      </c>
      <c r="F977" s="25">
        <v>43168</v>
      </c>
      <c r="G977" s="61" t="s">
        <v>13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1492</v>
      </c>
      <c r="B978" s="58">
        <v>18548695315</v>
      </c>
      <c r="C978" s="63"/>
      <c r="D978" s="60"/>
      <c r="E978" s="9">
        <v>229</v>
      </c>
      <c r="F978" s="25">
        <v>43151</v>
      </c>
      <c r="G978" s="61" t="s">
        <v>13</v>
      </c>
      <c r="H978" s="9"/>
      <c r="I978" s="8"/>
      <c r="J978" s="8"/>
      <c r="K978" s="8"/>
      <c r="L978" s="9">
        <v>232</v>
      </c>
      <c r="M978" s="8"/>
    </row>
    <row r="979" spans="1:13">
      <c r="A979" s="62" t="s">
        <v>1493</v>
      </c>
      <c r="B979" s="58">
        <v>14900594822</v>
      </c>
      <c r="C979" s="63"/>
      <c r="D979" s="60"/>
      <c r="E979" s="9">
        <v>810</v>
      </c>
      <c r="F979" s="25">
        <v>42915</v>
      </c>
      <c r="G979" s="61" t="s">
        <v>13</v>
      </c>
      <c r="H979" s="9"/>
      <c r="I979" s="8"/>
      <c r="J979" s="8"/>
      <c r="K979" s="8"/>
      <c r="L979" s="9" t="s">
        <v>138</v>
      </c>
      <c r="M979" s="8"/>
    </row>
    <row r="980" spans="1:13">
      <c r="A980" s="18" t="s">
        <v>1494</v>
      </c>
      <c r="B980" s="58">
        <v>18473037812</v>
      </c>
      <c r="C980" s="18" t="s">
        <v>1495</v>
      </c>
      <c r="D980" s="60">
        <v>81225245834</v>
      </c>
      <c r="E980" s="9"/>
      <c r="F980" s="25"/>
      <c r="G980" s="61"/>
      <c r="H980" s="9"/>
      <c r="I980" s="8"/>
      <c r="J980" s="8"/>
      <c r="K980" s="8"/>
      <c r="L980" s="8"/>
      <c r="M980" s="8"/>
    </row>
    <row r="981" spans="1:13">
      <c r="A981" s="62" t="s">
        <v>1496</v>
      </c>
      <c r="B981" s="58">
        <v>38327303899</v>
      </c>
      <c r="C981" s="63"/>
      <c r="D981" s="60"/>
      <c r="E981" s="9">
        <v>443</v>
      </c>
      <c r="F981" s="25">
        <v>43188</v>
      </c>
      <c r="G981" s="61"/>
      <c r="H981" s="9"/>
      <c r="I981" s="8"/>
      <c r="J981" s="8"/>
      <c r="K981" s="8"/>
      <c r="L981" s="8"/>
      <c r="M981" s="8"/>
    </row>
    <row r="982" spans="1:13">
      <c r="A982" s="13" t="s">
        <v>1497</v>
      </c>
      <c r="B982" s="58">
        <v>63037432349</v>
      </c>
      <c r="C982" s="63"/>
      <c r="D982" s="60"/>
      <c r="E982" s="9">
        <v>1350</v>
      </c>
      <c r="F982" s="25">
        <v>43006</v>
      </c>
      <c r="G982" s="61" t="s">
        <v>13</v>
      </c>
      <c r="H982" s="9"/>
      <c r="I982" s="8"/>
      <c r="J982" s="8"/>
      <c r="K982" s="8"/>
      <c r="L982" s="8"/>
      <c r="M982" s="8"/>
    </row>
    <row r="983" spans="1:13">
      <c r="A983" s="62" t="s">
        <v>1498</v>
      </c>
      <c r="B983" s="58">
        <v>17010311838</v>
      </c>
      <c r="C983" s="63"/>
      <c r="D983" s="60"/>
      <c r="E983" s="9"/>
      <c r="F983" s="25"/>
      <c r="G983" s="61"/>
      <c r="H983" s="9"/>
      <c r="I983" s="8"/>
      <c r="J983" s="8"/>
      <c r="K983" s="8"/>
      <c r="L983" s="8"/>
      <c r="M983" s="8"/>
    </row>
    <row r="984" spans="1:13">
      <c r="A984" s="62" t="s">
        <v>1499</v>
      </c>
      <c r="B984" s="58">
        <v>30458696889</v>
      </c>
      <c r="C984" s="59" t="s">
        <v>1500</v>
      </c>
      <c r="D984" s="60">
        <v>25196748814</v>
      </c>
      <c r="E984" s="9">
        <v>1267</v>
      </c>
      <c r="F984" s="25">
        <v>42998</v>
      </c>
      <c r="G984" s="61" t="s">
        <v>20</v>
      </c>
      <c r="H984" s="9"/>
      <c r="I984" s="8"/>
      <c r="J984" s="8"/>
      <c r="K984" s="8"/>
      <c r="L984" s="8"/>
      <c r="M984" s="8"/>
    </row>
    <row r="985" spans="1:13">
      <c r="A985" s="62" t="s">
        <v>1501</v>
      </c>
      <c r="B985" s="58">
        <v>6918108425</v>
      </c>
      <c r="C985" s="63"/>
      <c r="D985" s="60"/>
      <c r="E985" s="9">
        <v>1359</v>
      </c>
      <c r="F985" s="25">
        <v>43006</v>
      </c>
      <c r="G985" s="61" t="s">
        <v>13</v>
      </c>
      <c r="H985" s="9"/>
      <c r="I985" s="8"/>
      <c r="J985" s="8"/>
      <c r="K985" s="8"/>
      <c r="L985" s="8"/>
      <c r="M985" s="8"/>
    </row>
    <row r="986" spans="1:13">
      <c r="A986" s="27" t="s">
        <v>1502</v>
      </c>
      <c r="B986" s="58"/>
      <c r="C986" s="27" t="s">
        <v>1503</v>
      </c>
      <c r="D986" s="60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62" t="s">
        <v>1504</v>
      </c>
      <c r="B987" s="58">
        <v>3605902413</v>
      </c>
      <c r="C987" s="63"/>
      <c r="D987" s="60"/>
      <c r="E987" s="9"/>
      <c r="F987" s="25"/>
      <c r="G987" s="61"/>
      <c r="H987" s="9"/>
      <c r="I987" s="8"/>
      <c r="J987" s="8"/>
      <c r="K987" s="8"/>
      <c r="L987" s="8"/>
      <c r="M987" s="8"/>
    </row>
    <row r="988" spans="1:13">
      <c r="A988" s="62" t="s">
        <v>1505</v>
      </c>
      <c r="B988" s="58" t="s">
        <v>1506</v>
      </c>
      <c r="C988" s="68"/>
      <c r="D988" s="60"/>
      <c r="E988" s="9"/>
      <c r="F988" s="25"/>
      <c r="G988" s="61"/>
      <c r="H988" s="9"/>
      <c r="I988" s="8"/>
      <c r="J988" s="8"/>
      <c r="K988" s="8"/>
      <c r="L988" s="8"/>
      <c r="M988" s="8"/>
    </row>
    <row r="989" spans="1:13">
      <c r="A989" s="63" t="s">
        <v>1507</v>
      </c>
      <c r="B989" s="58">
        <v>39745805300</v>
      </c>
      <c r="C989" s="63"/>
      <c r="D989" s="60"/>
      <c r="E989" s="9"/>
      <c r="F989" s="25"/>
      <c r="G989" s="61"/>
      <c r="H989" s="9"/>
      <c r="I989" s="8"/>
      <c r="J989" s="8"/>
      <c r="K989" s="8"/>
      <c r="L989" s="8"/>
      <c r="M989" s="8"/>
    </row>
    <row r="990" spans="1:13">
      <c r="A990" s="13" t="s">
        <v>1508</v>
      </c>
      <c r="B990" s="58">
        <v>83640363604</v>
      </c>
      <c r="C990" s="59"/>
      <c r="D990" s="60"/>
      <c r="E990" s="9"/>
      <c r="F990" s="25"/>
      <c r="G990" s="61"/>
      <c r="H990" s="9"/>
      <c r="I990" s="8"/>
      <c r="J990" s="8"/>
      <c r="K990" s="8"/>
      <c r="L990" s="8"/>
      <c r="M990" s="8"/>
    </row>
    <row r="991" spans="1:13">
      <c r="A991" s="27" t="s">
        <v>1509</v>
      </c>
      <c r="B991" s="58"/>
      <c r="C991" s="18" t="s">
        <v>129</v>
      </c>
      <c r="D991" s="60"/>
      <c r="E991" s="9"/>
      <c r="F991" s="25"/>
      <c r="G991" s="61"/>
      <c r="H991" s="9"/>
      <c r="I991" s="8"/>
      <c r="J991" s="8"/>
      <c r="K991" s="8"/>
      <c r="L991" s="8"/>
      <c r="M991" s="8"/>
    </row>
    <row r="992" spans="1:13">
      <c r="A992" s="15" t="s">
        <v>1510</v>
      </c>
      <c r="B992" s="58">
        <v>2393196722</v>
      </c>
      <c r="C992" s="63"/>
      <c r="D992" s="60"/>
      <c r="E992" s="9"/>
      <c r="F992" s="25"/>
      <c r="G992" s="61"/>
      <c r="H992" s="9"/>
      <c r="I992" s="8"/>
      <c r="J992" s="8"/>
      <c r="K992" s="8"/>
      <c r="L992" s="8"/>
      <c r="M992" s="8"/>
    </row>
    <row r="993" spans="1:13">
      <c r="A993" s="14" t="s">
        <v>1511</v>
      </c>
      <c r="B993" s="58">
        <v>12324487888</v>
      </c>
      <c r="C993" s="63"/>
      <c r="D993" s="60"/>
      <c r="E993" s="9"/>
      <c r="F993" s="25"/>
      <c r="G993" s="61"/>
      <c r="H993" s="9"/>
      <c r="I993" s="8"/>
      <c r="J993" s="8"/>
      <c r="K993" s="8"/>
      <c r="L993" s="8"/>
      <c r="M993" s="8"/>
    </row>
    <row r="994" spans="1:13">
      <c r="A994" s="15" t="s">
        <v>1512</v>
      </c>
      <c r="B994" s="58">
        <v>17007953840</v>
      </c>
      <c r="C994" s="63"/>
      <c r="D994" s="60"/>
      <c r="E994" s="9">
        <v>85</v>
      </c>
      <c r="F994" s="25">
        <v>43109</v>
      </c>
      <c r="G994" s="61" t="s">
        <v>13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1513</v>
      </c>
      <c r="B995" s="58">
        <v>43143938404</v>
      </c>
      <c r="C995" s="59"/>
      <c r="D995" s="60"/>
      <c r="E995" s="9"/>
      <c r="F995" s="25"/>
      <c r="G995" s="61"/>
      <c r="H995" s="9"/>
      <c r="I995" s="8"/>
      <c r="J995" s="8"/>
      <c r="K995" s="8"/>
      <c r="L995" s="8"/>
      <c r="M995" s="8"/>
    </row>
    <row r="996" spans="1:13">
      <c r="A996" s="62" t="s">
        <v>1514</v>
      </c>
      <c r="B996" s="58">
        <v>17487600840</v>
      </c>
      <c r="C996" s="63"/>
      <c r="D996" s="60"/>
      <c r="E996" s="9">
        <v>292</v>
      </c>
      <c r="F996" s="25">
        <v>43168</v>
      </c>
      <c r="G996" s="9" t="s">
        <v>13</v>
      </c>
      <c r="H996" s="9"/>
      <c r="I996" s="8"/>
      <c r="J996" s="8"/>
      <c r="K996" s="8"/>
      <c r="L996" s="9">
        <v>318</v>
      </c>
      <c r="M996" s="8"/>
    </row>
    <row r="997" spans="1:13">
      <c r="A997" s="62" t="s">
        <v>1515</v>
      </c>
      <c r="B997" s="58">
        <v>12523078880</v>
      </c>
      <c r="C997" s="63"/>
      <c r="D997" s="60"/>
      <c r="E997" s="9"/>
      <c r="F997" s="25"/>
      <c r="G997" s="61"/>
      <c r="H997" s="9"/>
      <c r="I997" s="8"/>
      <c r="J997" s="8"/>
      <c r="K997" s="8"/>
      <c r="L997" s="8"/>
      <c r="M997" s="8"/>
    </row>
    <row r="998" spans="1:13">
      <c r="A998" s="62" t="s">
        <v>1516</v>
      </c>
      <c r="B998" s="58">
        <v>5704263321</v>
      </c>
      <c r="C998" s="63"/>
      <c r="D998" s="60"/>
      <c r="E998" s="9">
        <v>443</v>
      </c>
      <c r="F998" s="25">
        <v>43188</v>
      </c>
      <c r="G998" s="61"/>
      <c r="H998" s="9"/>
      <c r="I998" s="8"/>
      <c r="J998" s="8"/>
      <c r="K998" s="8"/>
      <c r="L998" s="8"/>
      <c r="M998" s="8"/>
    </row>
    <row r="999" spans="1:13">
      <c r="A999" s="62" t="s">
        <v>1517</v>
      </c>
      <c r="B999" s="58">
        <v>56631421420</v>
      </c>
      <c r="C999" s="63"/>
      <c r="D999" s="60"/>
      <c r="E999" s="9"/>
      <c r="F999" s="25"/>
      <c r="G999" s="61"/>
      <c r="H999" s="9"/>
      <c r="I999" s="8"/>
      <c r="J999" s="8"/>
      <c r="K999" s="8"/>
      <c r="L999" s="8"/>
      <c r="M999" s="8"/>
    </row>
    <row r="1000" spans="1:13">
      <c r="A1000" s="13" t="s">
        <v>1518</v>
      </c>
      <c r="B1000" s="58">
        <v>28183775870</v>
      </c>
      <c r="C1000" s="59"/>
      <c r="D1000" s="60"/>
      <c r="E1000" s="9">
        <v>1343</v>
      </c>
      <c r="F1000" s="25">
        <v>43004</v>
      </c>
      <c r="G1000" s="61" t="s">
        <v>13</v>
      </c>
      <c r="H1000" s="9"/>
      <c r="I1000" s="8"/>
      <c r="J1000" s="8"/>
      <c r="K1000" s="8"/>
      <c r="L1000" s="8"/>
      <c r="M1000" s="8"/>
    </row>
    <row r="1001" spans="1:13">
      <c r="A1001" s="15" t="s">
        <v>1519</v>
      </c>
      <c r="B1001" s="58">
        <v>39651975334</v>
      </c>
      <c r="C1001" s="63" t="s">
        <v>1520</v>
      </c>
      <c r="D1001" s="60">
        <v>35104799808</v>
      </c>
      <c r="E1001" s="9">
        <v>229</v>
      </c>
      <c r="F1001" s="25">
        <v>43151</v>
      </c>
      <c r="G1001" s="61" t="s">
        <v>13</v>
      </c>
      <c r="H1001" s="9"/>
      <c r="I1001" s="8"/>
      <c r="J1001" s="8"/>
      <c r="K1001" s="8"/>
      <c r="L1001" s="9">
        <v>232</v>
      </c>
      <c r="M1001" s="8"/>
    </row>
    <row r="1002" spans="1:13">
      <c r="A1002" s="62" t="s">
        <v>1521</v>
      </c>
      <c r="B1002" s="58">
        <v>54535891320</v>
      </c>
      <c r="C1002" s="63"/>
      <c r="D1002" s="60"/>
      <c r="E1002" s="9">
        <v>1350</v>
      </c>
      <c r="F1002" s="25">
        <v>43006</v>
      </c>
      <c r="G1002" s="61" t="s">
        <v>13</v>
      </c>
      <c r="H1002" s="9"/>
      <c r="I1002" s="8"/>
      <c r="J1002" s="8"/>
      <c r="K1002" s="8"/>
      <c r="L1002" s="8"/>
      <c r="M1002" s="8"/>
    </row>
    <row r="1003" spans="1:13">
      <c r="A1003" s="62" t="s">
        <v>1522</v>
      </c>
      <c r="B1003" s="58">
        <v>35949708334</v>
      </c>
      <c r="C1003" s="63"/>
      <c r="D1003" s="60"/>
      <c r="E1003" s="9">
        <v>1350</v>
      </c>
      <c r="F1003" s="25">
        <v>43006</v>
      </c>
      <c r="G1003" s="61" t="s">
        <v>13</v>
      </c>
      <c r="H1003" s="9"/>
      <c r="I1003" s="8"/>
      <c r="J1003" s="8"/>
      <c r="K1003" s="8"/>
      <c r="L1003" s="8"/>
      <c r="M1003" s="8"/>
    </row>
    <row r="1004" spans="1:13">
      <c r="A1004" s="14" t="s">
        <v>1523</v>
      </c>
      <c r="B1004" s="58">
        <v>46226383801</v>
      </c>
      <c r="C1004" s="63" t="s">
        <v>1524</v>
      </c>
      <c r="D1004" s="60">
        <v>46166460821</v>
      </c>
      <c r="E1004" s="9">
        <v>292</v>
      </c>
      <c r="F1004" s="25">
        <v>43168</v>
      </c>
      <c r="G1004" s="61" t="s">
        <v>13</v>
      </c>
      <c r="H1004" s="9"/>
      <c r="I1004" s="8"/>
      <c r="J1004" s="8"/>
      <c r="K1004" s="8"/>
      <c r="L1004" s="9">
        <v>318</v>
      </c>
      <c r="M1004" s="8"/>
    </row>
    <row r="1005" spans="1:13">
      <c r="A1005" s="63" t="s">
        <v>1525</v>
      </c>
      <c r="B1005" s="58">
        <v>39899795828</v>
      </c>
      <c r="C1005" s="63"/>
      <c r="D1005" s="60"/>
      <c r="E1005" s="9">
        <v>292</v>
      </c>
      <c r="F1005" s="25">
        <v>43168</v>
      </c>
      <c r="G1005" s="9" t="s">
        <v>13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1526</v>
      </c>
      <c r="B1006" s="58">
        <v>37051448803</v>
      </c>
      <c r="C1006" s="63" t="s">
        <v>1527</v>
      </c>
      <c r="D1006" s="60">
        <v>22442223813</v>
      </c>
      <c r="E1006" s="9">
        <v>1489</v>
      </c>
      <c r="F1006" s="25">
        <v>43038</v>
      </c>
      <c r="G1006" s="61" t="s">
        <v>13</v>
      </c>
      <c r="H1006" s="9"/>
      <c r="I1006" s="8"/>
      <c r="J1006" s="8"/>
      <c r="K1006" s="8"/>
      <c r="L1006" s="9" t="s">
        <v>160</v>
      </c>
      <c r="M1006" s="8"/>
    </row>
    <row r="1007" spans="1:13">
      <c r="A1007" s="62" t="s">
        <v>1528</v>
      </c>
      <c r="B1007" s="58">
        <v>23154604847</v>
      </c>
      <c r="C1007" s="63"/>
      <c r="D1007" s="60"/>
      <c r="E1007" s="9"/>
      <c r="F1007" s="25"/>
      <c r="G1007" s="61"/>
      <c r="H1007" s="9"/>
      <c r="I1007" s="8"/>
      <c r="J1007" s="8"/>
      <c r="K1007" s="8"/>
      <c r="L1007" s="8"/>
      <c r="M1007" s="8"/>
    </row>
    <row r="1008" spans="1:13">
      <c r="A1008" s="64" t="s">
        <v>1529</v>
      </c>
      <c r="B1008" s="58">
        <v>50092450865</v>
      </c>
      <c r="C1008" s="63" t="s">
        <v>1530</v>
      </c>
      <c r="D1008" s="60">
        <v>34366320827</v>
      </c>
      <c r="E1008" s="9">
        <v>608</v>
      </c>
      <c r="F1008" s="25">
        <v>43012</v>
      </c>
      <c r="G1008" s="61" t="s">
        <v>13</v>
      </c>
      <c r="H1008" s="9"/>
      <c r="I1008" s="8"/>
      <c r="J1008" s="8"/>
      <c r="K1008" s="8"/>
      <c r="L1008" s="8"/>
      <c r="M1008" s="8"/>
    </row>
    <row r="1009" spans="1:13">
      <c r="A1009" s="62" t="s">
        <v>1531</v>
      </c>
      <c r="B1009" s="58">
        <v>50861734858</v>
      </c>
      <c r="C1009" s="63"/>
      <c r="D1009" s="60"/>
      <c r="E1009" s="9">
        <v>292</v>
      </c>
      <c r="F1009" s="25">
        <v>43168</v>
      </c>
      <c r="G1009" s="9" t="s">
        <v>13</v>
      </c>
      <c r="H1009" s="9"/>
      <c r="I1009" s="8"/>
      <c r="J1009" s="8"/>
      <c r="K1009" s="8"/>
      <c r="L1009" s="9">
        <v>318</v>
      </c>
      <c r="M1009" s="8"/>
    </row>
    <row r="1010" spans="1:13">
      <c r="A1010" s="62" t="s">
        <v>1532</v>
      </c>
      <c r="B1010" s="58">
        <v>39433646827</v>
      </c>
      <c r="C1010" s="63"/>
      <c r="D1010" s="60"/>
      <c r="E1010" s="9">
        <v>1570</v>
      </c>
      <c r="F1010" s="25">
        <v>43077</v>
      </c>
      <c r="G1010" s="9" t="s">
        <v>13</v>
      </c>
      <c r="H1010" s="9"/>
      <c r="I1010" s="8"/>
      <c r="J1010" s="8"/>
      <c r="K1010" s="8"/>
      <c r="L1010" s="8"/>
      <c r="M1010" s="8"/>
    </row>
    <row r="1011" spans="1:13">
      <c r="A1011" s="15" t="s">
        <v>1533</v>
      </c>
      <c r="B1011" s="58">
        <v>32344204830</v>
      </c>
      <c r="C1011" s="63"/>
      <c r="D1011" s="60"/>
      <c r="E1011" s="9">
        <v>262</v>
      </c>
      <c r="F1011" s="25">
        <v>43160</v>
      </c>
      <c r="G1011" s="61" t="s">
        <v>13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1534</v>
      </c>
      <c r="B1012" s="58">
        <v>36501110807</v>
      </c>
      <c r="C1012" s="63" t="s">
        <v>1535</v>
      </c>
      <c r="D1012" s="60">
        <v>36592467860</v>
      </c>
      <c r="E1012" s="9">
        <v>262</v>
      </c>
      <c r="F1012" s="25">
        <v>43160</v>
      </c>
      <c r="G1012" s="61" t="s">
        <v>13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7" t="s">
        <v>1536</v>
      </c>
      <c r="B1013" s="58">
        <v>34470374822</v>
      </c>
      <c r="C1013" s="27" t="s">
        <v>1537</v>
      </c>
      <c r="D1013" s="60">
        <v>1154837130</v>
      </c>
      <c r="E1013" s="9"/>
      <c r="F1013" s="25"/>
      <c r="G1013" s="61"/>
      <c r="H1013" s="9"/>
      <c r="I1013" s="8"/>
      <c r="J1013" s="8"/>
      <c r="K1013" s="8"/>
      <c r="L1013" s="8"/>
      <c r="M1013" s="8"/>
    </row>
    <row r="1014" spans="1:13">
      <c r="A1014" s="64" t="s">
        <v>1538</v>
      </c>
      <c r="B1014" s="58">
        <v>40814125883</v>
      </c>
      <c r="C1014" s="63" t="s">
        <v>1539</v>
      </c>
      <c r="D1014" s="60">
        <v>27095684898</v>
      </c>
      <c r="E1014" s="9">
        <v>810</v>
      </c>
      <c r="F1014" s="25">
        <v>42915</v>
      </c>
      <c r="G1014" s="61" t="s">
        <v>13</v>
      </c>
      <c r="H1014" s="9"/>
      <c r="I1014" s="8"/>
      <c r="J1014" s="8"/>
      <c r="K1014" s="8"/>
      <c r="L1014" s="9" t="s">
        <v>138</v>
      </c>
      <c r="M1014" s="8"/>
    </row>
    <row r="1015" spans="1:13">
      <c r="A1015" s="62" t="s">
        <v>1540</v>
      </c>
      <c r="B1015" s="58">
        <v>376992883</v>
      </c>
      <c r="C1015" s="63"/>
      <c r="D1015" s="60"/>
      <c r="E1015" s="9"/>
      <c r="F1015" s="25"/>
      <c r="G1015" s="61"/>
      <c r="H1015" s="9"/>
      <c r="I1015" s="8"/>
      <c r="J1015" s="8"/>
      <c r="K1015" s="8"/>
      <c r="L1015" s="8"/>
      <c r="M1015" s="8"/>
    </row>
    <row r="1016" spans="1:13">
      <c r="A1016" s="62" t="s">
        <v>1541</v>
      </c>
      <c r="B1016" s="58">
        <v>30076615871</v>
      </c>
      <c r="C1016" s="63"/>
      <c r="D1016" s="60"/>
      <c r="E1016" s="9">
        <v>1214</v>
      </c>
      <c r="F1016" s="25">
        <v>42989</v>
      </c>
      <c r="G1016" s="61" t="s">
        <v>13</v>
      </c>
      <c r="H1016" s="9"/>
      <c r="I1016" s="8"/>
      <c r="J1016" s="8"/>
      <c r="K1016" s="8"/>
      <c r="L1016" s="8"/>
      <c r="M1016" s="8"/>
    </row>
    <row r="1017" spans="1:13">
      <c r="A1017" s="62" t="s">
        <v>1542</v>
      </c>
      <c r="B1017" s="58">
        <v>54023351415</v>
      </c>
      <c r="C1017" s="63"/>
      <c r="D1017" s="60"/>
      <c r="E1017" s="9">
        <v>527</v>
      </c>
      <c r="F1017" s="25">
        <v>43210</v>
      </c>
      <c r="G1017" s="61"/>
      <c r="H1017" s="9"/>
      <c r="I1017" s="8"/>
      <c r="J1017" s="8"/>
      <c r="K1017" s="8"/>
      <c r="L1017" s="9">
        <v>528</v>
      </c>
      <c r="M1017" s="8"/>
    </row>
    <row r="1018" spans="1:13">
      <c r="A1018" s="27" t="s">
        <v>1543</v>
      </c>
      <c r="B1018" s="58"/>
      <c r="C1018" s="18" t="s">
        <v>129</v>
      </c>
      <c r="D1018" s="60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7" t="s">
        <v>1544</v>
      </c>
      <c r="B1019" s="58">
        <v>26492754808</v>
      </c>
      <c r="C1019" s="9" t="s">
        <v>129</v>
      </c>
      <c r="D1019" s="60"/>
      <c r="E1019" s="9"/>
      <c r="F1019" s="25"/>
      <c r="G1019" s="61"/>
      <c r="H1019" s="9"/>
      <c r="I1019" s="8"/>
      <c r="J1019" s="8"/>
      <c r="K1019" s="8"/>
      <c r="L1019" s="8"/>
      <c r="M1019" s="8"/>
    </row>
    <row r="1020" spans="1:13">
      <c r="A1020" s="62" t="s">
        <v>1545</v>
      </c>
      <c r="B1020" s="58">
        <v>526417595</v>
      </c>
      <c r="C1020" s="63" t="s">
        <v>1546</v>
      </c>
      <c r="D1020" s="60">
        <v>25810630847</v>
      </c>
      <c r="E1020" s="9">
        <v>262</v>
      </c>
      <c r="F1020" s="25">
        <v>43160</v>
      </c>
      <c r="G1020" s="9" t="s">
        <v>13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62" t="s">
        <v>1547</v>
      </c>
      <c r="B1021" s="58">
        <v>26362064852</v>
      </c>
      <c r="C1021" s="68" t="s">
        <v>1548</v>
      </c>
      <c r="D1021" s="60">
        <v>34799615840</v>
      </c>
      <c r="E1021" s="9">
        <v>563</v>
      </c>
      <c r="F1021" s="25">
        <v>43217</v>
      </c>
      <c r="G1021" s="61"/>
      <c r="H1021" s="9"/>
      <c r="I1021" s="8"/>
      <c r="J1021" s="8"/>
      <c r="K1021" s="8"/>
      <c r="L1021" s="9" t="s">
        <v>299</v>
      </c>
      <c r="M1021" s="8"/>
    </row>
    <row r="1022" spans="1:13">
      <c r="A1022" s="62" t="s">
        <v>1549</v>
      </c>
      <c r="B1022" s="58">
        <v>17339382810</v>
      </c>
      <c r="C1022" s="63"/>
      <c r="D1022" s="60"/>
      <c r="E1022" s="9">
        <v>1489</v>
      </c>
      <c r="F1022" s="25">
        <v>43038</v>
      </c>
      <c r="G1022" s="61" t="s">
        <v>13</v>
      </c>
      <c r="H1022" s="9"/>
      <c r="I1022" s="8"/>
      <c r="J1022" s="8"/>
      <c r="K1022" s="8"/>
      <c r="L1022" s="9" t="s">
        <v>160</v>
      </c>
      <c r="M1022" s="8"/>
    </row>
    <row r="1023" spans="1:13">
      <c r="A1023" s="62" t="s">
        <v>1550</v>
      </c>
      <c r="B1023" s="58">
        <v>30100618898</v>
      </c>
      <c r="C1023" s="63"/>
      <c r="D1023" s="60"/>
      <c r="E1023" s="9">
        <v>810</v>
      </c>
      <c r="F1023" s="25">
        <v>42915</v>
      </c>
      <c r="G1023" s="61" t="s">
        <v>13</v>
      </c>
      <c r="H1023" s="9"/>
      <c r="I1023" s="8"/>
      <c r="J1023" s="8"/>
      <c r="K1023" s="8"/>
      <c r="L1023" s="9" t="s">
        <v>138</v>
      </c>
      <c r="M1023" s="8"/>
    </row>
    <row r="1024" spans="1:13">
      <c r="A1024" s="62" t="s">
        <v>1551</v>
      </c>
      <c r="B1024" s="58">
        <v>58494278568</v>
      </c>
      <c r="C1024" s="63"/>
      <c r="D1024" s="60"/>
      <c r="E1024" s="9"/>
      <c r="F1024" s="25"/>
      <c r="G1024" s="61"/>
      <c r="H1024" s="9"/>
      <c r="I1024" s="8"/>
      <c r="J1024" s="8"/>
      <c r="K1024" s="8"/>
      <c r="L1024" s="8"/>
      <c r="M1024" s="8"/>
    </row>
    <row r="1025" spans="1:13">
      <c r="A1025" s="27" t="s">
        <v>1552</v>
      </c>
      <c r="B1025" s="58">
        <v>28473424867</v>
      </c>
      <c r="C1025" s="8"/>
      <c r="D1025" s="60"/>
      <c r="E1025" s="9"/>
      <c r="F1025" s="25"/>
      <c r="G1025" s="61"/>
      <c r="H1025" s="9"/>
      <c r="I1025" s="8"/>
      <c r="J1025" s="8"/>
      <c r="K1025" s="8"/>
      <c r="L1025" s="8"/>
      <c r="M1025" s="8"/>
    </row>
    <row r="1026" spans="1:13">
      <c r="A1026" s="14" t="s">
        <v>1553</v>
      </c>
      <c r="B1026" s="58">
        <v>41791708846</v>
      </c>
      <c r="C1026" s="63" t="s">
        <v>1554</v>
      </c>
      <c r="D1026" s="60">
        <v>41003253806</v>
      </c>
      <c r="E1026" s="9">
        <v>262</v>
      </c>
      <c r="F1026" s="25">
        <v>43160</v>
      </c>
      <c r="G1026" s="61" t="s">
        <v>13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7" t="s">
        <v>1555</v>
      </c>
      <c r="B1027" s="58"/>
      <c r="C1027" s="27" t="s">
        <v>1556</v>
      </c>
      <c r="D1027" s="60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62" t="s">
        <v>1557</v>
      </c>
      <c r="B1028" s="58">
        <v>34575373800</v>
      </c>
      <c r="C1028" s="63" t="s">
        <v>1558</v>
      </c>
      <c r="D1028" s="60">
        <v>22427117846</v>
      </c>
      <c r="E1028" s="9">
        <v>1350</v>
      </c>
      <c r="F1028" s="25">
        <v>43006</v>
      </c>
      <c r="G1028" s="61" t="s">
        <v>13</v>
      </c>
      <c r="H1028" s="9"/>
      <c r="I1028" s="8"/>
      <c r="J1028" s="8"/>
      <c r="K1028" s="8"/>
      <c r="L1028" s="8"/>
      <c r="M1028" s="8"/>
    </row>
    <row r="1029" spans="1:13">
      <c r="A1029" s="62" t="s">
        <v>1559</v>
      </c>
      <c r="B1029" s="58">
        <v>79215262334</v>
      </c>
      <c r="C1029" s="63" t="s">
        <v>1560</v>
      </c>
      <c r="D1029" s="60">
        <v>76370372315</v>
      </c>
      <c r="E1029" s="9">
        <v>1451</v>
      </c>
      <c r="F1029" s="25">
        <v>43027</v>
      </c>
      <c r="G1029" s="61" t="s">
        <v>20</v>
      </c>
      <c r="H1029" s="9"/>
      <c r="I1029" s="8"/>
      <c r="J1029" s="8"/>
      <c r="K1029" s="8"/>
      <c r="L1029" s="8"/>
      <c r="M1029" s="8"/>
    </row>
    <row r="1030" spans="1:13">
      <c r="A1030" s="13" t="s">
        <v>1561</v>
      </c>
      <c r="B1030" s="58">
        <v>15208922843</v>
      </c>
      <c r="C1030" s="63" t="s">
        <v>1562</v>
      </c>
      <c r="D1030" s="60">
        <v>34068960810</v>
      </c>
      <c r="E1030" s="9">
        <v>229</v>
      </c>
      <c r="F1030" s="25">
        <v>43151</v>
      </c>
      <c r="G1030" s="61" t="s">
        <v>28</v>
      </c>
      <c r="H1030" s="9"/>
      <c r="I1030" s="8"/>
      <c r="J1030" s="8"/>
      <c r="K1030" s="8"/>
      <c r="L1030" s="9">
        <v>232</v>
      </c>
      <c r="M1030" s="8"/>
    </row>
    <row r="1031" spans="1:13">
      <c r="A1031" s="62" t="s">
        <v>1563</v>
      </c>
      <c r="B1031" s="58">
        <v>16112511843</v>
      </c>
      <c r="C1031" s="63"/>
      <c r="D1031" s="60"/>
      <c r="E1031" s="9">
        <v>509</v>
      </c>
      <c r="F1031" s="25">
        <v>43203</v>
      </c>
      <c r="G1031" s="67"/>
      <c r="H1031" s="67">
        <v>43213</v>
      </c>
      <c r="I1031" s="8"/>
      <c r="J1031" s="8"/>
      <c r="K1031" s="8"/>
      <c r="L1031" s="8"/>
      <c r="M1031" s="8"/>
    </row>
    <row r="1032" spans="1:13">
      <c r="A1032" s="15" t="s">
        <v>1564</v>
      </c>
      <c r="B1032" s="58">
        <v>5117301870</v>
      </c>
      <c r="C1032" s="15"/>
      <c r="D1032" s="60"/>
      <c r="E1032" s="9"/>
      <c r="F1032" s="25"/>
      <c r="G1032" s="61"/>
      <c r="H1032" s="67">
        <v>43213</v>
      </c>
      <c r="I1032" s="8"/>
      <c r="J1032" s="8"/>
      <c r="K1032" s="8"/>
      <c r="L1032" s="8"/>
      <c r="M1032" s="8"/>
    </row>
    <row r="1033" spans="1:13">
      <c r="A1033" s="62" t="s">
        <v>1565</v>
      </c>
      <c r="B1033" s="58">
        <v>2090762322</v>
      </c>
      <c r="C1033" s="63"/>
      <c r="D1033" s="60"/>
      <c r="E1033" s="9">
        <v>1128</v>
      </c>
      <c r="F1033" s="25">
        <v>42972</v>
      </c>
      <c r="G1033" s="61" t="s">
        <v>13</v>
      </c>
      <c r="H1033" s="67">
        <v>43213</v>
      </c>
      <c r="I1033" s="8"/>
      <c r="J1033" s="8"/>
      <c r="K1033" s="8"/>
      <c r="L1033" s="8"/>
      <c r="M1033" s="8"/>
    </row>
    <row r="1034" spans="1:13">
      <c r="A1034" s="62" t="s">
        <v>1566</v>
      </c>
      <c r="B1034" s="58">
        <v>40442540876</v>
      </c>
      <c r="C1034" s="63"/>
      <c r="D1034" s="60"/>
      <c r="E1034" s="9">
        <v>563</v>
      </c>
      <c r="F1034" s="25">
        <v>43217</v>
      </c>
      <c r="G1034" s="61"/>
      <c r="H1034" s="67">
        <v>43213</v>
      </c>
      <c r="I1034" s="8"/>
      <c r="J1034" s="8"/>
      <c r="K1034" s="8"/>
      <c r="L1034" s="9" t="s">
        <v>299</v>
      </c>
      <c r="M1034" s="8"/>
    </row>
    <row r="1035" spans="1:13">
      <c r="A1035" s="62" t="s">
        <v>1567</v>
      </c>
      <c r="B1035" s="58">
        <v>4716989895</v>
      </c>
      <c r="C1035" s="63"/>
      <c r="D1035" s="60"/>
      <c r="E1035" s="9">
        <v>443</v>
      </c>
      <c r="F1035" s="25">
        <v>43188</v>
      </c>
      <c r="G1035" s="61"/>
      <c r="H1035" s="67">
        <v>43213</v>
      </c>
      <c r="I1035" s="8"/>
      <c r="J1035" s="8"/>
      <c r="K1035" s="8"/>
      <c r="L1035" s="8"/>
      <c r="M1035" s="8"/>
    </row>
    <row r="1036" spans="1:13">
      <c r="A1036" s="15" t="s">
        <v>1568</v>
      </c>
      <c r="B1036" s="58">
        <v>99570467304</v>
      </c>
      <c r="C1036" s="63" t="s">
        <v>1569</v>
      </c>
      <c r="D1036" s="60">
        <v>7702980877</v>
      </c>
      <c r="E1036" s="9">
        <v>229</v>
      </c>
      <c r="F1036" s="25">
        <v>43151</v>
      </c>
      <c r="G1036" s="61" t="s">
        <v>13</v>
      </c>
      <c r="H1036" s="67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1570</v>
      </c>
      <c r="B1037" s="58">
        <v>18710956549</v>
      </c>
      <c r="C1037" s="63" t="s">
        <v>1571</v>
      </c>
      <c r="D1037" s="60">
        <v>85859141572</v>
      </c>
      <c r="E1037" s="9">
        <v>1417</v>
      </c>
      <c r="F1037" s="25">
        <v>43017</v>
      </c>
      <c r="G1037" s="61" t="s">
        <v>13</v>
      </c>
      <c r="H1037" s="67">
        <v>43213</v>
      </c>
      <c r="I1037" s="8"/>
      <c r="J1037" s="8"/>
      <c r="K1037" s="8"/>
      <c r="L1037" s="9" t="s">
        <v>253</v>
      </c>
      <c r="M1037" s="8"/>
    </row>
    <row r="1038" spans="1:13">
      <c r="A1038" s="62" t="s">
        <v>1572</v>
      </c>
      <c r="B1038" s="58">
        <v>23377582819</v>
      </c>
      <c r="C1038" s="63"/>
      <c r="D1038" s="60"/>
      <c r="E1038" s="9"/>
      <c r="F1038" s="25"/>
      <c r="G1038" s="61"/>
      <c r="H1038" s="67">
        <v>43213</v>
      </c>
      <c r="I1038" s="8"/>
      <c r="J1038" s="8"/>
      <c r="K1038" s="8"/>
      <c r="L1038" s="8"/>
      <c r="M1038" s="8"/>
    </row>
    <row r="1039" spans="1:13">
      <c r="A1039" s="18" t="s">
        <v>1573</v>
      </c>
      <c r="B1039" s="58">
        <v>42748662890</v>
      </c>
      <c r="C1039" s="18" t="s">
        <v>1574</v>
      </c>
      <c r="D1039" s="60">
        <v>9455052482</v>
      </c>
      <c r="E1039" s="9"/>
      <c r="F1039" s="25"/>
      <c r="G1039" s="61"/>
      <c r="H1039" s="67">
        <v>43213</v>
      </c>
      <c r="I1039" s="8"/>
      <c r="J1039" s="8"/>
      <c r="K1039" s="8"/>
      <c r="L1039" s="8"/>
      <c r="M1039" s="8"/>
    </row>
    <row r="1040" spans="1:13">
      <c r="A1040" s="15" t="s">
        <v>1575</v>
      </c>
      <c r="B1040" s="58">
        <v>19523839861</v>
      </c>
      <c r="C1040" s="63"/>
      <c r="D1040" s="60"/>
      <c r="E1040" s="9">
        <v>262</v>
      </c>
      <c r="F1040" s="25">
        <v>43160</v>
      </c>
      <c r="G1040" s="61" t="s">
        <v>13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62" t="s">
        <v>1576</v>
      </c>
      <c r="B1041" s="58">
        <v>23367537829</v>
      </c>
      <c r="C1041" s="63" t="s">
        <v>1577</v>
      </c>
      <c r="D1041" s="60">
        <v>28648977843</v>
      </c>
      <c r="E1041" s="9"/>
      <c r="F1041" s="25"/>
      <c r="G1041" s="61"/>
      <c r="H1041" s="9"/>
      <c r="I1041" s="8"/>
      <c r="J1041" s="8"/>
      <c r="K1041" s="8"/>
      <c r="L1041" s="8"/>
      <c r="M1041" s="8"/>
    </row>
    <row r="1042" spans="1:13">
      <c r="A1042" s="62" t="s">
        <v>1578</v>
      </c>
      <c r="B1042" s="58">
        <v>26844429835</v>
      </c>
      <c r="C1042" s="63"/>
      <c r="D1042" s="60"/>
      <c r="E1042" s="9">
        <v>608</v>
      </c>
      <c r="F1042" s="25">
        <v>43012</v>
      </c>
      <c r="G1042" s="61" t="s">
        <v>13</v>
      </c>
      <c r="H1042" s="9"/>
      <c r="I1042" s="8"/>
      <c r="J1042" s="8"/>
      <c r="K1042" s="8"/>
      <c r="L1042" s="8"/>
      <c r="M1042" s="8"/>
    </row>
    <row r="1043" spans="1:13">
      <c r="A1043" s="15" t="s">
        <v>1579</v>
      </c>
      <c r="B1043" s="58">
        <v>32201392803</v>
      </c>
      <c r="C1043" s="63"/>
      <c r="D1043" s="60"/>
      <c r="E1043" s="9">
        <v>443</v>
      </c>
      <c r="F1043" s="25">
        <v>43188</v>
      </c>
      <c r="G1043" s="61"/>
      <c r="H1043" s="9"/>
      <c r="I1043" s="8"/>
      <c r="J1043" s="8"/>
      <c r="K1043" s="8"/>
      <c r="L1043" s="8"/>
      <c r="M1043" s="8"/>
    </row>
    <row r="1044" spans="1:13">
      <c r="A1044" s="15" t="s">
        <v>1580</v>
      </c>
      <c r="B1044" s="58">
        <v>22078152854</v>
      </c>
      <c r="C1044" s="63"/>
      <c r="D1044" s="60"/>
      <c r="E1044" s="9">
        <v>262</v>
      </c>
      <c r="F1044" s="25">
        <v>43160</v>
      </c>
      <c r="G1044" s="61" t="s">
        <v>13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62" t="s">
        <v>1581</v>
      </c>
      <c r="B1045" s="58">
        <v>35145273851</v>
      </c>
      <c r="C1045" s="63"/>
      <c r="D1045" s="60"/>
      <c r="E1045" s="9">
        <v>1752</v>
      </c>
      <c r="F1045" s="25">
        <v>43051</v>
      </c>
      <c r="G1045" s="61" t="s">
        <v>13</v>
      </c>
      <c r="H1045" s="9"/>
      <c r="I1045" s="8"/>
      <c r="J1045" s="8"/>
      <c r="K1045" s="8"/>
      <c r="L1045" s="9">
        <v>1759</v>
      </c>
      <c r="M1045" s="8"/>
    </row>
    <row r="1046" spans="1:13">
      <c r="A1046" s="62" t="s">
        <v>1582</v>
      </c>
      <c r="B1046" s="58">
        <v>74603671415</v>
      </c>
      <c r="C1046" s="63" t="s">
        <v>1583</v>
      </c>
      <c r="D1046" s="60">
        <v>28040569885</v>
      </c>
      <c r="E1046" s="9">
        <v>1267</v>
      </c>
      <c r="F1046" s="25">
        <v>42998</v>
      </c>
      <c r="G1046" s="61" t="s">
        <v>20</v>
      </c>
      <c r="H1046" s="9"/>
      <c r="I1046" s="8"/>
      <c r="J1046" s="8"/>
      <c r="K1046" s="8"/>
      <c r="L1046" s="8"/>
      <c r="M1046" s="8"/>
    </row>
    <row r="1047" spans="1:13">
      <c r="A1047" s="63" t="s">
        <v>1584</v>
      </c>
      <c r="B1047" s="58">
        <v>41590060865</v>
      </c>
      <c r="C1047" s="63" t="s">
        <v>1585</v>
      </c>
      <c r="D1047" s="60">
        <v>7785406693</v>
      </c>
      <c r="E1047" s="9"/>
      <c r="F1047" s="25"/>
      <c r="G1047" s="61"/>
      <c r="H1047" s="9"/>
      <c r="I1047" s="8"/>
      <c r="J1047" s="8"/>
      <c r="K1047" s="8"/>
      <c r="L1047" s="8"/>
      <c r="M1047" s="8"/>
    </row>
    <row r="1048" spans="1:13">
      <c r="A1048" s="62" t="s">
        <v>1586</v>
      </c>
      <c r="B1048" s="58">
        <v>35143134404</v>
      </c>
      <c r="C1048" s="63"/>
      <c r="D1048" s="60"/>
      <c r="E1048" s="9">
        <v>810</v>
      </c>
      <c r="F1048" s="25">
        <v>42915</v>
      </c>
      <c r="G1048" s="61" t="s">
        <v>13</v>
      </c>
      <c r="H1048" s="9"/>
      <c r="I1048" s="8"/>
      <c r="J1048" s="8"/>
      <c r="K1048" s="8"/>
      <c r="L1048" s="9" t="s">
        <v>138</v>
      </c>
      <c r="M1048" s="8"/>
    </row>
    <row r="1049" spans="1:13">
      <c r="A1049" s="13" t="s">
        <v>1587</v>
      </c>
      <c r="B1049" s="58">
        <v>35317818800</v>
      </c>
      <c r="C1049" s="59"/>
      <c r="D1049" s="60"/>
      <c r="E1049" s="9">
        <v>1128</v>
      </c>
      <c r="F1049" s="25">
        <v>42972</v>
      </c>
      <c r="G1049" s="61" t="s">
        <v>13</v>
      </c>
      <c r="H1049" s="9"/>
      <c r="I1049" s="8"/>
      <c r="J1049" s="8"/>
      <c r="K1049" s="8"/>
      <c r="L1049" s="8"/>
      <c r="M1049" s="8"/>
    </row>
    <row r="1050" spans="1:13">
      <c r="A1050" s="62" t="s">
        <v>1588</v>
      </c>
      <c r="B1050" s="58">
        <v>35741867898</v>
      </c>
      <c r="C1050" s="63" t="s">
        <v>1589</v>
      </c>
      <c r="D1050" s="60">
        <v>85005045368</v>
      </c>
      <c r="E1050" s="9">
        <v>1824</v>
      </c>
      <c r="F1050" s="25">
        <v>43091</v>
      </c>
      <c r="G1050" s="61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1590</v>
      </c>
      <c r="B1051" s="58">
        <v>6903933859</v>
      </c>
      <c r="C1051" s="59"/>
      <c r="D1051" s="60"/>
      <c r="E1051" s="9"/>
      <c r="F1051" s="25"/>
      <c r="G1051" s="61"/>
      <c r="H1051" s="9"/>
      <c r="I1051" s="8"/>
      <c r="J1051" s="8"/>
      <c r="K1051" s="8"/>
      <c r="L1051" s="8"/>
      <c r="M1051" s="8"/>
    </row>
    <row r="1052" spans="1:13">
      <c r="A1052" s="62" t="s">
        <v>1591</v>
      </c>
      <c r="B1052" s="58">
        <v>32799691072</v>
      </c>
      <c r="C1052" s="63"/>
      <c r="D1052" s="60"/>
      <c r="E1052" s="9">
        <v>527</v>
      </c>
      <c r="F1052" s="25">
        <v>43210</v>
      </c>
      <c r="G1052" s="61"/>
      <c r="H1052" s="9"/>
      <c r="I1052" s="8"/>
      <c r="J1052" s="8"/>
      <c r="K1052" s="8"/>
      <c r="L1052" s="9">
        <v>528</v>
      </c>
      <c r="M1052" s="8"/>
    </row>
    <row r="1053" spans="1:13">
      <c r="A1053" s="62" t="s">
        <v>1592</v>
      </c>
      <c r="B1053" s="58">
        <v>27928359820</v>
      </c>
      <c r="C1053" s="63" t="s">
        <v>1593</v>
      </c>
      <c r="D1053" s="60">
        <v>61803766468</v>
      </c>
      <c r="E1053" s="9">
        <v>810</v>
      </c>
      <c r="F1053" s="25">
        <v>42915</v>
      </c>
      <c r="G1053" s="61" t="s">
        <v>13</v>
      </c>
      <c r="H1053" s="9"/>
      <c r="I1053" s="8"/>
      <c r="J1053" s="8"/>
      <c r="K1053" s="8"/>
      <c r="L1053" s="9" t="s">
        <v>138</v>
      </c>
      <c r="M1053" s="8"/>
    </row>
    <row r="1054" spans="1:13">
      <c r="A1054" s="62" t="s">
        <v>1594</v>
      </c>
      <c r="B1054" s="58">
        <v>29008764865</v>
      </c>
      <c r="C1054" s="63"/>
      <c r="D1054" s="60"/>
      <c r="E1054" s="9">
        <v>292</v>
      </c>
      <c r="F1054" s="25">
        <v>43168</v>
      </c>
      <c r="G1054" s="9" t="s">
        <v>13</v>
      </c>
      <c r="H1054" s="9"/>
      <c r="I1054" s="8"/>
      <c r="J1054" s="8"/>
      <c r="K1054" s="8"/>
      <c r="L1054" s="9">
        <v>318</v>
      </c>
      <c r="M1054" s="8"/>
    </row>
    <row r="1055" spans="1:13">
      <c r="A1055" s="27" t="s">
        <v>1595</v>
      </c>
      <c r="B1055" s="58">
        <v>59431920506</v>
      </c>
      <c r="C1055" s="18" t="s">
        <v>129</v>
      </c>
      <c r="D1055" s="60"/>
      <c r="E1055" s="9"/>
      <c r="F1055" s="25"/>
      <c r="G1055" s="61"/>
      <c r="H1055" s="9"/>
      <c r="I1055" s="8"/>
      <c r="J1055" s="8"/>
      <c r="K1055" s="8"/>
      <c r="L1055" s="8"/>
      <c r="M1055" s="8"/>
    </row>
    <row r="1056" spans="1:13">
      <c r="A1056" s="13" t="s">
        <v>1596</v>
      </c>
      <c r="B1056" s="58">
        <v>10788957678</v>
      </c>
      <c r="C1056" s="59"/>
      <c r="D1056" s="60"/>
      <c r="E1056" s="9">
        <v>1128</v>
      </c>
      <c r="F1056" s="25">
        <v>42972</v>
      </c>
      <c r="G1056" s="61" t="s">
        <v>13</v>
      </c>
      <c r="H1056" s="9"/>
      <c r="I1056" s="8"/>
      <c r="J1056" s="8"/>
      <c r="K1056" s="8"/>
      <c r="L1056" s="8"/>
      <c r="M1056" s="8"/>
    </row>
    <row r="1057" spans="1:13">
      <c r="A1057" s="62" t="s">
        <v>1597</v>
      </c>
      <c r="B1057" s="58" t="s">
        <v>1598</v>
      </c>
      <c r="C1057" s="64"/>
      <c r="D1057" s="60"/>
      <c r="E1057" s="9"/>
      <c r="F1057" s="25"/>
      <c r="G1057" s="61"/>
      <c r="H1057" s="9"/>
      <c r="I1057" s="8"/>
      <c r="J1057" s="8"/>
      <c r="K1057" s="8"/>
      <c r="L1057" s="8"/>
      <c r="M1057" s="8"/>
    </row>
    <row r="1058" spans="1:13">
      <c r="A1058" s="62" t="s">
        <v>1599</v>
      </c>
      <c r="B1058" s="58">
        <v>34366747880</v>
      </c>
      <c r="C1058" s="68" t="s">
        <v>1600</v>
      </c>
      <c r="D1058" s="60">
        <v>718973569</v>
      </c>
      <c r="E1058" s="9">
        <v>563</v>
      </c>
      <c r="F1058" s="25">
        <v>43217</v>
      </c>
      <c r="G1058" s="61"/>
      <c r="H1058" s="9"/>
      <c r="I1058" s="8"/>
      <c r="J1058" s="8"/>
      <c r="K1058" s="8"/>
      <c r="L1058" s="9" t="s">
        <v>299</v>
      </c>
      <c r="M1058" s="8"/>
    </row>
    <row r="1059" spans="1:13">
      <c r="A1059" s="62" t="s">
        <v>1601</v>
      </c>
      <c r="B1059" s="58">
        <v>4170771575</v>
      </c>
      <c r="C1059" s="63"/>
      <c r="D1059" s="60"/>
      <c r="E1059" s="9">
        <v>1489</v>
      </c>
      <c r="F1059" s="25">
        <v>43038</v>
      </c>
      <c r="G1059" s="61" t="s">
        <v>13</v>
      </c>
      <c r="H1059" s="9"/>
      <c r="I1059" s="8"/>
      <c r="J1059" s="8"/>
      <c r="K1059" s="8"/>
      <c r="L1059" s="9" t="s">
        <v>160</v>
      </c>
      <c r="M1059" s="8"/>
    </row>
    <row r="1060" spans="1:13">
      <c r="A1060" s="14" t="s">
        <v>1602</v>
      </c>
      <c r="B1060" s="58">
        <v>48083873870</v>
      </c>
      <c r="C1060" s="63"/>
      <c r="D1060" s="60"/>
      <c r="E1060" s="9">
        <v>262</v>
      </c>
      <c r="F1060" s="25">
        <v>43160</v>
      </c>
      <c r="G1060" s="61" t="s">
        <v>13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1603</v>
      </c>
      <c r="B1061" s="58">
        <v>19580560811</v>
      </c>
      <c r="C1061" s="59" t="s">
        <v>1604</v>
      </c>
      <c r="D1061" s="60">
        <v>28925414848</v>
      </c>
      <c r="E1061" s="9">
        <v>1359</v>
      </c>
      <c r="F1061" s="25">
        <v>43006</v>
      </c>
      <c r="G1061" s="61" t="s">
        <v>20</v>
      </c>
      <c r="H1061" s="9"/>
      <c r="I1061" s="8"/>
      <c r="J1061" s="8"/>
      <c r="K1061" s="8"/>
      <c r="L1061" s="8"/>
      <c r="M1061" s="8"/>
    </row>
    <row r="1062" spans="1:13">
      <c r="A1062" s="27" t="s">
        <v>1605</v>
      </c>
      <c r="B1062" s="58">
        <v>34230472838</v>
      </c>
      <c r="C1062" s="9" t="s">
        <v>129</v>
      </c>
      <c r="D1062" s="60"/>
      <c r="E1062" s="9"/>
      <c r="F1062" s="25"/>
      <c r="G1062" s="61"/>
      <c r="H1062" s="9"/>
      <c r="I1062" s="8"/>
      <c r="J1062" s="8"/>
      <c r="K1062" s="8"/>
      <c r="L1062" s="8"/>
      <c r="M1062" s="8"/>
    </row>
    <row r="1063" spans="1:13">
      <c r="A1063" s="62" t="s">
        <v>1606</v>
      </c>
      <c r="B1063" s="58">
        <v>31353431894</v>
      </c>
      <c r="C1063" s="68"/>
      <c r="D1063" s="60"/>
      <c r="E1063" s="9"/>
      <c r="F1063" s="25"/>
      <c r="G1063" s="61"/>
      <c r="H1063" s="9"/>
      <c r="I1063" s="8"/>
      <c r="J1063" s="8"/>
      <c r="K1063" s="8"/>
      <c r="L1063" s="8"/>
      <c r="M1063" s="8"/>
    </row>
    <row r="1064" spans="1:13">
      <c r="A1064" s="62" t="s">
        <v>1607</v>
      </c>
      <c r="B1064" s="58">
        <v>42398811883</v>
      </c>
      <c r="C1064" s="63" t="s">
        <v>1608</v>
      </c>
      <c r="D1064" s="60">
        <v>33876650836</v>
      </c>
      <c r="E1064" s="9">
        <v>117</v>
      </c>
      <c r="F1064" s="25">
        <v>43117</v>
      </c>
      <c r="G1064" s="61" t="s">
        <v>20</v>
      </c>
      <c r="H1064" s="9"/>
      <c r="I1064" s="8"/>
      <c r="J1064" s="8"/>
      <c r="K1064" s="8"/>
      <c r="L1064" s="9" t="s">
        <v>170</v>
      </c>
      <c r="M1064" s="8"/>
    </row>
    <row r="1065" spans="1:13">
      <c r="A1065" s="13" t="s">
        <v>1609</v>
      </c>
      <c r="B1065" s="58">
        <v>3876363829</v>
      </c>
      <c r="C1065" s="63" t="s">
        <v>1610</v>
      </c>
      <c r="D1065" s="60">
        <v>9491364847</v>
      </c>
      <c r="E1065" s="9">
        <v>1359</v>
      </c>
      <c r="F1065" s="25">
        <v>43006</v>
      </c>
      <c r="G1065" s="61" t="s">
        <v>13</v>
      </c>
      <c r="H1065" s="9"/>
      <c r="I1065" s="8"/>
      <c r="J1065" s="8"/>
      <c r="K1065" s="8"/>
      <c r="L1065" s="8"/>
      <c r="M1065" s="8"/>
    </row>
    <row r="1066" spans="1:13">
      <c r="A1066" s="62" t="s">
        <v>1611</v>
      </c>
      <c r="B1066" s="58">
        <v>27340044884</v>
      </c>
      <c r="C1066" s="63" t="s">
        <v>1612</v>
      </c>
      <c r="D1066" s="60">
        <v>12555941878</v>
      </c>
      <c r="E1066" s="9"/>
      <c r="F1066" s="25"/>
      <c r="G1066" s="61"/>
      <c r="H1066" s="9"/>
      <c r="I1066" s="8"/>
      <c r="J1066" s="8"/>
      <c r="K1066" s="8"/>
      <c r="L1066" s="8"/>
      <c r="M1066" s="8"/>
    </row>
    <row r="1067" spans="1:13">
      <c r="A1067" s="15" t="s">
        <v>1613</v>
      </c>
      <c r="B1067" s="58">
        <v>5282573580</v>
      </c>
      <c r="C1067" s="63"/>
      <c r="D1067" s="60"/>
      <c r="E1067" s="9">
        <v>527</v>
      </c>
      <c r="F1067" s="25">
        <v>43210</v>
      </c>
      <c r="G1067" s="61"/>
      <c r="H1067" s="9"/>
      <c r="I1067" s="8"/>
      <c r="J1067" s="8"/>
      <c r="K1067" s="8"/>
      <c r="L1067" s="9">
        <v>528</v>
      </c>
      <c r="M1067" s="8"/>
    </row>
    <row r="1068" spans="1:13">
      <c r="A1068" s="64" t="s">
        <v>1614</v>
      </c>
      <c r="B1068" s="58">
        <v>38422303892</v>
      </c>
      <c r="C1068" s="63" t="s">
        <v>1615</v>
      </c>
      <c r="D1068" s="60">
        <v>33753889857</v>
      </c>
      <c r="E1068" s="9">
        <v>608</v>
      </c>
      <c r="F1068" s="25">
        <v>43012</v>
      </c>
      <c r="G1068" s="61" t="s">
        <v>13</v>
      </c>
      <c r="H1068" s="9"/>
      <c r="I1068" s="8"/>
      <c r="J1068" s="8"/>
      <c r="K1068" s="8"/>
      <c r="L1068" s="8"/>
      <c r="M1068" s="8"/>
    </row>
    <row r="1069" spans="1:13">
      <c r="A1069" s="13" t="s">
        <v>1616</v>
      </c>
      <c r="B1069" s="58">
        <v>36171676837</v>
      </c>
      <c r="C1069" s="59" t="s">
        <v>1617</v>
      </c>
      <c r="D1069" s="60">
        <v>1470162580</v>
      </c>
      <c r="E1069" s="9">
        <v>1128</v>
      </c>
      <c r="F1069" s="25">
        <v>42972</v>
      </c>
      <c r="G1069" s="61" t="s">
        <v>13</v>
      </c>
      <c r="H1069" s="9"/>
      <c r="I1069" s="8"/>
      <c r="J1069" s="8"/>
      <c r="K1069" s="8"/>
      <c r="L1069" s="8"/>
      <c r="M1069" s="8"/>
    </row>
    <row r="1070" spans="1:13">
      <c r="A1070" s="14" t="s">
        <v>1618</v>
      </c>
      <c r="B1070" s="58">
        <v>42047014859</v>
      </c>
      <c r="C1070" s="63" t="s">
        <v>1619</v>
      </c>
      <c r="D1070" s="60">
        <v>9300065424</v>
      </c>
      <c r="E1070" s="9">
        <v>1417</v>
      </c>
      <c r="F1070" s="25">
        <v>43017</v>
      </c>
      <c r="G1070" s="61" t="s">
        <v>20</v>
      </c>
      <c r="H1070" s="9"/>
      <c r="I1070" s="8"/>
      <c r="J1070" s="8"/>
      <c r="K1070" s="8"/>
      <c r="L1070" s="9" t="s">
        <v>253</v>
      </c>
      <c r="M1070" s="8"/>
    </row>
    <row r="1071" spans="1:13">
      <c r="A1071" s="27" t="s">
        <v>1620</v>
      </c>
      <c r="B1071" s="58">
        <v>34822545830</v>
      </c>
      <c r="C1071" s="18" t="s">
        <v>129</v>
      </c>
      <c r="D1071" s="60"/>
      <c r="E1071" s="9"/>
      <c r="F1071" s="25"/>
      <c r="G1071" s="61"/>
      <c r="H1071" s="9"/>
      <c r="I1071" s="8"/>
      <c r="J1071" s="8"/>
      <c r="K1071" s="8"/>
      <c r="L1071" s="8"/>
      <c r="M1071" s="8"/>
    </row>
    <row r="1072" spans="1:13">
      <c r="A1072" s="14" t="s">
        <v>1621</v>
      </c>
      <c r="B1072" s="58">
        <v>33014247839</v>
      </c>
      <c r="C1072" s="63"/>
      <c r="D1072" s="60"/>
      <c r="E1072" s="9"/>
      <c r="F1072" s="25"/>
      <c r="G1072" s="61"/>
      <c r="H1072" s="9"/>
      <c r="I1072" s="8"/>
      <c r="J1072" s="8"/>
      <c r="K1072" s="8"/>
      <c r="L1072" s="8"/>
      <c r="M1072" s="8"/>
    </row>
    <row r="1073" spans="1:13">
      <c r="A1073" s="62" t="s">
        <v>1622</v>
      </c>
      <c r="B1073" s="58">
        <v>26844627807</v>
      </c>
      <c r="C1073" s="63"/>
      <c r="D1073" s="60"/>
      <c r="E1073" s="9">
        <v>608</v>
      </c>
      <c r="F1073" s="25">
        <v>43012</v>
      </c>
      <c r="G1073" s="61" t="s">
        <v>13</v>
      </c>
      <c r="H1073" s="9"/>
      <c r="I1073" s="8"/>
      <c r="J1073" s="8"/>
      <c r="K1073" s="8"/>
      <c r="L1073" s="8"/>
      <c r="M1073" s="8"/>
    </row>
    <row r="1074" spans="1:13">
      <c r="A1074" s="62" t="s">
        <v>1623</v>
      </c>
      <c r="B1074" s="58">
        <v>1737249308</v>
      </c>
      <c r="C1074" s="63" t="s">
        <v>1624</v>
      </c>
      <c r="D1074" s="60">
        <v>31936321807</v>
      </c>
      <c r="E1074" s="9"/>
      <c r="F1074" s="25"/>
      <c r="G1074" s="61"/>
      <c r="H1074" s="9"/>
      <c r="I1074" s="8"/>
      <c r="J1074" s="8"/>
      <c r="K1074" s="8"/>
      <c r="L1074" s="8"/>
      <c r="M1074" s="8"/>
    </row>
    <row r="1075" spans="1:13">
      <c r="A1075" s="62" t="s">
        <v>1625</v>
      </c>
      <c r="B1075" s="58">
        <v>3844142576</v>
      </c>
      <c r="C1075" s="63" t="s">
        <v>1626</v>
      </c>
      <c r="D1075" s="60">
        <v>35502503801</v>
      </c>
      <c r="E1075" s="9">
        <v>810</v>
      </c>
      <c r="F1075" s="25">
        <v>42915</v>
      </c>
      <c r="G1075" s="61" t="s">
        <v>13</v>
      </c>
      <c r="H1075" s="9"/>
      <c r="I1075" s="8"/>
      <c r="J1075" s="8"/>
      <c r="K1075" s="8"/>
      <c r="L1075" s="9" t="s">
        <v>138</v>
      </c>
      <c r="M1075" s="8"/>
    </row>
    <row r="1076" spans="1:13">
      <c r="A1076" s="62" t="s">
        <v>1627</v>
      </c>
      <c r="B1076" s="58">
        <v>36588472803</v>
      </c>
      <c r="C1076" s="63"/>
      <c r="D1076" s="60"/>
      <c r="E1076" s="9"/>
      <c r="F1076" s="25"/>
      <c r="G1076" s="61"/>
      <c r="H1076" s="9"/>
      <c r="I1076" s="8"/>
      <c r="J1076" s="8"/>
      <c r="K1076" s="8"/>
      <c r="L1076" s="8"/>
      <c r="M1076" s="8"/>
    </row>
    <row r="1077" spans="1:13">
      <c r="A1077" s="13" t="s">
        <v>1628</v>
      </c>
      <c r="B1077" s="58">
        <v>3790378402</v>
      </c>
      <c r="C1077" s="59"/>
      <c r="D1077" s="60"/>
      <c r="E1077" s="9">
        <v>1128</v>
      </c>
      <c r="F1077" s="25">
        <v>42972</v>
      </c>
      <c r="G1077" s="61" t="s">
        <v>13</v>
      </c>
      <c r="H1077" s="9"/>
      <c r="I1077" s="8"/>
      <c r="J1077" s="8"/>
      <c r="K1077" s="8"/>
      <c r="L1077" s="8"/>
      <c r="M1077" s="8"/>
    </row>
    <row r="1078" spans="1:13">
      <c r="A1078" s="28" t="s">
        <v>1629</v>
      </c>
      <c r="B1078" s="58">
        <v>5864113565</v>
      </c>
      <c r="C1078" s="63"/>
      <c r="D1078" s="60"/>
      <c r="E1078" s="9"/>
      <c r="F1078" s="25"/>
      <c r="G1078" s="61"/>
      <c r="H1078" s="9"/>
      <c r="I1078" s="8"/>
      <c r="J1078" s="8"/>
      <c r="K1078" s="8"/>
      <c r="L1078" s="8"/>
      <c r="M1078" s="8"/>
    </row>
    <row r="1079" spans="1:13">
      <c r="A1079" s="62" t="s">
        <v>1630</v>
      </c>
      <c r="B1079" s="58">
        <v>34853166874</v>
      </c>
      <c r="C1079" s="63"/>
      <c r="D1079" s="60"/>
      <c r="E1079" s="9">
        <v>117</v>
      </c>
      <c r="F1079" s="25">
        <v>43117</v>
      </c>
      <c r="G1079" s="61" t="s">
        <v>13</v>
      </c>
      <c r="H1079" s="9"/>
      <c r="I1079" s="8"/>
      <c r="J1079" s="8"/>
      <c r="K1079" s="8"/>
      <c r="L1079" s="9" t="s">
        <v>170</v>
      </c>
      <c r="M1079" s="8"/>
    </row>
    <row r="1080" spans="1:13">
      <c r="A1080" s="18" t="s">
        <v>1631</v>
      </c>
      <c r="B1080" s="58">
        <v>35794263890</v>
      </c>
      <c r="C1080" s="18"/>
      <c r="D1080" s="60"/>
      <c r="E1080" s="9"/>
      <c r="F1080" s="25"/>
      <c r="G1080" s="61"/>
      <c r="H1080" s="9"/>
      <c r="I1080" s="8"/>
      <c r="J1080" s="8"/>
      <c r="K1080" s="8"/>
      <c r="L1080" s="8"/>
      <c r="M1080" s="8"/>
    </row>
    <row r="1081" spans="1:13">
      <c r="A1081" s="15" t="s">
        <v>1632</v>
      </c>
      <c r="B1081" s="58">
        <v>44410556843</v>
      </c>
      <c r="C1081" s="63" t="s">
        <v>1633</v>
      </c>
      <c r="D1081" s="60">
        <v>39436457898</v>
      </c>
      <c r="E1081" s="9">
        <v>262</v>
      </c>
      <c r="F1081" s="25">
        <v>43160</v>
      </c>
      <c r="G1081" s="61" t="s">
        <v>13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63" t="s">
        <v>1634</v>
      </c>
      <c r="B1082" s="58">
        <v>36357540803</v>
      </c>
      <c r="C1082" s="63"/>
      <c r="D1082" s="60"/>
      <c r="E1082" s="9">
        <v>292</v>
      </c>
      <c r="F1082" s="25">
        <v>43168</v>
      </c>
      <c r="G1082" s="9" t="s">
        <v>13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1635</v>
      </c>
      <c r="B1083" s="58">
        <v>29089297839</v>
      </c>
      <c r="C1083" s="63"/>
      <c r="D1083" s="60"/>
      <c r="E1083" s="9"/>
      <c r="F1083" s="25"/>
      <c r="G1083" s="61"/>
      <c r="H1083" s="9"/>
      <c r="I1083" s="8"/>
      <c r="J1083" s="8"/>
      <c r="K1083" s="8"/>
      <c r="L1083" s="8"/>
      <c r="M1083" s="8"/>
    </row>
    <row r="1084" spans="1:13">
      <c r="A1084" s="63" t="s">
        <v>1636</v>
      </c>
      <c r="B1084" s="58">
        <v>7838810884</v>
      </c>
      <c r="C1084" s="63" t="s">
        <v>1637</v>
      </c>
      <c r="D1084" s="60">
        <v>49312413449</v>
      </c>
      <c r="E1084" s="9">
        <v>573</v>
      </c>
      <c r="F1084" s="25">
        <v>43224</v>
      </c>
      <c r="G1084" s="61"/>
      <c r="H1084" s="9"/>
      <c r="I1084" s="8"/>
      <c r="J1084" s="8"/>
      <c r="K1084" s="8"/>
      <c r="L1084" s="8"/>
      <c r="M1084" s="8"/>
    </row>
    <row r="1085" spans="1:13">
      <c r="A1085" s="15" t="s">
        <v>1638</v>
      </c>
      <c r="B1085" s="58">
        <v>30707658829</v>
      </c>
      <c r="C1085" s="63"/>
      <c r="D1085" s="60"/>
      <c r="E1085" s="9">
        <v>423</v>
      </c>
      <c r="F1085" s="25">
        <v>43182</v>
      </c>
      <c r="G1085" s="61" t="s">
        <v>13</v>
      </c>
      <c r="H1085" s="9"/>
      <c r="I1085" s="8"/>
      <c r="J1085" s="8"/>
      <c r="K1085" s="8"/>
      <c r="L1085" s="8"/>
      <c r="M1085" s="8"/>
    </row>
    <row r="1086" spans="1:13">
      <c r="A1086" s="64" t="s">
        <v>1639</v>
      </c>
      <c r="B1086" s="58">
        <v>18239878857</v>
      </c>
      <c r="C1086" s="63" t="s">
        <v>1640</v>
      </c>
      <c r="D1086" s="60">
        <v>18871709870</v>
      </c>
      <c r="E1086" s="9">
        <v>85</v>
      </c>
      <c r="F1086" s="25">
        <v>43109</v>
      </c>
      <c r="G1086" s="61" t="s">
        <v>13</v>
      </c>
      <c r="H1086" s="25">
        <v>43151</v>
      </c>
      <c r="I1086" s="8"/>
      <c r="J1086" s="8"/>
      <c r="K1086" s="8"/>
      <c r="L1086" s="8"/>
      <c r="M1086" s="8"/>
    </row>
    <row r="1087" spans="1:13">
      <c r="A1087" s="27" t="s">
        <v>1641</v>
      </c>
      <c r="B1087" s="58">
        <v>33213821802</v>
      </c>
      <c r="C1087" s="18" t="s">
        <v>129</v>
      </c>
      <c r="D1087" s="60"/>
      <c r="E1087" s="9"/>
      <c r="F1087" s="25"/>
      <c r="G1087" s="61"/>
      <c r="H1087" s="9"/>
      <c r="I1087" s="8"/>
      <c r="J1087" s="8"/>
      <c r="K1087" s="8"/>
      <c r="L1087" s="8"/>
      <c r="M1087" s="8"/>
    </row>
    <row r="1088" spans="1:13">
      <c r="A1088" s="62" t="s">
        <v>1642</v>
      </c>
      <c r="B1088" s="58">
        <v>39075719833</v>
      </c>
      <c r="C1088" s="63" t="s">
        <v>1643</v>
      </c>
      <c r="D1088" s="60">
        <v>29754975809</v>
      </c>
      <c r="E1088" s="9">
        <v>810</v>
      </c>
      <c r="F1088" s="25">
        <v>42915</v>
      </c>
      <c r="G1088" s="61" t="s">
        <v>20</v>
      </c>
      <c r="H1088" s="9"/>
      <c r="I1088" s="8"/>
      <c r="J1088" s="8"/>
      <c r="K1088" s="8"/>
      <c r="L1088" s="9" t="s">
        <v>138</v>
      </c>
      <c r="M1088" s="8"/>
    </row>
    <row r="1089" spans="1:13">
      <c r="A1089" s="62" t="s">
        <v>1644</v>
      </c>
      <c r="B1089" s="58">
        <v>22599824842</v>
      </c>
      <c r="C1089" s="64" t="s">
        <v>1645</v>
      </c>
      <c r="D1089" s="60" t="s">
        <v>1646</v>
      </c>
      <c r="E1089" s="9">
        <v>573</v>
      </c>
      <c r="F1089" s="25">
        <v>43224</v>
      </c>
      <c r="G1089" s="61"/>
      <c r="H1089" s="9"/>
      <c r="I1089" s="8"/>
      <c r="J1089" s="8"/>
      <c r="K1089" s="8"/>
      <c r="L1089" s="8"/>
      <c r="M1089" s="8"/>
    </row>
    <row r="1090" spans="1:13">
      <c r="A1090" s="62" t="s">
        <v>1647</v>
      </c>
      <c r="B1090" s="58">
        <v>41719739889</v>
      </c>
      <c r="C1090" s="63" t="s">
        <v>1648</v>
      </c>
      <c r="D1090" s="60">
        <v>35883252800</v>
      </c>
      <c r="E1090" s="9">
        <v>1752</v>
      </c>
      <c r="F1090" s="25">
        <v>43051</v>
      </c>
      <c r="G1090" s="61" t="s">
        <v>13</v>
      </c>
      <c r="H1090" s="9"/>
      <c r="I1090" s="8"/>
      <c r="J1090" s="8"/>
      <c r="K1090" s="8"/>
      <c r="L1090" s="9">
        <v>1759</v>
      </c>
      <c r="M1090" s="8"/>
    </row>
    <row r="1091" spans="1:13">
      <c r="A1091" s="63" t="s">
        <v>1649</v>
      </c>
      <c r="B1091" s="58">
        <v>31524778800</v>
      </c>
      <c r="C1091" s="63" t="s">
        <v>1650</v>
      </c>
      <c r="D1091" s="60">
        <v>7322672852</v>
      </c>
      <c r="E1091" s="9"/>
      <c r="F1091" s="25"/>
      <c r="G1091" s="61"/>
      <c r="H1091" s="9"/>
      <c r="I1091" s="8"/>
      <c r="J1091" s="8"/>
      <c r="K1091" s="8"/>
      <c r="L1091" s="8"/>
      <c r="M1091" s="8"/>
    </row>
    <row r="1092" spans="1:13">
      <c r="A1092" s="15" t="s">
        <v>1651</v>
      </c>
      <c r="B1092" s="58">
        <v>44807003828</v>
      </c>
      <c r="C1092" s="63"/>
      <c r="D1092" s="60"/>
      <c r="E1092" s="9"/>
      <c r="F1092" s="25"/>
      <c r="G1092" s="61"/>
      <c r="H1092" s="9"/>
      <c r="I1092" s="8"/>
      <c r="J1092" s="8"/>
      <c r="K1092" s="8"/>
      <c r="L1092" s="8"/>
      <c r="M1092" s="8"/>
    </row>
    <row r="1093" spans="1:13">
      <c r="A1093" s="18" t="s">
        <v>1652</v>
      </c>
      <c r="B1093" s="58"/>
      <c r="C1093" s="18"/>
      <c r="D1093" s="60"/>
      <c r="E1093" s="9"/>
      <c r="F1093" s="25"/>
      <c r="G1093" s="61"/>
      <c r="H1093" s="9"/>
      <c r="I1093" s="8"/>
      <c r="J1093" s="8"/>
      <c r="K1093" s="8"/>
      <c r="L1093" s="8"/>
      <c r="M1093" s="8"/>
    </row>
    <row r="1094" spans="1:13">
      <c r="A1094" s="62" t="s">
        <v>1653</v>
      </c>
      <c r="B1094" s="58">
        <v>6614830376</v>
      </c>
      <c r="C1094" s="63" t="s">
        <v>1654</v>
      </c>
      <c r="D1094" s="60">
        <v>6372277352</v>
      </c>
      <c r="E1094" s="9">
        <v>229</v>
      </c>
      <c r="F1094" s="25">
        <v>43151</v>
      </c>
      <c r="G1094" s="61" t="s">
        <v>13</v>
      </c>
      <c r="H1094" s="9"/>
      <c r="I1094" s="8"/>
      <c r="J1094" s="8"/>
      <c r="K1094" s="8"/>
      <c r="L1094" s="9">
        <v>232</v>
      </c>
      <c r="M1094" s="8"/>
    </row>
    <row r="1095" spans="1:13">
      <c r="A1095" s="62" t="s">
        <v>1655</v>
      </c>
      <c r="B1095" s="58">
        <v>44518229800</v>
      </c>
      <c r="C1095" s="63"/>
      <c r="D1095" s="60"/>
      <c r="E1095" s="9"/>
      <c r="F1095" s="25"/>
      <c r="G1095" s="61"/>
      <c r="H1095" s="9"/>
      <c r="I1095" s="8"/>
      <c r="J1095" s="8"/>
      <c r="K1095" s="8"/>
      <c r="L1095" s="8"/>
      <c r="M1095" s="8"/>
    </row>
    <row r="1096" spans="1:13">
      <c r="A1096" s="62" t="s">
        <v>1656</v>
      </c>
      <c r="B1096" s="58">
        <v>36382134805</v>
      </c>
      <c r="C1096" s="63"/>
      <c r="D1096" s="60"/>
      <c r="E1096" s="9">
        <v>1359</v>
      </c>
      <c r="F1096" s="25">
        <v>43006</v>
      </c>
      <c r="G1096" s="61" t="s">
        <v>13</v>
      </c>
      <c r="H1096" s="9"/>
      <c r="I1096" s="8"/>
      <c r="J1096" s="8"/>
      <c r="K1096" s="8"/>
      <c r="L1096" s="8"/>
      <c r="M1096" s="8"/>
    </row>
    <row r="1097" spans="1:13">
      <c r="A1097" s="62" t="s">
        <v>1657</v>
      </c>
      <c r="B1097" s="58">
        <v>25670732804</v>
      </c>
      <c r="C1097" s="63"/>
      <c r="D1097" s="60"/>
      <c r="E1097" s="9"/>
      <c r="F1097" s="25"/>
      <c r="G1097" s="61"/>
      <c r="H1097" s="9"/>
      <c r="I1097" s="8"/>
      <c r="J1097" s="8"/>
      <c r="K1097" s="8"/>
      <c r="L1097" s="8"/>
      <c r="M1097" s="8"/>
    </row>
    <row r="1098" spans="1:13">
      <c r="A1098" s="15" t="s">
        <v>1658</v>
      </c>
      <c r="B1098" s="58">
        <v>98438107591</v>
      </c>
      <c r="C1098" s="63"/>
      <c r="D1098" s="60"/>
      <c r="E1098" s="9">
        <v>85</v>
      </c>
      <c r="F1098" s="25">
        <v>43109</v>
      </c>
      <c r="G1098" s="61" t="s">
        <v>13</v>
      </c>
      <c r="H1098" s="25">
        <v>43151</v>
      </c>
      <c r="I1098" s="8"/>
      <c r="J1098" s="8"/>
      <c r="K1098" s="8"/>
      <c r="L1098" s="8"/>
      <c r="M1098" s="8"/>
    </row>
    <row r="1099" spans="1:13">
      <c r="A1099" s="27" t="s">
        <v>1659</v>
      </c>
      <c r="B1099" s="58">
        <v>23047254818</v>
      </c>
      <c r="C1099" s="18" t="s">
        <v>129</v>
      </c>
      <c r="D1099" s="60"/>
      <c r="E1099" s="9"/>
      <c r="F1099" s="25"/>
      <c r="G1099" s="61"/>
      <c r="H1099" s="9"/>
      <c r="I1099" s="8"/>
      <c r="J1099" s="8"/>
      <c r="K1099" s="8"/>
      <c r="L1099" s="8"/>
      <c r="M1099" s="8"/>
    </row>
    <row r="1100" spans="1:13">
      <c r="A1100" s="63" t="s">
        <v>1660</v>
      </c>
      <c r="B1100" s="60">
        <v>15755371504</v>
      </c>
      <c r="C1100" s="62" t="s">
        <v>1661</v>
      </c>
      <c r="D1100" s="58">
        <v>14596377553</v>
      </c>
      <c r="E1100" s="9"/>
      <c r="F1100" s="25"/>
      <c r="G1100" s="61"/>
      <c r="H1100" s="9"/>
      <c r="I1100" s="8"/>
      <c r="J1100" s="8"/>
      <c r="K1100" s="8"/>
      <c r="L1100" s="8"/>
      <c r="M1100" s="8"/>
    </row>
    <row r="1101" spans="1:13">
      <c r="A1101" s="27" t="s">
        <v>1662</v>
      </c>
      <c r="B1101" s="58"/>
      <c r="C1101" s="27" t="s">
        <v>129</v>
      </c>
      <c r="D1101" s="60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64" t="s">
        <v>1663</v>
      </c>
      <c r="B1102" s="58">
        <v>37975016845</v>
      </c>
      <c r="C1102" s="63" t="s">
        <v>1664</v>
      </c>
      <c r="D1102" s="60">
        <v>31274964865</v>
      </c>
      <c r="E1102" s="9">
        <v>810</v>
      </c>
      <c r="F1102" s="25">
        <v>42915</v>
      </c>
      <c r="G1102" s="61" t="s">
        <v>13</v>
      </c>
      <c r="H1102" s="9"/>
      <c r="I1102" s="8"/>
      <c r="J1102" s="8"/>
      <c r="K1102" s="8"/>
      <c r="L1102" s="9" t="s">
        <v>138</v>
      </c>
      <c r="M1102" s="8"/>
    </row>
    <row r="1103" spans="1:13">
      <c r="A1103" s="62" t="s">
        <v>1665</v>
      </c>
      <c r="B1103" s="58">
        <v>40964976811</v>
      </c>
      <c r="C1103" s="63"/>
      <c r="D1103" s="60"/>
      <c r="E1103" s="9">
        <v>573</v>
      </c>
      <c r="F1103" s="25">
        <v>43224</v>
      </c>
      <c r="G1103" s="61"/>
      <c r="H1103" s="9"/>
      <c r="I1103" s="8"/>
      <c r="J1103" s="8"/>
      <c r="K1103" s="8"/>
      <c r="L1103" s="8"/>
      <c r="M1103" s="8"/>
    </row>
    <row r="1104" spans="1:13">
      <c r="A1104" s="15" t="s">
        <v>1666</v>
      </c>
      <c r="B1104" s="58">
        <v>28077257836</v>
      </c>
      <c r="C1104" s="63"/>
      <c r="D1104" s="60"/>
      <c r="E1104" s="9"/>
      <c r="F1104" s="25"/>
      <c r="G1104" s="61"/>
      <c r="H1104" s="9"/>
      <c r="I1104" s="8"/>
      <c r="J1104" s="8"/>
      <c r="K1104" s="8"/>
      <c r="L1104" s="8"/>
      <c r="M1104" s="8"/>
    </row>
    <row r="1105" spans="1:13">
      <c r="A1105" s="62" t="s">
        <v>1667</v>
      </c>
      <c r="B1105" s="58">
        <v>16130607857</v>
      </c>
      <c r="C1105" s="63"/>
      <c r="D1105" s="60"/>
      <c r="E1105" s="9">
        <v>117</v>
      </c>
      <c r="F1105" s="25">
        <v>43117</v>
      </c>
      <c r="G1105" s="61" t="s">
        <v>13</v>
      </c>
      <c r="H1105" s="9"/>
      <c r="I1105" s="8"/>
      <c r="J1105" s="8"/>
      <c r="K1105" s="8"/>
      <c r="L1105" s="9" t="s">
        <v>170</v>
      </c>
      <c r="M1105" s="8"/>
    </row>
    <row r="1106" spans="1:13">
      <c r="A1106" s="14" t="s">
        <v>1668</v>
      </c>
      <c r="B1106" s="58">
        <v>27747323875</v>
      </c>
      <c r="C1106" s="63"/>
      <c r="D1106" s="60"/>
      <c r="E1106" s="9">
        <v>262</v>
      </c>
      <c r="F1106" s="25">
        <v>43160</v>
      </c>
      <c r="G1106" s="61" t="s">
        <v>13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1669</v>
      </c>
      <c r="B1107" s="58">
        <v>46889759885</v>
      </c>
      <c r="C1107" s="63"/>
      <c r="D1107" s="60"/>
      <c r="E1107" s="9"/>
      <c r="F1107" s="25"/>
      <c r="G1107" s="61"/>
      <c r="H1107" s="9"/>
      <c r="I1107" s="8"/>
      <c r="J1107" s="8"/>
      <c r="K1107" s="8"/>
      <c r="L1107" s="8"/>
      <c r="M1107" s="8"/>
    </row>
    <row r="1108" spans="1:13">
      <c r="A1108" s="62" t="s">
        <v>1670</v>
      </c>
      <c r="B1108" s="58">
        <v>22833429886</v>
      </c>
      <c r="C1108" s="63"/>
      <c r="D1108" s="60"/>
      <c r="E1108" s="9">
        <v>1752</v>
      </c>
      <c r="F1108" s="25">
        <v>43051</v>
      </c>
      <c r="G1108" s="74" t="s">
        <v>13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1671</v>
      </c>
      <c r="B1109" s="58">
        <v>15957110582</v>
      </c>
      <c r="C1109" s="78"/>
      <c r="D1109" s="60"/>
      <c r="E1109" s="9"/>
      <c r="F1109" s="25"/>
      <c r="G1109" s="61"/>
      <c r="H1109" s="9"/>
      <c r="I1109" s="8"/>
      <c r="J1109" s="8"/>
      <c r="K1109" s="8"/>
      <c r="L1109" s="8"/>
      <c r="M1109" s="8"/>
    </row>
    <row r="1110" spans="1:13">
      <c r="A1110" s="18" t="s">
        <v>1672</v>
      </c>
      <c r="B1110" s="58">
        <v>14913495810</v>
      </c>
      <c r="C1110" s="18"/>
      <c r="D1110" s="60"/>
      <c r="E1110" s="9"/>
      <c r="F1110" s="25"/>
      <c r="G1110" s="61"/>
      <c r="H1110" s="9"/>
      <c r="I1110" s="8"/>
      <c r="J1110" s="8"/>
      <c r="K1110" s="8"/>
      <c r="L1110" s="8"/>
      <c r="M1110" s="8"/>
    </row>
    <row r="1111" spans="1:13">
      <c r="A1111" s="62" t="s">
        <v>1673</v>
      </c>
      <c r="B1111" s="58">
        <v>7604072828</v>
      </c>
      <c r="C1111" s="63"/>
      <c r="D1111" s="60"/>
      <c r="E1111" s="9">
        <v>262</v>
      </c>
      <c r="F1111" s="25">
        <v>43160</v>
      </c>
      <c r="G1111" s="9" t="s">
        <v>13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7" t="s">
        <v>1674</v>
      </c>
      <c r="B1112" s="58"/>
      <c r="C1112" s="27" t="s">
        <v>1675</v>
      </c>
      <c r="D1112" s="60"/>
      <c r="E1112" s="9"/>
      <c r="F1112" s="25"/>
      <c r="G1112" s="61"/>
      <c r="H1112" s="9"/>
      <c r="I1112" s="8"/>
      <c r="J1112" s="8"/>
      <c r="K1112" s="8"/>
      <c r="L1112" s="8"/>
      <c r="M1112" s="8"/>
    </row>
    <row r="1113" spans="1:13">
      <c r="A1113" s="18" t="s">
        <v>1676</v>
      </c>
      <c r="B1113" s="58"/>
      <c r="C1113" s="18"/>
      <c r="D1113" s="60"/>
      <c r="E1113" s="9"/>
      <c r="F1113" s="25"/>
      <c r="G1113" s="61"/>
      <c r="H1113" s="9"/>
      <c r="I1113" s="8"/>
      <c r="J1113" s="8"/>
      <c r="K1113" s="8"/>
      <c r="L1113" s="8"/>
      <c r="M1113" s="8"/>
    </row>
    <row r="1114" spans="1:13">
      <c r="A1114" s="15" t="s">
        <v>1677</v>
      </c>
      <c r="B1114" s="58">
        <v>4983532811</v>
      </c>
      <c r="C1114" s="63"/>
      <c r="D1114" s="60"/>
      <c r="E1114" s="9"/>
      <c r="F1114" s="25"/>
      <c r="G1114" s="61"/>
      <c r="H1114" s="9"/>
      <c r="I1114" s="8"/>
      <c r="J1114" s="8"/>
      <c r="K1114" s="8"/>
      <c r="L1114" s="8"/>
      <c r="M1114" s="8"/>
    </row>
    <row r="1115" spans="1:13">
      <c r="A1115" s="18" t="s">
        <v>1678</v>
      </c>
      <c r="B1115" s="58">
        <v>31228148899</v>
      </c>
      <c r="C1115" s="18" t="s">
        <v>1679</v>
      </c>
      <c r="D1115" s="60">
        <v>37290767870</v>
      </c>
      <c r="E1115" s="9"/>
      <c r="F1115" s="25"/>
      <c r="G1115" s="61"/>
      <c r="H1115" s="9"/>
      <c r="I1115" s="8"/>
      <c r="J1115" s="8"/>
      <c r="K1115" s="8"/>
      <c r="L1115" s="8"/>
      <c r="M1115" s="8"/>
    </row>
    <row r="1116" spans="1:13">
      <c r="A1116" s="64" t="s">
        <v>1680</v>
      </c>
      <c r="B1116" s="58">
        <v>28077309810</v>
      </c>
      <c r="C1116" s="63" t="s">
        <v>1681</v>
      </c>
      <c r="D1116" s="60">
        <v>62568370530</v>
      </c>
      <c r="E1116" s="9">
        <v>229</v>
      </c>
      <c r="F1116" s="25">
        <v>43151</v>
      </c>
      <c r="G1116" s="61" t="s">
        <v>13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1682</v>
      </c>
      <c r="B1117" s="58">
        <v>43681754845</v>
      </c>
      <c r="C1117" s="63" t="s">
        <v>1683</v>
      </c>
      <c r="D1117" s="60">
        <v>51120226805</v>
      </c>
      <c r="E1117" s="9">
        <v>1555</v>
      </c>
      <c r="F1117" s="25">
        <v>43049</v>
      </c>
      <c r="G1117" s="61" t="s">
        <v>13</v>
      </c>
      <c r="H1117" s="9"/>
      <c r="I1117" s="8"/>
      <c r="J1117" s="8"/>
      <c r="K1117" s="8"/>
      <c r="L1117" s="9" t="s">
        <v>398</v>
      </c>
      <c r="M1117" s="8"/>
    </row>
    <row r="1118" spans="1:13">
      <c r="A1118" s="27" t="s">
        <v>1684</v>
      </c>
      <c r="B1118" s="58"/>
      <c r="C1118" s="27" t="s">
        <v>1685</v>
      </c>
      <c r="D1118" s="60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62" t="s">
        <v>1686</v>
      </c>
      <c r="B1119" s="58"/>
      <c r="C1119" s="63"/>
      <c r="D1119" s="60"/>
      <c r="E1119" s="9"/>
      <c r="F1119" s="25"/>
      <c r="G1119" s="61"/>
      <c r="H1119" s="9"/>
      <c r="I1119" s="8"/>
      <c r="J1119" s="8"/>
      <c r="K1119" s="8"/>
      <c r="L1119" s="8"/>
      <c r="M1119" s="8"/>
    </row>
    <row r="1120" spans="1:13">
      <c r="A1120" s="14" t="s">
        <v>1687</v>
      </c>
      <c r="B1120" s="58">
        <v>11898774811</v>
      </c>
      <c r="C1120" s="63"/>
      <c r="D1120" s="60"/>
      <c r="E1120" s="9">
        <v>262</v>
      </c>
      <c r="F1120" s="25">
        <v>43160</v>
      </c>
      <c r="G1120" s="61" t="s">
        <v>13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62" t="s">
        <v>1688</v>
      </c>
      <c r="B1121" s="58">
        <v>44708151870</v>
      </c>
      <c r="C1121" s="79" t="s">
        <v>1689</v>
      </c>
      <c r="D1121" s="60">
        <v>38842284807</v>
      </c>
      <c r="E1121" s="9"/>
      <c r="F1121" s="25"/>
      <c r="G1121" s="61"/>
      <c r="H1121" s="9"/>
      <c r="I1121" s="8"/>
      <c r="J1121" s="8"/>
      <c r="K1121" s="8"/>
      <c r="L1121" s="8"/>
      <c r="M1121" s="8"/>
    </row>
    <row r="1122" spans="1:13">
      <c r="A1122" s="62" t="s">
        <v>1690</v>
      </c>
      <c r="B1122" s="58">
        <v>3633309845</v>
      </c>
      <c r="C1122" s="63"/>
      <c r="D1122" s="60"/>
      <c r="E1122" s="9"/>
      <c r="F1122" s="25"/>
      <c r="G1122" s="61"/>
      <c r="H1122" s="9"/>
      <c r="I1122" s="8"/>
      <c r="J1122" s="8"/>
      <c r="K1122" s="8"/>
      <c r="L1122" s="8"/>
      <c r="M1122" s="8"/>
    </row>
    <row r="1123" spans="1:13">
      <c r="A1123" s="18" t="s">
        <v>1691</v>
      </c>
      <c r="B1123" s="58">
        <v>33594224813</v>
      </c>
      <c r="C1123" s="18"/>
      <c r="D1123" s="60"/>
      <c r="E1123" s="9"/>
      <c r="F1123" s="25"/>
      <c r="G1123" s="61"/>
      <c r="H1123" s="9"/>
      <c r="I1123" s="8"/>
      <c r="J1123" s="8"/>
      <c r="K1123" s="8"/>
      <c r="L1123" s="8"/>
      <c r="M1123" s="8"/>
    </row>
    <row r="1124" spans="1:13">
      <c r="A1124" s="62" t="s">
        <v>1692</v>
      </c>
      <c r="B1124" s="58">
        <v>8368671817</v>
      </c>
      <c r="C1124" s="63" t="s">
        <v>1693</v>
      </c>
      <c r="D1124" s="60">
        <v>19184424877</v>
      </c>
      <c r="E1124" s="9">
        <v>292</v>
      </c>
      <c r="F1124" s="25">
        <v>43168</v>
      </c>
      <c r="G1124" s="61" t="s">
        <v>13</v>
      </c>
      <c r="H1124" s="9"/>
      <c r="I1124" s="8"/>
      <c r="J1124" s="8"/>
      <c r="K1124" s="8"/>
      <c r="L1124" s="9">
        <v>318</v>
      </c>
      <c r="M1124" s="8"/>
    </row>
    <row r="1125" spans="1:13">
      <c r="A1125" s="62" t="s">
        <v>1694</v>
      </c>
      <c r="B1125" s="58">
        <v>3103189478</v>
      </c>
      <c r="C1125" s="63"/>
      <c r="D1125" s="60"/>
      <c r="E1125" s="9">
        <v>262</v>
      </c>
      <c r="F1125" s="25">
        <v>43160</v>
      </c>
      <c r="G1125" s="9" t="s">
        <v>13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62" t="s">
        <v>1695</v>
      </c>
      <c r="B1126" s="58">
        <v>8230783888</v>
      </c>
      <c r="C1126" s="63"/>
      <c r="D1126" s="60"/>
      <c r="E1126" s="9">
        <v>810</v>
      </c>
      <c r="F1126" s="25">
        <v>42915</v>
      </c>
      <c r="G1126" s="61" t="s">
        <v>13</v>
      </c>
      <c r="H1126" s="9"/>
      <c r="I1126" s="8"/>
      <c r="J1126" s="8"/>
      <c r="K1126" s="8"/>
      <c r="L1126" s="9" t="s">
        <v>138</v>
      </c>
      <c r="M1126" s="8"/>
    </row>
    <row r="1127" spans="1:13">
      <c r="A1127" s="18" t="s">
        <v>1696</v>
      </c>
      <c r="B1127" s="58">
        <v>14688534817</v>
      </c>
      <c r="C1127" s="18"/>
      <c r="D1127" s="60"/>
      <c r="E1127" s="9"/>
      <c r="F1127" s="25"/>
      <c r="G1127" s="61"/>
      <c r="H1127" s="9"/>
      <c r="I1127" s="8"/>
      <c r="J1127" s="8"/>
      <c r="K1127" s="8"/>
      <c r="L1127" s="8"/>
      <c r="M1127" s="8"/>
    </row>
    <row r="1128" spans="1:13">
      <c r="A1128" s="15" t="s">
        <v>1697</v>
      </c>
      <c r="B1128" s="58">
        <v>45127604825</v>
      </c>
      <c r="C1128" s="63" t="s">
        <v>1698</v>
      </c>
      <c r="D1128" s="60" t="s">
        <v>1699</v>
      </c>
      <c r="E1128" s="9">
        <v>229</v>
      </c>
      <c r="F1128" s="25">
        <v>43151</v>
      </c>
      <c r="G1128" s="61" t="s">
        <v>28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1700</v>
      </c>
      <c r="B1129" s="58">
        <v>42987674856</v>
      </c>
      <c r="C1129" s="63" t="s">
        <v>1701</v>
      </c>
      <c r="D1129" s="60">
        <v>38745840890</v>
      </c>
      <c r="E1129" s="9">
        <v>85</v>
      </c>
      <c r="F1129" s="25">
        <v>43109</v>
      </c>
      <c r="G1129" s="61" t="s">
        <v>13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1702</v>
      </c>
      <c r="B1130" s="58">
        <v>36406558855</v>
      </c>
      <c r="C1130" s="63" t="s">
        <v>1703</v>
      </c>
      <c r="D1130" s="60">
        <v>37561765843</v>
      </c>
      <c r="E1130" s="9"/>
      <c r="F1130" s="25"/>
      <c r="G1130" s="61"/>
      <c r="H1130" s="9"/>
      <c r="I1130" s="8"/>
      <c r="J1130" s="8"/>
      <c r="K1130" s="8"/>
      <c r="L1130" s="8"/>
      <c r="M1130" s="8"/>
    </row>
    <row r="1131" spans="1:13">
      <c r="A1131" s="62" t="s">
        <v>1704</v>
      </c>
      <c r="B1131" s="58">
        <v>22758320843</v>
      </c>
      <c r="C1131" s="63" t="s">
        <v>1705</v>
      </c>
      <c r="D1131" s="60">
        <v>14229403810</v>
      </c>
      <c r="E1131" s="9">
        <v>1752</v>
      </c>
      <c r="F1131" s="25">
        <v>43051</v>
      </c>
      <c r="G1131" s="61" t="s">
        <v>13</v>
      </c>
      <c r="H1131" s="9"/>
      <c r="I1131" s="8"/>
      <c r="J1131" s="8"/>
      <c r="K1131" s="8"/>
      <c r="L1131" s="9">
        <v>1759</v>
      </c>
      <c r="M1131" s="8"/>
    </row>
    <row r="1132" spans="1:13">
      <c r="A1132" s="28" t="s">
        <v>1706</v>
      </c>
      <c r="B1132" s="58">
        <v>4943769535</v>
      </c>
      <c r="C1132" s="63"/>
      <c r="D1132" s="60"/>
      <c r="E1132" s="9"/>
      <c r="F1132" s="25"/>
      <c r="G1132" s="61"/>
      <c r="H1132" s="9"/>
      <c r="I1132" s="8"/>
      <c r="J1132" s="8"/>
      <c r="K1132" s="8"/>
      <c r="L1132" s="8"/>
      <c r="M1132" s="8"/>
    </row>
    <row r="1133" spans="1:13">
      <c r="A1133" s="62" t="s">
        <v>1707</v>
      </c>
      <c r="B1133" s="58">
        <v>25135632808</v>
      </c>
      <c r="C1133" s="63"/>
      <c r="D1133" s="60"/>
      <c r="E1133" s="9">
        <v>608</v>
      </c>
      <c r="F1133" s="25">
        <v>43012</v>
      </c>
      <c r="G1133" s="61" t="s">
        <v>13</v>
      </c>
      <c r="H1133" s="9"/>
      <c r="I1133" s="8"/>
      <c r="J1133" s="8"/>
      <c r="K1133" s="8"/>
      <c r="L1133" s="8"/>
      <c r="M1133" s="8"/>
    </row>
    <row r="1134" spans="1:13">
      <c r="A1134" s="62" t="s">
        <v>1708</v>
      </c>
      <c r="B1134" s="58">
        <v>82469210453</v>
      </c>
      <c r="C1134" s="63"/>
      <c r="D1134" s="60"/>
      <c r="E1134" s="9">
        <v>608</v>
      </c>
      <c r="F1134" s="25">
        <v>43012</v>
      </c>
      <c r="G1134" s="61" t="s">
        <v>13</v>
      </c>
      <c r="H1134" s="9"/>
      <c r="I1134" s="8"/>
      <c r="J1134" s="8"/>
      <c r="K1134" s="8"/>
      <c r="L1134" s="8"/>
      <c r="M1134" s="8"/>
    </row>
    <row r="1135" spans="1:13">
      <c r="A1135" s="13" t="s">
        <v>1709</v>
      </c>
      <c r="B1135" s="58">
        <v>10316594806</v>
      </c>
      <c r="C1135" s="77"/>
      <c r="D1135" s="60"/>
      <c r="E1135" s="9">
        <v>1128</v>
      </c>
      <c r="F1135" s="25">
        <v>42972</v>
      </c>
      <c r="G1135" s="61" t="s">
        <v>13</v>
      </c>
      <c r="H1135" s="9"/>
      <c r="I1135" s="8"/>
      <c r="J1135" s="8"/>
      <c r="K1135" s="8"/>
      <c r="L1135" s="8"/>
      <c r="M1135" s="8"/>
    </row>
    <row r="1136" spans="1:13">
      <c r="A1136" s="64" t="s">
        <v>1710</v>
      </c>
      <c r="B1136" s="58">
        <v>32518683810</v>
      </c>
      <c r="C1136" s="63" t="s">
        <v>1711</v>
      </c>
      <c r="D1136" s="60">
        <v>32570919829</v>
      </c>
      <c r="E1136" s="9">
        <v>262</v>
      </c>
      <c r="F1136" s="25">
        <v>43160</v>
      </c>
      <c r="G1136" s="61" t="s">
        <v>20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7" t="s">
        <v>1712</v>
      </c>
      <c r="B1137" s="58">
        <v>35723911805</v>
      </c>
      <c r="C1137" s="18" t="s">
        <v>129</v>
      </c>
      <c r="D1137" s="60"/>
      <c r="E1137" s="9"/>
      <c r="F1137" s="25"/>
      <c r="G1137" s="61"/>
      <c r="H1137" s="9"/>
      <c r="I1137" s="8"/>
      <c r="J1137" s="8"/>
      <c r="K1137" s="8"/>
      <c r="L1137" s="8"/>
      <c r="M1137" s="8"/>
    </row>
    <row r="1138" spans="1:13">
      <c r="A1138" s="62" t="s">
        <v>1713</v>
      </c>
      <c r="B1138" s="58">
        <v>10318952807</v>
      </c>
      <c r="C1138" s="63"/>
      <c r="D1138" s="60"/>
      <c r="E1138" s="9">
        <v>1106</v>
      </c>
      <c r="F1138" s="25">
        <v>42965</v>
      </c>
      <c r="G1138" s="61" t="s">
        <v>13</v>
      </c>
      <c r="H1138" s="9"/>
      <c r="I1138" s="8"/>
      <c r="J1138" s="8"/>
      <c r="K1138" s="8"/>
      <c r="L1138" s="8"/>
      <c r="M1138" s="8"/>
    </row>
    <row r="1139" spans="1:13">
      <c r="A1139" s="62" t="s">
        <v>1714</v>
      </c>
      <c r="B1139" s="58">
        <v>4194301560</v>
      </c>
      <c r="C1139" s="63"/>
      <c r="D1139" s="60"/>
      <c r="E1139" s="9">
        <v>1214</v>
      </c>
      <c r="F1139" s="25">
        <v>42989</v>
      </c>
      <c r="G1139" s="61" t="s">
        <v>13</v>
      </c>
      <c r="H1139" s="9"/>
      <c r="I1139" s="8"/>
      <c r="J1139" s="8"/>
      <c r="K1139" s="8"/>
      <c r="L1139" s="8"/>
      <c r="M1139" s="8"/>
    </row>
    <row r="1140" spans="1:13">
      <c r="A1140" s="62" t="s">
        <v>1715</v>
      </c>
      <c r="B1140" s="58">
        <v>9484796800</v>
      </c>
      <c r="C1140" s="63"/>
      <c r="D1140" s="60"/>
      <c r="E1140" s="9">
        <v>85</v>
      </c>
      <c r="F1140" s="25">
        <v>43109</v>
      </c>
      <c r="G1140" s="61" t="s">
        <v>13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1716</v>
      </c>
      <c r="B1141" s="58">
        <v>9527670667</v>
      </c>
      <c r="C1141" s="18" t="s">
        <v>1717</v>
      </c>
      <c r="D1141" s="60">
        <v>3817602600</v>
      </c>
      <c r="E1141" s="9"/>
      <c r="F1141" s="25"/>
      <c r="G1141" s="61"/>
      <c r="H1141" s="9"/>
      <c r="I1141" s="8"/>
      <c r="J1141" s="8"/>
      <c r="K1141" s="8"/>
      <c r="L1141" s="8"/>
      <c r="M1141" s="8"/>
    </row>
    <row r="1142" spans="1:13">
      <c r="A1142" s="62" t="s">
        <v>1718</v>
      </c>
      <c r="B1142" s="58">
        <v>1228452857</v>
      </c>
      <c r="C1142" s="63"/>
      <c r="D1142" s="60"/>
      <c r="E1142" s="9">
        <v>1214</v>
      </c>
      <c r="F1142" s="25">
        <v>42989</v>
      </c>
      <c r="G1142" s="61" t="s">
        <v>13</v>
      </c>
      <c r="H1142" s="9"/>
      <c r="I1142" s="8"/>
      <c r="J1142" s="8"/>
      <c r="K1142" s="8"/>
      <c r="L1142" s="8"/>
      <c r="M1142" s="8"/>
    </row>
    <row r="1143" spans="1:13">
      <c r="A1143" s="49" t="s">
        <v>1719</v>
      </c>
      <c r="B1143" s="71">
        <v>15404916842</v>
      </c>
      <c r="C1143" s="72" t="s">
        <v>1720</v>
      </c>
      <c r="D1143" s="73">
        <v>26437120487</v>
      </c>
      <c r="E1143" s="45">
        <v>1752</v>
      </c>
      <c r="F1143" s="46">
        <v>43051</v>
      </c>
      <c r="G1143" s="74" t="s">
        <v>28</v>
      </c>
      <c r="H1143" s="45"/>
      <c r="I1143" s="47"/>
      <c r="J1143" s="47"/>
      <c r="K1143" s="47"/>
      <c r="L1143" s="9">
        <v>1759</v>
      </c>
      <c r="M1143" s="47"/>
    </row>
    <row r="1144" spans="1:13">
      <c r="A1144" s="62" t="s">
        <v>1721</v>
      </c>
      <c r="B1144" s="58">
        <v>12991463848</v>
      </c>
      <c r="C1144" s="63"/>
      <c r="D1144" s="60"/>
      <c r="E1144" s="9">
        <v>262</v>
      </c>
      <c r="F1144" s="25">
        <v>43160</v>
      </c>
      <c r="G1144" s="61" t="s">
        <v>13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62" t="s">
        <v>1722</v>
      </c>
      <c r="B1145" s="58">
        <v>16618981816</v>
      </c>
      <c r="C1145" s="68" t="s">
        <v>1723</v>
      </c>
      <c r="D1145" s="60">
        <v>41182268803</v>
      </c>
      <c r="E1145" s="9"/>
      <c r="F1145" s="25"/>
      <c r="G1145" s="61"/>
      <c r="H1145" s="9"/>
      <c r="I1145" s="8"/>
      <c r="J1145" s="8"/>
      <c r="K1145" s="8"/>
      <c r="L1145" s="8"/>
      <c r="M1145" s="8"/>
    </row>
    <row r="1146" spans="1:13">
      <c r="A1146" s="62" t="s">
        <v>1724</v>
      </c>
      <c r="B1146" s="58">
        <v>17618357854</v>
      </c>
      <c r="C1146" s="63"/>
      <c r="D1146" s="60"/>
      <c r="E1146" s="9">
        <v>1752</v>
      </c>
      <c r="F1146" s="25">
        <v>43051</v>
      </c>
      <c r="G1146" s="61" t="s">
        <v>13</v>
      </c>
      <c r="H1146" s="9"/>
      <c r="I1146" s="8"/>
      <c r="J1146" s="8"/>
      <c r="K1146" s="8"/>
      <c r="L1146" s="9">
        <v>1759</v>
      </c>
      <c r="M1146" s="8"/>
    </row>
    <row r="1147" spans="1:13">
      <c r="A1147" s="62" t="s">
        <v>1725</v>
      </c>
      <c r="B1147" s="58">
        <v>14396561857</v>
      </c>
      <c r="C1147" s="63" t="s">
        <v>1726</v>
      </c>
      <c r="D1147" s="60">
        <v>26877955854</v>
      </c>
      <c r="E1147" s="9">
        <v>1350</v>
      </c>
      <c r="F1147" s="25">
        <v>43006</v>
      </c>
      <c r="G1147" s="61" t="s">
        <v>13</v>
      </c>
      <c r="H1147" s="9"/>
      <c r="I1147" s="8"/>
      <c r="J1147" s="8"/>
      <c r="K1147" s="8"/>
      <c r="L1147" s="8"/>
      <c r="M1147" s="8"/>
    </row>
    <row r="1148" spans="1:13">
      <c r="A1148" s="62" t="s">
        <v>1727</v>
      </c>
      <c r="B1148" s="58">
        <v>89014774591</v>
      </c>
      <c r="C1148" s="63" t="s">
        <v>1728</v>
      </c>
      <c r="D1148" s="60">
        <v>63982650500</v>
      </c>
      <c r="E1148" s="9"/>
      <c r="F1148" s="25"/>
      <c r="G1148" s="61"/>
      <c r="H1148" s="9"/>
      <c r="I1148" s="8"/>
      <c r="J1148" s="8"/>
      <c r="K1148" s="8"/>
      <c r="L1148" s="8"/>
      <c r="M1148" s="8"/>
    </row>
    <row r="1149" spans="1:13">
      <c r="A1149" s="62" t="s">
        <v>1729</v>
      </c>
      <c r="B1149" s="58">
        <v>36708561883</v>
      </c>
      <c r="C1149" s="63" t="s">
        <v>1730</v>
      </c>
      <c r="D1149" s="60">
        <v>2327353440</v>
      </c>
      <c r="E1149" s="9"/>
      <c r="F1149" s="25"/>
      <c r="G1149" s="61"/>
      <c r="H1149" s="9"/>
      <c r="I1149" s="8"/>
      <c r="J1149" s="8"/>
      <c r="K1149" s="8"/>
      <c r="L1149" s="8"/>
      <c r="M1149" s="8"/>
    </row>
    <row r="1150" spans="1:13">
      <c r="A1150" s="62" t="s">
        <v>1731</v>
      </c>
      <c r="B1150" s="58">
        <v>34053400805</v>
      </c>
      <c r="C1150" s="63"/>
      <c r="D1150" s="60"/>
      <c r="E1150" s="9">
        <v>1752</v>
      </c>
      <c r="F1150" s="25">
        <v>43051</v>
      </c>
      <c r="G1150" s="61" t="s">
        <v>13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1732</v>
      </c>
      <c r="B1151" s="58">
        <v>96998164572</v>
      </c>
      <c r="C1151" s="63"/>
      <c r="D1151" s="60"/>
      <c r="E1151" s="9">
        <v>85</v>
      </c>
      <c r="F1151" s="25">
        <v>43109</v>
      </c>
      <c r="G1151" s="61" t="s">
        <v>13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1733</v>
      </c>
      <c r="B1152" s="58">
        <v>11448724481</v>
      </c>
      <c r="C1152" s="63"/>
      <c r="D1152" s="60"/>
      <c r="E1152" s="9">
        <v>85</v>
      </c>
      <c r="F1152" s="25">
        <v>43109</v>
      </c>
      <c r="G1152" s="61" t="s">
        <v>13</v>
      </c>
      <c r="H1152" s="25">
        <v>43151</v>
      </c>
      <c r="I1152" s="8"/>
      <c r="J1152" s="8"/>
      <c r="K1152" s="8"/>
      <c r="L1152" s="8"/>
      <c r="M1152" s="8"/>
    </row>
    <row r="1153" spans="1:13">
      <c r="A1153" s="62" t="s">
        <v>1734</v>
      </c>
      <c r="B1153" s="58">
        <v>36082898877</v>
      </c>
      <c r="C1153" s="63"/>
      <c r="D1153" s="60"/>
      <c r="E1153" s="9"/>
      <c r="F1153" s="25"/>
      <c r="G1153" s="61"/>
      <c r="H1153" s="9"/>
      <c r="I1153" s="8"/>
      <c r="J1153" s="8"/>
      <c r="K1153" s="8"/>
      <c r="L1153" s="8"/>
      <c r="M1153" s="8"/>
    </row>
    <row r="1154" spans="1:13">
      <c r="A1154" s="62" t="s">
        <v>1735</v>
      </c>
      <c r="B1154" s="58">
        <v>35744098852</v>
      </c>
      <c r="C1154" s="63"/>
      <c r="D1154" s="60"/>
      <c r="E1154" s="9"/>
      <c r="F1154" s="25"/>
      <c r="G1154" s="61"/>
      <c r="H1154" s="9"/>
      <c r="I1154" s="8"/>
      <c r="J1154" s="8"/>
      <c r="K1154" s="8"/>
      <c r="L1154" s="8"/>
      <c r="M1154" s="8"/>
    </row>
    <row r="1155" spans="1:13">
      <c r="A1155" s="62" t="s">
        <v>1736</v>
      </c>
      <c r="B1155" s="58">
        <v>26114066855</v>
      </c>
      <c r="C1155" s="63"/>
      <c r="D1155" s="60"/>
      <c r="E1155" s="9">
        <v>1350</v>
      </c>
      <c r="F1155" s="25">
        <v>43006</v>
      </c>
      <c r="G1155" s="61" t="s">
        <v>13</v>
      </c>
      <c r="H1155" s="9"/>
      <c r="I1155" s="8"/>
      <c r="J1155" s="8"/>
      <c r="K1155" s="8"/>
      <c r="L1155" s="8"/>
      <c r="M1155" s="8"/>
    </row>
    <row r="1156" spans="1:13">
      <c r="A1156" s="62" t="s">
        <v>1737</v>
      </c>
      <c r="B1156" s="58">
        <v>35706404852</v>
      </c>
      <c r="C1156" s="63"/>
      <c r="D1156" s="60"/>
      <c r="E1156" s="9">
        <v>117</v>
      </c>
      <c r="F1156" s="25"/>
      <c r="G1156" s="61" t="s">
        <v>28</v>
      </c>
      <c r="H1156" s="9"/>
      <c r="I1156" s="8"/>
      <c r="J1156" s="8"/>
      <c r="K1156" s="8"/>
      <c r="L1156" s="8"/>
      <c r="M1156" s="8"/>
    </row>
    <row r="1157" spans="1:13">
      <c r="A1157" s="62" t="s">
        <v>1738</v>
      </c>
      <c r="B1157" s="58">
        <v>2044062348</v>
      </c>
      <c r="C1157" s="63" t="s">
        <v>1739</v>
      </c>
      <c r="D1157" s="60">
        <v>61505005353</v>
      </c>
      <c r="E1157" s="9">
        <v>1214</v>
      </c>
      <c r="F1157" s="25">
        <v>42989</v>
      </c>
      <c r="G1157" s="61" t="s">
        <v>13</v>
      </c>
      <c r="H1157" s="9"/>
      <c r="I1157" s="8"/>
      <c r="J1157" s="8"/>
      <c r="K1157" s="8"/>
      <c r="L1157" s="8"/>
      <c r="M1157" s="8"/>
    </row>
    <row r="1158" spans="1:13">
      <c r="A1158" s="62" t="s">
        <v>1740</v>
      </c>
      <c r="B1158" s="58">
        <v>17426779831</v>
      </c>
      <c r="C1158" s="63"/>
      <c r="D1158" s="60"/>
      <c r="E1158" s="9">
        <v>292</v>
      </c>
      <c r="F1158" s="25">
        <v>43168</v>
      </c>
      <c r="G1158" s="61" t="s">
        <v>13</v>
      </c>
      <c r="H1158" s="9"/>
      <c r="I1158" s="8"/>
      <c r="J1158" s="8"/>
      <c r="K1158" s="8"/>
      <c r="L1158" s="9">
        <v>318</v>
      </c>
      <c r="M1158" s="8"/>
    </row>
    <row r="1159" spans="1:13">
      <c r="A1159" s="75" t="s">
        <v>1741</v>
      </c>
      <c r="B1159" s="58">
        <v>8650626840</v>
      </c>
      <c r="C1159" s="63"/>
      <c r="D1159" s="60"/>
      <c r="E1159" s="9"/>
      <c r="F1159" s="25"/>
      <c r="G1159" s="61"/>
      <c r="H1159" s="9"/>
      <c r="I1159" s="8"/>
      <c r="J1159" s="8"/>
      <c r="K1159" s="8"/>
      <c r="L1159" s="8"/>
      <c r="M1159" s="8"/>
    </row>
    <row r="1160" spans="1:13">
      <c r="A1160" s="62" t="s">
        <v>1742</v>
      </c>
      <c r="B1160" s="58">
        <v>32376309859</v>
      </c>
      <c r="C1160" s="63"/>
      <c r="D1160" s="60"/>
      <c r="E1160" s="9">
        <v>262</v>
      </c>
      <c r="F1160" s="25">
        <v>43160</v>
      </c>
      <c r="G1160" s="61" t="s">
        <v>13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62" t="s">
        <v>1743</v>
      </c>
      <c r="B1161" s="58">
        <v>11126789801</v>
      </c>
      <c r="C1161" s="63" t="s">
        <v>1744</v>
      </c>
      <c r="D1161" s="60">
        <v>13442330823</v>
      </c>
      <c r="E1161" s="9">
        <v>85</v>
      </c>
      <c r="F1161" s="25">
        <v>43109</v>
      </c>
      <c r="G1161" s="61" t="s">
        <v>13</v>
      </c>
      <c r="H1161" s="25">
        <v>43151</v>
      </c>
      <c r="I1161" s="8"/>
      <c r="J1161" s="8"/>
      <c r="K1161" s="8"/>
      <c r="L1161" s="8"/>
      <c r="M1161" s="8"/>
    </row>
    <row r="1162" spans="1:13">
      <c r="A1162" s="62" t="s">
        <v>1745</v>
      </c>
      <c r="B1162" s="58">
        <v>24547333823</v>
      </c>
      <c r="C1162" s="63"/>
      <c r="D1162" s="60"/>
      <c r="E1162" s="9">
        <v>262</v>
      </c>
      <c r="F1162" s="25">
        <v>43160</v>
      </c>
      <c r="G1162" s="61" t="s">
        <v>13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62" t="s">
        <v>1746</v>
      </c>
      <c r="B1163" s="58">
        <v>27902290823</v>
      </c>
      <c r="C1163" s="63"/>
      <c r="D1163" s="60"/>
      <c r="E1163" s="9">
        <v>1824</v>
      </c>
      <c r="F1163" s="25">
        <v>43091</v>
      </c>
      <c r="G1163" s="61" t="s">
        <v>13</v>
      </c>
      <c r="H1163" s="9"/>
      <c r="I1163" s="8"/>
      <c r="J1163" s="8"/>
      <c r="K1163" s="8"/>
      <c r="L1163" s="9">
        <v>1828</v>
      </c>
      <c r="M1163" s="8"/>
    </row>
    <row r="1164" spans="1:13">
      <c r="A1164" s="62" t="s">
        <v>1747</v>
      </c>
      <c r="B1164" s="58">
        <v>42134258861</v>
      </c>
      <c r="C1164" s="63" t="s">
        <v>1748</v>
      </c>
      <c r="D1164" s="60">
        <v>36485490817</v>
      </c>
      <c r="E1164" s="9">
        <v>262</v>
      </c>
      <c r="F1164" s="25">
        <v>43160</v>
      </c>
      <c r="G1164" s="9" t="s">
        <v>13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1749</v>
      </c>
      <c r="B1165" s="58">
        <v>1772681318</v>
      </c>
      <c r="C1165" s="63" t="s">
        <v>1750</v>
      </c>
      <c r="D1165" s="60">
        <v>88109810306</v>
      </c>
      <c r="E1165" s="9">
        <v>85</v>
      </c>
      <c r="F1165" s="25">
        <v>43109</v>
      </c>
      <c r="G1165" s="61" t="s">
        <v>13</v>
      </c>
      <c r="H1165" s="25">
        <v>43151</v>
      </c>
      <c r="I1165" s="8"/>
      <c r="J1165" s="8"/>
      <c r="K1165" s="8"/>
      <c r="L1165" s="8"/>
      <c r="M1165" s="8"/>
    </row>
    <row r="1166" spans="1:13">
      <c r="A1166" s="62" t="s">
        <v>1751</v>
      </c>
      <c r="B1166" s="58">
        <v>88244881291</v>
      </c>
      <c r="C1166" s="63" t="s">
        <v>1752</v>
      </c>
      <c r="D1166" s="60">
        <v>71885609272</v>
      </c>
      <c r="E1166" s="9">
        <v>292</v>
      </c>
      <c r="F1166" s="25">
        <v>43168</v>
      </c>
      <c r="G1166" s="9" t="s">
        <v>13</v>
      </c>
      <c r="H1166" s="9"/>
      <c r="I1166" s="8"/>
      <c r="J1166" s="8"/>
      <c r="K1166" s="8"/>
      <c r="L1166" s="9">
        <v>318</v>
      </c>
      <c r="M1166" s="8"/>
    </row>
    <row r="1167" spans="1:13">
      <c r="A1167" s="62" t="s">
        <v>1753</v>
      </c>
      <c r="B1167" s="58">
        <v>33535539838</v>
      </c>
      <c r="C1167" s="63" t="s">
        <v>1754</v>
      </c>
      <c r="D1167" s="60">
        <v>19438586830</v>
      </c>
      <c r="E1167" s="9">
        <v>85</v>
      </c>
      <c r="F1167" s="25">
        <v>43109</v>
      </c>
      <c r="G1167" s="61" t="s">
        <v>13</v>
      </c>
      <c r="H1167" s="25">
        <v>43151</v>
      </c>
      <c r="I1167" s="8"/>
      <c r="J1167" s="8"/>
      <c r="K1167" s="8"/>
      <c r="L1167" s="8"/>
      <c r="M1167" s="8"/>
    </row>
    <row r="1168" spans="1:13">
      <c r="A1168" s="62" t="s">
        <v>1755</v>
      </c>
      <c r="B1168" s="58">
        <v>48136867534</v>
      </c>
      <c r="C1168" s="63"/>
      <c r="D1168" s="60"/>
      <c r="E1168" s="9">
        <v>1628</v>
      </c>
      <c r="F1168" s="25">
        <v>43077</v>
      </c>
      <c r="G1168" s="9" t="s">
        <v>13</v>
      </c>
      <c r="H1168" s="9"/>
      <c r="I1168" s="8"/>
      <c r="J1168" s="8"/>
      <c r="K1168" s="8"/>
      <c r="L1168" s="8"/>
      <c r="M1168" s="8"/>
    </row>
    <row r="1169" spans="1:13">
      <c r="A1169" s="62" t="s">
        <v>1756</v>
      </c>
      <c r="B1169" s="58">
        <v>70743070410</v>
      </c>
      <c r="C1169" s="63"/>
      <c r="D1169" s="60"/>
      <c r="E1169" s="9">
        <v>117</v>
      </c>
      <c r="F1169" s="25">
        <v>43117</v>
      </c>
      <c r="G1169" s="61" t="s">
        <v>13</v>
      </c>
      <c r="H1169" s="9"/>
      <c r="I1169" s="8"/>
      <c r="J1169" s="8"/>
      <c r="K1169" s="8"/>
      <c r="L1169" s="9" t="s">
        <v>170</v>
      </c>
      <c r="M1169" s="8"/>
    </row>
    <row r="1170" spans="1:13">
      <c r="A1170" s="62" t="s">
        <v>1757</v>
      </c>
      <c r="B1170" s="58">
        <v>45709200808</v>
      </c>
      <c r="C1170" s="68"/>
      <c r="D1170" s="60"/>
      <c r="E1170" s="9"/>
      <c r="F1170" s="25"/>
      <c r="G1170" s="61"/>
      <c r="H1170" s="9"/>
      <c r="I1170" s="8"/>
      <c r="J1170" s="8"/>
      <c r="K1170" s="8"/>
      <c r="L1170" s="8"/>
      <c r="M1170" s="8"/>
    </row>
    <row r="1171" spans="1:13">
      <c r="A1171" s="62" t="s">
        <v>1758</v>
      </c>
      <c r="B1171" s="58">
        <v>1785278584</v>
      </c>
      <c r="C1171" s="63"/>
      <c r="D1171" s="60"/>
      <c r="E1171" s="9">
        <v>810</v>
      </c>
      <c r="F1171" s="25">
        <v>42915</v>
      </c>
      <c r="G1171" s="61" t="s">
        <v>13</v>
      </c>
      <c r="H1171" s="9"/>
      <c r="I1171" s="8"/>
      <c r="J1171" s="8"/>
      <c r="K1171" s="8"/>
      <c r="L1171" s="9" t="s">
        <v>138</v>
      </c>
      <c r="M1171" s="8"/>
    </row>
    <row r="1172" spans="1:13">
      <c r="A1172" s="62" t="s">
        <v>1759</v>
      </c>
      <c r="B1172" s="58">
        <v>92262848572</v>
      </c>
      <c r="C1172" s="63"/>
      <c r="D1172" s="60"/>
      <c r="E1172" s="9">
        <v>1555</v>
      </c>
      <c r="F1172" s="25">
        <v>43049</v>
      </c>
      <c r="G1172" s="74" t="s">
        <v>13</v>
      </c>
      <c r="H1172" s="9"/>
      <c r="I1172" s="8"/>
      <c r="J1172" s="8"/>
      <c r="K1172" s="8"/>
      <c r="L1172" s="9" t="s">
        <v>398</v>
      </c>
      <c r="M1172" s="8"/>
    </row>
    <row r="1173" spans="1:13">
      <c r="A1173" s="63" t="s">
        <v>1760</v>
      </c>
      <c r="B1173" s="58">
        <v>42160981850</v>
      </c>
      <c r="C1173" s="63" t="s">
        <v>1761</v>
      </c>
      <c r="D1173" s="60">
        <v>40077808894</v>
      </c>
      <c r="E1173" s="9">
        <v>608</v>
      </c>
      <c r="F1173" s="25">
        <v>43012</v>
      </c>
      <c r="G1173" s="61" t="s">
        <v>13</v>
      </c>
      <c r="H1173" s="9"/>
      <c r="I1173" s="8"/>
      <c r="J1173" s="8"/>
      <c r="K1173" s="8"/>
      <c r="L1173" s="8"/>
      <c r="M1173" s="8"/>
    </row>
    <row r="1174" spans="1:13">
      <c r="A1174" s="62" t="s">
        <v>1762</v>
      </c>
      <c r="B1174" s="58">
        <v>73684600504</v>
      </c>
      <c r="C1174" s="63"/>
      <c r="D1174" s="60"/>
      <c r="E1174" s="9">
        <v>1628</v>
      </c>
      <c r="F1174" s="25">
        <v>43077</v>
      </c>
      <c r="G1174" s="61" t="s">
        <v>20</v>
      </c>
      <c r="H1174" s="9"/>
      <c r="I1174" s="8"/>
      <c r="J1174" s="8"/>
      <c r="K1174" s="8"/>
      <c r="L1174" s="8"/>
      <c r="M1174" s="8"/>
    </row>
    <row r="1175" spans="1:13">
      <c r="A1175" s="62" t="s">
        <v>1763</v>
      </c>
      <c r="B1175" s="58">
        <v>6426658502</v>
      </c>
      <c r="C1175" s="68"/>
      <c r="D1175" s="60"/>
      <c r="E1175" s="9"/>
      <c r="F1175" s="25"/>
      <c r="G1175" s="61"/>
      <c r="H1175" s="9"/>
      <c r="I1175" s="8"/>
      <c r="J1175" s="8"/>
      <c r="K1175" s="8"/>
      <c r="L1175" s="8"/>
      <c r="M1175" s="8"/>
    </row>
    <row r="1176" spans="1:13">
      <c r="A1176" s="62" t="s">
        <v>1764</v>
      </c>
      <c r="B1176" s="58">
        <v>28651118813</v>
      </c>
      <c r="C1176" s="63"/>
      <c r="D1176" s="60"/>
      <c r="E1176" s="9">
        <v>563</v>
      </c>
      <c r="F1176" s="25">
        <v>43217</v>
      </c>
      <c r="G1176" s="61"/>
      <c r="H1176" s="9"/>
      <c r="I1176" s="8"/>
      <c r="J1176" s="8"/>
      <c r="K1176" s="8"/>
      <c r="L1176" s="9" t="s">
        <v>299</v>
      </c>
      <c r="M1176" s="8"/>
    </row>
    <row r="1177" spans="1:13">
      <c r="A1177" s="27" t="s">
        <v>1765</v>
      </c>
      <c r="B1177" s="58"/>
      <c r="C1177" s="27" t="s">
        <v>1766</v>
      </c>
      <c r="D1177" s="60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62" t="s">
        <v>1767</v>
      </c>
      <c r="B1178" s="58">
        <v>19181635885</v>
      </c>
      <c r="C1178" s="63"/>
      <c r="D1178" s="60"/>
      <c r="E1178" s="9"/>
      <c r="F1178" s="25"/>
      <c r="G1178" s="61"/>
      <c r="H1178" s="9"/>
      <c r="I1178" s="8"/>
      <c r="J1178" s="8"/>
      <c r="K1178" s="8"/>
      <c r="L1178" s="8"/>
      <c r="M1178" s="8"/>
    </row>
    <row r="1179" spans="1:13">
      <c r="A1179" s="62" t="s">
        <v>1768</v>
      </c>
      <c r="B1179" s="58">
        <v>11754585469</v>
      </c>
      <c r="C1179" s="68" t="s">
        <v>1769</v>
      </c>
      <c r="D1179" s="60">
        <v>9504153402</v>
      </c>
      <c r="E1179" s="9">
        <v>563</v>
      </c>
      <c r="F1179" s="25">
        <v>43217</v>
      </c>
      <c r="G1179" s="61"/>
      <c r="H1179" s="9"/>
      <c r="I1179" s="8"/>
      <c r="J1179" s="8"/>
      <c r="K1179" s="8"/>
      <c r="L1179" s="9" t="s">
        <v>299</v>
      </c>
      <c r="M1179" s="8"/>
    </row>
    <row r="1180" spans="1:13">
      <c r="A1180" s="27" t="s">
        <v>1770</v>
      </c>
      <c r="B1180" s="58">
        <v>7621874503</v>
      </c>
      <c r="C1180" s="27" t="s">
        <v>1771</v>
      </c>
      <c r="D1180" s="60">
        <v>9206244809</v>
      </c>
      <c r="E1180" s="9"/>
      <c r="F1180" s="25"/>
      <c r="G1180" s="61"/>
      <c r="H1180" s="9"/>
      <c r="I1180" s="8"/>
      <c r="J1180" s="8"/>
      <c r="K1180" s="8"/>
      <c r="L1180" s="8"/>
      <c r="M1180" s="8"/>
    </row>
    <row r="1181" spans="1:13">
      <c r="A1181" s="62" t="s">
        <v>1772</v>
      </c>
      <c r="B1181" s="58">
        <v>33550053800</v>
      </c>
      <c r="C1181" s="63"/>
      <c r="D1181" s="60"/>
      <c r="E1181" s="9">
        <v>608</v>
      </c>
      <c r="F1181" s="25">
        <v>43012</v>
      </c>
      <c r="G1181" s="61" t="s">
        <v>13</v>
      </c>
      <c r="H1181" s="9"/>
      <c r="I1181" s="8"/>
      <c r="J1181" s="8"/>
      <c r="K1181" s="8"/>
      <c r="L1181" s="8"/>
      <c r="M1181" s="8"/>
    </row>
    <row r="1182" spans="1:13">
      <c r="A1182" s="13" t="s">
        <v>1773</v>
      </c>
      <c r="B1182" s="58">
        <v>16310109804</v>
      </c>
      <c r="C1182" s="59"/>
      <c r="D1182" s="60"/>
      <c r="E1182" s="9">
        <v>1555</v>
      </c>
      <c r="F1182" s="25">
        <v>43049</v>
      </c>
      <c r="G1182" s="61" t="s">
        <v>13</v>
      </c>
      <c r="H1182" s="9"/>
      <c r="I1182" s="8"/>
      <c r="J1182" s="8"/>
      <c r="K1182" s="8"/>
      <c r="L1182" s="9" t="s">
        <v>398</v>
      </c>
      <c r="M1182" s="8"/>
    </row>
    <row r="1183" spans="1:13">
      <c r="A1183" s="27" t="s">
        <v>1774</v>
      </c>
      <c r="B1183" s="58">
        <v>29913700841</v>
      </c>
      <c r="C1183" s="18" t="s">
        <v>129</v>
      </c>
      <c r="D1183" s="60"/>
      <c r="E1183" s="9"/>
      <c r="F1183" s="25"/>
      <c r="G1183" s="61"/>
      <c r="H1183" s="9"/>
      <c r="I1183" s="8"/>
      <c r="J1183" s="8"/>
      <c r="K1183" s="8"/>
      <c r="L1183" s="8"/>
      <c r="M1183" s="8"/>
    </row>
    <row r="1184" spans="1:13">
      <c r="A1184" s="27" t="s">
        <v>1775</v>
      </c>
      <c r="B1184" s="58">
        <v>28907743843</v>
      </c>
      <c r="C1184" s="27" t="s">
        <v>1776</v>
      </c>
      <c r="D1184" s="60">
        <v>3303974861</v>
      </c>
      <c r="E1184" s="9"/>
      <c r="F1184" s="25"/>
      <c r="G1184" s="61"/>
      <c r="H1184" s="9"/>
      <c r="I1184" s="8"/>
      <c r="J1184" s="8"/>
      <c r="K1184" s="8"/>
      <c r="L1184" s="8"/>
      <c r="M1184" s="8"/>
    </row>
    <row r="1185" spans="1:13">
      <c r="A1185" s="62" t="s">
        <v>1777</v>
      </c>
      <c r="B1185" s="58">
        <v>60957190468</v>
      </c>
      <c r="C1185" s="63"/>
      <c r="D1185" s="60"/>
      <c r="E1185" s="9">
        <v>810</v>
      </c>
      <c r="F1185" s="25">
        <v>42915</v>
      </c>
      <c r="G1185" s="61" t="s">
        <v>13</v>
      </c>
      <c r="H1185" s="9"/>
      <c r="I1185" s="8"/>
      <c r="J1185" s="8"/>
      <c r="K1185" s="8"/>
      <c r="L1185" s="9" t="s">
        <v>138</v>
      </c>
      <c r="M1185" s="8"/>
    </row>
    <row r="1186" spans="1:13">
      <c r="A1186" s="27" t="s">
        <v>1778</v>
      </c>
      <c r="B1186" s="58"/>
      <c r="C1186" s="18" t="s">
        <v>129</v>
      </c>
      <c r="D1186" s="60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62" t="s">
        <v>1779</v>
      </c>
      <c r="B1187" s="58">
        <v>16468436818</v>
      </c>
      <c r="C1187" s="63"/>
      <c r="D1187" s="60"/>
      <c r="E1187" s="9">
        <v>810</v>
      </c>
      <c r="F1187" s="25">
        <v>42915</v>
      </c>
      <c r="G1187" s="61" t="s">
        <v>13</v>
      </c>
      <c r="H1187" s="9"/>
      <c r="I1187" s="8"/>
      <c r="J1187" s="8"/>
      <c r="K1187" s="8"/>
      <c r="L1187" s="9" t="s">
        <v>138</v>
      </c>
      <c r="M1187" s="8"/>
    </row>
    <row r="1188" spans="1:13">
      <c r="A1188" s="64" t="s">
        <v>1780</v>
      </c>
      <c r="B1188" s="58">
        <v>1198397500</v>
      </c>
      <c r="C1188" s="63" t="s">
        <v>1781</v>
      </c>
      <c r="D1188" s="60">
        <v>87142503572</v>
      </c>
      <c r="E1188" s="9">
        <v>810</v>
      </c>
      <c r="F1188" s="25">
        <v>42915</v>
      </c>
      <c r="G1188" s="61" t="s">
        <v>13</v>
      </c>
      <c r="H1188" s="9"/>
      <c r="I1188" s="8"/>
      <c r="J1188" s="8"/>
      <c r="K1188" s="8"/>
      <c r="L1188" s="9" t="s">
        <v>138</v>
      </c>
      <c r="M1188" s="8"/>
    </row>
    <row r="1189" spans="1:13">
      <c r="A1189" s="27" t="s">
        <v>1782</v>
      </c>
      <c r="B1189" s="58">
        <v>17487364852</v>
      </c>
      <c r="C1189" s="27" t="s">
        <v>1783</v>
      </c>
      <c r="D1189" s="60">
        <v>17007791840</v>
      </c>
      <c r="E1189" s="9"/>
      <c r="F1189" s="25"/>
      <c r="G1189" s="61"/>
      <c r="H1189" s="9"/>
      <c r="I1189" s="8"/>
      <c r="J1189" s="8"/>
      <c r="K1189" s="8"/>
      <c r="L1189" s="8"/>
      <c r="M1189" s="8"/>
    </row>
    <row r="1190" spans="1:13">
      <c r="A1190" s="15" t="s">
        <v>1784</v>
      </c>
      <c r="B1190" s="58">
        <v>13421467862</v>
      </c>
      <c r="C1190" s="63"/>
      <c r="D1190" s="60"/>
      <c r="E1190" s="9">
        <v>262</v>
      </c>
      <c r="F1190" s="25">
        <v>43160</v>
      </c>
      <c r="G1190" s="61" t="s">
        <v>13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62" t="s">
        <v>1785</v>
      </c>
      <c r="B1191" s="58">
        <v>33874635880</v>
      </c>
      <c r="C1191" s="59"/>
      <c r="D1191" s="60"/>
      <c r="E1191" s="9"/>
      <c r="F1191" s="25"/>
      <c r="G1191" s="61"/>
      <c r="H1191" s="9"/>
      <c r="I1191" s="8"/>
      <c r="J1191" s="8"/>
      <c r="K1191" s="8"/>
      <c r="L1191" s="8"/>
      <c r="M1191" s="8"/>
    </row>
    <row r="1192" spans="1:13">
      <c r="A1192" s="62" t="s">
        <v>1786</v>
      </c>
      <c r="B1192" s="58">
        <v>28539588846</v>
      </c>
      <c r="C1192" s="63"/>
      <c r="D1192" s="60"/>
      <c r="E1192" s="9"/>
      <c r="F1192" s="25"/>
      <c r="G1192" s="61"/>
      <c r="H1192" s="9"/>
      <c r="I1192" s="8"/>
      <c r="J1192" s="8"/>
      <c r="K1192" s="8"/>
      <c r="L1192" s="8"/>
      <c r="M1192" s="8"/>
    </row>
    <row r="1193" spans="1:13">
      <c r="A1193" s="62" t="s">
        <v>1787</v>
      </c>
      <c r="B1193" s="58">
        <v>32993187805</v>
      </c>
      <c r="C1193" s="63" t="s">
        <v>1788</v>
      </c>
      <c r="D1193" s="60">
        <v>2605272460</v>
      </c>
      <c r="E1193" s="9">
        <v>1439</v>
      </c>
      <c r="F1193" s="25">
        <v>43025</v>
      </c>
      <c r="G1193" s="61" t="s">
        <v>13</v>
      </c>
      <c r="H1193" s="9"/>
      <c r="I1193" s="8"/>
      <c r="J1193" s="8"/>
      <c r="K1193" s="8"/>
      <c r="L1193" s="9" t="s">
        <v>502</v>
      </c>
      <c r="M1193" s="8"/>
    </row>
    <row r="1194" spans="1:13">
      <c r="A1194" s="62" t="s">
        <v>1789</v>
      </c>
      <c r="B1194" s="58">
        <v>33182368885</v>
      </c>
      <c r="C1194" s="68" t="s">
        <v>1790</v>
      </c>
      <c r="D1194" s="60">
        <v>18461801806</v>
      </c>
      <c r="E1194" s="9"/>
      <c r="F1194" s="25"/>
      <c r="G1194" s="61"/>
      <c r="H1194" s="9"/>
      <c r="I1194" s="8"/>
      <c r="J1194" s="8"/>
      <c r="K1194" s="8"/>
      <c r="L1194" s="8"/>
      <c r="M1194" s="8"/>
    </row>
    <row r="1195" spans="1:13">
      <c r="A1195" s="62" t="s">
        <v>1791</v>
      </c>
      <c r="B1195" s="58">
        <v>22675476862</v>
      </c>
      <c r="C1195" s="63"/>
      <c r="D1195" s="60"/>
      <c r="E1195" s="9">
        <v>608</v>
      </c>
      <c r="F1195" s="25">
        <v>43012</v>
      </c>
      <c r="G1195" s="61" t="s">
        <v>13</v>
      </c>
      <c r="H1195" s="9"/>
      <c r="I1195" s="8"/>
      <c r="J1195" s="8"/>
      <c r="K1195" s="8"/>
      <c r="L1195" s="8"/>
      <c r="M1195" s="8"/>
    </row>
    <row r="1196" spans="1:13">
      <c r="A1196" s="62" t="s">
        <v>1792</v>
      </c>
      <c r="B1196" s="58">
        <v>26559297802</v>
      </c>
      <c r="C1196" s="63"/>
      <c r="D1196" s="60"/>
      <c r="E1196" s="9">
        <v>262</v>
      </c>
      <c r="F1196" s="25">
        <v>43160</v>
      </c>
      <c r="G1196" s="61" t="s">
        <v>13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62" t="s">
        <v>1793</v>
      </c>
      <c r="B1197" s="58">
        <v>30907802591</v>
      </c>
      <c r="C1197" s="63"/>
      <c r="D1197" s="60"/>
      <c r="E1197" s="9">
        <v>1241</v>
      </c>
      <c r="F1197" s="25">
        <v>42992</v>
      </c>
      <c r="G1197" s="61" t="s">
        <v>13</v>
      </c>
      <c r="H1197" s="9"/>
      <c r="I1197" s="8"/>
      <c r="J1197" s="8"/>
      <c r="K1197" s="8"/>
      <c r="L1197" s="8"/>
      <c r="M1197" s="8"/>
    </row>
    <row r="1198" spans="1:13">
      <c r="A1198" s="62" t="s">
        <v>1794</v>
      </c>
      <c r="B1198" s="58">
        <v>32557609846</v>
      </c>
      <c r="C1198" s="63" t="s">
        <v>1795</v>
      </c>
      <c r="D1198" s="60">
        <v>19150806904</v>
      </c>
      <c r="E1198" s="9">
        <v>1241</v>
      </c>
      <c r="F1198" s="25">
        <v>42992</v>
      </c>
      <c r="G1198" s="61" t="s">
        <v>13</v>
      </c>
      <c r="H1198" s="9"/>
      <c r="I1198" s="8"/>
      <c r="J1198" s="8"/>
      <c r="K1198" s="8"/>
      <c r="L1198" s="8"/>
      <c r="M1198" s="8"/>
    </row>
    <row r="1199" spans="1:13">
      <c r="A1199" s="13" t="s">
        <v>1796</v>
      </c>
      <c r="B1199" s="58">
        <v>38402923879</v>
      </c>
      <c r="C1199" s="59"/>
      <c r="D1199" s="60"/>
      <c r="E1199" s="9">
        <v>1214</v>
      </c>
      <c r="F1199" s="25">
        <v>42989</v>
      </c>
      <c r="G1199" s="61" t="s">
        <v>13</v>
      </c>
      <c r="H1199" s="9"/>
      <c r="I1199" s="8"/>
      <c r="J1199" s="8"/>
      <c r="K1199" s="8"/>
      <c r="L1199" s="8"/>
      <c r="M1199" s="8"/>
    </row>
    <row r="1200" spans="1:13">
      <c r="A1200" s="14" t="s">
        <v>1797</v>
      </c>
      <c r="B1200" s="58">
        <v>38236980871</v>
      </c>
      <c r="C1200" s="63" t="s">
        <v>1798</v>
      </c>
      <c r="D1200" s="60">
        <v>5177834360</v>
      </c>
      <c r="E1200" s="9">
        <v>262</v>
      </c>
      <c r="F1200" s="25">
        <v>43160</v>
      </c>
      <c r="G1200" s="61" t="s">
        <v>13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62" t="s">
        <v>1799</v>
      </c>
      <c r="B1201" s="58">
        <v>30534850871</v>
      </c>
      <c r="C1201" s="63"/>
      <c r="D1201" s="60"/>
      <c r="E1201" s="9">
        <v>810</v>
      </c>
      <c r="F1201" s="25">
        <v>42915</v>
      </c>
      <c r="G1201" s="61" t="s">
        <v>13</v>
      </c>
      <c r="H1201" s="9"/>
      <c r="I1201" s="8"/>
      <c r="J1201" s="8"/>
      <c r="K1201" s="8"/>
      <c r="L1201" s="9" t="s">
        <v>138</v>
      </c>
      <c r="M1201" s="8"/>
    </row>
    <row r="1202" spans="1:13">
      <c r="A1202" s="63" t="s">
        <v>1800</v>
      </c>
      <c r="B1202" s="58">
        <v>2932004832</v>
      </c>
      <c r="C1202" s="63"/>
      <c r="D1202" s="60"/>
      <c r="E1202" s="9"/>
      <c r="F1202" s="25"/>
      <c r="G1202" s="61"/>
      <c r="H1202" s="9"/>
      <c r="I1202" s="8"/>
      <c r="J1202" s="8"/>
      <c r="K1202" s="8"/>
      <c r="L1202" s="8"/>
      <c r="M1202" s="8"/>
    </row>
    <row r="1203" spans="1:13">
      <c r="A1203" s="15" t="s">
        <v>1801</v>
      </c>
      <c r="B1203" s="58">
        <v>177446102</v>
      </c>
      <c r="C1203" s="63" t="s">
        <v>1802</v>
      </c>
      <c r="D1203" s="60">
        <v>31301235806</v>
      </c>
      <c r="E1203" s="9">
        <v>229</v>
      </c>
      <c r="F1203" s="25">
        <v>43151</v>
      </c>
      <c r="G1203" s="61" t="s">
        <v>13</v>
      </c>
      <c r="H1203" s="9"/>
      <c r="I1203" s="8"/>
      <c r="J1203" s="8"/>
      <c r="K1203" s="8"/>
      <c r="L1203" s="9">
        <v>232</v>
      </c>
      <c r="M1203" s="8"/>
    </row>
    <row r="1204" spans="1:13">
      <c r="A1204" s="27" t="s">
        <v>1803</v>
      </c>
      <c r="B1204" s="58"/>
      <c r="C1204" s="27" t="s">
        <v>129</v>
      </c>
      <c r="D1204" s="60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62" t="s">
        <v>1804</v>
      </c>
      <c r="B1205" s="58">
        <v>22394984805</v>
      </c>
      <c r="C1205" s="63" t="s">
        <v>1805</v>
      </c>
      <c r="D1205" s="60">
        <v>29161087858</v>
      </c>
      <c r="E1205" s="9">
        <v>1106</v>
      </c>
      <c r="F1205" s="25">
        <v>42965</v>
      </c>
      <c r="G1205" s="61" t="s">
        <v>13</v>
      </c>
      <c r="H1205" s="9"/>
      <c r="I1205" s="8"/>
      <c r="J1205" s="8"/>
      <c r="K1205" s="8"/>
      <c r="L1205" s="8"/>
      <c r="M1205" s="8"/>
    </row>
    <row r="1206" spans="1:13">
      <c r="A1206" s="13" t="s">
        <v>1806</v>
      </c>
      <c r="B1206" s="58">
        <v>22495577806</v>
      </c>
      <c r="C1206" s="63" t="s">
        <v>1807</v>
      </c>
      <c r="D1206" s="60">
        <v>28219312807</v>
      </c>
      <c r="E1206" s="9"/>
      <c r="F1206" s="25"/>
      <c r="G1206" s="61"/>
      <c r="H1206" s="9"/>
      <c r="I1206" s="8"/>
      <c r="J1206" s="8"/>
      <c r="K1206" s="8"/>
      <c r="L1206" s="8"/>
      <c r="M1206" s="8"/>
    </row>
    <row r="1207" spans="1:13">
      <c r="A1207" s="62" t="s">
        <v>1808</v>
      </c>
      <c r="B1207" s="58">
        <v>31586367862</v>
      </c>
      <c r="C1207" s="63"/>
      <c r="D1207" s="60"/>
      <c r="E1207" s="9"/>
      <c r="F1207" s="25"/>
      <c r="G1207" s="61"/>
      <c r="H1207" s="9"/>
      <c r="I1207" s="8"/>
      <c r="J1207" s="8"/>
      <c r="K1207" s="8"/>
      <c r="L1207" s="8"/>
      <c r="M1207" s="8"/>
    </row>
    <row r="1208" spans="1:13">
      <c r="A1208" s="62" t="s">
        <v>1809</v>
      </c>
      <c r="B1208" s="58">
        <v>38904444829</v>
      </c>
      <c r="C1208" s="63"/>
      <c r="D1208" s="60"/>
      <c r="E1208" s="9">
        <v>509</v>
      </c>
      <c r="F1208" s="25">
        <v>43203</v>
      </c>
      <c r="G1208" s="67"/>
      <c r="H1208" s="67">
        <v>43213</v>
      </c>
      <c r="I1208" s="8"/>
      <c r="J1208" s="8"/>
      <c r="K1208" s="8"/>
      <c r="L1208" s="8"/>
      <c r="M1208" s="8"/>
    </row>
    <row r="1209" spans="1:13">
      <c r="A1209" s="62" t="s">
        <v>1810</v>
      </c>
      <c r="B1209" s="58">
        <v>19678307898</v>
      </c>
      <c r="C1209" s="63"/>
      <c r="D1209" s="60"/>
      <c r="E1209" s="9">
        <v>1214</v>
      </c>
      <c r="F1209" s="25">
        <v>42989</v>
      </c>
      <c r="G1209" s="61" t="s">
        <v>13</v>
      </c>
      <c r="H1209" s="67">
        <v>43213</v>
      </c>
      <c r="I1209" s="8"/>
      <c r="J1209" s="8"/>
      <c r="K1209" s="8"/>
      <c r="L1209" s="8"/>
      <c r="M1209" s="8"/>
    </row>
    <row r="1210" spans="1:13">
      <c r="A1210" s="62" t="s">
        <v>1811</v>
      </c>
      <c r="B1210" s="58"/>
      <c r="C1210" s="63"/>
      <c r="D1210" s="60"/>
      <c r="E1210" s="9"/>
      <c r="F1210" s="25"/>
      <c r="G1210" s="61"/>
      <c r="H1210" s="67">
        <v>43213</v>
      </c>
      <c r="I1210" s="8"/>
      <c r="J1210" s="8"/>
      <c r="K1210" s="8"/>
      <c r="L1210" s="8"/>
      <c r="M1210" s="8"/>
    </row>
    <row r="1211" spans="1:13">
      <c r="A1211" s="63" t="s">
        <v>1812</v>
      </c>
      <c r="B1211" s="58">
        <v>37304527897</v>
      </c>
      <c r="C1211" s="63" t="s">
        <v>1813</v>
      </c>
      <c r="D1211" s="60">
        <v>24051935825</v>
      </c>
      <c r="E1211" s="9"/>
      <c r="F1211" s="25"/>
      <c r="G1211" s="61"/>
      <c r="H1211" s="67">
        <v>43213</v>
      </c>
      <c r="I1211" s="8"/>
      <c r="J1211" s="8"/>
      <c r="K1211" s="8"/>
      <c r="L1211" s="8"/>
      <c r="M1211" s="8"/>
    </row>
    <row r="1212" spans="1:13">
      <c r="A1212" s="14" t="s">
        <v>1814</v>
      </c>
      <c r="B1212" s="58">
        <v>11328067807</v>
      </c>
      <c r="C1212" s="63" t="s">
        <v>1815</v>
      </c>
      <c r="D1212" s="60">
        <v>60769793800</v>
      </c>
      <c r="E1212" s="9">
        <v>262</v>
      </c>
      <c r="F1212" s="25">
        <v>43160</v>
      </c>
      <c r="G1212" s="61" t="s">
        <v>13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62" t="s">
        <v>1816</v>
      </c>
      <c r="B1213" s="58">
        <v>4007781575</v>
      </c>
      <c r="C1213" s="63" t="s">
        <v>1817</v>
      </c>
      <c r="D1213" s="60">
        <v>31812904835</v>
      </c>
      <c r="E1213" s="9"/>
      <c r="F1213" s="25"/>
      <c r="G1213" s="61"/>
      <c r="H1213" s="67">
        <v>43213</v>
      </c>
      <c r="I1213" s="8"/>
      <c r="J1213" s="8"/>
      <c r="K1213" s="8"/>
      <c r="L1213" s="8"/>
      <c r="M1213" s="8"/>
    </row>
    <row r="1214" spans="1:13">
      <c r="A1214" s="62" t="s">
        <v>1818</v>
      </c>
      <c r="B1214" s="58">
        <v>38448111842</v>
      </c>
      <c r="C1214" s="63" t="s">
        <v>1819</v>
      </c>
      <c r="D1214" s="60">
        <v>38350911824</v>
      </c>
      <c r="E1214" s="9"/>
      <c r="F1214" s="25"/>
      <c r="G1214" s="61" t="s">
        <v>13</v>
      </c>
      <c r="H1214" s="67">
        <v>43213</v>
      </c>
      <c r="I1214" s="8"/>
      <c r="J1214" s="8"/>
      <c r="K1214" s="8"/>
      <c r="L1214" s="8"/>
      <c r="M1214" s="8"/>
    </row>
    <row r="1215" spans="1:13">
      <c r="A1215" s="27" t="s">
        <v>1820</v>
      </c>
      <c r="B1215" s="58"/>
      <c r="C1215" s="18" t="s">
        <v>129</v>
      </c>
      <c r="D1215" s="60"/>
      <c r="E1215" s="9"/>
      <c r="F1215" s="25"/>
      <c r="G1215" s="61"/>
      <c r="H1215" s="67">
        <v>43213</v>
      </c>
      <c r="I1215" s="8"/>
      <c r="J1215" s="8"/>
      <c r="K1215" s="8"/>
      <c r="L1215" s="8"/>
      <c r="M1215" s="8"/>
    </row>
    <row r="1216" spans="1:13">
      <c r="A1216" s="15" t="s">
        <v>1821</v>
      </c>
      <c r="B1216" s="58">
        <v>104666579</v>
      </c>
      <c r="C1216" s="63"/>
      <c r="D1216" s="60"/>
      <c r="E1216" s="9">
        <v>229</v>
      </c>
      <c r="F1216" s="25">
        <v>43151</v>
      </c>
      <c r="G1216" s="61" t="s">
        <v>13</v>
      </c>
      <c r="H1216" s="67">
        <v>43213</v>
      </c>
      <c r="I1216" s="8"/>
      <c r="J1216" s="8"/>
      <c r="K1216" s="8"/>
      <c r="L1216" s="9">
        <v>232</v>
      </c>
      <c r="M1216" s="8"/>
    </row>
    <row r="1217" spans="1:13">
      <c r="A1217" s="62" t="s">
        <v>1822</v>
      </c>
      <c r="B1217" s="58">
        <v>39893425840</v>
      </c>
      <c r="C1217" s="63"/>
      <c r="D1217" s="60"/>
      <c r="E1217" s="9">
        <v>1106</v>
      </c>
      <c r="F1217" s="25">
        <v>42965</v>
      </c>
      <c r="G1217" s="61" t="s">
        <v>13</v>
      </c>
      <c r="H1217" s="67">
        <v>43213</v>
      </c>
      <c r="I1217" s="8"/>
      <c r="J1217" s="8"/>
      <c r="K1217" s="8"/>
      <c r="L1217" s="8"/>
      <c r="M1217" s="8"/>
    </row>
    <row r="1218" spans="1:13">
      <c r="A1218" s="13" t="s">
        <v>1823</v>
      </c>
      <c r="B1218" s="58">
        <v>29040829802</v>
      </c>
      <c r="C1218" s="59" t="s">
        <v>1824</v>
      </c>
      <c r="D1218" s="60">
        <v>17804755864</v>
      </c>
      <c r="E1218" s="9">
        <v>1128</v>
      </c>
      <c r="F1218" s="25">
        <v>42972</v>
      </c>
      <c r="G1218" s="61" t="s">
        <v>13</v>
      </c>
      <c r="H1218" s="9"/>
      <c r="I1218" s="8"/>
      <c r="J1218" s="8"/>
      <c r="K1218" s="8"/>
      <c r="L1218" s="8"/>
      <c r="M1218" s="8"/>
    </row>
    <row r="1219" spans="1:13">
      <c r="A1219" s="62" t="s">
        <v>1825</v>
      </c>
      <c r="B1219" s="58">
        <v>41459843827</v>
      </c>
      <c r="C1219" s="63"/>
      <c r="D1219" s="60"/>
      <c r="E1219" s="9"/>
      <c r="F1219" s="25"/>
      <c r="G1219" s="61"/>
      <c r="H1219" s="9"/>
      <c r="I1219" s="8"/>
      <c r="J1219" s="8"/>
      <c r="K1219" s="8"/>
      <c r="L1219" s="8"/>
      <c r="M1219" s="8"/>
    </row>
    <row r="1220" spans="1:13">
      <c r="A1220" s="62" t="s">
        <v>1826</v>
      </c>
      <c r="B1220" s="58">
        <v>43311254830</v>
      </c>
      <c r="C1220" s="63"/>
      <c r="D1220" s="60"/>
      <c r="E1220" s="9">
        <v>1417</v>
      </c>
      <c r="F1220" s="25">
        <v>43017</v>
      </c>
      <c r="G1220" s="61" t="s">
        <v>13</v>
      </c>
      <c r="H1220" s="9"/>
      <c r="I1220" s="8"/>
      <c r="J1220" s="8"/>
      <c r="K1220" s="8"/>
      <c r="L1220" s="9" t="s">
        <v>253</v>
      </c>
      <c r="M1220" s="8"/>
    </row>
    <row r="1221" spans="1:13">
      <c r="A1221" s="14" t="s">
        <v>1827</v>
      </c>
      <c r="B1221" s="58">
        <v>38633385880</v>
      </c>
      <c r="C1221" s="63"/>
      <c r="D1221" s="60"/>
      <c r="E1221" s="9"/>
      <c r="F1221" s="25"/>
      <c r="G1221" s="61"/>
      <c r="H1221" s="9"/>
      <c r="I1221" s="8"/>
      <c r="J1221" s="8"/>
      <c r="K1221" s="8"/>
      <c r="L1221" s="8"/>
      <c r="M1221" s="8"/>
    </row>
    <row r="1222" spans="1:13">
      <c r="A1222" s="27" t="s">
        <v>1828</v>
      </c>
      <c r="B1222" s="58">
        <v>22614376841</v>
      </c>
      <c r="C1222" s="18" t="s">
        <v>129</v>
      </c>
      <c r="D1222" s="60"/>
      <c r="E1222" s="9"/>
      <c r="F1222" s="25"/>
      <c r="G1222" s="61"/>
      <c r="H1222" s="9"/>
      <c r="I1222" s="8"/>
      <c r="J1222" s="8"/>
      <c r="K1222" s="8"/>
      <c r="L1222" s="8"/>
      <c r="M1222" s="8"/>
    </row>
    <row r="1223" spans="1:13">
      <c r="A1223" s="62" t="s">
        <v>1829</v>
      </c>
      <c r="B1223" s="58">
        <v>37814224888</v>
      </c>
      <c r="C1223" s="63"/>
      <c r="D1223" s="60"/>
      <c r="E1223" s="9"/>
      <c r="F1223" s="25"/>
      <c r="G1223" s="61"/>
      <c r="H1223" s="9"/>
      <c r="I1223" s="8"/>
      <c r="J1223" s="8"/>
      <c r="K1223" s="8"/>
      <c r="L1223" s="8"/>
      <c r="M1223" s="8"/>
    </row>
    <row r="1224" spans="1:13">
      <c r="A1224" s="15" t="s">
        <v>1830</v>
      </c>
      <c r="B1224" s="58">
        <v>95023003515</v>
      </c>
      <c r="C1224" s="63" t="s">
        <v>1831</v>
      </c>
      <c r="D1224" s="60">
        <v>2283584507</v>
      </c>
      <c r="E1224" s="9">
        <v>117</v>
      </c>
      <c r="F1224" s="25">
        <v>43117</v>
      </c>
      <c r="G1224" s="61" t="s">
        <v>13</v>
      </c>
      <c r="H1224" s="9"/>
      <c r="I1224" s="8"/>
      <c r="J1224" s="8"/>
      <c r="K1224" s="8"/>
      <c r="L1224" s="9" t="s">
        <v>170</v>
      </c>
      <c r="M1224" s="8"/>
    </row>
    <row r="1225" spans="1:13">
      <c r="A1225" s="15" t="s">
        <v>1832</v>
      </c>
      <c r="B1225" s="58">
        <v>618375554</v>
      </c>
      <c r="C1225" s="63"/>
      <c r="D1225" s="60"/>
      <c r="E1225" s="9">
        <v>229</v>
      </c>
      <c r="F1225" s="25">
        <v>43151</v>
      </c>
      <c r="G1225" s="61" t="s">
        <v>13</v>
      </c>
      <c r="H1225" s="9"/>
      <c r="I1225" s="8"/>
      <c r="J1225" s="8"/>
      <c r="K1225" s="8"/>
      <c r="L1225" s="9">
        <v>232</v>
      </c>
      <c r="M1225" s="8"/>
    </row>
    <row r="1226" spans="1:13">
      <c r="A1226" s="62" t="s">
        <v>1833</v>
      </c>
      <c r="B1226" s="58">
        <v>2235225896</v>
      </c>
      <c r="C1226" s="63"/>
      <c r="D1226" s="60"/>
      <c r="E1226" s="9"/>
      <c r="F1226" s="25"/>
      <c r="G1226" s="61"/>
      <c r="H1226" s="9"/>
      <c r="I1226" s="8"/>
      <c r="J1226" s="8"/>
      <c r="K1226" s="8"/>
      <c r="L1226" s="8"/>
      <c r="M1226" s="8"/>
    </row>
    <row r="1227" spans="1:13">
      <c r="A1227" s="15" t="s">
        <v>1834</v>
      </c>
      <c r="B1227" s="58">
        <v>3288115565</v>
      </c>
      <c r="C1227" s="63"/>
      <c r="D1227" s="60"/>
      <c r="E1227" s="9">
        <v>229</v>
      </c>
      <c r="F1227" s="25">
        <v>43151</v>
      </c>
      <c r="G1227" s="61" t="s">
        <v>13</v>
      </c>
      <c r="H1227" s="9"/>
      <c r="I1227" s="8"/>
      <c r="J1227" s="8"/>
      <c r="K1227" s="8"/>
      <c r="L1227" s="9">
        <v>232</v>
      </c>
      <c r="M1227" s="8"/>
    </row>
    <row r="1228" spans="1:13">
      <c r="A1228" s="62" t="s">
        <v>1835</v>
      </c>
      <c r="B1228" s="58">
        <v>40584610807</v>
      </c>
      <c r="C1228" s="63" t="s">
        <v>1836</v>
      </c>
      <c r="D1228" s="60">
        <v>29182543801</v>
      </c>
      <c r="E1228" s="9">
        <v>810</v>
      </c>
      <c r="F1228" s="25">
        <v>42915</v>
      </c>
      <c r="G1228" s="61" t="s">
        <v>13</v>
      </c>
      <c r="H1228" s="9"/>
      <c r="I1228" s="8"/>
      <c r="J1228" s="8"/>
      <c r="K1228" s="8"/>
      <c r="L1228" s="9" t="s">
        <v>138</v>
      </c>
      <c r="M1228" s="8"/>
    </row>
    <row r="1229" spans="1:13">
      <c r="A1229" s="62" t="s">
        <v>1837</v>
      </c>
      <c r="B1229" s="58">
        <v>36098983801</v>
      </c>
      <c r="C1229" s="63"/>
      <c r="D1229" s="60"/>
      <c r="E1229" s="9">
        <v>1106</v>
      </c>
      <c r="F1229" s="25">
        <v>42965</v>
      </c>
      <c r="G1229" s="61" t="s">
        <v>13</v>
      </c>
      <c r="H1229" s="9"/>
      <c r="I1229" s="8"/>
      <c r="J1229" s="8"/>
      <c r="K1229" s="8"/>
      <c r="L1229" s="8"/>
      <c r="M1229" s="8"/>
    </row>
    <row r="1230" spans="1:13">
      <c r="A1230" s="18" t="s">
        <v>1838</v>
      </c>
      <c r="B1230" s="58">
        <v>2330650590</v>
      </c>
      <c r="C1230" s="18" t="s">
        <v>392</v>
      </c>
      <c r="D1230" s="60">
        <v>38338305812</v>
      </c>
      <c r="E1230" s="9"/>
      <c r="F1230" s="25"/>
      <c r="G1230" s="61"/>
      <c r="H1230" s="9"/>
      <c r="I1230" s="8"/>
      <c r="J1230" s="8"/>
      <c r="K1230" s="8"/>
      <c r="L1230" s="8"/>
      <c r="M1230" s="8"/>
    </row>
    <row r="1231" spans="1:13">
      <c r="A1231" s="15" t="s">
        <v>1839</v>
      </c>
      <c r="B1231" s="58">
        <v>84324937591</v>
      </c>
      <c r="C1231" s="63"/>
      <c r="D1231" s="60"/>
      <c r="E1231" s="9">
        <v>563</v>
      </c>
      <c r="F1231" s="25">
        <v>43217</v>
      </c>
      <c r="G1231" s="61"/>
      <c r="H1231" s="9"/>
      <c r="I1231" s="8"/>
      <c r="J1231" s="8"/>
      <c r="K1231" s="8"/>
      <c r="L1231" s="9" t="s">
        <v>299</v>
      </c>
      <c r="M1231" s="8"/>
    </row>
    <row r="1232" spans="1:13">
      <c r="A1232" s="62" t="s">
        <v>1840</v>
      </c>
      <c r="B1232" s="58">
        <v>30065520831</v>
      </c>
      <c r="C1232" s="63"/>
      <c r="D1232" s="60"/>
      <c r="E1232" s="9">
        <v>1350</v>
      </c>
      <c r="F1232" s="25">
        <v>43006</v>
      </c>
      <c r="G1232" s="61" t="s">
        <v>13</v>
      </c>
      <c r="H1232" s="9"/>
      <c r="I1232" s="8"/>
      <c r="J1232" s="8"/>
      <c r="K1232" s="8"/>
      <c r="L1232" s="8"/>
      <c r="M1232" s="8"/>
    </row>
    <row r="1233" spans="1:13">
      <c r="A1233" s="62" t="s">
        <v>1841</v>
      </c>
      <c r="B1233" s="58">
        <v>45235006810</v>
      </c>
      <c r="C1233" s="63"/>
      <c r="D1233" s="60"/>
      <c r="E1233" s="9"/>
      <c r="F1233" s="25"/>
      <c r="G1233" s="61"/>
      <c r="H1233" s="9"/>
      <c r="I1233" s="8"/>
      <c r="J1233" s="8"/>
      <c r="K1233" s="8"/>
      <c r="L1233" s="8"/>
      <c r="M1233" s="8"/>
    </row>
    <row r="1234" spans="1:13">
      <c r="A1234" s="13" t="s">
        <v>1842</v>
      </c>
      <c r="B1234" s="58">
        <v>35116318826</v>
      </c>
      <c r="C1234" s="63" t="s">
        <v>1843</v>
      </c>
      <c r="D1234" s="60">
        <v>22432837860</v>
      </c>
      <c r="E1234" s="9">
        <v>1824</v>
      </c>
      <c r="F1234" s="25">
        <v>43091</v>
      </c>
      <c r="G1234" s="61" t="s">
        <v>13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1844</v>
      </c>
      <c r="B1235" s="58">
        <v>40048912808</v>
      </c>
      <c r="C1235" s="63" t="s">
        <v>1845</v>
      </c>
      <c r="D1235" s="60">
        <v>43519054841</v>
      </c>
      <c r="E1235" s="9">
        <v>262</v>
      </c>
      <c r="F1235" s="25">
        <v>43160</v>
      </c>
      <c r="G1235" s="61" t="s">
        <v>13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1846</v>
      </c>
      <c r="B1236" s="58">
        <v>26016197831</v>
      </c>
      <c r="C1236" s="15" t="s">
        <v>1847</v>
      </c>
      <c r="D1236" s="58">
        <v>60231920504</v>
      </c>
      <c r="E1236" s="9"/>
      <c r="F1236" s="25"/>
      <c r="G1236" s="61"/>
      <c r="H1236" s="9"/>
      <c r="I1236" s="8"/>
      <c r="J1236" s="8"/>
      <c r="K1236" s="8"/>
      <c r="L1236" s="8"/>
      <c r="M1236" s="8"/>
    </row>
    <row r="1237" spans="1:13">
      <c r="A1237" s="15" t="s">
        <v>1848</v>
      </c>
      <c r="B1237" s="58">
        <v>43412243876</v>
      </c>
      <c r="C1237" s="63"/>
      <c r="D1237" s="60"/>
      <c r="E1237" s="9">
        <v>229</v>
      </c>
      <c r="F1237" s="25">
        <v>43151</v>
      </c>
      <c r="G1237" s="61" t="s">
        <v>13</v>
      </c>
      <c r="H1237" s="9"/>
      <c r="I1237" s="8"/>
      <c r="J1237" s="8"/>
      <c r="K1237" s="8"/>
      <c r="L1237" s="9">
        <v>232</v>
      </c>
      <c r="M1237" s="8"/>
    </row>
    <row r="1238" spans="1:13">
      <c r="A1238" s="62" t="s">
        <v>1849</v>
      </c>
      <c r="B1238" s="58">
        <v>40121535878</v>
      </c>
      <c r="C1238" s="63" t="s">
        <v>1850</v>
      </c>
      <c r="D1238" s="60">
        <v>33343601802</v>
      </c>
      <c r="E1238" s="9">
        <v>292</v>
      </c>
      <c r="F1238" s="25">
        <v>43168</v>
      </c>
      <c r="G1238" s="61" t="s">
        <v>13</v>
      </c>
      <c r="H1238" s="9"/>
      <c r="I1238" s="8"/>
      <c r="J1238" s="8"/>
      <c r="K1238" s="8"/>
      <c r="L1238" s="9">
        <v>318</v>
      </c>
      <c r="M1238" s="8"/>
    </row>
    <row r="1239" spans="1:13">
      <c r="A1239" s="62" t="s">
        <v>1851</v>
      </c>
      <c r="B1239" s="58">
        <v>4056444501</v>
      </c>
      <c r="C1239" s="63"/>
      <c r="D1239" s="60"/>
      <c r="E1239" s="9">
        <v>262</v>
      </c>
      <c r="F1239" s="25">
        <v>43160</v>
      </c>
      <c r="G1239" s="61" t="s">
        <v>13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1852</v>
      </c>
      <c r="B1240" s="58">
        <v>5388702570</v>
      </c>
      <c r="C1240" s="63"/>
      <c r="D1240" s="60"/>
      <c r="E1240" s="9">
        <v>85</v>
      </c>
      <c r="F1240" s="25">
        <v>43109</v>
      </c>
      <c r="G1240" s="61" t="s">
        <v>13</v>
      </c>
      <c r="H1240" s="25">
        <v>43151</v>
      </c>
      <c r="I1240" s="8"/>
      <c r="J1240" s="8"/>
      <c r="K1240" s="8"/>
      <c r="L1240" s="8"/>
      <c r="M1240" s="8"/>
    </row>
    <row r="1241" spans="1:13">
      <c r="A1241" s="62" t="s">
        <v>1853</v>
      </c>
      <c r="B1241" s="58">
        <v>31029975892</v>
      </c>
      <c r="C1241" s="63" t="s">
        <v>1854</v>
      </c>
      <c r="D1241" s="60">
        <v>36873004472</v>
      </c>
      <c r="E1241" s="9">
        <v>1106</v>
      </c>
      <c r="F1241" s="25">
        <v>42965</v>
      </c>
      <c r="G1241" s="9" t="s">
        <v>13</v>
      </c>
      <c r="H1241" s="9"/>
      <c r="I1241" s="8"/>
      <c r="J1241" s="8"/>
      <c r="K1241" s="8"/>
      <c r="L1241" s="8"/>
      <c r="M1241" s="8"/>
    </row>
    <row r="1242" spans="1:13">
      <c r="A1242" s="63" t="s">
        <v>1855</v>
      </c>
      <c r="B1242" s="58">
        <v>38951708870</v>
      </c>
      <c r="C1242" s="63"/>
      <c r="D1242" s="60"/>
      <c r="E1242" s="9">
        <v>292</v>
      </c>
      <c r="F1242" s="25">
        <v>43168</v>
      </c>
      <c r="G1242" s="9" t="s">
        <v>13</v>
      </c>
      <c r="H1242" s="9"/>
      <c r="I1242" s="8"/>
      <c r="J1242" s="8"/>
      <c r="K1242" s="8"/>
      <c r="L1242" s="9">
        <v>318</v>
      </c>
      <c r="M1242" s="8"/>
    </row>
    <row r="1243" spans="1:13">
      <c r="A1243" s="62" t="s">
        <v>1856</v>
      </c>
      <c r="B1243" s="58">
        <v>36051592814</v>
      </c>
      <c r="C1243" s="63" t="s">
        <v>1857</v>
      </c>
      <c r="D1243" s="60">
        <v>13109522847</v>
      </c>
      <c r="E1243" s="9">
        <v>810</v>
      </c>
      <c r="F1243" s="25">
        <v>42915</v>
      </c>
      <c r="G1243" s="61" t="s">
        <v>13</v>
      </c>
      <c r="H1243" s="9"/>
      <c r="I1243" s="8"/>
      <c r="J1243" s="8"/>
      <c r="K1243" s="8"/>
      <c r="L1243" s="9" t="s">
        <v>138</v>
      </c>
      <c r="M1243" s="8"/>
    </row>
    <row r="1244" spans="1:13">
      <c r="A1244" s="62" t="s">
        <v>1858</v>
      </c>
      <c r="B1244" s="58">
        <v>33681405824</v>
      </c>
      <c r="C1244" s="63"/>
      <c r="D1244" s="60"/>
      <c r="E1244" s="9"/>
      <c r="F1244" s="25"/>
      <c r="G1244" s="61"/>
      <c r="H1244" s="9"/>
      <c r="I1244" s="8"/>
      <c r="J1244" s="8"/>
      <c r="K1244" s="8"/>
      <c r="L1244" s="8"/>
      <c r="M1244" s="8"/>
    </row>
    <row r="1245" spans="1:13">
      <c r="A1245" s="18" t="s">
        <v>1859</v>
      </c>
      <c r="B1245" s="58">
        <v>28142782820</v>
      </c>
      <c r="C1245" s="18" t="s">
        <v>1860</v>
      </c>
      <c r="D1245" s="60"/>
      <c r="E1245" s="9"/>
      <c r="F1245" s="25"/>
      <c r="G1245" s="61"/>
      <c r="H1245" s="9"/>
      <c r="I1245" s="8"/>
      <c r="J1245" s="8"/>
      <c r="K1245" s="8"/>
      <c r="L1245" s="8"/>
      <c r="M1245" s="8"/>
    </row>
    <row r="1246" spans="1:13">
      <c r="A1246" s="62" t="s">
        <v>1861</v>
      </c>
      <c r="B1246" s="58">
        <v>30088939880</v>
      </c>
      <c r="C1246" s="63" t="s">
        <v>1862</v>
      </c>
      <c r="D1246" s="60">
        <v>2051861579</v>
      </c>
      <c r="E1246" s="9">
        <v>292</v>
      </c>
      <c r="F1246" s="25">
        <v>43168</v>
      </c>
      <c r="G1246" s="9" t="s">
        <v>13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1863</v>
      </c>
      <c r="B1247" s="58">
        <v>11525085476</v>
      </c>
      <c r="C1247" s="63" t="s">
        <v>1864</v>
      </c>
      <c r="D1247" s="60">
        <v>9293576473</v>
      </c>
      <c r="E1247" s="9">
        <v>262</v>
      </c>
      <c r="F1247" s="25">
        <v>43160</v>
      </c>
      <c r="G1247" s="61" t="s">
        <v>13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7" t="s">
        <v>1865</v>
      </c>
      <c r="B1248" s="58"/>
      <c r="C1248" s="27" t="s">
        <v>1866</v>
      </c>
      <c r="D1248" s="60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1867</v>
      </c>
      <c r="B1249" s="58">
        <v>31265129843</v>
      </c>
      <c r="C1249" s="59" t="s">
        <v>1868</v>
      </c>
      <c r="D1249" s="60">
        <v>2078435546</v>
      </c>
      <c r="E1249" s="9">
        <v>1241</v>
      </c>
      <c r="F1249" s="25">
        <v>42992</v>
      </c>
      <c r="G1249" s="61" t="s">
        <v>13</v>
      </c>
      <c r="H1249" s="9"/>
      <c r="I1249" s="8"/>
      <c r="J1249" s="8"/>
      <c r="K1249" s="8"/>
      <c r="L1249" s="8"/>
      <c r="M1249" s="8"/>
    </row>
    <row r="1250" spans="1:13">
      <c r="A1250" s="15" t="s">
        <v>1869</v>
      </c>
      <c r="B1250" s="58">
        <v>22524200817</v>
      </c>
      <c r="C1250" s="63" t="s">
        <v>1870</v>
      </c>
      <c r="D1250" s="60">
        <v>22961531861</v>
      </c>
      <c r="E1250" s="9">
        <v>229</v>
      </c>
      <c r="F1250" s="25">
        <v>43151</v>
      </c>
      <c r="G1250" s="61" t="s">
        <v>20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1871</v>
      </c>
      <c r="B1251" s="58">
        <v>33374817874</v>
      </c>
      <c r="C1251" s="63"/>
      <c r="D1251" s="60"/>
      <c r="E1251" s="9">
        <v>85</v>
      </c>
      <c r="F1251" s="25">
        <v>43109</v>
      </c>
      <c r="G1251" s="61" t="s">
        <v>13</v>
      </c>
      <c r="H1251" s="25">
        <v>43151</v>
      </c>
      <c r="I1251" s="8"/>
      <c r="J1251" s="8"/>
      <c r="K1251" s="8"/>
      <c r="L1251" s="8"/>
      <c r="M1251" s="8"/>
    </row>
    <row r="1252" spans="1:13">
      <c r="A1252" s="63" t="s">
        <v>1872</v>
      </c>
      <c r="B1252" s="58">
        <v>29736807860</v>
      </c>
      <c r="C1252" s="63" t="s">
        <v>1873</v>
      </c>
      <c r="D1252" s="60">
        <v>29733572845</v>
      </c>
      <c r="E1252" s="9"/>
      <c r="F1252" s="25"/>
      <c r="G1252" s="61"/>
      <c r="H1252" s="9"/>
      <c r="I1252" s="8"/>
      <c r="J1252" s="8"/>
      <c r="K1252" s="8"/>
      <c r="L1252" s="8"/>
      <c r="M1252" s="8"/>
    </row>
    <row r="1253" spans="1:13">
      <c r="A1253" s="62" t="s">
        <v>1874</v>
      </c>
      <c r="B1253" s="58">
        <v>4890860398</v>
      </c>
      <c r="C1253" s="63" t="s">
        <v>1875</v>
      </c>
      <c r="D1253" s="60">
        <v>43034983867</v>
      </c>
      <c r="E1253" s="9">
        <v>262</v>
      </c>
      <c r="F1253" s="25">
        <v>43160</v>
      </c>
      <c r="G1253" s="61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1876</v>
      </c>
      <c r="B1254" s="58">
        <v>10412889803</v>
      </c>
      <c r="C1254" s="63"/>
      <c r="D1254" s="60"/>
      <c r="E1254" s="9">
        <v>85</v>
      </c>
      <c r="F1254" s="25">
        <v>43109</v>
      </c>
      <c r="G1254" s="61" t="s">
        <v>13</v>
      </c>
      <c r="H1254" s="25">
        <v>43151</v>
      </c>
      <c r="I1254" s="8"/>
      <c r="J1254" s="8"/>
      <c r="K1254" s="8"/>
      <c r="L1254" s="8"/>
      <c r="M1254" s="8"/>
    </row>
    <row r="1255" spans="1:13">
      <c r="A1255" s="27" t="s">
        <v>1877</v>
      </c>
      <c r="B1255" s="58">
        <v>35336343889</v>
      </c>
      <c r="C1255" s="18" t="s">
        <v>1878</v>
      </c>
      <c r="D1255" s="60">
        <v>3929463512</v>
      </c>
      <c r="E1255" s="9"/>
      <c r="F1255" s="25"/>
      <c r="G1255" s="61"/>
      <c r="H1255" s="9"/>
      <c r="I1255" s="8"/>
      <c r="J1255" s="8"/>
      <c r="K1255" s="8"/>
      <c r="L1255" s="8"/>
      <c r="M1255" s="8"/>
    </row>
    <row r="1256" spans="1:13">
      <c r="A1256" s="62" t="s">
        <v>1879</v>
      </c>
      <c r="B1256" s="58">
        <v>94907293887</v>
      </c>
      <c r="C1256" s="63"/>
      <c r="D1256" s="60"/>
      <c r="E1256" s="9">
        <v>563</v>
      </c>
      <c r="F1256" s="25">
        <v>43217</v>
      </c>
      <c r="G1256" s="61"/>
      <c r="H1256" s="9"/>
      <c r="I1256" s="8"/>
      <c r="J1256" s="8"/>
      <c r="K1256" s="8"/>
      <c r="L1256" s="9" t="s">
        <v>299</v>
      </c>
      <c r="M1256" s="8"/>
    </row>
    <row r="1257" spans="1:13">
      <c r="A1257" s="14" t="s">
        <v>1880</v>
      </c>
      <c r="B1257" s="58">
        <v>38772091819</v>
      </c>
      <c r="C1257" s="63"/>
      <c r="D1257" s="60"/>
      <c r="E1257" s="9"/>
      <c r="F1257" s="25"/>
      <c r="G1257" s="61"/>
      <c r="H1257" s="9"/>
      <c r="I1257" s="8"/>
      <c r="J1257" s="8"/>
      <c r="K1257" s="8"/>
      <c r="L1257" s="8"/>
      <c r="M1257" s="8"/>
    </row>
    <row r="1258" spans="1:13">
      <c r="A1258" s="15" t="s">
        <v>1881</v>
      </c>
      <c r="B1258" s="58">
        <v>39107511809</v>
      </c>
      <c r="C1258" s="63" t="s">
        <v>1882</v>
      </c>
      <c r="D1258" s="60">
        <v>33332246828</v>
      </c>
      <c r="E1258" s="9">
        <v>262</v>
      </c>
      <c r="F1258" s="25">
        <v>43160</v>
      </c>
      <c r="G1258" s="61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62" t="s">
        <v>1883</v>
      </c>
      <c r="B1259" s="58">
        <v>6652314584</v>
      </c>
      <c r="C1259" s="63" t="s">
        <v>1884</v>
      </c>
      <c r="D1259" s="60">
        <v>4945754500</v>
      </c>
      <c r="E1259" s="9">
        <v>85</v>
      </c>
      <c r="F1259" s="25">
        <v>43109</v>
      </c>
      <c r="G1259" s="61" t="s">
        <v>20</v>
      </c>
      <c r="H1259" s="25">
        <v>43151</v>
      </c>
      <c r="I1259" s="8"/>
      <c r="J1259" s="8"/>
      <c r="K1259" s="8"/>
      <c r="L1259" s="8"/>
      <c r="M1259" s="8"/>
    </row>
    <row r="1260" spans="1:13">
      <c r="A1260" s="62" t="s">
        <v>1885</v>
      </c>
      <c r="B1260" s="58">
        <v>43135974847</v>
      </c>
      <c r="C1260" s="64" t="s">
        <v>1886</v>
      </c>
      <c r="D1260" s="60" t="s">
        <v>1887</v>
      </c>
      <c r="E1260" s="9">
        <v>563</v>
      </c>
      <c r="F1260" s="25">
        <v>43217</v>
      </c>
      <c r="G1260" s="61"/>
      <c r="H1260" s="9"/>
      <c r="I1260" s="8"/>
      <c r="J1260" s="8"/>
      <c r="K1260" s="8"/>
      <c r="L1260" s="9" t="s">
        <v>299</v>
      </c>
      <c r="M1260" s="8"/>
    </row>
    <row r="1261" spans="1:13">
      <c r="A1261" s="13" t="s">
        <v>1888</v>
      </c>
      <c r="B1261" s="58">
        <v>18481038830</v>
      </c>
      <c r="C1261" s="59"/>
      <c r="D1261" s="60"/>
      <c r="E1261" s="9">
        <v>1128</v>
      </c>
      <c r="F1261" s="25">
        <v>42972</v>
      </c>
      <c r="G1261" s="61" t="s">
        <v>13</v>
      </c>
      <c r="H1261" s="9"/>
      <c r="I1261" s="8"/>
      <c r="J1261" s="8"/>
      <c r="K1261" s="8"/>
      <c r="L1261" s="8"/>
      <c r="M1261" s="8"/>
    </row>
    <row r="1262" spans="1:13">
      <c r="A1262" s="62" t="s">
        <v>1889</v>
      </c>
      <c r="B1262" s="58">
        <v>24952272877</v>
      </c>
      <c r="C1262" s="68"/>
      <c r="D1262" s="60"/>
      <c r="E1262" s="9">
        <v>563</v>
      </c>
      <c r="F1262" s="25">
        <v>43217</v>
      </c>
      <c r="G1262" s="61"/>
      <c r="H1262" s="9"/>
      <c r="I1262" s="8"/>
      <c r="J1262" s="8"/>
      <c r="K1262" s="8"/>
      <c r="L1262" s="9" t="s">
        <v>299</v>
      </c>
      <c r="M1262" s="8"/>
    </row>
    <row r="1263" spans="1:13">
      <c r="A1263" s="14" t="s">
        <v>1890</v>
      </c>
      <c r="B1263" s="58">
        <v>40950857890</v>
      </c>
      <c r="C1263" s="63"/>
      <c r="D1263" s="60"/>
      <c r="E1263" s="9">
        <v>292</v>
      </c>
      <c r="F1263" s="25">
        <v>43168</v>
      </c>
      <c r="G1263" s="61" t="s">
        <v>13</v>
      </c>
      <c r="H1263" s="9"/>
      <c r="I1263" s="8"/>
      <c r="J1263" s="8"/>
      <c r="K1263" s="8"/>
      <c r="L1263" s="9">
        <v>318</v>
      </c>
      <c r="M1263" s="8"/>
    </row>
    <row r="1264" spans="1:13">
      <c r="A1264" s="62" t="s">
        <v>1891</v>
      </c>
      <c r="B1264" s="58">
        <v>35510628898</v>
      </c>
      <c r="C1264" s="63"/>
      <c r="D1264" s="60"/>
      <c r="E1264" s="9"/>
      <c r="F1264" s="25"/>
      <c r="G1264" s="61"/>
      <c r="H1264" s="9"/>
      <c r="I1264" s="8"/>
      <c r="J1264" s="8"/>
      <c r="K1264" s="8"/>
      <c r="L1264" s="8"/>
      <c r="M1264" s="8"/>
    </row>
    <row r="1265" spans="1:13">
      <c r="A1265" s="62" t="s">
        <v>1892</v>
      </c>
      <c r="B1265" s="58">
        <v>29767521844</v>
      </c>
      <c r="C1265" s="63"/>
      <c r="D1265" s="60"/>
      <c r="E1265" s="9">
        <v>85</v>
      </c>
      <c r="F1265" s="25">
        <v>43109</v>
      </c>
      <c r="G1265" s="61" t="s">
        <v>20</v>
      </c>
      <c r="H1265" s="25">
        <v>43151</v>
      </c>
      <c r="I1265" s="8"/>
      <c r="J1265" s="8"/>
      <c r="K1265" s="8"/>
      <c r="L1265" s="8"/>
      <c r="M1265" s="8"/>
    </row>
    <row r="1266" spans="1:13">
      <c r="A1266" s="62" t="s">
        <v>1893</v>
      </c>
      <c r="B1266" s="58">
        <v>1748350943</v>
      </c>
      <c r="C1266" s="63" t="s">
        <v>1894</v>
      </c>
      <c r="D1266" s="60">
        <v>42332889817</v>
      </c>
      <c r="E1266" s="9"/>
      <c r="F1266" s="25"/>
      <c r="G1266" s="61"/>
      <c r="H1266" s="9"/>
      <c r="I1266" s="8"/>
      <c r="J1266" s="8"/>
      <c r="K1266" s="8"/>
      <c r="L1266" s="8"/>
      <c r="M1266" s="8"/>
    </row>
    <row r="1267" spans="1:13">
      <c r="A1267" s="62" t="s">
        <v>1895</v>
      </c>
      <c r="B1267" s="58">
        <v>15751377800</v>
      </c>
      <c r="C1267" s="63"/>
      <c r="D1267" s="60"/>
      <c r="E1267" s="9"/>
      <c r="F1267" s="25"/>
      <c r="G1267" s="61"/>
      <c r="H1267" s="9"/>
      <c r="I1267" s="8"/>
      <c r="J1267" s="8"/>
      <c r="K1267" s="8"/>
      <c r="L1267" s="8"/>
      <c r="M1267" s="8"/>
    </row>
    <row r="1268" spans="1:13">
      <c r="A1268" s="62" t="s">
        <v>1896</v>
      </c>
      <c r="B1268" s="58">
        <v>23502610851</v>
      </c>
      <c r="C1268" s="64" t="s">
        <v>1897</v>
      </c>
      <c r="D1268" s="60" t="s">
        <v>1898</v>
      </c>
      <c r="E1268" s="9"/>
      <c r="F1268" s="25"/>
      <c r="G1268" s="61"/>
      <c r="H1268" s="9"/>
      <c r="I1268" s="8"/>
      <c r="J1268" s="8"/>
      <c r="K1268" s="8"/>
      <c r="L1268" s="8"/>
      <c r="M1268" s="8"/>
    </row>
    <row r="1269" spans="1:13">
      <c r="A1269" s="37" t="s">
        <v>1899</v>
      </c>
      <c r="B1269" s="58">
        <v>48857598896</v>
      </c>
      <c r="C1269" s="63" t="s">
        <v>1900</v>
      </c>
      <c r="D1269" s="60">
        <v>36223394896</v>
      </c>
      <c r="E1269" s="9">
        <v>262</v>
      </c>
      <c r="F1269" s="25">
        <v>43160</v>
      </c>
      <c r="G1269" s="44" t="s">
        <v>20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1901</v>
      </c>
      <c r="B1270" s="58">
        <v>45967878831</v>
      </c>
      <c r="C1270" s="63"/>
      <c r="D1270" s="60"/>
      <c r="E1270" s="9">
        <v>485</v>
      </c>
      <c r="F1270" s="25">
        <v>43196</v>
      </c>
      <c r="G1270" s="61"/>
      <c r="H1270" s="9"/>
      <c r="I1270" s="8"/>
      <c r="J1270" s="8"/>
      <c r="K1270" s="8"/>
      <c r="L1270" s="9">
        <v>483</v>
      </c>
      <c r="M1270" s="8"/>
    </row>
    <row r="1271" spans="1:13">
      <c r="A1271" s="63" t="s">
        <v>1902</v>
      </c>
      <c r="B1271" s="58">
        <v>44889177809</v>
      </c>
      <c r="C1271" s="63"/>
      <c r="D1271" s="60"/>
      <c r="E1271" s="9">
        <v>443</v>
      </c>
      <c r="F1271" s="25">
        <v>43188</v>
      </c>
      <c r="G1271" s="61"/>
      <c r="H1271" s="9"/>
      <c r="I1271" s="8"/>
      <c r="J1271" s="8"/>
      <c r="K1271" s="8"/>
      <c r="L1271" s="8"/>
      <c r="M1271" s="8"/>
    </row>
    <row r="1272" spans="1:13">
      <c r="A1272" s="62" t="s">
        <v>1903</v>
      </c>
      <c r="B1272" s="58">
        <v>43581566818</v>
      </c>
      <c r="C1272" s="63"/>
      <c r="D1272" s="60"/>
      <c r="E1272" s="9">
        <v>229</v>
      </c>
      <c r="F1272" s="25">
        <v>43151</v>
      </c>
      <c r="G1272" s="61" t="s">
        <v>13</v>
      </c>
      <c r="H1272" s="9"/>
      <c r="I1272" s="8"/>
      <c r="J1272" s="8"/>
      <c r="K1272" s="8"/>
      <c r="L1272" s="9">
        <v>232</v>
      </c>
      <c r="M1272" s="8"/>
    </row>
    <row r="1273" spans="1:13">
      <c r="A1273" s="62" t="s">
        <v>1904</v>
      </c>
      <c r="B1273" s="58">
        <v>44886132847</v>
      </c>
      <c r="C1273" s="63"/>
      <c r="D1273" s="60"/>
      <c r="E1273" s="9">
        <v>563</v>
      </c>
      <c r="F1273" s="25">
        <v>43217</v>
      </c>
      <c r="G1273" s="61"/>
      <c r="H1273" s="9"/>
      <c r="I1273" s="8"/>
      <c r="J1273" s="8"/>
      <c r="K1273" s="8"/>
      <c r="L1273" s="9" t="s">
        <v>299</v>
      </c>
      <c r="M1273" s="8"/>
    </row>
    <row r="1274" spans="1:13">
      <c r="A1274" s="62" t="s">
        <v>1905</v>
      </c>
      <c r="B1274" s="69" t="s">
        <v>1906</v>
      </c>
      <c r="C1274" s="68"/>
      <c r="D1274" s="60"/>
      <c r="E1274" s="9"/>
      <c r="F1274" s="25"/>
      <c r="G1274" s="61"/>
      <c r="H1274" s="9"/>
      <c r="I1274" s="8"/>
      <c r="J1274" s="8"/>
      <c r="K1274" s="8"/>
      <c r="L1274" s="8"/>
      <c r="M1274" s="8"/>
    </row>
    <row r="1275" spans="1:13">
      <c r="A1275" s="62" t="s">
        <v>1907</v>
      </c>
      <c r="B1275" s="58">
        <v>62267990482</v>
      </c>
      <c r="C1275" s="63"/>
      <c r="D1275" s="60"/>
      <c r="E1275" s="9">
        <v>423</v>
      </c>
      <c r="F1275" s="25">
        <v>43182</v>
      </c>
      <c r="G1275" s="61" t="s">
        <v>13</v>
      </c>
      <c r="H1275" s="9"/>
      <c r="I1275" s="8"/>
      <c r="J1275" s="8"/>
      <c r="K1275" s="8"/>
      <c r="L1275" s="8"/>
      <c r="M1275" s="8"/>
    </row>
    <row r="1276" spans="1:13">
      <c r="A1276" s="62" t="s">
        <v>1908</v>
      </c>
      <c r="B1276" s="58">
        <v>16354483876</v>
      </c>
      <c r="C1276" s="59" t="s">
        <v>1909</v>
      </c>
      <c r="D1276" s="60">
        <v>2853992845</v>
      </c>
      <c r="E1276" s="9">
        <v>1267</v>
      </c>
      <c r="F1276" s="25">
        <v>42998</v>
      </c>
      <c r="G1276" s="61" t="s">
        <v>13</v>
      </c>
      <c r="H1276" s="9"/>
      <c r="I1276" s="8"/>
      <c r="J1276" s="8"/>
      <c r="K1276" s="8"/>
      <c r="L1276" s="8"/>
      <c r="M1276" s="8"/>
    </row>
    <row r="1277" spans="1:13">
      <c r="A1277" s="62" t="s">
        <v>1910</v>
      </c>
      <c r="B1277" s="58">
        <v>40753885816</v>
      </c>
      <c r="C1277" s="63" t="s">
        <v>1911</v>
      </c>
      <c r="D1277" s="60">
        <v>35877507850</v>
      </c>
      <c r="E1277" s="9">
        <v>85</v>
      </c>
      <c r="F1277" s="25">
        <v>43109</v>
      </c>
      <c r="G1277" s="61" t="s">
        <v>13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1912</v>
      </c>
      <c r="B1278" s="58">
        <v>23725076804</v>
      </c>
      <c r="C1278" s="63"/>
      <c r="D1278" s="60"/>
      <c r="E1278" s="9">
        <v>262</v>
      </c>
      <c r="F1278" s="25">
        <v>43160</v>
      </c>
      <c r="G1278" s="61" t="s">
        <v>13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62" t="s">
        <v>1913</v>
      </c>
      <c r="B1279" s="58">
        <v>39311045837</v>
      </c>
      <c r="C1279" s="63"/>
      <c r="D1279" s="60"/>
      <c r="E1279" s="9">
        <v>292</v>
      </c>
      <c r="F1279" s="25">
        <v>43168</v>
      </c>
      <c r="G1279" s="61" t="s">
        <v>13</v>
      </c>
      <c r="H1279" s="9"/>
      <c r="I1279" s="8"/>
      <c r="J1279" s="8"/>
      <c r="K1279" s="8"/>
      <c r="L1279" s="9">
        <v>318</v>
      </c>
      <c r="M1279" s="8"/>
    </row>
    <row r="1280" spans="1:13">
      <c r="A1280" s="62" t="s">
        <v>1914</v>
      </c>
      <c r="B1280" s="58">
        <v>41200936892</v>
      </c>
      <c r="C1280" s="68"/>
      <c r="D1280" s="60"/>
      <c r="E1280" s="9"/>
      <c r="F1280" s="25"/>
      <c r="G1280" s="61"/>
      <c r="H1280" s="9"/>
      <c r="I1280" s="8"/>
      <c r="J1280" s="8"/>
      <c r="K1280" s="8"/>
      <c r="L1280" s="8"/>
      <c r="M1280" s="8"/>
    </row>
    <row r="1281" spans="1:13">
      <c r="A1281" s="62" t="s">
        <v>1915</v>
      </c>
      <c r="B1281" s="58">
        <v>22938943806</v>
      </c>
      <c r="C1281" s="63"/>
      <c r="D1281" s="60"/>
      <c r="E1281" s="9">
        <v>262</v>
      </c>
      <c r="F1281" s="25">
        <v>43160</v>
      </c>
      <c r="G1281" s="9" t="s">
        <v>13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62" t="s">
        <v>1916</v>
      </c>
      <c r="B1282" s="58">
        <v>42792081821</v>
      </c>
      <c r="C1282" s="63"/>
      <c r="D1282" s="60"/>
      <c r="E1282" s="9">
        <v>443</v>
      </c>
      <c r="F1282" s="25">
        <v>43188</v>
      </c>
      <c r="G1282" s="61"/>
      <c r="H1282" s="9"/>
      <c r="I1282" s="8"/>
      <c r="J1282" s="8"/>
      <c r="K1282" s="8"/>
      <c r="L1282" s="8"/>
      <c r="M1282" s="8"/>
    </row>
    <row r="1283" spans="1:13">
      <c r="A1283" s="62" t="s">
        <v>1917</v>
      </c>
      <c r="B1283" s="58">
        <v>44632196800</v>
      </c>
      <c r="C1283" s="63" t="s">
        <v>1918</v>
      </c>
      <c r="D1283" s="60">
        <v>38901506831</v>
      </c>
      <c r="E1283" s="9">
        <v>1359</v>
      </c>
      <c r="F1283" s="25">
        <v>43006</v>
      </c>
      <c r="G1283" s="9" t="s">
        <v>13</v>
      </c>
      <c r="H1283" s="9"/>
      <c r="I1283" s="8"/>
      <c r="J1283" s="8"/>
      <c r="K1283" s="8"/>
      <c r="L1283" s="8"/>
      <c r="M1283" s="8"/>
    </row>
    <row r="1284" spans="1:13">
      <c r="A1284" s="18" t="s">
        <v>1919</v>
      </c>
      <c r="B1284" s="58"/>
      <c r="C1284" s="18" t="s">
        <v>1920</v>
      </c>
      <c r="D1284" s="60"/>
      <c r="E1284" s="9"/>
      <c r="F1284" s="25"/>
      <c r="G1284" s="61"/>
      <c r="H1284" s="9"/>
      <c r="I1284" s="8"/>
      <c r="J1284" s="8"/>
      <c r="K1284" s="8"/>
      <c r="L1284" s="8"/>
      <c r="M1284" s="8"/>
    </row>
    <row r="1285" spans="1:13">
      <c r="A1285" s="62" t="s">
        <v>1921</v>
      </c>
      <c r="B1285" s="58">
        <v>40522805809</v>
      </c>
      <c r="C1285" s="63"/>
      <c r="D1285" s="60"/>
      <c r="E1285" s="9">
        <v>229</v>
      </c>
      <c r="F1285" s="25">
        <v>43151</v>
      </c>
      <c r="G1285" s="61" t="s">
        <v>13</v>
      </c>
      <c r="H1285" s="9"/>
      <c r="I1285" s="8"/>
      <c r="J1285" s="8"/>
      <c r="K1285" s="8"/>
      <c r="L1285" s="9">
        <v>232</v>
      </c>
      <c r="M1285" s="8"/>
    </row>
    <row r="1286" spans="1:13">
      <c r="A1286" s="62" t="s">
        <v>1922</v>
      </c>
      <c r="B1286" s="58">
        <v>7354753505</v>
      </c>
      <c r="C1286" s="63" t="s">
        <v>1923</v>
      </c>
      <c r="D1286" s="60">
        <v>26646541876</v>
      </c>
      <c r="E1286" s="9">
        <v>117</v>
      </c>
      <c r="F1286" s="25">
        <v>43117</v>
      </c>
      <c r="G1286" s="61" t="s">
        <v>13</v>
      </c>
      <c r="H1286" s="9"/>
      <c r="I1286" s="8"/>
      <c r="J1286" s="8"/>
      <c r="K1286" s="8"/>
      <c r="L1286" s="9" t="s">
        <v>170</v>
      </c>
      <c r="M1286" s="8"/>
    </row>
    <row r="1287" spans="1:13">
      <c r="A1287" s="62" t="s">
        <v>1924</v>
      </c>
      <c r="B1287" s="58">
        <v>45378515890</v>
      </c>
      <c r="C1287" s="63" t="s">
        <v>1925</v>
      </c>
      <c r="D1287" s="60">
        <v>35635754520</v>
      </c>
      <c r="E1287" s="9">
        <v>1752</v>
      </c>
      <c r="F1287" s="25">
        <v>43051</v>
      </c>
      <c r="G1287" s="61" t="s">
        <v>13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1926</v>
      </c>
      <c r="B1288" s="58">
        <v>41274505844</v>
      </c>
      <c r="C1288" s="18" t="s">
        <v>1927</v>
      </c>
      <c r="D1288" s="60">
        <v>37995816855</v>
      </c>
      <c r="E1288" s="9"/>
      <c r="F1288" s="25"/>
      <c r="G1288" s="61"/>
      <c r="H1288" s="9"/>
      <c r="I1288" s="8"/>
      <c r="J1288" s="8"/>
      <c r="K1288" s="8"/>
      <c r="L1288" s="8"/>
      <c r="M1288" s="8"/>
    </row>
    <row r="1289" spans="1:13">
      <c r="A1289" s="63" t="s">
        <v>1928</v>
      </c>
      <c r="B1289" s="58">
        <v>46583836831</v>
      </c>
      <c r="C1289" s="63" t="s">
        <v>1929</v>
      </c>
      <c r="D1289" s="60">
        <v>39199167867</v>
      </c>
      <c r="E1289" s="9">
        <v>292</v>
      </c>
      <c r="F1289" s="25">
        <v>43168</v>
      </c>
      <c r="G1289" s="9" t="s">
        <v>13</v>
      </c>
      <c r="H1289" s="9"/>
      <c r="I1289" s="8"/>
      <c r="J1289" s="8"/>
      <c r="K1289" s="8"/>
      <c r="L1289" s="9">
        <v>318</v>
      </c>
      <c r="M1289" s="8"/>
    </row>
    <row r="1290" spans="1:13">
      <c r="A1290" s="27" t="s">
        <v>1930</v>
      </c>
      <c r="B1290" s="58"/>
      <c r="C1290" s="27" t="s">
        <v>1931</v>
      </c>
      <c r="D1290" s="60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7" t="s">
        <v>1932</v>
      </c>
      <c r="B1291" s="58">
        <v>37483362847</v>
      </c>
      <c r="C1291" s="27" t="s">
        <v>1933</v>
      </c>
      <c r="D1291" s="60">
        <v>33637268809</v>
      </c>
      <c r="E1291" s="9"/>
      <c r="F1291" s="25"/>
      <c r="G1291" s="61"/>
      <c r="H1291" s="9"/>
      <c r="I1291" s="8"/>
      <c r="J1291" s="8"/>
      <c r="K1291" s="8"/>
      <c r="L1291" s="8"/>
      <c r="M1291" s="8"/>
    </row>
    <row r="1292" spans="1:13">
      <c r="A1292" s="18" t="s">
        <v>1934</v>
      </c>
      <c r="B1292" s="58">
        <v>43663899837</v>
      </c>
      <c r="C1292" s="18" t="s">
        <v>1935</v>
      </c>
      <c r="D1292" s="60">
        <v>40179072889</v>
      </c>
      <c r="E1292" s="9"/>
      <c r="F1292" s="25"/>
      <c r="G1292" s="61"/>
      <c r="H1292" s="9"/>
      <c r="I1292" s="8"/>
      <c r="J1292" s="8"/>
      <c r="K1292" s="8"/>
      <c r="L1292" s="8"/>
      <c r="M1292" s="8"/>
    </row>
    <row r="1293" spans="1:13">
      <c r="A1293" s="62" t="s">
        <v>1936</v>
      </c>
      <c r="B1293" s="58">
        <v>39203446850</v>
      </c>
      <c r="C1293" s="63" t="s">
        <v>1937</v>
      </c>
      <c r="D1293" s="60">
        <v>39255518836</v>
      </c>
      <c r="E1293" s="9">
        <v>292</v>
      </c>
      <c r="F1293" s="25">
        <v>43168</v>
      </c>
      <c r="G1293" s="61" t="s">
        <v>13</v>
      </c>
      <c r="H1293" s="9"/>
      <c r="I1293" s="8"/>
      <c r="J1293" s="8"/>
      <c r="K1293" s="8"/>
      <c r="L1293" s="9">
        <v>318</v>
      </c>
      <c r="M1293" s="8"/>
    </row>
    <row r="1294" spans="1:13">
      <c r="A1294" s="62" t="s">
        <v>1938</v>
      </c>
      <c r="B1294" s="58">
        <v>37165598812</v>
      </c>
      <c r="C1294" s="63"/>
      <c r="D1294" s="60"/>
      <c r="E1294" s="9"/>
      <c r="F1294" s="25"/>
      <c r="G1294" s="61"/>
      <c r="H1294" s="9"/>
      <c r="I1294" s="8"/>
      <c r="J1294" s="8"/>
      <c r="K1294" s="8"/>
      <c r="L1294" s="8"/>
      <c r="M1294" s="8"/>
    </row>
    <row r="1295" spans="1:13">
      <c r="A1295" s="15" t="s">
        <v>1939</v>
      </c>
      <c r="B1295" s="58">
        <v>45722318850</v>
      </c>
      <c r="C1295" s="63" t="s">
        <v>1940</v>
      </c>
      <c r="D1295" s="60">
        <v>61122102313</v>
      </c>
      <c r="E1295" s="9">
        <v>229</v>
      </c>
      <c r="F1295" s="25">
        <v>43151</v>
      </c>
      <c r="G1295" s="61" t="s">
        <v>13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1941</v>
      </c>
      <c r="B1296" s="58">
        <v>8478216847</v>
      </c>
      <c r="C1296" s="63"/>
      <c r="D1296" s="60"/>
      <c r="E1296" s="9">
        <v>262</v>
      </c>
      <c r="F1296" s="25">
        <v>43160</v>
      </c>
      <c r="G1296" s="61" t="s">
        <v>13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1942</v>
      </c>
      <c r="B1297" s="58">
        <v>47697684861</v>
      </c>
      <c r="C1297" s="63" t="s">
        <v>1943</v>
      </c>
      <c r="D1297" s="60">
        <v>42642601838</v>
      </c>
      <c r="E1297" s="9">
        <v>229</v>
      </c>
      <c r="F1297" s="25">
        <v>43151</v>
      </c>
      <c r="G1297" s="61" t="s">
        <v>13</v>
      </c>
      <c r="H1297" s="9"/>
      <c r="I1297" s="8"/>
      <c r="J1297" s="8"/>
      <c r="K1297" s="8"/>
      <c r="L1297" s="9">
        <v>232</v>
      </c>
      <c r="M1297" s="8"/>
    </row>
    <row r="1298" spans="1:13">
      <c r="A1298" s="63" t="s">
        <v>1944</v>
      </c>
      <c r="B1298" s="58">
        <v>97503479515</v>
      </c>
      <c r="C1298" s="15" t="s">
        <v>1945</v>
      </c>
      <c r="D1298" s="60">
        <v>28269015830</v>
      </c>
      <c r="E1298" s="9">
        <v>262</v>
      </c>
      <c r="F1298" s="25">
        <v>43160</v>
      </c>
      <c r="G1298" s="61" t="s">
        <v>13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62" t="s">
        <v>1946</v>
      </c>
      <c r="B1299" s="58">
        <v>84327510491</v>
      </c>
      <c r="C1299" s="63" t="s">
        <v>1947</v>
      </c>
      <c r="D1299" s="60">
        <v>17305875856</v>
      </c>
      <c r="E1299" s="9">
        <v>292</v>
      </c>
      <c r="F1299" s="25">
        <v>43168</v>
      </c>
      <c r="G1299" s="61" t="s">
        <v>13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1948</v>
      </c>
      <c r="B1300" s="58">
        <v>24870791854</v>
      </c>
      <c r="C1300" s="59" t="s">
        <v>1949</v>
      </c>
      <c r="D1300" s="60">
        <v>4398744835</v>
      </c>
      <c r="E1300" s="9">
        <v>1128</v>
      </c>
      <c r="F1300" s="25">
        <v>42972</v>
      </c>
      <c r="G1300" s="61" t="s">
        <v>13</v>
      </c>
      <c r="H1300" s="9"/>
      <c r="I1300" s="8"/>
      <c r="J1300" s="8"/>
      <c r="K1300" s="8"/>
      <c r="L1300" s="8"/>
      <c r="M1300" s="8"/>
    </row>
    <row r="1301" spans="1:13">
      <c r="A1301" s="62" t="s">
        <v>1950</v>
      </c>
      <c r="B1301" s="58">
        <v>5426932328</v>
      </c>
      <c r="C1301" s="63"/>
      <c r="D1301" s="60"/>
      <c r="E1301" s="9">
        <v>1241</v>
      </c>
      <c r="F1301" s="25">
        <v>42992</v>
      </c>
      <c r="G1301" s="61" t="s">
        <v>13</v>
      </c>
      <c r="H1301" s="9"/>
      <c r="I1301" s="8"/>
      <c r="J1301" s="8"/>
      <c r="K1301" s="8"/>
      <c r="L1301" s="8"/>
      <c r="M1301" s="8"/>
    </row>
    <row r="1302" spans="1:13">
      <c r="A1302" s="27" t="s">
        <v>1951</v>
      </c>
      <c r="B1302" s="58"/>
      <c r="C1302" s="18" t="s">
        <v>129</v>
      </c>
      <c r="D1302" s="60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62" t="s">
        <v>1952</v>
      </c>
      <c r="B1303" s="58">
        <v>25533246851</v>
      </c>
      <c r="C1303" s="63" t="s">
        <v>1953</v>
      </c>
      <c r="D1303" s="60">
        <v>2336832836</v>
      </c>
      <c r="E1303" s="9">
        <v>810</v>
      </c>
      <c r="F1303" s="25">
        <v>42915</v>
      </c>
      <c r="G1303" s="61" t="s">
        <v>13</v>
      </c>
      <c r="H1303" s="9"/>
      <c r="I1303" s="8"/>
      <c r="J1303" s="8"/>
      <c r="K1303" s="8"/>
      <c r="L1303" s="9" t="s">
        <v>138</v>
      </c>
      <c r="M1303" s="8"/>
    </row>
    <row r="1304" spans="1:13">
      <c r="A1304" s="62" t="s">
        <v>1954</v>
      </c>
      <c r="B1304" s="58">
        <v>47116625453</v>
      </c>
      <c r="C1304" s="63"/>
      <c r="D1304" s="60"/>
      <c r="E1304" s="9">
        <v>1350</v>
      </c>
      <c r="F1304" s="25">
        <v>43006</v>
      </c>
      <c r="G1304" s="61" t="s">
        <v>13</v>
      </c>
      <c r="H1304" s="9"/>
      <c r="I1304" s="8"/>
      <c r="J1304" s="8"/>
      <c r="K1304" s="8"/>
      <c r="L1304" s="8"/>
      <c r="M1304" s="8"/>
    </row>
    <row r="1305" spans="1:13">
      <c r="A1305" s="15" t="s">
        <v>1955</v>
      </c>
      <c r="B1305" s="58">
        <v>29279558838</v>
      </c>
      <c r="C1305" s="63"/>
      <c r="D1305" s="60"/>
      <c r="E1305" s="9"/>
      <c r="F1305" s="25"/>
      <c r="G1305" s="61"/>
      <c r="H1305" s="9"/>
      <c r="I1305" s="8"/>
      <c r="J1305" s="8"/>
      <c r="K1305" s="8"/>
      <c r="L1305" s="8"/>
      <c r="M1305" s="8"/>
    </row>
    <row r="1306" spans="1:13">
      <c r="A1306" s="15" t="s">
        <v>1956</v>
      </c>
      <c r="B1306" s="58">
        <v>78092965404</v>
      </c>
      <c r="C1306" s="63"/>
      <c r="D1306" s="60"/>
      <c r="E1306" s="9"/>
      <c r="F1306" s="25"/>
      <c r="G1306" s="61"/>
      <c r="H1306" s="9"/>
      <c r="I1306" s="8"/>
      <c r="J1306" s="8"/>
      <c r="K1306" s="8"/>
      <c r="L1306" s="8"/>
      <c r="M1306" s="8"/>
    </row>
    <row r="1307" spans="1:13">
      <c r="A1307" s="63" t="s">
        <v>1957</v>
      </c>
      <c r="B1307" s="58">
        <v>90077814800</v>
      </c>
      <c r="C1307" s="63"/>
      <c r="D1307" s="60"/>
      <c r="E1307" s="9"/>
      <c r="F1307" s="25"/>
      <c r="G1307" s="61"/>
      <c r="H1307" s="9"/>
      <c r="I1307" s="8"/>
      <c r="J1307" s="8"/>
      <c r="K1307" s="8"/>
      <c r="L1307" s="8"/>
      <c r="M1307" s="8"/>
    </row>
    <row r="1308" spans="1:13">
      <c r="A1308" s="18" t="s">
        <v>1958</v>
      </c>
      <c r="B1308" s="58">
        <v>89273710891</v>
      </c>
      <c r="C1308" s="18"/>
      <c r="D1308" s="60"/>
      <c r="E1308" s="9"/>
      <c r="F1308" s="25"/>
      <c r="G1308" s="61"/>
      <c r="H1308" s="9"/>
      <c r="I1308" s="8"/>
      <c r="J1308" s="8"/>
      <c r="K1308" s="8"/>
      <c r="L1308" s="8"/>
      <c r="M1308" s="8"/>
    </row>
    <row r="1309" spans="1:13">
      <c r="A1309" s="62" t="s">
        <v>1959</v>
      </c>
      <c r="B1309" s="58">
        <v>98433466453</v>
      </c>
      <c r="C1309" s="63"/>
      <c r="D1309" s="60"/>
      <c r="E1309" s="9"/>
      <c r="F1309" s="25"/>
      <c r="G1309" s="61"/>
      <c r="H1309" s="9"/>
      <c r="I1309" s="8"/>
      <c r="J1309" s="8"/>
      <c r="K1309" s="8"/>
      <c r="L1309" s="8"/>
      <c r="M1309" s="8"/>
    </row>
    <row r="1310" spans="1:13">
      <c r="A1310" s="15" t="s">
        <v>1960</v>
      </c>
      <c r="B1310" s="58">
        <v>2993507893</v>
      </c>
      <c r="C1310" s="63"/>
      <c r="D1310" s="60"/>
      <c r="E1310" s="9"/>
      <c r="F1310" s="25"/>
      <c r="G1310" s="61"/>
      <c r="H1310" s="9"/>
      <c r="I1310" s="8"/>
      <c r="J1310" s="8"/>
      <c r="K1310" s="8"/>
      <c r="L1310" s="8"/>
      <c r="M1310" s="8"/>
    </row>
    <row r="1311" spans="1:13">
      <c r="A1311" s="63" t="s">
        <v>1961</v>
      </c>
      <c r="B1311" s="58">
        <v>38941886856</v>
      </c>
      <c r="C1311" s="63"/>
      <c r="D1311" s="60"/>
      <c r="E1311" s="9">
        <v>292</v>
      </c>
      <c r="F1311" s="25">
        <v>43168</v>
      </c>
      <c r="G1311" s="9" t="s">
        <v>13</v>
      </c>
      <c r="H1311" s="9"/>
      <c r="I1311" s="8"/>
      <c r="J1311" s="8"/>
      <c r="K1311" s="8"/>
      <c r="L1311" s="9">
        <v>318</v>
      </c>
      <c r="M1311" s="8"/>
    </row>
    <row r="1312" spans="1:13">
      <c r="A1312" s="62" t="s">
        <v>1962</v>
      </c>
      <c r="B1312" s="58">
        <v>24992183808</v>
      </c>
      <c r="C1312" s="63"/>
      <c r="D1312" s="60"/>
      <c r="E1312" s="9">
        <v>1106</v>
      </c>
      <c r="F1312" s="25">
        <v>42965</v>
      </c>
      <c r="G1312" s="61" t="s">
        <v>13</v>
      </c>
      <c r="H1312" s="9"/>
      <c r="I1312" s="8"/>
      <c r="J1312" s="8"/>
      <c r="K1312" s="8"/>
      <c r="L1312" s="8"/>
      <c r="M1312" s="8"/>
    </row>
    <row r="1313" spans="1:13">
      <c r="A1313" s="18" t="s">
        <v>1963</v>
      </c>
      <c r="B1313" s="58">
        <v>17245334870</v>
      </c>
      <c r="C1313" s="18"/>
      <c r="D1313" s="60"/>
      <c r="E1313" s="9"/>
      <c r="F1313" s="25"/>
      <c r="G1313" s="61"/>
      <c r="H1313" s="9"/>
      <c r="I1313" s="8"/>
      <c r="J1313" s="8"/>
      <c r="K1313" s="8"/>
      <c r="L1313" s="8"/>
      <c r="M1313" s="8"/>
    </row>
    <row r="1314" spans="1:13">
      <c r="A1314" s="15" t="s">
        <v>1964</v>
      </c>
      <c r="B1314" s="58">
        <v>35553677491</v>
      </c>
      <c r="C1314" s="63"/>
      <c r="D1314" s="60"/>
      <c r="E1314" s="9"/>
      <c r="F1314" s="25"/>
      <c r="G1314" s="61"/>
      <c r="H1314" s="9"/>
      <c r="I1314" s="8"/>
      <c r="J1314" s="8"/>
      <c r="K1314" s="8"/>
      <c r="L1314" s="8"/>
      <c r="M1314" s="8"/>
    </row>
    <row r="1315" spans="1:13">
      <c r="A1315" s="62" t="s">
        <v>1965</v>
      </c>
      <c r="B1315" s="58">
        <v>10359607888</v>
      </c>
      <c r="C1315" s="63"/>
      <c r="D1315" s="60"/>
      <c r="E1315" s="9">
        <v>1417</v>
      </c>
      <c r="F1315" s="25">
        <v>43017</v>
      </c>
      <c r="G1315" s="61" t="s">
        <v>13</v>
      </c>
      <c r="H1315" s="9"/>
      <c r="I1315" s="8"/>
      <c r="J1315" s="8"/>
      <c r="K1315" s="8"/>
      <c r="L1315" s="9" t="s">
        <v>253</v>
      </c>
      <c r="M1315" s="8"/>
    </row>
    <row r="1316" spans="1:13">
      <c r="A1316" s="62" t="s">
        <v>1966</v>
      </c>
      <c r="B1316" s="58">
        <v>73756393534</v>
      </c>
      <c r="C1316" s="63"/>
      <c r="D1316" s="60"/>
      <c r="E1316" s="9">
        <v>1106</v>
      </c>
      <c r="F1316" s="25">
        <v>42965</v>
      </c>
      <c r="G1316" s="61" t="s">
        <v>13</v>
      </c>
      <c r="H1316" s="9"/>
      <c r="I1316" s="8"/>
      <c r="J1316" s="8"/>
      <c r="K1316" s="8"/>
      <c r="L1316" s="8"/>
      <c r="M1316" s="8"/>
    </row>
    <row r="1317" spans="1:13">
      <c r="A1317" s="18" t="s">
        <v>1967</v>
      </c>
      <c r="B1317" s="58">
        <v>10450938824</v>
      </c>
      <c r="C1317" s="18"/>
      <c r="D1317" s="60"/>
      <c r="E1317" s="9"/>
      <c r="F1317" s="25"/>
      <c r="G1317" s="61"/>
      <c r="H1317" s="9"/>
      <c r="I1317" s="8"/>
      <c r="J1317" s="8"/>
      <c r="K1317" s="8"/>
      <c r="L1317" s="8"/>
      <c r="M1317" s="8"/>
    </row>
    <row r="1318" spans="1:13">
      <c r="A1318" s="62" t="s">
        <v>1968</v>
      </c>
      <c r="B1318" s="58">
        <v>30077566858</v>
      </c>
      <c r="C1318" s="63"/>
      <c r="D1318" s="60"/>
      <c r="E1318" s="9">
        <v>1439</v>
      </c>
      <c r="F1318" s="25">
        <v>43025</v>
      </c>
      <c r="G1318" s="61" t="s">
        <v>13</v>
      </c>
      <c r="H1318" s="9"/>
      <c r="I1318" s="8"/>
      <c r="J1318" s="8"/>
      <c r="K1318" s="8"/>
      <c r="L1318" s="9" t="s">
        <v>502</v>
      </c>
      <c r="M1318" s="8"/>
    </row>
    <row r="1319" spans="1:13">
      <c r="A1319" s="15" t="s">
        <v>1969</v>
      </c>
      <c r="B1319" s="58">
        <v>6354096589</v>
      </c>
      <c r="C1319" s="64"/>
      <c r="D1319" s="60"/>
      <c r="E1319" s="9"/>
      <c r="F1319" s="25"/>
      <c r="G1319" s="61"/>
      <c r="H1319" s="9"/>
      <c r="I1319" s="8"/>
      <c r="J1319" s="8"/>
      <c r="K1319" s="8"/>
      <c r="L1319" s="8"/>
      <c r="M1319" s="8"/>
    </row>
    <row r="1320" spans="1:13">
      <c r="A1320" s="15" t="s">
        <v>1970</v>
      </c>
      <c r="B1320" s="58">
        <v>70771006420</v>
      </c>
      <c r="C1320" s="63"/>
      <c r="D1320" s="60"/>
      <c r="E1320" s="9"/>
      <c r="F1320" s="25"/>
      <c r="G1320" s="61"/>
      <c r="H1320" s="9"/>
      <c r="I1320" s="8"/>
      <c r="J1320" s="8"/>
      <c r="K1320" s="8"/>
      <c r="L1320" s="8"/>
      <c r="M1320" s="8"/>
    </row>
    <row r="1321" spans="1:13">
      <c r="A1321" s="15" t="s">
        <v>1971</v>
      </c>
      <c r="B1321" s="58">
        <v>34076893816</v>
      </c>
      <c r="C1321" s="63"/>
      <c r="D1321" s="60"/>
      <c r="E1321" s="9">
        <v>85</v>
      </c>
      <c r="F1321" s="25">
        <v>43109</v>
      </c>
      <c r="G1321" s="61" t="s">
        <v>13</v>
      </c>
      <c r="H1321" s="25">
        <v>43151</v>
      </c>
      <c r="I1321" s="8"/>
      <c r="J1321" s="8"/>
      <c r="K1321" s="8"/>
      <c r="L1321" s="8"/>
      <c r="M1321" s="8"/>
    </row>
    <row r="1322" spans="1:13">
      <c r="A1322" s="62" t="s">
        <v>1972</v>
      </c>
      <c r="B1322" s="58">
        <v>10519320921</v>
      </c>
      <c r="C1322" s="68" t="s">
        <v>1973</v>
      </c>
      <c r="D1322" s="60">
        <v>2310751545</v>
      </c>
      <c r="E1322" s="9"/>
      <c r="F1322" s="25"/>
      <c r="G1322" s="61"/>
      <c r="H1322" s="9"/>
      <c r="I1322" s="8"/>
      <c r="J1322" s="8"/>
      <c r="K1322" s="8"/>
      <c r="L1322" s="8"/>
      <c r="M1322" s="8"/>
    </row>
    <row r="1323" spans="1:13">
      <c r="A1323" s="62" t="s">
        <v>1974</v>
      </c>
      <c r="B1323" s="58">
        <v>26845797846</v>
      </c>
      <c r="C1323" s="63"/>
      <c r="D1323" s="60"/>
      <c r="E1323" s="9">
        <v>1214</v>
      </c>
      <c r="F1323" s="25">
        <v>42989</v>
      </c>
      <c r="G1323" s="61" t="s">
        <v>13</v>
      </c>
      <c r="H1323" s="9"/>
      <c r="I1323" s="8"/>
      <c r="J1323" s="8"/>
      <c r="K1323" s="8"/>
      <c r="L1323" s="8"/>
      <c r="M1323" s="8"/>
    </row>
    <row r="1324" spans="1:13">
      <c r="A1324" s="27" t="s">
        <v>1975</v>
      </c>
      <c r="B1324" s="58"/>
      <c r="C1324" s="18" t="s">
        <v>129</v>
      </c>
      <c r="D1324" s="60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62" t="s">
        <v>1976</v>
      </c>
      <c r="B1325" s="58">
        <v>2186448505</v>
      </c>
      <c r="C1325" s="63"/>
      <c r="D1325" s="60"/>
      <c r="E1325" s="9"/>
      <c r="F1325" s="25"/>
      <c r="G1325" s="61"/>
      <c r="H1325" s="9"/>
      <c r="I1325" s="8"/>
      <c r="J1325" s="8"/>
      <c r="K1325" s="8"/>
      <c r="L1325" s="8"/>
      <c r="M1325" s="8"/>
    </row>
    <row r="1326" spans="1:13">
      <c r="A1326" s="27" t="s">
        <v>1977</v>
      </c>
      <c r="B1326" s="58"/>
      <c r="C1326" s="27" t="s">
        <v>129</v>
      </c>
      <c r="D1326" s="60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62" t="s">
        <v>1978</v>
      </c>
      <c r="B1327" s="58">
        <v>26446436866</v>
      </c>
      <c r="C1327" s="63"/>
      <c r="D1327" s="60"/>
      <c r="E1327" s="9">
        <v>1214</v>
      </c>
      <c r="F1327" s="25">
        <v>42989</v>
      </c>
      <c r="G1327" s="61" t="s">
        <v>13</v>
      </c>
      <c r="H1327" s="9"/>
      <c r="I1327" s="8"/>
      <c r="J1327" s="8"/>
      <c r="K1327" s="8"/>
      <c r="L1327" s="8"/>
      <c r="M1327" s="8"/>
    </row>
    <row r="1328" spans="1:13">
      <c r="A1328" s="62" t="s">
        <v>1979</v>
      </c>
      <c r="B1328" s="58">
        <v>14047193852</v>
      </c>
      <c r="C1328" s="63"/>
      <c r="D1328" s="60"/>
      <c r="E1328" s="9"/>
      <c r="F1328" s="25"/>
      <c r="G1328" s="61"/>
      <c r="H1328" s="9"/>
      <c r="I1328" s="8"/>
      <c r="J1328" s="8"/>
      <c r="K1328" s="8"/>
      <c r="L1328" s="8"/>
      <c r="M1328" s="8"/>
    </row>
    <row r="1329" spans="1:13">
      <c r="A1329" s="62" t="s">
        <v>1980</v>
      </c>
      <c r="B1329" s="58">
        <v>52674142472</v>
      </c>
      <c r="C1329" s="63"/>
      <c r="D1329" s="60"/>
      <c r="E1329" s="9">
        <v>1106</v>
      </c>
      <c r="F1329" s="25">
        <v>42965</v>
      </c>
      <c r="G1329" s="61" t="s">
        <v>13</v>
      </c>
      <c r="H1329" s="9"/>
      <c r="I1329" s="8"/>
      <c r="J1329" s="8"/>
      <c r="K1329" s="8"/>
      <c r="L1329" s="8"/>
      <c r="M1329" s="8"/>
    </row>
    <row r="1330" spans="1:13">
      <c r="A1330" s="15" t="s">
        <v>1981</v>
      </c>
      <c r="B1330" s="58">
        <v>85700274434</v>
      </c>
      <c r="C1330" s="64"/>
      <c r="D1330" s="60"/>
      <c r="E1330" s="9"/>
      <c r="F1330" s="25"/>
      <c r="G1330" s="61"/>
      <c r="H1330" s="9"/>
      <c r="I1330" s="8"/>
      <c r="J1330" s="8"/>
      <c r="K1330" s="8"/>
      <c r="L1330" s="8"/>
      <c r="M1330" s="8"/>
    </row>
    <row r="1331" spans="1:13">
      <c r="A1331" s="62" t="s">
        <v>1982</v>
      </c>
      <c r="B1331" s="58">
        <v>25824127832</v>
      </c>
      <c r="C1331" s="63"/>
      <c r="D1331" s="60"/>
      <c r="E1331" s="9">
        <v>1752</v>
      </c>
      <c r="F1331" s="25">
        <v>43051</v>
      </c>
      <c r="G1331" s="61" t="s">
        <v>13</v>
      </c>
      <c r="H1331" s="9"/>
      <c r="I1331" s="8"/>
      <c r="J1331" s="8"/>
      <c r="K1331" s="8"/>
      <c r="L1331" s="9">
        <v>1759</v>
      </c>
      <c r="M1331" s="8"/>
    </row>
    <row r="1332" spans="1:13">
      <c r="A1332" s="63" t="s">
        <v>1983</v>
      </c>
      <c r="B1332" s="58">
        <v>27211072830</v>
      </c>
      <c r="C1332" s="63" t="s">
        <v>1984</v>
      </c>
      <c r="D1332" s="60">
        <v>33489007867</v>
      </c>
      <c r="E1332" s="9"/>
      <c r="F1332" s="25"/>
      <c r="G1332" s="61"/>
      <c r="H1332" s="9"/>
      <c r="I1332" s="8"/>
      <c r="J1332" s="8"/>
      <c r="K1332" s="8"/>
      <c r="L1332" s="8"/>
      <c r="M1332" s="8"/>
    </row>
    <row r="1333" spans="1:13">
      <c r="A1333" s="63" t="s">
        <v>1985</v>
      </c>
      <c r="B1333" s="58">
        <v>42824118806</v>
      </c>
      <c r="C1333" s="63"/>
      <c r="D1333" s="60"/>
      <c r="E1333" s="9"/>
      <c r="F1333" s="25"/>
      <c r="G1333" s="61"/>
      <c r="H1333" s="9"/>
      <c r="I1333" s="8"/>
      <c r="J1333" s="8"/>
      <c r="K1333" s="8"/>
      <c r="L1333" s="8"/>
      <c r="M1333" s="8"/>
    </row>
    <row r="1334" spans="1:13">
      <c r="A1334" s="62" t="s">
        <v>1986</v>
      </c>
      <c r="B1334" s="58">
        <v>35197770880</v>
      </c>
      <c r="C1334" s="63" t="s">
        <v>1987</v>
      </c>
      <c r="D1334" s="60">
        <v>40663771811</v>
      </c>
      <c r="E1334" s="9">
        <v>509</v>
      </c>
      <c r="F1334" s="25">
        <v>43203</v>
      </c>
      <c r="G1334" s="67"/>
      <c r="H1334" s="67">
        <v>43213</v>
      </c>
      <c r="I1334" s="8"/>
      <c r="J1334" s="8"/>
      <c r="K1334" s="8"/>
      <c r="L1334" s="8">
        <v>516</v>
      </c>
      <c r="M1334" s="8"/>
    </row>
    <row r="1335" spans="1:13">
      <c r="A1335" s="62" t="s">
        <v>1988</v>
      </c>
      <c r="B1335" s="58">
        <v>40291686800</v>
      </c>
      <c r="C1335" s="63"/>
      <c r="D1335" s="60"/>
      <c r="E1335" s="9"/>
      <c r="F1335" s="25"/>
      <c r="G1335" s="61"/>
      <c r="H1335" s="67">
        <v>43213</v>
      </c>
      <c r="I1335" s="8"/>
      <c r="J1335" s="8"/>
      <c r="K1335" s="8"/>
      <c r="L1335" s="8"/>
      <c r="M1335" s="8"/>
    </row>
    <row r="1336" spans="1:13">
      <c r="A1336" s="62" t="s">
        <v>1989</v>
      </c>
      <c r="B1336" s="58">
        <v>35236970857</v>
      </c>
      <c r="C1336" s="59" t="s">
        <v>1990</v>
      </c>
      <c r="D1336" s="60">
        <v>41901199894</v>
      </c>
      <c r="E1336" s="9">
        <v>1417</v>
      </c>
      <c r="F1336" s="25">
        <v>43017</v>
      </c>
      <c r="G1336" s="61" t="s">
        <v>13</v>
      </c>
      <c r="H1336" s="67">
        <v>43213</v>
      </c>
      <c r="I1336" s="8"/>
      <c r="J1336" s="8"/>
      <c r="K1336" s="8"/>
      <c r="L1336" s="9" t="s">
        <v>253</v>
      </c>
      <c r="M1336" s="8"/>
    </row>
    <row r="1337" spans="1:13">
      <c r="A1337" s="62" t="s">
        <v>1991</v>
      </c>
      <c r="B1337" s="58">
        <v>34455580867</v>
      </c>
      <c r="C1337" s="59"/>
      <c r="D1337" s="60"/>
      <c r="E1337" s="9">
        <v>1128</v>
      </c>
      <c r="F1337" s="25">
        <v>42972</v>
      </c>
      <c r="G1337" s="61" t="s">
        <v>13</v>
      </c>
      <c r="H1337" s="67">
        <v>43213</v>
      </c>
      <c r="I1337" s="8"/>
      <c r="J1337" s="8"/>
      <c r="K1337" s="8"/>
      <c r="L1337" s="8"/>
      <c r="M1337" s="8"/>
    </row>
    <row r="1338" spans="1:13">
      <c r="A1338" s="27" t="s">
        <v>1992</v>
      </c>
      <c r="B1338" s="58"/>
      <c r="C1338" s="27" t="s">
        <v>129</v>
      </c>
      <c r="D1338" s="60"/>
      <c r="E1338" s="9"/>
      <c r="F1338" s="25"/>
      <c r="G1338" s="2"/>
      <c r="H1338" s="67">
        <v>43213</v>
      </c>
      <c r="I1338" s="8"/>
      <c r="J1338" s="8"/>
      <c r="K1338" s="8"/>
      <c r="L1338" s="8"/>
      <c r="M1338" s="8"/>
    </row>
    <row r="1339" spans="1:13">
      <c r="A1339" s="62" t="s">
        <v>1993</v>
      </c>
      <c r="B1339" s="58">
        <v>4310949690</v>
      </c>
      <c r="C1339" s="63"/>
      <c r="D1339" s="60"/>
      <c r="E1339" s="9">
        <v>292</v>
      </c>
      <c r="F1339" s="25">
        <v>43168</v>
      </c>
      <c r="G1339" s="9" t="s">
        <v>13</v>
      </c>
      <c r="H1339" s="67">
        <v>43213</v>
      </c>
      <c r="I1339" s="8"/>
      <c r="J1339" s="8"/>
      <c r="K1339" s="8"/>
      <c r="L1339" s="9">
        <v>318</v>
      </c>
      <c r="M1339" s="8"/>
    </row>
    <row r="1340" spans="1:13">
      <c r="A1340" s="63" t="s">
        <v>1994</v>
      </c>
      <c r="B1340" s="58">
        <v>5263835850</v>
      </c>
      <c r="C1340" s="63" t="s">
        <v>1995</v>
      </c>
      <c r="D1340" s="60">
        <v>18461500865</v>
      </c>
      <c r="E1340" s="9"/>
      <c r="F1340" s="25"/>
      <c r="G1340" s="61"/>
      <c r="H1340" s="67">
        <v>43213</v>
      </c>
      <c r="I1340" s="8"/>
      <c r="J1340" s="8"/>
      <c r="K1340" s="8"/>
      <c r="L1340" s="8"/>
      <c r="M1340" s="8"/>
    </row>
    <row r="1341" spans="1:13">
      <c r="A1341" s="62" t="s">
        <v>1996</v>
      </c>
      <c r="B1341" s="58">
        <v>29230365572</v>
      </c>
      <c r="C1341" s="63"/>
      <c r="D1341" s="60"/>
      <c r="E1341" s="9">
        <v>1824</v>
      </c>
      <c r="F1341" s="25">
        <v>43091</v>
      </c>
      <c r="G1341" s="61" t="s">
        <v>13</v>
      </c>
      <c r="H1341" s="67">
        <v>43213</v>
      </c>
      <c r="I1341" s="8"/>
      <c r="J1341" s="8"/>
      <c r="K1341" s="8"/>
      <c r="L1341" s="9">
        <v>1828</v>
      </c>
      <c r="M1341" s="8"/>
    </row>
    <row r="1342" spans="1:13">
      <c r="A1342" s="62" t="s">
        <v>1997</v>
      </c>
      <c r="B1342" s="58">
        <v>18506628865</v>
      </c>
      <c r="C1342" s="63"/>
      <c r="D1342" s="60"/>
      <c r="E1342" s="9">
        <v>117</v>
      </c>
      <c r="F1342" s="25">
        <v>43117</v>
      </c>
      <c r="G1342" s="61" t="s">
        <v>13</v>
      </c>
      <c r="H1342" s="67">
        <v>43213</v>
      </c>
      <c r="I1342" s="8"/>
      <c r="J1342" s="8"/>
      <c r="K1342" s="8"/>
      <c r="L1342" s="9" t="s">
        <v>170</v>
      </c>
      <c r="M1342" s="8"/>
    </row>
    <row r="1343" spans="1:13">
      <c r="A1343" s="27" t="s">
        <v>1998</v>
      </c>
      <c r="B1343" s="58">
        <v>31148209808</v>
      </c>
      <c r="C1343" s="18" t="s">
        <v>129</v>
      </c>
      <c r="D1343" s="60"/>
      <c r="E1343" s="9"/>
      <c r="F1343" s="25"/>
      <c r="G1343" s="61"/>
      <c r="H1343" s="67">
        <v>43213</v>
      </c>
      <c r="I1343" s="8"/>
      <c r="J1343" s="8"/>
      <c r="K1343" s="8"/>
      <c r="L1343" s="8"/>
      <c r="M1343" s="8"/>
    </row>
    <row r="1344" spans="1:13">
      <c r="A1344" s="62" t="s">
        <v>1999</v>
      </c>
      <c r="B1344" s="58">
        <v>32072608880</v>
      </c>
      <c r="C1344" s="63"/>
      <c r="D1344" s="60"/>
      <c r="E1344" s="9"/>
      <c r="F1344" s="25"/>
      <c r="G1344" s="61"/>
      <c r="H1344" s="9"/>
      <c r="I1344" s="8"/>
      <c r="J1344" s="8"/>
      <c r="K1344" s="8"/>
      <c r="L1344" s="8"/>
      <c r="M1344" s="8"/>
    </row>
    <row r="1345" spans="1:13">
      <c r="A1345" s="62" t="s">
        <v>2000</v>
      </c>
      <c r="B1345" s="58">
        <v>11907186859</v>
      </c>
      <c r="C1345" s="63"/>
      <c r="D1345" s="60"/>
      <c r="E1345" s="9">
        <v>1752</v>
      </c>
      <c r="F1345" s="25">
        <v>43051</v>
      </c>
      <c r="G1345" s="61" t="s">
        <v>13</v>
      </c>
      <c r="H1345" s="9"/>
      <c r="I1345" s="8"/>
      <c r="J1345" s="8"/>
      <c r="K1345" s="8"/>
      <c r="L1345" s="9">
        <v>1759</v>
      </c>
      <c r="M1345" s="8"/>
    </row>
    <row r="1346" spans="1:13">
      <c r="A1346" s="62" t="s">
        <v>2001</v>
      </c>
      <c r="B1346" s="58">
        <v>85794398507</v>
      </c>
      <c r="C1346" s="63" t="s">
        <v>2002</v>
      </c>
      <c r="D1346" s="60">
        <v>59689188534</v>
      </c>
      <c r="E1346" s="9">
        <v>292</v>
      </c>
      <c r="F1346" s="25">
        <v>43168</v>
      </c>
      <c r="G1346" s="61" t="s">
        <v>13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2003</v>
      </c>
      <c r="B1347" s="58">
        <v>2770765442</v>
      </c>
      <c r="C1347" s="63" t="s">
        <v>2004</v>
      </c>
      <c r="D1347" s="60">
        <v>24730161866</v>
      </c>
      <c r="E1347" s="9">
        <v>229</v>
      </c>
      <c r="F1347" s="25">
        <v>43151</v>
      </c>
      <c r="G1347" s="61" t="s">
        <v>13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2005</v>
      </c>
      <c r="B1348" s="58">
        <v>1295044838</v>
      </c>
      <c r="C1348" s="63" t="s">
        <v>2006</v>
      </c>
      <c r="D1348" s="60">
        <v>29976206860</v>
      </c>
      <c r="E1348" s="9">
        <v>485</v>
      </c>
      <c r="F1348" s="25">
        <v>43196</v>
      </c>
      <c r="G1348" s="61" t="s">
        <v>20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2007</v>
      </c>
      <c r="B1349" s="58">
        <v>25137412856</v>
      </c>
      <c r="C1349" s="63"/>
      <c r="D1349" s="60"/>
      <c r="E1349" s="9">
        <v>1824</v>
      </c>
      <c r="F1349" s="25">
        <v>43091</v>
      </c>
      <c r="G1349" s="61" t="s">
        <v>13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2008</v>
      </c>
      <c r="B1350" s="58">
        <v>3298866652</v>
      </c>
      <c r="C1350" s="63"/>
      <c r="D1350" s="60"/>
      <c r="E1350" s="9"/>
      <c r="F1350" s="25"/>
      <c r="G1350" s="61"/>
      <c r="H1350" s="9"/>
      <c r="I1350" s="8"/>
      <c r="J1350" s="8"/>
      <c r="K1350" s="8"/>
      <c r="L1350" s="8"/>
      <c r="M1350" s="8"/>
    </row>
    <row r="1351" spans="1:13">
      <c r="A1351" s="62" t="s">
        <v>2009</v>
      </c>
      <c r="B1351" s="58">
        <v>6391703825</v>
      </c>
      <c r="C1351" s="63"/>
      <c r="D1351" s="60"/>
      <c r="E1351" s="9"/>
      <c r="F1351" s="25"/>
      <c r="G1351" s="61"/>
      <c r="H1351" s="9"/>
      <c r="I1351" s="8"/>
      <c r="J1351" s="8"/>
      <c r="K1351" s="8"/>
      <c r="L1351" s="8"/>
      <c r="M1351" s="8"/>
    </row>
    <row r="1352" spans="1:13">
      <c r="A1352" s="62" t="s">
        <v>2010</v>
      </c>
      <c r="B1352" s="58">
        <v>52479242315</v>
      </c>
      <c r="C1352" s="63"/>
      <c r="D1352" s="60"/>
      <c r="E1352" s="9">
        <v>1214</v>
      </c>
      <c r="F1352" s="25">
        <v>42989</v>
      </c>
      <c r="G1352" s="61" t="s">
        <v>13</v>
      </c>
      <c r="H1352" s="9"/>
      <c r="I1352" s="8"/>
      <c r="J1352" s="8"/>
      <c r="K1352" s="8"/>
      <c r="L1352" s="8"/>
      <c r="M1352" s="8"/>
    </row>
    <row r="1353" spans="1:13">
      <c r="A1353" s="62" t="s">
        <v>2011</v>
      </c>
      <c r="B1353" s="58">
        <v>80932819320</v>
      </c>
      <c r="C1353" s="63"/>
      <c r="D1353" s="60"/>
      <c r="E1353" s="9">
        <v>1214</v>
      </c>
      <c r="F1353" s="25">
        <v>42989</v>
      </c>
      <c r="G1353" s="61" t="s">
        <v>13</v>
      </c>
      <c r="H1353" s="9"/>
      <c r="I1353" s="8"/>
      <c r="J1353" s="8"/>
      <c r="K1353" s="8"/>
      <c r="L1353" s="8"/>
      <c r="M1353" s="8"/>
    </row>
    <row r="1354" spans="1:13">
      <c r="A1354" s="15" t="s">
        <v>2012</v>
      </c>
      <c r="B1354" s="58">
        <v>28298254899</v>
      </c>
      <c r="C1354" s="63"/>
      <c r="D1354" s="60"/>
      <c r="E1354" s="9"/>
      <c r="F1354" s="25"/>
      <c r="G1354" s="61"/>
      <c r="H1354" s="9"/>
      <c r="I1354" s="8"/>
      <c r="J1354" s="8"/>
      <c r="K1354" s="8"/>
      <c r="L1354" s="8"/>
      <c r="M1354" s="8"/>
    </row>
    <row r="1355" spans="1:13">
      <c r="A1355" s="14" t="s">
        <v>2013</v>
      </c>
      <c r="B1355" s="58">
        <v>75678772520</v>
      </c>
      <c r="C1355" s="63" t="s">
        <v>2014</v>
      </c>
      <c r="D1355" s="60">
        <v>2724517466</v>
      </c>
      <c r="E1355" s="9"/>
      <c r="F1355" s="25"/>
      <c r="G1355" s="61"/>
      <c r="H1355" s="9"/>
      <c r="I1355" s="8"/>
      <c r="J1355" s="8"/>
      <c r="K1355" s="8"/>
      <c r="L1355" s="8"/>
      <c r="M1355" s="8"/>
    </row>
    <row r="1356" spans="1:13">
      <c r="A1356" s="62" t="s">
        <v>2015</v>
      </c>
      <c r="B1356" s="58">
        <v>48196240325</v>
      </c>
      <c r="C1356" s="63"/>
      <c r="D1356" s="60"/>
      <c r="E1356" s="9"/>
      <c r="F1356" s="25"/>
      <c r="G1356" s="61"/>
      <c r="H1356" s="9"/>
      <c r="I1356" s="8"/>
      <c r="J1356" s="8"/>
      <c r="K1356" s="8"/>
      <c r="L1356" s="8"/>
      <c r="M1356" s="8"/>
    </row>
    <row r="1357" spans="1:13">
      <c r="A1357" s="62" t="s">
        <v>2016</v>
      </c>
      <c r="B1357" s="58">
        <v>14608508822</v>
      </c>
      <c r="C1357" s="63"/>
      <c r="D1357" s="60"/>
      <c r="E1357" s="9"/>
      <c r="F1357" s="25"/>
      <c r="G1357" s="61"/>
      <c r="H1357" s="9"/>
      <c r="I1357" s="8"/>
      <c r="J1357" s="8"/>
      <c r="K1357" s="8"/>
      <c r="L1357" s="8"/>
      <c r="M1357" s="8"/>
    </row>
    <row r="1358" spans="1:13">
      <c r="A1358" s="15" t="s">
        <v>2017</v>
      </c>
      <c r="B1358" s="58">
        <v>1810483883</v>
      </c>
      <c r="C1358" s="63"/>
      <c r="D1358" s="60"/>
      <c r="E1358" s="9">
        <v>85</v>
      </c>
      <c r="F1358" s="25">
        <v>43109</v>
      </c>
      <c r="G1358" s="61" t="s">
        <v>13</v>
      </c>
      <c r="H1358" s="25">
        <v>43151</v>
      </c>
      <c r="I1358" s="8"/>
      <c r="J1358" s="8"/>
      <c r="K1358" s="8"/>
      <c r="L1358" s="8"/>
      <c r="M1358" s="8"/>
    </row>
    <row r="1359" spans="1:13">
      <c r="A1359" s="62" t="s">
        <v>2018</v>
      </c>
      <c r="B1359" s="58">
        <v>16621243847</v>
      </c>
      <c r="C1359" s="63"/>
      <c r="D1359" s="60"/>
      <c r="E1359" s="9">
        <v>262</v>
      </c>
      <c r="F1359" s="25">
        <v>43160</v>
      </c>
      <c r="G1359" s="9" t="s">
        <v>13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62" t="s">
        <v>2019</v>
      </c>
      <c r="B1360" s="58">
        <v>1634430506</v>
      </c>
      <c r="C1360" s="63"/>
      <c r="D1360" s="60"/>
      <c r="E1360" s="9">
        <v>292</v>
      </c>
      <c r="F1360" s="25">
        <v>43168</v>
      </c>
      <c r="G1360" s="9" t="s">
        <v>13</v>
      </c>
      <c r="H1360" s="9"/>
      <c r="I1360" s="8"/>
      <c r="J1360" s="8"/>
      <c r="K1360" s="8"/>
      <c r="L1360" s="9">
        <v>318</v>
      </c>
      <c r="M1360" s="8"/>
    </row>
    <row r="1361" spans="1:13">
      <c r="A1361" s="63" t="s">
        <v>2020</v>
      </c>
      <c r="B1361" s="58">
        <v>23374244807</v>
      </c>
      <c r="C1361" s="63"/>
      <c r="D1361" s="60"/>
      <c r="E1361" s="9">
        <v>608</v>
      </c>
      <c r="F1361" s="25">
        <v>43012</v>
      </c>
      <c r="G1361" s="61" t="s">
        <v>13</v>
      </c>
      <c r="H1361" s="9"/>
      <c r="I1361" s="8"/>
      <c r="J1361" s="8"/>
      <c r="K1361" s="8"/>
      <c r="L1361" s="8"/>
      <c r="M1361" s="8"/>
    </row>
    <row r="1362" spans="1:13">
      <c r="A1362" s="27" t="s">
        <v>2021</v>
      </c>
      <c r="B1362" s="58"/>
      <c r="C1362" s="18" t="s">
        <v>129</v>
      </c>
      <c r="D1362" s="60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62" t="s">
        <v>2022</v>
      </c>
      <c r="B1363" s="58">
        <v>3231449855</v>
      </c>
      <c r="C1363" s="63"/>
      <c r="D1363" s="60"/>
      <c r="E1363" s="9"/>
      <c r="F1363" s="25"/>
      <c r="G1363" s="61"/>
      <c r="H1363" s="9"/>
      <c r="I1363" s="8"/>
      <c r="J1363" s="8"/>
      <c r="K1363" s="8"/>
      <c r="L1363" s="8"/>
      <c r="M1363" s="8"/>
    </row>
    <row r="1364" spans="1:13">
      <c r="A1364" s="15" t="s">
        <v>2023</v>
      </c>
      <c r="B1364" s="58">
        <v>25191008855</v>
      </c>
      <c r="C1364" s="63"/>
      <c r="D1364" s="60"/>
      <c r="E1364" s="9"/>
      <c r="F1364" s="25"/>
      <c r="G1364" s="61"/>
      <c r="H1364" s="9"/>
      <c r="I1364" s="8"/>
      <c r="J1364" s="8"/>
      <c r="K1364" s="8"/>
      <c r="L1364" s="8"/>
      <c r="M1364" s="8"/>
    </row>
    <row r="1365" spans="1:13">
      <c r="A1365" s="62" t="s">
        <v>2024</v>
      </c>
      <c r="B1365" s="58">
        <v>32851598805</v>
      </c>
      <c r="C1365" s="63"/>
      <c r="D1365" s="60"/>
      <c r="E1365" s="9">
        <v>262</v>
      </c>
      <c r="F1365" s="25">
        <v>43160</v>
      </c>
      <c r="G1365" s="61" t="s">
        <v>13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2025</v>
      </c>
      <c r="B1366" s="58">
        <v>39207068893</v>
      </c>
      <c r="C1366" s="63"/>
      <c r="D1366" s="60"/>
      <c r="E1366" s="9">
        <v>229</v>
      </c>
      <c r="F1366" s="25">
        <v>43151</v>
      </c>
      <c r="G1366" s="61" t="s">
        <v>13</v>
      </c>
      <c r="H1366" s="9"/>
      <c r="I1366" s="8"/>
      <c r="J1366" s="8"/>
      <c r="K1366" s="8"/>
      <c r="L1366" s="9">
        <v>232</v>
      </c>
      <c r="M1366" s="8"/>
    </row>
    <row r="1367" spans="1:13">
      <c r="A1367" s="63" t="s">
        <v>2026</v>
      </c>
      <c r="B1367" s="58">
        <v>44992401821</v>
      </c>
      <c r="C1367" s="63"/>
      <c r="D1367" s="60"/>
      <c r="E1367" s="9"/>
      <c r="F1367" s="25"/>
      <c r="G1367" s="61"/>
      <c r="H1367" s="9"/>
      <c r="I1367" s="8"/>
      <c r="J1367" s="8"/>
      <c r="K1367" s="8"/>
      <c r="L1367" s="8"/>
      <c r="M1367" s="8"/>
    </row>
    <row r="1368" spans="1:13">
      <c r="A1368" s="62" t="s">
        <v>2027</v>
      </c>
      <c r="B1368" s="58">
        <v>26096680828</v>
      </c>
      <c r="C1368" s="63"/>
      <c r="D1368" s="60"/>
      <c r="E1368" s="9">
        <v>117</v>
      </c>
      <c r="F1368" s="25">
        <v>43117</v>
      </c>
      <c r="G1368" s="61" t="s">
        <v>13</v>
      </c>
      <c r="H1368" s="9"/>
      <c r="I1368" s="8"/>
      <c r="J1368" s="8"/>
      <c r="K1368" s="8"/>
      <c r="L1368" s="9" t="s">
        <v>170</v>
      </c>
      <c r="M1368" s="8"/>
    </row>
    <row r="1369" spans="1:13">
      <c r="A1369" s="27" t="s">
        <v>2028</v>
      </c>
      <c r="B1369" s="58"/>
      <c r="C1369" s="27" t="s">
        <v>129</v>
      </c>
      <c r="D1369" s="60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2029</v>
      </c>
      <c r="B1370" s="58">
        <v>87915170520</v>
      </c>
      <c r="C1370" s="63" t="s">
        <v>2030</v>
      </c>
      <c r="D1370" s="60">
        <v>28175744863</v>
      </c>
      <c r="E1370" s="9"/>
      <c r="F1370" s="25"/>
      <c r="G1370" s="61"/>
      <c r="H1370" s="9"/>
      <c r="I1370" s="8"/>
      <c r="J1370" s="8"/>
      <c r="K1370" s="8"/>
      <c r="L1370" s="8"/>
      <c r="M1370" s="8"/>
    </row>
    <row r="1371" spans="1:13">
      <c r="A1371" s="62" t="s">
        <v>2031</v>
      </c>
      <c r="B1371" s="58">
        <v>30693970855</v>
      </c>
      <c r="C1371" s="63" t="s">
        <v>2032</v>
      </c>
      <c r="D1371" s="60">
        <v>6402681610</v>
      </c>
      <c r="E1371" s="9">
        <v>608</v>
      </c>
      <c r="F1371" s="25">
        <v>43012</v>
      </c>
      <c r="G1371" s="61" t="s">
        <v>20</v>
      </c>
      <c r="H1371" s="9"/>
      <c r="I1371" s="8"/>
      <c r="J1371" s="8"/>
      <c r="K1371" s="8"/>
      <c r="L1371" s="8"/>
      <c r="M1371" s="8"/>
    </row>
    <row r="1372" spans="1:13">
      <c r="A1372" s="62" t="s">
        <v>2033</v>
      </c>
      <c r="B1372" s="58">
        <v>2091286400</v>
      </c>
      <c r="C1372" s="63"/>
      <c r="D1372" s="60"/>
      <c r="E1372" s="9"/>
      <c r="F1372" s="25"/>
      <c r="G1372" s="61"/>
      <c r="H1372" s="9"/>
      <c r="I1372" s="8"/>
      <c r="J1372" s="8"/>
      <c r="K1372" s="8"/>
      <c r="L1372" s="8"/>
      <c r="M1372" s="8"/>
    </row>
    <row r="1373" spans="1:13">
      <c r="A1373" s="14" t="s">
        <v>2034</v>
      </c>
      <c r="B1373" s="58">
        <v>32032994453</v>
      </c>
      <c r="C1373" s="63"/>
      <c r="D1373" s="60"/>
      <c r="E1373" s="9"/>
      <c r="F1373" s="25"/>
      <c r="G1373" s="61"/>
      <c r="H1373" s="9"/>
      <c r="I1373" s="8"/>
      <c r="J1373" s="8"/>
      <c r="K1373" s="8"/>
      <c r="L1373" s="8"/>
      <c r="M1373" s="8"/>
    </row>
    <row r="1374" spans="1:13">
      <c r="A1374" s="62" t="s">
        <v>2035</v>
      </c>
      <c r="B1374" s="58">
        <v>76687210882</v>
      </c>
      <c r="C1374" s="63"/>
      <c r="D1374" s="60"/>
      <c r="E1374" s="9"/>
      <c r="F1374" s="25"/>
      <c r="G1374" s="61"/>
      <c r="H1374" s="9"/>
      <c r="I1374" s="8"/>
      <c r="J1374" s="8"/>
      <c r="K1374" s="8"/>
      <c r="L1374" s="8"/>
      <c r="M1374" s="8"/>
    </row>
    <row r="1375" spans="1:13">
      <c r="A1375" s="62" t="s">
        <v>2036</v>
      </c>
      <c r="B1375" s="58">
        <v>65528450578</v>
      </c>
      <c r="C1375" s="63"/>
      <c r="D1375" s="60"/>
      <c r="E1375" s="9">
        <v>1106</v>
      </c>
      <c r="F1375" s="25">
        <v>42965</v>
      </c>
      <c r="G1375" s="61" t="s">
        <v>13</v>
      </c>
      <c r="H1375" s="9"/>
      <c r="I1375" s="8"/>
      <c r="J1375" s="8"/>
      <c r="K1375" s="8"/>
      <c r="L1375" s="8"/>
      <c r="M1375" s="8"/>
    </row>
    <row r="1376" spans="1:13">
      <c r="A1376" s="62" t="s">
        <v>2037</v>
      </c>
      <c r="B1376" s="58">
        <v>11048471837</v>
      </c>
      <c r="C1376" s="63"/>
      <c r="D1376" s="60"/>
      <c r="E1376" s="9">
        <v>810</v>
      </c>
      <c r="F1376" s="25">
        <v>42915</v>
      </c>
      <c r="G1376" s="61" t="s">
        <v>13</v>
      </c>
      <c r="H1376" s="9"/>
      <c r="I1376" s="8"/>
      <c r="J1376" s="8"/>
      <c r="K1376" s="8"/>
      <c r="L1376" s="9" t="s">
        <v>138</v>
      </c>
      <c r="M1376" s="8"/>
    </row>
    <row r="1377" spans="1:13">
      <c r="A1377" s="62" t="s">
        <v>2038</v>
      </c>
      <c r="B1377" s="58">
        <v>337174865</v>
      </c>
      <c r="C1377" s="63"/>
      <c r="D1377" s="60"/>
      <c r="E1377" s="9">
        <v>292</v>
      </c>
      <c r="F1377" s="25">
        <v>43168</v>
      </c>
      <c r="G1377" s="61" t="s">
        <v>13</v>
      </c>
      <c r="H1377" s="9"/>
      <c r="I1377" s="8"/>
      <c r="J1377" s="8"/>
      <c r="K1377" s="8"/>
      <c r="L1377" s="9">
        <v>318</v>
      </c>
      <c r="M1377" s="8"/>
    </row>
    <row r="1378" spans="1:13">
      <c r="A1378" s="62" t="s">
        <v>2039</v>
      </c>
      <c r="B1378" s="69" t="s">
        <v>2040</v>
      </c>
      <c r="C1378" s="63"/>
      <c r="D1378" s="60"/>
      <c r="E1378" s="9">
        <v>292</v>
      </c>
      <c r="F1378" s="25">
        <v>43168</v>
      </c>
      <c r="G1378" s="9" t="s">
        <v>13</v>
      </c>
      <c r="H1378" s="9"/>
      <c r="I1378" s="8"/>
      <c r="J1378" s="8"/>
      <c r="K1378" s="8"/>
      <c r="L1378" s="9">
        <v>318</v>
      </c>
      <c r="M1378" s="8"/>
    </row>
    <row r="1379" spans="1:13">
      <c r="A1379" s="62" t="s">
        <v>2041</v>
      </c>
      <c r="B1379" s="58">
        <v>9137625802</v>
      </c>
      <c r="C1379" s="63"/>
      <c r="D1379" s="60"/>
      <c r="E1379" s="9"/>
      <c r="F1379" s="25"/>
      <c r="G1379" s="61"/>
      <c r="H1379" s="9"/>
      <c r="I1379" s="8"/>
      <c r="J1379" s="8"/>
      <c r="K1379" s="8"/>
      <c r="L1379" s="8"/>
      <c r="M1379" s="8"/>
    </row>
    <row r="1380" spans="1:13">
      <c r="A1380" s="13" t="s">
        <v>2042</v>
      </c>
      <c r="B1380" s="58">
        <v>31194905803</v>
      </c>
      <c r="C1380" s="63"/>
      <c r="D1380" s="60"/>
      <c r="E1380" s="9">
        <v>1350</v>
      </c>
      <c r="F1380" s="25">
        <v>43006</v>
      </c>
      <c r="G1380" s="61" t="s">
        <v>13</v>
      </c>
      <c r="H1380" s="9"/>
      <c r="I1380" s="8"/>
      <c r="J1380" s="8"/>
      <c r="K1380" s="8"/>
      <c r="L1380" s="8"/>
      <c r="M1380" s="8"/>
    </row>
    <row r="1381" spans="1:13">
      <c r="A1381" s="62" t="s">
        <v>2043</v>
      </c>
      <c r="B1381" s="58">
        <v>3277958329</v>
      </c>
      <c r="C1381" s="63"/>
      <c r="D1381" s="60"/>
      <c r="E1381" s="9">
        <v>1555</v>
      </c>
      <c r="F1381" s="25">
        <v>43049</v>
      </c>
      <c r="G1381" s="61" t="s">
        <v>13</v>
      </c>
      <c r="H1381" s="9"/>
      <c r="I1381" s="8"/>
      <c r="J1381" s="8"/>
      <c r="K1381" s="8"/>
      <c r="L1381" s="9" t="s">
        <v>398</v>
      </c>
      <c r="M1381" s="8"/>
    </row>
    <row r="1382" spans="1:13">
      <c r="A1382" s="62" t="s">
        <v>2044</v>
      </c>
      <c r="B1382" s="58">
        <v>67595715415</v>
      </c>
      <c r="C1382" s="68"/>
      <c r="D1382" s="60"/>
      <c r="E1382" s="9"/>
      <c r="F1382" s="25"/>
      <c r="G1382" s="61"/>
      <c r="H1382" s="9"/>
      <c r="I1382" s="8"/>
      <c r="J1382" s="8"/>
      <c r="K1382" s="8"/>
      <c r="L1382" s="8"/>
      <c r="M1382" s="8"/>
    </row>
    <row r="1383" spans="1:13">
      <c r="A1383" s="13" t="s">
        <v>2045</v>
      </c>
      <c r="B1383" s="58">
        <v>14683142899</v>
      </c>
      <c r="C1383" s="63"/>
      <c r="D1383" s="60"/>
      <c r="E1383" s="9"/>
      <c r="F1383" s="25"/>
      <c r="G1383" s="61"/>
      <c r="H1383" s="9"/>
      <c r="I1383" s="8"/>
      <c r="J1383" s="8"/>
      <c r="K1383" s="8"/>
      <c r="L1383" s="8"/>
      <c r="M1383" s="8"/>
    </row>
    <row r="1384" spans="1:13">
      <c r="A1384" s="62" t="s">
        <v>2046</v>
      </c>
      <c r="B1384" s="58">
        <v>5676742402</v>
      </c>
      <c r="C1384" s="63"/>
      <c r="D1384" s="60"/>
      <c r="E1384" s="9">
        <v>262</v>
      </c>
      <c r="F1384" s="25">
        <v>43160</v>
      </c>
      <c r="G1384" s="61" t="s">
        <v>13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62" t="s">
        <v>2047</v>
      </c>
      <c r="B1385" s="58">
        <v>25333346852</v>
      </c>
      <c r="C1385" s="63"/>
      <c r="D1385" s="60"/>
      <c r="E1385" s="9">
        <v>292</v>
      </c>
      <c r="F1385" s="25">
        <v>43168</v>
      </c>
      <c r="G1385" s="61" t="s">
        <v>13</v>
      </c>
      <c r="H1385" s="9"/>
      <c r="I1385" s="8"/>
      <c r="J1385" s="8"/>
      <c r="K1385" s="8"/>
      <c r="L1385" s="9">
        <v>318</v>
      </c>
      <c r="M1385" s="8"/>
    </row>
    <row r="1386" spans="1:13">
      <c r="A1386" s="62" t="s">
        <v>2048</v>
      </c>
      <c r="B1386" s="58">
        <v>44936958468</v>
      </c>
      <c r="C1386" s="63"/>
      <c r="D1386" s="60"/>
      <c r="E1386" s="9">
        <v>1214</v>
      </c>
      <c r="F1386" s="25">
        <v>42989</v>
      </c>
      <c r="G1386" s="61" t="s">
        <v>13</v>
      </c>
      <c r="H1386" s="9"/>
      <c r="I1386" s="8"/>
      <c r="J1386" s="8"/>
      <c r="K1386" s="8"/>
      <c r="L1386" s="8"/>
      <c r="M1386" s="8"/>
    </row>
    <row r="1387" spans="1:13">
      <c r="A1387" s="27" t="s">
        <v>2049</v>
      </c>
      <c r="B1387" s="58">
        <v>5753509894</v>
      </c>
      <c r="C1387" s="9" t="s">
        <v>129</v>
      </c>
      <c r="D1387" s="60"/>
      <c r="E1387" s="9"/>
      <c r="F1387" s="25"/>
      <c r="G1387" s="61"/>
      <c r="H1387" s="9"/>
      <c r="I1387" s="8"/>
      <c r="J1387" s="8"/>
      <c r="K1387" s="8"/>
      <c r="L1387" s="8"/>
      <c r="M1387" s="8"/>
    </row>
    <row r="1388" spans="1:13">
      <c r="A1388" s="18" t="s">
        <v>2050</v>
      </c>
      <c r="B1388" s="58"/>
      <c r="C1388" s="18" t="s">
        <v>2051</v>
      </c>
      <c r="D1388" s="60"/>
      <c r="E1388" s="9"/>
      <c r="F1388" s="25"/>
      <c r="G1388" s="61"/>
      <c r="H1388" s="9"/>
      <c r="I1388" s="8"/>
      <c r="J1388" s="8"/>
      <c r="K1388" s="8"/>
      <c r="L1388" s="8"/>
      <c r="M1388" s="8"/>
    </row>
    <row r="1389" spans="1:13">
      <c r="A1389" s="62" t="s">
        <v>2052</v>
      </c>
      <c r="B1389" s="58">
        <v>1103155377</v>
      </c>
      <c r="C1389" s="80"/>
      <c r="D1389" s="60"/>
      <c r="E1389" s="9"/>
      <c r="F1389" s="25"/>
      <c r="G1389" s="61"/>
      <c r="H1389" s="9"/>
      <c r="I1389" s="8"/>
      <c r="J1389" s="8"/>
      <c r="K1389" s="8"/>
      <c r="L1389" s="8"/>
      <c r="M1389" s="8"/>
    </row>
    <row r="1390" spans="1:13">
      <c r="A1390" s="62" t="s">
        <v>2053</v>
      </c>
      <c r="B1390" s="58">
        <v>5132262570</v>
      </c>
      <c r="C1390" s="63"/>
      <c r="D1390" s="60"/>
      <c r="E1390" s="9">
        <v>810</v>
      </c>
      <c r="F1390" s="25">
        <v>42915</v>
      </c>
      <c r="G1390" s="9" t="s">
        <v>13</v>
      </c>
      <c r="H1390" s="9"/>
      <c r="I1390" s="8"/>
      <c r="J1390" s="8"/>
      <c r="K1390" s="8"/>
      <c r="L1390" s="9" t="s">
        <v>138</v>
      </c>
      <c r="M1390" s="8"/>
    </row>
    <row r="1391" spans="1:13">
      <c r="A1391" s="62" t="s">
        <v>2054</v>
      </c>
      <c r="B1391" s="58">
        <v>49423657400</v>
      </c>
      <c r="C1391" s="63"/>
      <c r="D1391" s="60"/>
      <c r="E1391" s="9">
        <v>810</v>
      </c>
      <c r="F1391" s="25">
        <v>42915</v>
      </c>
      <c r="G1391" s="61" t="s">
        <v>13</v>
      </c>
      <c r="H1391" s="9"/>
      <c r="I1391" s="8"/>
      <c r="J1391" s="8"/>
      <c r="K1391" s="8"/>
      <c r="L1391" s="9" t="s">
        <v>138</v>
      </c>
      <c r="M1391" s="8"/>
    </row>
    <row r="1392" spans="1:13">
      <c r="A1392" s="13" t="s">
        <v>2055</v>
      </c>
      <c r="B1392" s="58">
        <v>1109563892</v>
      </c>
      <c r="C1392" s="59"/>
      <c r="D1392" s="60"/>
      <c r="E1392" s="9">
        <v>1752</v>
      </c>
      <c r="F1392" s="25">
        <v>43051</v>
      </c>
      <c r="G1392" s="61" t="s">
        <v>13</v>
      </c>
      <c r="H1392" s="9"/>
      <c r="I1392" s="8"/>
      <c r="J1392" s="8"/>
      <c r="K1392" s="8"/>
      <c r="L1392" s="9">
        <v>1759</v>
      </c>
      <c r="M1392" s="8"/>
    </row>
    <row r="1393" spans="1:13">
      <c r="A1393" s="62" t="s">
        <v>2056</v>
      </c>
      <c r="B1393" s="58">
        <v>43356229885</v>
      </c>
      <c r="C1393" s="63"/>
      <c r="D1393" s="60"/>
      <c r="E1393" s="9">
        <v>85</v>
      </c>
      <c r="F1393" s="25">
        <v>43109</v>
      </c>
      <c r="G1393" s="61" t="s">
        <v>20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2057</v>
      </c>
      <c r="B1394" s="58">
        <v>6644491820</v>
      </c>
      <c r="C1394" s="64"/>
      <c r="D1394" s="60"/>
      <c r="E1394" s="9"/>
      <c r="F1394" s="25"/>
      <c r="G1394" s="61"/>
      <c r="H1394" s="9"/>
      <c r="I1394" s="8"/>
      <c r="J1394" s="8"/>
      <c r="K1394" s="8"/>
      <c r="L1394" s="8"/>
      <c r="M1394" s="8"/>
    </row>
    <row r="1395" spans="1:13">
      <c r="A1395" s="63" t="s">
        <v>2058</v>
      </c>
      <c r="B1395" s="58">
        <v>61260606449</v>
      </c>
      <c r="C1395" s="63" t="s">
        <v>2059</v>
      </c>
      <c r="D1395" s="60">
        <v>73505854468</v>
      </c>
      <c r="E1395" s="9">
        <v>608</v>
      </c>
      <c r="F1395" s="25">
        <v>43012</v>
      </c>
      <c r="G1395" s="61" t="s">
        <v>13</v>
      </c>
      <c r="H1395" s="9"/>
      <c r="I1395" s="8"/>
      <c r="J1395" s="8"/>
      <c r="K1395" s="8"/>
      <c r="L1395" s="8"/>
      <c r="M1395" s="8"/>
    </row>
    <row r="1396" spans="1:13">
      <c r="A1396" s="62" t="s">
        <v>2060</v>
      </c>
      <c r="B1396" s="58">
        <v>42522433865</v>
      </c>
      <c r="C1396" s="63"/>
      <c r="D1396" s="60"/>
      <c r="E1396" s="9">
        <v>1752</v>
      </c>
      <c r="F1396" s="25">
        <v>43051</v>
      </c>
      <c r="G1396" s="61" t="s">
        <v>13</v>
      </c>
      <c r="H1396" s="9"/>
      <c r="I1396" s="8"/>
      <c r="J1396" s="8"/>
      <c r="K1396" s="8"/>
      <c r="L1396" s="9">
        <v>1759</v>
      </c>
      <c r="M1396" s="8"/>
    </row>
    <row r="1397" spans="1:13">
      <c r="A1397" s="62" t="s">
        <v>2061</v>
      </c>
      <c r="B1397" s="58">
        <v>1565324501</v>
      </c>
      <c r="C1397" s="63"/>
      <c r="D1397" s="60"/>
      <c r="E1397" s="9"/>
      <c r="F1397" s="25"/>
      <c r="G1397" s="61"/>
      <c r="H1397" s="9"/>
      <c r="I1397" s="8"/>
      <c r="J1397" s="8"/>
      <c r="K1397" s="8"/>
      <c r="L1397" s="8"/>
      <c r="M1397" s="8"/>
    </row>
    <row r="1398" spans="1:13">
      <c r="A1398" s="27" t="s">
        <v>2062</v>
      </c>
      <c r="B1398" s="58">
        <v>68516274853</v>
      </c>
      <c r="C1398" s="18" t="s">
        <v>129</v>
      </c>
      <c r="D1398" s="60"/>
      <c r="E1398" s="9"/>
      <c r="F1398" s="25"/>
      <c r="G1398" s="61"/>
      <c r="H1398" s="9"/>
      <c r="I1398" s="8"/>
      <c r="J1398" s="8"/>
      <c r="K1398" s="8"/>
      <c r="L1398" s="8"/>
      <c r="M1398" s="8"/>
    </row>
    <row r="1399" spans="1:13">
      <c r="A1399" s="62" t="s">
        <v>2063</v>
      </c>
      <c r="B1399" s="58">
        <v>12435437870</v>
      </c>
      <c r="C1399" s="63"/>
      <c r="D1399" s="60"/>
      <c r="E1399" s="9">
        <v>1489</v>
      </c>
      <c r="F1399" s="25">
        <v>43038</v>
      </c>
      <c r="G1399" s="61" t="s">
        <v>13</v>
      </c>
      <c r="H1399" s="9"/>
      <c r="I1399" s="8"/>
      <c r="J1399" s="8"/>
      <c r="K1399" s="8"/>
      <c r="L1399" s="9" t="s">
        <v>160</v>
      </c>
      <c r="M1399" s="8"/>
    </row>
    <row r="1400" spans="1:13">
      <c r="A1400" s="15" t="s">
        <v>2064</v>
      </c>
      <c r="B1400" s="58">
        <v>29538850807</v>
      </c>
      <c r="C1400" s="63"/>
      <c r="D1400" s="60"/>
      <c r="E1400" s="9">
        <v>85</v>
      </c>
      <c r="F1400" s="25">
        <v>43109</v>
      </c>
      <c r="G1400" s="61" t="s">
        <v>13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2065</v>
      </c>
      <c r="B1401" s="58">
        <v>85576492820</v>
      </c>
      <c r="C1401" s="63" t="s">
        <v>2066</v>
      </c>
      <c r="D1401" s="60">
        <v>81968779434</v>
      </c>
      <c r="E1401" s="9">
        <v>527</v>
      </c>
      <c r="F1401" s="25">
        <v>43210</v>
      </c>
      <c r="G1401" s="61"/>
      <c r="H1401" s="9"/>
      <c r="I1401" s="8"/>
      <c r="J1401" s="8"/>
      <c r="K1401" s="8"/>
      <c r="L1401" s="9">
        <v>528</v>
      </c>
      <c r="M1401" s="8"/>
    </row>
    <row r="1402" spans="1:13">
      <c r="A1402" s="62" t="s">
        <v>2067</v>
      </c>
      <c r="B1402" s="58">
        <v>67345301591</v>
      </c>
      <c r="C1402" s="63"/>
      <c r="D1402" s="60"/>
      <c r="E1402" s="9"/>
      <c r="F1402" s="25"/>
      <c r="G1402" s="61"/>
      <c r="H1402" s="9"/>
      <c r="I1402" s="8"/>
      <c r="J1402" s="8"/>
      <c r="K1402" s="8"/>
      <c r="L1402" s="8"/>
      <c r="M1402" s="8"/>
    </row>
    <row r="1403" spans="1:13">
      <c r="A1403" s="62" t="s">
        <v>2068</v>
      </c>
      <c r="B1403" s="58">
        <v>23527439404</v>
      </c>
      <c r="C1403" s="63"/>
      <c r="D1403" s="60"/>
      <c r="E1403" s="9">
        <v>292</v>
      </c>
      <c r="F1403" s="25">
        <v>43168</v>
      </c>
      <c r="G1403" s="9" t="s">
        <v>13</v>
      </c>
      <c r="H1403" s="9"/>
      <c r="I1403" s="8"/>
      <c r="J1403" s="8"/>
      <c r="K1403" s="8"/>
      <c r="L1403" s="9">
        <v>318</v>
      </c>
      <c r="M1403" s="8"/>
    </row>
    <row r="1404" spans="1:13">
      <c r="A1404" s="28" t="s">
        <v>2069</v>
      </c>
      <c r="B1404" s="58">
        <v>27903916882</v>
      </c>
      <c r="C1404" s="30" t="s">
        <v>2070</v>
      </c>
      <c r="D1404" s="60"/>
      <c r="E1404" s="9"/>
      <c r="F1404" s="25"/>
      <c r="G1404" s="61"/>
      <c r="H1404" s="9"/>
      <c r="I1404" s="8"/>
      <c r="J1404" s="8"/>
      <c r="K1404" s="8"/>
      <c r="L1404" s="8"/>
      <c r="M1404" s="8"/>
    </row>
    <row r="1405" spans="1:13">
      <c r="A1405" s="62" t="s">
        <v>2071</v>
      </c>
      <c r="B1405" s="58">
        <v>18243063854</v>
      </c>
      <c r="C1405" s="63"/>
      <c r="D1405" s="60"/>
      <c r="E1405" s="9">
        <v>1489</v>
      </c>
      <c r="F1405" s="25">
        <v>43038</v>
      </c>
      <c r="G1405" s="61" t="s">
        <v>13</v>
      </c>
      <c r="H1405" s="9"/>
      <c r="I1405" s="8"/>
      <c r="J1405" s="8"/>
      <c r="K1405" s="8"/>
      <c r="L1405" s="9" t="s">
        <v>160</v>
      </c>
      <c r="M1405" s="8"/>
    </row>
    <row r="1406" spans="1:13">
      <c r="A1406" s="62" t="s">
        <v>2072</v>
      </c>
      <c r="B1406" s="58">
        <v>27628221300</v>
      </c>
      <c r="C1406" s="63"/>
      <c r="D1406" s="60"/>
      <c r="E1406" s="9">
        <v>1106</v>
      </c>
      <c r="F1406" s="25">
        <v>42965</v>
      </c>
      <c r="G1406" s="61" t="s">
        <v>20</v>
      </c>
      <c r="H1406" s="9"/>
      <c r="I1406" s="8"/>
      <c r="J1406" s="8"/>
      <c r="K1406" s="8"/>
      <c r="L1406" s="8"/>
      <c r="M1406" s="8"/>
    </row>
    <row r="1407" spans="1:13">
      <c r="A1407" s="62" t="s">
        <v>2073</v>
      </c>
      <c r="B1407" s="58">
        <v>63413337572</v>
      </c>
      <c r="C1407" s="63"/>
      <c r="D1407" s="60"/>
      <c r="E1407" s="9">
        <v>262</v>
      </c>
      <c r="F1407" s="25">
        <v>43160</v>
      </c>
      <c r="G1407" s="61" t="s">
        <v>13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62" t="s">
        <v>2074</v>
      </c>
      <c r="B1408" s="58">
        <v>2928428569</v>
      </c>
      <c r="C1408" s="63"/>
      <c r="D1408" s="60"/>
      <c r="E1408" s="9">
        <v>810</v>
      </c>
      <c r="F1408" s="25">
        <v>42915</v>
      </c>
      <c r="G1408" s="61" t="s">
        <v>13</v>
      </c>
      <c r="H1408" s="9"/>
      <c r="I1408" s="8"/>
      <c r="J1408" s="8"/>
      <c r="K1408" s="8"/>
      <c r="L1408" s="9" t="s">
        <v>138</v>
      </c>
      <c r="M1408" s="8"/>
    </row>
    <row r="1409" spans="1:13">
      <c r="A1409" s="15" t="s">
        <v>2075</v>
      </c>
      <c r="B1409" s="58">
        <v>3279564450</v>
      </c>
      <c r="C1409" s="63"/>
      <c r="D1409" s="60"/>
      <c r="E1409" s="9">
        <v>262</v>
      </c>
      <c r="F1409" s="25">
        <v>43160</v>
      </c>
      <c r="G1409" s="61" t="s">
        <v>13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63" t="s">
        <v>2076</v>
      </c>
      <c r="B1410" s="58">
        <v>754731863</v>
      </c>
      <c r="C1410" s="63" t="s">
        <v>2077</v>
      </c>
      <c r="D1410" s="60">
        <v>25557405895</v>
      </c>
      <c r="E1410" s="9"/>
      <c r="F1410" s="25"/>
      <c r="G1410" s="61"/>
      <c r="H1410" s="9"/>
      <c r="I1410" s="8"/>
      <c r="J1410" s="8"/>
      <c r="K1410" s="8"/>
      <c r="L1410" s="8"/>
      <c r="M1410" s="8"/>
    </row>
    <row r="1411" spans="1:13">
      <c r="A1411" s="62" t="s">
        <v>2078</v>
      </c>
      <c r="B1411" s="58">
        <v>17317559881</v>
      </c>
      <c r="C1411" s="63"/>
      <c r="D1411" s="60"/>
      <c r="E1411" s="9">
        <v>292</v>
      </c>
      <c r="F1411" s="25">
        <v>43168</v>
      </c>
      <c r="G1411" s="9" t="s">
        <v>13</v>
      </c>
      <c r="H1411" s="9"/>
      <c r="I1411" s="8"/>
      <c r="J1411" s="8"/>
      <c r="K1411" s="8"/>
      <c r="L1411" s="9">
        <v>318</v>
      </c>
      <c r="M1411" s="8"/>
    </row>
    <row r="1412" spans="1:13">
      <c r="A1412" s="62" t="s">
        <v>2079</v>
      </c>
      <c r="B1412" s="58">
        <v>34097938878</v>
      </c>
      <c r="C1412" s="63"/>
      <c r="D1412" s="60"/>
      <c r="E1412" s="9">
        <v>292</v>
      </c>
      <c r="F1412" s="25">
        <v>43168</v>
      </c>
      <c r="G1412" s="61" t="s">
        <v>13</v>
      </c>
      <c r="H1412" s="9"/>
      <c r="I1412" s="8"/>
      <c r="J1412" s="8"/>
      <c r="K1412" s="8"/>
      <c r="L1412" s="9">
        <v>318</v>
      </c>
      <c r="M1412" s="8"/>
    </row>
    <row r="1413" spans="1:13">
      <c r="A1413" s="62" t="s">
        <v>2080</v>
      </c>
      <c r="B1413" s="58" t="s">
        <v>2081</v>
      </c>
      <c r="C1413" s="68"/>
      <c r="D1413" s="60"/>
      <c r="E1413" s="9"/>
      <c r="F1413" s="25"/>
      <c r="G1413" s="61"/>
      <c r="H1413" s="9"/>
      <c r="I1413" s="8"/>
      <c r="J1413" s="8"/>
      <c r="K1413" s="8"/>
      <c r="L1413" s="8"/>
      <c r="M1413" s="8"/>
    </row>
    <row r="1414" spans="1:13">
      <c r="A1414" s="15" t="s">
        <v>2082</v>
      </c>
      <c r="B1414" s="58">
        <v>7727254894</v>
      </c>
      <c r="C1414" s="63"/>
      <c r="D1414" s="60"/>
      <c r="E1414" s="9">
        <v>85</v>
      </c>
      <c r="F1414" s="25">
        <v>43109</v>
      </c>
      <c r="G1414" s="61" t="s">
        <v>13</v>
      </c>
      <c r="H1414" s="25">
        <v>43151</v>
      </c>
      <c r="I1414" s="8"/>
      <c r="J1414" s="8"/>
      <c r="K1414" s="8"/>
      <c r="L1414" s="8"/>
      <c r="M1414" s="8"/>
    </row>
    <row r="1415" spans="1:13">
      <c r="A1415" s="62" t="s">
        <v>2083</v>
      </c>
      <c r="B1415" s="58">
        <v>9667570843</v>
      </c>
      <c r="C1415" s="63"/>
      <c r="D1415" s="60"/>
      <c r="E1415" s="9">
        <v>810</v>
      </c>
      <c r="F1415" s="25">
        <v>42915</v>
      </c>
      <c r="G1415" s="61" t="s">
        <v>13</v>
      </c>
      <c r="H1415" s="9"/>
      <c r="I1415" s="8"/>
      <c r="J1415" s="8"/>
      <c r="K1415" s="8"/>
      <c r="L1415" s="9" t="s">
        <v>138</v>
      </c>
      <c r="M1415" s="8"/>
    </row>
    <row r="1416" spans="1:13">
      <c r="A1416" s="62" t="s">
        <v>2084</v>
      </c>
      <c r="B1416" s="58">
        <v>36988828842</v>
      </c>
      <c r="C1416" s="63"/>
      <c r="D1416" s="60"/>
      <c r="E1416" s="9">
        <v>1570</v>
      </c>
      <c r="F1416" s="25">
        <v>43077</v>
      </c>
      <c r="G1416" s="61" t="s">
        <v>13</v>
      </c>
      <c r="H1416" s="9"/>
      <c r="I1416" s="8"/>
      <c r="J1416" s="8"/>
      <c r="K1416" s="8"/>
      <c r="L1416" s="8"/>
      <c r="M1416" s="8"/>
    </row>
    <row r="1417" spans="1:13">
      <c r="A1417" s="15" t="s">
        <v>2085</v>
      </c>
      <c r="B1417" s="58">
        <v>32045988880</v>
      </c>
      <c r="C1417" s="63" t="s">
        <v>2086</v>
      </c>
      <c r="D1417" s="60">
        <v>28522432880</v>
      </c>
      <c r="E1417" s="9">
        <v>85</v>
      </c>
      <c r="F1417" s="25">
        <v>43109</v>
      </c>
      <c r="G1417" s="61" t="s">
        <v>13</v>
      </c>
      <c r="H1417" s="25">
        <v>43151</v>
      </c>
      <c r="I1417" s="8"/>
      <c r="J1417" s="8"/>
      <c r="K1417" s="8"/>
      <c r="L1417" s="8"/>
      <c r="M1417" s="8"/>
    </row>
    <row r="1418" spans="1:13">
      <c r="A1418" s="27" t="s">
        <v>2087</v>
      </c>
      <c r="B1418" s="58">
        <v>14692639806</v>
      </c>
      <c r="C1418" s="18" t="s">
        <v>129</v>
      </c>
      <c r="D1418" s="60"/>
      <c r="E1418" s="9"/>
      <c r="F1418" s="25"/>
      <c r="G1418" s="61"/>
      <c r="H1418" s="9"/>
      <c r="I1418" s="8"/>
      <c r="J1418" s="8"/>
      <c r="K1418" s="8"/>
      <c r="L1418" s="8"/>
      <c r="M1418" s="8"/>
    </row>
    <row r="1419" spans="1:13">
      <c r="A1419" s="62" t="s">
        <v>2088</v>
      </c>
      <c r="B1419" s="58">
        <v>10657804860</v>
      </c>
      <c r="C1419" s="63"/>
      <c r="D1419" s="60"/>
      <c r="E1419" s="9">
        <v>573</v>
      </c>
      <c r="F1419" s="25">
        <v>43224</v>
      </c>
      <c r="G1419" s="61"/>
      <c r="H1419" s="9"/>
      <c r="I1419" s="8"/>
      <c r="J1419" s="8"/>
      <c r="K1419" s="8"/>
      <c r="L1419" s="8"/>
      <c r="M1419" s="8"/>
    </row>
    <row r="1420" spans="1:13">
      <c r="A1420" s="27" t="s">
        <v>2089</v>
      </c>
      <c r="B1420" s="58">
        <v>25745713801</v>
      </c>
      <c r="C1420" s="27" t="s">
        <v>2090</v>
      </c>
      <c r="D1420" s="60">
        <v>1983704822</v>
      </c>
      <c r="E1420" s="9"/>
      <c r="F1420" s="25"/>
      <c r="G1420" s="61"/>
      <c r="H1420" s="9"/>
      <c r="I1420" s="8"/>
      <c r="J1420" s="8"/>
      <c r="K1420" s="8"/>
      <c r="L1420" s="8"/>
      <c r="M1420" s="8"/>
    </row>
    <row r="1421" spans="1:13">
      <c r="A1421" s="62" t="s">
        <v>2091</v>
      </c>
      <c r="B1421" s="58">
        <v>10373973802</v>
      </c>
      <c r="C1421" s="63" t="s">
        <v>2092</v>
      </c>
      <c r="D1421" s="60">
        <v>3613530813</v>
      </c>
      <c r="E1421" s="9">
        <v>1752</v>
      </c>
      <c r="F1421" s="25">
        <v>43051</v>
      </c>
      <c r="G1421" s="61" t="s">
        <v>13</v>
      </c>
      <c r="H1421" s="9"/>
      <c r="I1421" s="8"/>
      <c r="J1421" s="8"/>
      <c r="K1421" s="8"/>
      <c r="L1421" s="9">
        <v>1759</v>
      </c>
      <c r="M1421" s="8"/>
    </row>
    <row r="1422" spans="1:13">
      <c r="A1422" s="27" t="s">
        <v>2093</v>
      </c>
      <c r="B1422" s="58">
        <v>25397304859</v>
      </c>
      <c r="C1422" s="27" t="s">
        <v>2094</v>
      </c>
      <c r="D1422" s="60">
        <v>13241305805</v>
      </c>
      <c r="E1422" s="9"/>
      <c r="F1422" s="25"/>
      <c r="G1422" s="61"/>
      <c r="H1422" s="9"/>
      <c r="I1422" s="8"/>
      <c r="J1422" s="8"/>
      <c r="K1422" s="8"/>
      <c r="L1422" s="8"/>
      <c r="M1422" s="8"/>
    </row>
    <row r="1423" spans="1:13">
      <c r="A1423" s="13" t="s">
        <v>2095</v>
      </c>
      <c r="B1423" s="58">
        <v>21703365836</v>
      </c>
      <c r="C1423" s="59"/>
      <c r="D1423" s="60"/>
      <c r="E1423" s="9"/>
      <c r="F1423" s="25"/>
      <c r="G1423" s="61"/>
      <c r="H1423" s="9"/>
      <c r="I1423" s="8"/>
      <c r="J1423" s="8"/>
      <c r="K1423" s="8"/>
      <c r="L1423" s="8"/>
      <c r="M1423" s="8"/>
    </row>
    <row r="1424" spans="1:13">
      <c r="A1424" s="62" t="s">
        <v>2096</v>
      </c>
      <c r="B1424" s="58">
        <v>26926775877</v>
      </c>
      <c r="C1424" s="63"/>
      <c r="D1424" s="60"/>
      <c r="E1424" s="9">
        <v>1752</v>
      </c>
      <c r="F1424" s="25">
        <v>43051</v>
      </c>
      <c r="G1424" s="61" t="s">
        <v>13</v>
      </c>
      <c r="H1424" s="9"/>
      <c r="I1424" s="8"/>
      <c r="J1424" s="8"/>
      <c r="K1424" s="8"/>
      <c r="L1424" s="9">
        <v>1759</v>
      </c>
      <c r="M1424" s="8"/>
    </row>
    <row r="1425" spans="1:13">
      <c r="A1425" s="62" t="s">
        <v>2097</v>
      </c>
      <c r="B1425" s="58">
        <v>28186250840</v>
      </c>
      <c r="C1425" s="63"/>
      <c r="D1425" s="60"/>
      <c r="E1425" s="9"/>
      <c r="F1425" s="25"/>
      <c r="G1425" s="61"/>
      <c r="H1425" s="9"/>
      <c r="I1425" s="8"/>
      <c r="J1425" s="8"/>
      <c r="K1425" s="8"/>
      <c r="L1425" s="8"/>
      <c r="M1425" s="8"/>
    </row>
    <row r="1426" spans="1:13">
      <c r="A1426" s="62" t="s">
        <v>2098</v>
      </c>
      <c r="B1426" s="58">
        <v>27135970802</v>
      </c>
      <c r="C1426" s="63"/>
      <c r="D1426" s="60"/>
      <c r="E1426" s="9">
        <v>443</v>
      </c>
      <c r="F1426" s="25">
        <v>43188</v>
      </c>
      <c r="G1426" s="61"/>
      <c r="H1426" s="9"/>
      <c r="I1426" s="8"/>
      <c r="J1426" s="8"/>
      <c r="K1426" s="8"/>
      <c r="L1426" s="8"/>
      <c r="M1426" s="8"/>
    </row>
    <row r="1427" spans="1:13">
      <c r="A1427" s="13" t="s">
        <v>2099</v>
      </c>
      <c r="B1427" s="58">
        <v>18287400805</v>
      </c>
      <c r="C1427" s="59"/>
      <c r="D1427" s="60"/>
      <c r="E1427" s="9">
        <v>1570</v>
      </c>
      <c r="F1427" s="25">
        <v>43077</v>
      </c>
      <c r="G1427" s="61" t="s">
        <v>13</v>
      </c>
      <c r="H1427" s="9"/>
      <c r="I1427" s="8"/>
      <c r="J1427" s="8"/>
      <c r="K1427" s="8"/>
      <c r="L1427" s="8"/>
      <c r="M1427" s="8"/>
    </row>
    <row r="1428" spans="1:13">
      <c r="A1428" s="63" t="s">
        <v>2100</v>
      </c>
      <c r="B1428" s="58">
        <v>76435962472</v>
      </c>
      <c r="C1428" s="63"/>
      <c r="D1428" s="60"/>
      <c r="E1428" s="9">
        <v>292</v>
      </c>
      <c r="F1428" s="25">
        <v>43168</v>
      </c>
      <c r="G1428" s="9" t="s">
        <v>13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2101</v>
      </c>
      <c r="B1429" s="58">
        <v>31115215833</v>
      </c>
      <c r="C1429" s="63" t="s">
        <v>2102</v>
      </c>
      <c r="D1429" s="60">
        <v>54134781515</v>
      </c>
      <c r="E1429" s="9">
        <v>608</v>
      </c>
      <c r="F1429" s="25">
        <v>43012</v>
      </c>
      <c r="G1429" s="61" t="s">
        <v>13</v>
      </c>
      <c r="H1429" s="9"/>
      <c r="I1429" s="8"/>
      <c r="J1429" s="8"/>
      <c r="K1429" s="8"/>
      <c r="L1429" s="8"/>
      <c r="M1429" s="8"/>
    </row>
    <row r="1430" spans="1:13">
      <c r="A1430" s="15" t="s">
        <v>2103</v>
      </c>
      <c r="B1430" s="58">
        <v>33223746889</v>
      </c>
      <c r="C1430" s="63"/>
      <c r="D1430" s="60"/>
      <c r="E1430" s="9">
        <v>262</v>
      </c>
      <c r="F1430" s="25">
        <v>43160</v>
      </c>
      <c r="G1430" s="61" t="s">
        <v>13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62" t="s">
        <v>2104</v>
      </c>
      <c r="B1431" s="58">
        <v>27207642806</v>
      </c>
      <c r="C1431" s="63"/>
      <c r="D1431" s="60"/>
      <c r="E1431" s="9">
        <v>1752</v>
      </c>
      <c r="F1431" s="25">
        <v>43051</v>
      </c>
      <c r="G1431" s="61" t="s">
        <v>13</v>
      </c>
      <c r="H1431" s="9"/>
      <c r="I1431" s="8"/>
      <c r="J1431" s="8"/>
      <c r="K1431" s="8"/>
      <c r="L1431" s="9">
        <v>1759</v>
      </c>
      <c r="M1431" s="8"/>
    </row>
    <row r="1432" spans="1:13">
      <c r="A1432" s="62" t="s">
        <v>2105</v>
      </c>
      <c r="B1432" s="58">
        <v>8587525816</v>
      </c>
      <c r="C1432" s="63"/>
      <c r="D1432" s="60"/>
      <c r="E1432" s="9">
        <v>608</v>
      </c>
      <c r="F1432" s="25">
        <v>43012</v>
      </c>
      <c r="G1432" s="61" t="s">
        <v>13</v>
      </c>
      <c r="H1432" s="9"/>
      <c r="I1432" s="8"/>
      <c r="J1432" s="8"/>
      <c r="K1432" s="8"/>
      <c r="L1432" s="8"/>
      <c r="M1432" s="8"/>
    </row>
    <row r="1433" spans="1:13">
      <c r="A1433" s="62" t="s">
        <v>2106</v>
      </c>
      <c r="B1433" s="58">
        <v>64682544500</v>
      </c>
      <c r="C1433" s="63"/>
      <c r="D1433" s="60"/>
      <c r="E1433" s="9">
        <v>1350</v>
      </c>
      <c r="F1433" s="25">
        <v>43006</v>
      </c>
      <c r="G1433" s="61" t="s">
        <v>13</v>
      </c>
      <c r="H1433" s="9"/>
      <c r="I1433" s="8"/>
      <c r="J1433" s="8"/>
      <c r="K1433" s="8"/>
      <c r="L1433" s="8"/>
      <c r="M1433" s="8"/>
    </row>
    <row r="1434" spans="1:13">
      <c r="A1434" s="62" t="s">
        <v>2107</v>
      </c>
      <c r="B1434" s="58">
        <v>35198444863</v>
      </c>
      <c r="C1434" s="63" t="s">
        <v>2108</v>
      </c>
      <c r="D1434" s="60">
        <v>30956969810</v>
      </c>
      <c r="E1434" s="9">
        <v>1489</v>
      </c>
      <c r="F1434" s="25">
        <v>43038</v>
      </c>
      <c r="G1434" s="61" t="s">
        <v>13</v>
      </c>
      <c r="H1434" s="9"/>
      <c r="I1434" s="8"/>
      <c r="J1434" s="8"/>
      <c r="K1434" s="8"/>
      <c r="L1434" s="9" t="s">
        <v>160</v>
      </c>
      <c r="M1434" s="8"/>
    </row>
    <row r="1435" spans="1:13">
      <c r="A1435" s="63" t="s">
        <v>2109</v>
      </c>
      <c r="B1435" s="58">
        <v>24766625854</v>
      </c>
      <c r="C1435" s="63"/>
      <c r="D1435" s="60"/>
      <c r="E1435" s="9">
        <v>573</v>
      </c>
      <c r="F1435" s="25">
        <v>43224</v>
      </c>
      <c r="G1435" s="61"/>
      <c r="H1435" s="9"/>
      <c r="I1435" s="8"/>
      <c r="J1435" s="8"/>
      <c r="K1435" s="8"/>
      <c r="L1435" s="8"/>
      <c r="M1435" s="8"/>
    </row>
    <row r="1436" spans="1:13">
      <c r="A1436" s="62" t="s">
        <v>2110</v>
      </c>
      <c r="B1436" s="58">
        <v>3877896421</v>
      </c>
      <c r="C1436" s="63"/>
      <c r="D1436" s="60"/>
      <c r="E1436" s="9">
        <v>292</v>
      </c>
      <c r="F1436" s="25">
        <v>43168</v>
      </c>
      <c r="G1436" s="61" t="s">
        <v>13</v>
      </c>
      <c r="H1436" s="9"/>
      <c r="I1436" s="8"/>
      <c r="J1436" s="8"/>
      <c r="K1436" s="8"/>
      <c r="L1436" s="9">
        <v>318</v>
      </c>
      <c r="M1436" s="8"/>
    </row>
    <row r="1437" spans="1:13">
      <c r="A1437" s="62" t="s">
        <v>2111</v>
      </c>
      <c r="B1437" s="58">
        <v>11290057800</v>
      </c>
      <c r="C1437" s="63"/>
      <c r="D1437" s="60"/>
      <c r="E1437" s="9">
        <v>1824</v>
      </c>
      <c r="F1437" s="25">
        <v>43091</v>
      </c>
      <c r="G1437" s="61" t="s">
        <v>13</v>
      </c>
      <c r="H1437" s="9"/>
      <c r="I1437" s="8"/>
      <c r="J1437" s="8"/>
      <c r="K1437" s="8"/>
      <c r="L1437" s="9">
        <v>1828</v>
      </c>
      <c r="M1437" s="8"/>
    </row>
    <row r="1438" spans="1:13">
      <c r="A1438" s="62" t="s">
        <v>2112</v>
      </c>
      <c r="B1438" s="58">
        <v>22472713835</v>
      </c>
      <c r="C1438" s="63"/>
      <c r="D1438" s="60"/>
      <c r="E1438" s="9">
        <v>85</v>
      </c>
      <c r="F1438" s="25">
        <v>43109</v>
      </c>
      <c r="G1438" s="61" t="s">
        <v>13</v>
      </c>
      <c r="H1438" s="25">
        <v>43151</v>
      </c>
      <c r="I1438" s="8"/>
      <c r="J1438" s="8"/>
      <c r="K1438" s="8"/>
      <c r="L1438" s="8"/>
      <c r="M1438" s="8"/>
    </row>
    <row r="1439" spans="1:13">
      <c r="A1439" s="62" t="s">
        <v>2113</v>
      </c>
      <c r="B1439" s="58">
        <v>1930099517</v>
      </c>
      <c r="C1439" s="59" t="s">
        <v>2114</v>
      </c>
      <c r="D1439" s="60">
        <v>91788226534</v>
      </c>
      <c r="E1439" s="9">
        <v>1752</v>
      </c>
      <c r="F1439" s="25">
        <v>43051</v>
      </c>
      <c r="G1439" s="61" t="s">
        <v>13</v>
      </c>
      <c r="H1439" s="9"/>
      <c r="I1439" s="8"/>
      <c r="J1439" s="8"/>
      <c r="K1439" s="8"/>
      <c r="L1439" s="9">
        <v>1759</v>
      </c>
      <c r="M1439" s="8"/>
    </row>
    <row r="1440" spans="1:13">
      <c r="A1440" s="62" t="s">
        <v>2115</v>
      </c>
      <c r="B1440" s="58">
        <v>1941225497</v>
      </c>
      <c r="C1440" s="63"/>
      <c r="D1440" s="60"/>
      <c r="E1440" s="9"/>
      <c r="F1440" s="25"/>
      <c r="G1440" s="61"/>
      <c r="H1440" s="9"/>
      <c r="I1440" s="8"/>
      <c r="J1440" s="8"/>
      <c r="K1440" s="8"/>
      <c r="L1440" s="8"/>
      <c r="M1440" s="8"/>
    </row>
    <row r="1441" spans="1:13">
      <c r="A1441" s="62" t="s">
        <v>2116</v>
      </c>
      <c r="B1441" s="58">
        <v>31068143819</v>
      </c>
      <c r="C1441" s="63" t="s">
        <v>2117</v>
      </c>
      <c r="D1441" s="60">
        <v>27121002809</v>
      </c>
      <c r="E1441" s="9">
        <v>608</v>
      </c>
      <c r="F1441" s="25">
        <v>43012</v>
      </c>
      <c r="G1441" s="61" t="s">
        <v>20</v>
      </c>
      <c r="H1441" s="9"/>
      <c r="I1441" s="8"/>
      <c r="J1441" s="8"/>
      <c r="K1441" s="8"/>
      <c r="L1441" s="8"/>
      <c r="M1441" s="8"/>
    </row>
    <row r="1442" spans="1:13">
      <c r="A1442" s="62" t="s">
        <v>2118</v>
      </c>
      <c r="B1442" s="58">
        <v>30845554867</v>
      </c>
      <c r="C1442" s="63"/>
      <c r="D1442" s="60"/>
      <c r="E1442" s="9">
        <v>1439</v>
      </c>
      <c r="F1442" s="25">
        <v>43025</v>
      </c>
      <c r="G1442" s="61" t="s">
        <v>13</v>
      </c>
      <c r="H1442" s="9"/>
      <c r="I1442" s="8"/>
      <c r="J1442" s="8"/>
      <c r="K1442" s="8"/>
      <c r="L1442" s="9" t="s">
        <v>502</v>
      </c>
      <c r="M1442" s="8"/>
    </row>
    <row r="1443" spans="1:13">
      <c r="A1443" s="15" t="s">
        <v>2119</v>
      </c>
      <c r="B1443" s="58">
        <v>33100600800</v>
      </c>
      <c r="C1443" s="63" t="s">
        <v>2120</v>
      </c>
      <c r="D1443" s="60">
        <v>1505310520</v>
      </c>
      <c r="E1443" s="9">
        <v>485</v>
      </c>
      <c r="F1443" s="25">
        <v>43196</v>
      </c>
      <c r="G1443" s="61"/>
      <c r="H1443" s="9"/>
      <c r="I1443" s="8"/>
      <c r="J1443" s="8"/>
      <c r="K1443" s="8"/>
      <c r="L1443" s="9">
        <v>483</v>
      </c>
      <c r="M1443" s="8"/>
    </row>
    <row r="1444" spans="1:13">
      <c r="A1444" s="62" t="s">
        <v>2121</v>
      </c>
      <c r="B1444" s="58">
        <v>23284980865</v>
      </c>
      <c r="C1444" s="63" t="s">
        <v>2122</v>
      </c>
      <c r="D1444" s="60">
        <v>8170993792</v>
      </c>
      <c r="E1444" s="9">
        <v>1214</v>
      </c>
      <c r="F1444" s="25">
        <v>42989</v>
      </c>
      <c r="G1444" s="61" t="s">
        <v>13</v>
      </c>
      <c r="H1444" s="9"/>
      <c r="I1444" s="8"/>
      <c r="J1444" s="8"/>
      <c r="K1444" s="8"/>
      <c r="L1444" s="8"/>
      <c r="M1444" s="8"/>
    </row>
    <row r="1445" spans="1:13">
      <c r="A1445" s="64" t="s">
        <v>2123</v>
      </c>
      <c r="B1445" s="58">
        <v>27235231874</v>
      </c>
      <c r="C1445" s="63" t="s">
        <v>2124</v>
      </c>
      <c r="D1445" s="60">
        <v>36182133520</v>
      </c>
      <c r="E1445" s="9">
        <v>1106</v>
      </c>
      <c r="F1445" s="25">
        <v>42965</v>
      </c>
      <c r="G1445" s="61" t="s">
        <v>13</v>
      </c>
      <c r="H1445" s="9"/>
      <c r="I1445" s="8"/>
      <c r="J1445" s="8"/>
      <c r="K1445" s="8"/>
      <c r="L1445" s="8"/>
      <c r="M1445" s="8"/>
    </row>
    <row r="1446" spans="1:13">
      <c r="A1446" s="62" t="s">
        <v>2125</v>
      </c>
      <c r="B1446" s="58">
        <v>91539358534</v>
      </c>
      <c r="C1446" s="63"/>
      <c r="D1446" s="60"/>
      <c r="E1446" s="9"/>
      <c r="F1446" s="25"/>
      <c r="G1446" s="61"/>
      <c r="H1446" s="9"/>
      <c r="I1446" s="8"/>
      <c r="J1446" s="8"/>
      <c r="K1446" s="8"/>
      <c r="L1446" s="8"/>
      <c r="M1446" s="8"/>
    </row>
    <row r="1447" spans="1:13">
      <c r="A1447" s="62" t="s">
        <v>2126</v>
      </c>
      <c r="B1447" s="58">
        <v>38328397803</v>
      </c>
      <c r="C1447" s="63"/>
      <c r="D1447" s="60"/>
      <c r="E1447" s="9">
        <v>262</v>
      </c>
      <c r="F1447" s="25">
        <v>43160</v>
      </c>
      <c r="G1447" s="61" t="s">
        <v>13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62" t="s">
        <v>2127</v>
      </c>
      <c r="B1448" s="58">
        <v>34862428819</v>
      </c>
      <c r="C1448" s="68"/>
      <c r="D1448" s="60"/>
      <c r="E1448" s="9"/>
      <c r="F1448" s="25"/>
      <c r="G1448" s="61"/>
      <c r="H1448" s="9"/>
      <c r="I1448" s="8"/>
      <c r="J1448" s="8"/>
      <c r="K1448" s="8"/>
      <c r="L1448" s="8"/>
      <c r="M1448" s="8"/>
    </row>
    <row r="1449" spans="1:13">
      <c r="A1449" s="64" t="s">
        <v>2128</v>
      </c>
      <c r="B1449" s="58">
        <v>22012002897</v>
      </c>
      <c r="C1449" s="63"/>
      <c r="D1449" s="60"/>
      <c r="E1449" s="9"/>
      <c r="F1449" s="25"/>
      <c r="G1449" s="61"/>
      <c r="H1449" s="9"/>
      <c r="I1449" s="8"/>
      <c r="J1449" s="8"/>
      <c r="K1449" s="8"/>
      <c r="L1449" s="8"/>
      <c r="M1449" s="8"/>
    </row>
    <row r="1450" spans="1:13">
      <c r="A1450" s="64" t="s">
        <v>2129</v>
      </c>
      <c r="B1450" s="58">
        <v>68904304415</v>
      </c>
      <c r="C1450" s="63"/>
      <c r="D1450" s="60"/>
      <c r="E1450" s="9"/>
      <c r="F1450" s="25"/>
      <c r="G1450" s="61"/>
      <c r="H1450" s="9"/>
      <c r="I1450" s="8"/>
      <c r="J1450" s="8"/>
      <c r="K1450" s="8"/>
      <c r="L1450" s="8"/>
      <c r="M1450" s="8"/>
    </row>
    <row r="1451" spans="1:13">
      <c r="A1451" s="62" t="s">
        <v>2130</v>
      </c>
      <c r="B1451" s="58">
        <v>774242809</v>
      </c>
      <c r="C1451" s="63" t="s">
        <v>2131</v>
      </c>
      <c r="D1451" s="60">
        <v>16619607829</v>
      </c>
      <c r="E1451" s="9">
        <v>1824</v>
      </c>
      <c r="F1451" s="25">
        <v>43091</v>
      </c>
      <c r="G1451" s="61" t="s">
        <v>13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2132</v>
      </c>
      <c r="B1452" s="58">
        <v>32317196822</v>
      </c>
      <c r="C1452" s="59"/>
      <c r="D1452" s="60"/>
      <c r="E1452" s="9">
        <v>1267</v>
      </c>
      <c r="F1452" s="25">
        <v>42998</v>
      </c>
      <c r="G1452" s="61" t="s">
        <v>13</v>
      </c>
      <c r="H1452" s="9"/>
      <c r="I1452" s="8"/>
      <c r="J1452" s="8"/>
      <c r="K1452" s="8"/>
      <c r="L1452" s="8"/>
      <c r="M1452" s="8"/>
    </row>
    <row r="1453" spans="1:13">
      <c r="A1453" s="62" t="s">
        <v>2133</v>
      </c>
      <c r="B1453" s="58">
        <v>34817829850</v>
      </c>
      <c r="C1453" s="63" t="s">
        <v>2134</v>
      </c>
      <c r="D1453" s="60">
        <v>8025534863</v>
      </c>
      <c r="E1453" s="9">
        <v>1241</v>
      </c>
      <c r="F1453" s="25">
        <v>42992</v>
      </c>
      <c r="G1453" s="61" t="s">
        <v>28</v>
      </c>
      <c r="H1453" s="9"/>
      <c r="I1453" s="8"/>
      <c r="J1453" s="8"/>
      <c r="K1453" s="8"/>
      <c r="L1453" s="8"/>
      <c r="M1453" s="8"/>
    </row>
    <row r="1454" spans="1:13">
      <c r="A1454" s="62" t="s">
        <v>2135</v>
      </c>
      <c r="B1454" s="58">
        <v>42992112860</v>
      </c>
      <c r="C1454" s="63"/>
      <c r="D1454" s="60"/>
      <c r="E1454" s="9"/>
      <c r="F1454" s="25"/>
      <c r="G1454" s="61"/>
      <c r="H1454" s="9"/>
      <c r="I1454" s="8"/>
      <c r="J1454" s="8"/>
      <c r="K1454" s="8"/>
      <c r="L1454" s="8"/>
      <c r="M1454" s="8"/>
    </row>
    <row r="1455" spans="1:13">
      <c r="A1455" s="14" t="s">
        <v>2136</v>
      </c>
      <c r="B1455" s="58">
        <v>11162298898</v>
      </c>
      <c r="C1455" s="63"/>
      <c r="D1455" s="60"/>
      <c r="E1455" s="9">
        <v>262</v>
      </c>
      <c r="F1455" s="25">
        <v>43160</v>
      </c>
      <c r="G1455" s="61" t="s">
        <v>13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62" t="s">
        <v>2137</v>
      </c>
      <c r="B1456" s="58">
        <v>38154090805</v>
      </c>
      <c r="C1456" s="63"/>
      <c r="D1456" s="60"/>
      <c r="E1456" s="9">
        <v>1106</v>
      </c>
      <c r="F1456" s="25">
        <v>42965</v>
      </c>
      <c r="G1456" s="61" t="s">
        <v>13</v>
      </c>
      <c r="H1456" s="9"/>
      <c r="I1456" s="8"/>
      <c r="J1456" s="8"/>
      <c r="K1456" s="8"/>
      <c r="L1456" s="8"/>
      <c r="M1456" s="8"/>
    </row>
    <row r="1457" spans="1:13">
      <c r="A1457" s="62" t="s">
        <v>2138</v>
      </c>
      <c r="B1457" s="58">
        <v>30142727873</v>
      </c>
      <c r="C1457" s="68"/>
      <c r="D1457" s="60"/>
      <c r="E1457" s="9">
        <v>563</v>
      </c>
      <c r="F1457" s="25">
        <v>43217</v>
      </c>
      <c r="G1457" s="61"/>
      <c r="H1457" s="9"/>
      <c r="I1457" s="8"/>
      <c r="J1457" s="8"/>
      <c r="K1457" s="8"/>
      <c r="L1457" s="9" t="s">
        <v>299</v>
      </c>
      <c r="M1457" s="8"/>
    </row>
    <row r="1458" spans="1:13">
      <c r="A1458" s="14" t="s">
        <v>2139</v>
      </c>
      <c r="B1458" s="58">
        <v>36648473851</v>
      </c>
      <c r="C1458" s="63"/>
      <c r="D1458" s="60"/>
      <c r="E1458" s="9">
        <v>262</v>
      </c>
      <c r="F1458" s="25">
        <v>43160</v>
      </c>
      <c r="G1458" s="61" t="s">
        <v>13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2140</v>
      </c>
      <c r="B1459" s="58">
        <v>32547457873</v>
      </c>
      <c r="C1459" s="63" t="s">
        <v>2141</v>
      </c>
      <c r="D1459" s="60">
        <v>23172645851</v>
      </c>
      <c r="E1459" s="9"/>
      <c r="F1459" s="25"/>
      <c r="G1459" s="61"/>
      <c r="H1459" s="9"/>
      <c r="I1459" s="8"/>
      <c r="J1459" s="8"/>
      <c r="K1459" s="8"/>
      <c r="L1459" s="8"/>
      <c r="M1459" s="8"/>
    </row>
    <row r="1460" spans="1:13">
      <c r="A1460" s="62" t="s">
        <v>2142</v>
      </c>
      <c r="B1460" s="58">
        <v>16784597800</v>
      </c>
      <c r="C1460" s="63" t="s">
        <v>2143</v>
      </c>
      <c r="D1460" s="60">
        <v>31123603898</v>
      </c>
      <c r="E1460" s="9"/>
      <c r="F1460" s="25"/>
      <c r="G1460" s="61"/>
      <c r="H1460" s="9"/>
      <c r="I1460" s="8"/>
      <c r="J1460" s="8"/>
      <c r="K1460" s="8"/>
      <c r="L1460" s="8"/>
      <c r="M1460" s="8"/>
    </row>
    <row r="1461" spans="1:13">
      <c r="A1461" s="15" t="s">
        <v>1190</v>
      </c>
      <c r="B1461" s="58">
        <v>5418522566</v>
      </c>
      <c r="C1461" s="63"/>
      <c r="D1461" s="60"/>
      <c r="E1461" s="9"/>
      <c r="F1461" s="25"/>
      <c r="G1461" s="61"/>
      <c r="H1461" s="9"/>
      <c r="I1461" s="8"/>
      <c r="J1461" s="8"/>
      <c r="K1461" s="8"/>
      <c r="L1461" s="8"/>
      <c r="M1461" s="8"/>
    </row>
    <row r="1462" spans="1:13">
      <c r="A1462" s="62" t="s">
        <v>2144</v>
      </c>
      <c r="B1462" s="58">
        <v>40709582404</v>
      </c>
      <c r="C1462" s="63"/>
      <c r="D1462" s="60"/>
      <c r="E1462" s="9">
        <v>1106</v>
      </c>
      <c r="F1462" s="25">
        <v>42965</v>
      </c>
      <c r="G1462" s="61" t="s">
        <v>13</v>
      </c>
      <c r="H1462" s="9"/>
      <c r="I1462" s="8"/>
      <c r="J1462" s="8"/>
      <c r="K1462" s="8"/>
      <c r="L1462" s="8"/>
      <c r="M1462" s="8"/>
    </row>
    <row r="1463" spans="1:13">
      <c r="A1463" s="62" t="s">
        <v>2145</v>
      </c>
      <c r="B1463" s="58">
        <v>36639689871</v>
      </c>
      <c r="C1463" s="63"/>
      <c r="D1463" s="60"/>
      <c r="E1463" s="9"/>
      <c r="F1463" s="25"/>
      <c r="G1463" s="61"/>
      <c r="H1463" s="9"/>
      <c r="I1463" s="8"/>
      <c r="J1463" s="8"/>
      <c r="K1463" s="8"/>
      <c r="L1463" s="8"/>
      <c r="M1463" s="8"/>
    </row>
    <row r="1464" spans="1:13">
      <c r="A1464" s="63" t="s">
        <v>2146</v>
      </c>
      <c r="B1464" s="58">
        <v>2467378403</v>
      </c>
      <c r="C1464" s="63" t="s">
        <v>2147</v>
      </c>
      <c r="D1464" s="60">
        <v>70485232472</v>
      </c>
      <c r="E1464" s="9"/>
      <c r="F1464" s="25"/>
      <c r="G1464" s="61"/>
      <c r="H1464" s="9"/>
      <c r="I1464" s="8"/>
      <c r="J1464" s="8"/>
      <c r="K1464" s="8"/>
      <c r="L1464" s="8"/>
      <c r="M1464" s="8"/>
    </row>
    <row r="1465" spans="1:13">
      <c r="A1465" s="62" t="s">
        <v>2148</v>
      </c>
      <c r="B1465" s="58">
        <v>26932806487</v>
      </c>
      <c r="C1465" s="63"/>
      <c r="D1465" s="60"/>
      <c r="E1465" s="9"/>
      <c r="F1465" s="25"/>
      <c r="G1465" s="61"/>
      <c r="H1465" s="9"/>
      <c r="I1465" s="8"/>
      <c r="J1465" s="8"/>
      <c r="K1465" s="8"/>
      <c r="L1465" s="8"/>
      <c r="M1465" s="8"/>
    </row>
    <row r="1466" spans="1:13">
      <c r="A1466" s="62" t="s">
        <v>2149</v>
      </c>
      <c r="B1466" s="58">
        <v>34247512862</v>
      </c>
      <c r="C1466" s="68" t="s">
        <v>2150</v>
      </c>
      <c r="D1466" s="60">
        <v>23228557820</v>
      </c>
      <c r="E1466" s="9">
        <v>563</v>
      </c>
      <c r="F1466" s="25">
        <v>43217</v>
      </c>
      <c r="G1466" s="61"/>
      <c r="H1466" s="9"/>
      <c r="I1466" s="8"/>
      <c r="J1466" s="8"/>
      <c r="K1466" s="8"/>
      <c r="L1466" s="9" t="s">
        <v>299</v>
      </c>
      <c r="M1466" s="8"/>
    </row>
    <row r="1467" spans="1:13">
      <c r="A1467" s="62" t="s">
        <v>2151</v>
      </c>
      <c r="B1467" s="58" t="s">
        <v>2152</v>
      </c>
      <c r="C1467" s="64"/>
      <c r="D1467" s="60"/>
      <c r="E1467" s="9">
        <v>573</v>
      </c>
      <c r="F1467" s="25">
        <v>43224</v>
      </c>
      <c r="G1467" s="61"/>
      <c r="H1467" s="9"/>
      <c r="I1467" s="8"/>
      <c r="J1467" s="8"/>
      <c r="K1467" s="8"/>
      <c r="L1467" s="8"/>
      <c r="M1467" s="8"/>
    </row>
    <row r="1468" spans="1:13">
      <c r="A1468" s="15" t="s">
        <v>2153</v>
      </c>
      <c r="B1468" s="58">
        <v>47168211889</v>
      </c>
      <c r="C1468" s="63" t="s">
        <v>2154</v>
      </c>
      <c r="D1468" s="60">
        <v>46765554823</v>
      </c>
      <c r="E1468" s="9"/>
      <c r="F1468" s="25"/>
      <c r="G1468" s="61"/>
      <c r="H1468" s="9"/>
      <c r="I1468" s="8"/>
      <c r="J1468" s="8"/>
      <c r="K1468" s="8"/>
      <c r="L1468" s="8"/>
      <c r="M1468" s="8"/>
    </row>
    <row r="1469" spans="1:13">
      <c r="A1469" s="13" t="s">
        <v>2155</v>
      </c>
      <c r="B1469" s="58">
        <v>16700203805</v>
      </c>
      <c r="C1469" s="59"/>
      <c r="D1469" s="60"/>
      <c r="E1469" s="9">
        <v>1128</v>
      </c>
      <c r="F1469" s="25">
        <v>42972</v>
      </c>
      <c r="G1469" s="61" t="s">
        <v>13</v>
      </c>
      <c r="H1469" s="9"/>
      <c r="I1469" s="8"/>
      <c r="J1469" s="8"/>
      <c r="K1469" s="8"/>
      <c r="L1469" s="8"/>
      <c r="M1469" s="8"/>
    </row>
    <row r="1470" spans="1:13">
      <c r="A1470" s="62" t="s">
        <v>2156</v>
      </c>
      <c r="B1470" s="58">
        <v>1532239521</v>
      </c>
      <c r="C1470" s="63" t="s">
        <v>2157</v>
      </c>
      <c r="D1470" s="60">
        <v>37104060804</v>
      </c>
      <c r="E1470" s="9">
        <v>810</v>
      </c>
      <c r="F1470" s="25">
        <v>42915</v>
      </c>
      <c r="G1470" s="61" t="s">
        <v>13</v>
      </c>
      <c r="H1470" s="9"/>
      <c r="I1470" s="8"/>
      <c r="J1470" s="8"/>
      <c r="K1470" s="8"/>
      <c r="L1470" s="9" t="s">
        <v>138</v>
      </c>
      <c r="M1470" s="8"/>
    </row>
    <row r="1471" spans="1:13">
      <c r="A1471" s="15" t="s">
        <v>2158</v>
      </c>
      <c r="B1471" s="58">
        <v>52648281568</v>
      </c>
      <c r="C1471" s="63"/>
      <c r="D1471" s="60"/>
      <c r="E1471" s="9">
        <v>229</v>
      </c>
      <c r="F1471" s="25">
        <v>43151</v>
      </c>
      <c r="G1471" s="61" t="s">
        <v>13</v>
      </c>
      <c r="H1471" s="9"/>
      <c r="I1471" s="8"/>
      <c r="J1471" s="8"/>
      <c r="K1471" s="8"/>
      <c r="L1471" s="9">
        <v>232</v>
      </c>
      <c r="M1471" s="8"/>
    </row>
    <row r="1472" spans="1:13">
      <c r="A1472" s="62" t="s">
        <v>2159</v>
      </c>
      <c r="B1472" s="58">
        <v>37734630812</v>
      </c>
      <c r="C1472" s="63"/>
      <c r="D1472" s="60"/>
      <c r="E1472" s="9">
        <v>810</v>
      </c>
      <c r="F1472" s="25">
        <v>42915</v>
      </c>
      <c r="G1472" s="61" t="s">
        <v>13</v>
      </c>
      <c r="H1472" s="9"/>
      <c r="I1472" s="8"/>
      <c r="J1472" s="8"/>
      <c r="K1472" s="8"/>
      <c r="L1472" s="9" t="s">
        <v>138</v>
      </c>
      <c r="M1472" s="8"/>
    </row>
    <row r="1473" spans="1:13">
      <c r="A1473" s="62" t="s">
        <v>2160</v>
      </c>
      <c r="B1473" s="58">
        <v>37117512881</v>
      </c>
      <c r="C1473" s="66" t="s">
        <v>2161</v>
      </c>
      <c r="D1473" s="60">
        <v>39740259871</v>
      </c>
      <c r="E1473" s="9">
        <v>1106</v>
      </c>
      <c r="F1473" s="25">
        <v>42965</v>
      </c>
      <c r="G1473" s="61" t="s">
        <v>13</v>
      </c>
      <c r="H1473" s="9"/>
      <c r="I1473" s="8"/>
      <c r="J1473" s="8"/>
      <c r="K1473" s="8"/>
      <c r="L1473" s="8"/>
      <c r="M1473" s="8"/>
    </row>
    <row r="1474" spans="1:13">
      <c r="A1474" s="13" t="s">
        <v>2162</v>
      </c>
      <c r="B1474" s="58">
        <v>39967942827</v>
      </c>
      <c r="C1474" s="63" t="s">
        <v>2163</v>
      </c>
      <c r="D1474" s="60">
        <v>32777947848</v>
      </c>
      <c r="E1474" s="9">
        <v>1267</v>
      </c>
      <c r="F1474" s="25">
        <v>42998</v>
      </c>
      <c r="G1474" s="61" t="s">
        <v>13</v>
      </c>
      <c r="H1474" s="9"/>
      <c r="I1474" s="8"/>
      <c r="J1474" s="8"/>
      <c r="K1474" s="8"/>
      <c r="L1474" s="8"/>
      <c r="M1474" s="8"/>
    </row>
    <row r="1475" spans="1:13">
      <c r="A1475" s="62" t="s">
        <v>2164</v>
      </c>
      <c r="B1475" s="58">
        <v>18464307802</v>
      </c>
      <c r="C1475" s="63" t="s">
        <v>2165</v>
      </c>
      <c r="D1475" s="60">
        <v>13642437842</v>
      </c>
      <c r="E1475" s="9">
        <v>608</v>
      </c>
      <c r="F1475" s="25">
        <v>43012</v>
      </c>
      <c r="G1475" s="61" t="s">
        <v>20</v>
      </c>
      <c r="H1475" s="9"/>
      <c r="I1475" s="8"/>
      <c r="J1475" s="8"/>
      <c r="K1475" s="8"/>
      <c r="L1475" s="8"/>
      <c r="M1475" s="8"/>
    </row>
    <row r="1476" spans="1:13">
      <c r="A1476" s="62" t="s">
        <v>2166</v>
      </c>
      <c r="B1476" s="58">
        <v>29790847866</v>
      </c>
      <c r="C1476" s="59"/>
      <c r="D1476" s="60"/>
      <c r="E1476" s="9">
        <v>1570</v>
      </c>
      <c r="F1476" s="25">
        <v>43077</v>
      </c>
      <c r="G1476" s="61" t="s">
        <v>13</v>
      </c>
      <c r="H1476" s="9"/>
      <c r="I1476" s="8"/>
      <c r="J1476" s="8"/>
      <c r="K1476" s="8"/>
      <c r="L1476" s="8"/>
      <c r="M1476" s="8"/>
    </row>
    <row r="1477" spans="1:13">
      <c r="A1477" s="62" t="s">
        <v>2167</v>
      </c>
      <c r="B1477" s="58">
        <v>38572422803</v>
      </c>
      <c r="C1477" s="63"/>
      <c r="D1477" s="60"/>
      <c r="E1477" s="9">
        <v>1350</v>
      </c>
      <c r="F1477" s="25">
        <v>43006</v>
      </c>
      <c r="G1477" s="61" t="s">
        <v>13</v>
      </c>
      <c r="H1477" s="9"/>
      <c r="I1477" s="8"/>
      <c r="J1477" s="8"/>
      <c r="K1477" s="8"/>
      <c r="L1477" s="8"/>
      <c r="M1477" s="8"/>
    </row>
    <row r="1478" spans="1:13">
      <c r="A1478" s="62" t="s">
        <v>2168</v>
      </c>
      <c r="B1478" s="58">
        <v>91413168515</v>
      </c>
      <c r="C1478" s="63" t="s">
        <v>2169</v>
      </c>
      <c r="D1478" s="60">
        <v>12713438861</v>
      </c>
      <c r="E1478" s="9">
        <v>810</v>
      </c>
      <c r="F1478" s="25">
        <v>42915</v>
      </c>
      <c r="G1478" s="61" t="s">
        <v>13</v>
      </c>
      <c r="H1478" s="9"/>
      <c r="I1478" s="8"/>
      <c r="J1478" s="8"/>
      <c r="K1478" s="8"/>
      <c r="L1478" s="9" t="s">
        <v>138</v>
      </c>
      <c r="M1478" s="8"/>
    </row>
    <row r="1479" spans="1:13">
      <c r="A1479" s="63" t="s">
        <v>2170</v>
      </c>
      <c r="B1479" s="58">
        <v>13554461806</v>
      </c>
      <c r="C1479" s="63" t="s">
        <v>2171</v>
      </c>
      <c r="D1479" s="60">
        <v>10720281822</v>
      </c>
      <c r="E1479" s="9"/>
      <c r="F1479" s="25"/>
      <c r="G1479" s="61"/>
      <c r="H1479" s="9"/>
      <c r="I1479" s="8"/>
      <c r="J1479" s="8"/>
      <c r="K1479" s="8"/>
      <c r="L1479" s="8"/>
      <c r="M1479" s="8"/>
    </row>
    <row r="1480" spans="1:13">
      <c r="A1480" s="62" t="s">
        <v>2172</v>
      </c>
      <c r="B1480" s="58">
        <v>6941864818</v>
      </c>
      <c r="C1480" s="63"/>
      <c r="D1480" s="60"/>
      <c r="E1480" s="9">
        <v>229</v>
      </c>
      <c r="F1480" s="25">
        <v>43151</v>
      </c>
      <c r="G1480" s="61" t="s">
        <v>13</v>
      </c>
      <c r="H1480" s="9"/>
      <c r="I1480" s="8"/>
      <c r="J1480" s="8"/>
      <c r="K1480" s="8"/>
      <c r="L1480" s="9">
        <v>232</v>
      </c>
      <c r="M1480" s="8"/>
    </row>
    <row r="1481" spans="1:13">
      <c r="A1481" s="62" t="s">
        <v>2173</v>
      </c>
      <c r="B1481" s="58">
        <v>23473313882</v>
      </c>
      <c r="C1481" s="63" t="s">
        <v>2174</v>
      </c>
      <c r="D1481" s="60">
        <v>51042797404</v>
      </c>
      <c r="E1481" s="9">
        <v>485</v>
      </c>
      <c r="F1481" s="25">
        <v>43196</v>
      </c>
      <c r="G1481" s="61" t="s">
        <v>20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2175</v>
      </c>
      <c r="B1482" s="58">
        <v>7753877895</v>
      </c>
      <c r="C1482" s="59" t="s">
        <v>2176</v>
      </c>
      <c r="D1482" s="60">
        <v>66725372872</v>
      </c>
      <c r="E1482" s="9">
        <v>1214</v>
      </c>
      <c r="F1482" s="25">
        <v>42989</v>
      </c>
      <c r="G1482" s="61" t="s">
        <v>13</v>
      </c>
      <c r="H1482" s="9"/>
      <c r="I1482" s="8"/>
      <c r="J1482" s="8"/>
      <c r="K1482" s="8"/>
      <c r="L1482" s="8"/>
      <c r="M1482" s="8"/>
    </row>
    <row r="1483" spans="1:13">
      <c r="A1483" s="62" t="s">
        <v>2177</v>
      </c>
      <c r="B1483" s="58">
        <v>33977518534</v>
      </c>
      <c r="C1483" s="63"/>
      <c r="D1483" s="60"/>
      <c r="E1483" s="9"/>
      <c r="F1483" s="25"/>
      <c r="G1483" s="61"/>
      <c r="H1483" s="9"/>
      <c r="I1483" s="8"/>
      <c r="J1483" s="8"/>
      <c r="K1483" s="8"/>
      <c r="L1483" s="8"/>
      <c r="M1483" s="8"/>
    </row>
    <row r="1484" spans="1:13">
      <c r="A1484" s="62" t="s">
        <v>2178</v>
      </c>
      <c r="B1484" s="58">
        <v>17802538858</v>
      </c>
      <c r="C1484" s="63"/>
      <c r="D1484" s="60"/>
      <c r="E1484" s="9">
        <v>810</v>
      </c>
      <c r="F1484" s="25">
        <v>42915</v>
      </c>
      <c r="G1484" s="61" t="s">
        <v>13</v>
      </c>
      <c r="H1484" s="9"/>
      <c r="I1484" s="8"/>
      <c r="J1484" s="8"/>
      <c r="K1484" s="8"/>
      <c r="L1484" s="9" t="s">
        <v>138</v>
      </c>
      <c r="M1484" s="8"/>
    </row>
    <row r="1485" spans="1:13">
      <c r="A1485" s="62" t="s">
        <v>2179</v>
      </c>
      <c r="B1485" s="58">
        <v>5037830800</v>
      </c>
      <c r="C1485" s="63"/>
      <c r="D1485" s="60"/>
      <c r="E1485" s="9">
        <v>810</v>
      </c>
      <c r="F1485" s="25">
        <v>42915</v>
      </c>
      <c r="G1485" s="61" t="s">
        <v>13</v>
      </c>
      <c r="H1485" s="9"/>
      <c r="I1485" s="8"/>
      <c r="J1485" s="8"/>
      <c r="K1485" s="8"/>
      <c r="L1485" s="9" t="s">
        <v>138</v>
      </c>
      <c r="M1485" s="8"/>
    </row>
    <row r="1486" spans="1:13">
      <c r="A1486" s="13" t="s">
        <v>2180</v>
      </c>
      <c r="B1486" s="58">
        <v>40779583850</v>
      </c>
      <c r="C1486" s="59" t="s">
        <v>2181</v>
      </c>
      <c r="D1486" s="60">
        <v>36411481890</v>
      </c>
      <c r="E1486" s="9">
        <v>1343</v>
      </c>
      <c r="F1486" s="25">
        <v>43004</v>
      </c>
      <c r="G1486" s="61" t="s">
        <v>13</v>
      </c>
      <c r="H1486" s="9"/>
      <c r="I1486" s="8"/>
      <c r="J1486" s="8"/>
      <c r="K1486" s="8"/>
      <c r="L1486" s="8"/>
      <c r="M1486" s="8"/>
    </row>
    <row r="1487" spans="1:13">
      <c r="A1487" s="27" t="s">
        <v>2182</v>
      </c>
      <c r="B1487" s="58"/>
      <c r="C1487" s="27" t="s">
        <v>129</v>
      </c>
      <c r="D1487" s="60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62" t="s">
        <v>2183</v>
      </c>
      <c r="B1488" s="58">
        <v>35486024878</v>
      </c>
      <c r="C1488" s="63"/>
      <c r="D1488" s="60"/>
      <c r="E1488" s="9"/>
      <c r="F1488" s="25"/>
      <c r="G1488" s="61"/>
      <c r="H1488" s="9"/>
      <c r="I1488" s="8"/>
      <c r="J1488" s="8"/>
      <c r="K1488" s="8"/>
      <c r="L1488" s="8"/>
      <c r="M1488" s="8"/>
    </row>
    <row r="1489" spans="1:13">
      <c r="A1489" s="62" t="s">
        <v>2184</v>
      </c>
      <c r="B1489" s="58">
        <v>37900094822</v>
      </c>
      <c r="C1489" s="63"/>
      <c r="D1489" s="60"/>
      <c r="E1489" s="9">
        <v>810</v>
      </c>
      <c r="F1489" s="25">
        <v>42915</v>
      </c>
      <c r="G1489" s="61" t="s">
        <v>13</v>
      </c>
      <c r="H1489" s="9"/>
      <c r="I1489" s="8"/>
      <c r="J1489" s="8"/>
      <c r="K1489" s="8"/>
      <c r="L1489" s="9" t="s">
        <v>138</v>
      </c>
      <c r="M1489" s="8"/>
    </row>
    <row r="1490" spans="1:13">
      <c r="A1490" s="15" t="s">
        <v>2185</v>
      </c>
      <c r="B1490" s="58">
        <v>45854900866</v>
      </c>
      <c r="C1490" s="63" t="s">
        <v>2186</v>
      </c>
      <c r="D1490" s="60">
        <v>23474048813</v>
      </c>
      <c r="E1490" s="9">
        <v>229</v>
      </c>
      <c r="F1490" s="25">
        <v>43151</v>
      </c>
      <c r="G1490" s="61" t="s">
        <v>13</v>
      </c>
      <c r="H1490" s="9"/>
      <c r="I1490" s="8"/>
      <c r="J1490" s="8"/>
      <c r="K1490" s="8"/>
      <c r="L1490" s="9">
        <v>232</v>
      </c>
      <c r="M1490" s="8"/>
    </row>
    <row r="1491" spans="1:13">
      <c r="A1491" s="62" t="s">
        <v>2187</v>
      </c>
      <c r="B1491" s="58">
        <v>40870285858</v>
      </c>
      <c r="C1491" s="63" t="s">
        <v>2188</v>
      </c>
      <c r="D1491" s="60">
        <v>39638342854</v>
      </c>
      <c r="E1491" s="9">
        <v>229</v>
      </c>
      <c r="F1491" s="25">
        <v>43151</v>
      </c>
      <c r="G1491" s="61" t="s">
        <v>28</v>
      </c>
      <c r="H1491" s="9"/>
      <c r="I1491" s="8"/>
      <c r="J1491" s="8"/>
      <c r="K1491" s="8"/>
      <c r="L1491" s="9">
        <v>232</v>
      </c>
      <c r="M1491" s="8"/>
    </row>
    <row r="1492" spans="1:13">
      <c r="A1492" s="63" t="s">
        <v>2189</v>
      </c>
      <c r="B1492" s="58">
        <v>43053164809</v>
      </c>
      <c r="C1492" s="62" t="s">
        <v>2190</v>
      </c>
      <c r="D1492" s="60">
        <v>35649973857</v>
      </c>
      <c r="E1492" s="9">
        <v>292</v>
      </c>
      <c r="F1492" s="25">
        <v>43168</v>
      </c>
      <c r="G1492" s="61" t="s">
        <v>20</v>
      </c>
      <c r="H1492" s="9"/>
      <c r="I1492" s="8"/>
      <c r="J1492" s="8"/>
      <c r="K1492" s="8"/>
      <c r="L1492" s="9">
        <v>318</v>
      </c>
      <c r="M1492" s="8"/>
    </row>
    <row r="1493" spans="1:13">
      <c r="A1493" s="62" t="s">
        <v>2191</v>
      </c>
      <c r="B1493" s="58">
        <v>36082912888</v>
      </c>
      <c r="C1493" s="63"/>
      <c r="D1493" s="60"/>
      <c r="E1493" s="9"/>
      <c r="F1493" s="25"/>
      <c r="G1493" s="61"/>
      <c r="H1493" s="9"/>
      <c r="I1493" s="8"/>
      <c r="J1493" s="8"/>
      <c r="K1493" s="8"/>
      <c r="L1493" s="8"/>
      <c r="M1493" s="8"/>
    </row>
    <row r="1494" spans="1:13">
      <c r="A1494" s="15" t="s">
        <v>2192</v>
      </c>
      <c r="B1494" s="58">
        <v>34727823829</v>
      </c>
      <c r="C1494" s="63" t="s">
        <v>2193</v>
      </c>
      <c r="D1494" s="60">
        <v>33790197807</v>
      </c>
      <c r="E1494" s="9">
        <v>262</v>
      </c>
      <c r="F1494" s="25">
        <v>43160</v>
      </c>
      <c r="G1494" s="61" t="s">
        <v>20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62" t="s">
        <v>2194</v>
      </c>
      <c r="B1495" s="58">
        <v>8034712620</v>
      </c>
      <c r="C1495" s="63"/>
      <c r="D1495" s="60"/>
      <c r="E1495" s="9"/>
      <c r="F1495" s="25"/>
      <c r="G1495" s="61"/>
      <c r="H1495" s="9"/>
      <c r="I1495" s="8"/>
      <c r="J1495" s="8"/>
      <c r="K1495" s="8"/>
      <c r="L1495" s="8"/>
      <c r="M1495" s="8"/>
    </row>
    <row r="1496" spans="1:13">
      <c r="A1496" s="62" t="s">
        <v>2195</v>
      </c>
      <c r="B1496" s="58">
        <v>121667820</v>
      </c>
      <c r="C1496" s="63"/>
      <c r="D1496" s="60"/>
      <c r="E1496" s="9">
        <v>292</v>
      </c>
      <c r="F1496" s="25">
        <v>43168</v>
      </c>
      <c r="G1496" s="9" t="s">
        <v>13</v>
      </c>
      <c r="H1496" s="9"/>
      <c r="I1496" s="8"/>
      <c r="J1496" s="8"/>
      <c r="K1496" s="8"/>
      <c r="L1496" s="9">
        <v>318</v>
      </c>
      <c r="M1496" s="8"/>
    </row>
    <row r="1497" spans="1:13">
      <c r="A1497" s="63" t="s">
        <v>2196</v>
      </c>
      <c r="B1497" s="58">
        <v>35021423860</v>
      </c>
      <c r="C1497" s="63"/>
      <c r="D1497" s="60"/>
      <c r="E1497" s="9"/>
      <c r="F1497" s="25"/>
      <c r="G1497" s="61"/>
      <c r="H1497" s="9"/>
      <c r="I1497" s="8"/>
      <c r="J1497" s="8"/>
      <c r="K1497" s="8"/>
      <c r="L1497" s="8"/>
      <c r="M1497" s="8"/>
    </row>
    <row r="1498" spans="1:13">
      <c r="A1498" s="15" t="s">
        <v>2197</v>
      </c>
      <c r="B1498" s="58">
        <v>22056512858</v>
      </c>
      <c r="C1498" s="63"/>
      <c r="D1498" s="60"/>
      <c r="E1498" s="9">
        <v>85</v>
      </c>
      <c r="F1498" s="25">
        <v>43109</v>
      </c>
      <c r="G1498" s="61" t="s">
        <v>13</v>
      </c>
      <c r="H1498" s="25">
        <v>43151</v>
      </c>
      <c r="I1498" s="8"/>
      <c r="J1498" s="8"/>
      <c r="K1498" s="8"/>
      <c r="L1498" s="8"/>
      <c r="M1498" s="8"/>
    </row>
    <row r="1499" spans="1:13">
      <c r="A1499" s="62" t="s">
        <v>2198</v>
      </c>
      <c r="B1499" s="58">
        <v>13576812830</v>
      </c>
      <c r="C1499" s="63" t="s">
        <v>2199</v>
      </c>
      <c r="D1499" s="60">
        <v>1075554845</v>
      </c>
      <c r="E1499" s="9">
        <v>1489</v>
      </c>
      <c r="F1499" s="25">
        <v>43038</v>
      </c>
      <c r="G1499" s="61" t="s">
        <v>13</v>
      </c>
      <c r="H1499" s="9"/>
      <c r="I1499" s="8"/>
      <c r="J1499" s="8"/>
      <c r="K1499" s="8"/>
      <c r="L1499" s="9" t="s">
        <v>160</v>
      </c>
      <c r="M1499" s="8"/>
    </row>
    <row r="1500" spans="1:13">
      <c r="A1500" s="62" t="s">
        <v>2200</v>
      </c>
      <c r="B1500" s="58">
        <v>10324539827</v>
      </c>
      <c r="C1500" s="63"/>
      <c r="D1500" s="60"/>
      <c r="E1500" s="9"/>
      <c r="F1500" s="25"/>
      <c r="G1500" s="61"/>
      <c r="H1500" s="9"/>
      <c r="I1500" s="8"/>
      <c r="J1500" s="8"/>
      <c r="K1500" s="8"/>
      <c r="L1500" s="8"/>
      <c r="M1500" s="8"/>
    </row>
    <row r="1501" spans="1:13">
      <c r="A1501" s="62" t="s">
        <v>2201</v>
      </c>
      <c r="B1501" s="58">
        <v>10705685896</v>
      </c>
      <c r="C1501" s="63"/>
      <c r="D1501" s="60"/>
      <c r="E1501" s="9"/>
      <c r="F1501" s="25"/>
      <c r="G1501" s="61"/>
      <c r="H1501" s="9"/>
      <c r="I1501" s="8"/>
      <c r="J1501" s="8"/>
      <c r="K1501" s="8"/>
      <c r="L1501" s="8"/>
      <c r="M1501" s="8"/>
    </row>
    <row r="1502" spans="1:13">
      <c r="A1502" s="62" t="s">
        <v>2202</v>
      </c>
      <c r="B1502" s="58">
        <v>37693517898</v>
      </c>
      <c r="C1502" s="63"/>
      <c r="D1502" s="60"/>
      <c r="E1502" s="9">
        <v>810</v>
      </c>
      <c r="F1502" s="25">
        <v>42915</v>
      </c>
      <c r="G1502" s="61" t="s">
        <v>13</v>
      </c>
      <c r="H1502" s="9"/>
      <c r="I1502" s="8"/>
      <c r="J1502" s="8"/>
      <c r="K1502" s="8"/>
      <c r="L1502" s="9" t="s">
        <v>138</v>
      </c>
      <c r="M1502" s="8"/>
    </row>
    <row r="1503" spans="1:13">
      <c r="A1503" s="62" t="s">
        <v>2203</v>
      </c>
      <c r="B1503" s="58">
        <v>42490041800</v>
      </c>
      <c r="C1503" s="62" t="s">
        <v>2204</v>
      </c>
      <c r="D1503" s="60">
        <v>33324957800</v>
      </c>
      <c r="E1503" s="9"/>
      <c r="F1503" s="25"/>
      <c r="G1503" s="61"/>
      <c r="H1503" s="9"/>
      <c r="I1503" s="8"/>
      <c r="J1503" s="8"/>
      <c r="K1503" s="8"/>
      <c r="L1503" s="8"/>
      <c r="M1503" s="8"/>
    </row>
    <row r="1504" spans="1:13">
      <c r="A1504" s="62" t="s">
        <v>2205</v>
      </c>
      <c r="B1504" s="58">
        <v>37150144829</v>
      </c>
      <c r="C1504" s="63" t="s">
        <v>2206</v>
      </c>
      <c r="D1504" s="60">
        <v>33420633866</v>
      </c>
      <c r="E1504" s="9">
        <v>1417</v>
      </c>
      <c r="F1504" s="25">
        <v>43017</v>
      </c>
      <c r="G1504" s="61" t="s">
        <v>28</v>
      </c>
      <c r="H1504" s="9"/>
      <c r="I1504" s="8"/>
      <c r="J1504" s="8"/>
      <c r="K1504" s="8"/>
      <c r="L1504" s="9" t="s">
        <v>253</v>
      </c>
      <c r="M1504" s="8"/>
    </row>
    <row r="1505" spans="1:13">
      <c r="A1505" s="62" t="s">
        <v>2207</v>
      </c>
      <c r="B1505" s="58">
        <v>14336666857</v>
      </c>
      <c r="C1505" s="63"/>
      <c r="D1505" s="60"/>
      <c r="E1505" s="9">
        <v>443</v>
      </c>
      <c r="F1505" s="25">
        <v>43188</v>
      </c>
      <c r="G1505" s="61"/>
      <c r="H1505" s="9"/>
      <c r="I1505" s="8"/>
      <c r="J1505" s="8"/>
      <c r="K1505" s="8"/>
      <c r="L1505" s="8"/>
      <c r="M1505" s="8"/>
    </row>
    <row r="1506" spans="1:13">
      <c r="A1506" s="62" t="s">
        <v>2208</v>
      </c>
      <c r="B1506" s="58">
        <v>95482300544</v>
      </c>
      <c r="C1506" s="63" t="s">
        <v>2209</v>
      </c>
      <c r="D1506" s="60">
        <v>86925130406</v>
      </c>
      <c r="E1506" s="9"/>
      <c r="F1506" s="25"/>
      <c r="G1506" s="61"/>
      <c r="H1506" s="9"/>
      <c r="I1506" s="8"/>
      <c r="J1506" s="8"/>
      <c r="K1506" s="8"/>
      <c r="L1506" s="8"/>
      <c r="M1506" s="8"/>
    </row>
    <row r="1507" spans="1:13">
      <c r="A1507" s="15" t="s">
        <v>2210</v>
      </c>
      <c r="B1507" s="58">
        <v>3915987590</v>
      </c>
      <c r="C1507" s="63" t="s">
        <v>2211</v>
      </c>
      <c r="D1507" s="60">
        <v>1733607501</v>
      </c>
      <c r="E1507" s="9">
        <v>85</v>
      </c>
      <c r="F1507" s="25">
        <v>43109</v>
      </c>
      <c r="G1507" s="61" t="s">
        <v>13</v>
      </c>
      <c r="H1507" s="25">
        <v>43151</v>
      </c>
      <c r="I1507" s="8"/>
      <c r="J1507" s="8"/>
      <c r="K1507" s="8"/>
      <c r="L1507" s="8"/>
      <c r="M1507" s="8"/>
    </row>
    <row r="1508" spans="1:13">
      <c r="A1508" s="62" t="s">
        <v>2212</v>
      </c>
      <c r="B1508" s="58">
        <v>19266092800</v>
      </c>
      <c r="C1508" s="63"/>
      <c r="D1508" s="60"/>
      <c r="E1508" s="9">
        <v>1439</v>
      </c>
      <c r="F1508" s="25">
        <v>43025</v>
      </c>
      <c r="G1508" s="61" t="s">
        <v>13</v>
      </c>
      <c r="H1508" s="9"/>
      <c r="I1508" s="8"/>
      <c r="J1508" s="8"/>
      <c r="K1508" s="8"/>
      <c r="L1508" s="9" t="s">
        <v>502</v>
      </c>
      <c r="M1508" s="8"/>
    </row>
    <row r="1509" spans="1:13">
      <c r="A1509" s="62" t="s">
        <v>2213</v>
      </c>
      <c r="B1509" s="58">
        <v>30489665870</v>
      </c>
      <c r="C1509" s="63"/>
      <c r="D1509" s="60"/>
      <c r="E1509" s="9">
        <v>117</v>
      </c>
      <c r="F1509" s="25">
        <v>43117</v>
      </c>
      <c r="G1509" s="61" t="s">
        <v>13</v>
      </c>
      <c r="H1509" s="9"/>
      <c r="I1509" s="8"/>
      <c r="J1509" s="8"/>
      <c r="K1509" s="8"/>
      <c r="L1509" s="9" t="s">
        <v>170</v>
      </c>
      <c r="M1509" s="8"/>
    </row>
    <row r="1510" spans="1:13">
      <c r="A1510" s="27" t="s">
        <v>2214</v>
      </c>
      <c r="B1510" s="58"/>
      <c r="C1510" s="18" t="s">
        <v>129</v>
      </c>
      <c r="D1510" s="60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72" t="s">
        <v>2215</v>
      </c>
      <c r="B1511" s="71">
        <v>39490354864</v>
      </c>
      <c r="C1511" s="72" t="s">
        <v>2216</v>
      </c>
      <c r="D1511" s="73">
        <v>22686520841</v>
      </c>
      <c r="E1511" s="45">
        <v>423</v>
      </c>
      <c r="F1511" s="46">
        <v>43182</v>
      </c>
      <c r="G1511" s="74"/>
      <c r="H1511" s="45"/>
      <c r="I1511" s="47"/>
      <c r="J1511" s="47"/>
      <c r="K1511" s="47"/>
      <c r="L1511" s="47"/>
      <c r="M1511" s="47"/>
    </row>
    <row r="1512" spans="1:13">
      <c r="A1512" s="62" t="s">
        <v>2217</v>
      </c>
      <c r="B1512" s="58">
        <v>36190827829</v>
      </c>
      <c r="C1512" s="63" t="s">
        <v>2218</v>
      </c>
      <c r="D1512" s="60">
        <v>6501914809</v>
      </c>
      <c r="E1512" s="9">
        <v>1489</v>
      </c>
      <c r="F1512" s="25">
        <v>43038</v>
      </c>
      <c r="G1512" s="61" t="s">
        <v>13</v>
      </c>
      <c r="H1512" s="9"/>
      <c r="I1512" s="8"/>
      <c r="J1512" s="8"/>
      <c r="K1512" s="8"/>
      <c r="L1512" s="9" t="s">
        <v>160</v>
      </c>
      <c r="M1512" s="8"/>
    </row>
    <row r="1513" spans="1:13">
      <c r="A1513" s="62" t="s">
        <v>2219</v>
      </c>
      <c r="B1513" s="58">
        <v>41044253894</v>
      </c>
      <c r="C1513" s="63"/>
      <c r="D1513" s="60"/>
      <c r="E1513" s="9">
        <v>292</v>
      </c>
      <c r="F1513" s="25">
        <v>43168</v>
      </c>
      <c r="G1513" s="61" t="s">
        <v>13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2220</v>
      </c>
      <c r="B1514" s="58">
        <v>37978221890</v>
      </c>
      <c r="C1514" s="15" t="s">
        <v>2221</v>
      </c>
      <c r="D1514" s="60">
        <v>31525485830</v>
      </c>
      <c r="E1514" s="9"/>
      <c r="F1514" s="25"/>
      <c r="G1514" s="61"/>
      <c r="H1514" s="9"/>
      <c r="I1514" s="8"/>
      <c r="J1514" s="8"/>
      <c r="K1514" s="8"/>
      <c r="L1514" s="8"/>
      <c r="M1514" s="8"/>
    </row>
    <row r="1515" spans="1:13">
      <c r="A1515" s="62" t="s">
        <v>2222</v>
      </c>
      <c r="B1515" s="58">
        <v>41352323885</v>
      </c>
      <c r="C1515" s="68"/>
      <c r="D1515" s="60"/>
      <c r="E1515" s="9">
        <v>563</v>
      </c>
      <c r="F1515" s="25">
        <v>43217</v>
      </c>
      <c r="G1515" s="61"/>
      <c r="H1515" s="9"/>
      <c r="I1515" s="8"/>
      <c r="J1515" s="8"/>
      <c r="K1515" s="8"/>
      <c r="L1515" s="9" t="s">
        <v>299</v>
      </c>
      <c r="M1515" s="8"/>
    </row>
    <row r="1516" spans="1:13">
      <c r="A1516" s="62" t="s">
        <v>2223</v>
      </c>
      <c r="B1516" s="58">
        <v>23341671854</v>
      </c>
      <c r="C1516" s="63" t="s">
        <v>2224</v>
      </c>
      <c r="D1516" s="60">
        <v>34413431820</v>
      </c>
      <c r="E1516" s="9">
        <v>810</v>
      </c>
      <c r="F1516" s="25">
        <v>42915</v>
      </c>
      <c r="G1516" s="74" t="s">
        <v>13</v>
      </c>
      <c r="H1516" s="9"/>
      <c r="I1516" s="8"/>
      <c r="J1516" s="8"/>
      <c r="K1516" s="8"/>
      <c r="L1516" s="9" t="s">
        <v>138</v>
      </c>
      <c r="M1516" s="8"/>
    </row>
    <row r="1517" spans="1:13">
      <c r="A1517" s="62" t="s">
        <v>2225</v>
      </c>
      <c r="B1517" s="58">
        <v>35934079816</v>
      </c>
      <c r="C1517" s="63" t="s">
        <v>2226</v>
      </c>
      <c r="D1517" s="60">
        <v>2511538512</v>
      </c>
      <c r="E1517" s="9">
        <v>262</v>
      </c>
      <c r="F1517" s="25">
        <v>43160</v>
      </c>
      <c r="G1517" s="61" t="s">
        <v>13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62" t="s">
        <v>2227</v>
      </c>
      <c r="B1518" s="58">
        <v>38500063874</v>
      </c>
      <c r="C1518" s="63"/>
      <c r="D1518" s="60"/>
      <c r="E1518" s="9">
        <v>117</v>
      </c>
      <c r="F1518" s="25">
        <v>43117</v>
      </c>
      <c r="G1518" s="61" t="s">
        <v>13</v>
      </c>
      <c r="H1518" s="9"/>
      <c r="I1518" s="8"/>
      <c r="J1518" s="8"/>
      <c r="K1518" s="8"/>
      <c r="L1518" s="9" t="s">
        <v>170</v>
      </c>
      <c r="M1518" s="8"/>
    </row>
    <row r="1519" spans="1:13">
      <c r="A1519" s="62" t="s">
        <v>2228</v>
      </c>
      <c r="B1519" s="58">
        <v>36888640850</v>
      </c>
      <c r="C1519" s="63"/>
      <c r="D1519" s="60"/>
      <c r="E1519" s="9">
        <v>262</v>
      </c>
      <c r="F1519" s="25">
        <v>43160</v>
      </c>
      <c r="G1519" s="61" t="s">
        <v>13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64" t="s">
        <v>2229</v>
      </c>
      <c r="B1520" s="58">
        <v>37395316819</v>
      </c>
      <c r="C1520" s="63" t="s">
        <v>2230</v>
      </c>
      <c r="D1520" s="60">
        <v>33924311846</v>
      </c>
      <c r="E1520" s="9"/>
      <c r="F1520" s="25"/>
      <c r="G1520" s="61"/>
      <c r="H1520" s="9"/>
      <c r="I1520" s="8"/>
      <c r="J1520" s="8"/>
      <c r="K1520" s="8"/>
      <c r="L1520" s="8"/>
      <c r="M1520" s="8"/>
    </row>
    <row r="1521" spans="1:13">
      <c r="A1521" s="72" t="s">
        <v>2231</v>
      </c>
      <c r="B1521" s="71">
        <v>47168651854</v>
      </c>
      <c r="C1521" s="48" t="s">
        <v>2232</v>
      </c>
      <c r="D1521" s="73">
        <v>43506708821</v>
      </c>
      <c r="E1521" s="45">
        <v>292</v>
      </c>
      <c r="F1521" s="46">
        <v>43168</v>
      </c>
      <c r="G1521" s="74"/>
      <c r="H1521" s="45"/>
      <c r="I1521" s="47"/>
      <c r="J1521" s="47"/>
      <c r="K1521" s="47"/>
      <c r="L1521" s="9">
        <v>318</v>
      </c>
      <c r="M1521" s="47"/>
    </row>
    <row r="1522" spans="1:13">
      <c r="A1522" s="62" t="s">
        <v>2233</v>
      </c>
      <c r="B1522" s="58">
        <v>44475449898</v>
      </c>
      <c r="C1522" s="63"/>
      <c r="D1522" s="60"/>
      <c r="E1522" s="9"/>
      <c r="F1522" s="25"/>
      <c r="G1522" s="61"/>
      <c r="H1522" s="9"/>
      <c r="I1522" s="8"/>
      <c r="J1522" s="8"/>
      <c r="K1522" s="8"/>
      <c r="L1522" s="8"/>
      <c r="M1522" s="8"/>
    </row>
    <row r="1523" spans="1:13">
      <c r="A1523" s="62" t="s">
        <v>2234</v>
      </c>
      <c r="B1523" s="58">
        <v>23041828871</v>
      </c>
      <c r="C1523" s="63"/>
      <c r="D1523" s="60"/>
      <c r="E1523" s="9">
        <v>292</v>
      </c>
      <c r="F1523" s="25">
        <v>43168</v>
      </c>
      <c r="G1523" s="61" t="s">
        <v>13</v>
      </c>
      <c r="H1523" s="9"/>
      <c r="I1523" s="8"/>
      <c r="J1523" s="8"/>
      <c r="K1523" s="8"/>
      <c r="L1523" s="9">
        <v>318</v>
      </c>
      <c r="M1523" s="8"/>
    </row>
    <row r="1524" spans="1:13">
      <c r="A1524" s="62" t="s">
        <v>2235</v>
      </c>
      <c r="B1524" s="58">
        <v>5351568470</v>
      </c>
      <c r="C1524" s="63"/>
      <c r="D1524" s="60"/>
      <c r="E1524" s="9">
        <v>1824</v>
      </c>
      <c r="F1524" s="25">
        <v>43091</v>
      </c>
      <c r="G1524" s="61" t="s">
        <v>13</v>
      </c>
      <c r="H1524" s="9"/>
      <c r="I1524" s="8"/>
      <c r="J1524" s="8"/>
      <c r="K1524" s="8"/>
      <c r="L1524" s="9">
        <v>1828</v>
      </c>
      <c r="M1524" s="8"/>
    </row>
    <row r="1525" spans="1:13">
      <c r="A1525" s="62" t="s">
        <v>2236</v>
      </c>
      <c r="B1525" s="58">
        <v>38904061814</v>
      </c>
      <c r="C1525" s="63"/>
      <c r="D1525" s="60"/>
      <c r="E1525" s="9"/>
      <c r="F1525" s="25"/>
      <c r="G1525" s="61"/>
      <c r="H1525" s="9"/>
      <c r="I1525" s="8"/>
      <c r="J1525" s="8"/>
      <c r="K1525" s="8"/>
      <c r="L1525" s="8"/>
      <c r="M1525" s="8"/>
    </row>
    <row r="1526" spans="1:13">
      <c r="A1526" s="64" t="s">
        <v>2237</v>
      </c>
      <c r="B1526" s="58">
        <v>36776791848</v>
      </c>
      <c r="C1526" s="63" t="s">
        <v>2238</v>
      </c>
      <c r="D1526" s="60">
        <v>23340578869</v>
      </c>
      <c r="E1526" s="9">
        <v>608</v>
      </c>
      <c r="F1526" s="25">
        <v>43012</v>
      </c>
      <c r="G1526" s="61" t="s">
        <v>13</v>
      </c>
      <c r="H1526" s="9"/>
      <c r="I1526" s="8"/>
      <c r="J1526" s="8"/>
      <c r="K1526" s="8"/>
      <c r="L1526" s="8"/>
      <c r="M1526" s="8"/>
    </row>
    <row r="1527" spans="1:13">
      <c r="A1527" s="62" t="s">
        <v>2239</v>
      </c>
      <c r="B1527" s="58">
        <v>34897196892</v>
      </c>
      <c r="C1527" s="63"/>
      <c r="D1527" s="60"/>
      <c r="E1527" s="9">
        <v>292</v>
      </c>
      <c r="F1527" s="25">
        <v>43168</v>
      </c>
      <c r="G1527" s="61"/>
      <c r="H1527" s="9"/>
      <c r="I1527" s="8"/>
      <c r="J1527" s="8"/>
      <c r="K1527" s="8"/>
      <c r="L1527" s="9">
        <v>318</v>
      </c>
      <c r="M1527" s="8"/>
    </row>
    <row r="1528" spans="1:13">
      <c r="A1528" s="62" t="s">
        <v>2240</v>
      </c>
      <c r="B1528" s="58">
        <v>32561817830</v>
      </c>
      <c r="C1528" s="63" t="s">
        <v>2241</v>
      </c>
      <c r="D1528" s="60">
        <v>30328335827</v>
      </c>
      <c r="E1528" s="9">
        <v>1824</v>
      </c>
      <c r="F1528" s="25">
        <v>43091</v>
      </c>
      <c r="G1528" s="61" t="s">
        <v>20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2242</v>
      </c>
      <c r="B1529" s="58">
        <v>32443660826</v>
      </c>
      <c r="C1529" s="59"/>
      <c r="D1529" s="60"/>
      <c r="E1529" s="9">
        <v>1752</v>
      </c>
      <c r="F1529" s="25">
        <v>43051</v>
      </c>
      <c r="G1529" s="61" t="s">
        <v>13</v>
      </c>
      <c r="H1529" s="9"/>
      <c r="I1529" s="8"/>
      <c r="J1529" s="8"/>
      <c r="K1529" s="8"/>
      <c r="L1529" s="9">
        <v>1759</v>
      </c>
      <c r="M1529" s="8"/>
    </row>
    <row r="1530" spans="1:13">
      <c r="A1530" s="62" t="s">
        <v>2243</v>
      </c>
      <c r="B1530" s="58">
        <v>36044847829</v>
      </c>
      <c r="C1530" s="63" t="s">
        <v>2244</v>
      </c>
      <c r="D1530" s="60">
        <v>38308190804</v>
      </c>
      <c r="E1530" s="9">
        <v>443</v>
      </c>
      <c r="F1530" s="25">
        <v>43188</v>
      </c>
      <c r="G1530" s="61"/>
      <c r="H1530" s="9"/>
      <c r="I1530" s="8"/>
      <c r="J1530" s="8"/>
      <c r="K1530" s="8"/>
      <c r="L1530" s="8"/>
      <c r="M1530" s="8"/>
    </row>
    <row r="1531" spans="1:13">
      <c r="A1531" s="62" t="s">
        <v>2245</v>
      </c>
      <c r="B1531" s="58">
        <v>31679812882</v>
      </c>
      <c r="C1531" s="63"/>
      <c r="D1531" s="60"/>
      <c r="E1531" s="9"/>
      <c r="F1531" s="25"/>
      <c r="G1531" s="61"/>
      <c r="H1531" s="9"/>
      <c r="I1531" s="8"/>
      <c r="J1531" s="8"/>
      <c r="K1531" s="8"/>
      <c r="L1531" s="8"/>
      <c r="M1531" s="8"/>
    </row>
    <row r="1532" spans="1:13">
      <c r="A1532" s="62" t="s">
        <v>2246</v>
      </c>
      <c r="B1532" s="58">
        <v>35070422820</v>
      </c>
      <c r="C1532" s="63" t="s">
        <v>2247</v>
      </c>
      <c r="D1532" s="60">
        <v>24871235831</v>
      </c>
      <c r="E1532" s="9">
        <v>292</v>
      </c>
      <c r="F1532" s="25">
        <v>43168</v>
      </c>
      <c r="G1532" s="61" t="s">
        <v>13</v>
      </c>
      <c r="H1532" s="9"/>
      <c r="I1532" s="8"/>
      <c r="J1532" s="8"/>
      <c r="K1532" s="8"/>
      <c r="L1532" s="9">
        <v>318</v>
      </c>
      <c r="M1532" s="8"/>
    </row>
    <row r="1533" spans="1:13">
      <c r="A1533" s="62" t="s">
        <v>2248</v>
      </c>
      <c r="B1533" s="58">
        <v>33973397821</v>
      </c>
      <c r="C1533" s="68"/>
      <c r="D1533" s="60"/>
      <c r="E1533" s="9">
        <v>563</v>
      </c>
      <c r="F1533" s="25">
        <v>43217</v>
      </c>
      <c r="G1533" s="61"/>
      <c r="H1533" s="9"/>
      <c r="I1533" s="8"/>
      <c r="J1533" s="8"/>
      <c r="K1533" s="8"/>
      <c r="L1533" s="9" t="s">
        <v>299</v>
      </c>
      <c r="M1533" s="8"/>
    </row>
    <row r="1534" spans="1:13">
      <c r="A1534" s="15" t="s">
        <v>2249</v>
      </c>
      <c r="B1534" s="58">
        <v>34649795800</v>
      </c>
      <c r="C1534" s="63"/>
      <c r="D1534" s="60"/>
      <c r="E1534" s="9">
        <v>509</v>
      </c>
      <c r="F1534" s="25">
        <v>43203</v>
      </c>
      <c r="G1534" s="67"/>
      <c r="H1534" s="67">
        <v>43213</v>
      </c>
      <c r="I1534" s="8"/>
      <c r="J1534" s="8"/>
      <c r="K1534" s="8"/>
      <c r="L1534" s="8"/>
      <c r="M1534" s="8"/>
    </row>
    <row r="1535" spans="1:13">
      <c r="A1535" s="27" t="s">
        <v>2250</v>
      </c>
      <c r="B1535" s="58"/>
      <c r="C1535" s="27" t="s">
        <v>2251</v>
      </c>
      <c r="D1535" s="60"/>
      <c r="E1535" s="9"/>
      <c r="F1535" s="25"/>
      <c r="G1535" s="61"/>
      <c r="H1535" s="67">
        <v>43213</v>
      </c>
      <c r="I1535" s="8"/>
      <c r="J1535" s="8"/>
      <c r="K1535" s="8"/>
      <c r="L1535" s="8"/>
      <c r="M1535" s="8"/>
    </row>
    <row r="1536" spans="1:13">
      <c r="A1536" s="13" t="s">
        <v>2252</v>
      </c>
      <c r="B1536" s="58">
        <v>47240915840</v>
      </c>
      <c r="C1536" s="63"/>
      <c r="D1536" s="60"/>
      <c r="E1536" s="9"/>
      <c r="F1536" s="25"/>
      <c r="G1536" s="61" t="s">
        <v>13</v>
      </c>
      <c r="H1536" s="67">
        <v>43213</v>
      </c>
      <c r="I1536" s="8"/>
      <c r="J1536" s="8"/>
      <c r="K1536" s="8"/>
      <c r="L1536" s="8"/>
      <c r="M1536" s="8"/>
    </row>
    <row r="1537" spans="1:13">
      <c r="A1537" s="27" t="s">
        <v>2253</v>
      </c>
      <c r="B1537" s="58"/>
      <c r="C1537" s="18" t="s">
        <v>129</v>
      </c>
      <c r="D1537" s="60"/>
      <c r="E1537" s="9"/>
      <c r="F1537" s="25"/>
      <c r="G1537" s="61"/>
      <c r="H1537" s="67">
        <v>43213</v>
      </c>
      <c r="I1537" s="8"/>
      <c r="J1537" s="8"/>
      <c r="K1537" s="8"/>
      <c r="L1537" s="8"/>
      <c r="M1537" s="8"/>
    </row>
    <row r="1538" spans="1:13">
      <c r="A1538" s="64" t="s">
        <v>2254</v>
      </c>
      <c r="B1538" s="58">
        <v>42424051895</v>
      </c>
      <c r="C1538" s="63" t="s">
        <v>2255</v>
      </c>
      <c r="D1538" s="60">
        <v>34920392869</v>
      </c>
      <c r="E1538" s="9">
        <v>1214</v>
      </c>
      <c r="F1538" s="25">
        <v>42989</v>
      </c>
      <c r="G1538" s="61" t="s">
        <v>13</v>
      </c>
      <c r="H1538" s="67">
        <v>43213</v>
      </c>
      <c r="I1538" s="8"/>
      <c r="J1538" s="8"/>
      <c r="K1538" s="8"/>
      <c r="L1538" s="8"/>
      <c r="M1538" s="8"/>
    </row>
    <row r="1539" spans="1:13">
      <c r="A1539" s="27" t="s">
        <v>2256</v>
      </c>
      <c r="B1539" s="58">
        <v>45298965873</v>
      </c>
      <c r="C1539" s="18" t="s">
        <v>129</v>
      </c>
      <c r="D1539" s="60"/>
      <c r="E1539" s="9"/>
      <c r="F1539" s="25"/>
      <c r="G1539" s="61"/>
      <c r="H1539" s="67">
        <v>43213</v>
      </c>
      <c r="I1539" s="8"/>
      <c r="J1539" s="8"/>
      <c r="K1539" s="8"/>
      <c r="L1539" s="8"/>
      <c r="M1539" s="8"/>
    </row>
    <row r="1540" spans="1:13">
      <c r="A1540" s="27" t="s">
        <v>2257</v>
      </c>
      <c r="B1540" s="58">
        <v>48176009857</v>
      </c>
      <c r="C1540" s="18" t="s">
        <v>129</v>
      </c>
      <c r="D1540" s="60"/>
      <c r="E1540" s="9"/>
      <c r="F1540" s="25"/>
      <c r="G1540" s="61"/>
      <c r="H1540" s="67">
        <v>43213</v>
      </c>
      <c r="I1540" s="8"/>
      <c r="J1540" s="8"/>
      <c r="K1540" s="8"/>
      <c r="L1540" s="8"/>
      <c r="M1540" s="8"/>
    </row>
    <row r="1541" spans="1:13">
      <c r="A1541" s="62" t="s">
        <v>2258</v>
      </c>
      <c r="B1541" s="58">
        <v>32645353860</v>
      </c>
      <c r="C1541" s="62" t="s">
        <v>2259</v>
      </c>
      <c r="D1541" s="60">
        <v>23432184808</v>
      </c>
      <c r="E1541" s="9"/>
      <c r="F1541" s="25"/>
      <c r="G1541" s="61"/>
      <c r="H1541" s="67">
        <v>43213</v>
      </c>
      <c r="I1541" s="8"/>
      <c r="J1541" s="8"/>
      <c r="K1541" s="8"/>
      <c r="L1541" s="8"/>
      <c r="M1541" s="8"/>
    </row>
    <row r="1542" spans="1:13">
      <c r="A1542" s="62" t="s">
        <v>2260</v>
      </c>
      <c r="B1542" s="58">
        <v>35663923837</v>
      </c>
      <c r="C1542" s="63"/>
      <c r="D1542" s="60"/>
      <c r="E1542" s="9">
        <v>262</v>
      </c>
      <c r="F1542" s="25">
        <v>43160</v>
      </c>
      <c r="G1542" s="61" t="s">
        <v>13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62" t="s">
        <v>2261</v>
      </c>
      <c r="B1543" s="58">
        <v>34899686897</v>
      </c>
      <c r="C1543" s="63" t="s">
        <v>2262</v>
      </c>
      <c r="D1543" s="60">
        <v>34782852835</v>
      </c>
      <c r="E1543" s="9">
        <v>810</v>
      </c>
      <c r="F1543" s="25">
        <v>42915</v>
      </c>
      <c r="G1543" s="61" t="s">
        <v>13</v>
      </c>
      <c r="H1543" s="67">
        <v>43213</v>
      </c>
      <c r="I1543" s="8"/>
      <c r="J1543" s="8"/>
      <c r="K1543" s="8"/>
      <c r="L1543" s="9" t="s">
        <v>138</v>
      </c>
      <c r="M1543" s="8"/>
    </row>
    <row r="1544" spans="1:13">
      <c r="A1544" s="62" t="s">
        <v>2263</v>
      </c>
      <c r="B1544" s="58">
        <v>39778910812</v>
      </c>
      <c r="C1544" s="59" t="s">
        <v>2264</v>
      </c>
      <c r="D1544" s="60">
        <v>34703237806</v>
      </c>
      <c r="E1544" s="9">
        <v>1128</v>
      </c>
      <c r="F1544" s="25">
        <v>42972</v>
      </c>
      <c r="G1544" s="61" t="s">
        <v>13</v>
      </c>
      <c r="H1544" s="9"/>
      <c r="I1544" s="8"/>
      <c r="J1544" s="8"/>
      <c r="K1544" s="8"/>
      <c r="L1544" s="8"/>
      <c r="M1544" s="8"/>
    </row>
    <row r="1545" spans="1:13">
      <c r="A1545" s="62" t="s">
        <v>2265</v>
      </c>
      <c r="B1545" s="58">
        <v>21646087801</v>
      </c>
      <c r="C1545" s="68"/>
      <c r="D1545" s="60"/>
      <c r="E1545" s="9">
        <v>563</v>
      </c>
      <c r="F1545" s="25">
        <v>43217</v>
      </c>
      <c r="G1545" s="61"/>
      <c r="H1545" s="9"/>
      <c r="I1545" s="8"/>
      <c r="J1545" s="8"/>
      <c r="K1545" s="8"/>
      <c r="L1545" s="9" t="s">
        <v>299</v>
      </c>
      <c r="M1545" s="8"/>
    </row>
    <row r="1546" spans="1:13">
      <c r="A1546" s="63" t="s">
        <v>2266</v>
      </c>
      <c r="B1546" s="58">
        <v>22429349884</v>
      </c>
      <c r="C1546" s="63" t="s">
        <v>2267</v>
      </c>
      <c r="D1546" s="60">
        <v>32307277897</v>
      </c>
      <c r="E1546" s="9">
        <v>1417</v>
      </c>
      <c r="F1546" s="25">
        <v>43017</v>
      </c>
      <c r="G1546" s="61" t="s">
        <v>13</v>
      </c>
      <c r="H1546" s="9"/>
      <c r="I1546" s="8"/>
      <c r="J1546" s="8"/>
      <c r="K1546" s="8"/>
      <c r="L1546" s="9" t="s">
        <v>253</v>
      </c>
      <c r="M1546" s="8"/>
    </row>
    <row r="1547" spans="1:13">
      <c r="A1547" s="13" t="s">
        <v>2268</v>
      </c>
      <c r="B1547" s="58">
        <v>23131226897</v>
      </c>
      <c r="C1547" s="63"/>
      <c r="D1547" s="60"/>
      <c r="E1547" s="9">
        <v>1350</v>
      </c>
      <c r="F1547" s="25">
        <v>43006</v>
      </c>
      <c r="G1547" s="61" t="s">
        <v>13</v>
      </c>
      <c r="H1547" s="9"/>
      <c r="I1547" s="8"/>
      <c r="J1547" s="8"/>
      <c r="K1547" s="8"/>
      <c r="L1547" s="8"/>
      <c r="M1547" s="8"/>
    </row>
    <row r="1548" spans="1:13">
      <c r="A1548" s="62" t="s">
        <v>2269</v>
      </c>
      <c r="B1548" s="58">
        <v>42829835824</v>
      </c>
      <c r="C1548" s="68"/>
      <c r="D1548" s="60"/>
      <c r="E1548" s="9">
        <v>563</v>
      </c>
      <c r="F1548" s="25">
        <v>43217</v>
      </c>
      <c r="G1548" s="61"/>
      <c r="H1548" s="9"/>
      <c r="I1548" s="8"/>
      <c r="J1548" s="8"/>
      <c r="K1548" s="8"/>
      <c r="L1548" s="9" t="s">
        <v>299</v>
      </c>
      <c r="M1548" s="8"/>
    </row>
    <row r="1549" spans="1:13">
      <c r="A1549" s="15" t="s">
        <v>2270</v>
      </c>
      <c r="B1549" s="58">
        <v>6872674474</v>
      </c>
      <c r="C1549" s="63"/>
      <c r="D1549" s="60"/>
      <c r="E1549" s="9">
        <v>117</v>
      </c>
      <c r="F1549" s="25">
        <v>43117</v>
      </c>
      <c r="G1549" s="61" t="s">
        <v>13</v>
      </c>
      <c r="H1549" s="9"/>
      <c r="I1549" s="8"/>
      <c r="J1549" s="8"/>
      <c r="K1549" s="8"/>
      <c r="L1549" s="9" t="s">
        <v>170</v>
      </c>
      <c r="M1549" s="8"/>
    </row>
    <row r="1550" spans="1:13">
      <c r="A1550" s="15" t="s">
        <v>2271</v>
      </c>
      <c r="B1550" s="58">
        <v>7081215432</v>
      </c>
      <c r="C1550" s="15" t="s">
        <v>2272</v>
      </c>
      <c r="D1550" s="60">
        <v>34273628848</v>
      </c>
      <c r="E1550" s="9">
        <v>563</v>
      </c>
      <c r="F1550" s="25">
        <v>43217</v>
      </c>
      <c r="G1550" s="61"/>
      <c r="H1550" s="9"/>
      <c r="I1550" s="8"/>
      <c r="J1550" s="8"/>
      <c r="K1550" s="8"/>
      <c r="L1550" s="9" t="s">
        <v>299</v>
      </c>
      <c r="M1550" s="8"/>
    </row>
    <row r="1551" spans="1:13">
      <c r="A1551" s="62" t="s">
        <v>2273</v>
      </c>
      <c r="B1551" s="58">
        <v>37104895809</v>
      </c>
      <c r="C1551" s="63" t="s">
        <v>2274</v>
      </c>
      <c r="D1551" s="60">
        <v>34256763856</v>
      </c>
      <c r="E1551" s="9">
        <v>1752</v>
      </c>
      <c r="F1551" s="25">
        <v>43051</v>
      </c>
      <c r="G1551" s="61" t="s">
        <v>28</v>
      </c>
      <c r="H1551" s="9"/>
      <c r="I1551" s="8"/>
      <c r="J1551" s="8"/>
      <c r="K1551" s="8"/>
      <c r="L1551" s="9">
        <v>1759</v>
      </c>
      <c r="M1551" s="8"/>
    </row>
    <row r="1552" spans="1:13">
      <c r="A1552" s="27" t="s">
        <v>2275</v>
      </c>
      <c r="B1552" s="58"/>
      <c r="C1552" s="27" t="s">
        <v>129</v>
      </c>
      <c r="D1552" s="60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62" t="s">
        <v>2276</v>
      </c>
      <c r="B1553" s="58">
        <v>4265155529</v>
      </c>
      <c r="C1553" s="63"/>
      <c r="D1553" s="60"/>
      <c r="E1553" s="9">
        <v>563</v>
      </c>
      <c r="F1553" s="25">
        <v>43217</v>
      </c>
      <c r="G1553" s="61"/>
      <c r="H1553" s="9"/>
      <c r="I1553" s="8"/>
      <c r="J1553" s="8"/>
      <c r="K1553" s="8"/>
      <c r="L1553" s="9" t="s">
        <v>299</v>
      </c>
      <c r="M1553" s="8"/>
    </row>
    <row r="1554" spans="1:13">
      <c r="A1554" s="14" t="s">
        <v>2277</v>
      </c>
      <c r="B1554" s="58">
        <v>45529283845</v>
      </c>
      <c r="C1554" s="63"/>
      <c r="D1554" s="60"/>
      <c r="E1554" s="9">
        <v>292</v>
      </c>
      <c r="F1554" s="25">
        <v>43168</v>
      </c>
      <c r="G1554" s="61" t="s">
        <v>13</v>
      </c>
      <c r="H1554" s="9"/>
      <c r="I1554" s="8"/>
      <c r="J1554" s="8"/>
      <c r="K1554" s="8"/>
      <c r="L1554" s="9">
        <v>318</v>
      </c>
      <c r="M1554" s="8"/>
    </row>
    <row r="1555" spans="1:13">
      <c r="A1555" s="62" t="s">
        <v>2278</v>
      </c>
      <c r="B1555" s="58">
        <v>45862437835</v>
      </c>
      <c r="C1555" s="63" t="s">
        <v>2279</v>
      </c>
      <c r="D1555" s="60">
        <v>2301226280</v>
      </c>
      <c r="E1555" s="9">
        <v>1752</v>
      </c>
      <c r="F1555" s="25">
        <v>43051</v>
      </c>
      <c r="G1555" s="61" t="s">
        <v>13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2280</v>
      </c>
      <c r="B1556" s="58">
        <v>41957089822</v>
      </c>
      <c r="C1556" s="63"/>
      <c r="D1556" s="60"/>
      <c r="E1556" s="9">
        <v>1350</v>
      </c>
      <c r="F1556" s="25">
        <v>43006</v>
      </c>
      <c r="G1556" s="61" t="s">
        <v>13</v>
      </c>
      <c r="H1556" s="9"/>
      <c r="I1556" s="8"/>
      <c r="J1556" s="8"/>
      <c r="K1556" s="8"/>
      <c r="L1556" s="8"/>
      <c r="M1556" s="8"/>
    </row>
    <row r="1557" spans="1:13">
      <c r="A1557" s="27" t="s">
        <v>2281</v>
      </c>
      <c r="B1557" s="58"/>
      <c r="C1557" s="27" t="s">
        <v>2282</v>
      </c>
      <c r="D1557" s="60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63" t="s">
        <v>2283</v>
      </c>
      <c r="B1558" s="58">
        <v>48245426857</v>
      </c>
      <c r="C1558" s="63"/>
      <c r="D1558" s="60"/>
      <c r="E1558" s="9"/>
      <c r="F1558" s="25"/>
      <c r="G1558" s="61"/>
      <c r="H1558" s="9"/>
      <c r="I1558" s="8"/>
      <c r="J1558" s="8"/>
      <c r="K1558" s="8"/>
      <c r="L1558" s="8"/>
      <c r="M1558" s="8"/>
    </row>
    <row r="1559" spans="1:13">
      <c r="A1559" s="62" t="s">
        <v>2284</v>
      </c>
      <c r="B1559" s="58">
        <v>94914680815</v>
      </c>
      <c r="C1559" s="68"/>
      <c r="D1559" s="60"/>
      <c r="E1559" s="9">
        <v>563</v>
      </c>
      <c r="F1559" s="25">
        <v>43217</v>
      </c>
      <c r="G1559" s="61"/>
      <c r="H1559" s="9"/>
      <c r="I1559" s="8"/>
      <c r="J1559" s="8"/>
      <c r="K1559" s="8"/>
      <c r="L1559" s="9" t="s">
        <v>299</v>
      </c>
      <c r="M1559" s="8"/>
    </row>
    <row r="1560" spans="1:13">
      <c r="A1560" s="62" t="s">
        <v>2285</v>
      </c>
      <c r="B1560" s="58">
        <v>38488019572</v>
      </c>
      <c r="C1560" s="63"/>
      <c r="D1560" s="60"/>
      <c r="E1560" s="9">
        <v>262</v>
      </c>
      <c r="F1560" s="25">
        <v>43160</v>
      </c>
      <c r="G1560" s="61" t="s">
        <v>13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62" t="s">
        <v>2286</v>
      </c>
      <c r="B1561" s="58">
        <v>14041229820</v>
      </c>
      <c r="C1561" s="59"/>
      <c r="D1561" s="60"/>
      <c r="E1561" s="9">
        <v>1128</v>
      </c>
      <c r="F1561" s="25">
        <v>42972</v>
      </c>
      <c r="G1561" s="61" t="s">
        <v>13</v>
      </c>
      <c r="H1561" s="9"/>
      <c r="I1561" s="8"/>
      <c r="J1561" s="8"/>
      <c r="K1561" s="8"/>
      <c r="L1561" s="8"/>
      <c r="M1561" s="8"/>
    </row>
    <row r="1562" spans="1:13">
      <c r="A1562" s="62" t="s">
        <v>2287</v>
      </c>
      <c r="B1562" s="58">
        <v>18360292841</v>
      </c>
      <c r="C1562" s="63"/>
      <c r="D1562" s="60"/>
      <c r="E1562" s="9">
        <v>810</v>
      </c>
      <c r="F1562" s="25">
        <v>42915</v>
      </c>
      <c r="G1562" s="61" t="s">
        <v>13</v>
      </c>
      <c r="H1562" s="9"/>
      <c r="I1562" s="8"/>
      <c r="J1562" s="8"/>
      <c r="K1562" s="8"/>
      <c r="L1562" s="9" t="s">
        <v>138</v>
      </c>
      <c r="M1562" s="8"/>
    </row>
    <row r="1563" spans="1:13">
      <c r="A1563" s="15" t="s">
        <v>2288</v>
      </c>
      <c r="B1563" s="58">
        <v>86071015529</v>
      </c>
      <c r="C1563" s="63"/>
      <c r="D1563" s="60"/>
      <c r="E1563" s="9">
        <v>262</v>
      </c>
      <c r="F1563" s="25">
        <v>43160</v>
      </c>
      <c r="G1563" s="61" t="s">
        <v>13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62" t="s">
        <v>2289</v>
      </c>
      <c r="B1564" s="58">
        <v>37077237800</v>
      </c>
      <c r="C1564" s="63"/>
      <c r="D1564" s="60"/>
      <c r="E1564" s="9">
        <v>292</v>
      </c>
      <c r="F1564" s="25">
        <v>43168</v>
      </c>
      <c r="G1564" s="9" t="s">
        <v>13</v>
      </c>
      <c r="H1564" s="9"/>
      <c r="I1564" s="8"/>
      <c r="J1564" s="8"/>
      <c r="K1564" s="8"/>
      <c r="L1564" s="9">
        <v>318</v>
      </c>
      <c r="M1564" s="8"/>
    </row>
    <row r="1565" spans="1:13">
      <c r="A1565" s="62" t="s">
        <v>2290</v>
      </c>
      <c r="B1565" s="58">
        <v>33390811826</v>
      </c>
      <c r="C1565" s="63" t="s">
        <v>2291</v>
      </c>
      <c r="D1565" s="60">
        <v>39478349856</v>
      </c>
      <c r="E1565" s="9"/>
      <c r="F1565" s="25"/>
      <c r="G1565" s="61"/>
      <c r="H1565" s="9"/>
      <c r="I1565" s="8"/>
      <c r="J1565" s="8"/>
      <c r="K1565" s="8"/>
      <c r="L1565" s="8"/>
      <c r="M1565" s="8"/>
    </row>
    <row r="1566" spans="1:13">
      <c r="A1566" s="13" t="s">
        <v>2292</v>
      </c>
      <c r="B1566" s="58">
        <v>27696865854</v>
      </c>
      <c r="C1566" s="63"/>
      <c r="D1566" s="60"/>
      <c r="E1566" s="9">
        <v>1417</v>
      </c>
      <c r="F1566" s="25">
        <v>43017</v>
      </c>
      <c r="G1566" s="61" t="s">
        <v>13</v>
      </c>
      <c r="H1566" s="9"/>
      <c r="I1566" s="8"/>
      <c r="J1566" s="8"/>
      <c r="K1566" s="8"/>
      <c r="L1566" s="9" t="s">
        <v>253</v>
      </c>
      <c r="M1566" s="8"/>
    </row>
    <row r="1567" spans="1:13">
      <c r="A1567" s="27" t="s">
        <v>2293</v>
      </c>
      <c r="B1567" s="58">
        <v>22173656813</v>
      </c>
      <c r="C1567" s="18" t="s">
        <v>129</v>
      </c>
      <c r="D1567" s="60"/>
      <c r="E1567" s="9"/>
      <c r="F1567" s="25"/>
      <c r="G1567" s="61"/>
      <c r="H1567" s="9"/>
      <c r="I1567" s="8"/>
      <c r="J1567" s="8"/>
      <c r="K1567" s="8"/>
      <c r="L1567" s="8"/>
      <c r="M1567" s="8"/>
    </row>
    <row r="1568" spans="1:13">
      <c r="A1568" s="63" t="s">
        <v>2294</v>
      </c>
      <c r="B1568" s="58">
        <v>30690514808</v>
      </c>
      <c r="C1568" s="63" t="s">
        <v>2295</v>
      </c>
      <c r="D1568" s="60">
        <v>22622085818</v>
      </c>
      <c r="E1568" s="9">
        <v>423</v>
      </c>
      <c r="F1568" s="25">
        <v>43182</v>
      </c>
      <c r="G1568" s="9" t="s">
        <v>13</v>
      </c>
      <c r="H1568" s="9"/>
      <c r="I1568" s="8"/>
      <c r="J1568" s="8"/>
      <c r="K1568" s="8"/>
      <c r="L1568" s="8"/>
      <c r="M1568" s="8"/>
    </row>
    <row r="1569" spans="1:13">
      <c r="A1569" s="62" t="s">
        <v>2296</v>
      </c>
      <c r="B1569" s="58">
        <v>43901748865</v>
      </c>
      <c r="C1569" s="63" t="s">
        <v>2297</v>
      </c>
      <c r="D1569" s="60">
        <v>34818027812</v>
      </c>
      <c r="E1569" s="9">
        <v>1824</v>
      </c>
      <c r="F1569" s="25">
        <v>43091</v>
      </c>
      <c r="G1569" s="61" t="s">
        <v>13</v>
      </c>
      <c r="H1569" s="9"/>
      <c r="I1569" s="8"/>
      <c r="J1569" s="8"/>
      <c r="K1569" s="8"/>
      <c r="L1569" s="9">
        <v>1828</v>
      </c>
      <c r="M1569" s="8"/>
    </row>
    <row r="1570" spans="1:13">
      <c r="A1570" s="27" t="s">
        <v>2298</v>
      </c>
      <c r="B1570" s="58"/>
      <c r="C1570" s="18" t="s">
        <v>129</v>
      </c>
      <c r="D1570" s="60"/>
      <c r="E1570" s="9"/>
      <c r="F1570" s="25"/>
      <c r="G1570" s="61"/>
      <c r="H1570" s="9"/>
      <c r="I1570" s="8"/>
      <c r="J1570" s="8"/>
      <c r="K1570" s="8"/>
      <c r="L1570" s="8"/>
      <c r="M1570" s="8"/>
    </row>
    <row r="1571" spans="1:13">
      <c r="A1571" s="63" t="s">
        <v>2299</v>
      </c>
      <c r="B1571" s="58">
        <v>5212444390</v>
      </c>
      <c r="C1571" s="15" t="s">
        <v>2300</v>
      </c>
      <c r="D1571" s="60">
        <v>2231738350</v>
      </c>
      <c r="E1571" s="9">
        <v>292</v>
      </c>
      <c r="F1571" s="25">
        <v>43168</v>
      </c>
      <c r="G1571" s="61" t="s">
        <v>13</v>
      </c>
      <c r="H1571" s="9"/>
      <c r="I1571" s="8"/>
      <c r="J1571" s="8"/>
      <c r="K1571" s="8"/>
      <c r="L1571" s="9">
        <v>318</v>
      </c>
      <c r="M1571" s="8"/>
    </row>
    <row r="1572" spans="1:13">
      <c r="A1572" s="62" t="s">
        <v>2301</v>
      </c>
      <c r="B1572" s="58">
        <v>33113101875</v>
      </c>
      <c r="C1572" s="68"/>
      <c r="D1572" s="60"/>
      <c r="E1572" s="9"/>
      <c r="F1572" s="25"/>
      <c r="G1572" s="61"/>
      <c r="H1572" s="9"/>
      <c r="I1572" s="8"/>
      <c r="J1572" s="8"/>
      <c r="K1572" s="8"/>
      <c r="L1572" s="8"/>
      <c r="M1572" s="8"/>
    </row>
    <row r="1573" spans="1:13">
      <c r="A1573" s="62" t="s">
        <v>2302</v>
      </c>
      <c r="B1573" s="58">
        <v>15750840824</v>
      </c>
      <c r="C1573" s="63"/>
      <c r="D1573" s="60"/>
      <c r="E1573" s="9">
        <v>262</v>
      </c>
      <c r="F1573" s="25">
        <v>43160</v>
      </c>
      <c r="G1573" s="9" t="s">
        <v>13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2303</v>
      </c>
      <c r="B1574" s="58">
        <v>40681630817</v>
      </c>
      <c r="C1574" s="63"/>
      <c r="D1574" s="60"/>
      <c r="E1574" s="9"/>
      <c r="F1574" s="25"/>
      <c r="G1574" s="61"/>
      <c r="H1574" s="9"/>
      <c r="I1574" s="8"/>
      <c r="J1574" s="8"/>
      <c r="K1574" s="8"/>
      <c r="L1574" s="8"/>
      <c r="M1574" s="8"/>
    </row>
    <row r="1575" spans="1:13">
      <c r="A1575" s="62" t="s">
        <v>2304</v>
      </c>
      <c r="B1575" s="58">
        <v>38665460845</v>
      </c>
      <c r="C1575" s="63"/>
      <c r="D1575" s="60"/>
      <c r="E1575" s="9">
        <v>810</v>
      </c>
      <c r="F1575" s="25">
        <v>42915</v>
      </c>
      <c r="G1575" s="61" t="s">
        <v>13</v>
      </c>
      <c r="H1575" s="9"/>
      <c r="I1575" s="8"/>
      <c r="J1575" s="8"/>
      <c r="K1575" s="8"/>
      <c r="L1575" s="9" t="s">
        <v>138</v>
      </c>
      <c r="M1575" s="8"/>
    </row>
    <row r="1576" spans="1:13">
      <c r="A1576" s="62" t="s">
        <v>2305</v>
      </c>
      <c r="B1576" s="58">
        <v>8612530601</v>
      </c>
      <c r="C1576" s="63"/>
      <c r="D1576" s="60"/>
      <c r="E1576" s="9">
        <v>1214</v>
      </c>
      <c r="F1576" s="25">
        <v>42989</v>
      </c>
      <c r="G1576" s="61" t="s">
        <v>13</v>
      </c>
      <c r="H1576" s="9"/>
      <c r="I1576" s="8"/>
      <c r="J1576" s="8"/>
      <c r="K1576" s="8"/>
      <c r="L1576" s="8"/>
      <c r="M1576" s="8"/>
    </row>
    <row r="1577" spans="1:13">
      <c r="A1577" s="62" t="s">
        <v>2306</v>
      </c>
      <c r="B1577" s="58">
        <v>80643582487</v>
      </c>
      <c r="C1577" s="63"/>
      <c r="D1577" s="60"/>
      <c r="E1577" s="9"/>
      <c r="F1577" s="25"/>
      <c r="G1577" s="61"/>
      <c r="H1577" s="9"/>
      <c r="I1577" s="8"/>
      <c r="J1577" s="8"/>
      <c r="K1577" s="8"/>
      <c r="L1577" s="8"/>
      <c r="M1577" s="8"/>
    </row>
    <row r="1578" spans="1:13">
      <c r="A1578" s="62" t="s">
        <v>2307</v>
      </c>
      <c r="B1578" s="58">
        <v>29749309804</v>
      </c>
      <c r="C1578" s="63"/>
      <c r="D1578" s="60"/>
      <c r="E1578" s="9"/>
      <c r="F1578" s="25"/>
      <c r="G1578" s="61"/>
      <c r="H1578" s="9"/>
      <c r="I1578" s="8"/>
      <c r="J1578" s="8"/>
      <c r="K1578" s="8"/>
      <c r="L1578" s="8"/>
      <c r="M1578" s="8"/>
    </row>
    <row r="1579" spans="1:13">
      <c r="A1579" s="62" t="s">
        <v>2308</v>
      </c>
      <c r="B1579" s="58">
        <v>36196624873</v>
      </c>
      <c r="C1579" s="68"/>
      <c r="D1579" s="60"/>
      <c r="E1579" s="9"/>
      <c r="F1579" s="25"/>
      <c r="G1579" s="61"/>
      <c r="H1579" s="9"/>
      <c r="I1579" s="8"/>
      <c r="J1579" s="8"/>
      <c r="K1579" s="8"/>
      <c r="L1579" s="8"/>
      <c r="M1579" s="8"/>
    </row>
    <row r="1580" spans="1:13">
      <c r="A1580" s="27" t="s">
        <v>2309</v>
      </c>
      <c r="B1580" s="58">
        <v>88436144520</v>
      </c>
      <c r="C1580" s="27" t="s">
        <v>129</v>
      </c>
      <c r="D1580" s="60"/>
      <c r="E1580" s="9"/>
      <c r="F1580" s="25"/>
      <c r="G1580" s="61"/>
      <c r="H1580" s="9"/>
      <c r="I1580" s="8"/>
      <c r="J1580" s="8"/>
      <c r="K1580" s="8"/>
      <c r="L1580" s="8"/>
      <c r="M1580" s="8"/>
    </row>
    <row r="1581" spans="1:13">
      <c r="A1581" s="63" t="s">
        <v>2310</v>
      </c>
      <c r="B1581" s="58">
        <v>40099259818</v>
      </c>
      <c r="C1581" s="63"/>
      <c r="D1581" s="60"/>
      <c r="E1581" s="9"/>
      <c r="F1581" s="25"/>
      <c r="G1581" s="61"/>
      <c r="H1581" s="9"/>
      <c r="I1581" s="8"/>
      <c r="J1581" s="8"/>
      <c r="K1581" s="8"/>
      <c r="L1581" s="8"/>
      <c r="M1581" s="8"/>
    </row>
    <row r="1582" spans="1:13">
      <c r="A1582" s="62" t="s">
        <v>2311</v>
      </c>
      <c r="B1582" s="58">
        <v>61154911500</v>
      </c>
      <c r="C1582" s="59"/>
      <c r="D1582" s="60"/>
      <c r="E1582" s="9">
        <v>1214</v>
      </c>
      <c r="F1582" s="25">
        <v>42989</v>
      </c>
      <c r="G1582" s="61" t="s">
        <v>13</v>
      </c>
      <c r="H1582" s="9"/>
      <c r="I1582" s="8"/>
      <c r="J1582" s="8"/>
      <c r="K1582" s="8"/>
      <c r="L1582" s="8"/>
      <c r="M1582" s="8"/>
    </row>
    <row r="1583" spans="1:13">
      <c r="A1583" s="63" t="s">
        <v>2312</v>
      </c>
      <c r="B1583" s="58">
        <v>4967493580</v>
      </c>
      <c r="C1583" s="15" t="s">
        <v>2313</v>
      </c>
      <c r="D1583" s="60">
        <v>28305274888</v>
      </c>
      <c r="E1583" s="9">
        <v>443</v>
      </c>
      <c r="F1583" s="25">
        <v>43188</v>
      </c>
      <c r="G1583" s="61"/>
      <c r="H1583" s="9"/>
      <c r="I1583" s="8"/>
      <c r="J1583" s="8"/>
      <c r="K1583" s="8"/>
      <c r="L1583" s="8"/>
      <c r="M1583" s="8"/>
    </row>
    <row r="1584" spans="1:13">
      <c r="A1584" s="15" t="s">
        <v>2314</v>
      </c>
      <c r="B1584" s="58">
        <v>28043649847</v>
      </c>
      <c r="C1584" s="63" t="s">
        <v>2315</v>
      </c>
      <c r="D1584" s="60">
        <v>37064432870</v>
      </c>
      <c r="E1584" s="9">
        <v>117</v>
      </c>
      <c r="F1584" s="25">
        <v>43117</v>
      </c>
      <c r="G1584" s="61" t="s">
        <v>13</v>
      </c>
      <c r="H1584" s="9"/>
      <c r="I1584" s="8"/>
      <c r="J1584" s="8"/>
      <c r="K1584" s="8"/>
      <c r="L1584" s="9" t="s">
        <v>170</v>
      </c>
      <c r="M1584" s="8"/>
    </row>
    <row r="1585" spans="1:13">
      <c r="A1585" s="62" t="s">
        <v>2316</v>
      </c>
      <c r="B1585" s="58">
        <v>360190898</v>
      </c>
      <c r="C1585" s="63"/>
      <c r="D1585" s="60"/>
      <c r="E1585" s="9">
        <v>810</v>
      </c>
      <c r="F1585" s="25">
        <v>42915</v>
      </c>
      <c r="G1585" s="61" t="s">
        <v>13</v>
      </c>
      <c r="H1585" s="9"/>
      <c r="I1585" s="8"/>
      <c r="J1585" s="8"/>
      <c r="K1585" s="8"/>
      <c r="L1585" s="9" t="s">
        <v>138</v>
      </c>
      <c r="M1585" s="8"/>
    </row>
    <row r="1586" spans="1:13">
      <c r="A1586" s="64" t="s">
        <v>2317</v>
      </c>
      <c r="B1586" s="58">
        <v>9988196890</v>
      </c>
      <c r="C1586" s="63"/>
      <c r="D1586" s="60"/>
      <c r="E1586" s="9">
        <v>1350</v>
      </c>
      <c r="F1586" s="25">
        <v>43006</v>
      </c>
      <c r="G1586" s="61" t="s">
        <v>13</v>
      </c>
      <c r="H1586" s="9"/>
      <c r="I1586" s="8"/>
      <c r="J1586" s="8"/>
      <c r="K1586" s="8"/>
      <c r="L1586" s="8"/>
      <c r="M1586" s="8"/>
    </row>
    <row r="1587" spans="1:13">
      <c r="A1587" s="15" t="s">
        <v>2318</v>
      </c>
      <c r="B1587" s="58">
        <v>45671290325</v>
      </c>
      <c r="C1587" s="63" t="s">
        <v>2319</v>
      </c>
      <c r="D1587" s="60">
        <v>13019071895</v>
      </c>
      <c r="E1587" s="9">
        <v>117</v>
      </c>
      <c r="F1587" s="25">
        <v>43117</v>
      </c>
      <c r="G1587" s="61" t="s">
        <v>28</v>
      </c>
      <c r="H1587" s="9"/>
      <c r="I1587" s="8"/>
      <c r="J1587" s="8"/>
      <c r="K1587" s="8"/>
      <c r="L1587" s="9" t="s">
        <v>170</v>
      </c>
      <c r="M1587" s="8"/>
    </row>
    <row r="1588" spans="1:13">
      <c r="A1588" s="13" t="s">
        <v>2320</v>
      </c>
      <c r="B1588" s="58">
        <v>7677424864</v>
      </c>
      <c r="C1588" s="63" t="s">
        <v>2321</v>
      </c>
      <c r="D1588" s="60">
        <v>6128186831</v>
      </c>
      <c r="E1588" s="9">
        <v>1570</v>
      </c>
      <c r="F1588" s="25">
        <v>43077</v>
      </c>
      <c r="G1588" s="61" t="s">
        <v>13</v>
      </c>
      <c r="H1588" s="9"/>
      <c r="I1588" s="8"/>
      <c r="J1588" s="8"/>
      <c r="K1588" s="8"/>
      <c r="L1588" s="8"/>
      <c r="M1588" s="8"/>
    </row>
    <row r="1589" spans="1:13">
      <c r="A1589" s="13" t="s">
        <v>2322</v>
      </c>
      <c r="B1589" s="58">
        <v>978138341</v>
      </c>
      <c r="C1589" s="59"/>
      <c r="D1589" s="60"/>
      <c r="E1589" s="9"/>
      <c r="F1589" s="25"/>
      <c r="G1589" s="61"/>
      <c r="H1589" s="9"/>
      <c r="I1589" s="8"/>
      <c r="J1589" s="8"/>
      <c r="K1589" s="8"/>
      <c r="L1589" s="8"/>
      <c r="M1589" s="8"/>
    </row>
    <row r="1590" spans="1:13">
      <c r="A1590" s="15" t="s">
        <v>2323</v>
      </c>
      <c r="B1590" s="58">
        <v>40630815836</v>
      </c>
      <c r="C1590" s="63"/>
      <c r="D1590" s="60"/>
      <c r="E1590" s="9">
        <v>262</v>
      </c>
      <c r="F1590" s="25">
        <v>43160</v>
      </c>
      <c r="G1590" s="61" t="s">
        <v>13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62" t="s">
        <v>2324</v>
      </c>
      <c r="B1591" s="58">
        <v>38262101820</v>
      </c>
      <c r="C1591" s="63"/>
      <c r="D1591" s="60"/>
      <c r="E1591" s="9">
        <v>1824</v>
      </c>
      <c r="F1591" s="25">
        <v>43091</v>
      </c>
      <c r="G1591" s="61" t="s">
        <v>13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2325</v>
      </c>
      <c r="B1592" s="58">
        <v>37482450840</v>
      </c>
      <c r="C1592" s="63"/>
      <c r="D1592" s="60"/>
      <c r="E1592" s="9">
        <v>443</v>
      </c>
      <c r="F1592" s="25">
        <v>43188</v>
      </c>
      <c r="G1592" s="61"/>
      <c r="H1592" s="9"/>
      <c r="I1592" s="8"/>
      <c r="J1592" s="8"/>
      <c r="K1592" s="8"/>
      <c r="L1592" s="8"/>
      <c r="M1592" s="8"/>
    </row>
    <row r="1593" spans="1:13">
      <c r="A1593" s="62" t="s">
        <v>2326</v>
      </c>
      <c r="B1593" s="58">
        <v>38728350847</v>
      </c>
      <c r="C1593" s="63"/>
      <c r="D1593" s="60"/>
      <c r="E1593" s="9">
        <v>1824</v>
      </c>
      <c r="F1593" s="25">
        <v>43091</v>
      </c>
      <c r="G1593" s="61" t="s">
        <v>13</v>
      </c>
      <c r="H1593" s="9"/>
      <c r="I1593" s="8"/>
      <c r="J1593" s="8"/>
      <c r="K1593" s="8"/>
      <c r="L1593" s="9">
        <v>1828</v>
      </c>
      <c r="M1593" s="8"/>
    </row>
    <row r="1594" spans="1:13">
      <c r="A1594" s="27" t="s">
        <v>2327</v>
      </c>
      <c r="B1594" s="58"/>
      <c r="C1594" s="27" t="s">
        <v>129</v>
      </c>
      <c r="D1594" s="60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2328</v>
      </c>
      <c r="B1595" s="58">
        <v>43693335800</v>
      </c>
      <c r="C1595" s="63"/>
      <c r="D1595" s="60"/>
      <c r="E1595" s="9">
        <v>292</v>
      </c>
      <c r="F1595" s="25">
        <v>43168</v>
      </c>
      <c r="G1595" s="61" t="s">
        <v>13</v>
      </c>
      <c r="H1595" s="9"/>
      <c r="I1595" s="8"/>
      <c r="J1595" s="8"/>
      <c r="K1595" s="8"/>
      <c r="L1595" s="9">
        <v>318</v>
      </c>
      <c r="M1595" s="8"/>
    </row>
    <row r="1596" spans="1:13">
      <c r="A1596" s="27" t="s">
        <v>2329</v>
      </c>
      <c r="B1596" s="58">
        <v>47555303850</v>
      </c>
      <c r="C1596" s="18" t="s">
        <v>129</v>
      </c>
      <c r="D1596" s="60"/>
      <c r="E1596" s="9"/>
      <c r="F1596" s="25"/>
      <c r="G1596" s="61"/>
      <c r="H1596" s="9"/>
      <c r="I1596" s="8"/>
      <c r="J1596" s="8"/>
      <c r="K1596" s="8"/>
      <c r="L1596" s="8"/>
      <c r="M1596" s="8"/>
    </row>
    <row r="1597" spans="1:13">
      <c r="A1597" s="62" t="s">
        <v>2330</v>
      </c>
      <c r="B1597" s="58">
        <v>38152940534</v>
      </c>
      <c r="C1597" s="63"/>
      <c r="D1597" s="60"/>
      <c r="E1597" s="9">
        <v>292</v>
      </c>
      <c r="F1597" s="25">
        <v>43168</v>
      </c>
      <c r="G1597" s="9" t="s">
        <v>13</v>
      </c>
      <c r="H1597" s="9"/>
      <c r="I1597" s="8"/>
      <c r="J1597" s="8"/>
      <c r="K1597" s="8"/>
      <c r="L1597" s="9">
        <v>318</v>
      </c>
      <c r="M1597" s="8"/>
    </row>
    <row r="1598" spans="1:13">
      <c r="A1598" s="62" t="s">
        <v>2331</v>
      </c>
      <c r="B1598" s="58">
        <v>25966733805</v>
      </c>
      <c r="C1598" s="63" t="s">
        <v>2332</v>
      </c>
      <c r="D1598" s="60">
        <v>19681706854</v>
      </c>
      <c r="E1598" s="9">
        <v>1752</v>
      </c>
      <c r="F1598" s="25">
        <v>43051</v>
      </c>
      <c r="G1598" s="61" t="s">
        <v>20</v>
      </c>
      <c r="H1598" s="9"/>
      <c r="I1598" s="8"/>
      <c r="J1598" s="8"/>
      <c r="K1598" s="8"/>
      <c r="L1598" s="9">
        <v>1759</v>
      </c>
      <c r="M1598" s="8"/>
    </row>
    <row r="1599" spans="1:13">
      <c r="A1599" s="62" t="s">
        <v>2333</v>
      </c>
      <c r="B1599" s="58">
        <v>40091566860</v>
      </c>
      <c r="C1599" s="63"/>
      <c r="D1599" s="60"/>
      <c r="E1599" s="9">
        <v>85</v>
      </c>
      <c r="F1599" s="25">
        <v>43109</v>
      </c>
      <c r="G1599" s="61" t="s">
        <v>13</v>
      </c>
      <c r="H1599" s="25">
        <v>43151</v>
      </c>
      <c r="I1599" s="8"/>
      <c r="J1599" s="8"/>
      <c r="K1599" s="8"/>
      <c r="L1599" s="8"/>
      <c r="M1599" s="8"/>
    </row>
    <row r="1600" spans="1:13">
      <c r="A1600" s="63" t="s">
        <v>2334</v>
      </c>
      <c r="B1600" s="58">
        <v>38287160839</v>
      </c>
      <c r="C1600" s="63"/>
      <c r="D1600" s="60"/>
      <c r="E1600" s="9">
        <v>292</v>
      </c>
      <c r="F1600" s="25">
        <v>43168</v>
      </c>
      <c r="G1600" s="9" t="s">
        <v>13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2335</v>
      </c>
      <c r="B1601" s="58">
        <v>2258603501</v>
      </c>
      <c r="C1601" s="59"/>
      <c r="D1601" s="60"/>
      <c r="E1601" s="9"/>
      <c r="F1601" s="25"/>
      <c r="G1601" s="61"/>
      <c r="H1601" s="9"/>
      <c r="I1601" s="8"/>
      <c r="J1601" s="8"/>
      <c r="K1601" s="8"/>
      <c r="L1601" s="8"/>
      <c r="M1601" s="8"/>
    </row>
    <row r="1602" spans="1:13">
      <c r="A1602" s="14" t="s">
        <v>2336</v>
      </c>
      <c r="B1602" s="58">
        <v>39621762847</v>
      </c>
      <c r="C1602" s="63"/>
      <c r="D1602" s="60"/>
      <c r="E1602" s="9">
        <v>262</v>
      </c>
      <c r="F1602" s="25">
        <v>43160</v>
      </c>
      <c r="G1602" s="61" t="s">
        <v>13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2337</v>
      </c>
      <c r="B1603" s="58">
        <v>32448230846</v>
      </c>
      <c r="C1603" s="18" t="s">
        <v>2338</v>
      </c>
      <c r="D1603" s="60">
        <v>17618620814</v>
      </c>
      <c r="E1603" s="9"/>
      <c r="F1603" s="25"/>
      <c r="G1603" s="61"/>
      <c r="H1603" s="9"/>
      <c r="I1603" s="8"/>
      <c r="J1603" s="8"/>
      <c r="K1603" s="8"/>
      <c r="L1603" s="8"/>
      <c r="M1603" s="8"/>
    </row>
    <row r="1604" spans="1:13">
      <c r="A1604" s="18" t="s">
        <v>2339</v>
      </c>
      <c r="B1604" s="58">
        <v>56151250559</v>
      </c>
      <c r="C1604" s="18" t="s">
        <v>2340</v>
      </c>
      <c r="D1604" s="60">
        <v>29767449809</v>
      </c>
      <c r="E1604" s="9"/>
      <c r="F1604" s="25"/>
      <c r="G1604" s="61"/>
      <c r="H1604" s="9"/>
      <c r="I1604" s="8"/>
      <c r="J1604" s="8"/>
      <c r="K1604" s="8"/>
      <c r="L1604" s="8"/>
      <c r="M1604" s="8"/>
    </row>
    <row r="1605" spans="1:13">
      <c r="A1605" s="63" t="s">
        <v>2341</v>
      </c>
      <c r="B1605" s="58">
        <v>26373792862</v>
      </c>
      <c r="C1605" s="63"/>
      <c r="D1605" s="60"/>
      <c r="E1605" s="9">
        <v>292</v>
      </c>
      <c r="F1605" s="25">
        <v>43168</v>
      </c>
      <c r="G1605" s="9" t="s">
        <v>13</v>
      </c>
      <c r="H1605" s="9"/>
      <c r="I1605" s="8"/>
      <c r="J1605" s="8"/>
      <c r="K1605" s="8"/>
      <c r="L1605" s="9">
        <v>318</v>
      </c>
      <c r="M1605" s="8"/>
    </row>
    <row r="1606" spans="1:13">
      <c r="A1606" s="62" t="s">
        <v>2342</v>
      </c>
      <c r="B1606" s="58">
        <v>39308932828</v>
      </c>
      <c r="C1606" s="68"/>
      <c r="D1606" s="60"/>
      <c r="E1606" s="9"/>
      <c r="F1606" s="25"/>
      <c r="G1606" s="61"/>
      <c r="H1606" s="9"/>
      <c r="I1606" s="8"/>
      <c r="J1606" s="8"/>
      <c r="K1606" s="8"/>
      <c r="L1606" s="8"/>
      <c r="M1606" s="8"/>
    </row>
    <row r="1607" spans="1:13">
      <c r="A1607" s="15" t="s">
        <v>2343</v>
      </c>
      <c r="B1607" s="58">
        <v>89047710304</v>
      </c>
      <c r="C1607" s="63"/>
      <c r="D1607" s="60"/>
      <c r="E1607" s="9">
        <v>85</v>
      </c>
      <c r="F1607" s="25">
        <v>43109</v>
      </c>
      <c r="G1607" s="61" t="s">
        <v>13</v>
      </c>
      <c r="H1607" s="25">
        <v>43151</v>
      </c>
      <c r="I1607" s="8"/>
      <c r="J1607" s="8"/>
      <c r="K1607" s="8"/>
      <c r="L1607" s="8"/>
      <c r="M1607" s="8"/>
    </row>
    <row r="1608" spans="1:13">
      <c r="A1608" s="62" t="s">
        <v>2344</v>
      </c>
      <c r="B1608" s="58">
        <v>36713930840</v>
      </c>
      <c r="C1608" s="59" t="s">
        <v>2345</v>
      </c>
      <c r="D1608" s="60">
        <v>30171047885</v>
      </c>
      <c r="E1608" s="9">
        <v>1128</v>
      </c>
      <c r="F1608" s="25">
        <v>42972</v>
      </c>
      <c r="G1608" s="61" t="s">
        <v>13</v>
      </c>
      <c r="H1608" s="9"/>
      <c r="I1608" s="8"/>
      <c r="J1608" s="8"/>
      <c r="K1608" s="8"/>
      <c r="L1608" s="8"/>
      <c r="M1608" s="8"/>
    </row>
    <row r="1609" spans="1:13">
      <c r="A1609" s="27" t="s">
        <v>2346</v>
      </c>
      <c r="B1609" s="58">
        <v>37138221827</v>
      </c>
      <c r="C1609" s="27" t="s">
        <v>2347</v>
      </c>
      <c r="D1609" s="60">
        <v>40497197898</v>
      </c>
      <c r="E1609" s="9"/>
      <c r="F1609" s="25"/>
      <c r="G1609" s="61"/>
      <c r="H1609" s="9"/>
      <c r="I1609" s="8"/>
      <c r="J1609" s="8"/>
      <c r="K1609" s="8"/>
      <c r="L1609" s="8"/>
      <c r="M1609" s="8"/>
    </row>
    <row r="1610" spans="1:13">
      <c r="A1610" s="62" t="s">
        <v>2348</v>
      </c>
      <c r="B1610" s="58">
        <v>35503868854</v>
      </c>
      <c r="C1610" s="63"/>
      <c r="D1610" s="60"/>
      <c r="E1610" s="9">
        <v>608</v>
      </c>
      <c r="F1610" s="25">
        <v>43012</v>
      </c>
      <c r="G1610" s="61" t="s">
        <v>13</v>
      </c>
      <c r="H1610" s="9"/>
      <c r="I1610" s="8"/>
      <c r="J1610" s="8"/>
      <c r="K1610" s="8"/>
      <c r="L1610" s="8"/>
      <c r="M1610" s="8"/>
    </row>
    <row r="1611" spans="1:13">
      <c r="A1611" s="62" t="s">
        <v>2349</v>
      </c>
      <c r="B1611" s="58">
        <v>38011879855</v>
      </c>
      <c r="C1611" s="63"/>
      <c r="D1611" s="60"/>
      <c r="E1611" s="9">
        <v>1106</v>
      </c>
      <c r="F1611" s="25">
        <v>42965</v>
      </c>
      <c r="G1611" s="61" t="s">
        <v>13</v>
      </c>
      <c r="H1611" s="9"/>
      <c r="I1611" s="8"/>
      <c r="J1611" s="8"/>
      <c r="K1611" s="8"/>
      <c r="L1611" s="8"/>
      <c r="M1611" s="8"/>
    </row>
    <row r="1612" spans="1:13">
      <c r="A1612" s="62" t="s">
        <v>2350</v>
      </c>
      <c r="B1612" s="58">
        <v>40082602859</v>
      </c>
      <c r="C1612" s="63"/>
      <c r="D1612" s="60"/>
      <c r="E1612" s="9">
        <v>1752</v>
      </c>
      <c r="F1612" s="25">
        <v>43051</v>
      </c>
      <c r="G1612" s="61" t="s">
        <v>13</v>
      </c>
      <c r="H1612" s="9"/>
      <c r="I1612" s="8"/>
      <c r="J1612" s="8"/>
      <c r="K1612" s="8"/>
      <c r="L1612" s="9">
        <v>1759</v>
      </c>
      <c r="M1612" s="8"/>
    </row>
    <row r="1613" spans="1:13">
      <c r="A1613" s="62" t="s">
        <v>2351</v>
      </c>
      <c r="B1613" s="58">
        <v>35720985808</v>
      </c>
      <c r="C1613" s="63"/>
      <c r="D1613" s="60"/>
      <c r="E1613" s="9">
        <v>527</v>
      </c>
      <c r="F1613" s="25">
        <v>43210</v>
      </c>
      <c r="G1613" s="61"/>
      <c r="H1613" s="9"/>
      <c r="I1613" s="8"/>
      <c r="J1613" s="8"/>
      <c r="K1613" s="8"/>
      <c r="L1613" s="9">
        <v>528</v>
      </c>
      <c r="M1613" s="8"/>
    </row>
    <row r="1614" spans="1:13">
      <c r="A1614" s="62" t="s">
        <v>2352</v>
      </c>
      <c r="B1614" s="58">
        <v>36709469859</v>
      </c>
      <c r="C1614" s="63"/>
      <c r="D1614" s="60"/>
      <c r="E1614" s="9">
        <v>1570</v>
      </c>
      <c r="F1614" s="25">
        <v>43055</v>
      </c>
      <c r="G1614" s="61" t="s">
        <v>13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62" t="s">
        <v>2353</v>
      </c>
      <c r="B1615" s="58">
        <v>51413583806</v>
      </c>
      <c r="C1615" s="63"/>
      <c r="D1615" s="60"/>
      <c r="E1615" s="9">
        <v>1752</v>
      </c>
      <c r="F1615" s="25">
        <v>43051</v>
      </c>
      <c r="G1615" s="61" t="s">
        <v>13</v>
      </c>
      <c r="H1615" s="9"/>
      <c r="I1615" s="8"/>
      <c r="J1615" s="8"/>
      <c r="K1615" s="8"/>
      <c r="L1615" s="9">
        <v>1759</v>
      </c>
      <c r="M1615" s="8"/>
    </row>
    <row r="1616" spans="1:13">
      <c r="A1616" s="62" t="s">
        <v>2354</v>
      </c>
      <c r="B1616" s="58">
        <v>42268137821</v>
      </c>
      <c r="C1616" s="63"/>
      <c r="D1616" s="60"/>
      <c r="E1616" s="9">
        <v>1824</v>
      </c>
      <c r="F1616" s="25">
        <v>43091</v>
      </c>
      <c r="G1616" s="61" t="s">
        <v>13</v>
      </c>
      <c r="H1616" s="9"/>
      <c r="I1616" s="8"/>
      <c r="J1616" s="8"/>
      <c r="K1616" s="8"/>
      <c r="L1616" s="9">
        <v>1828</v>
      </c>
      <c r="M1616" s="8"/>
    </row>
    <row r="1617" spans="1:13">
      <c r="A1617" s="62" t="s">
        <v>2355</v>
      </c>
      <c r="B1617" s="58">
        <v>35411761808</v>
      </c>
      <c r="C1617" s="63"/>
      <c r="D1617" s="60"/>
      <c r="E1617" s="9"/>
      <c r="F1617" s="25"/>
      <c r="G1617" s="61"/>
      <c r="H1617" s="9"/>
      <c r="I1617" s="8"/>
      <c r="J1617" s="8"/>
      <c r="K1617" s="8"/>
      <c r="L1617" s="8"/>
      <c r="M1617" s="8"/>
    </row>
    <row r="1618" spans="1:13">
      <c r="A1618" s="62" t="s">
        <v>2356</v>
      </c>
      <c r="B1618" s="58">
        <v>3141394350</v>
      </c>
      <c r="C1618" s="63"/>
      <c r="D1618" s="60"/>
      <c r="E1618" s="9">
        <v>810</v>
      </c>
      <c r="F1618" s="25">
        <v>42915</v>
      </c>
      <c r="G1618" s="61" t="s">
        <v>13</v>
      </c>
      <c r="H1618" s="9"/>
      <c r="I1618" s="8"/>
      <c r="J1618" s="8"/>
      <c r="K1618" s="8"/>
      <c r="L1618" s="9" t="s">
        <v>138</v>
      </c>
      <c r="M1618" s="8"/>
    </row>
    <row r="1619" spans="1:13">
      <c r="A1619" s="62" t="s">
        <v>2357</v>
      </c>
      <c r="B1619" s="58">
        <v>2054203548</v>
      </c>
      <c r="C1619" s="63"/>
      <c r="D1619" s="60"/>
      <c r="E1619" s="9">
        <v>85</v>
      </c>
      <c r="F1619" s="25">
        <v>43109</v>
      </c>
      <c r="G1619" s="61" t="s">
        <v>13</v>
      </c>
      <c r="H1619" s="25">
        <v>43151</v>
      </c>
      <c r="I1619" s="8"/>
      <c r="J1619" s="8"/>
      <c r="K1619" s="8"/>
      <c r="L1619" s="8"/>
      <c r="M1619" s="8"/>
    </row>
    <row r="1620" spans="1:13">
      <c r="A1620" s="63" t="s">
        <v>2358</v>
      </c>
      <c r="B1620" s="58">
        <v>16932893851</v>
      </c>
      <c r="C1620" s="63"/>
      <c r="D1620" s="60"/>
      <c r="E1620" s="9">
        <v>292</v>
      </c>
      <c r="F1620" s="25">
        <v>43168</v>
      </c>
      <c r="G1620" s="9" t="s">
        <v>13</v>
      </c>
      <c r="H1620" s="9"/>
      <c r="I1620" s="8"/>
      <c r="J1620" s="8"/>
      <c r="K1620" s="8"/>
      <c r="L1620" s="9">
        <v>318</v>
      </c>
      <c r="M1620" s="8"/>
    </row>
    <row r="1621" spans="1:13">
      <c r="A1621" s="62" t="s">
        <v>2359</v>
      </c>
      <c r="B1621" s="58">
        <v>27136520819</v>
      </c>
      <c r="C1621" s="59"/>
      <c r="D1621" s="60"/>
      <c r="E1621" s="9">
        <v>1214</v>
      </c>
      <c r="F1621" s="25">
        <v>42989</v>
      </c>
      <c r="G1621" s="61"/>
      <c r="H1621" s="9"/>
      <c r="I1621" s="8"/>
      <c r="J1621" s="8"/>
      <c r="K1621" s="8"/>
      <c r="L1621" s="8"/>
      <c r="M1621" s="8"/>
    </row>
    <row r="1622" spans="1:13">
      <c r="A1622" s="62" t="s">
        <v>2360</v>
      </c>
      <c r="B1622" s="58">
        <v>36273665818</v>
      </c>
      <c r="C1622" s="63"/>
      <c r="D1622" s="60"/>
      <c r="E1622" s="9"/>
      <c r="F1622" s="25"/>
      <c r="G1622" s="61"/>
      <c r="H1622" s="9"/>
      <c r="I1622" s="8"/>
      <c r="J1622" s="8"/>
      <c r="K1622" s="8"/>
      <c r="L1622" s="8"/>
      <c r="M1622" s="8"/>
    </row>
    <row r="1623" spans="1:13">
      <c r="A1623" s="62" t="s">
        <v>2361</v>
      </c>
      <c r="B1623" s="58">
        <v>14701130826</v>
      </c>
      <c r="C1623" s="63"/>
      <c r="D1623" s="60"/>
      <c r="E1623" s="9">
        <v>262</v>
      </c>
      <c r="F1623" s="25">
        <v>43160</v>
      </c>
      <c r="G1623" s="61" t="s">
        <v>13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62" t="s">
        <v>2362</v>
      </c>
      <c r="B1624" s="58">
        <v>22084992800</v>
      </c>
      <c r="C1624" s="63"/>
      <c r="D1624" s="60"/>
      <c r="E1624" s="9"/>
      <c r="F1624" s="25"/>
      <c r="G1624" s="61"/>
      <c r="H1624" s="9"/>
      <c r="I1624" s="8"/>
      <c r="J1624" s="8"/>
      <c r="K1624" s="8"/>
      <c r="L1624" s="8"/>
      <c r="M1624" s="8"/>
    </row>
    <row r="1625" spans="1:13">
      <c r="A1625" s="62" t="s">
        <v>2363</v>
      </c>
      <c r="B1625" s="58">
        <v>37338189897</v>
      </c>
      <c r="C1625" s="63" t="s">
        <v>2364</v>
      </c>
      <c r="D1625" s="60">
        <v>27359655897</v>
      </c>
      <c r="E1625" s="9">
        <v>1824</v>
      </c>
      <c r="F1625" s="25">
        <v>43091</v>
      </c>
      <c r="G1625" s="61" t="s">
        <v>13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2365</v>
      </c>
      <c r="B1626" s="58">
        <v>45632601854</v>
      </c>
      <c r="C1626" s="30" t="s">
        <v>2366</v>
      </c>
      <c r="D1626" s="81">
        <v>37984145806</v>
      </c>
      <c r="E1626" s="9">
        <v>563</v>
      </c>
      <c r="F1626" s="25">
        <v>43217</v>
      </c>
      <c r="G1626" s="61"/>
      <c r="H1626" s="9"/>
      <c r="I1626" s="8"/>
      <c r="J1626" s="8"/>
      <c r="K1626" s="8"/>
      <c r="L1626" s="9" t="s">
        <v>299</v>
      </c>
      <c r="M1626" s="8"/>
    </row>
    <row r="1627" spans="1:13">
      <c r="A1627" s="27" t="s">
        <v>2367</v>
      </c>
      <c r="B1627" s="58"/>
      <c r="C1627" s="27" t="s">
        <v>2368</v>
      </c>
      <c r="D1627" s="60"/>
      <c r="E1627" s="9"/>
      <c r="F1627" s="25"/>
      <c r="G1627" s="61"/>
      <c r="H1627" s="9"/>
      <c r="I1627" s="8"/>
      <c r="J1627" s="8"/>
      <c r="K1627" s="8"/>
      <c r="L1627" s="8"/>
      <c r="M1627" s="8"/>
    </row>
    <row r="1628" spans="1:13">
      <c r="A1628" s="62" t="s">
        <v>2369</v>
      </c>
      <c r="B1628" s="58">
        <v>38656179802</v>
      </c>
      <c r="C1628" s="63"/>
      <c r="D1628" s="60"/>
      <c r="E1628" s="9"/>
      <c r="F1628" s="25"/>
      <c r="G1628" s="61"/>
      <c r="H1628" s="9"/>
      <c r="I1628" s="8"/>
      <c r="J1628" s="8"/>
      <c r="K1628" s="8"/>
      <c r="L1628" s="8"/>
      <c r="M1628" s="8"/>
    </row>
    <row r="1629" spans="1:13">
      <c r="A1629" s="62" t="s">
        <v>2370</v>
      </c>
      <c r="B1629" s="58">
        <v>38150547886</v>
      </c>
      <c r="C1629" s="63" t="s">
        <v>2371</v>
      </c>
      <c r="D1629" s="60">
        <v>36270820871</v>
      </c>
      <c r="E1629" s="9">
        <v>262</v>
      </c>
      <c r="F1629" s="25">
        <v>43160</v>
      </c>
      <c r="G1629" s="9" t="s">
        <v>13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2372</v>
      </c>
      <c r="B1630" s="58">
        <v>59306696</v>
      </c>
      <c r="C1630" s="18"/>
      <c r="D1630" s="60"/>
      <c r="E1630" s="9"/>
      <c r="F1630" s="25"/>
      <c r="G1630" s="61"/>
      <c r="H1630" s="9"/>
      <c r="I1630" s="8"/>
      <c r="J1630" s="8"/>
      <c r="K1630" s="8"/>
      <c r="L1630" s="8"/>
      <c r="M1630" s="8"/>
    </row>
    <row r="1631" spans="1:13">
      <c r="A1631" s="18" t="s">
        <v>2373</v>
      </c>
      <c r="B1631" s="58"/>
      <c r="C1631" s="18"/>
      <c r="D1631" s="60"/>
      <c r="E1631" s="9"/>
      <c r="F1631" s="25"/>
      <c r="G1631" s="61"/>
      <c r="H1631" s="9"/>
      <c r="I1631" s="8"/>
      <c r="J1631" s="8"/>
      <c r="K1631" s="8"/>
      <c r="L1631" s="8"/>
      <c r="M1631" s="8"/>
    </row>
    <row r="1632" spans="1:13">
      <c r="A1632" s="19" t="s">
        <v>2374</v>
      </c>
      <c r="B1632" s="58">
        <v>9276403841</v>
      </c>
      <c r="C1632" s="68"/>
      <c r="D1632" s="58"/>
      <c r="E1632" s="9"/>
      <c r="F1632" s="25"/>
      <c r="G1632" s="61"/>
      <c r="H1632" s="9"/>
      <c r="I1632" s="8"/>
      <c r="J1632" s="8"/>
      <c r="K1632" s="8"/>
      <c r="L1632" s="8"/>
      <c r="M1632" s="8"/>
    </row>
    <row r="1633" spans="1:13">
      <c r="A1633" s="62" t="s">
        <v>2375</v>
      </c>
      <c r="B1633" s="58">
        <v>26608066830</v>
      </c>
      <c r="C1633" s="59"/>
      <c r="D1633" s="60"/>
      <c r="E1633" s="9"/>
      <c r="F1633" s="25"/>
      <c r="G1633" s="61"/>
      <c r="H1633" s="9"/>
      <c r="I1633" s="8"/>
      <c r="J1633" s="8"/>
      <c r="K1633" s="8"/>
      <c r="L1633" s="8"/>
      <c r="M1633" s="8"/>
    </row>
    <row r="1634" spans="1:13">
      <c r="A1634" s="62" t="s">
        <v>2376</v>
      </c>
      <c r="B1634" s="58">
        <v>46467969880</v>
      </c>
      <c r="C1634" s="63"/>
      <c r="D1634" s="60"/>
      <c r="E1634" s="9">
        <v>608</v>
      </c>
      <c r="F1634" s="25">
        <v>43012</v>
      </c>
      <c r="G1634" s="61" t="s">
        <v>13</v>
      </c>
      <c r="H1634" s="9"/>
      <c r="I1634" s="8"/>
      <c r="J1634" s="8"/>
      <c r="K1634" s="8"/>
      <c r="L1634" s="8"/>
      <c r="M1634" s="8"/>
    </row>
    <row r="1635" spans="1:13">
      <c r="A1635" s="62" t="s">
        <v>2377</v>
      </c>
      <c r="B1635" s="58">
        <v>4958133542</v>
      </c>
      <c r="C1635" s="63"/>
      <c r="D1635" s="60"/>
      <c r="E1635" s="9">
        <v>229</v>
      </c>
      <c r="F1635" s="25">
        <v>43151</v>
      </c>
      <c r="G1635" s="61" t="s">
        <v>13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2378</v>
      </c>
      <c r="B1636" s="58">
        <v>44852605858</v>
      </c>
      <c r="C1636" s="15" t="s">
        <v>2379</v>
      </c>
      <c r="D1636" s="60">
        <v>44600006879</v>
      </c>
      <c r="E1636" s="9">
        <v>527</v>
      </c>
      <c r="F1636" s="25">
        <v>43210</v>
      </c>
      <c r="G1636" s="61"/>
      <c r="H1636" s="9"/>
      <c r="I1636" s="8"/>
      <c r="J1636" s="8"/>
      <c r="K1636" s="8"/>
      <c r="L1636" s="9">
        <v>528</v>
      </c>
      <c r="M1636" s="8"/>
    </row>
    <row r="1637" spans="1:13">
      <c r="A1637" s="27" t="s">
        <v>2380</v>
      </c>
      <c r="B1637" s="58">
        <v>42130610862</v>
      </c>
      <c r="C1637" s="27" t="s">
        <v>2381</v>
      </c>
      <c r="D1637" s="60">
        <v>34982732809</v>
      </c>
      <c r="E1637" s="9"/>
      <c r="F1637" s="25"/>
      <c r="G1637" s="61"/>
      <c r="H1637" s="9"/>
      <c r="I1637" s="8"/>
      <c r="J1637" s="8"/>
      <c r="K1637" s="8"/>
      <c r="L1637" s="8"/>
      <c r="M1637" s="8"/>
    </row>
    <row r="1638" spans="1:13">
      <c r="A1638" s="62" t="s">
        <v>2382</v>
      </c>
      <c r="B1638" s="58">
        <v>42910431800</v>
      </c>
      <c r="C1638" s="63"/>
      <c r="D1638" s="60"/>
      <c r="E1638" s="9">
        <v>117</v>
      </c>
      <c r="F1638" s="25">
        <v>43117</v>
      </c>
      <c r="G1638" s="61" t="s">
        <v>13</v>
      </c>
      <c r="H1638" s="9"/>
      <c r="I1638" s="8"/>
      <c r="J1638" s="8"/>
      <c r="K1638" s="8"/>
      <c r="L1638" s="9" t="s">
        <v>170</v>
      </c>
      <c r="M1638" s="8"/>
    </row>
    <row r="1639" spans="1:13">
      <c r="A1639" s="15" t="s">
        <v>2383</v>
      </c>
      <c r="B1639" s="58">
        <v>22661252819</v>
      </c>
      <c r="C1639" s="63"/>
      <c r="D1639" s="60"/>
      <c r="E1639" s="9"/>
      <c r="F1639" s="25"/>
      <c r="G1639" s="61"/>
      <c r="H1639" s="9"/>
      <c r="I1639" s="8"/>
      <c r="J1639" s="8"/>
      <c r="K1639" s="8"/>
      <c r="L1639" s="8"/>
      <c r="M1639" s="8"/>
    </row>
    <row r="1640" spans="1:13">
      <c r="A1640" s="15" t="s">
        <v>2384</v>
      </c>
      <c r="B1640" s="58">
        <v>46435904839</v>
      </c>
      <c r="C1640" s="63"/>
      <c r="D1640" s="60"/>
      <c r="E1640" s="9">
        <v>117</v>
      </c>
      <c r="F1640" s="25">
        <v>43117</v>
      </c>
      <c r="G1640" s="61" t="s">
        <v>13</v>
      </c>
      <c r="H1640" s="9"/>
      <c r="I1640" s="8"/>
      <c r="J1640" s="8"/>
      <c r="K1640" s="8"/>
      <c r="L1640" s="9" t="s">
        <v>170</v>
      </c>
      <c r="M1640" s="8"/>
    </row>
    <row r="1641" spans="1:13">
      <c r="A1641" s="62" t="s">
        <v>2385</v>
      </c>
      <c r="B1641" s="58">
        <v>39453524875</v>
      </c>
      <c r="C1641" s="63"/>
      <c r="D1641" s="60"/>
      <c r="E1641" s="9">
        <v>262</v>
      </c>
      <c r="F1641" s="25">
        <v>43160</v>
      </c>
      <c r="G1641" s="9" t="s">
        <v>13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63" t="s">
        <v>2386</v>
      </c>
      <c r="B1642" s="58">
        <v>41160706883</v>
      </c>
      <c r="C1642" s="63"/>
      <c r="D1642" s="60"/>
      <c r="E1642" s="9">
        <v>485</v>
      </c>
      <c r="F1642" s="25">
        <v>43196</v>
      </c>
      <c r="G1642" s="61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2387</v>
      </c>
      <c r="B1643" s="58">
        <v>25399089858</v>
      </c>
      <c r="C1643" s="18" t="s">
        <v>2388</v>
      </c>
      <c r="D1643" s="60">
        <v>11514624893</v>
      </c>
      <c r="E1643" s="9"/>
      <c r="F1643" s="25"/>
      <c r="G1643" s="61"/>
      <c r="H1643" s="9"/>
      <c r="I1643" s="8"/>
      <c r="J1643" s="8"/>
      <c r="K1643" s="8"/>
      <c r="L1643" s="8"/>
      <c r="M1643" s="8"/>
    </row>
    <row r="1644" spans="1:13">
      <c r="A1644" s="15" t="s">
        <v>2389</v>
      </c>
      <c r="B1644" s="58">
        <v>36758489817</v>
      </c>
      <c r="C1644" s="63" t="s">
        <v>2390</v>
      </c>
      <c r="D1644" s="60">
        <v>15602238808</v>
      </c>
      <c r="E1644" s="9">
        <v>117</v>
      </c>
      <c r="F1644" s="25">
        <v>43117</v>
      </c>
      <c r="G1644" s="61" t="s">
        <v>13</v>
      </c>
      <c r="H1644" s="9"/>
      <c r="I1644" s="8"/>
      <c r="J1644" s="8"/>
      <c r="K1644" s="8"/>
      <c r="L1644" s="9" t="s">
        <v>170</v>
      </c>
      <c r="M1644" s="8"/>
    </row>
    <row r="1645" spans="1:13">
      <c r="A1645" s="62" t="s">
        <v>2391</v>
      </c>
      <c r="B1645" s="58">
        <v>24721711883</v>
      </c>
      <c r="C1645" s="59"/>
      <c r="D1645" s="60"/>
      <c r="E1645" s="9">
        <v>1128</v>
      </c>
      <c r="F1645" s="25">
        <v>42972</v>
      </c>
      <c r="G1645" s="61" t="s">
        <v>13</v>
      </c>
      <c r="H1645" s="9"/>
      <c r="I1645" s="8"/>
      <c r="J1645" s="8"/>
      <c r="K1645" s="8"/>
      <c r="L1645" s="8"/>
      <c r="M1645" s="8"/>
    </row>
    <row r="1646" spans="1:13">
      <c r="A1646" s="62" t="s">
        <v>2392</v>
      </c>
      <c r="B1646" s="58">
        <v>35890093819</v>
      </c>
      <c r="C1646" s="63"/>
      <c r="D1646" s="60"/>
      <c r="E1646" s="9"/>
      <c r="F1646" s="25"/>
      <c r="G1646" s="61"/>
      <c r="H1646" s="9"/>
      <c r="I1646" s="8"/>
      <c r="J1646" s="8"/>
      <c r="K1646" s="8"/>
      <c r="L1646" s="8"/>
      <c r="M1646" s="8"/>
    </row>
    <row r="1647" spans="1:13">
      <c r="A1647" s="62" t="s">
        <v>2393</v>
      </c>
      <c r="B1647" s="58">
        <v>3051791440</v>
      </c>
      <c r="C1647" s="63" t="s">
        <v>2394</v>
      </c>
      <c r="D1647" s="60">
        <v>16781433830</v>
      </c>
      <c r="E1647" s="9"/>
      <c r="F1647" s="25"/>
      <c r="G1647" s="61"/>
      <c r="H1647" s="9"/>
      <c r="I1647" s="8"/>
      <c r="J1647" s="8"/>
      <c r="K1647" s="8"/>
      <c r="L1647" s="8"/>
      <c r="M1647" s="8"/>
    </row>
    <row r="1648" spans="1:13">
      <c r="A1648" s="15" t="s">
        <v>2395</v>
      </c>
      <c r="B1648" s="58">
        <v>93557604420</v>
      </c>
      <c r="C1648" s="63"/>
      <c r="D1648" s="60"/>
      <c r="E1648" s="9">
        <v>262</v>
      </c>
      <c r="F1648" s="25">
        <v>43160</v>
      </c>
      <c r="G1648" s="61" t="s">
        <v>13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7" t="s">
        <v>2396</v>
      </c>
      <c r="B1649" s="58">
        <v>19585637812</v>
      </c>
      <c r="C1649" s="18"/>
      <c r="D1649" s="60"/>
      <c r="E1649" s="9"/>
      <c r="F1649" s="25"/>
      <c r="G1649" s="61"/>
      <c r="H1649" s="9"/>
      <c r="I1649" s="8"/>
      <c r="J1649" s="8"/>
      <c r="K1649" s="8"/>
      <c r="L1649" s="8"/>
      <c r="M1649" s="8"/>
    </row>
    <row r="1650" spans="1:13">
      <c r="A1650" s="27" t="s">
        <v>2397</v>
      </c>
      <c r="B1650" s="58">
        <v>8774817841</v>
      </c>
      <c r="C1650" s="18" t="s">
        <v>129</v>
      </c>
      <c r="D1650" s="60"/>
      <c r="E1650" s="9"/>
      <c r="F1650" s="25"/>
      <c r="G1650" s="61"/>
      <c r="H1650" s="9"/>
      <c r="I1650" s="8"/>
      <c r="J1650" s="8"/>
      <c r="K1650" s="8"/>
      <c r="L1650" s="8"/>
      <c r="M1650" s="8"/>
    </row>
    <row r="1651" spans="1:13">
      <c r="A1651" s="62" t="s">
        <v>2398</v>
      </c>
      <c r="B1651" s="58">
        <v>15730438850</v>
      </c>
      <c r="C1651" s="63" t="s">
        <v>2399</v>
      </c>
      <c r="D1651" s="60">
        <v>11253544883</v>
      </c>
      <c r="E1651" s="9">
        <v>1628</v>
      </c>
      <c r="F1651" s="25">
        <v>43077</v>
      </c>
      <c r="G1651" s="61" t="s">
        <v>13</v>
      </c>
      <c r="H1651" s="9"/>
      <c r="I1651" s="8"/>
      <c r="J1651" s="8"/>
      <c r="K1651" s="8"/>
      <c r="L1651" s="8"/>
      <c r="M1651" s="8"/>
    </row>
    <row r="1652" spans="1:13">
      <c r="A1652" s="63" t="s">
        <v>2400</v>
      </c>
      <c r="B1652" s="58">
        <v>30740494805</v>
      </c>
      <c r="C1652" s="63"/>
      <c r="D1652" s="60"/>
      <c r="E1652" s="9"/>
      <c r="F1652" s="25"/>
      <c r="G1652" s="61"/>
      <c r="H1652" s="9"/>
      <c r="I1652" s="8"/>
      <c r="J1652" s="8"/>
      <c r="K1652" s="8"/>
      <c r="L1652" s="8"/>
      <c r="M1652" s="8"/>
    </row>
    <row r="1653" spans="1:13">
      <c r="A1653" s="63" t="s">
        <v>2401</v>
      </c>
      <c r="B1653" s="58">
        <v>16416601800</v>
      </c>
      <c r="C1653" s="63" t="s">
        <v>2402</v>
      </c>
      <c r="D1653" s="60">
        <v>6573656881</v>
      </c>
      <c r="E1653" s="9"/>
      <c r="F1653" s="25"/>
      <c r="G1653" s="61"/>
      <c r="H1653" s="9"/>
      <c r="I1653" s="8"/>
      <c r="J1653" s="8"/>
      <c r="K1653" s="8"/>
      <c r="L1653" s="8"/>
      <c r="M1653" s="8"/>
    </row>
    <row r="1654" spans="1:13">
      <c r="A1654" s="15" t="s">
        <v>2403</v>
      </c>
      <c r="B1654" s="58">
        <v>36407820898</v>
      </c>
      <c r="C1654" s="63"/>
      <c r="D1654" s="60"/>
      <c r="E1654" s="9"/>
      <c r="F1654" s="25"/>
      <c r="G1654" s="61"/>
      <c r="H1654" s="9"/>
      <c r="I1654" s="8"/>
      <c r="J1654" s="8"/>
      <c r="K1654" s="8"/>
      <c r="L1654" s="8"/>
      <c r="M1654" s="8"/>
    </row>
    <row r="1655" spans="1:13">
      <c r="A1655" s="62" t="s">
        <v>2404</v>
      </c>
      <c r="B1655" s="58">
        <v>33443830862</v>
      </c>
      <c r="C1655" s="63"/>
      <c r="D1655" s="60"/>
      <c r="E1655" s="9">
        <v>1752</v>
      </c>
      <c r="F1655" s="25">
        <v>43051</v>
      </c>
      <c r="G1655" s="61" t="s">
        <v>13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2405</v>
      </c>
      <c r="B1656" s="58">
        <v>6595999617</v>
      </c>
      <c r="C1656" s="59" t="s">
        <v>2406</v>
      </c>
      <c r="D1656" s="60">
        <v>9929242430</v>
      </c>
      <c r="E1656" s="9">
        <v>1128</v>
      </c>
      <c r="F1656" s="25">
        <v>42972</v>
      </c>
      <c r="G1656" s="61" t="s">
        <v>13</v>
      </c>
      <c r="H1656" s="9"/>
      <c r="I1656" s="8"/>
      <c r="J1656" s="8"/>
      <c r="K1656" s="8"/>
      <c r="L1656" s="8"/>
      <c r="M1656" s="8"/>
    </row>
    <row r="1657" spans="1:13">
      <c r="A1657" s="62" t="s">
        <v>2407</v>
      </c>
      <c r="B1657" s="58">
        <v>29886029803</v>
      </c>
      <c r="C1657" s="63"/>
      <c r="D1657" s="60"/>
      <c r="E1657" s="9">
        <v>292</v>
      </c>
      <c r="F1657" s="25">
        <v>43168</v>
      </c>
      <c r="G1657" s="61" t="s">
        <v>13</v>
      </c>
      <c r="H1657" s="9"/>
      <c r="I1657" s="8"/>
      <c r="J1657" s="8"/>
      <c r="K1657" s="8"/>
      <c r="L1657" s="9">
        <v>318</v>
      </c>
      <c r="M1657" s="8"/>
    </row>
    <row r="1658" spans="1:13">
      <c r="A1658" s="62" t="s">
        <v>2408</v>
      </c>
      <c r="B1658" s="58">
        <v>23766323822</v>
      </c>
      <c r="C1658" s="59"/>
      <c r="D1658" s="60"/>
      <c r="E1658" s="9"/>
      <c r="F1658" s="25"/>
      <c r="G1658" s="61"/>
      <c r="H1658" s="9"/>
      <c r="I1658" s="8"/>
      <c r="J1658" s="8"/>
      <c r="K1658" s="8"/>
      <c r="L1658" s="8"/>
      <c r="M1658" s="8"/>
    </row>
    <row r="1659" spans="1:13">
      <c r="A1659" s="62" t="s">
        <v>2409</v>
      </c>
      <c r="B1659" s="58">
        <v>28785359874</v>
      </c>
      <c r="C1659" s="63" t="s">
        <v>2410</v>
      </c>
      <c r="D1659" s="60">
        <v>17804545894</v>
      </c>
      <c r="E1659" s="9">
        <v>443</v>
      </c>
      <c r="F1659" s="25">
        <v>43188</v>
      </c>
      <c r="G1659" s="61"/>
      <c r="H1659" s="9"/>
      <c r="I1659" s="8"/>
      <c r="J1659" s="8"/>
      <c r="K1659" s="8"/>
      <c r="L1659" s="8"/>
      <c r="M1659" s="8"/>
    </row>
    <row r="1660" spans="1:13">
      <c r="A1660" s="62" t="s">
        <v>2411</v>
      </c>
      <c r="B1660" s="58">
        <v>36460261890</v>
      </c>
      <c r="C1660" s="63" t="s">
        <v>2412</v>
      </c>
      <c r="D1660" s="60">
        <v>7468402841</v>
      </c>
      <c r="E1660" s="9">
        <v>608</v>
      </c>
      <c r="F1660" s="25">
        <v>43012</v>
      </c>
      <c r="G1660" s="61" t="s">
        <v>13</v>
      </c>
      <c r="H1660" s="9"/>
      <c r="I1660" s="8"/>
      <c r="J1660" s="8"/>
      <c r="K1660" s="8"/>
      <c r="L1660" s="8"/>
      <c r="M1660" s="8"/>
    </row>
    <row r="1661" spans="1:13">
      <c r="A1661" s="15" t="s">
        <v>2413</v>
      </c>
      <c r="B1661" s="58">
        <v>10859877442</v>
      </c>
      <c r="C1661" s="63"/>
      <c r="D1661" s="60"/>
      <c r="E1661" s="9">
        <v>262</v>
      </c>
      <c r="F1661" s="25">
        <v>43160</v>
      </c>
      <c r="G1661" s="61" t="s">
        <v>13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62" t="s">
        <v>2414</v>
      </c>
      <c r="B1662" s="58">
        <v>26206257851</v>
      </c>
      <c r="C1662" s="63"/>
      <c r="D1662" s="60"/>
      <c r="E1662" s="9">
        <v>85</v>
      </c>
      <c r="F1662" s="25">
        <v>43109</v>
      </c>
      <c r="G1662" s="61" t="s">
        <v>13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2415</v>
      </c>
      <c r="B1663" s="58">
        <v>34385358826</v>
      </c>
      <c r="C1663" s="63" t="s">
        <v>2416</v>
      </c>
      <c r="D1663" s="60">
        <v>90930843487</v>
      </c>
      <c r="E1663" s="9"/>
      <c r="F1663" s="25"/>
      <c r="G1663" s="61"/>
      <c r="H1663" s="9"/>
      <c r="I1663" s="8"/>
      <c r="J1663" s="8"/>
      <c r="K1663" s="8"/>
      <c r="L1663" s="8"/>
      <c r="M1663" s="8"/>
    </row>
    <row r="1664" spans="1:13">
      <c r="A1664" s="62" t="s">
        <v>2417</v>
      </c>
      <c r="B1664" s="58">
        <v>24820428870</v>
      </c>
      <c r="C1664" s="63" t="s">
        <v>2418</v>
      </c>
      <c r="D1664" s="60">
        <v>22012255833</v>
      </c>
      <c r="E1664" s="9">
        <v>1417</v>
      </c>
      <c r="F1664" s="25">
        <v>43017</v>
      </c>
      <c r="G1664" s="61" t="s">
        <v>13</v>
      </c>
      <c r="H1664" s="9"/>
      <c r="I1664" s="8"/>
      <c r="J1664" s="8"/>
      <c r="K1664" s="8"/>
      <c r="L1664" s="9" t="s">
        <v>253</v>
      </c>
      <c r="M1664" s="8"/>
    </row>
    <row r="1665" spans="1:13">
      <c r="A1665" s="27" t="s">
        <v>2419</v>
      </c>
      <c r="B1665" s="58">
        <v>31148609822</v>
      </c>
      <c r="C1665" s="27" t="s">
        <v>2420</v>
      </c>
      <c r="D1665" s="60">
        <v>38179704807</v>
      </c>
      <c r="E1665" s="9"/>
      <c r="F1665" s="25"/>
      <c r="G1665" s="61"/>
      <c r="H1665" s="9"/>
      <c r="I1665" s="8"/>
      <c r="J1665" s="8"/>
      <c r="K1665" s="8"/>
      <c r="L1665" s="8"/>
      <c r="M1665" s="8"/>
    </row>
    <row r="1666" spans="1:13">
      <c r="A1666" s="62" t="s">
        <v>2421</v>
      </c>
      <c r="B1666" s="58">
        <v>33996438885</v>
      </c>
      <c r="C1666" s="63"/>
      <c r="D1666" s="60"/>
      <c r="E1666" s="9">
        <v>117</v>
      </c>
      <c r="F1666" s="25">
        <v>43117</v>
      </c>
      <c r="G1666" s="61" t="s">
        <v>28</v>
      </c>
      <c r="H1666" s="9"/>
      <c r="I1666" s="8"/>
      <c r="J1666" s="8"/>
      <c r="K1666" s="8"/>
      <c r="L1666" s="9" t="s">
        <v>170</v>
      </c>
      <c r="M1666" s="8"/>
    </row>
    <row r="1667" spans="1:13">
      <c r="A1667" s="14" t="s">
        <v>2422</v>
      </c>
      <c r="B1667" s="58">
        <v>38661599865</v>
      </c>
      <c r="C1667" s="63"/>
      <c r="D1667" s="60"/>
      <c r="E1667" s="9"/>
      <c r="F1667" s="25"/>
      <c r="G1667" s="61"/>
      <c r="H1667" s="9"/>
      <c r="I1667" s="8"/>
      <c r="J1667" s="8"/>
      <c r="K1667" s="8"/>
      <c r="L1667" s="8"/>
      <c r="M1667" s="8"/>
    </row>
    <row r="1668" spans="1:13">
      <c r="A1668" s="62" t="s">
        <v>2422</v>
      </c>
      <c r="B1668" s="58">
        <v>22903913870</v>
      </c>
      <c r="C1668" s="63"/>
      <c r="D1668" s="60"/>
      <c r="E1668" s="9">
        <v>262</v>
      </c>
      <c r="F1668" s="25">
        <v>43160</v>
      </c>
      <c r="G1668" s="61" t="s">
        <v>13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2423</v>
      </c>
      <c r="B1669" s="58">
        <v>44772896856</v>
      </c>
      <c r="C1669" s="63" t="s">
        <v>2424</v>
      </c>
      <c r="D1669" s="60">
        <v>39313729873</v>
      </c>
      <c r="E1669" s="9">
        <v>117</v>
      </c>
      <c r="F1669" s="25">
        <v>43117</v>
      </c>
      <c r="G1669" s="61" t="s">
        <v>13</v>
      </c>
      <c r="H1669" s="9"/>
      <c r="I1669" s="8"/>
      <c r="J1669" s="8"/>
      <c r="K1669" s="8"/>
      <c r="L1669" s="9" t="s">
        <v>170</v>
      </c>
      <c r="M1669" s="8"/>
    </row>
    <row r="1670" spans="1:13">
      <c r="A1670" s="27" t="s">
        <v>2425</v>
      </c>
      <c r="B1670" s="58">
        <v>28501359840</v>
      </c>
      <c r="C1670" s="27" t="s">
        <v>2426</v>
      </c>
      <c r="D1670" s="60">
        <v>30604533810</v>
      </c>
      <c r="E1670" s="9"/>
      <c r="F1670" s="25"/>
      <c r="G1670" s="61"/>
      <c r="H1670" s="9"/>
      <c r="I1670" s="8"/>
      <c r="J1670" s="8"/>
      <c r="K1670" s="8"/>
      <c r="L1670" s="8"/>
      <c r="M1670" s="8"/>
    </row>
    <row r="1671" spans="1:13">
      <c r="A1671" s="62" t="s">
        <v>2427</v>
      </c>
      <c r="B1671" s="58">
        <v>26374706315</v>
      </c>
      <c r="C1671" s="63"/>
      <c r="D1671" s="60"/>
      <c r="E1671" s="9"/>
      <c r="F1671" s="25"/>
      <c r="G1671" s="61"/>
      <c r="H1671" s="9"/>
      <c r="I1671" s="8"/>
      <c r="J1671" s="8"/>
      <c r="K1671" s="8"/>
      <c r="L1671" s="8"/>
      <c r="M1671" s="8"/>
    </row>
    <row r="1672" spans="1:13">
      <c r="A1672" s="62" t="s">
        <v>2428</v>
      </c>
      <c r="B1672" s="58">
        <v>30131142828</v>
      </c>
      <c r="C1672" s="68" t="s">
        <v>2429</v>
      </c>
      <c r="D1672" s="60">
        <v>58958843420</v>
      </c>
      <c r="E1672" s="9"/>
      <c r="F1672" s="25"/>
      <c r="G1672" s="61"/>
      <c r="H1672" s="9"/>
      <c r="I1672" s="8"/>
      <c r="J1672" s="8"/>
      <c r="K1672" s="8"/>
      <c r="L1672" s="8"/>
      <c r="M1672" s="8"/>
    </row>
    <row r="1673" spans="1:13">
      <c r="A1673" s="27" t="s">
        <v>2430</v>
      </c>
      <c r="B1673" s="58"/>
      <c r="C1673" s="27" t="s">
        <v>129</v>
      </c>
      <c r="D1673" s="60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62" t="s">
        <v>2431</v>
      </c>
      <c r="B1674" s="58">
        <v>22397188899</v>
      </c>
      <c r="C1674" s="63"/>
      <c r="D1674" s="60"/>
      <c r="E1674" s="9">
        <v>1350</v>
      </c>
      <c r="F1674" s="25">
        <v>43006</v>
      </c>
      <c r="G1674" s="61" t="s">
        <v>13</v>
      </c>
      <c r="H1674" s="9"/>
      <c r="I1674" s="8"/>
      <c r="J1674" s="8"/>
      <c r="K1674" s="8"/>
      <c r="L1674" s="8"/>
      <c r="M1674" s="8"/>
    </row>
    <row r="1675" spans="1:13">
      <c r="A1675" s="15" t="s">
        <v>2432</v>
      </c>
      <c r="B1675" s="58">
        <v>2090045507</v>
      </c>
      <c r="C1675" s="63"/>
      <c r="D1675" s="60"/>
      <c r="E1675" s="9">
        <v>229</v>
      </c>
      <c r="F1675" s="25">
        <v>43151</v>
      </c>
      <c r="G1675" s="61" t="s">
        <v>13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2433</v>
      </c>
      <c r="B1676" s="58">
        <v>31420205862</v>
      </c>
      <c r="C1676" s="63"/>
      <c r="D1676" s="60"/>
      <c r="E1676" s="9">
        <v>262</v>
      </c>
      <c r="F1676" s="25">
        <v>43160</v>
      </c>
      <c r="G1676" s="61" t="s">
        <v>13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62" t="s">
        <v>2434</v>
      </c>
      <c r="B1677" s="58">
        <v>78689619372</v>
      </c>
      <c r="C1677" s="63"/>
      <c r="D1677" s="60"/>
      <c r="E1677" s="9">
        <v>262</v>
      </c>
      <c r="F1677" s="25">
        <v>43160</v>
      </c>
      <c r="G1677" s="9" t="s">
        <v>13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7" t="s">
        <v>2435</v>
      </c>
      <c r="B1678" s="58">
        <v>30319988805</v>
      </c>
      <c r="C1678" s="27" t="s">
        <v>129</v>
      </c>
      <c r="D1678" s="60"/>
      <c r="E1678" s="9"/>
      <c r="F1678" s="25"/>
      <c r="G1678" s="61"/>
      <c r="H1678" s="9"/>
      <c r="I1678" s="8"/>
      <c r="J1678" s="8"/>
      <c r="K1678" s="8"/>
      <c r="L1678" s="8"/>
      <c r="M1678" s="8"/>
    </row>
    <row r="1679" spans="1:13">
      <c r="A1679" s="62" t="s">
        <v>2436</v>
      </c>
      <c r="B1679" s="58">
        <v>30287548864</v>
      </c>
      <c r="C1679" s="63"/>
      <c r="D1679" s="60"/>
      <c r="E1679" s="9"/>
      <c r="F1679" s="25"/>
      <c r="G1679" s="61"/>
      <c r="H1679" s="9"/>
      <c r="I1679" s="8"/>
      <c r="J1679" s="8"/>
      <c r="K1679" s="8"/>
      <c r="L1679" s="8"/>
      <c r="M1679" s="8"/>
    </row>
    <row r="1680" spans="1:13">
      <c r="A1680" s="62" t="s">
        <v>2437</v>
      </c>
      <c r="B1680" s="58">
        <v>4430967830</v>
      </c>
      <c r="C1680" s="63"/>
      <c r="D1680" s="60"/>
      <c r="E1680" s="9">
        <v>262</v>
      </c>
      <c r="F1680" s="25">
        <v>43160</v>
      </c>
      <c r="G1680" s="61" t="s">
        <v>13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62" t="s">
        <v>2438</v>
      </c>
      <c r="B1681" s="58">
        <v>1565236122</v>
      </c>
      <c r="C1681" s="63" t="s">
        <v>2439</v>
      </c>
      <c r="D1681" s="60">
        <v>218506589</v>
      </c>
      <c r="E1681" s="9">
        <v>1241</v>
      </c>
      <c r="F1681" s="25">
        <v>42992</v>
      </c>
      <c r="G1681" s="61" t="s">
        <v>13</v>
      </c>
      <c r="H1681" s="9"/>
      <c r="I1681" s="8"/>
      <c r="J1681" s="8"/>
      <c r="K1681" s="8"/>
      <c r="L1681" s="8"/>
      <c r="M1681" s="8"/>
    </row>
    <row r="1682" spans="1:13">
      <c r="A1682" s="62" t="s">
        <v>2440</v>
      </c>
      <c r="B1682" s="58">
        <v>37938795852</v>
      </c>
      <c r="C1682" s="63"/>
      <c r="D1682" s="60"/>
      <c r="E1682" s="9"/>
      <c r="F1682" s="25"/>
      <c r="G1682" s="61"/>
      <c r="H1682" s="9"/>
      <c r="I1682" s="8"/>
      <c r="J1682" s="8"/>
      <c r="K1682" s="8"/>
      <c r="L1682" s="8"/>
      <c r="M1682" s="8"/>
    </row>
    <row r="1683" spans="1:13">
      <c r="A1683" s="62" t="s">
        <v>2441</v>
      </c>
      <c r="B1683" s="58">
        <v>31103425889</v>
      </c>
      <c r="C1683" s="63"/>
      <c r="D1683" s="60"/>
      <c r="E1683" s="9">
        <v>292</v>
      </c>
      <c r="F1683" s="25">
        <v>43168</v>
      </c>
      <c r="G1683" s="61" t="s">
        <v>13</v>
      </c>
      <c r="H1683" s="9"/>
      <c r="I1683" s="8"/>
      <c r="J1683" s="8"/>
      <c r="K1683" s="8"/>
      <c r="L1683" s="9">
        <v>318</v>
      </c>
      <c r="M1683" s="8"/>
    </row>
    <row r="1684" spans="1:13">
      <c r="A1684" s="62" t="s">
        <v>2442</v>
      </c>
      <c r="B1684" s="58">
        <v>90944410391</v>
      </c>
      <c r="C1684" s="63"/>
      <c r="D1684" s="60"/>
      <c r="E1684" s="9">
        <v>443</v>
      </c>
      <c r="F1684" s="25">
        <v>43188</v>
      </c>
      <c r="G1684" s="61"/>
      <c r="H1684" s="9"/>
      <c r="I1684" s="8"/>
      <c r="J1684" s="8"/>
      <c r="K1684" s="8"/>
      <c r="L1684" s="8"/>
      <c r="M1684" s="8"/>
    </row>
    <row r="1685" spans="1:13">
      <c r="A1685" s="62" t="s">
        <v>2443</v>
      </c>
      <c r="B1685" s="58">
        <v>25789702899</v>
      </c>
      <c r="C1685" s="68"/>
      <c r="D1685" s="60"/>
      <c r="E1685" s="9"/>
      <c r="F1685" s="25"/>
      <c r="G1685" s="61"/>
      <c r="H1685" s="9"/>
      <c r="I1685" s="8"/>
      <c r="J1685" s="8"/>
      <c r="K1685" s="8"/>
      <c r="L1685" s="8"/>
      <c r="M1685" s="8"/>
    </row>
    <row r="1686" spans="1:13">
      <c r="A1686" s="14" t="s">
        <v>2444</v>
      </c>
      <c r="B1686" s="58">
        <v>28842233803</v>
      </c>
      <c r="C1686" s="63" t="s">
        <v>2445</v>
      </c>
      <c r="D1686" s="60">
        <v>39207708892</v>
      </c>
      <c r="E1686" s="9">
        <v>262</v>
      </c>
      <c r="F1686" s="25">
        <v>43160</v>
      </c>
      <c r="G1686" s="61" t="s">
        <v>20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62" t="s">
        <v>2446</v>
      </c>
      <c r="B1687" s="58">
        <v>37035420800</v>
      </c>
      <c r="C1687" s="63"/>
      <c r="D1687" s="60"/>
      <c r="E1687" s="9">
        <v>810</v>
      </c>
      <c r="F1687" s="25">
        <v>42915</v>
      </c>
      <c r="G1687" s="61" t="s">
        <v>13</v>
      </c>
      <c r="H1687" s="9"/>
      <c r="I1687" s="8"/>
      <c r="J1687" s="8"/>
      <c r="K1687" s="8"/>
      <c r="L1687" s="9" t="s">
        <v>138</v>
      </c>
      <c r="M1687" s="8"/>
    </row>
    <row r="1688" spans="1:13">
      <c r="A1688" s="62" t="s">
        <v>2447</v>
      </c>
      <c r="B1688" s="58">
        <v>39111957883</v>
      </c>
      <c r="C1688" s="63" t="s">
        <v>2448</v>
      </c>
      <c r="D1688" s="60">
        <v>36018657856</v>
      </c>
      <c r="E1688" s="9">
        <v>573</v>
      </c>
      <c r="F1688" s="25">
        <v>43224</v>
      </c>
      <c r="G1688" s="61"/>
      <c r="H1688" s="9"/>
      <c r="I1688" s="8"/>
      <c r="J1688" s="8"/>
      <c r="K1688" s="8"/>
      <c r="L1688" s="8"/>
      <c r="M1688" s="8"/>
    </row>
    <row r="1689" spans="1:13">
      <c r="A1689" s="64" t="s">
        <v>2449</v>
      </c>
      <c r="B1689" s="58">
        <v>26763450877</v>
      </c>
      <c r="C1689" s="63" t="s">
        <v>2450</v>
      </c>
      <c r="D1689" s="60">
        <v>23405053803</v>
      </c>
      <c r="E1689" s="9">
        <v>292</v>
      </c>
      <c r="F1689" s="25">
        <v>43168</v>
      </c>
      <c r="G1689" s="61" t="s">
        <v>13</v>
      </c>
      <c r="H1689" s="9"/>
      <c r="I1689" s="8"/>
      <c r="J1689" s="8"/>
      <c r="K1689" s="8"/>
      <c r="L1689" s="9">
        <v>318</v>
      </c>
      <c r="M1689" s="8"/>
    </row>
    <row r="1690" spans="1:13">
      <c r="A1690" s="62" t="s">
        <v>2451</v>
      </c>
      <c r="B1690" s="58">
        <v>12721944851</v>
      </c>
      <c r="C1690" s="63"/>
      <c r="D1690" s="60"/>
      <c r="E1690" s="9">
        <v>117</v>
      </c>
      <c r="F1690" s="25">
        <v>43117</v>
      </c>
      <c r="G1690" s="61" t="s">
        <v>13</v>
      </c>
      <c r="H1690" s="9"/>
      <c r="I1690" s="8"/>
      <c r="J1690" s="8"/>
      <c r="K1690" s="8"/>
      <c r="L1690" s="9" t="s">
        <v>170</v>
      </c>
      <c r="M1690" s="8"/>
    </row>
    <row r="1691" spans="1:13">
      <c r="A1691" s="27" t="s">
        <v>2452</v>
      </c>
      <c r="B1691" s="58">
        <v>41696411831</v>
      </c>
      <c r="C1691" s="27" t="s">
        <v>2453</v>
      </c>
      <c r="D1691" s="60">
        <v>8056204512</v>
      </c>
      <c r="E1691" s="9"/>
      <c r="F1691" s="25"/>
      <c r="G1691" s="61"/>
      <c r="H1691" s="9"/>
      <c r="I1691" s="8"/>
      <c r="J1691" s="8"/>
      <c r="K1691" s="8"/>
      <c r="L1691" s="8"/>
      <c r="M1691" s="8"/>
    </row>
    <row r="1692" spans="1:13">
      <c r="A1692" s="13" t="s">
        <v>2454</v>
      </c>
      <c r="B1692" s="58">
        <v>45396784857</v>
      </c>
      <c r="C1692" s="63"/>
      <c r="D1692" s="60"/>
      <c r="E1692" s="9">
        <v>527</v>
      </c>
      <c r="F1692" s="25">
        <v>43210</v>
      </c>
      <c r="G1692" s="61"/>
      <c r="H1692" s="9"/>
      <c r="I1692" s="8"/>
      <c r="J1692" s="8"/>
      <c r="K1692" s="8"/>
      <c r="L1692" s="9">
        <v>528</v>
      </c>
      <c r="M1692" s="8"/>
    </row>
    <row r="1693" spans="1:13">
      <c r="A1693" s="27" t="s">
        <v>2455</v>
      </c>
      <c r="B1693" s="58"/>
      <c r="C1693" s="18" t="s">
        <v>129</v>
      </c>
      <c r="D1693" s="60"/>
      <c r="E1693" s="9"/>
      <c r="F1693" s="25"/>
      <c r="G1693" s="61"/>
      <c r="H1693" s="9"/>
      <c r="I1693" s="8"/>
      <c r="J1693" s="8"/>
      <c r="K1693" s="8"/>
      <c r="L1693" s="8"/>
      <c r="M1693" s="8"/>
    </row>
    <row r="1694" spans="1:13">
      <c r="A1694" s="63" t="s">
        <v>2456</v>
      </c>
      <c r="B1694" s="58">
        <v>8946062479</v>
      </c>
      <c r="C1694" s="15" t="s">
        <v>2457</v>
      </c>
      <c r="D1694" s="60">
        <v>9671165460</v>
      </c>
      <c r="E1694" s="9">
        <v>292</v>
      </c>
      <c r="F1694" s="25">
        <v>43168</v>
      </c>
      <c r="G1694" s="61" t="s">
        <v>20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2458</v>
      </c>
      <c r="B1695" s="58">
        <v>20055855806</v>
      </c>
      <c r="C1695" s="63"/>
      <c r="D1695" s="60"/>
      <c r="E1695" s="9">
        <v>262</v>
      </c>
      <c r="F1695" s="25">
        <v>43160</v>
      </c>
      <c r="G1695" s="61" t="s">
        <v>13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2459</v>
      </c>
      <c r="B1696" s="58">
        <v>39620038860</v>
      </c>
      <c r="C1696" s="63"/>
      <c r="D1696" s="60"/>
      <c r="E1696" s="9">
        <v>1570</v>
      </c>
      <c r="F1696" s="25">
        <v>43077</v>
      </c>
      <c r="G1696" s="61" t="s">
        <v>13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7" t="s">
        <v>2460</v>
      </c>
      <c r="B1697" s="58"/>
      <c r="C1697" s="18" t="s">
        <v>129</v>
      </c>
      <c r="D1697" s="60"/>
      <c r="E1697" s="9"/>
      <c r="F1697" s="25"/>
      <c r="G1697" s="61"/>
      <c r="H1697" s="9"/>
      <c r="I1697" s="8"/>
      <c r="J1697" s="8"/>
      <c r="K1697" s="8"/>
      <c r="L1697" s="8"/>
      <c r="M1697" s="8"/>
    </row>
    <row r="1698" spans="1:13">
      <c r="A1698" s="63" t="s">
        <v>2461</v>
      </c>
      <c r="B1698" s="58">
        <v>39738738873</v>
      </c>
      <c r="C1698" s="63"/>
      <c r="D1698" s="60"/>
      <c r="E1698" s="9">
        <v>1824</v>
      </c>
      <c r="F1698" s="25">
        <v>43091</v>
      </c>
      <c r="G1698" s="61" t="s">
        <v>13</v>
      </c>
      <c r="H1698" s="9"/>
      <c r="I1698" s="8"/>
      <c r="J1698" s="8"/>
      <c r="K1698" s="8"/>
      <c r="L1698" s="9">
        <v>1828</v>
      </c>
      <c r="M1698" s="8"/>
    </row>
    <row r="1699" spans="1:13">
      <c r="A1699" s="62" t="s">
        <v>2462</v>
      </c>
      <c r="B1699" s="58">
        <v>32771773864</v>
      </c>
      <c r="C1699" s="68"/>
      <c r="D1699" s="60"/>
      <c r="E1699" s="9"/>
      <c r="F1699" s="25"/>
      <c r="G1699" s="61"/>
      <c r="H1699" s="9"/>
      <c r="I1699" s="8"/>
      <c r="J1699" s="8"/>
      <c r="K1699" s="8"/>
      <c r="L1699" s="8"/>
      <c r="M1699" s="8"/>
    </row>
    <row r="1700" spans="1:13">
      <c r="A1700" s="14" t="s">
        <v>2463</v>
      </c>
      <c r="B1700" s="58">
        <v>42101232855</v>
      </c>
      <c r="C1700" s="63"/>
      <c r="D1700" s="60"/>
      <c r="E1700" s="9"/>
      <c r="F1700" s="25"/>
      <c r="G1700" s="61"/>
      <c r="H1700" s="9"/>
      <c r="I1700" s="8"/>
      <c r="J1700" s="8"/>
      <c r="K1700" s="8"/>
      <c r="L1700" s="8"/>
      <c r="M1700" s="8"/>
    </row>
    <row r="1701" spans="1:13">
      <c r="A1701" s="62" t="s">
        <v>2464</v>
      </c>
      <c r="B1701" s="58">
        <v>89218655515</v>
      </c>
      <c r="C1701" s="68"/>
      <c r="D1701" s="60"/>
      <c r="E1701" s="9"/>
      <c r="F1701" s="25"/>
      <c r="G1701" s="61"/>
      <c r="H1701" s="9"/>
      <c r="I1701" s="8"/>
      <c r="J1701" s="8"/>
      <c r="K1701" s="8"/>
      <c r="L1701" s="8"/>
      <c r="M1701" s="8"/>
    </row>
    <row r="1702" spans="1:13">
      <c r="A1702" s="15" t="s">
        <v>2465</v>
      </c>
      <c r="B1702" s="58">
        <v>15395632867</v>
      </c>
      <c r="C1702" s="64"/>
      <c r="D1702" s="60"/>
      <c r="E1702" s="9"/>
      <c r="F1702" s="25"/>
      <c r="G1702" s="61"/>
      <c r="H1702" s="9"/>
      <c r="I1702" s="8"/>
      <c r="J1702" s="8"/>
      <c r="K1702" s="8"/>
      <c r="L1702" s="8"/>
      <c r="M1702" s="8"/>
    </row>
    <row r="1703" spans="1:13">
      <c r="A1703" s="62" t="s">
        <v>2466</v>
      </c>
      <c r="B1703" s="58">
        <v>17093063861</v>
      </c>
      <c r="C1703" s="63"/>
      <c r="D1703" s="60"/>
      <c r="E1703" s="9"/>
      <c r="F1703" s="25"/>
      <c r="G1703" s="61"/>
      <c r="H1703" s="9"/>
      <c r="I1703" s="8"/>
      <c r="J1703" s="8"/>
      <c r="K1703" s="8"/>
      <c r="L1703" s="8"/>
      <c r="M1703" s="8"/>
    </row>
    <row r="1704" spans="1:13">
      <c r="A1704" s="62" t="s">
        <v>2467</v>
      </c>
      <c r="B1704" s="69">
        <v>12978145846</v>
      </c>
      <c r="C1704" s="68"/>
      <c r="D1704" s="60"/>
      <c r="E1704" s="9"/>
      <c r="F1704" s="25"/>
      <c r="G1704" s="61"/>
      <c r="H1704" s="9"/>
      <c r="I1704" s="8"/>
      <c r="J1704" s="8"/>
      <c r="K1704" s="8"/>
      <c r="L1704" s="8"/>
      <c r="M1704" s="8"/>
    </row>
    <row r="1705" spans="1:13">
      <c r="A1705" s="16" t="s">
        <v>2468</v>
      </c>
      <c r="B1705" s="58">
        <v>65827619515</v>
      </c>
      <c r="C1705" s="64"/>
      <c r="D1705" s="60"/>
      <c r="E1705" s="9"/>
      <c r="F1705" s="25"/>
      <c r="G1705" s="61"/>
      <c r="H1705" s="9"/>
      <c r="I1705" s="8"/>
      <c r="J1705" s="8"/>
      <c r="K1705" s="8"/>
      <c r="L1705" s="8"/>
      <c r="M1705" s="8"/>
    </row>
    <row r="1706" spans="1:13">
      <c r="A1706" s="62" t="s">
        <v>2469</v>
      </c>
      <c r="B1706" s="58">
        <v>23431346855</v>
      </c>
      <c r="C1706" s="63"/>
      <c r="D1706" s="60"/>
      <c r="E1706" s="9">
        <v>292</v>
      </c>
      <c r="F1706" s="25">
        <v>43168</v>
      </c>
      <c r="G1706" s="61" t="s">
        <v>13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2470</v>
      </c>
      <c r="B1707" s="58">
        <v>39163113287</v>
      </c>
      <c r="C1707" s="63"/>
      <c r="D1707" s="60"/>
      <c r="E1707" s="9">
        <v>1417</v>
      </c>
      <c r="F1707" s="25">
        <v>43017</v>
      </c>
      <c r="G1707" s="61" t="s">
        <v>13</v>
      </c>
      <c r="H1707" s="9"/>
      <c r="I1707" s="8"/>
      <c r="J1707" s="8"/>
      <c r="K1707" s="8"/>
      <c r="L1707" s="9" t="s">
        <v>253</v>
      </c>
      <c r="M1707" s="8"/>
    </row>
    <row r="1708" spans="1:13">
      <c r="A1708" s="13" t="s">
        <v>2471</v>
      </c>
      <c r="B1708" s="58">
        <v>26224953821</v>
      </c>
      <c r="C1708" s="63"/>
      <c r="D1708" s="60"/>
      <c r="E1708" s="9">
        <v>1350</v>
      </c>
      <c r="F1708" s="25">
        <v>43006</v>
      </c>
      <c r="G1708" s="61" t="s">
        <v>13</v>
      </c>
      <c r="H1708" s="9"/>
      <c r="I1708" s="8"/>
      <c r="J1708" s="8"/>
      <c r="K1708" s="8"/>
      <c r="L1708" s="8"/>
      <c r="M1708" s="8"/>
    </row>
    <row r="1709" spans="1:13">
      <c r="A1709" s="62" t="s">
        <v>2472</v>
      </c>
      <c r="B1709" s="58">
        <v>36119678824</v>
      </c>
      <c r="C1709" s="63"/>
      <c r="D1709" s="60"/>
      <c r="E1709" s="9"/>
      <c r="F1709" s="25"/>
      <c r="G1709" s="61"/>
      <c r="H1709" s="9"/>
      <c r="I1709" s="8"/>
      <c r="J1709" s="8"/>
      <c r="K1709" s="8"/>
      <c r="L1709" s="8"/>
      <c r="M1709" s="8"/>
    </row>
    <row r="1710" spans="1:13">
      <c r="A1710" s="62" t="s">
        <v>2473</v>
      </c>
      <c r="B1710" s="58">
        <v>5864742856</v>
      </c>
      <c r="C1710" s="63"/>
      <c r="D1710" s="60"/>
      <c r="E1710" s="9"/>
      <c r="F1710" s="25"/>
      <c r="G1710" s="61"/>
      <c r="H1710" s="9"/>
      <c r="I1710" s="8"/>
      <c r="J1710" s="8"/>
      <c r="K1710" s="8"/>
      <c r="L1710" s="8"/>
      <c r="M1710" s="8"/>
    </row>
    <row r="1711" spans="1:13">
      <c r="A1711" s="27" t="s">
        <v>2474</v>
      </c>
      <c r="B1711" s="58"/>
      <c r="C1711" s="18" t="s">
        <v>129</v>
      </c>
      <c r="D1711" s="60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2475</v>
      </c>
      <c r="B1712" s="58">
        <v>40248753886</v>
      </c>
      <c r="C1712" s="63"/>
      <c r="D1712" s="60"/>
      <c r="E1712" s="9">
        <v>117</v>
      </c>
      <c r="F1712" s="25">
        <v>43117</v>
      </c>
      <c r="G1712" s="61" t="s">
        <v>13</v>
      </c>
      <c r="H1712" s="9"/>
      <c r="I1712" s="8"/>
      <c r="J1712" s="8"/>
      <c r="K1712" s="8"/>
      <c r="L1712" s="9" t="s">
        <v>170</v>
      </c>
      <c r="M1712" s="8"/>
    </row>
    <row r="1713" spans="1:13">
      <c r="A1713" s="62" t="s">
        <v>2476</v>
      </c>
      <c r="B1713" s="58">
        <v>16365026870</v>
      </c>
      <c r="C1713" s="63"/>
      <c r="D1713" s="60"/>
      <c r="E1713" s="9">
        <v>292</v>
      </c>
      <c r="F1713" s="25">
        <v>43168</v>
      </c>
      <c r="G1713" s="61" t="s">
        <v>13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2477</v>
      </c>
      <c r="B1714" s="58">
        <v>49555682895</v>
      </c>
      <c r="C1714" s="63"/>
      <c r="D1714" s="60"/>
      <c r="E1714" s="9">
        <v>262</v>
      </c>
      <c r="F1714" s="25">
        <v>43160</v>
      </c>
      <c r="G1714" s="61" t="s">
        <v>13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62" t="s">
        <v>2478</v>
      </c>
      <c r="B1715" s="58">
        <v>8503067870</v>
      </c>
      <c r="C1715" s="68"/>
      <c r="D1715" s="60"/>
      <c r="E1715" s="9"/>
      <c r="F1715" s="25"/>
      <c r="G1715" s="61"/>
      <c r="H1715" s="9"/>
      <c r="I1715" s="8"/>
      <c r="J1715" s="8"/>
      <c r="K1715" s="8"/>
      <c r="L1715" s="8"/>
      <c r="M1715" s="8"/>
    </row>
    <row r="1716" spans="1:13">
      <c r="A1716" s="62" t="s">
        <v>2479</v>
      </c>
      <c r="B1716" s="58">
        <v>61415472491</v>
      </c>
      <c r="C1716" s="63"/>
      <c r="D1716" s="60"/>
      <c r="E1716" s="9">
        <v>810</v>
      </c>
      <c r="F1716" s="25">
        <v>42915</v>
      </c>
      <c r="G1716" s="61" t="s">
        <v>13</v>
      </c>
      <c r="H1716" s="9"/>
      <c r="I1716" s="8"/>
      <c r="J1716" s="8"/>
      <c r="K1716" s="8"/>
      <c r="L1716" s="9" t="s">
        <v>138</v>
      </c>
      <c r="M1716" s="8"/>
    </row>
    <row r="1717" spans="1:13">
      <c r="A1717" s="62" t="s">
        <v>2480</v>
      </c>
      <c r="B1717" s="58">
        <v>24572836809</v>
      </c>
      <c r="C1717" s="63"/>
      <c r="D1717" s="60"/>
      <c r="E1717" s="9"/>
      <c r="F1717" s="25"/>
      <c r="G1717" s="61"/>
      <c r="H1717" s="9"/>
      <c r="I1717" s="8"/>
      <c r="J1717" s="8"/>
      <c r="K1717" s="8"/>
      <c r="L1717" s="8"/>
      <c r="M1717" s="8"/>
    </row>
    <row r="1718" spans="1:13">
      <c r="A1718" s="62" t="s">
        <v>2481</v>
      </c>
      <c r="B1718" s="58">
        <v>26903961810</v>
      </c>
      <c r="C1718" s="63" t="s">
        <v>2482</v>
      </c>
      <c r="D1718" s="60">
        <v>40904229904</v>
      </c>
      <c r="E1718" s="9">
        <v>1555</v>
      </c>
      <c r="F1718" s="25">
        <v>43049</v>
      </c>
      <c r="G1718" s="61" t="s">
        <v>13</v>
      </c>
      <c r="H1718" s="9"/>
      <c r="I1718" s="8"/>
      <c r="J1718" s="8"/>
      <c r="K1718" s="8"/>
      <c r="L1718" s="9" t="s">
        <v>398</v>
      </c>
      <c r="M1718" s="8"/>
    </row>
    <row r="1719" spans="1:13">
      <c r="A1719" s="18" t="s">
        <v>2483</v>
      </c>
      <c r="B1719" s="58">
        <v>31611651875</v>
      </c>
      <c r="C1719" s="18" t="s">
        <v>2484</v>
      </c>
      <c r="D1719" s="60">
        <v>11316246884</v>
      </c>
      <c r="E1719" s="9"/>
      <c r="F1719" s="25"/>
      <c r="G1719" s="61"/>
      <c r="H1719" s="9"/>
      <c r="I1719" s="8"/>
      <c r="J1719" s="8"/>
      <c r="K1719" s="8"/>
      <c r="L1719" s="8"/>
      <c r="M1719" s="8"/>
    </row>
    <row r="1720" spans="1:13">
      <c r="A1720" s="63" t="s">
        <v>2485</v>
      </c>
      <c r="B1720" s="58">
        <v>4094535870</v>
      </c>
      <c r="C1720" s="63"/>
      <c r="D1720" s="60"/>
      <c r="E1720" s="9">
        <v>292</v>
      </c>
      <c r="F1720" s="25">
        <v>43168</v>
      </c>
      <c r="G1720" s="9" t="s">
        <v>13</v>
      </c>
      <c r="H1720" s="9"/>
      <c r="I1720" s="8"/>
      <c r="J1720" s="8"/>
      <c r="K1720" s="8"/>
      <c r="L1720" s="9">
        <v>318</v>
      </c>
      <c r="M1720" s="8"/>
    </row>
    <row r="1721" spans="1:13">
      <c r="A1721" s="62" t="s">
        <v>2486</v>
      </c>
      <c r="B1721" s="58">
        <v>34613726840</v>
      </c>
      <c r="C1721" s="63"/>
      <c r="D1721" s="60"/>
      <c r="E1721" s="9">
        <v>485</v>
      </c>
      <c r="F1721" s="25">
        <v>43196</v>
      </c>
      <c r="G1721" s="61"/>
      <c r="H1721" s="9"/>
      <c r="I1721" s="8"/>
      <c r="J1721" s="8"/>
      <c r="K1721" s="8"/>
      <c r="L1721" s="9">
        <v>483</v>
      </c>
      <c r="M1721" s="8"/>
    </row>
    <row r="1722" spans="1:13">
      <c r="A1722" s="62" t="s">
        <v>2487</v>
      </c>
      <c r="B1722" s="58">
        <v>28003153859</v>
      </c>
      <c r="C1722" s="63"/>
      <c r="D1722" s="60"/>
      <c r="E1722" s="9">
        <v>262</v>
      </c>
      <c r="F1722" s="25">
        <v>43160</v>
      </c>
      <c r="G1722" s="61" t="s">
        <v>13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62" t="s">
        <v>2488</v>
      </c>
      <c r="B1723" s="58">
        <v>29431116863</v>
      </c>
      <c r="C1723" s="63"/>
      <c r="D1723" s="60"/>
      <c r="E1723" s="9"/>
      <c r="F1723" s="25"/>
      <c r="G1723" s="61"/>
      <c r="H1723" s="9"/>
      <c r="I1723" s="8"/>
      <c r="J1723" s="8"/>
      <c r="K1723" s="8"/>
      <c r="L1723" s="8"/>
      <c r="M1723" s="8"/>
    </row>
    <row r="1724" spans="1:13">
      <c r="A1724" s="59" t="s">
        <v>2489</v>
      </c>
      <c r="B1724" s="60">
        <v>22580790802</v>
      </c>
      <c r="C1724" s="62" t="s">
        <v>2490</v>
      </c>
      <c r="D1724" s="58">
        <v>53588339515</v>
      </c>
      <c r="E1724" s="9">
        <v>443</v>
      </c>
      <c r="F1724" s="25">
        <v>43188</v>
      </c>
      <c r="G1724" s="61"/>
      <c r="H1724" s="9"/>
      <c r="I1724" s="8"/>
      <c r="J1724" s="8"/>
      <c r="K1724" s="8"/>
      <c r="L1724" s="8"/>
      <c r="M1724" s="8"/>
    </row>
    <row r="1725" spans="1:13">
      <c r="A1725" s="62" t="s">
        <v>2491</v>
      </c>
      <c r="B1725" s="58">
        <v>34693233803</v>
      </c>
      <c r="C1725" s="63"/>
      <c r="D1725" s="60"/>
      <c r="E1725" s="9">
        <v>443</v>
      </c>
      <c r="F1725" s="25">
        <v>43188</v>
      </c>
      <c r="G1725" s="61"/>
      <c r="H1725" s="9"/>
      <c r="I1725" s="8"/>
      <c r="J1725" s="8"/>
      <c r="K1725" s="8"/>
      <c r="L1725" s="8"/>
      <c r="M1725" s="8"/>
    </row>
    <row r="1726" spans="1:13">
      <c r="A1726" s="62" t="s">
        <v>2492</v>
      </c>
      <c r="B1726" s="58">
        <v>25572985813</v>
      </c>
      <c r="C1726" s="63"/>
      <c r="D1726" s="60"/>
      <c r="E1726" s="9"/>
      <c r="F1726" s="25"/>
      <c r="G1726" s="61"/>
      <c r="H1726" s="9"/>
      <c r="I1726" s="8"/>
      <c r="J1726" s="8"/>
      <c r="K1726" s="8"/>
      <c r="L1726" s="8"/>
      <c r="M1726" s="8"/>
    </row>
    <row r="1727" spans="1:13">
      <c r="A1727" s="63" t="s">
        <v>2493</v>
      </c>
      <c r="B1727" s="60">
        <v>88565386520</v>
      </c>
      <c r="C1727" s="15" t="s">
        <v>2494</v>
      </c>
      <c r="D1727" s="58">
        <v>15536946862</v>
      </c>
      <c r="E1727" s="9"/>
      <c r="F1727" s="25"/>
      <c r="G1727" s="61"/>
      <c r="H1727" s="9"/>
      <c r="I1727" s="8"/>
      <c r="J1727" s="8"/>
      <c r="K1727" s="8"/>
      <c r="L1727" s="8"/>
      <c r="M1727" s="8"/>
    </row>
    <row r="1728" spans="1:13">
      <c r="A1728" s="62" t="s">
        <v>2495</v>
      </c>
      <c r="B1728" s="58">
        <v>1147816565</v>
      </c>
      <c r="C1728" s="63" t="s">
        <v>2496</v>
      </c>
      <c r="D1728" s="60">
        <v>24692193883</v>
      </c>
      <c r="E1728" s="9">
        <v>262</v>
      </c>
      <c r="F1728" s="25">
        <v>43160</v>
      </c>
      <c r="G1728" s="61" t="s">
        <v>13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62" t="s">
        <v>2497</v>
      </c>
      <c r="B1729" s="58">
        <v>39492391899</v>
      </c>
      <c r="C1729" s="63"/>
      <c r="D1729" s="60"/>
      <c r="E1729" s="9">
        <v>810</v>
      </c>
      <c r="F1729" s="25">
        <v>42915</v>
      </c>
      <c r="G1729" s="61" t="s">
        <v>13</v>
      </c>
      <c r="H1729" s="9"/>
      <c r="I1729" s="8"/>
      <c r="J1729" s="8"/>
      <c r="K1729" s="8"/>
      <c r="L1729" s="9" t="s">
        <v>138</v>
      </c>
      <c r="M1729" s="8"/>
    </row>
    <row r="1730" spans="1:13">
      <c r="A1730" s="14" t="s">
        <v>2498</v>
      </c>
      <c r="B1730" s="58">
        <v>7039189402</v>
      </c>
      <c r="C1730" s="63" t="s">
        <v>2499</v>
      </c>
      <c r="D1730" s="60">
        <v>5531291558</v>
      </c>
      <c r="E1730" s="9">
        <v>262</v>
      </c>
      <c r="F1730" s="25">
        <v>43160</v>
      </c>
      <c r="G1730" s="61" t="s">
        <v>13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62" t="s">
        <v>2500</v>
      </c>
      <c r="B1731" s="58">
        <v>34602647804</v>
      </c>
      <c r="C1731" s="63" t="s">
        <v>2501</v>
      </c>
      <c r="D1731" s="60">
        <v>27640163870</v>
      </c>
      <c r="E1731" s="9">
        <v>229</v>
      </c>
      <c r="F1731" s="25">
        <v>43151</v>
      </c>
      <c r="G1731" s="61" t="s">
        <v>13</v>
      </c>
      <c r="H1731" s="9"/>
      <c r="I1731" s="8"/>
      <c r="J1731" s="8"/>
      <c r="K1731" s="8"/>
      <c r="L1731" s="9">
        <v>232</v>
      </c>
      <c r="M1731" s="8"/>
    </row>
    <row r="1732" spans="1:13">
      <c r="A1732" s="62" t="s">
        <v>2502</v>
      </c>
      <c r="B1732" s="58">
        <v>33009445890</v>
      </c>
      <c r="C1732" s="63"/>
      <c r="D1732" s="60"/>
      <c r="E1732" s="9">
        <v>1214</v>
      </c>
      <c r="F1732" s="25">
        <v>42989</v>
      </c>
      <c r="G1732" s="61" t="s">
        <v>13</v>
      </c>
      <c r="H1732" s="9"/>
      <c r="I1732" s="8"/>
      <c r="J1732" s="8"/>
      <c r="K1732" s="8"/>
      <c r="L1732" s="8"/>
      <c r="M1732" s="8"/>
    </row>
    <row r="1733" spans="1:13">
      <c r="A1733" s="62" t="s">
        <v>2503</v>
      </c>
      <c r="B1733" s="58">
        <v>34017736823</v>
      </c>
      <c r="C1733" s="63"/>
      <c r="D1733" s="60"/>
      <c r="E1733" s="9">
        <v>1439</v>
      </c>
      <c r="F1733" s="25">
        <v>43025</v>
      </c>
      <c r="G1733" s="61" t="s">
        <v>13</v>
      </c>
      <c r="H1733" s="9"/>
      <c r="I1733" s="8"/>
      <c r="J1733" s="8"/>
      <c r="K1733" s="8"/>
      <c r="L1733" s="9" t="s">
        <v>502</v>
      </c>
      <c r="M1733" s="8"/>
    </row>
    <row r="1734" spans="1:13">
      <c r="A1734" s="62" t="s">
        <v>2504</v>
      </c>
      <c r="B1734" s="58">
        <v>4656282570</v>
      </c>
      <c r="C1734" s="63" t="s">
        <v>2505</v>
      </c>
      <c r="D1734" s="60">
        <v>85025780578</v>
      </c>
      <c r="E1734" s="9">
        <v>85</v>
      </c>
      <c r="F1734" s="25">
        <v>43109</v>
      </c>
      <c r="G1734" s="61" t="s">
        <v>13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2506</v>
      </c>
      <c r="B1735" s="58">
        <v>31182576877</v>
      </c>
      <c r="C1735" s="63"/>
      <c r="D1735" s="60"/>
      <c r="E1735" s="9"/>
      <c r="F1735" s="25"/>
      <c r="G1735" s="61"/>
      <c r="H1735" s="9"/>
      <c r="I1735" s="8"/>
      <c r="J1735" s="8"/>
      <c r="K1735" s="8"/>
      <c r="L1735" s="8"/>
      <c r="M1735" s="8"/>
    </row>
    <row r="1736" spans="1:13">
      <c r="A1736" s="15" t="s">
        <v>2507</v>
      </c>
      <c r="B1736" s="58">
        <v>44808773805</v>
      </c>
      <c r="C1736" s="63" t="s">
        <v>2508</v>
      </c>
      <c r="D1736" s="60">
        <v>38019169873</v>
      </c>
      <c r="E1736" s="9"/>
      <c r="F1736" s="25"/>
      <c r="G1736" s="61"/>
      <c r="H1736" s="9"/>
      <c r="I1736" s="8"/>
      <c r="J1736" s="8"/>
      <c r="K1736" s="8"/>
      <c r="L1736" s="8"/>
      <c r="M1736" s="8"/>
    </row>
    <row r="1737" spans="1:13">
      <c r="A1737" s="15" t="s">
        <v>2509</v>
      </c>
      <c r="B1737" s="58">
        <v>37051128809</v>
      </c>
      <c r="C1737" s="63"/>
      <c r="D1737" s="60"/>
      <c r="E1737" s="9">
        <v>85</v>
      </c>
      <c r="F1737" s="25">
        <v>43109</v>
      </c>
      <c r="G1737" s="61" t="s">
        <v>13</v>
      </c>
      <c r="H1737" s="25">
        <v>43151</v>
      </c>
      <c r="I1737" s="8"/>
      <c r="J1737" s="8"/>
      <c r="K1737" s="8"/>
      <c r="L1737" s="8"/>
      <c r="M1737" s="8"/>
    </row>
    <row r="1738" spans="1:13">
      <c r="A1738" s="62" t="s">
        <v>2510</v>
      </c>
      <c r="B1738" s="58">
        <v>6957684504</v>
      </c>
      <c r="C1738" s="63"/>
      <c r="D1738" s="60"/>
      <c r="E1738" s="9"/>
      <c r="F1738" s="25"/>
      <c r="G1738" s="61"/>
      <c r="H1738" s="9"/>
      <c r="I1738" s="8"/>
      <c r="J1738" s="8"/>
      <c r="K1738" s="8"/>
      <c r="L1738" s="8"/>
      <c r="M1738" s="8"/>
    </row>
    <row r="1739" spans="1:13">
      <c r="A1739" s="62" t="s">
        <v>2511</v>
      </c>
      <c r="B1739" s="58">
        <v>29541097855</v>
      </c>
      <c r="C1739" s="63"/>
      <c r="D1739" s="60"/>
      <c r="E1739" s="9">
        <v>810</v>
      </c>
      <c r="F1739" s="25">
        <v>42915</v>
      </c>
      <c r="G1739" s="61" t="s">
        <v>13</v>
      </c>
      <c r="H1739" s="9"/>
      <c r="I1739" s="8"/>
      <c r="J1739" s="8"/>
      <c r="K1739" s="8"/>
      <c r="L1739" s="9" t="s">
        <v>138</v>
      </c>
      <c r="M1739" s="8"/>
    </row>
    <row r="1740" spans="1:13">
      <c r="A1740" s="62" t="s">
        <v>2512</v>
      </c>
      <c r="B1740" s="58">
        <v>27582519817</v>
      </c>
      <c r="C1740" s="63"/>
      <c r="D1740" s="60"/>
      <c r="E1740" s="9">
        <v>1417</v>
      </c>
      <c r="F1740" s="25">
        <v>43017</v>
      </c>
      <c r="G1740" s="61" t="s">
        <v>28</v>
      </c>
      <c r="H1740" s="9"/>
      <c r="I1740" s="8"/>
      <c r="J1740" s="8"/>
      <c r="K1740" s="8"/>
      <c r="L1740" s="9" t="s">
        <v>253</v>
      </c>
      <c r="M1740" s="8"/>
    </row>
    <row r="1741" spans="1:13">
      <c r="A1741" s="15" t="s">
        <v>2513</v>
      </c>
      <c r="B1741" s="58">
        <v>2780331569</v>
      </c>
      <c r="C1741" s="63"/>
      <c r="D1741" s="60"/>
      <c r="E1741" s="9">
        <v>292</v>
      </c>
      <c r="F1741" s="25">
        <v>43168</v>
      </c>
      <c r="G1741" s="61" t="s">
        <v>13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2514</v>
      </c>
      <c r="B1742" s="58"/>
      <c r="C1742" s="18"/>
      <c r="D1742" s="60"/>
      <c r="E1742" s="9"/>
      <c r="F1742" s="25"/>
      <c r="G1742" s="61"/>
      <c r="H1742" s="9"/>
      <c r="I1742" s="8"/>
      <c r="J1742" s="8"/>
      <c r="K1742" s="8"/>
      <c r="L1742" s="8"/>
      <c r="M1742" s="8"/>
    </row>
    <row r="1743" spans="1:13">
      <c r="A1743" s="15" t="s">
        <v>2515</v>
      </c>
      <c r="B1743" s="58"/>
      <c r="C1743" s="63"/>
      <c r="D1743" s="60"/>
      <c r="E1743" s="9"/>
      <c r="F1743" s="25"/>
      <c r="G1743" s="61"/>
      <c r="H1743" s="9"/>
      <c r="I1743" s="8"/>
      <c r="J1743" s="8"/>
      <c r="K1743" s="8"/>
      <c r="L1743" s="8"/>
      <c r="M1743" s="8"/>
    </row>
    <row r="1744" spans="1:13">
      <c r="A1744" s="15" t="s">
        <v>2516</v>
      </c>
      <c r="B1744" s="58">
        <v>19129440491</v>
      </c>
      <c r="C1744" s="63" t="s">
        <v>2517</v>
      </c>
      <c r="D1744" s="60">
        <v>15303235840</v>
      </c>
      <c r="E1744" s="9"/>
      <c r="F1744" s="25"/>
      <c r="G1744" s="61"/>
      <c r="H1744" s="9"/>
      <c r="I1744" s="8"/>
      <c r="J1744" s="8"/>
      <c r="K1744" s="8"/>
      <c r="L1744" s="8"/>
      <c r="M1744" s="8"/>
    </row>
    <row r="1745" spans="1:13">
      <c r="A1745" s="13" t="s">
        <v>2518</v>
      </c>
      <c r="B1745" s="58">
        <v>25400494862</v>
      </c>
      <c r="C1745" s="59"/>
      <c r="D1745" s="60"/>
      <c r="E1745" s="9">
        <v>1241</v>
      </c>
      <c r="F1745" s="25">
        <v>42992</v>
      </c>
      <c r="G1745" s="61" t="s">
        <v>13</v>
      </c>
      <c r="H1745" s="9"/>
      <c r="I1745" s="8"/>
      <c r="J1745" s="8"/>
      <c r="K1745" s="8"/>
      <c r="L1745" s="8"/>
      <c r="M1745" s="8"/>
    </row>
    <row r="1746" spans="1:13">
      <c r="A1746" s="62" t="s">
        <v>2519</v>
      </c>
      <c r="B1746" s="58">
        <v>817284842</v>
      </c>
      <c r="C1746" s="63"/>
      <c r="D1746" s="60"/>
      <c r="E1746" s="9">
        <v>1214</v>
      </c>
      <c r="F1746" s="25">
        <v>42989</v>
      </c>
      <c r="G1746" s="61" t="s">
        <v>13</v>
      </c>
      <c r="H1746" s="9"/>
      <c r="I1746" s="8"/>
      <c r="J1746" s="8"/>
      <c r="K1746" s="8"/>
      <c r="L1746" s="8"/>
      <c r="M1746" s="8"/>
    </row>
    <row r="1747" spans="1:13">
      <c r="A1747" s="15" t="s">
        <v>2520</v>
      </c>
      <c r="B1747" s="58">
        <v>27848226808</v>
      </c>
      <c r="C1747" s="63"/>
      <c r="D1747" s="60"/>
      <c r="E1747" s="9">
        <v>85</v>
      </c>
      <c r="F1747" s="25">
        <v>43109</v>
      </c>
      <c r="G1747" s="61" t="s">
        <v>13</v>
      </c>
      <c r="H1747" s="25">
        <v>43151</v>
      </c>
      <c r="I1747" s="8"/>
      <c r="J1747" s="8"/>
      <c r="K1747" s="8"/>
      <c r="L1747" s="8"/>
      <c r="M1747" s="8"/>
    </row>
    <row r="1748" spans="1:13">
      <c r="A1748" s="62" t="s">
        <v>2521</v>
      </c>
      <c r="B1748" s="58">
        <v>468447598</v>
      </c>
      <c r="C1748" s="63"/>
      <c r="D1748" s="60"/>
      <c r="E1748" s="9">
        <v>1555</v>
      </c>
      <c r="F1748" s="25">
        <v>43049</v>
      </c>
      <c r="G1748" s="61" t="s">
        <v>13</v>
      </c>
      <c r="H1748" s="9"/>
      <c r="I1748" s="8"/>
      <c r="J1748" s="8"/>
      <c r="K1748" s="8"/>
      <c r="L1748" s="9" t="s">
        <v>398</v>
      </c>
      <c r="M1748" s="8"/>
    </row>
    <row r="1749" spans="1:13">
      <c r="A1749" s="13" t="s">
        <v>2522</v>
      </c>
      <c r="B1749" s="58">
        <v>34064745515</v>
      </c>
      <c r="C1749" s="63"/>
      <c r="D1749" s="60"/>
      <c r="E1749" s="9">
        <v>1350</v>
      </c>
      <c r="F1749" s="25">
        <v>43006</v>
      </c>
      <c r="G1749" s="61" t="s">
        <v>13</v>
      </c>
      <c r="H1749" s="9"/>
      <c r="I1749" s="8"/>
      <c r="J1749" s="8"/>
      <c r="K1749" s="8"/>
      <c r="L1749" s="8"/>
      <c r="M1749" s="8"/>
    </row>
    <row r="1750" spans="1:13">
      <c r="A1750" s="62" t="s">
        <v>2523</v>
      </c>
      <c r="B1750" s="58">
        <v>84007427372</v>
      </c>
      <c r="C1750" s="59"/>
      <c r="D1750" s="60"/>
      <c r="E1750" s="9"/>
      <c r="F1750" s="25"/>
      <c r="G1750" s="61"/>
      <c r="H1750" s="9"/>
      <c r="I1750" s="8"/>
      <c r="J1750" s="8"/>
      <c r="K1750" s="8"/>
      <c r="L1750" s="8"/>
      <c r="M1750" s="8"/>
    </row>
    <row r="1751" spans="1:13">
      <c r="A1751" s="62" t="s">
        <v>2524</v>
      </c>
      <c r="B1751" s="58">
        <v>37846343890</v>
      </c>
      <c r="C1751" s="63"/>
      <c r="D1751" s="60"/>
      <c r="E1751" s="9">
        <v>85</v>
      </c>
      <c r="F1751" s="25">
        <v>43109</v>
      </c>
      <c r="G1751" s="61" t="s">
        <v>13</v>
      </c>
      <c r="H1751" s="25">
        <v>43151</v>
      </c>
      <c r="I1751" s="8"/>
      <c r="J1751" s="8"/>
      <c r="K1751" s="8"/>
      <c r="L1751" s="8"/>
      <c r="M1751" s="8"/>
    </row>
    <row r="1752" spans="1:13">
      <c r="A1752" s="62" t="s">
        <v>2525</v>
      </c>
      <c r="B1752" s="58">
        <v>15634351871</v>
      </c>
      <c r="C1752" s="63" t="s">
        <v>2526</v>
      </c>
      <c r="D1752" s="60">
        <v>31313403806</v>
      </c>
      <c r="E1752" s="9"/>
      <c r="F1752" s="25"/>
      <c r="G1752" s="61"/>
      <c r="H1752" s="9"/>
      <c r="I1752" s="8"/>
      <c r="J1752" s="8"/>
      <c r="K1752" s="8"/>
      <c r="L1752" s="8"/>
      <c r="M1752" s="8"/>
    </row>
    <row r="1753" spans="1:13">
      <c r="A1753" s="62" t="s">
        <v>2527</v>
      </c>
      <c r="B1753" s="58">
        <v>35994306835</v>
      </c>
      <c r="C1753" s="63" t="s">
        <v>2528</v>
      </c>
      <c r="D1753" s="60">
        <v>25021610880</v>
      </c>
      <c r="E1753" s="9">
        <v>262</v>
      </c>
      <c r="F1753" s="25">
        <v>43160</v>
      </c>
      <c r="G1753" s="61" t="s">
        <v>13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62" t="s">
        <v>2529</v>
      </c>
      <c r="B1754" s="58">
        <v>31128170876</v>
      </c>
      <c r="C1754" s="63"/>
      <c r="D1754" s="60"/>
      <c r="E1754" s="9">
        <v>262</v>
      </c>
      <c r="F1754" s="25">
        <v>43160</v>
      </c>
      <c r="G1754" s="61" t="s">
        <v>13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62" t="s">
        <v>2530</v>
      </c>
      <c r="B1755" s="58">
        <v>39748080862</v>
      </c>
      <c r="C1755" s="63"/>
      <c r="D1755" s="60"/>
      <c r="E1755" s="9"/>
      <c r="F1755" s="25"/>
      <c r="G1755" s="61"/>
      <c r="H1755" s="9"/>
      <c r="I1755" s="8"/>
      <c r="J1755" s="8"/>
      <c r="K1755" s="8"/>
      <c r="L1755" s="8"/>
      <c r="M1755" s="8"/>
    </row>
    <row r="1756" spans="1:13">
      <c r="A1756" s="27" t="s">
        <v>2531</v>
      </c>
      <c r="B1756" s="58">
        <v>32525046854</v>
      </c>
      <c r="C1756" s="27" t="s">
        <v>129</v>
      </c>
      <c r="D1756" s="60"/>
      <c r="E1756" s="9"/>
      <c r="F1756" s="25"/>
      <c r="G1756" s="61"/>
      <c r="H1756" s="9"/>
      <c r="I1756" s="8"/>
      <c r="J1756" s="8"/>
      <c r="K1756" s="8"/>
      <c r="L1756" s="8"/>
      <c r="M1756" s="8"/>
    </row>
    <row r="1757" spans="1:13">
      <c r="A1757" s="62" t="s">
        <v>2532</v>
      </c>
      <c r="B1757" s="58">
        <v>23704553816</v>
      </c>
      <c r="C1757" s="68" t="s">
        <v>2533</v>
      </c>
      <c r="D1757" s="60">
        <v>35264792836</v>
      </c>
      <c r="E1757" s="9">
        <v>563</v>
      </c>
      <c r="F1757" s="25">
        <v>43217</v>
      </c>
      <c r="G1757" s="61"/>
      <c r="H1757" s="9"/>
      <c r="I1757" s="8"/>
      <c r="J1757" s="8"/>
      <c r="K1757" s="8"/>
      <c r="L1757" s="9" t="s">
        <v>299</v>
      </c>
      <c r="M1757" s="8"/>
    </row>
    <row r="1758" spans="1:13">
      <c r="A1758" s="62" t="s">
        <v>2534</v>
      </c>
      <c r="B1758" s="58">
        <v>30931601894</v>
      </c>
      <c r="C1758" s="63"/>
      <c r="D1758" s="60"/>
      <c r="E1758" s="9">
        <v>292</v>
      </c>
      <c r="F1758" s="25">
        <v>43168</v>
      </c>
      <c r="G1758" s="9" t="s">
        <v>13</v>
      </c>
      <c r="H1758" s="9"/>
      <c r="I1758" s="8"/>
      <c r="J1758" s="8"/>
      <c r="K1758" s="8"/>
      <c r="L1758" s="9">
        <v>318</v>
      </c>
      <c r="M1758" s="8"/>
    </row>
    <row r="1759" spans="1:13">
      <c r="A1759" s="62" t="s">
        <v>2535</v>
      </c>
      <c r="B1759" s="58">
        <v>3180351543</v>
      </c>
      <c r="C1759" s="63" t="s">
        <v>2536</v>
      </c>
      <c r="D1759" s="60">
        <v>38259838893</v>
      </c>
      <c r="E1759" s="9">
        <v>1752</v>
      </c>
      <c r="F1759" s="25">
        <v>43051</v>
      </c>
      <c r="G1759" s="61" t="s">
        <v>13</v>
      </c>
      <c r="H1759" s="9"/>
      <c r="I1759" s="8"/>
      <c r="J1759" s="8"/>
      <c r="K1759" s="8"/>
      <c r="L1759" s="9">
        <v>1759</v>
      </c>
      <c r="M1759" s="8"/>
    </row>
    <row r="1760" spans="1:13">
      <c r="A1760" s="62" t="s">
        <v>2537</v>
      </c>
      <c r="B1760" s="58">
        <v>40849283809</v>
      </c>
      <c r="C1760" s="63"/>
      <c r="D1760" s="60"/>
      <c r="E1760" s="9">
        <v>810</v>
      </c>
      <c r="F1760" s="25">
        <v>42915</v>
      </c>
      <c r="G1760" s="61" t="s">
        <v>13</v>
      </c>
      <c r="H1760" s="9"/>
      <c r="I1760" s="8"/>
      <c r="J1760" s="8"/>
      <c r="K1760" s="8"/>
      <c r="L1760" s="9" t="s">
        <v>138</v>
      </c>
      <c r="M1760" s="8"/>
    </row>
    <row r="1761" spans="1:13">
      <c r="A1761" s="62" t="s">
        <v>2538</v>
      </c>
      <c r="B1761" s="58">
        <v>33096171572</v>
      </c>
      <c r="C1761" s="63"/>
      <c r="D1761" s="60"/>
      <c r="E1761" s="9">
        <v>1350</v>
      </c>
      <c r="F1761" s="25">
        <v>43006</v>
      </c>
      <c r="G1761" s="61" t="s">
        <v>13</v>
      </c>
      <c r="H1761" s="9"/>
      <c r="I1761" s="8"/>
      <c r="J1761" s="8"/>
      <c r="K1761" s="8"/>
      <c r="L1761" s="8"/>
      <c r="M1761" s="8"/>
    </row>
    <row r="1762" spans="1:13">
      <c r="A1762" s="14" t="s">
        <v>2539</v>
      </c>
      <c r="B1762" s="58">
        <v>19184312807</v>
      </c>
      <c r="C1762" s="63"/>
      <c r="D1762" s="60"/>
      <c r="E1762" s="9">
        <v>443</v>
      </c>
      <c r="F1762" s="25">
        <v>43188</v>
      </c>
      <c r="G1762" s="61"/>
      <c r="H1762" s="9"/>
      <c r="I1762" s="8"/>
      <c r="J1762" s="8"/>
      <c r="K1762" s="8"/>
      <c r="L1762" s="8"/>
      <c r="M1762" s="8"/>
    </row>
    <row r="1763" spans="1:13">
      <c r="A1763" s="62" t="s">
        <v>2540</v>
      </c>
      <c r="B1763" s="58">
        <v>19187186870</v>
      </c>
      <c r="C1763" s="63"/>
      <c r="D1763" s="60"/>
      <c r="E1763" s="9">
        <v>262</v>
      </c>
      <c r="F1763" s="25">
        <v>43160</v>
      </c>
      <c r="G1763" s="61" t="s">
        <v>13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62" t="s">
        <v>2541</v>
      </c>
      <c r="B1764" s="58">
        <v>34394080860</v>
      </c>
      <c r="C1764" s="63"/>
      <c r="D1764" s="60"/>
      <c r="E1764" s="9">
        <v>229</v>
      </c>
      <c r="F1764" s="25">
        <v>43151</v>
      </c>
      <c r="G1764" s="61" t="s">
        <v>13</v>
      </c>
      <c r="H1764" s="9"/>
      <c r="I1764" s="8"/>
      <c r="J1764" s="8"/>
      <c r="K1764" s="8"/>
      <c r="L1764" s="9">
        <v>232</v>
      </c>
      <c r="M1764" s="8"/>
    </row>
    <row r="1765" spans="1:13">
      <c r="A1765" s="48" t="s">
        <v>2542</v>
      </c>
      <c r="B1765" s="71">
        <v>27034088896</v>
      </c>
      <c r="C1765" s="72" t="s">
        <v>2543</v>
      </c>
      <c r="D1765" s="73">
        <v>31801530831</v>
      </c>
      <c r="E1765" s="45">
        <v>1267</v>
      </c>
      <c r="F1765" s="46">
        <v>42998</v>
      </c>
      <c r="G1765" s="74" t="s">
        <v>20</v>
      </c>
      <c r="H1765" s="45"/>
      <c r="I1765" s="47"/>
      <c r="J1765" s="47"/>
      <c r="K1765" s="47"/>
      <c r="L1765" s="47"/>
      <c r="M1765" s="47"/>
    </row>
    <row r="1766" spans="1:13">
      <c r="A1766" s="15" t="s">
        <v>2544</v>
      </c>
      <c r="B1766" s="58">
        <v>18033728850</v>
      </c>
      <c r="C1766" s="64"/>
      <c r="D1766" s="60"/>
      <c r="E1766" s="9"/>
      <c r="F1766" s="25"/>
      <c r="G1766" s="61"/>
      <c r="H1766" s="9"/>
      <c r="I1766" s="8"/>
      <c r="J1766" s="8"/>
      <c r="K1766" s="8"/>
      <c r="L1766" s="8"/>
      <c r="M1766" s="8"/>
    </row>
    <row r="1767" spans="1:13">
      <c r="A1767" s="18" t="s">
        <v>2545</v>
      </c>
      <c r="B1767" s="58">
        <v>47659857806</v>
      </c>
      <c r="C1767" s="18"/>
      <c r="D1767" s="60"/>
      <c r="E1767" s="9"/>
      <c r="F1767" s="25"/>
      <c r="G1767" s="61"/>
      <c r="H1767" s="9"/>
      <c r="I1767" s="8"/>
      <c r="J1767" s="8"/>
      <c r="K1767" s="8"/>
      <c r="L1767" s="8"/>
      <c r="M1767" s="8"/>
    </row>
    <row r="1768" spans="1:13">
      <c r="A1768" s="13" t="s">
        <v>2546</v>
      </c>
      <c r="B1768" s="58">
        <v>45916381387</v>
      </c>
      <c r="C1768" s="63"/>
      <c r="D1768" s="60"/>
      <c r="E1768" s="9">
        <v>1350</v>
      </c>
      <c r="F1768" s="25">
        <v>43006</v>
      </c>
      <c r="G1768" s="61" t="s">
        <v>13</v>
      </c>
      <c r="H1768" s="9"/>
      <c r="I1768" s="8"/>
      <c r="J1768" s="8"/>
      <c r="K1768" s="8"/>
      <c r="L1768" s="8"/>
      <c r="M1768" s="8"/>
    </row>
    <row r="1769" spans="1:13">
      <c r="A1769" s="62" t="s">
        <v>2547</v>
      </c>
      <c r="B1769" s="58">
        <v>1926267877</v>
      </c>
      <c r="C1769" s="63"/>
      <c r="D1769" s="60"/>
      <c r="E1769" s="9">
        <v>292</v>
      </c>
      <c r="F1769" s="25">
        <v>43168</v>
      </c>
      <c r="G1769" s="61" t="s">
        <v>13</v>
      </c>
      <c r="H1769" s="9"/>
      <c r="I1769" s="8"/>
      <c r="J1769" s="8"/>
      <c r="K1769" s="8"/>
      <c r="L1769" s="9">
        <v>318</v>
      </c>
      <c r="M1769" s="8"/>
    </row>
    <row r="1770" spans="1:13">
      <c r="A1770" s="62" t="s">
        <v>2548</v>
      </c>
      <c r="B1770" s="58">
        <v>13035980861</v>
      </c>
      <c r="C1770" s="63" t="s">
        <v>2549</v>
      </c>
      <c r="D1770" s="60">
        <v>60623608553</v>
      </c>
      <c r="E1770" s="9">
        <v>1752</v>
      </c>
      <c r="F1770" s="25">
        <v>43051</v>
      </c>
      <c r="G1770" s="61" t="s">
        <v>13</v>
      </c>
      <c r="H1770" s="9"/>
      <c r="I1770" s="8"/>
      <c r="J1770" s="8"/>
      <c r="K1770" s="8"/>
      <c r="L1770" s="9">
        <v>1759</v>
      </c>
      <c r="M1770" s="8"/>
    </row>
    <row r="1771" spans="1:13">
      <c r="A1771" s="62" t="s">
        <v>2550</v>
      </c>
      <c r="B1771" s="58">
        <v>10748600809</v>
      </c>
      <c r="C1771" s="59"/>
      <c r="D1771" s="60"/>
      <c r="E1771" s="9"/>
      <c r="F1771" s="25"/>
      <c r="G1771" s="61"/>
      <c r="H1771" s="9"/>
      <c r="I1771" s="8"/>
      <c r="J1771" s="8"/>
      <c r="K1771" s="8"/>
      <c r="L1771" s="8"/>
      <c r="M1771" s="8"/>
    </row>
    <row r="1772" spans="1:13">
      <c r="A1772" s="62" t="s">
        <v>2551</v>
      </c>
      <c r="B1772" s="58">
        <v>32701346819</v>
      </c>
      <c r="C1772" s="63"/>
      <c r="D1772" s="60"/>
      <c r="E1772" s="9">
        <v>810</v>
      </c>
      <c r="F1772" s="25">
        <v>42915</v>
      </c>
      <c r="G1772" s="61" t="s">
        <v>13</v>
      </c>
      <c r="H1772" s="9"/>
      <c r="I1772" s="8"/>
      <c r="J1772" s="8"/>
      <c r="K1772" s="8"/>
      <c r="L1772" s="9" t="s">
        <v>138</v>
      </c>
      <c r="M1772" s="8"/>
    </row>
    <row r="1773" spans="1:13">
      <c r="A1773" s="27" t="s">
        <v>2552</v>
      </c>
      <c r="B1773" s="58">
        <v>7965453401</v>
      </c>
      <c r="C1773" s="27" t="s">
        <v>2553</v>
      </c>
      <c r="D1773" s="60">
        <v>9175781476</v>
      </c>
      <c r="E1773" s="9"/>
      <c r="F1773" s="25"/>
      <c r="G1773" s="61"/>
      <c r="H1773" s="9"/>
      <c r="I1773" s="8"/>
      <c r="J1773" s="8"/>
      <c r="K1773" s="8"/>
      <c r="L1773" s="8"/>
      <c r="M1773" s="8"/>
    </row>
    <row r="1774" spans="1:13">
      <c r="A1774" s="62" t="s">
        <v>2554</v>
      </c>
      <c r="B1774" s="58">
        <v>41601442840</v>
      </c>
      <c r="C1774" s="63"/>
      <c r="D1774" s="60"/>
      <c r="E1774" s="9">
        <v>1106</v>
      </c>
      <c r="F1774" s="25">
        <v>42965</v>
      </c>
      <c r="G1774" s="61" t="s">
        <v>13</v>
      </c>
      <c r="H1774" s="9"/>
      <c r="I1774" s="8"/>
      <c r="J1774" s="8"/>
      <c r="K1774" s="8"/>
      <c r="L1774" s="8"/>
      <c r="M1774" s="8"/>
    </row>
    <row r="1775" spans="1:13">
      <c r="A1775" s="62" t="s">
        <v>2555</v>
      </c>
      <c r="B1775" s="58">
        <v>29335127850</v>
      </c>
      <c r="C1775" s="59" t="s">
        <v>2556</v>
      </c>
      <c r="D1775" s="60">
        <v>18384225877</v>
      </c>
      <c r="E1775" s="9">
        <v>1214</v>
      </c>
      <c r="F1775" s="25">
        <v>42989</v>
      </c>
      <c r="G1775" s="61" t="s">
        <v>13</v>
      </c>
      <c r="H1775" s="9"/>
      <c r="I1775" s="8"/>
      <c r="J1775" s="8"/>
      <c r="K1775" s="8"/>
      <c r="L1775" s="8"/>
      <c r="M1775" s="8"/>
    </row>
    <row r="1776" spans="1:13">
      <c r="A1776" s="62" t="s">
        <v>2557</v>
      </c>
      <c r="B1776" s="58">
        <v>40914868861</v>
      </c>
      <c r="C1776" s="63"/>
      <c r="D1776" s="60"/>
      <c r="E1776" s="9">
        <v>1752</v>
      </c>
      <c r="F1776" s="25">
        <v>43051</v>
      </c>
      <c r="G1776" s="61" t="s">
        <v>13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2558</v>
      </c>
      <c r="B1777" s="58">
        <v>22530539880</v>
      </c>
      <c r="C1777" s="63" t="s">
        <v>2559</v>
      </c>
      <c r="D1777" s="60">
        <v>29713638808</v>
      </c>
      <c r="E1777" s="9"/>
      <c r="F1777" s="25"/>
      <c r="G1777" s="61"/>
      <c r="H1777" s="9"/>
      <c r="I1777" s="8"/>
      <c r="J1777" s="8"/>
      <c r="K1777" s="8"/>
      <c r="L1777" s="8"/>
      <c r="M1777" s="8"/>
    </row>
    <row r="1778" spans="1:13">
      <c r="A1778" s="62" t="s">
        <v>2560</v>
      </c>
      <c r="B1778" s="58">
        <v>22135571873</v>
      </c>
      <c r="C1778" s="63" t="s">
        <v>2561</v>
      </c>
      <c r="D1778" s="60">
        <v>95325123572</v>
      </c>
      <c r="E1778" s="9">
        <v>292</v>
      </c>
      <c r="F1778" s="25">
        <v>43168</v>
      </c>
      <c r="G1778" s="61"/>
      <c r="H1778" s="9"/>
      <c r="I1778" s="8"/>
      <c r="J1778" s="8"/>
      <c r="K1778" s="8"/>
      <c r="L1778" s="9">
        <v>318</v>
      </c>
      <c r="M1778" s="8"/>
    </row>
    <row r="1779" spans="1:13">
      <c r="A1779" s="62" t="s">
        <v>2562</v>
      </c>
      <c r="B1779" s="58">
        <v>29928831823</v>
      </c>
      <c r="C1779" s="63" t="s">
        <v>2563</v>
      </c>
      <c r="D1779" s="60">
        <v>9500916428</v>
      </c>
      <c r="E1779" s="9">
        <v>810</v>
      </c>
      <c r="F1779" s="25">
        <v>42915</v>
      </c>
      <c r="G1779" s="61" t="s">
        <v>13</v>
      </c>
      <c r="H1779" s="9"/>
      <c r="I1779" s="8"/>
      <c r="J1779" s="8"/>
      <c r="K1779" s="8"/>
      <c r="L1779" s="9" t="s">
        <v>138</v>
      </c>
      <c r="M1779" s="8"/>
    </row>
    <row r="1780" spans="1:13">
      <c r="A1780" s="63" t="s">
        <v>2564</v>
      </c>
      <c r="B1780" s="58">
        <v>14696523829</v>
      </c>
      <c r="C1780" s="63"/>
      <c r="D1780" s="60"/>
      <c r="E1780" s="9"/>
      <c r="F1780" s="25"/>
      <c r="G1780" s="61"/>
      <c r="H1780" s="9"/>
      <c r="I1780" s="8"/>
      <c r="J1780" s="8"/>
      <c r="K1780" s="8"/>
      <c r="L1780" s="8"/>
      <c r="M1780" s="8"/>
    </row>
    <row r="1781" spans="1:13">
      <c r="A1781" s="15" t="s">
        <v>2565</v>
      </c>
      <c r="B1781" s="58">
        <v>33929478811</v>
      </c>
      <c r="C1781" s="63"/>
      <c r="D1781" s="60"/>
      <c r="E1781" s="9">
        <v>85</v>
      </c>
      <c r="F1781" s="25">
        <v>43109</v>
      </c>
      <c r="G1781" s="61" t="s">
        <v>13</v>
      </c>
      <c r="H1781" s="25">
        <v>43151</v>
      </c>
      <c r="I1781" s="8"/>
      <c r="J1781" s="8"/>
      <c r="K1781" s="8"/>
      <c r="L1781" s="8"/>
      <c r="M1781" s="8"/>
    </row>
    <row r="1782" spans="1:13">
      <c r="A1782" s="62" t="s">
        <v>2566</v>
      </c>
      <c r="B1782" s="58">
        <v>1198091339</v>
      </c>
      <c r="C1782" s="63"/>
      <c r="D1782" s="60"/>
      <c r="E1782" s="9"/>
      <c r="F1782" s="25"/>
      <c r="G1782" s="61"/>
      <c r="H1782" s="9"/>
      <c r="I1782" s="8"/>
      <c r="J1782" s="8"/>
      <c r="K1782" s="8"/>
      <c r="L1782" s="8"/>
      <c r="M1782" s="8"/>
    </row>
    <row r="1783" spans="1:13">
      <c r="A1783" s="27" t="s">
        <v>2567</v>
      </c>
      <c r="B1783" s="58"/>
      <c r="C1783" s="27" t="s">
        <v>129</v>
      </c>
      <c r="D1783" s="60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62" t="s">
        <v>2568</v>
      </c>
      <c r="B1784" s="58">
        <v>42003889876</v>
      </c>
      <c r="C1784" s="63"/>
      <c r="D1784" s="60"/>
      <c r="E1784" s="9">
        <v>1824</v>
      </c>
      <c r="F1784" s="25">
        <v>43091</v>
      </c>
      <c r="G1784" s="61" t="s">
        <v>13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2569</v>
      </c>
      <c r="B1785" s="58">
        <v>22117077854</v>
      </c>
      <c r="C1785" s="59"/>
      <c r="D1785" s="60"/>
      <c r="E1785" s="9">
        <v>1128</v>
      </c>
      <c r="F1785" s="25">
        <v>42972</v>
      </c>
      <c r="G1785" s="61" t="s">
        <v>13</v>
      </c>
      <c r="H1785" s="9"/>
      <c r="I1785" s="8"/>
      <c r="J1785" s="8"/>
      <c r="K1785" s="8"/>
      <c r="L1785" s="8"/>
      <c r="M1785" s="8"/>
    </row>
    <row r="1786" spans="1:13">
      <c r="A1786" s="62" t="s">
        <v>2570</v>
      </c>
      <c r="B1786" s="58">
        <v>29808270883</v>
      </c>
      <c r="C1786" s="63"/>
      <c r="D1786" s="60"/>
      <c r="E1786" s="9">
        <v>1241</v>
      </c>
      <c r="F1786" s="25">
        <v>42992</v>
      </c>
      <c r="G1786" s="61" t="s">
        <v>13</v>
      </c>
      <c r="H1786" s="9"/>
      <c r="I1786" s="8"/>
      <c r="J1786" s="8"/>
      <c r="K1786" s="8"/>
      <c r="L1786" s="8"/>
      <c r="M1786" s="8"/>
    </row>
    <row r="1787" spans="1:13">
      <c r="A1787" s="62" t="s">
        <v>2571</v>
      </c>
      <c r="B1787" s="58">
        <v>31371424829</v>
      </c>
      <c r="C1787" s="63"/>
      <c r="D1787" s="60"/>
      <c r="E1787" s="9">
        <v>1422</v>
      </c>
      <c r="F1787" s="25">
        <v>43018</v>
      </c>
      <c r="G1787" s="61" t="s">
        <v>13</v>
      </c>
      <c r="H1787" s="9"/>
      <c r="I1787" s="8"/>
      <c r="J1787" s="8"/>
      <c r="K1787" s="8"/>
      <c r="L1787" s="8"/>
      <c r="M1787" s="8"/>
    </row>
    <row r="1788" spans="1:13">
      <c r="A1788" s="62" t="s">
        <v>2572</v>
      </c>
      <c r="B1788" s="58">
        <v>6942707848</v>
      </c>
      <c r="C1788" s="63"/>
      <c r="D1788" s="60"/>
      <c r="E1788" s="9">
        <v>810</v>
      </c>
      <c r="F1788" s="25">
        <v>42915</v>
      </c>
      <c r="G1788" s="61" t="s">
        <v>13</v>
      </c>
      <c r="H1788" s="9"/>
      <c r="I1788" s="8"/>
      <c r="J1788" s="8"/>
      <c r="K1788" s="8"/>
      <c r="L1788" s="9" t="s">
        <v>138</v>
      </c>
      <c r="M1788" s="8"/>
    </row>
    <row r="1789" spans="1:13">
      <c r="A1789" s="62" t="s">
        <v>2573</v>
      </c>
      <c r="B1789" s="58">
        <v>25969168866</v>
      </c>
      <c r="C1789" s="63"/>
      <c r="D1789" s="60"/>
      <c r="E1789" s="9">
        <v>1451</v>
      </c>
      <c r="F1789" s="25">
        <v>43027</v>
      </c>
      <c r="G1789" s="61" t="s">
        <v>13</v>
      </c>
      <c r="H1789" s="9"/>
      <c r="I1789" s="8"/>
      <c r="J1789" s="8"/>
      <c r="K1789" s="8"/>
      <c r="L1789" s="8"/>
      <c r="M1789" s="8"/>
    </row>
    <row r="1790" spans="1:13">
      <c r="A1790" s="62" t="s">
        <v>2574</v>
      </c>
      <c r="B1790" s="58">
        <v>22451067845</v>
      </c>
      <c r="C1790" s="59"/>
      <c r="D1790" s="60"/>
      <c r="E1790" s="9">
        <v>1128</v>
      </c>
      <c r="F1790" s="25">
        <v>42972</v>
      </c>
      <c r="G1790" s="61" t="s">
        <v>13</v>
      </c>
      <c r="H1790" s="9"/>
      <c r="I1790" s="8"/>
      <c r="J1790" s="8"/>
      <c r="K1790" s="8"/>
      <c r="L1790" s="8"/>
      <c r="M1790" s="8"/>
    </row>
    <row r="1791" spans="1:13">
      <c r="A1791" s="15" t="s">
        <v>2575</v>
      </c>
      <c r="B1791" s="58">
        <v>44096131890</v>
      </c>
      <c r="C1791" s="63"/>
      <c r="D1791" s="60"/>
      <c r="E1791" s="9">
        <v>262</v>
      </c>
      <c r="F1791" s="25">
        <v>43160</v>
      </c>
      <c r="G1791" s="61" t="s">
        <v>13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62" t="s">
        <v>2576</v>
      </c>
      <c r="B1792" s="58">
        <v>29652104825</v>
      </c>
      <c r="C1792" s="59" t="s">
        <v>2577</v>
      </c>
      <c r="D1792" s="60">
        <v>3396140567</v>
      </c>
      <c r="E1792" s="9"/>
      <c r="F1792" s="25"/>
      <c r="G1792" s="61"/>
      <c r="H1792" s="9"/>
      <c r="I1792" s="8"/>
      <c r="J1792" s="8"/>
      <c r="K1792" s="8"/>
      <c r="L1792" s="8"/>
      <c r="M1792" s="8"/>
    </row>
    <row r="1793" spans="1:13">
      <c r="A1793" s="62" t="s">
        <v>2578</v>
      </c>
      <c r="B1793" s="58">
        <v>36390605803</v>
      </c>
      <c r="C1793" s="59"/>
      <c r="D1793" s="60"/>
      <c r="E1793" s="9">
        <v>1128</v>
      </c>
      <c r="F1793" s="25">
        <v>42972</v>
      </c>
      <c r="G1793" s="61" t="s">
        <v>13</v>
      </c>
      <c r="H1793" s="9"/>
      <c r="I1793" s="8"/>
      <c r="J1793" s="8"/>
      <c r="K1793" s="8"/>
      <c r="L1793" s="8"/>
      <c r="M1793" s="8"/>
    </row>
    <row r="1794" spans="1:13">
      <c r="A1794" s="14" t="s">
        <v>2579</v>
      </c>
      <c r="B1794" s="58">
        <v>23486883879</v>
      </c>
      <c r="C1794" s="63"/>
      <c r="D1794" s="60"/>
      <c r="E1794" s="9">
        <v>527</v>
      </c>
      <c r="F1794" s="25">
        <v>43210</v>
      </c>
      <c r="G1794" s="61"/>
      <c r="H1794" s="9"/>
      <c r="I1794" s="8"/>
      <c r="J1794" s="8"/>
      <c r="K1794" s="8"/>
      <c r="L1794" s="9">
        <v>528</v>
      </c>
      <c r="M1794" s="8"/>
    </row>
    <row r="1795" spans="1:13">
      <c r="A1795" s="62" t="s">
        <v>2580</v>
      </c>
      <c r="B1795" s="58">
        <v>21917251807</v>
      </c>
      <c r="C1795" s="63"/>
      <c r="D1795" s="60"/>
      <c r="E1795" s="9">
        <v>573</v>
      </c>
      <c r="F1795" s="25">
        <v>43224</v>
      </c>
      <c r="G1795" s="61"/>
      <c r="H1795" s="9"/>
      <c r="I1795" s="8"/>
      <c r="J1795" s="8"/>
      <c r="K1795" s="8"/>
      <c r="L1795" s="8"/>
      <c r="M1795" s="8"/>
    </row>
    <row r="1796" spans="1:13">
      <c r="A1796" s="62" t="s">
        <v>2581</v>
      </c>
      <c r="B1796" s="58">
        <v>18290145870</v>
      </c>
      <c r="C1796" s="63"/>
      <c r="D1796" s="60"/>
      <c r="E1796" s="9">
        <v>1439</v>
      </c>
      <c r="F1796" s="25">
        <v>43025</v>
      </c>
      <c r="G1796" s="61" t="s">
        <v>13</v>
      </c>
      <c r="H1796" s="9"/>
      <c r="I1796" s="8"/>
      <c r="J1796" s="8"/>
      <c r="K1796" s="8"/>
      <c r="L1796" s="9" t="s">
        <v>502</v>
      </c>
      <c r="M1796" s="8"/>
    </row>
    <row r="1797" spans="1:13">
      <c r="A1797" s="62" t="s">
        <v>2582</v>
      </c>
      <c r="B1797" s="58">
        <v>16313842871</v>
      </c>
      <c r="C1797" s="63"/>
      <c r="D1797" s="60"/>
      <c r="E1797" s="9">
        <v>1262</v>
      </c>
      <c r="F1797" s="25">
        <v>42997</v>
      </c>
      <c r="G1797" s="61" t="s">
        <v>13</v>
      </c>
      <c r="H1797" s="9"/>
      <c r="I1797" s="8"/>
      <c r="J1797" s="8"/>
      <c r="K1797" s="8"/>
      <c r="L1797" s="8"/>
      <c r="M1797" s="8"/>
    </row>
    <row r="1798" spans="1:13">
      <c r="A1798" s="27" t="s">
        <v>2583</v>
      </c>
      <c r="B1798" s="58">
        <v>6896659890</v>
      </c>
      <c r="C1798" s="27" t="s">
        <v>2584</v>
      </c>
      <c r="D1798" s="60">
        <v>39700020959</v>
      </c>
      <c r="E1798" s="9"/>
      <c r="F1798" s="25"/>
      <c r="G1798" s="61"/>
      <c r="H1798" s="9"/>
      <c r="I1798" s="8"/>
      <c r="J1798" s="8"/>
      <c r="K1798" s="8"/>
      <c r="L1798" s="8"/>
      <c r="M1798" s="8"/>
    </row>
    <row r="1799" spans="1:13">
      <c r="A1799" s="62" t="s">
        <v>2585</v>
      </c>
      <c r="B1799" s="58">
        <v>17258435875</v>
      </c>
      <c r="C1799" s="63"/>
      <c r="D1799" s="60"/>
      <c r="E1799" s="9">
        <v>85</v>
      </c>
      <c r="F1799" s="25">
        <v>43109</v>
      </c>
      <c r="G1799" s="61" t="s">
        <v>13</v>
      </c>
      <c r="H1799" s="25">
        <v>43151</v>
      </c>
      <c r="I1799" s="8"/>
      <c r="J1799" s="8"/>
      <c r="K1799" s="8"/>
      <c r="L1799" s="8"/>
      <c r="M1799" s="8"/>
    </row>
    <row r="1800" spans="1:13">
      <c r="A1800" s="62" t="s">
        <v>2586</v>
      </c>
      <c r="B1800" s="58">
        <v>60230380506</v>
      </c>
      <c r="C1800" s="63" t="s">
        <v>2587</v>
      </c>
      <c r="D1800" s="60">
        <v>30853536821</v>
      </c>
      <c r="E1800" s="9">
        <v>1570</v>
      </c>
      <c r="F1800" s="25">
        <v>43051</v>
      </c>
      <c r="G1800" s="61" t="s">
        <v>20</v>
      </c>
      <c r="H1800" s="9"/>
      <c r="I1800" s="8"/>
      <c r="J1800" s="8"/>
      <c r="K1800" s="8"/>
      <c r="L1800" s="8"/>
      <c r="M1800" s="8"/>
    </row>
    <row r="1801" spans="1:13">
      <c r="A1801" s="14" t="s">
        <v>2588</v>
      </c>
      <c r="B1801" s="58">
        <v>44556393817</v>
      </c>
      <c r="C1801" s="63" t="s">
        <v>2589</v>
      </c>
      <c r="D1801" s="60">
        <v>35553946816</v>
      </c>
      <c r="E1801" s="9"/>
      <c r="F1801" s="25"/>
      <c r="G1801" s="61"/>
      <c r="H1801" s="9"/>
      <c r="I1801" s="8"/>
      <c r="J1801" s="8"/>
      <c r="K1801" s="8"/>
      <c r="L1801" s="8"/>
      <c r="M1801" s="8"/>
    </row>
    <row r="1802" spans="1:13">
      <c r="A1802" s="27" t="s">
        <v>2590</v>
      </c>
      <c r="B1802" s="58">
        <v>35780076847</v>
      </c>
      <c r="C1802" s="27" t="s">
        <v>2591</v>
      </c>
      <c r="D1802" s="60">
        <v>89212975534</v>
      </c>
      <c r="E1802" s="9"/>
      <c r="F1802" s="25"/>
      <c r="G1802" s="61"/>
      <c r="H1802" s="9"/>
      <c r="I1802" s="8"/>
      <c r="J1802" s="8"/>
      <c r="K1802" s="8"/>
      <c r="L1802" s="8"/>
      <c r="M1802" s="8"/>
    </row>
    <row r="1803" spans="1:13">
      <c r="A1803" s="62" t="s">
        <v>2592</v>
      </c>
      <c r="B1803" s="58">
        <v>29541849814</v>
      </c>
      <c r="C1803" s="63"/>
      <c r="D1803" s="60"/>
      <c r="E1803" s="9">
        <v>262</v>
      </c>
      <c r="F1803" s="25">
        <v>43160</v>
      </c>
      <c r="G1803" s="61" t="s">
        <v>13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62" t="s">
        <v>2593</v>
      </c>
      <c r="B1804" s="58">
        <v>42544122234</v>
      </c>
      <c r="C1804" s="59"/>
      <c r="D1804" s="60"/>
      <c r="E1804" s="9">
        <v>1128</v>
      </c>
      <c r="F1804" s="25">
        <v>42972</v>
      </c>
      <c r="G1804" s="61" t="s">
        <v>13</v>
      </c>
      <c r="H1804" s="9"/>
      <c r="I1804" s="8"/>
      <c r="J1804" s="8"/>
      <c r="K1804" s="8"/>
      <c r="L1804" s="8"/>
      <c r="M1804" s="8"/>
    </row>
    <row r="1805" spans="1:13">
      <c r="A1805" s="62" t="s">
        <v>2594</v>
      </c>
      <c r="B1805" s="58">
        <v>13289203808</v>
      </c>
      <c r="C1805" s="63"/>
      <c r="D1805" s="60"/>
      <c r="E1805" s="9">
        <v>485</v>
      </c>
      <c r="F1805" s="25">
        <v>43196</v>
      </c>
      <c r="G1805" s="61"/>
      <c r="H1805" s="9"/>
      <c r="I1805" s="8"/>
      <c r="J1805" s="8"/>
      <c r="K1805" s="8"/>
      <c r="L1805" s="9">
        <v>483</v>
      </c>
      <c r="M1805" s="8"/>
    </row>
    <row r="1806" spans="1:13">
      <c r="A1806" s="62" t="s">
        <v>2595</v>
      </c>
      <c r="B1806" s="58">
        <v>22839352885</v>
      </c>
      <c r="C1806" s="63"/>
      <c r="D1806" s="60"/>
      <c r="E1806" s="9">
        <v>443</v>
      </c>
      <c r="F1806" s="25">
        <v>43188</v>
      </c>
      <c r="G1806" s="61"/>
      <c r="H1806" s="9"/>
      <c r="I1806" s="8"/>
      <c r="J1806" s="8"/>
      <c r="K1806" s="8"/>
      <c r="L1806" s="8"/>
      <c r="M1806" s="8"/>
    </row>
    <row r="1807" spans="1:13">
      <c r="A1807" s="27" t="s">
        <v>2596</v>
      </c>
      <c r="B1807" s="58">
        <v>8265497806</v>
      </c>
      <c r="C1807" s="18" t="s">
        <v>129</v>
      </c>
      <c r="D1807" s="60"/>
      <c r="E1807" s="9"/>
      <c r="F1807" s="25"/>
      <c r="G1807" s="61"/>
      <c r="H1807" s="9"/>
      <c r="I1807" s="8"/>
      <c r="J1807" s="8"/>
      <c r="K1807" s="8"/>
      <c r="L1807" s="8"/>
      <c r="M1807" s="8"/>
    </row>
    <row r="1808" spans="1:13">
      <c r="A1808" s="27" t="s">
        <v>2597</v>
      </c>
      <c r="B1808" s="58">
        <v>27435732877</v>
      </c>
      <c r="C1808" s="27" t="s">
        <v>129</v>
      </c>
      <c r="D1808" s="60"/>
      <c r="E1808" s="9"/>
      <c r="F1808" s="25"/>
      <c r="G1808" s="61"/>
      <c r="H1808" s="9"/>
      <c r="I1808" s="8"/>
      <c r="J1808" s="8"/>
      <c r="K1808" s="8"/>
      <c r="L1808" s="8"/>
      <c r="M1808" s="8"/>
    </row>
    <row r="1809" spans="1:13">
      <c r="A1809" s="15" t="s">
        <v>2598</v>
      </c>
      <c r="B1809" s="58">
        <v>17620421858</v>
      </c>
      <c r="C1809" s="63" t="s">
        <v>2599</v>
      </c>
      <c r="D1809" s="60">
        <v>10328897809</v>
      </c>
      <c r="E1809" s="9">
        <v>527</v>
      </c>
      <c r="F1809" s="25">
        <v>43210</v>
      </c>
      <c r="G1809" s="61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2600</v>
      </c>
      <c r="B1810" s="58">
        <v>33051956813</v>
      </c>
      <c r="C1810" s="63"/>
      <c r="D1810" s="60"/>
      <c r="E1810" s="9">
        <v>1350</v>
      </c>
      <c r="F1810" s="25">
        <v>43006</v>
      </c>
      <c r="G1810" s="61" t="s">
        <v>13</v>
      </c>
      <c r="H1810" s="9"/>
      <c r="I1810" s="8"/>
      <c r="J1810" s="8"/>
      <c r="K1810" s="8"/>
      <c r="L1810" s="8"/>
      <c r="M1810" s="8"/>
    </row>
    <row r="1811" spans="1:13">
      <c r="A1811" s="62" t="s">
        <v>2601</v>
      </c>
      <c r="B1811" s="69" t="s">
        <v>2602</v>
      </c>
      <c r="C1811" s="68"/>
      <c r="D1811" s="60"/>
      <c r="E1811" s="9"/>
      <c r="F1811" s="25"/>
      <c r="G1811" s="61"/>
      <c r="H1811" s="9"/>
      <c r="I1811" s="8"/>
      <c r="J1811" s="8"/>
      <c r="K1811" s="8"/>
      <c r="L1811" s="8"/>
      <c r="M1811" s="8"/>
    </row>
    <row r="1812" spans="1:13">
      <c r="A1812" s="13" t="s">
        <v>2603</v>
      </c>
      <c r="B1812" s="58">
        <v>33725177848</v>
      </c>
      <c r="C1812" s="59"/>
      <c r="D1812" s="60"/>
      <c r="E1812" s="9">
        <v>1128</v>
      </c>
      <c r="F1812" s="25">
        <v>42972</v>
      </c>
      <c r="G1812" s="61" t="s">
        <v>13</v>
      </c>
      <c r="H1812" s="9"/>
      <c r="I1812" s="8"/>
      <c r="J1812" s="8"/>
      <c r="K1812" s="8"/>
      <c r="L1812" s="8"/>
      <c r="M1812" s="8"/>
    </row>
    <row r="1813" spans="1:13">
      <c r="A1813" s="62" t="s">
        <v>2604</v>
      </c>
      <c r="B1813" s="58">
        <v>4199619500</v>
      </c>
      <c r="C1813" s="63"/>
      <c r="D1813" s="60"/>
      <c r="E1813" s="9">
        <v>1752</v>
      </c>
      <c r="F1813" s="25">
        <v>43051</v>
      </c>
      <c r="G1813" s="61"/>
      <c r="H1813" s="9"/>
      <c r="I1813" s="8"/>
      <c r="J1813" s="8"/>
      <c r="K1813" s="8"/>
      <c r="L1813" s="9">
        <v>1759</v>
      </c>
      <c r="M1813" s="8"/>
    </row>
    <row r="1814" spans="1:13">
      <c r="A1814" s="62" t="s">
        <v>2605</v>
      </c>
      <c r="B1814" s="58">
        <v>37395644824</v>
      </c>
      <c r="C1814" s="63"/>
      <c r="D1814" s="60"/>
      <c r="E1814" s="9"/>
      <c r="F1814" s="25"/>
      <c r="G1814" s="61"/>
      <c r="H1814" s="9"/>
      <c r="I1814" s="8"/>
      <c r="J1814" s="8"/>
      <c r="K1814" s="8"/>
      <c r="L1814" s="8"/>
      <c r="M1814" s="8"/>
    </row>
    <row r="1815" spans="1:13">
      <c r="A1815" s="62" t="s">
        <v>2606</v>
      </c>
      <c r="B1815" s="58">
        <v>10746391897</v>
      </c>
      <c r="C1815" s="63"/>
      <c r="D1815" s="60"/>
      <c r="E1815" s="9">
        <v>292</v>
      </c>
      <c r="F1815" s="25">
        <v>43168</v>
      </c>
      <c r="G1815" s="61" t="s">
        <v>13</v>
      </c>
      <c r="H1815" s="9"/>
      <c r="I1815" s="8"/>
      <c r="J1815" s="8"/>
      <c r="K1815" s="8"/>
      <c r="L1815" s="9">
        <v>318</v>
      </c>
      <c r="M1815" s="8"/>
    </row>
    <row r="1816" spans="1:13">
      <c r="A1816" s="63" t="s">
        <v>2607</v>
      </c>
      <c r="B1816" s="60">
        <v>12811127801</v>
      </c>
      <c r="C1816" s="8"/>
      <c r="D1816" s="21"/>
      <c r="E1816" s="9">
        <v>563</v>
      </c>
      <c r="F1816" s="25">
        <v>43217</v>
      </c>
      <c r="G1816" s="61"/>
      <c r="H1816" s="9"/>
      <c r="I1816" s="8"/>
      <c r="J1816" s="8"/>
      <c r="K1816" s="8"/>
      <c r="L1816" s="9" t="s">
        <v>299</v>
      </c>
      <c r="M1816" s="8"/>
    </row>
    <row r="1817" spans="1:13">
      <c r="A1817" s="14" t="s">
        <v>2608</v>
      </c>
      <c r="B1817" s="58">
        <v>24655581883</v>
      </c>
      <c r="C1817" s="63" t="s">
        <v>2609</v>
      </c>
      <c r="D1817" s="60">
        <v>10449690830</v>
      </c>
      <c r="E1817" s="9"/>
      <c r="F1817" s="25"/>
      <c r="G1817" s="61"/>
      <c r="H1817" s="9"/>
      <c r="I1817" s="8"/>
      <c r="J1817" s="8"/>
      <c r="K1817" s="8"/>
      <c r="L1817" s="8"/>
      <c r="M1817" s="8"/>
    </row>
    <row r="1818" spans="1:13">
      <c r="A1818" s="63" t="s">
        <v>2610</v>
      </c>
      <c r="B1818" s="58">
        <v>6455171861</v>
      </c>
      <c r="C1818" s="63" t="s">
        <v>2611</v>
      </c>
      <c r="D1818" s="60">
        <v>34375910534</v>
      </c>
      <c r="E1818" s="9">
        <v>1417</v>
      </c>
      <c r="F1818" s="25">
        <v>43017</v>
      </c>
      <c r="G1818" s="61" t="s">
        <v>13</v>
      </c>
      <c r="H1818" s="9"/>
      <c r="I1818" s="8"/>
      <c r="J1818" s="8"/>
      <c r="K1818" s="8"/>
      <c r="L1818" s="9" t="s">
        <v>253</v>
      </c>
      <c r="M1818" s="8"/>
    </row>
    <row r="1819" spans="1:13">
      <c r="A1819" s="62" t="s">
        <v>2612</v>
      </c>
      <c r="B1819" s="58">
        <v>30901219304</v>
      </c>
      <c r="C1819" s="63"/>
      <c r="D1819" s="60"/>
      <c r="E1819" s="9">
        <v>1106</v>
      </c>
      <c r="F1819" s="25">
        <v>42965</v>
      </c>
      <c r="G1819" s="61" t="s">
        <v>13</v>
      </c>
      <c r="H1819" s="9"/>
      <c r="I1819" s="8"/>
      <c r="J1819" s="8"/>
      <c r="K1819" s="8"/>
      <c r="L1819" s="8"/>
      <c r="M1819" s="8"/>
    </row>
    <row r="1820" spans="1:13">
      <c r="A1820" s="62" t="s">
        <v>2613</v>
      </c>
      <c r="B1820" s="58">
        <v>22435946848</v>
      </c>
      <c r="C1820" s="63"/>
      <c r="D1820" s="60"/>
      <c r="E1820" s="9">
        <v>292</v>
      </c>
      <c r="F1820" s="25">
        <v>43168</v>
      </c>
      <c r="G1820" s="9" t="s">
        <v>13</v>
      </c>
      <c r="H1820" s="9"/>
      <c r="I1820" s="8"/>
      <c r="J1820" s="8"/>
      <c r="K1820" s="8"/>
      <c r="L1820" s="9">
        <v>318</v>
      </c>
      <c r="M1820" s="8"/>
    </row>
    <row r="1821" spans="1:13">
      <c r="A1821" s="62" t="s">
        <v>2614</v>
      </c>
      <c r="B1821" s="58">
        <v>16417318850</v>
      </c>
      <c r="C1821" s="63" t="s">
        <v>2615</v>
      </c>
      <c r="D1821" s="60">
        <v>18195940846</v>
      </c>
      <c r="E1821" s="9">
        <v>810</v>
      </c>
      <c r="F1821" s="25">
        <v>42915</v>
      </c>
      <c r="G1821" s="61" t="s">
        <v>20</v>
      </c>
      <c r="H1821" s="9"/>
      <c r="I1821" s="8"/>
      <c r="J1821" s="8"/>
      <c r="K1821" s="8"/>
      <c r="L1821" s="9" t="s">
        <v>138</v>
      </c>
      <c r="M1821" s="8"/>
    </row>
    <row r="1822" spans="1:13">
      <c r="A1822" s="14" t="s">
        <v>2616</v>
      </c>
      <c r="B1822" s="58">
        <v>12570160830</v>
      </c>
      <c r="C1822" s="63"/>
      <c r="D1822" s="60"/>
      <c r="E1822" s="9">
        <v>1752</v>
      </c>
      <c r="F1822" s="25">
        <v>43051</v>
      </c>
      <c r="G1822" s="61" t="s">
        <v>13</v>
      </c>
      <c r="H1822" s="9"/>
      <c r="I1822" s="8"/>
      <c r="J1822" s="8"/>
      <c r="K1822" s="8"/>
      <c r="L1822" s="9">
        <v>1759</v>
      </c>
      <c r="M1822" s="8"/>
    </row>
    <row r="1823" spans="1:13">
      <c r="A1823" s="62" t="s">
        <v>2617</v>
      </c>
      <c r="B1823" s="58">
        <v>14369207878</v>
      </c>
      <c r="C1823" s="63" t="s">
        <v>2618</v>
      </c>
      <c r="D1823" s="60">
        <v>7358923421</v>
      </c>
      <c r="E1823" s="9">
        <v>292</v>
      </c>
      <c r="F1823" s="25">
        <v>43168</v>
      </c>
      <c r="G1823" s="9" t="s">
        <v>13</v>
      </c>
      <c r="H1823" s="9"/>
      <c r="I1823" s="8"/>
      <c r="J1823" s="8"/>
      <c r="K1823" s="8"/>
      <c r="L1823" s="9">
        <v>318</v>
      </c>
      <c r="M1823" s="8"/>
    </row>
    <row r="1824" spans="1:13">
      <c r="A1824" s="62" t="s">
        <v>2619</v>
      </c>
      <c r="B1824" s="58">
        <v>22496598858</v>
      </c>
      <c r="C1824" s="63"/>
      <c r="D1824" s="60"/>
      <c r="E1824" s="9"/>
      <c r="F1824" s="25"/>
      <c r="G1824" s="61"/>
      <c r="H1824" s="9"/>
      <c r="I1824" s="8"/>
      <c r="J1824" s="8"/>
      <c r="K1824" s="8"/>
      <c r="L1824" s="8"/>
      <c r="M1824" s="8"/>
    </row>
    <row r="1825" spans="1:13">
      <c r="A1825" s="62" t="s">
        <v>2619</v>
      </c>
      <c r="B1825" s="58">
        <v>15799919807</v>
      </c>
      <c r="C1825" s="63"/>
      <c r="D1825" s="60"/>
      <c r="E1825" s="9">
        <v>527</v>
      </c>
      <c r="F1825" s="25">
        <v>43210</v>
      </c>
      <c r="G1825" s="61"/>
      <c r="H1825" s="9"/>
      <c r="I1825" s="8"/>
      <c r="J1825" s="8"/>
      <c r="K1825" s="8"/>
      <c r="L1825" s="9">
        <v>528</v>
      </c>
      <c r="M1825" s="8"/>
    </row>
    <row r="1826" spans="1:13">
      <c r="A1826" s="62" t="s">
        <v>2620</v>
      </c>
      <c r="B1826" s="58">
        <v>7803534805</v>
      </c>
      <c r="C1826" s="63"/>
      <c r="D1826" s="60"/>
      <c r="E1826" s="9">
        <v>85</v>
      </c>
      <c r="F1826" s="25">
        <v>43109</v>
      </c>
      <c r="G1826" s="61" t="s">
        <v>13</v>
      </c>
      <c r="H1826" s="25">
        <v>43151</v>
      </c>
      <c r="I1826" s="8"/>
      <c r="J1826" s="8"/>
      <c r="K1826" s="8"/>
      <c r="L1826" s="8"/>
      <c r="M1826" s="8"/>
    </row>
    <row r="1827" spans="1:13">
      <c r="A1827" s="38" t="s">
        <v>2621</v>
      </c>
      <c r="B1827" s="58">
        <v>27137412890</v>
      </c>
      <c r="C1827" s="63"/>
      <c r="D1827" s="60"/>
      <c r="E1827" s="9"/>
      <c r="F1827" s="25"/>
      <c r="G1827" s="61"/>
      <c r="H1827" s="9"/>
      <c r="I1827" s="8"/>
      <c r="J1827" s="8"/>
      <c r="K1827" s="8"/>
      <c r="L1827" s="8"/>
      <c r="M1827" s="8"/>
    </row>
    <row r="1828" spans="1:13">
      <c r="A1828" s="62" t="s">
        <v>2622</v>
      </c>
      <c r="B1828" s="58">
        <v>26989783842</v>
      </c>
      <c r="C1828" s="63"/>
      <c r="D1828" s="60"/>
      <c r="E1828" s="9">
        <v>573</v>
      </c>
      <c r="F1828" s="25">
        <v>43224</v>
      </c>
      <c r="G1828" s="61"/>
      <c r="H1828" s="9"/>
      <c r="I1828" s="8"/>
      <c r="J1828" s="8"/>
      <c r="K1828" s="8"/>
      <c r="L1828" s="8"/>
      <c r="M1828" s="8"/>
    </row>
    <row r="1829" spans="1:13">
      <c r="A1829" s="62" t="s">
        <v>2623</v>
      </c>
      <c r="B1829" s="58" t="s">
        <v>2624</v>
      </c>
      <c r="C1829" s="63" t="s">
        <v>2625</v>
      </c>
      <c r="D1829" s="60">
        <v>43860821822</v>
      </c>
      <c r="E1829" s="9">
        <v>1752</v>
      </c>
      <c r="F1829" s="25">
        <v>43051</v>
      </c>
      <c r="G1829" s="61" t="s">
        <v>13</v>
      </c>
      <c r="H1829" s="9"/>
      <c r="I1829" s="8"/>
      <c r="J1829" s="8"/>
      <c r="K1829" s="8"/>
      <c r="L1829" s="9">
        <v>1759</v>
      </c>
      <c r="M1829" s="8"/>
    </row>
    <row r="1830" spans="1:13">
      <c r="A1830" s="27" t="s">
        <v>2623</v>
      </c>
      <c r="B1830" s="58"/>
      <c r="C1830" s="18" t="s">
        <v>129</v>
      </c>
      <c r="D1830" s="60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63" t="s">
        <v>2626</v>
      </c>
      <c r="B1831" s="58">
        <v>32969576856</v>
      </c>
      <c r="C1831" s="63" t="s">
        <v>2627</v>
      </c>
      <c r="D1831" s="60">
        <v>61347418504</v>
      </c>
      <c r="E1831" s="9"/>
      <c r="F1831" s="25"/>
      <c r="G1831" s="61"/>
      <c r="H1831" s="9"/>
      <c r="I1831" s="8"/>
      <c r="J1831" s="8"/>
      <c r="K1831" s="8"/>
      <c r="L1831" s="8"/>
      <c r="M1831" s="8"/>
    </row>
    <row r="1832" spans="1:13">
      <c r="A1832" s="18" t="s">
        <v>2628</v>
      </c>
      <c r="B1832" s="58">
        <v>23651706842</v>
      </c>
      <c r="C1832" s="18" t="s">
        <v>2629</v>
      </c>
      <c r="D1832" s="60">
        <v>61122173415</v>
      </c>
      <c r="E1832" s="9"/>
      <c r="F1832" s="25"/>
      <c r="G1832" s="61"/>
      <c r="H1832" s="9"/>
      <c r="I1832" s="8"/>
      <c r="J1832" s="8"/>
      <c r="K1832" s="8"/>
      <c r="L1832" s="8"/>
      <c r="M1832" s="8"/>
    </row>
    <row r="1833" spans="1:13">
      <c r="A1833" s="27" t="s">
        <v>2630</v>
      </c>
      <c r="B1833" s="58"/>
      <c r="C1833" s="27" t="s">
        <v>2631</v>
      </c>
      <c r="D1833" s="60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62" t="s">
        <v>2632</v>
      </c>
      <c r="B1834" s="58">
        <v>24891699809</v>
      </c>
      <c r="C1834" s="63" t="s">
        <v>2633</v>
      </c>
      <c r="D1834" s="60">
        <v>17610300861</v>
      </c>
      <c r="E1834" s="9">
        <v>262</v>
      </c>
      <c r="F1834" s="25">
        <v>43160</v>
      </c>
      <c r="G1834" s="61" t="s">
        <v>20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2634</v>
      </c>
      <c r="B1835" s="58">
        <v>18581996892</v>
      </c>
      <c r="C1835" s="59"/>
      <c r="D1835" s="60"/>
      <c r="E1835" s="9">
        <v>1128</v>
      </c>
      <c r="F1835" s="25">
        <v>42972</v>
      </c>
      <c r="G1835" s="61" t="s">
        <v>13</v>
      </c>
      <c r="H1835" s="9"/>
      <c r="I1835" s="8"/>
      <c r="J1835" s="8"/>
      <c r="K1835" s="8"/>
      <c r="L1835" s="8"/>
      <c r="M1835" s="8"/>
    </row>
    <row r="1836" spans="1:13">
      <c r="A1836" s="62" t="s">
        <v>2635</v>
      </c>
      <c r="B1836" s="58">
        <v>79465617687</v>
      </c>
      <c r="C1836" s="68" t="s">
        <v>2636</v>
      </c>
      <c r="D1836" s="60">
        <v>36345907855</v>
      </c>
      <c r="E1836" s="9">
        <v>563</v>
      </c>
      <c r="F1836" s="25">
        <v>43217</v>
      </c>
      <c r="G1836" s="61"/>
      <c r="H1836" s="9"/>
      <c r="I1836" s="8"/>
      <c r="J1836" s="8"/>
      <c r="K1836" s="8"/>
      <c r="L1836" s="9" t="s">
        <v>299</v>
      </c>
      <c r="M1836" s="8"/>
    </row>
    <row r="1837" spans="1:13">
      <c r="A1837" s="27" t="s">
        <v>2637</v>
      </c>
      <c r="B1837" s="58"/>
      <c r="C1837" s="27" t="s">
        <v>129</v>
      </c>
      <c r="D1837" s="60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62" t="s">
        <v>2638</v>
      </c>
      <c r="B1838" s="58" t="s">
        <v>2639</v>
      </c>
      <c r="C1838" s="59"/>
      <c r="D1838" s="60"/>
      <c r="E1838" s="9"/>
      <c r="F1838" s="25"/>
      <c r="G1838" s="61"/>
      <c r="H1838" s="9"/>
      <c r="I1838" s="8"/>
      <c r="J1838" s="8"/>
      <c r="K1838" s="8"/>
      <c r="L1838" s="8"/>
      <c r="M1838" s="8"/>
    </row>
    <row r="1839" spans="1:13">
      <c r="A1839" s="18" t="s">
        <v>2640</v>
      </c>
      <c r="B1839" s="58">
        <v>8545670893</v>
      </c>
      <c r="C1839" s="18" t="s">
        <v>2641</v>
      </c>
      <c r="D1839" s="60">
        <v>11705567878</v>
      </c>
      <c r="E1839" s="9"/>
      <c r="F1839" s="25"/>
      <c r="G1839" s="61"/>
      <c r="H1839" s="9"/>
      <c r="I1839" s="8"/>
      <c r="J1839" s="8"/>
      <c r="K1839" s="8"/>
      <c r="L1839" s="8"/>
      <c r="M1839" s="8"/>
    </row>
    <row r="1840" spans="1:13">
      <c r="A1840" s="62" t="s">
        <v>2640</v>
      </c>
      <c r="B1840" s="58">
        <v>24858022897</v>
      </c>
      <c r="C1840" s="63"/>
      <c r="D1840" s="60"/>
      <c r="E1840" s="9">
        <v>810</v>
      </c>
      <c r="F1840" s="25">
        <v>42915</v>
      </c>
      <c r="G1840" s="61" t="s">
        <v>13</v>
      </c>
      <c r="H1840" s="9"/>
      <c r="I1840" s="8"/>
      <c r="J1840" s="8"/>
      <c r="K1840" s="8"/>
      <c r="L1840" s="9" t="s">
        <v>138</v>
      </c>
      <c r="M1840" s="8"/>
    </row>
    <row r="1841" spans="1:13">
      <c r="A1841" s="63" t="s">
        <v>2642</v>
      </c>
      <c r="B1841" s="58">
        <v>16519436801</v>
      </c>
      <c r="C1841" s="63"/>
      <c r="D1841" s="60"/>
      <c r="E1841" s="9"/>
      <c r="F1841" s="25"/>
      <c r="G1841" s="61"/>
      <c r="H1841" s="9"/>
      <c r="I1841" s="8"/>
      <c r="J1841" s="8"/>
      <c r="K1841" s="8"/>
      <c r="L1841" s="8"/>
      <c r="M1841" s="8"/>
    </row>
    <row r="1842" spans="1:13">
      <c r="A1842" s="27" t="s">
        <v>2643</v>
      </c>
      <c r="B1842" s="58"/>
      <c r="C1842" s="27" t="s">
        <v>129</v>
      </c>
      <c r="D1842" s="60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2644</v>
      </c>
      <c r="B1843" s="58">
        <v>41771284811</v>
      </c>
      <c r="C1843" s="63"/>
      <c r="D1843" s="60"/>
      <c r="E1843" s="9">
        <v>1350</v>
      </c>
      <c r="F1843" s="25">
        <v>43006</v>
      </c>
      <c r="G1843" s="61" t="s">
        <v>13</v>
      </c>
      <c r="H1843" s="9"/>
      <c r="I1843" s="8"/>
      <c r="J1843" s="8"/>
      <c r="K1843" s="8"/>
      <c r="L1843" s="8"/>
      <c r="M1843" s="8"/>
    </row>
    <row r="1844" spans="1:13">
      <c r="A1844" s="63" t="s">
        <v>2645</v>
      </c>
      <c r="B1844" s="60">
        <v>84920157487</v>
      </c>
      <c r="C1844" s="62" t="s">
        <v>2646</v>
      </c>
      <c r="D1844" s="58">
        <v>33479359850</v>
      </c>
      <c r="E1844" s="9"/>
      <c r="F1844" s="25"/>
      <c r="G1844" s="61"/>
      <c r="H1844" s="9"/>
      <c r="I1844" s="8"/>
      <c r="J1844" s="8"/>
      <c r="K1844" s="8"/>
      <c r="L1844" s="8"/>
      <c r="M1844" s="8"/>
    </row>
    <row r="1845" spans="1:13">
      <c r="A1845" s="27" t="s">
        <v>2647</v>
      </c>
      <c r="B1845" s="58">
        <v>18463154840</v>
      </c>
      <c r="C1845" s="8"/>
      <c r="D1845" s="60"/>
      <c r="E1845" s="9"/>
      <c r="F1845" s="25"/>
      <c r="G1845" s="61"/>
      <c r="H1845" s="9"/>
      <c r="I1845" s="8"/>
      <c r="J1845" s="8"/>
      <c r="K1845" s="8"/>
      <c r="L1845" s="8"/>
      <c r="M1845" s="8"/>
    </row>
    <row r="1846" spans="1:13">
      <c r="A1846" s="62" t="s">
        <v>2648</v>
      </c>
      <c r="B1846" s="58">
        <v>35331745814</v>
      </c>
      <c r="C1846" s="66" t="s">
        <v>2649</v>
      </c>
      <c r="D1846" s="60">
        <v>33184459837</v>
      </c>
      <c r="E1846" s="9">
        <v>1106</v>
      </c>
      <c r="F1846" s="25">
        <v>42965</v>
      </c>
      <c r="G1846" s="61" t="s">
        <v>13</v>
      </c>
      <c r="H1846" s="9"/>
      <c r="I1846" s="8"/>
      <c r="J1846" s="8"/>
      <c r="K1846" s="8"/>
      <c r="L1846" s="8"/>
      <c r="M1846" s="8"/>
    </row>
    <row r="1847" spans="1:13">
      <c r="A1847" s="15" t="s">
        <v>2650</v>
      </c>
      <c r="B1847" s="58">
        <v>8224273466</v>
      </c>
      <c r="C1847" s="63"/>
      <c r="D1847" s="60"/>
      <c r="E1847" s="9">
        <v>229</v>
      </c>
      <c r="F1847" s="25">
        <v>43151</v>
      </c>
      <c r="G1847" s="61" t="s">
        <v>13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2651</v>
      </c>
      <c r="B1848" s="58">
        <v>3173915852</v>
      </c>
      <c r="C1848" s="63"/>
      <c r="D1848" s="60"/>
      <c r="E1848" s="9"/>
      <c r="F1848" s="25"/>
      <c r="G1848" s="61"/>
      <c r="H1848" s="9"/>
      <c r="I1848" s="8"/>
      <c r="J1848" s="8"/>
      <c r="K1848" s="8"/>
      <c r="L1848" s="8"/>
      <c r="M1848" s="8"/>
    </row>
    <row r="1849" spans="1:13">
      <c r="A1849" s="62" t="s">
        <v>2652</v>
      </c>
      <c r="B1849" s="58">
        <v>11861512856</v>
      </c>
      <c r="C1849" s="63"/>
      <c r="D1849" s="60"/>
      <c r="E1849" s="9">
        <v>1824</v>
      </c>
      <c r="F1849" s="25">
        <v>43091</v>
      </c>
      <c r="G1849" s="61" t="s">
        <v>13</v>
      </c>
      <c r="H1849" s="9"/>
      <c r="I1849" s="8"/>
      <c r="J1849" s="8"/>
      <c r="K1849" s="8"/>
      <c r="L1849" s="9">
        <v>1828</v>
      </c>
      <c r="M1849" s="8"/>
    </row>
    <row r="1850" spans="1:13">
      <c r="A1850" s="27" t="s">
        <v>2653</v>
      </c>
      <c r="B1850" s="58">
        <v>14686278805</v>
      </c>
      <c r="C1850" s="18" t="s">
        <v>129</v>
      </c>
      <c r="D1850" s="60"/>
      <c r="E1850" s="9"/>
      <c r="F1850" s="25"/>
      <c r="G1850" s="61"/>
      <c r="H1850" s="9"/>
      <c r="I1850" s="8"/>
      <c r="J1850" s="8"/>
      <c r="K1850" s="8"/>
      <c r="L1850" s="8"/>
      <c r="M1850" s="8"/>
    </row>
    <row r="1851" spans="1:13">
      <c r="A1851" s="64" t="s">
        <v>2654</v>
      </c>
      <c r="B1851" s="58">
        <v>14857592851</v>
      </c>
      <c r="C1851" s="63" t="s">
        <v>2655</v>
      </c>
      <c r="D1851" s="60">
        <v>35142215885</v>
      </c>
      <c r="E1851" s="9">
        <v>1106</v>
      </c>
      <c r="F1851" s="25">
        <v>42965</v>
      </c>
      <c r="G1851" s="61" t="s">
        <v>13</v>
      </c>
      <c r="H1851" s="9"/>
      <c r="I1851" s="8"/>
      <c r="J1851" s="8"/>
      <c r="K1851" s="8"/>
      <c r="L1851" s="8"/>
      <c r="M1851" s="8"/>
    </row>
    <row r="1852" spans="1:13">
      <c r="A1852" s="62" t="s">
        <v>2656</v>
      </c>
      <c r="B1852" s="58">
        <v>26028940879</v>
      </c>
      <c r="C1852" s="63"/>
      <c r="D1852" s="60"/>
      <c r="E1852" s="9">
        <v>1824</v>
      </c>
      <c r="F1852" s="25">
        <v>43091</v>
      </c>
      <c r="G1852" s="61" t="s">
        <v>13</v>
      </c>
      <c r="H1852" s="9"/>
      <c r="I1852" s="8"/>
      <c r="J1852" s="8"/>
      <c r="K1852" s="8"/>
      <c r="L1852" s="9">
        <v>1828</v>
      </c>
      <c r="M1852" s="8"/>
    </row>
    <row r="1853" spans="1:13">
      <c r="A1853" s="64" t="s">
        <v>2657</v>
      </c>
      <c r="B1853" s="58">
        <v>35714112857</v>
      </c>
      <c r="C1853" s="63" t="s">
        <v>2658</v>
      </c>
      <c r="D1853" s="60">
        <v>32342783850</v>
      </c>
      <c r="E1853" s="9">
        <v>810</v>
      </c>
      <c r="F1853" s="25">
        <v>42915</v>
      </c>
      <c r="G1853" s="61" t="s">
        <v>13</v>
      </c>
      <c r="H1853" s="9"/>
      <c r="I1853" s="8"/>
      <c r="J1853" s="8"/>
      <c r="K1853" s="8"/>
      <c r="L1853" s="9" t="s">
        <v>138</v>
      </c>
      <c r="M1853" s="8"/>
    </row>
    <row r="1854" spans="1:13">
      <c r="A1854" s="15" t="s">
        <v>2659</v>
      </c>
      <c r="B1854" s="58"/>
      <c r="C1854" s="63"/>
      <c r="D1854" s="60"/>
      <c r="E1854" s="9"/>
      <c r="F1854" s="25"/>
      <c r="G1854" s="61"/>
      <c r="H1854" s="9"/>
      <c r="I1854" s="8"/>
      <c r="J1854" s="8"/>
      <c r="K1854" s="8"/>
      <c r="L1854" s="8"/>
      <c r="M1854" s="8"/>
    </row>
    <row r="1855" spans="1:13">
      <c r="A1855" s="62" t="s">
        <v>2660</v>
      </c>
      <c r="B1855" s="58">
        <v>41256193879</v>
      </c>
      <c r="C1855" s="64"/>
      <c r="D1855" s="60"/>
      <c r="E1855" s="9">
        <v>292</v>
      </c>
      <c r="F1855" s="25">
        <v>43168</v>
      </c>
      <c r="G1855" s="61" t="s">
        <v>13</v>
      </c>
      <c r="H1855" s="9"/>
      <c r="I1855" s="8"/>
      <c r="J1855" s="8"/>
      <c r="K1855" s="8"/>
      <c r="L1855" s="9">
        <v>318</v>
      </c>
      <c r="M1855" s="8"/>
    </row>
    <row r="1856" spans="1:13">
      <c r="A1856" s="62" t="s">
        <v>2661</v>
      </c>
      <c r="B1856" s="58">
        <v>22009621859</v>
      </c>
      <c r="C1856" s="63" t="s">
        <v>2662</v>
      </c>
      <c r="D1856" s="60">
        <v>1801336830</v>
      </c>
      <c r="E1856" s="9"/>
      <c r="F1856" s="25"/>
      <c r="G1856" s="61"/>
      <c r="H1856" s="9"/>
      <c r="I1856" s="8"/>
      <c r="J1856" s="8"/>
      <c r="K1856" s="8"/>
      <c r="L1856" s="8"/>
      <c r="M1856" s="8"/>
    </row>
    <row r="1857" spans="1:13">
      <c r="A1857" s="62" t="s">
        <v>2663</v>
      </c>
      <c r="B1857" s="58">
        <v>23709530806</v>
      </c>
      <c r="C1857" s="63"/>
      <c r="D1857" s="60"/>
      <c r="E1857" s="9">
        <v>810</v>
      </c>
      <c r="F1857" s="25">
        <v>42915</v>
      </c>
      <c r="G1857" s="61" t="s">
        <v>13</v>
      </c>
      <c r="H1857" s="9"/>
      <c r="I1857" s="8"/>
      <c r="J1857" s="8"/>
      <c r="K1857" s="8"/>
      <c r="L1857" s="9" t="s">
        <v>138</v>
      </c>
      <c r="M1857" s="8"/>
    </row>
    <row r="1858" spans="1:13">
      <c r="A1858" s="62" t="s">
        <v>2664</v>
      </c>
      <c r="B1858" s="58">
        <v>15217360810</v>
      </c>
      <c r="C1858" s="63"/>
      <c r="D1858" s="60"/>
      <c r="E1858" s="9">
        <v>85</v>
      </c>
      <c r="F1858" s="25">
        <v>43109</v>
      </c>
      <c r="G1858" s="61" t="s">
        <v>13</v>
      </c>
      <c r="H1858" s="25">
        <v>43151</v>
      </c>
      <c r="I1858" s="8"/>
      <c r="J1858" s="8"/>
      <c r="K1858" s="8"/>
      <c r="L1858" s="8"/>
      <c r="M1858" s="8"/>
    </row>
    <row r="1859" spans="1:13">
      <c r="A1859" s="62" t="s">
        <v>2665</v>
      </c>
      <c r="B1859" s="58">
        <v>32752183879</v>
      </c>
      <c r="C1859" s="63" t="s">
        <v>2666</v>
      </c>
      <c r="D1859" s="60">
        <v>15202346867</v>
      </c>
      <c r="E1859" s="9">
        <v>85</v>
      </c>
      <c r="F1859" s="25">
        <v>43109</v>
      </c>
      <c r="G1859" s="61" t="s">
        <v>13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2667</v>
      </c>
      <c r="B1860" s="58">
        <v>18472650812</v>
      </c>
      <c r="C1860" s="18"/>
      <c r="D1860" s="60"/>
      <c r="E1860" s="9"/>
      <c r="F1860" s="25"/>
      <c r="G1860" s="61"/>
      <c r="H1860" s="9"/>
      <c r="I1860" s="8"/>
      <c r="J1860" s="8"/>
      <c r="K1860" s="8"/>
      <c r="L1860" s="8"/>
      <c r="M1860" s="8"/>
    </row>
    <row r="1861" spans="1:13">
      <c r="A1861" s="13" t="s">
        <v>2668</v>
      </c>
      <c r="B1861" s="58">
        <v>13622732873</v>
      </c>
      <c r="C1861" s="59"/>
      <c r="D1861" s="60"/>
      <c r="E1861" s="9"/>
      <c r="F1861" s="25"/>
      <c r="G1861" s="61" t="s">
        <v>13</v>
      </c>
      <c r="H1861" s="9"/>
      <c r="I1861" s="8"/>
      <c r="J1861" s="8"/>
      <c r="K1861" s="8"/>
      <c r="L1861" s="8"/>
      <c r="M1861" s="8"/>
    </row>
    <row r="1862" spans="1:13">
      <c r="A1862" s="62" t="s">
        <v>2669</v>
      </c>
      <c r="B1862" s="58">
        <v>15767152802</v>
      </c>
      <c r="C1862" s="63"/>
      <c r="D1862" s="60"/>
      <c r="E1862" s="9"/>
      <c r="F1862" s="25"/>
      <c r="G1862" s="61"/>
      <c r="H1862" s="9"/>
      <c r="I1862" s="8"/>
      <c r="J1862" s="8"/>
      <c r="K1862" s="8"/>
      <c r="L1862" s="8"/>
      <c r="M1862" s="8"/>
    </row>
    <row r="1863" spans="1:13">
      <c r="A1863" s="62" t="s">
        <v>2670</v>
      </c>
      <c r="B1863" s="58">
        <v>17094778813</v>
      </c>
      <c r="C1863" s="63" t="s">
        <v>2671</v>
      </c>
      <c r="D1863" s="60">
        <v>52431843734</v>
      </c>
      <c r="E1863" s="9">
        <v>573</v>
      </c>
      <c r="F1863" s="25">
        <v>43224</v>
      </c>
      <c r="G1863" s="61"/>
      <c r="H1863" s="9"/>
      <c r="I1863" s="8"/>
      <c r="J1863" s="8"/>
      <c r="K1863" s="8"/>
      <c r="L1863" s="8"/>
      <c r="M1863" s="8"/>
    </row>
    <row r="1864" spans="1:13">
      <c r="A1864" s="62" t="s">
        <v>2672</v>
      </c>
      <c r="B1864" s="58"/>
      <c r="C1864" s="63" t="s">
        <v>2673</v>
      </c>
      <c r="D1864" s="60"/>
      <c r="E1864" s="9"/>
      <c r="F1864" s="25"/>
      <c r="G1864" s="61"/>
      <c r="H1864" s="9"/>
      <c r="I1864" s="8"/>
      <c r="J1864" s="8"/>
      <c r="K1864" s="8"/>
      <c r="L1864" s="8"/>
      <c r="M1864" s="8"/>
    </row>
    <row r="1865" spans="1:13">
      <c r="A1865" s="64" t="s">
        <v>2674</v>
      </c>
      <c r="B1865" s="58">
        <v>43289674878</v>
      </c>
      <c r="C1865" s="63" t="s">
        <v>2675</v>
      </c>
      <c r="D1865" s="60">
        <v>39726735823</v>
      </c>
      <c r="E1865" s="9">
        <v>810</v>
      </c>
      <c r="F1865" s="25">
        <v>42915</v>
      </c>
      <c r="G1865" s="61" t="s">
        <v>13</v>
      </c>
      <c r="H1865" s="9"/>
      <c r="I1865" s="8"/>
      <c r="J1865" s="8"/>
      <c r="K1865" s="8"/>
      <c r="L1865" s="9" t="s">
        <v>138</v>
      </c>
      <c r="M1865" s="8"/>
    </row>
    <row r="1866" spans="1:13">
      <c r="A1866" s="27" t="s">
        <v>2676</v>
      </c>
      <c r="B1866" s="58">
        <v>3778856812</v>
      </c>
      <c r="C1866" s="18" t="s">
        <v>129</v>
      </c>
      <c r="D1866" s="60"/>
      <c r="E1866" s="9"/>
      <c r="F1866" s="25"/>
      <c r="G1866" s="61"/>
      <c r="H1866" s="9"/>
      <c r="I1866" s="8"/>
      <c r="J1866" s="8"/>
      <c r="K1866" s="8"/>
      <c r="L1866" s="8"/>
      <c r="M1866" s="8"/>
    </row>
    <row r="1867" spans="1:13">
      <c r="A1867" s="27" t="s">
        <v>2677</v>
      </c>
      <c r="B1867" s="58">
        <v>36074731888</v>
      </c>
      <c r="C1867" s="27" t="s">
        <v>129</v>
      </c>
      <c r="D1867" s="60"/>
      <c r="E1867" s="9"/>
      <c r="F1867" s="25"/>
      <c r="G1867" s="61"/>
      <c r="H1867" s="9"/>
      <c r="I1867" s="8"/>
      <c r="J1867" s="8"/>
      <c r="K1867" s="8"/>
      <c r="L1867" s="8"/>
      <c r="M1867" s="8"/>
    </row>
    <row r="1868" spans="1:13">
      <c r="A1868" s="62" t="s">
        <v>2678</v>
      </c>
      <c r="B1868" s="58">
        <v>24627830831</v>
      </c>
      <c r="C1868" s="63"/>
      <c r="D1868" s="60"/>
      <c r="E1868" s="9"/>
      <c r="F1868" s="25"/>
      <c r="G1868" s="61"/>
      <c r="H1868" s="9"/>
      <c r="I1868" s="8"/>
      <c r="J1868" s="8"/>
      <c r="K1868" s="8"/>
      <c r="L1868" s="8"/>
      <c r="M1868" s="8"/>
    </row>
    <row r="1869" spans="1:13">
      <c r="A1869" s="62" t="s">
        <v>2679</v>
      </c>
      <c r="B1869" s="58">
        <v>4781728855</v>
      </c>
      <c r="C1869" s="63"/>
      <c r="D1869" s="60"/>
      <c r="E1869" s="9">
        <v>1752</v>
      </c>
      <c r="F1869" s="25">
        <v>43051</v>
      </c>
      <c r="G1869" s="61" t="s">
        <v>13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2680</v>
      </c>
      <c r="B1870" s="58">
        <v>24604031860</v>
      </c>
      <c r="C1870" s="63"/>
      <c r="D1870" s="60"/>
      <c r="E1870" s="9">
        <v>563</v>
      </c>
      <c r="F1870" s="25">
        <v>43217</v>
      </c>
      <c r="G1870" s="61"/>
      <c r="H1870" s="9"/>
      <c r="I1870" s="8"/>
      <c r="J1870" s="8"/>
      <c r="K1870" s="8"/>
      <c r="L1870" s="9" t="s">
        <v>299</v>
      </c>
      <c r="M1870" s="8"/>
    </row>
    <row r="1871" spans="1:13">
      <c r="A1871" s="62" t="s">
        <v>2681</v>
      </c>
      <c r="B1871" s="58">
        <v>4947795514</v>
      </c>
      <c r="C1871" s="63"/>
      <c r="D1871" s="60"/>
      <c r="E1871" s="9"/>
      <c r="F1871" s="25"/>
      <c r="G1871" s="61"/>
      <c r="H1871" s="9"/>
      <c r="I1871" s="8"/>
      <c r="J1871" s="8"/>
      <c r="K1871" s="8"/>
      <c r="L1871" s="8"/>
      <c r="M1871" s="8"/>
    </row>
    <row r="1872" spans="1:13">
      <c r="A1872" s="62" t="s">
        <v>2682</v>
      </c>
      <c r="B1872" s="58">
        <v>30969153856</v>
      </c>
      <c r="C1872" s="63"/>
      <c r="D1872" s="60"/>
      <c r="E1872" s="9">
        <v>1824</v>
      </c>
      <c r="F1872" s="25">
        <v>43091</v>
      </c>
      <c r="G1872" s="61" t="s">
        <v>13</v>
      </c>
      <c r="H1872" s="9"/>
      <c r="I1872" s="8"/>
      <c r="J1872" s="8"/>
      <c r="K1872" s="8"/>
      <c r="L1872" s="9">
        <v>1828</v>
      </c>
      <c r="M1872" s="8"/>
    </row>
    <row r="1873" spans="1:13">
      <c r="A1873" s="62" t="s">
        <v>2683</v>
      </c>
      <c r="B1873" s="58">
        <v>35885861803</v>
      </c>
      <c r="C1873" s="63" t="s">
        <v>2684</v>
      </c>
      <c r="D1873" s="60">
        <v>41692376845</v>
      </c>
      <c r="E1873" s="9"/>
      <c r="F1873" s="25"/>
      <c r="G1873" s="61"/>
      <c r="H1873" s="9"/>
      <c r="I1873" s="8"/>
      <c r="J1873" s="8"/>
      <c r="K1873" s="8"/>
      <c r="L1873" s="8"/>
      <c r="M1873" s="8"/>
    </row>
    <row r="1874" spans="1:13">
      <c r="A1874" s="62" t="s">
        <v>2685</v>
      </c>
      <c r="B1874" s="58">
        <v>12446748856</v>
      </c>
      <c r="C1874" s="63"/>
      <c r="D1874" s="60"/>
      <c r="E1874" s="9">
        <v>485</v>
      </c>
      <c r="F1874" s="25">
        <v>43196</v>
      </c>
      <c r="G1874" s="61"/>
      <c r="H1874" s="9"/>
      <c r="I1874" s="8"/>
      <c r="J1874" s="8"/>
      <c r="K1874" s="8"/>
      <c r="L1874" s="9">
        <v>483</v>
      </c>
      <c r="M1874" s="8"/>
    </row>
    <row r="1875" spans="1:13">
      <c r="A1875" s="62" t="s">
        <v>2686</v>
      </c>
      <c r="B1875" s="58">
        <v>11324145803</v>
      </c>
      <c r="C1875" s="63"/>
      <c r="D1875" s="60"/>
      <c r="E1875" s="9">
        <v>810</v>
      </c>
      <c r="F1875" s="25">
        <v>42915</v>
      </c>
      <c r="G1875" s="61" t="s">
        <v>13</v>
      </c>
      <c r="H1875" s="9"/>
      <c r="I1875" s="8"/>
      <c r="J1875" s="8"/>
      <c r="K1875" s="8"/>
      <c r="L1875" s="9" t="s">
        <v>138</v>
      </c>
      <c r="M1875" s="8"/>
    </row>
    <row r="1876" spans="1:13">
      <c r="A1876" s="13" t="s">
        <v>2687</v>
      </c>
      <c r="B1876" s="58">
        <v>14888258821</v>
      </c>
      <c r="C1876" s="63" t="s">
        <v>2688</v>
      </c>
      <c r="D1876" s="60">
        <v>9173891827</v>
      </c>
      <c r="E1876" s="9">
        <v>229</v>
      </c>
      <c r="F1876" s="25">
        <v>43151</v>
      </c>
      <c r="G1876" s="61" t="s">
        <v>13</v>
      </c>
      <c r="H1876" s="9"/>
      <c r="I1876" s="8"/>
      <c r="J1876" s="8"/>
      <c r="K1876" s="8"/>
      <c r="L1876" s="9">
        <v>232</v>
      </c>
      <c r="M1876" s="8"/>
    </row>
    <row r="1877" spans="1:13">
      <c r="A1877" s="62" t="s">
        <v>2689</v>
      </c>
      <c r="B1877" s="58">
        <v>9692183729</v>
      </c>
      <c r="C1877" s="63"/>
      <c r="D1877" s="60"/>
      <c r="E1877" s="9">
        <v>1439</v>
      </c>
      <c r="F1877" s="25">
        <v>43025</v>
      </c>
      <c r="G1877" s="61" t="s">
        <v>13</v>
      </c>
      <c r="H1877" s="9"/>
      <c r="I1877" s="8"/>
      <c r="J1877" s="8"/>
      <c r="K1877" s="8"/>
      <c r="L1877" s="9" t="s">
        <v>502</v>
      </c>
      <c r="M1877" s="8"/>
    </row>
    <row r="1878" spans="1:13">
      <c r="A1878" s="64" t="s">
        <v>2690</v>
      </c>
      <c r="B1878" s="58">
        <v>36238125870</v>
      </c>
      <c r="C1878" s="63" t="s">
        <v>2691</v>
      </c>
      <c r="D1878" s="60">
        <v>44321368391</v>
      </c>
      <c r="E1878" s="9">
        <v>1106</v>
      </c>
      <c r="F1878" s="25">
        <v>42965</v>
      </c>
      <c r="G1878" s="61" t="s">
        <v>13</v>
      </c>
      <c r="H1878" s="9"/>
      <c r="I1878" s="8"/>
      <c r="J1878" s="8"/>
      <c r="K1878" s="8"/>
      <c r="L1878" s="8"/>
      <c r="M1878" s="8"/>
    </row>
    <row r="1879" spans="1:13">
      <c r="A1879" s="62" t="s">
        <v>2692</v>
      </c>
      <c r="B1879" s="58">
        <v>39131693857</v>
      </c>
      <c r="C1879" s="63"/>
      <c r="D1879" s="60"/>
      <c r="E1879" s="9">
        <v>292</v>
      </c>
      <c r="F1879" s="25">
        <v>43168</v>
      </c>
      <c r="G1879" s="61" t="s">
        <v>13</v>
      </c>
      <c r="H1879" s="9"/>
      <c r="I1879" s="8"/>
      <c r="J1879" s="8"/>
      <c r="K1879" s="8"/>
      <c r="L1879" s="9">
        <v>318</v>
      </c>
      <c r="M1879" s="8"/>
    </row>
    <row r="1880" spans="1:13">
      <c r="A1880" s="62" t="s">
        <v>2693</v>
      </c>
      <c r="B1880" s="58">
        <v>11317085809</v>
      </c>
      <c r="C1880" s="63"/>
      <c r="D1880" s="60"/>
      <c r="E1880" s="9"/>
      <c r="F1880" s="25"/>
      <c r="G1880" s="61"/>
      <c r="H1880" s="9"/>
      <c r="I1880" s="8"/>
      <c r="J1880" s="8"/>
      <c r="K1880" s="8"/>
      <c r="L1880" s="8"/>
      <c r="M1880" s="8"/>
    </row>
    <row r="1881" spans="1:13">
      <c r="A1881" s="27" t="s">
        <v>2694</v>
      </c>
      <c r="B1881" s="58">
        <v>25970465836</v>
      </c>
      <c r="C1881" s="27" t="s">
        <v>2695</v>
      </c>
      <c r="D1881" s="60">
        <v>22294921879</v>
      </c>
      <c r="E1881" s="9"/>
      <c r="F1881" s="25"/>
      <c r="G1881" s="61"/>
      <c r="H1881" s="9"/>
      <c r="I1881" s="8"/>
      <c r="J1881" s="8"/>
      <c r="K1881" s="8"/>
      <c r="L1881" s="8"/>
      <c r="M1881" s="8"/>
    </row>
    <row r="1882" spans="1:13">
      <c r="A1882" s="63" t="s">
        <v>2696</v>
      </c>
      <c r="B1882" s="58">
        <v>26569869825</v>
      </c>
      <c r="C1882" s="15" t="s">
        <v>2697</v>
      </c>
      <c r="D1882" s="60">
        <v>60505249553</v>
      </c>
      <c r="E1882" s="9"/>
      <c r="F1882" s="25"/>
      <c r="G1882" s="61"/>
      <c r="H1882" s="9"/>
      <c r="I1882" s="8"/>
      <c r="J1882" s="8"/>
      <c r="K1882" s="8"/>
      <c r="L1882" s="8"/>
      <c r="M1882" s="8"/>
    </row>
    <row r="1883" spans="1:13">
      <c r="A1883" s="64" t="s">
        <v>2698</v>
      </c>
      <c r="B1883" s="58">
        <v>87835053349</v>
      </c>
      <c r="C1883" s="63" t="s">
        <v>2699</v>
      </c>
      <c r="D1883" s="60">
        <v>18172850840</v>
      </c>
      <c r="E1883" s="9">
        <v>1106</v>
      </c>
      <c r="F1883" s="25">
        <v>42965</v>
      </c>
      <c r="G1883" s="61" t="s">
        <v>13</v>
      </c>
      <c r="H1883" s="9"/>
      <c r="I1883" s="8"/>
      <c r="J1883" s="8"/>
      <c r="K1883" s="8"/>
      <c r="L1883" s="8"/>
      <c r="M1883" s="8"/>
    </row>
    <row r="1884" spans="1:13">
      <c r="A1884" s="62" t="s">
        <v>2700</v>
      </c>
      <c r="B1884" s="58">
        <v>6109739839</v>
      </c>
      <c r="C1884" s="68"/>
      <c r="D1884" s="60"/>
      <c r="E1884" s="9">
        <v>563</v>
      </c>
      <c r="F1884" s="25">
        <v>43217</v>
      </c>
      <c r="G1884" s="61"/>
      <c r="H1884" s="9"/>
      <c r="I1884" s="8"/>
      <c r="J1884" s="8"/>
      <c r="K1884" s="8"/>
      <c r="L1884" s="9" t="s">
        <v>299</v>
      </c>
      <c r="M1884" s="8"/>
    </row>
    <row r="1885" spans="1:13">
      <c r="A1885" s="63" t="s">
        <v>2701</v>
      </c>
      <c r="B1885" s="58">
        <v>32747471810</v>
      </c>
      <c r="C1885" s="63" t="s">
        <v>2702</v>
      </c>
      <c r="D1885" s="60">
        <v>89906810491</v>
      </c>
      <c r="E1885" s="9"/>
      <c r="F1885" s="25"/>
      <c r="G1885" s="61"/>
      <c r="H1885" s="9"/>
      <c r="I1885" s="8"/>
      <c r="J1885" s="8"/>
      <c r="K1885" s="8"/>
      <c r="L1885" s="8"/>
      <c r="M1885" s="8"/>
    </row>
    <row r="1886" spans="1:13">
      <c r="A1886" s="75" t="s">
        <v>2703</v>
      </c>
      <c r="B1886" s="58">
        <v>8885841805</v>
      </c>
      <c r="C1886" s="63"/>
      <c r="D1886" s="60"/>
      <c r="E1886" s="9"/>
      <c r="F1886" s="25"/>
      <c r="G1886" s="61"/>
      <c r="H1886" s="9"/>
      <c r="I1886" s="8"/>
      <c r="J1886" s="8"/>
      <c r="K1886" s="8"/>
      <c r="L1886" s="8"/>
      <c r="M1886" s="8"/>
    </row>
    <row r="1887" spans="1:13">
      <c r="A1887" s="62" t="s">
        <v>2704</v>
      </c>
      <c r="B1887" s="58">
        <v>2190954347</v>
      </c>
      <c r="C1887" s="63"/>
      <c r="D1887" s="60"/>
      <c r="E1887" s="9">
        <v>292</v>
      </c>
      <c r="F1887" s="25">
        <v>43168</v>
      </c>
      <c r="G1887" s="61" t="s">
        <v>13</v>
      </c>
      <c r="H1887" s="9"/>
      <c r="I1887" s="8"/>
      <c r="J1887" s="8"/>
      <c r="K1887" s="8"/>
      <c r="L1887" s="9">
        <v>318</v>
      </c>
      <c r="M1887" s="8"/>
    </row>
    <row r="1888" spans="1:13">
      <c r="A1888" s="64" t="s">
        <v>2705</v>
      </c>
      <c r="B1888" s="58">
        <v>31413965822</v>
      </c>
      <c r="C1888" s="63" t="s">
        <v>2706</v>
      </c>
      <c r="D1888" s="60">
        <v>17486425882</v>
      </c>
      <c r="E1888" s="9">
        <v>1106</v>
      </c>
      <c r="F1888" s="25">
        <v>42965</v>
      </c>
      <c r="G1888" s="61" t="s">
        <v>13</v>
      </c>
      <c r="H1888" s="9"/>
      <c r="I1888" s="8"/>
      <c r="J1888" s="8"/>
      <c r="K1888" s="8"/>
      <c r="L1888" s="8"/>
      <c r="M1888" s="8"/>
    </row>
    <row r="1889" spans="1:13">
      <c r="A1889" s="31" t="s">
        <v>2707</v>
      </c>
      <c r="B1889" s="58">
        <v>35736302861</v>
      </c>
      <c r="C1889" s="63" t="s">
        <v>2708</v>
      </c>
      <c r="D1889" s="60">
        <v>39355200854</v>
      </c>
      <c r="E1889" s="9">
        <v>229</v>
      </c>
      <c r="F1889" s="25">
        <v>43151</v>
      </c>
      <c r="G1889" s="61" t="s">
        <v>13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2709</v>
      </c>
      <c r="B1890" s="58">
        <v>53868331549</v>
      </c>
      <c r="C1890" s="59"/>
      <c r="D1890" s="60"/>
      <c r="E1890" s="9">
        <v>1128</v>
      </c>
      <c r="F1890" s="25">
        <v>42972</v>
      </c>
      <c r="G1890" s="61" t="s">
        <v>13</v>
      </c>
      <c r="H1890" s="9"/>
      <c r="I1890" s="8"/>
      <c r="J1890" s="8"/>
      <c r="K1890" s="8"/>
      <c r="L1890" s="8"/>
      <c r="M1890" s="8"/>
    </row>
    <row r="1891" spans="1:13">
      <c r="A1891" s="15" t="s">
        <v>2710</v>
      </c>
      <c r="B1891" s="58">
        <v>16364261825</v>
      </c>
      <c r="C1891" s="63" t="s">
        <v>2711</v>
      </c>
      <c r="D1891" s="60">
        <v>3293003427</v>
      </c>
      <c r="E1891" s="9">
        <v>117</v>
      </c>
      <c r="F1891" s="25">
        <v>43117</v>
      </c>
      <c r="G1891" s="61" t="s">
        <v>13</v>
      </c>
      <c r="H1891" s="9"/>
      <c r="I1891" s="8"/>
      <c r="J1891" s="8"/>
      <c r="K1891" s="8"/>
      <c r="L1891" s="9" t="s">
        <v>170</v>
      </c>
      <c r="M1891" s="8"/>
    </row>
    <row r="1892" spans="1:13">
      <c r="A1892" s="75" t="s">
        <v>2712</v>
      </c>
      <c r="B1892" s="58">
        <v>11280854880</v>
      </c>
      <c r="C1892" s="63"/>
      <c r="D1892" s="60"/>
      <c r="E1892" s="9"/>
      <c r="F1892" s="25"/>
      <c r="G1892" s="61"/>
      <c r="H1892" s="9"/>
      <c r="I1892" s="8"/>
      <c r="J1892" s="8"/>
      <c r="K1892" s="8"/>
      <c r="L1892" s="8"/>
      <c r="M1892" s="8"/>
    </row>
    <row r="1893" spans="1:13">
      <c r="A1893" s="62" t="s">
        <v>2713</v>
      </c>
      <c r="B1893" s="58">
        <v>33729129856</v>
      </c>
      <c r="C1893" s="63" t="s">
        <v>2714</v>
      </c>
      <c r="D1893" s="60">
        <v>14661672895</v>
      </c>
      <c r="E1893" s="9"/>
      <c r="F1893" s="25"/>
      <c r="G1893" s="61"/>
      <c r="H1893" s="9"/>
      <c r="I1893" s="8"/>
      <c r="J1893" s="8"/>
      <c r="K1893" s="8"/>
      <c r="L1893" s="8"/>
      <c r="M1893" s="8"/>
    </row>
    <row r="1894" spans="1:13">
      <c r="A1894" s="15" t="s">
        <v>2715</v>
      </c>
      <c r="B1894" s="58">
        <v>27907959837</v>
      </c>
      <c r="C1894" s="63"/>
      <c r="D1894" s="60"/>
      <c r="E1894" s="9">
        <v>292</v>
      </c>
      <c r="F1894" s="25">
        <v>43168</v>
      </c>
      <c r="G1894" s="61" t="s">
        <v>13</v>
      </c>
      <c r="H1894" s="9"/>
      <c r="I1894" s="8"/>
      <c r="J1894" s="8"/>
      <c r="K1894" s="8"/>
      <c r="L1894" s="9">
        <v>318</v>
      </c>
      <c r="M1894" s="8"/>
    </row>
    <row r="1895" spans="1:13">
      <c r="A1895" s="64" t="s">
        <v>2716</v>
      </c>
      <c r="B1895" s="58">
        <v>6579182458</v>
      </c>
      <c r="C1895" s="63" t="s">
        <v>2717</v>
      </c>
      <c r="D1895" s="60">
        <v>7424068490</v>
      </c>
      <c r="E1895" s="9">
        <v>810</v>
      </c>
      <c r="F1895" s="25">
        <v>42915</v>
      </c>
      <c r="G1895" s="61" t="s">
        <v>13</v>
      </c>
      <c r="H1895" s="9"/>
      <c r="I1895" s="8"/>
      <c r="J1895" s="8"/>
      <c r="K1895" s="8"/>
      <c r="L1895" s="9" t="s">
        <v>138</v>
      </c>
      <c r="M1895" s="8"/>
    </row>
    <row r="1896" spans="1:13">
      <c r="A1896" s="62" t="s">
        <v>2718</v>
      </c>
      <c r="B1896" s="58">
        <v>13595937805</v>
      </c>
      <c r="C1896" s="63"/>
      <c r="D1896" s="60"/>
      <c r="E1896" s="9">
        <v>443</v>
      </c>
      <c r="F1896" s="25">
        <v>43188</v>
      </c>
      <c r="G1896" s="61"/>
      <c r="H1896" s="9"/>
      <c r="I1896" s="8"/>
      <c r="J1896" s="8"/>
      <c r="K1896" s="8"/>
      <c r="L1896" s="8"/>
      <c r="M1896" s="8"/>
    </row>
    <row r="1897" spans="1:13">
      <c r="A1897" s="27" t="s">
        <v>2719</v>
      </c>
      <c r="B1897" s="58">
        <v>65195140553</v>
      </c>
      <c r="C1897" s="27" t="s">
        <v>129</v>
      </c>
      <c r="D1897" s="60"/>
      <c r="E1897" s="9"/>
      <c r="F1897" s="25"/>
      <c r="G1897" s="61"/>
      <c r="H1897" s="9"/>
      <c r="I1897" s="8"/>
      <c r="J1897" s="8"/>
      <c r="K1897" s="8"/>
      <c r="L1897" s="8"/>
      <c r="M1897" s="8"/>
    </row>
    <row r="1898" spans="1:13">
      <c r="A1898" s="62" t="s">
        <v>2720</v>
      </c>
      <c r="B1898" s="58">
        <v>37067391865</v>
      </c>
      <c r="C1898" s="64"/>
      <c r="D1898" s="60"/>
      <c r="E1898" s="9"/>
      <c r="F1898" s="25"/>
      <c r="G1898" s="61"/>
      <c r="H1898" s="9"/>
      <c r="I1898" s="8"/>
      <c r="J1898" s="8"/>
      <c r="K1898" s="8"/>
      <c r="L1898" s="8"/>
      <c r="M1898" s="8"/>
    </row>
    <row r="1899" spans="1:13">
      <c r="A1899" s="62" t="s">
        <v>2720</v>
      </c>
      <c r="B1899" s="58">
        <v>13654285830</v>
      </c>
      <c r="C1899" s="63"/>
      <c r="D1899" s="60"/>
      <c r="E1899" s="9">
        <v>1241</v>
      </c>
      <c r="F1899" s="25">
        <v>42992</v>
      </c>
      <c r="G1899" s="61" t="s">
        <v>13</v>
      </c>
      <c r="H1899" s="9"/>
      <c r="I1899" s="8"/>
      <c r="J1899" s="8"/>
      <c r="K1899" s="8"/>
      <c r="L1899" s="8"/>
      <c r="M1899" s="8"/>
    </row>
    <row r="1900" spans="1:13">
      <c r="A1900" s="62" t="s">
        <v>2721</v>
      </c>
      <c r="B1900" s="58">
        <v>17146759806</v>
      </c>
      <c r="C1900" s="63" t="s">
        <v>2722</v>
      </c>
      <c r="D1900" s="60">
        <v>39095494896</v>
      </c>
      <c r="E1900" s="9">
        <v>1262</v>
      </c>
      <c r="F1900" s="25">
        <v>42997</v>
      </c>
      <c r="G1900" s="61" t="s">
        <v>20</v>
      </c>
      <c r="H1900" s="9"/>
      <c r="I1900" s="8"/>
      <c r="J1900" s="8"/>
      <c r="K1900" s="8"/>
      <c r="L1900" s="8"/>
      <c r="M1900" s="8"/>
    </row>
    <row r="1901" spans="1:13">
      <c r="A1901" s="13" t="s">
        <v>2723</v>
      </c>
      <c r="B1901" s="58">
        <v>3893020403</v>
      </c>
      <c r="C1901" s="59" t="s">
        <v>2724</v>
      </c>
      <c r="D1901" s="60">
        <v>31615704809</v>
      </c>
      <c r="E1901" s="9">
        <v>1128</v>
      </c>
      <c r="F1901" s="25">
        <v>42972</v>
      </c>
      <c r="G1901" s="61" t="s">
        <v>13</v>
      </c>
      <c r="H1901" s="9"/>
      <c r="I1901" s="8"/>
      <c r="J1901" s="8"/>
      <c r="K1901" s="8"/>
      <c r="L1901" s="8"/>
      <c r="M1901" s="8"/>
    </row>
    <row r="1902" spans="1:13">
      <c r="A1902" s="64" t="s">
        <v>2725</v>
      </c>
      <c r="B1902" s="58">
        <v>70116695404</v>
      </c>
      <c r="C1902" s="63" t="s">
        <v>2726</v>
      </c>
      <c r="D1902" s="60">
        <v>66319943491</v>
      </c>
      <c r="E1902" s="9">
        <v>1106</v>
      </c>
      <c r="F1902" s="25">
        <v>42965</v>
      </c>
      <c r="G1902" s="61" t="s">
        <v>13</v>
      </c>
      <c r="H1902" s="9"/>
      <c r="I1902" s="8"/>
      <c r="J1902" s="8"/>
      <c r="K1902" s="8"/>
      <c r="L1902" s="8"/>
      <c r="M1902" s="8"/>
    </row>
    <row r="1903" spans="1:13">
      <c r="A1903" s="27" t="s">
        <v>2727</v>
      </c>
      <c r="B1903" s="58"/>
      <c r="C1903" s="27" t="s">
        <v>2728</v>
      </c>
      <c r="D1903" s="60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7" t="s">
        <v>2729</v>
      </c>
      <c r="B1904" s="58"/>
      <c r="C1904" s="27" t="s">
        <v>129</v>
      </c>
      <c r="D1904" s="60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7" t="s">
        <v>2730</v>
      </c>
      <c r="B1905" s="58"/>
      <c r="C1905" s="27" t="s">
        <v>2731</v>
      </c>
      <c r="D1905" s="60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62" t="s">
        <v>2732</v>
      </c>
      <c r="B1906" s="58">
        <v>45803757420</v>
      </c>
      <c r="C1906" s="63"/>
      <c r="D1906" s="60"/>
      <c r="E1906" s="9">
        <v>262</v>
      </c>
      <c r="F1906" s="25">
        <v>43160</v>
      </c>
      <c r="G1906" s="61" t="s">
        <v>13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62" t="s">
        <v>2733</v>
      </c>
      <c r="B1907" s="58">
        <v>6936214436</v>
      </c>
      <c r="C1907" s="63" t="s">
        <v>2734</v>
      </c>
      <c r="D1907" s="60">
        <v>8583452423</v>
      </c>
      <c r="E1907" s="9">
        <v>85</v>
      </c>
      <c r="F1907" s="25">
        <v>43109</v>
      </c>
      <c r="G1907" s="61" t="s">
        <v>13</v>
      </c>
      <c r="H1907" s="25">
        <v>43151</v>
      </c>
      <c r="I1907" s="8"/>
      <c r="J1907" s="8"/>
      <c r="K1907" s="8"/>
      <c r="L1907" s="8"/>
      <c r="M1907" s="8"/>
    </row>
    <row r="1908" spans="1:13">
      <c r="A1908" s="62" t="s">
        <v>2735</v>
      </c>
      <c r="B1908" s="58">
        <v>11568834829</v>
      </c>
      <c r="C1908" s="63"/>
      <c r="D1908" s="60"/>
      <c r="E1908" s="9">
        <v>810</v>
      </c>
      <c r="F1908" s="25">
        <v>42915</v>
      </c>
      <c r="G1908" s="61" t="s">
        <v>13</v>
      </c>
      <c r="H1908" s="9"/>
      <c r="I1908" s="8"/>
      <c r="J1908" s="8"/>
      <c r="K1908" s="8"/>
      <c r="L1908" s="9" t="s">
        <v>138</v>
      </c>
      <c r="M1908" s="8"/>
    </row>
    <row r="1909" spans="1:13">
      <c r="A1909" s="15" t="s">
        <v>2736</v>
      </c>
      <c r="B1909" s="58">
        <v>14477718349</v>
      </c>
      <c r="C1909" s="63"/>
      <c r="D1909" s="60"/>
      <c r="E1909" s="9">
        <v>85</v>
      </c>
      <c r="F1909" s="25">
        <v>43109</v>
      </c>
      <c r="G1909" s="61" t="s">
        <v>13</v>
      </c>
      <c r="H1909" s="25">
        <v>43151</v>
      </c>
      <c r="I1909" s="8"/>
      <c r="J1909" s="8"/>
      <c r="K1909" s="8"/>
      <c r="L1909" s="8"/>
      <c r="M1909" s="8"/>
    </row>
    <row r="1910" spans="1:13">
      <c r="A1910" s="27" t="s">
        <v>2737</v>
      </c>
      <c r="B1910" s="58">
        <v>35264817847</v>
      </c>
      <c r="C1910" s="27" t="s">
        <v>129</v>
      </c>
      <c r="D1910" s="60"/>
      <c r="E1910" s="9"/>
      <c r="F1910" s="25"/>
      <c r="G1910" s="61"/>
      <c r="H1910" s="9"/>
      <c r="I1910" s="8"/>
      <c r="J1910" s="8"/>
      <c r="K1910" s="8"/>
      <c r="L1910" s="8"/>
      <c r="M1910" s="8"/>
    </row>
    <row r="1911" spans="1:13">
      <c r="A1911" s="82" t="s">
        <v>2738</v>
      </c>
      <c r="B1911" s="58">
        <v>64368726472</v>
      </c>
      <c r="C1911" s="63"/>
      <c r="D1911" s="60"/>
      <c r="E1911" s="9"/>
      <c r="F1911" s="25"/>
      <c r="G1911" s="61"/>
      <c r="H1911" s="9"/>
      <c r="I1911" s="8"/>
      <c r="J1911" s="8"/>
      <c r="K1911" s="8"/>
      <c r="L1911" s="8"/>
      <c r="M1911" s="8"/>
    </row>
    <row r="1912" spans="1:13">
      <c r="A1912" s="13" t="s">
        <v>2739</v>
      </c>
      <c r="B1912" s="58">
        <v>55673848404</v>
      </c>
      <c r="C1912" s="59"/>
      <c r="D1912" s="60"/>
      <c r="E1912" s="9">
        <v>1359</v>
      </c>
      <c r="F1912" s="25">
        <v>43006</v>
      </c>
      <c r="G1912" s="61" t="s">
        <v>13</v>
      </c>
      <c r="H1912" s="9"/>
      <c r="I1912" s="8"/>
      <c r="J1912" s="8"/>
      <c r="K1912" s="8"/>
      <c r="L1912" s="8"/>
      <c r="M1912" s="8"/>
    </row>
    <row r="1913" spans="1:13">
      <c r="A1913" s="62" t="s">
        <v>2740</v>
      </c>
      <c r="B1913" s="58">
        <v>90046226591</v>
      </c>
      <c r="C1913" s="63" t="s">
        <v>2741</v>
      </c>
      <c r="D1913" s="60">
        <v>74829505591</v>
      </c>
      <c r="E1913" s="9">
        <v>262</v>
      </c>
      <c r="F1913" s="25">
        <v>43160</v>
      </c>
      <c r="G1913" s="9" t="s">
        <v>13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2742</v>
      </c>
      <c r="B1914" s="58">
        <v>29871369867</v>
      </c>
      <c r="C1914" s="63" t="s">
        <v>2743</v>
      </c>
      <c r="D1914" s="60">
        <v>38772217855</v>
      </c>
      <c r="E1914" s="9">
        <v>262</v>
      </c>
      <c r="F1914" s="25">
        <v>43160</v>
      </c>
      <c r="G1914" s="61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62" t="s">
        <v>2744</v>
      </c>
      <c r="B1915" s="58">
        <v>26681571883</v>
      </c>
      <c r="C1915" s="62" t="s">
        <v>2745</v>
      </c>
      <c r="D1915" s="60">
        <v>18465693897</v>
      </c>
      <c r="E1915" s="9">
        <v>292</v>
      </c>
      <c r="F1915" s="25">
        <v>43168</v>
      </c>
      <c r="G1915" s="61" t="s">
        <v>13</v>
      </c>
      <c r="H1915" s="9"/>
      <c r="I1915" s="8"/>
      <c r="J1915" s="8"/>
      <c r="K1915" s="8"/>
      <c r="L1915" s="9">
        <v>318</v>
      </c>
      <c r="M1915" s="8"/>
    </row>
    <row r="1916" spans="1:13">
      <c r="A1916" s="63" t="s">
        <v>2746</v>
      </c>
      <c r="B1916" s="58">
        <v>37101889115</v>
      </c>
      <c r="C1916" s="63"/>
      <c r="D1916" s="60"/>
      <c r="E1916" s="9"/>
      <c r="F1916" s="25"/>
      <c r="G1916" s="61"/>
      <c r="H1916" s="9"/>
      <c r="I1916" s="8"/>
      <c r="J1916" s="8"/>
      <c r="K1916" s="8"/>
      <c r="L1916" s="8"/>
      <c r="M1916" s="8"/>
    </row>
    <row r="1917" spans="1:13">
      <c r="A1917" s="13" t="s">
        <v>2747</v>
      </c>
      <c r="B1917" s="58">
        <v>26526680801</v>
      </c>
      <c r="C1917" s="59" t="s">
        <v>2748</v>
      </c>
      <c r="D1917" s="60">
        <v>7117205631</v>
      </c>
      <c r="E1917" s="9">
        <v>1128</v>
      </c>
      <c r="F1917" s="25">
        <v>42972</v>
      </c>
      <c r="G1917" s="61" t="s">
        <v>13</v>
      </c>
      <c r="H1917" s="9"/>
      <c r="I1917" s="8"/>
      <c r="J1917" s="8"/>
      <c r="K1917" s="8"/>
      <c r="L1917" s="8"/>
      <c r="M1917" s="8"/>
    </row>
    <row r="1918" spans="1:13">
      <c r="A1918" s="62" t="s">
        <v>2749</v>
      </c>
      <c r="B1918" s="58">
        <v>67285902420</v>
      </c>
      <c r="C1918" s="63" t="s">
        <v>1517</v>
      </c>
      <c r="D1918" s="60">
        <v>56631421420</v>
      </c>
      <c r="E1918" s="9">
        <v>563</v>
      </c>
      <c r="F1918" s="25">
        <v>43217</v>
      </c>
      <c r="G1918" s="61"/>
      <c r="H1918" s="9"/>
      <c r="I1918" s="8"/>
      <c r="J1918" s="8"/>
      <c r="K1918" s="8"/>
      <c r="L1918" s="9" t="s">
        <v>299</v>
      </c>
      <c r="M1918" s="8"/>
    </row>
    <row r="1919" spans="1:13">
      <c r="A1919" s="27" t="s">
        <v>2750</v>
      </c>
      <c r="B1919" s="58"/>
      <c r="C1919" s="18" t="s">
        <v>129</v>
      </c>
      <c r="D1919" s="60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62" t="s">
        <v>2751</v>
      </c>
      <c r="B1920" s="58">
        <v>1097111490</v>
      </c>
      <c r="C1920" s="68" t="s">
        <v>2752</v>
      </c>
      <c r="D1920" s="60">
        <v>1103667432</v>
      </c>
      <c r="E1920" s="9">
        <v>563</v>
      </c>
      <c r="F1920" s="25">
        <v>43217</v>
      </c>
      <c r="G1920" s="61"/>
      <c r="H1920" s="9"/>
      <c r="I1920" s="8"/>
      <c r="J1920" s="8"/>
      <c r="K1920" s="8"/>
      <c r="L1920" s="9" t="s">
        <v>299</v>
      </c>
      <c r="M1920" s="8"/>
    </row>
    <row r="1921" spans="1:13">
      <c r="A1921" s="62" t="s">
        <v>2753</v>
      </c>
      <c r="B1921" s="58">
        <v>55194443404</v>
      </c>
      <c r="C1921" s="63"/>
      <c r="D1921" s="60"/>
      <c r="E1921" s="9">
        <v>292</v>
      </c>
      <c r="F1921" s="25">
        <v>43168</v>
      </c>
      <c r="G1921" s="61" t="s">
        <v>13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2754</v>
      </c>
      <c r="B1922" s="58">
        <v>25255733822</v>
      </c>
      <c r="C1922" s="59"/>
      <c r="D1922" s="60"/>
      <c r="E1922" s="9">
        <v>1267</v>
      </c>
      <c r="F1922" s="25">
        <v>42998</v>
      </c>
      <c r="G1922" s="61" t="s">
        <v>13</v>
      </c>
      <c r="H1922" s="9"/>
      <c r="I1922" s="8"/>
      <c r="J1922" s="8"/>
      <c r="K1922" s="8"/>
      <c r="L1922" s="8"/>
      <c r="M1922" s="8"/>
    </row>
    <row r="1923" spans="1:13">
      <c r="A1923" s="62" t="s">
        <v>2755</v>
      </c>
      <c r="B1923" s="58">
        <v>16756911856</v>
      </c>
      <c r="C1923" s="63" t="s">
        <v>2756</v>
      </c>
      <c r="D1923" s="60">
        <v>10411415808</v>
      </c>
      <c r="E1923" s="9">
        <v>1752</v>
      </c>
      <c r="F1923" s="25">
        <v>43051</v>
      </c>
      <c r="G1923" s="61" t="s">
        <v>13</v>
      </c>
      <c r="H1923" s="9"/>
      <c r="I1923" s="8"/>
      <c r="J1923" s="8"/>
      <c r="K1923" s="8"/>
      <c r="L1923" s="9">
        <v>1759</v>
      </c>
      <c r="M1923" s="8"/>
    </row>
    <row r="1924" spans="1:13">
      <c r="A1924" s="62" t="s">
        <v>2757</v>
      </c>
      <c r="B1924" s="58">
        <v>35404459867</v>
      </c>
      <c r="C1924" s="63"/>
      <c r="D1924" s="60"/>
      <c r="E1924" s="9">
        <v>443</v>
      </c>
      <c r="F1924" s="25">
        <v>43188</v>
      </c>
      <c r="G1924" s="61"/>
      <c r="H1924" s="9"/>
      <c r="I1924" s="8"/>
      <c r="J1924" s="8"/>
      <c r="K1924" s="8"/>
      <c r="L1924" s="8"/>
      <c r="M1924" s="8"/>
    </row>
    <row r="1925" spans="1:13">
      <c r="A1925" s="62" t="s">
        <v>2758</v>
      </c>
      <c r="B1925" s="58"/>
      <c r="C1925" s="63" t="s">
        <v>2759</v>
      </c>
      <c r="D1925" s="60"/>
      <c r="E1925" s="9"/>
      <c r="F1925" s="25"/>
      <c r="G1925" s="61"/>
      <c r="H1925" s="9"/>
      <c r="I1925" s="8"/>
      <c r="J1925" s="8"/>
      <c r="K1925" s="8"/>
      <c r="L1925" s="8"/>
      <c r="M1925" s="8"/>
    </row>
    <row r="1926" spans="1:13">
      <c r="A1926" s="13" t="s">
        <v>2760</v>
      </c>
      <c r="B1926" s="58">
        <v>32387950828</v>
      </c>
      <c r="C1926" s="63"/>
      <c r="D1926" s="60"/>
      <c r="E1926" s="9">
        <v>1350</v>
      </c>
      <c r="F1926" s="25">
        <v>43006</v>
      </c>
      <c r="G1926" s="61" t="s">
        <v>20</v>
      </c>
      <c r="H1926" s="9"/>
      <c r="I1926" s="8"/>
      <c r="J1926" s="8"/>
      <c r="K1926" s="8"/>
      <c r="L1926" s="8"/>
      <c r="M1926" s="8"/>
    </row>
    <row r="1927" spans="1:13">
      <c r="A1927" s="63" t="s">
        <v>2761</v>
      </c>
      <c r="B1927" s="58">
        <v>12592280880</v>
      </c>
      <c r="C1927" s="63"/>
      <c r="D1927" s="60"/>
      <c r="E1927" s="9"/>
      <c r="F1927" s="25"/>
      <c r="G1927" s="61"/>
      <c r="H1927" s="9"/>
      <c r="I1927" s="8"/>
      <c r="J1927" s="8"/>
      <c r="K1927" s="8"/>
      <c r="L1927" s="8"/>
      <c r="M1927" s="8"/>
    </row>
    <row r="1928" spans="1:13">
      <c r="A1928" s="13" t="s">
        <v>2762</v>
      </c>
      <c r="B1928" s="58">
        <v>29754197830</v>
      </c>
      <c r="C1928" s="63"/>
      <c r="D1928" s="60"/>
      <c r="E1928" s="9">
        <v>1439</v>
      </c>
      <c r="F1928" s="25">
        <v>43025</v>
      </c>
      <c r="G1928" s="61" t="s">
        <v>13</v>
      </c>
      <c r="H1928" s="9"/>
      <c r="I1928" s="8"/>
      <c r="J1928" s="8"/>
      <c r="K1928" s="8"/>
      <c r="L1928" s="9" t="s">
        <v>502</v>
      </c>
      <c r="M1928" s="8"/>
    </row>
    <row r="1929" spans="1:13">
      <c r="A1929" s="27" t="s">
        <v>2763</v>
      </c>
      <c r="B1929" s="58"/>
      <c r="C1929" s="27" t="s">
        <v>129</v>
      </c>
      <c r="D1929" s="60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7" t="s">
        <v>2764</v>
      </c>
      <c r="B1930" s="58"/>
      <c r="C1930" s="27" t="s">
        <v>2765</v>
      </c>
      <c r="D1930" s="60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62" t="s">
        <v>2766</v>
      </c>
      <c r="B1931" s="58">
        <v>18966143881</v>
      </c>
      <c r="C1931" s="63"/>
      <c r="D1931" s="60"/>
      <c r="E1931" s="9">
        <v>292</v>
      </c>
      <c r="F1931" s="25">
        <v>43168</v>
      </c>
      <c r="G1931" s="9" t="s">
        <v>13</v>
      </c>
      <c r="H1931" s="9"/>
      <c r="I1931" s="8"/>
      <c r="J1931" s="8"/>
      <c r="K1931" s="8"/>
      <c r="L1931" s="9">
        <v>318</v>
      </c>
      <c r="M1931" s="8"/>
    </row>
    <row r="1932" spans="1:13">
      <c r="A1932" s="62" t="s">
        <v>2767</v>
      </c>
      <c r="B1932" s="58">
        <v>30900118830</v>
      </c>
      <c r="C1932" s="63" t="s">
        <v>2768</v>
      </c>
      <c r="D1932" s="60">
        <v>22393785817</v>
      </c>
      <c r="E1932" s="9">
        <v>443</v>
      </c>
      <c r="F1932" s="25">
        <v>43188</v>
      </c>
      <c r="G1932" s="61"/>
      <c r="H1932" s="9"/>
      <c r="I1932" s="8"/>
      <c r="J1932" s="8"/>
      <c r="K1932" s="8"/>
      <c r="L1932" s="8"/>
      <c r="M1932" s="8"/>
    </row>
    <row r="1933" spans="1:13">
      <c r="A1933" s="18" t="s">
        <v>2769</v>
      </c>
      <c r="B1933" s="58">
        <v>64217299400</v>
      </c>
      <c r="C1933" s="18" t="s">
        <v>2770</v>
      </c>
      <c r="D1933" s="60">
        <v>88018997420</v>
      </c>
      <c r="E1933" s="9"/>
      <c r="F1933" s="25"/>
      <c r="G1933" s="61"/>
      <c r="H1933" s="9"/>
      <c r="I1933" s="8"/>
      <c r="J1933" s="8"/>
      <c r="K1933" s="8"/>
      <c r="L1933" s="8"/>
      <c r="M1933" s="8"/>
    </row>
    <row r="1934" spans="1:13">
      <c r="A1934" s="62" t="s">
        <v>2771</v>
      </c>
      <c r="B1934" s="58">
        <v>29739089810</v>
      </c>
      <c r="C1934" s="63"/>
      <c r="D1934" s="60"/>
      <c r="E1934" s="9"/>
      <c r="F1934" s="25"/>
      <c r="G1934" s="61"/>
      <c r="H1934" s="9"/>
      <c r="I1934" s="8"/>
      <c r="J1934" s="8"/>
      <c r="K1934" s="8"/>
      <c r="L1934" s="8"/>
      <c r="M1934" s="8"/>
    </row>
    <row r="1935" spans="1:13">
      <c r="A1935" s="63" t="s">
        <v>2772</v>
      </c>
      <c r="B1935" s="58">
        <v>95875409487</v>
      </c>
      <c r="C1935" s="63" t="s">
        <v>2773</v>
      </c>
      <c r="D1935" s="60">
        <v>64880354449</v>
      </c>
      <c r="E1935" s="9"/>
      <c r="F1935" s="25"/>
      <c r="G1935" s="61"/>
      <c r="H1935" s="9"/>
      <c r="I1935" s="8"/>
      <c r="J1935" s="8"/>
      <c r="K1935" s="8"/>
      <c r="L1935" s="8"/>
      <c r="M1935" s="8"/>
    </row>
    <row r="1936" spans="1:13">
      <c r="A1936" s="18" t="s">
        <v>2774</v>
      </c>
      <c r="B1936" s="58">
        <v>9133441847</v>
      </c>
      <c r="C1936" s="18"/>
      <c r="D1936" s="60"/>
      <c r="E1936" s="9"/>
      <c r="F1936" s="25"/>
      <c r="G1936" s="61"/>
      <c r="H1936" s="9"/>
      <c r="I1936" s="8"/>
      <c r="J1936" s="8"/>
      <c r="K1936" s="8"/>
      <c r="L1936" s="8"/>
      <c r="M1936" s="8"/>
    </row>
    <row r="1937" spans="1:13">
      <c r="A1937" s="62" t="s">
        <v>2775</v>
      </c>
      <c r="B1937" s="58">
        <v>30244279888</v>
      </c>
      <c r="C1937" s="63"/>
      <c r="D1937" s="60"/>
      <c r="E1937" s="9">
        <v>262</v>
      </c>
      <c r="F1937" s="25">
        <v>43160</v>
      </c>
      <c r="G1937" s="9" t="s">
        <v>13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2776</v>
      </c>
      <c r="B1938" s="58">
        <v>26655730325</v>
      </c>
      <c r="C1938" s="63" t="s">
        <v>2777</v>
      </c>
      <c r="D1938" s="60">
        <v>59222891520</v>
      </c>
      <c r="E1938" s="9">
        <v>262</v>
      </c>
      <c r="F1938" s="25">
        <v>43160</v>
      </c>
      <c r="G1938" s="61" t="s">
        <v>13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64" t="s">
        <v>2778</v>
      </c>
      <c r="B1939" s="58">
        <v>15696788807</v>
      </c>
      <c r="C1939" s="63" t="s">
        <v>2779</v>
      </c>
      <c r="D1939" s="60">
        <v>4231184801</v>
      </c>
      <c r="E1939" s="9">
        <v>1555</v>
      </c>
      <c r="F1939" s="25">
        <v>43049</v>
      </c>
      <c r="G1939" s="61" t="s">
        <v>13</v>
      </c>
      <c r="H1939" s="9"/>
      <c r="I1939" s="8"/>
      <c r="J1939" s="8"/>
      <c r="K1939" s="8"/>
      <c r="L1939" s="9" t="s">
        <v>398</v>
      </c>
      <c r="M1939" s="8"/>
    </row>
    <row r="1940" spans="1:13">
      <c r="A1940" s="62" t="s">
        <v>2780</v>
      </c>
      <c r="B1940" s="58">
        <v>8294730840</v>
      </c>
      <c r="C1940" s="63"/>
      <c r="D1940" s="60"/>
      <c r="E1940" s="9">
        <v>1350</v>
      </c>
      <c r="F1940" s="25">
        <v>43006</v>
      </c>
      <c r="G1940" s="61" t="s">
        <v>20</v>
      </c>
      <c r="H1940" s="9"/>
      <c r="I1940" s="8"/>
      <c r="J1940" s="8"/>
      <c r="K1940" s="8"/>
      <c r="L1940" s="8"/>
      <c r="M1940" s="8"/>
    </row>
    <row r="1941" spans="1:13">
      <c r="A1941" s="62" t="s">
        <v>2781</v>
      </c>
      <c r="B1941" s="58">
        <v>34620405884</v>
      </c>
      <c r="C1941" s="63"/>
      <c r="D1941" s="60"/>
      <c r="E1941" s="9">
        <v>117</v>
      </c>
      <c r="F1941" s="25">
        <v>43117</v>
      </c>
      <c r="G1941" s="61" t="s">
        <v>13</v>
      </c>
      <c r="H1941" s="9"/>
      <c r="I1941" s="8"/>
      <c r="J1941" s="8"/>
      <c r="K1941" s="8"/>
      <c r="L1941" s="9" t="s">
        <v>170</v>
      </c>
      <c r="M1941" s="8"/>
    </row>
    <row r="1942" spans="1:13">
      <c r="A1942" s="62" t="s">
        <v>2782</v>
      </c>
      <c r="B1942" s="58">
        <v>26159082353</v>
      </c>
      <c r="C1942" s="63"/>
      <c r="D1942" s="60"/>
      <c r="E1942" s="9">
        <v>1128</v>
      </c>
      <c r="F1942" s="25">
        <v>42972</v>
      </c>
      <c r="G1942" s="61" t="s">
        <v>13</v>
      </c>
      <c r="H1942" s="9"/>
      <c r="I1942" s="8"/>
      <c r="J1942" s="8"/>
      <c r="K1942" s="8"/>
      <c r="L1942" s="8"/>
      <c r="M1942" s="8"/>
    </row>
    <row r="1943" spans="1:13">
      <c r="A1943" s="62" t="s">
        <v>2783</v>
      </c>
      <c r="B1943" s="58">
        <v>1280254688</v>
      </c>
      <c r="C1943" s="63" t="s">
        <v>2784</v>
      </c>
      <c r="D1943" s="60">
        <v>16132160841</v>
      </c>
      <c r="E1943" s="9"/>
      <c r="F1943" s="25"/>
      <c r="G1943" s="61"/>
      <c r="H1943" s="9"/>
      <c r="I1943" s="8"/>
      <c r="J1943" s="8"/>
      <c r="K1943" s="8"/>
      <c r="L1943" s="8"/>
      <c r="M1943" s="8"/>
    </row>
    <row r="1944" spans="1:13">
      <c r="A1944" s="13" t="s">
        <v>2785</v>
      </c>
      <c r="B1944" s="58">
        <v>26250260811</v>
      </c>
      <c r="C1944" s="59"/>
      <c r="D1944" s="60"/>
      <c r="E1944" s="9">
        <v>1241</v>
      </c>
      <c r="F1944" s="25">
        <v>42992</v>
      </c>
      <c r="G1944" s="61" t="s">
        <v>13</v>
      </c>
      <c r="H1944" s="9"/>
      <c r="I1944" s="8"/>
      <c r="J1944" s="8"/>
      <c r="K1944" s="8"/>
      <c r="L1944" s="8"/>
      <c r="M1944" s="8"/>
    </row>
    <row r="1945" spans="1:13">
      <c r="A1945" s="15" t="s">
        <v>2786</v>
      </c>
      <c r="B1945" s="58">
        <v>16141411851</v>
      </c>
      <c r="C1945" s="64"/>
      <c r="D1945" s="60"/>
      <c r="E1945" s="9">
        <v>527</v>
      </c>
      <c r="F1945" s="25">
        <v>43210</v>
      </c>
      <c r="G1945" s="61"/>
      <c r="H1945" s="9"/>
      <c r="I1945" s="8"/>
      <c r="J1945" s="8"/>
      <c r="K1945" s="8"/>
      <c r="L1945" s="9">
        <v>528</v>
      </c>
      <c r="M1945" s="8"/>
    </row>
    <row r="1946" spans="1:13">
      <c r="A1946" s="62" t="s">
        <v>2787</v>
      </c>
      <c r="B1946" s="58">
        <v>34528616866</v>
      </c>
      <c r="C1946" s="63"/>
      <c r="D1946" s="60"/>
      <c r="E1946" s="9"/>
      <c r="F1946" s="25"/>
      <c r="G1946" s="61"/>
      <c r="H1946" s="9"/>
      <c r="I1946" s="8"/>
      <c r="J1946" s="8"/>
      <c r="K1946" s="8"/>
      <c r="L1946" s="8"/>
      <c r="M1946" s="8"/>
    </row>
    <row r="1947" spans="1:13">
      <c r="A1947" s="62" t="s">
        <v>2788</v>
      </c>
      <c r="B1947" s="58">
        <v>15534612827</v>
      </c>
      <c r="C1947" s="63"/>
      <c r="D1947" s="60"/>
      <c r="E1947" s="9">
        <v>1267</v>
      </c>
      <c r="F1947" s="25">
        <v>42998</v>
      </c>
      <c r="G1947" s="61" t="s">
        <v>13</v>
      </c>
      <c r="H1947" s="9"/>
      <c r="I1947" s="8"/>
      <c r="J1947" s="8"/>
      <c r="K1947" s="8"/>
      <c r="L1947" s="8"/>
      <c r="M1947" s="8"/>
    </row>
    <row r="1948" spans="1:13">
      <c r="A1948" s="14" t="s">
        <v>2789</v>
      </c>
      <c r="B1948" s="58">
        <v>47240902862</v>
      </c>
      <c r="C1948" s="63"/>
      <c r="D1948" s="60"/>
      <c r="E1948" s="9">
        <v>1350</v>
      </c>
      <c r="F1948" s="25">
        <v>43006</v>
      </c>
      <c r="G1948" s="61"/>
      <c r="H1948" s="9"/>
      <c r="I1948" s="8"/>
      <c r="J1948" s="8"/>
      <c r="K1948" s="8"/>
      <c r="L1948" s="8"/>
      <c r="M1948" s="8"/>
    </row>
    <row r="1949" spans="1:13">
      <c r="A1949" s="62" t="s">
        <v>2789</v>
      </c>
      <c r="B1949" s="58">
        <v>33281807453</v>
      </c>
      <c r="C1949" s="63"/>
      <c r="D1949" s="60"/>
      <c r="E1949" s="9">
        <v>229</v>
      </c>
      <c r="F1949" s="25">
        <v>43151</v>
      </c>
      <c r="G1949" s="61" t="s">
        <v>13</v>
      </c>
      <c r="H1949" s="9"/>
      <c r="I1949" s="8"/>
      <c r="J1949" s="8"/>
      <c r="K1949" s="8"/>
      <c r="L1949" s="9">
        <v>232</v>
      </c>
      <c r="M1949" s="8"/>
    </row>
    <row r="1950" spans="1:13">
      <c r="A1950" s="62" t="s">
        <v>2789</v>
      </c>
      <c r="B1950" s="58">
        <v>7470387838</v>
      </c>
      <c r="C1950" s="63"/>
      <c r="D1950" s="60"/>
      <c r="E1950" s="9">
        <v>292</v>
      </c>
      <c r="F1950" s="25">
        <v>43168</v>
      </c>
      <c r="G1950" s="61" t="s">
        <v>13</v>
      </c>
      <c r="H1950" s="9"/>
      <c r="I1950" s="8"/>
      <c r="J1950" s="8"/>
      <c r="K1950" s="8"/>
      <c r="L1950" s="9">
        <v>318</v>
      </c>
      <c r="M1950" s="8"/>
    </row>
    <row r="1951" spans="1:13">
      <c r="A1951" s="62" t="s">
        <v>2790</v>
      </c>
      <c r="B1951" s="58">
        <v>13037683805</v>
      </c>
      <c r="C1951" s="63"/>
      <c r="D1951" s="60"/>
      <c r="E1951" s="9"/>
      <c r="F1951" s="25"/>
      <c r="G1951" s="61"/>
      <c r="H1951" s="9"/>
      <c r="I1951" s="8"/>
      <c r="J1951" s="8"/>
      <c r="K1951" s="8"/>
      <c r="L1951" s="8"/>
      <c r="M1951" s="8"/>
    </row>
    <row r="1952" spans="1:13">
      <c r="A1952" s="27" t="s">
        <v>2791</v>
      </c>
      <c r="B1952" s="58">
        <v>33635659843</v>
      </c>
      <c r="C1952" s="27" t="s">
        <v>2792</v>
      </c>
      <c r="D1952" s="60">
        <v>35013582881</v>
      </c>
      <c r="E1952" s="9"/>
      <c r="F1952" s="25"/>
      <c r="G1952" s="61"/>
      <c r="H1952" s="9"/>
      <c r="I1952" s="8"/>
      <c r="J1952" s="8"/>
      <c r="K1952" s="8"/>
      <c r="L1952" s="8"/>
      <c r="M1952" s="8"/>
    </row>
    <row r="1953" spans="1:13">
      <c r="A1953" s="15" t="s">
        <v>2793</v>
      </c>
      <c r="B1953" s="58">
        <v>14888855838</v>
      </c>
      <c r="C1953" s="63"/>
      <c r="D1953" s="60"/>
      <c r="E1953" s="9">
        <v>262</v>
      </c>
      <c r="F1953" s="25">
        <v>43160</v>
      </c>
      <c r="G1953" s="61" t="s">
        <v>13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62" t="s">
        <v>2793</v>
      </c>
      <c r="B1954" s="58">
        <v>17264992861</v>
      </c>
      <c r="C1954" s="68"/>
      <c r="D1954" s="60"/>
      <c r="E1954" s="9">
        <v>563</v>
      </c>
      <c r="F1954" s="25">
        <v>43217</v>
      </c>
      <c r="G1954" s="61"/>
      <c r="H1954" s="9"/>
      <c r="I1954" s="8"/>
      <c r="J1954" s="8"/>
      <c r="K1954" s="8"/>
      <c r="L1954" s="9" t="s">
        <v>299</v>
      </c>
      <c r="M1954" s="8"/>
    </row>
    <row r="1955" spans="1:13">
      <c r="A1955" s="62" t="s">
        <v>2794</v>
      </c>
      <c r="B1955" s="58">
        <v>36841231880</v>
      </c>
      <c r="C1955" s="68" t="s">
        <v>2795</v>
      </c>
      <c r="D1955" s="60">
        <v>9406320479</v>
      </c>
      <c r="E1955" s="9"/>
      <c r="F1955" s="25"/>
      <c r="G1955" s="61"/>
      <c r="H1955" s="9"/>
      <c r="I1955" s="8"/>
      <c r="J1955" s="8"/>
      <c r="K1955" s="8"/>
      <c r="L1955" s="8"/>
      <c r="M1955" s="8"/>
    </row>
    <row r="1956" spans="1:13">
      <c r="A1956" s="13" t="s">
        <v>2796</v>
      </c>
      <c r="B1956" s="58">
        <v>22718092823</v>
      </c>
      <c r="C1956" s="59"/>
      <c r="D1956" s="60"/>
      <c r="E1956" s="9">
        <v>1489</v>
      </c>
      <c r="F1956" s="25">
        <v>43038</v>
      </c>
      <c r="G1956" s="61" t="s">
        <v>13</v>
      </c>
      <c r="H1956" s="9"/>
      <c r="I1956" s="8"/>
      <c r="J1956" s="8"/>
      <c r="K1956" s="8"/>
      <c r="L1956" s="9" t="s">
        <v>160</v>
      </c>
      <c r="M1956" s="8"/>
    </row>
    <row r="1957" spans="1:13">
      <c r="A1957" s="27" t="s">
        <v>2797</v>
      </c>
      <c r="B1957" s="58"/>
      <c r="C1957" s="27" t="s">
        <v>129</v>
      </c>
      <c r="D1957" s="60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62" t="s">
        <v>2798</v>
      </c>
      <c r="B1958" s="58">
        <v>25290972838</v>
      </c>
      <c r="C1958" s="63"/>
      <c r="D1958" s="60"/>
      <c r="E1958" s="9">
        <v>262</v>
      </c>
      <c r="F1958" s="25">
        <v>43160</v>
      </c>
      <c r="G1958" s="61" t="s">
        <v>13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7" t="s">
        <v>2799</v>
      </c>
      <c r="B1959" s="58"/>
      <c r="C1959" s="27" t="s">
        <v>2800</v>
      </c>
      <c r="D1959" s="60"/>
      <c r="E1959" s="9"/>
      <c r="F1959" s="25"/>
      <c r="G1959" s="61"/>
      <c r="H1959" s="9"/>
      <c r="I1959" s="8"/>
      <c r="J1959" s="8"/>
      <c r="K1959" s="8"/>
      <c r="L1959" s="8"/>
      <c r="M1959" s="8"/>
    </row>
    <row r="1960" spans="1:13">
      <c r="A1960" s="62" t="s">
        <v>2801</v>
      </c>
      <c r="B1960" s="58">
        <v>18427090200</v>
      </c>
      <c r="C1960" s="63"/>
      <c r="D1960" s="60"/>
      <c r="E1960" s="9"/>
      <c r="F1960" s="25"/>
      <c r="G1960" s="61"/>
      <c r="H1960" s="9"/>
      <c r="I1960" s="8"/>
      <c r="J1960" s="8"/>
      <c r="K1960" s="8"/>
      <c r="L1960" s="8"/>
      <c r="M1960" s="8"/>
    </row>
    <row r="1961" spans="1:13">
      <c r="A1961" s="27" t="s">
        <v>2802</v>
      </c>
      <c r="B1961" s="58">
        <v>64404714734</v>
      </c>
      <c r="C1961" s="27" t="s">
        <v>2803</v>
      </c>
      <c r="D1961" s="60">
        <v>3670981802</v>
      </c>
      <c r="E1961" s="9"/>
      <c r="F1961" s="25"/>
      <c r="G1961" s="61"/>
      <c r="H1961" s="9"/>
      <c r="I1961" s="8"/>
      <c r="J1961" s="8"/>
      <c r="K1961" s="8"/>
      <c r="L1961" s="8"/>
      <c r="M1961" s="8"/>
    </row>
    <row r="1962" spans="1:13">
      <c r="A1962" s="27" t="s">
        <v>2804</v>
      </c>
      <c r="B1962" s="58">
        <v>29783527878</v>
      </c>
      <c r="C1962" s="27" t="s">
        <v>2805</v>
      </c>
      <c r="D1962" s="60">
        <v>58774955420</v>
      </c>
      <c r="E1962" s="9"/>
      <c r="F1962" s="25"/>
      <c r="G1962" s="61"/>
      <c r="H1962" s="9"/>
      <c r="I1962" s="8"/>
      <c r="J1962" s="8"/>
      <c r="K1962" s="8"/>
      <c r="L1962" s="8"/>
      <c r="M1962" s="8"/>
    </row>
    <row r="1963" spans="1:13">
      <c r="A1963" s="62" t="s">
        <v>2806</v>
      </c>
      <c r="B1963" s="58">
        <v>4214616677</v>
      </c>
      <c r="C1963" s="63"/>
      <c r="D1963" s="60"/>
      <c r="E1963" s="9">
        <v>1106</v>
      </c>
      <c r="F1963" s="25">
        <v>42965</v>
      </c>
      <c r="G1963" s="61" t="s">
        <v>13</v>
      </c>
      <c r="H1963" s="9"/>
      <c r="I1963" s="8"/>
      <c r="J1963" s="8"/>
      <c r="K1963" s="8"/>
      <c r="L1963" s="8"/>
      <c r="M1963" s="8"/>
    </row>
    <row r="1964" spans="1:13">
      <c r="A1964" s="18" t="s">
        <v>2807</v>
      </c>
      <c r="B1964" s="58">
        <v>70155356372</v>
      </c>
      <c r="C1964" s="18" t="s">
        <v>2808</v>
      </c>
      <c r="D1964" s="60">
        <v>111564816</v>
      </c>
      <c r="E1964" s="9"/>
      <c r="F1964" s="25"/>
      <c r="G1964" s="61"/>
      <c r="H1964" s="9"/>
      <c r="I1964" s="8"/>
      <c r="J1964" s="8"/>
      <c r="K1964" s="8"/>
      <c r="L1964" s="8"/>
      <c r="M1964" s="8"/>
    </row>
    <row r="1965" spans="1:13">
      <c r="A1965" s="62" t="s">
        <v>2809</v>
      </c>
      <c r="B1965" s="58">
        <v>4350125337</v>
      </c>
      <c r="C1965" s="63" t="s">
        <v>2810</v>
      </c>
      <c r="D1965" s="60">
        <v>71019016315</v>
      </c>
      <c r="E1965" s="9">
        <v>443</v>
      </c>
      <c r="F1965" s="25">
        <v>43188</v>
      </c>
      <c r="G1965" s="61"/>
      <c r="H1965" s="9"/>
      <c r="I1965" s="8"/>
      <c r="J1965" s="8"/>
      <c r="K1965" s="8"/>
      <c r="L1965" s="8"/>
      <c r="M1965" s="8"/>
    </row>
    <row r="1966" spans="1:13">
      <c r="A1966" s="62" t="s">
        <v>2811</v>
      </c>
      <c r="B1966" s="58">
        <v>30179313827</v>
      </c>
      <c r="C1966" s="63"/>
      <c r="D1966" s="60"/>
      <c r="E1966" s="9">
        <v>1417</v>
      </c>
      <c r="F1966" s="25">
        <v>43017</v>
      </c>
      <c r="G1966" s="61" t="s">
        <v>28</v>
      </c>
      <c r="H1966" s="9"/>
      <c r="I1966" s="8"/>
      <c r="J1966" s="8"/>
      <c r="K1966" s="8"/>
      <c r="L1966" s="9" t="s">
        <v>253</v>
      </c>
      <c r="M1966" s="8"/>
    </row>
    <row r="1967" spans="1:13">
      <c r="A1967" s="63" t="s">
        <v>2812</v>
      </c>
      <c r="B1967" s="58">
        <v>3700721897</v>
      </c>
      <c r="C1967" s="63"/>
      <c r="D1967" s="60"/>
      <c r="E1967" s="9">
        <v>292</v>
      </c>
      <c r="F1967" s="25">
        <v>43168</v>
      </c>
      <c r="G1967" s="9" t="s">
        <v>13</v>
      </c>
      <c r="H1967" s="9"/>
      <c r="I1967" s="8"/>
      <c r="J1967" s="8"/>
      <c r="K1967" s="8"/>
      <c r="L1967" s="9">
        <v>318</v>
      </c>
      <c r="M1967" s="8"/>
    </row>
    <row r="1968" spans="1:13">
      <c r="A1968" s="62" t="s">
        <v>2813</v>
      </c>
      <c r="B1968" s="58">
        <v>604600321</v>
      </c>
      <c r="C1968" s="63"/>
      <c r="D1968" s="60"/>
      <c r="E1968" s="9">
        <v>573</v>
      </c>
      <c r="F1968" s="25">
        <v>43224</v>
      </c>
      <c r="G1968" s="61"/>
      <c r="H1968" s="9"/>
      <c r="I1968" s="8"/>
      <c r="J1968" s="8"/>
      <c r="K1968" s="8"/>
      <c r="L1968" s="8"/>
      <c r="M1968" s="8"/>
    </row>
    <row r="1969" spans="1:13">
      <c r="A1969" s="27" t="s">
        <v>2814</v>
      </c>
      <c r="B1969" s="58"/>
      <c r="C1969" s="27" t="s">
        <v>129</v>
      </c>
      <c r="D1969" s="60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63" t="s">
        <v>2815</v>
      </c>
      <c r="B1970" s="58">
        <v>49628474812</v>
      </c>
      <c r="C1970" s="63" t="s">
        <v>2816</v>
      </c>
      <c r="D1970" s="60">
        <v>15722198315</v>
      </c>
      <c r="E1970" s="9"/>
      <c r="F1970" s="25"/>
      <c r="G1970" s="61"/>
      <c r="H1970" s="9"/>
      <c r="I1970" s="8"/>
      <c r="J1970" s="8"/>
      <c r="K1970" s="8"/>
      <c r="L1970" s="8"/>
      <c r="M1970" s="8"/>
    </row>
    <row r="1971" spans="1:13">
      <c r="A1971" s="62" t="s">
        <v>2817</v>
      </c>
      <c r="B1971" s="58">
        <v>37473032852</v>
      </c>
      <c r="C1971" s="63" t="s">
        <v>2818</v>
      </c>
      <c r="D1971" s="60">
        <v>21894541820</v>
      </c>
      <c r="E1971" s="9">
        <v>1824</v>
      </c>
      <c r="F1971" s="25">
        <v>43091</v>
      </c>
      <c r="G1971" s="61" t="s">
        <v>28</v>
      </c>
      <c r="H1971" s="9"/>
      <c r="I1971" s="8"/>
      <c r="J1971" s="8"/>
      <c r="K1971" s="8"/>
      <c r="L1971" s="9">
        <v>1828</v>
      </c>
      <c r="M1971" s="8"/>
    </row>
    <row r="1972" spans="1:13">
      <c r="A1972" s="62" t="s">
        <v>2819</v>
      </c>
      <c r="B1972" s="58">
        <v>36383878875</v>
      </c>
      <c r="C1972" s="63" t="s">
        <v>2820</v>
      </c>
      <c r="D1972" s="60">
        <v>39907872849</v>
      </c>
      <c r="E1972" s="9">
        <v>117</v>
      </c>
      <c r="F1972" s="25">
        <v>43117</v>
      </c>
      <c r="G1972" s="61" t="s">
        <v>20</v>
      </c>
      <c r="H1972" s="9"/>
      <c r="I1972" s="8"/>
      <c r="J1972" s="8"/>
      <c r="K1972" s="8"/>
      <c r="L1972" s="9" t="s">
        <v>170</v>
      </c>
      <c r="M1972" s="8"/>
    </row>
    <row r="1973" spans="1:13">
      <c r="A1973" s="62" t="s">
        <v>2821</v>
      </c>
      <c r="B1973" s="58">
        <v>6090418862</v>
      </c>
      <c r="C1973" s="63"/>
      <c r="D1973" s="60"/>
      <c r="E1973" s="9">
        <v>1752</v>
      </c>
      <c r="F1973" s="25">
        <v>43051</v>
      </c>
      <c r="G1973" s="61" t="s">
        <v>13</v>
      </c>
      <c r="H1973" s="9"/>
      <c r="I1973" s="8"/>
      <c r="J1973" s="8"/>
      <c r="K1973" s="8"/>
      <c r="L1973" s="9">
        <v>1759</v>
      </c>
      <c r="M1973" s="8"/>
    </row>
    <row r="1974" spans="1:13">
      <c r="A1974" s="62" t="s">
        <v>2822</v>
      </c>
      <c r="B1974" s="58">
        <v>10450162842</v>
      </c>
      <c r="C1974" s="63"/>
      <c r="D1974" s="60"/>
      <c r="E1974" s="9">
        <v>1350</v>
      </c>
      <c r="F1974" s="25">
        <v>43006</v>
      </c>
      <c r="G1974" s="61" t="s">
        <v>13</v>
      </c>
      <c r="H1974" s="9"/>
      <c r="I1974" s="8"/>
      <c r="J1974" s="8"/>
      <c r="K1974" s="8"/>
      <c r="L1974" s="8"/>
      <c r="M1974" s="8"/>
    </row>
    <row r="1975" spans="1:13">
      <c r="A1975" s="62" t="s">
        <v>2822</v>
      </c>
      <c r="B1975" s="58">
        <v>35225850898</v>
      </c>
      <c r="C1975" s="63"/>
      <c r="D1975" s="60"/>
      <c r="E1975" s="9">
        <v>1359</v>
      </c>
      <c r="F1975" s="25">
        <v>43006</v>
      </c>
      <c r="G1975" s="61" t="s">
        <v>13</v>
      </c>
      <c r="H1975" s="9"/>
      <c r="I1975" s="8"/>
      <c r="J1975" s="8"/>
      <c r="K1975" s="8"/>
      <c r="L1975" s="8"/>
      <c r="M1975" s="8"/>
    </row>
    <row r="1976" spans="1:13">
      <c r="A1976" s="62" t="s">
        <v>2822</v>
      </c>
      <c r="B1976" s="58">
        <v>59991704434</v>
      </c>
      <c r="C1976" s="63"/>
      <c r="D1976" s="60"/>
      <c r="E1976" s="9">
        <v>292</v>
      </c>
      <c r="F1976" s="25">
        <v>43168</v>
      </c>
      <c r="G1976" s="61" t="s">
        <v>13</v>
      </c>
      <c r="H1976" s="9"/>
      <c r="I1976" s="8"/>
      <c r="J1976" s="8"/>
      <c r="K1976" s="8"/>
      <c r="L1976" s="9">
        <v>318</v>
      </c>
      <c r="M1976" s="8"/>
    </row>
    <row r="1977" spans="1:13">
      <c r="A1977" s="83" t="s">
        <v>2823</v>
      </c>
      <c r="B1977" s="71">
        <v>87102331487</v>
      </c>
      <c r="C1977" s="72" t="s">
        <v>2824</v>
      </c>
      <c r="D1977" s="73">
        <v>44552246453</v>
      </c>
      <c r="E1977" s="45">
        <v>810</v>
      </c>
      <c r="F1977" s="46">
        <v>42915</v>
      </c>
      <c r="G1977" s="74"/>
      <c r="H1977" s="45"/>
      <c r="I1977" s="47"/>
      <c r="J1977" s="47"/>
      <c r="K1977" s="47"/>
      <c r="L1977" s="9" t="s">
        <v>138</v>
      </c>
      <c r="M1977" s="47"/>
    </row>
    <row r="1978" spans="1:13">
      <c r="A1978" s="15" t="s">
        <v>2825</v>
      </c>
      <c r="B1978" s="58">
        <v>6509259800</v>
      </c>
      <c r="C1978" s="63"/>
      <c r="D1978" s="60"/>
      <c r="E1978" s="9">
        <v>262</v>
      </c>
      <c r="F1978" s="25">
        <v>43160</v>
      </c>
      <c r="G1978" s="61" t="s">
        <v>13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62" t="s">
        <v>2826</v>
      </c>
      <c r="B1979" s="58">
        <v>58636730449</v>
      </c>
      <c r="C1979" s="63"/>
      <c r="D1979" s="60"/>
      <c r="E1979" s="9">
        <v>292</v>
      </c>
      <c r="F1979" s="25">
        <v>43168</v>
      </c>
      <c r="G1979" s="9" t="s">
        <v>13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2827</v>
      </c>
      <c r="B1980" s="58">
        <v>7226982838</v>
      </c>
      <c r="C1980" s="63"/>
      <c r="D1980" s="60"/>
      <c r="E1980" s="9">
        <v>229</v>
      </c>
      <c r="F1980" s="25">
        <v>43151</v>
      </c>
      <c r="G1980" s="61" t="s">
        <v>13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2828</v>
      </c>
      <c r="B1981" s="58">
        <v>6656468870</v>
      </c>
      <c r="C1981" s="63"/>
      <c r="D1981" s="60"/>
      <c r="E1981" s="9">
        <v>117</v>
      </c>
      <c r="F1981" s="25">
        <v>43117</v>
      </c>
      <c r="G1981" s="61" t="s">
        <v>13</v>
      </c>
      <c r="H1981" s="9"/>
      <c r="I1981" s="8"/>
      <c r="J1981" s="8"/>
      <c r="K1981" s="8"/>
      <c r="L1981" s="9" t="s">
        <v>170</v>
      </c>
      <c r="M1981" s="8"/>
    </row>
    <row r="1982" spans="1:13">
      <c r="A1982" s="62" t="s">
        <v>2829</v>
      </c>
      <c r="B1982" s="58">
        <v>18360384886</v>
      </c>
      <c r="C1982" s="63" t="s">
        <v>2830</v>
      </c>
      <c r="D1982" s="60">
        <v>28828648848</v>
      </c>
      <c r="E1982" s="9">
        <v>1214</v>
      </c>
      <c r="F1982" s="25">
        <v>42989</v>
      </c>
      <c r="G1982" s="61" t="s">
        <v>13</v>
      </c>
      <c r="H1982" s="9"/>
      <c r="I1982" s="8"/>
      <c r="J1982" s="8"/>
      <c r="K1982" s="8"/>
      <c r="L1982" s="8"/>
      <c r="M1982" s="8"/>
    </row>
    <row r="1983" spans="1:13">
      <c r="A1983" s="62" t="s">
        <v>2831</v>
      </c>
      <c r="B1983" s="58">
        <v>8224204812</v>
      </c>
      <c r="C1983" s="63" t="s">
        <v>2832</v>
      </c>
      <c r="D1983" s="60">
        <v>5373139823</v>
      </c>
      <c r="E1983" s="9">
        <v>1752</v>
      </c>
      <c r="F1983" s="25">
        <v>43051</v>
      </c>
      <c r="G1983" s="61" t="s">
        <v>13</v>
      </c>
      <c r="H1983" s="9"/>
      <c r="I1983" s="8"/>
      <c r="J1983" s="8"/>
      <c r="K1983" s="8"/>
      <c r="L1983" s="9">
        <v>1759</v>
      </c>
      <c r="M1983" s="8"/>
    </row>
    <row r="1984" spans="1:13">
      <c r="A1984" s="62" t="s">
        <v>2833</v>
      </c>
      <c r="B1984" s="58">
        <v>61232386200</v>
      </c>
      <c r="C1984" s="63" t="s">
        <v>2834</v>
      </c>
      <c r="D1984" s="60">
        <v>30971900310</v>
      </c>
      <c r="E1984" s="9">
        <v>1267</v>
      </c>
      <c r="F1984" s="25">
        <v>42998</v>
      </c>
      <c r="G1984" s="61" t="s">
        <v>13</v>
      </c>
      <c r="H1984" s="9"/>
      <c r="I1984" s="8"/>
      <c r="J1984" s="8"/>
      <c r="K1984" s="8"/>
      <c r="L1984" s="8"/>
      <c r="M1984" s="8"/>
    </row>
    <row r="1985" spans="1:13">
      <c r="A1985" s="28" t="s">
        <v>2835</v>
      </c>
      <c r="B1985" s="58">
        <v>68688210420</v>
      </c>
      <c r="C1985" s="30" t="s">
        <v>2836</v>
      </c>
      <c r="D1985" s="60">
        <v>3241531805</v>
      </c>
      <c r="E1985" s="9">
        <v>1570</v>
      </c>
      <c r="F1985" s="25">
        <v>43077</v>
      </c>
      <c r="G1985" s="61" t="s">
        <v>13</v>
      </c>
      <c r="H1985" s="9"/>
      <c r="I1985" s="8"/>
      <c r="J1985" s="8"/>
      <c r="K1985" s="8"/>
      <c r="L1985" s="8"/>
      <c r="M1985" s="8"/>
    </row>
    <row r="1986" spans="1:13">
      <c r="A1986" s="63" t="s">
        <v>2837</v>
      </c>
      <c r="B1986" s="58">
        <v>5605089480</v>
      </c>
      <c r="C1986" s="63"/>
      <c r="D1986" s="60"/>
      <c r="E1986" s="9">
        <v>292</v>
      </c>
      <c r="F1986" s="25">
        <v>43168</v>
      </c>
      <c r="G1986" s="9" t="s">
        <v>13</v>
      </c>
      <c r="H1986" s="9"/>
      <c r="I1986" s="8"/>
      <c r="J1986" s="8"/>
      <c r="K1986" s="8"/>
      <c r="L1986" s="9">
        <v>318</v>
      </c>
      <c r="M1986" s="8"/>
    </row>
    <row r="1987" spans="1:13">
      <c r="A1987" s="62" t="s">
        <v>2838</v>
      </c>
      <c r="B1987" s="58">
        <v>33426333449</v>
      </c>
      <c r="C1987" s="59"/>
      <c r="D1987" s="60"/>
      <c r="E1987" s="9">
        <v>1128</v>
      </c>
      <c r="F1987" s="25">
        <v>42972</v>
      </c>
      <c r="G1987" s="61" t="s">
        <v>13</v>
      </c>
      <c r="H1987" s="9"/>
      <c r="I1987" s="8"/>
      <c r="J1987" s="8"/>
      <c r="K1987" s="8"/>
      <c r="L1987" s="8"/>
      <c r="M1987" s="8"/>
    </row>
    <row r="1988" spans="1:13">
      <c r="A1988" s="62" t="s">
        <v>2839</v>
      </c>
      <c r="B1988" s="58">
        <v>94896623720</v>
      </c>
      <c r="C1988" s="63"/>
      <c r="D1988" s="60"/>
      <c r="E1988" s="9">
        <v>573</v>
      </c>
      <c r="F1988" s="25">
        <v>43224</v>
      </c>
      <c r="G1988" s="61"/>
      <c r="H1988" s="9"/>
      <c r="I1988" s="8"/>
      <c r="J1988" s="8"/>
      <c r="K1988" s="8"/>
      <c r="L1988" s="8"/>
      <c r="M1988" s="8"/>
    </row>
    <row r="1989" spans="1:13">
      <c r="A1989" s="62" t="s">
        <v>2840</v>
      </c>
      <c r="B1989" s="58">
        <v>3383434583</v>
      </c>
      <c r="C1989" s="63"/>
      <c r="D1989" s="60"/>
      <c r="E1989" s="9">
        <v>810</v>
      </c>
      <c r="F1989" s="25">
        <v>42915</v>
      </c>
      <c r="G1989" s="61" t="s">
        <v>13</v>
      </c>
      <c r="H1989" s="9"/>
      <c r="I1989" s="8"/>
      <c r="J1989" s="8"/>
      <c r="K1989" s="8"/>
      <c r="L1989" s="9" t="s">
        <v>138</v>
      </c>
      <c r="M1989" s="8"/>
    </row>
    <row r="1990" spans="1:13">
      <c r="A1990" s="62" t="s">
        <v>2841</v>
      </c>
      <c r="B1990" s="58">
        <v>25058405806</v>
      </c>
      <c r="C1990" s="63"/>
      <c r="D1990" s="60"/>
      <c r="E1990" s="9">
        <v>1824</v>
      </c>
      <c r="F1990" s="25">
        <v>43091</v>
      </c>
      <c r="G1990" s="61" t="s">
        <v>13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2842</v>
      </c>
      <c r="B1991" s="58">
        <v>97260754672</v>
      </c>
      <c r="C1991" s="18"/>
      <c r="D1991" s="60"/>
      <c r="E1991" s="9"/>
      <c r="F1991" s="25"/>
      <c r="G1991" s="61"/>
      <c r="H1991" s="9"/>
      <c r="I1991" s="8"/>
      <c r="J1991" s="8"/>
      <c r="K1991" s="8"/>
      <c r="L1991" s="8"/>
      <c r="M1991" s="8"/>
    </row>
    <row r="1992" spans="1:13">
      <c r="A1992" s="62" t="s">
        <v>2843</v>
      </c>
      <c r="B1992" s="58">
        <v>11458903850</v>
      </c>
      <c r="C1992" s="63"/>
      <c r="D1992" s="60"/>
      <c r="E1992" s="9"/>
      <c r="F1992" s="25"/>
      <c r="G1992" s="61"/>
      <c r="H1992" s="9"/>
      <c r="I1992" s="8"/>
      <c r="J1992" s="8"/>
      <c r="K1992" s="8"/>
      <c r="L1992" s="8"/>
      <c r="M1992" s="8"/>
    </row>
    <row r="1993" spans="1:13">
      <c r="A1993" s="62" t="s">
        <v>2844</v>
      </c>
      <c r="B1993" s="58">
        <v>22566146896</v>
      </c>
      <c r="C1993" s="63" t="s">
        <v>2845</v>
      </c>
      <c r="D1993" s="60">
        <v>12734804816</v>
      </c>
      <c r="E1993" s="9"/>
      <c r="F1993" s="25"/>
      <c r="G1993" s="61"/>
      <c r="H1993" s="9"/>
      <c r="I1993" s="8"/>
      <c r="J1993" s="8"/>
      <c r="K1993" s="8"/>
      <c r="L1993" s="8"/>
      <c r="M1993" s="8"/>
    </row>
    <row r="1994" spans="1:13">
      <c r="A1994" s="62" t="s">
        <v>2846</v>
      </c>
      <c r="B1994" s="58">
        <v>27957199836</v>
      </c>
      <c r="C1994" s="63" t="s">
        <v>2847</v>
      </c>
      <c r="D1994" s="60">
        <v>14369564808</v>
      </c>
      <c r="E1994" s="9">
        <v>292</v>
      </c>
      <c r="F1994" s="25">
        <v>43168</v>
      </c>
      <c r="G1994" s="61" t="s">
        <v>13</v>
      </c>
      <c r="H1994" s="9"/>
      <c r="I1994" s="8"/>
      <c r="J1994" s="8"/>
      <c r="K1994" s="8"/>
      <c r="L1994" s="9">
        <v>318</v>
      </c>
      <c r="M1994" s="8"/>
    </row>
    <row r="1995" spans="1:13">
      <c r="A1995" s="62" t="s">
        <v>2848</v>
      </c>
      <c r="B1995" s="58">
        <v>18711730862</v>
      </c>
      <c r="C1995" s="63"/>
      <c r="D1995" s="60"/>
      <c r="E1995" s="9">
        <v>1555</v>
      </c>
      <c r="F1995" s="25">
        <v>43049</v>
      </c>
      <c r="G1995" s="61" t="s">
        <v>13</v>
      </c>
      <c r="H1995" s="9"/>
      <c r="I1995" s="8"/>
      <c r="J1995" s="8"/>
      <c r="K1995" s="8"/>
      <c r="L1995" s="9" t="s">
        <v>398</v>
      </c>
      <c r="M1995" s="8"/>
    </row>
    <row r="1996" spans="1:13">
      <c r="A1996" s="18" t="s">
        <v>2849</v>
      </c>
      <c r="B1996" s="58"/>
      <c r="C1996" s="18" t="s">
        <v>2850</v>
      </c>
      <c r="D1996" s="60"/>
      <c r="E1996" s="9"/>
      <c r="F1996" s="25"/>
      <c r="G1996" s="61"/>
      <c r="H1996" s="9"/>
      <c r="I1996" s="8"/>
      <c r="J1996" s="8"/>
      <c r="K1996" s="8"/>
      <c r="L1996" s="8"/>
      <c r="M1996" s="8"/>
    </row>
    <row r="1997" spans="1:13">
      <c r="A1997" s="62" t="s">
        <v>2851</v>
      </c>
      <c r="B1997" s="58">
        <v>12723195805</v>
      </c>
      <c r="C1997" s="63" t="s">
        <v>2852</v>
      </c>
      <c r="D1997" s="60">
        <v>34850007520</v>
      </c>
      <c r="E1997" s="9">
        <v>262</v>
      </c>
      <c r="F1997" s="25">
        <v>43160</v>
      </c>
      <c r="G1997" s="61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62" t="s">
        <v>2853</v>
      </c>
      <c r="B1998" s="58">
        <v>15731373833</v>
      </c>
      <c r="C1998" s="66" t="s">
        <v>2854</v>
      </c>
      <c r="D1998" s="60">
        <v>12858074801</v>
      </c>
      <c r="E1998" s="9">
        <v>1106</v>
      </c>
      <c r="F1998" s="25">
        <v>42965</v>
      </c>
      <c r="G1998" s="61" t="s">
        <v>20</v>
      </c>
      <c r="H1998" s="9"/>
      <c r="I1998" s="8"/>
      <c r="J1998" s="8"/>
      <c r="K1998" s="8"/>
      <c r="L1998" s="8"/>
      <c r="M1998" s="8"/>
    </row>
    <row r="1999" spans="1:13">
      <c r="A1999" s="62" t="s">
        <v>2855</v>
      </c>
      <c r="B1999" s="58">
        <v>31069447811</v>
      </c>
      <c r="C1999" s="63"/>
      <c r="D1999" s="60"/>
      <c r="E1999" s="9">
        <v>810</v>
      </c>
      <c r="F1999" s="25">
        <v>42915</v>
      </c>
      <c r="G1999" s="61" t="s">
        <v>13</v>
      </c>
      <c r="H1999" s="9"/>
      <c r="I1999" s="8"/>
      <c r="J1999" s="8"/>
      <c r="K1999" s="8"/>
      <c r="L1999" s="9" t="s">
        <v>138</v>
      </c>
      <c r="M1999" s="8"/>
    </row>
    <row r="2000" spans="1:13">
      <c r="A2000" s="62" t="s">
        <v>2856</v>
      </c>
      <c r="B2000" s="58">
        <v>31293019844</v>
      </c>
      <c r="C2000" s="63"/>
      <c r="D2000" s="60"/>
      <c r="E2000" s="9">
        <v>573</v>
      </c>
      <c r="F2000" s="25">
        <v>43224</v>
      </c>
      <c r="G2000" s="61"/>
      <c r="H2000" s="9"/>
      <c r="I2000" s="8"/>
      <c r="J2000" s="8"/>
      <c r="K2000" s="8"/>
      <c r="L2000" s="8"/>
      <c r="M2000" s="8"/>
    </row>
    <row r="2001" spans="1:13">
      <c r="A2001" s="62" t="s">
        <v>2857</v>
      </c>
      <c r="B2001" s="58">
        <v>38402878806</v>
      </c>
      <c r="C2001" s="63" t="s">
        <v>2858</v>
      </c>
      <c r="D2001" s="60">
        <v>23700547862</v>
      </c>
      <c r="E2001" s="9">
        <v>262</v>
      </c>
      <c r="F2001" s="25">
        <v>43160</v>
      </c>
      <c r="G2001" s="9" t="s">
        <v>13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2859</v>
      </c>
      <c r="B2002" s="58">
        <v>25725590801</v>
      </c>
      <c r="C2002" s="63"/>
      <c r="D2002" s="60"/>
      <c r="E2002" s="9">
        <v>527</v>
      </c>
      <c r="F2002" s="25">
        <v>43210</v>
      </c>
      <c r="G2002" s="61"/>
      <c r="H2002" s="9"/>
      <c r="I2002" s="8"/>
      <c r="J2002" s="8"/>
      <c r="K2002" s="8"/>
      <c r="L2002" s="9">
        <v>528</v>
      </c>
      <c r="M2002" s="8"/>
    </row>
    <row r="2003" spans="1:13">
      <c r="A2003" s="62" t="s">
        <v>2860</v>
      </c>
      <c r="B2003" s="58">
        <v>26710966828</v>
      </c>
      <c r="C2003" s="63"/>
      <c r="D2003" s="60"/>
      <c r="E2003" s="9">
        <v>443</v>
      </c>
      <c r="F2003" s="25">
        <v>43188</v>
      </c>
      <c r="G2003" s="61"/>
      <c r="H2003" s="9"/>
      <c r="I2003" s="8"/>
      <c r="J2003" s="8"/>
      <c r="K2003" s="8"/>
      <c r="L2003" s="8"/>
      <c r="M2003" s="8"/>
    </row>
    <row r="2004" spans="1:13">
      <c r="A2004" s="62" t="s">
        <v>2861</v>
      </c>
      <c r="B2004" s="58">
        <v>16311478897</v>
      </c>
      <c r="C2004" s="68"/>
      <c r="D2004" s="60"/>
      <c r="E2004" s="9"/>
      <c r="F2004" s="25"/>
      <c r="G2004" s="61"/>
      <c r="H2004" s="9"/>
      <c r="I2004" s="8"/>
      <c r="J2004" s="8"/>
      <c r="K2004" s="8"/>
      <c r="L2004" s="8"/>
      <c r="M2004" s="8"/>
    </row>
    <row r="2005" spans="1:13">
      <c r="A2005" s="62" t="s">
        <v>2862</v>
      </c>
      <c r="B2005" s="58">
        <v>3573607616</v>
      </c>
      <c r="C2005" s="63"/>
      <c r="D2005" s="60"/>
      <c r="E2005" s="9"/>
      <c r="F2005" s="25"/>
      <c r="G2005" s="61"/>
      <c r="H2005" s="9"/>
      <c r="I2005" s="8"/>
      <c r="J2005" s="8"/>
      <c r="K2005" s="8"/>
      <c r="L2005" s="8"/>
      <c r="M2005" s="8"/>
    </row>
    <row r="2006" spans="1:13">
      <c r="A2006" s="27" t="s">
        <v>2863</v>
      </c>
      <c r="B2006" s="58">
        <v>27023833862</v>
      </c>
      <c r="C2006" s="27" t="s">
        <v>2864</v>
      </c>
      <c r="D2006" s="60">
        <v>9004345892</v>
      </c>
      <c r="E2006" s="9"/>
      <c r="F2006" s="25"/>
      <c r="G2006" s="61"/>
      <c r="H2006" s="9"/>
      <c r="I2006" s="8"/>
      <c r="J2006" s="8"/>
      <c r="K2006" s="8"/>
      <c r="L2006" s="8"/>
      <c r="M2006" s="8"/>
    </row>
    <row r="2007" spans="1:13">
      <c r="A2007" s="13" t="s">
        <v>2865</v>
      </c>
      <c r="B2007" s="58">
        <v>4028017840</v>
      </c>
      <c r="C2007" s="59"/>
      <c r="D2007" s="60"/>
      <c r="E2007" s="9"/>
      <c r="F2007" s="25"/>
      <c r="G2007" s="61"/>
      <c r="H2007" s="9"/>
      <c r="I2007" s="8"/>
      <c r="J2007" s="8"/>
      <c r="K2007" s="8"/>
      <c r="L2007" s="8"/>
      <c r="M2007" s="8"/>
    </row>
    <row r="2008" spans="1:13">
      <c r="A2008" s="15" t="s">
        <v>2866</v>
      </c>
      <c r="B2008" s="58">
        <v>5976463410</v>
      </c>
      <c r="C2008" s="63"/>
      <c r="D2008" s="60"/>
      <c r="E2008" s="9">
        <v>117</v>
      </c>
      <c r="F2008" s="25">
        <v>43117</v>
      </c>
      <c r="G2008" s="61" t="s">
        <v>13</v>
      </c>
      <c r="H2008" s="9"/>
      <c r="I2008" s="8"/>
      <c r="J2008" s="8"/>
      <c r="K2008" s="8"/>
      <c r="L2008" s="9" t="s">
        <v>170</v>
      </c>
      <c r="M2008" s="8"/>
    </row>
    <row r="2009" spans="1:13">
      <c r="A2009" s="62" t="s">
        <v>2867</v>
      </c>
      <c r="B2009" s="58">
        <v>38815800344</v>
      </c>
      <c r="C2009" s="63" t="s">
        <v>2868</v>
      </c>
      <c r="D2009" s="60">
        <v>39085252334</v>
      </c>
      <c r="E2009" s="9">
        <v>85</v>
      </c>
      <c r="F2009" s="25">
        <v>43109</v>
      </c>
      <c r="G2009" s="61" t="s">
        <v>13</v>
      </c>
      <c r="H2009" s="25">
        <v>43151</v>
      </c>
      <c r="I2009" s="8"/>
      <c r="J2009" s="8"/>
      <c r="K2009" s="8"/>
      <c r="L2009" s="8"/>
      <c r="M2009" s="8"/>
    </row>
    <row r="2010" spans="1:13">
      <c r="A2010" s="62" t="s">
        <v>2869</v>
      </c>
      <c r="B2010" s="58">
        <v>36154299826</v>
      </c>
      <c r="C2010" s="63" t="s">
        <v>2870</v>
      </c>
      <c r="D2010" s="60">
        <v>34489273843</v>
      </c>
      <c r="E2010" s="9">
        <v>1267</v>
      </c>
      <c r="F2010" s="25">
        <v>42998</v>
      </c>
      <c r="G2010" s="61" t="s">
        <v>20</v>
      </c>
      <c r="H2010" s="9"/>
      <c r="I2010" s="8"/>
      <c r="J2010" s="8"/>
      <c r="K2010" s="8"/>
      <c r="L2010" s="8"/>
      <c r="M2010" s="8"/>
    </row>
    <row r="2011" spans="1:13">
      <c r="A2011" s="15" t="s">
        <v>2871</v>
      </c>
      <c r="B2011" s="58">
        <v>26816969847</v>
      </c>
      <c r="C2011" s="63"/>
      <c r="D2011" s="60"/>
      <c r="E2011" s="9">
        <v>229</v>
      </c>
      <c r="F2011" s="25">
        <v>43151</v>
      </c>
      <c r="G2011" s="61" t="s">
        <v>13</v>
      </c>
      <c r="H2011" s="9"/>
      <c r="I2011" s="8"/>
      <c r="J2011" s="8"/>
      <c r="K2011" s="8"/>
      <c r="L2011" s="9">
        <v>232</v>
      </c>
      <c r="M2011" s="8"/>
    </row>
    <row r="2012" spans="1:13">
      <c r="A2012" s="27" t="s">
        <v>2872</v>
      </c>
      <c r="B2012" s="58"/>
      <c r="C2012" s="18" t="s">
        <v>129</v>
      </c>
      <c r="D2012" s="60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62" t="s">
        <v>2873</v>
      </c>
      <c r="B2013" s="58">
        <v>33410383883</v>
      </c>
      <c r="C2013" s="63"/>
      <c r="D2013" s="60"/>
      <c r="E2013" s="9">
        <v>573</v>
      </c>
      <c r="F2013" s="25">
        <v>43224</v>
      </c>
      <c r="G2013" s="61"/>
      <c r="H2013" s="9"/>
      <c r="I2013" s="8"/>
      <c r="J2013" s="8"/>
      <c r="K2013" s="8"/>
      <c r="L2013" s="8"/>
      <c r="M2013" s="8"/>
    </row>
    <row r="2014" spans="1:13">
      <c r="A2014" s="62" t="s">
        <v>2874</v>
      </c>
      <c r="B2014" s="58">
        <v>95376984400</v>
      </c>
      <c r="C2014" s="63"/>
      <c r="D2014" s="60"/>
      <c r="E2014" s="9">
        <v>292</v>
      </c>
      <c r="F2014" s="25">
        <v>43168</v>
      </c>
      <c r="G2014" s="9" t="s">
        <v>13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2875</v>
      </c>
      <c r="B2015" s="58">
        <v>16410857896</v>
      </c>
      <c r="C2015" s="63"/>
      <c r="D2015" s="60"/>
      <c r="E2015" s="9">
        <v>292</v>
      </c>
      <c r="F2015" s="25">
        <v>43168</v>
      </c>
      <c r="G2015" s="61" t="s">
        <v>13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2876</v>
      </c>
      <c r="B2016" s="58">
        <v>64174182434</v>
      </c>
      <c r="C2016" s="63" t="s">
        <v>2877</v>
      </c>
      <c r="D2016" s="60">
        <v>98105183587</v>
      </c>
      <c r="E2016" s="9">
        <v>262</v>
      </c>
      <c r="F2016" s="25">
        <v>43160</v>
      </c>
      <c r="G2016" s="61" t="s">
        <v>13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7" t="s">
        <v>2878</v>
      </c>
      <c r="B2017" s="58">
        <v>4148505485</v>
      </c>
      <c r="C2017" s="27" t="s">
        <v>2879</v>
      </c>
      <c r="D2017" s="60">
        <v>2651801984</v>
      </c>
      <c r="E2017" s="9"/>
      <c r="F2017" s="25"/>
      <c r="G2017" s="61"/>
      <c r="H2017" s="9"/>
      <c r="I2017" s="8"/>
      <c r="J2017" s="8"/>
      <c r="K2017" s="8"/>
      <c r="L2017" s="8"/>
      <c r="M2017" s="8"/>
    </row>
    <row r="2018" spans="1:13">
      <c r="A2018" s="63" t="s">
        <v>2880</v>
      </c>
      <c r="B2018" s="58">
        <v>39364828372</v>
      </c>
      <c r="C2018" s="63" t="s">
        <v>2881</v>
      </c>
      <c r="D2018" s="60">
        <v>35596979805</v>
      </c>
      <c r="E2018" s="9"/>
      <c r="F2018" s="25"/>
      <c r="G2018" s="61"/>
      <c r="H2018" s="9"/>
      <c r="I2018" s="8"/>
      <c r="J2018" s="8"/>
      <c r="K2018" s="8"/>
      <c r="L2018" s="8"/>
      <c r="M2018" s="8"/>
    </row>
    <row r="2019" spans="1:13">
      <c r="A2019" s="62" t="s">
        <v>2882</v>
      </c>
      <c r="B2019" s="58">
        <v>82046042468</v>
      </c>
      <c r="C2019" s="63" t="s">
        <v>2883</v>
      </c>
      <c r="D2019" s="60">
        <v>88251098491</v>
      </c>
      <c r="E2019" s="9">
        <v>85</v>
      </c>
      <c r="F2019" s="25">
        <v>43109</v>
      </c>
      <c r="G2019" s="61" t="s">
        <v>13</v>
      </c>
      <c r="H2019" s="25">
        <v>43151</v>
      </c>
      <c r="I2019" s="8"/>
      <c r="J2019" s="8"/>
      <c r="K2019" s="8"/>
      <c r="L2019" s="8"/>
      <c r="M2019" s="8"/>
    </row>
    <row r="2020" spans="1:13">
      <c r="A2020" s="62" t="s">
        <v>2884</v>
      </c>
      <c r="B2020" s="58">
        <v>36170102888</v>
      </c>
      <c r="C2020" s="63"/>
      <c r="D2020" s="60"/>
      <c r="E2020" s="9">
        <v>1106</v>
      </c>
      <c r="F2020" s="25">
        <v>42965</v>
      </c>
      <c r="G2020" s="61" t="s">
        <v>13</v>
      </c>
      <c r="H2020" s="9"/>
      <c r="I2020" s="8"/>
      <c r="J2020" s="8"/>
      <c r="K2020" s="8"/>
      <c r="L2020" s="8"/>
      <c r="M2020" s="8"/>
    </row>
    <row r="2021" spans="1:13">
      <c r="A2021" s="14" t="s">
        <v>2885</v>
      </c>
      <c r="B2021" s="58">
        <v>38574420506</v>
      </c>
      <c r="C2021" s="63"/>
      <c r="D2021" s="60"/>
      <c r="E2021" s="9">
        <v>1824</v>
      </c>
      <c r="F2021" s="25">
        <v>43091</v>
      </c>
      <c r="G2021" s="61" t="s">
        <v>13</v>
      </c>
      <c r="H2021" s="9"/>
      <c r="I2021" s="8"/>
      <c r="J2021" s="8"/>
      <c r="K2021" s="8"/>
      <c r="L2021" s="9">
        <v>1828</v>
      </c>
      <c r="M2021" s="8"/>
    </row>
    <row r="2022" spans="1:13">
      <c r="A2022" s="62" t="s">
        <v>2886</v>
      </c>
      <c r="B2022" s="58">
        <v>29652361801</v>
      </c>
      <c r="C2022" s="63"/>
      <c r="D2022" s="60"/>
      <c r="E2022" s="9">
        <v>1417</v>
      </c>
      <c r="F2022" s="25">
        <v>43017</v>
      </c>
      <c r="G2022" s="61" t="s">
        <v>13</v>
      </c>
      <c r="H2022" s="9"/>
      <c r="I2022" s="8"/>
      <c r="J2022" s="8"/>
      <c r="K2022" s="8"/>
      <c r="L2022" s="9" t="s">
        <v>253</v>
      </c>
      <c r="M2022" s="8"/>
    </row>
    <row r="2023" spans="1:13">
      <c r="A2023" s="63" t="s">
        <v>2887</v>
      </c>
      <c r="B2023" s="58">
        <v>37806851836</v>
      </c>
      <c r="C2023" s="63" t="s">
        <v>2888</v>
      </c>
      <c r="D2023" s="60">
        <v>29701722833</v>
      </c>
      <c r="E2023" s="9"/>
      <c r="F2023" s="25"/>
      <c r="G2023" s="61"/>
      <c r="H2023" s="9"/>
      <c r="I2023" s="8"/>
      <c r="J2023" s="8"/>
      <c r="K2023" s="8"/>
      <c r="L2023" s="8"/>
      <c r="M2023" s="8"/>
    </row>
    <row r="2024" spans="1:13">
      <c r="A2024" s="62" t="s">
        <v>2889</v>
      </c>
      <c r="B2024" s="58">
        <v>19720484810</v>
      </c>
      <c r="C2024" s="63"/>
      <c r="D2024" s="60"/>
      <c r="E2024" s="9"/>
      <c r="F2024" s="25"/>
      <c r="G2024" s="61"/>
      <c r="H2024" s="9"/>
      <c r="I2024" s="8"/>
      <c r="J2024" s="8"/>
      <c r="K2024" s="8"/>
      <c r="L2024" s="8"/>
      <c r="M2024" s="8"/>
    </row>
    <row r="2025" spans="1:13">
      <c r="A2025" s="38" t="s">
        <v>2890</v>
      </c>
      <c r="B2025" s="58">
        <v>11615732837</v>
      </c>
      <c r="C2025" s="63"/>
      <c r="D2025" s="60"/>
      <c r="E2025" s="9"/>
      <c r="F2025" s="25"/>
      <c r="G2025" s="61"/>
      <c r="H2025" s="9"/>
      <c r="I2025" s="8"/>
      <c r="J2025" s="8"/>
      <c r="K2025" s="8"/>
      <c r="L2025" s="8"/>
      <c r="M2025" s="8"/>
    </row>
    <row r="2026" spans="1:13">
      <c r="A2026" s="62" t="s">
        <v>2891</v>
      </c>
      <c r="B2026" s="58">
        <v>11299021883</v>
      </c>
      <c r="C2026" s="63"/>
      <c r="D2026" s="60"/>
      <c r="E2026" s="9"/>
      <c r="F2026" s="25"/>
      <c r="G2026" s="61"/>
      <c r="H2026" s="9"/>
      <c r="I2026" s="8"/>
      <c r="J2026" s="8"/>
      <c r="K2026" s="8"/>
      <c r="L2026" s="8"/>
      <c r="M2026" s="8"/>
    </row>
    <row r="2027" spans="1:13">
      <c r="A2027" s="62" t="s">
        <v>2892</v>
      </c>
      <c r="B2027" s="58">
        <v>27506021811</v>
      </c>
      <c r="C2027" s="63" t="s">
        <v>2893</v>
      </c>
      <c r="D2027" s="60">
        <v>13130281851</v>
      </c>
      <c r="E2027" s="9">
        <v>810</v>
      </c>
      <c r="F2027" s="25">
        <v>42915</v>
      </c>
      <c r="G2027" s="61" t="s">
        <v>13</v>
      </c>
      <c r="H2027" s="9"/>
      <c r="I2027" s="8"/>
      <c r="J2027" s="8"/>
      <c r="K2027" s="8"/>
      <c r="L2027" s="9" t="s">
        <v>138</v>
      </c>
      <c r="M2027" s="8"/>
    </row>
    <row r="2028" spans="1:13">
      <c r="A2028" s="15" t="s">
        <v>2894</v>
      </c>
      <c r="B2028" s="58">
        <v>30990738817</v>
      </c>
      <c r="C2028" s="63"/>
      <c r="D2028" s="60"/>
      <c r="E2028" s="9">
        <v>85</v>
      </c>
      <c r="F2028" s="25">
        <v>43109</v>
      </c>
      <c r="G2028" s="61" t="s">
        <v>13</v>
      </c>
      <c r="H2028" s="25">
        <v>43151</v>
      </c>
      <c r="I2028" s="8"/>
      <c r="J2028" s="8"/>
      <c r="K2028" s="8"/>
      <c r="L2028" s="8"/>
      <c r="M2028" s="8"/>
    </row>
    <row r="2029" spans="1:13">
      <c r="A2029" s="62" t="s">
        <v>2895</v>
      </c>
      <c r="B2029" s="58">
        <v>17098727806</v>
      </c>
      <c r="C2029" s="63"/>
      <c r="D2029" s="60"/>
      <c r="E2029" s="9">
        <v>1417</v>
      </c>
      <c r="F2029" s="25">
        <v>43017</v>
      </c>
      <c r="G2029" s="61" t="s">
        <v>13</v>
      </c>
      <c r="H2029" s="9"/>
      <c r="I2029" s="8"/>
      <c r="J2029" s="8"/>
      <c r="K2029" s="8"/>
      <c r="L2029" s="9" t="s">
        <v>253</v>
      </c>
      <c r="M2029" s="8"/>
    </row>
    <row r="2030" spans="1:13">
      <c r="A2030" s="15" t="s">
        <v>2896</v>
      </c>
      <c r="B2030" s="58">
        <v>660919346</v>
      </c>
      <c r="C2030" s="63" t="s">
        <v>2897</v>
      </c>
      <c r="D2030" s="60">
        <v>296516384</v>
      </c>
      <c r="E2030" s="9">
        <v>262</v>
      </c>
      <c r="F2030" s="25">
        <v>43160</v>
      </c>
      <c r="G2030" s="61" t="s">
        <v>20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62" t="s">
        <v>2898</v>
      </c>
      <c r="B2031" s="58">
        <v>15350321897</v>
      </c>
      <c r="C2031" s="63"/>
      <c r="D2031" s="60"/>
      <c r="E2031" s="9">
        <v>1824</v>
      </c>
      <c r="F2031" s="25">
        <v>43091</v>
      </c>
      <c r="G2031" s="61" t="s">
        <v>13</v>
      </c>
      <c r="H2031" s="9"/>
      <c r="I2031" s="8"/>
      <c r="J2031" s="8"/>
      <c r="K2031" s="8"/>
      <c r="L2031" s="9">
        <v>1828</v>
      </c>
      <c r="M2031" s="8"/>
    </row>
    <row r="2032" spans="1:13">
      <c r="A2032" s="63" t="s">
        <v>2899</v>
      </c>
      <c r="B2032" s="58">
        <v>55075746500</v>
      </c>
      <c r="C2032" s="63" t="s">
        <v>2900</v>
      </c>
      <c r="D2032" s="60">
        <v>13128009848</v>
      </c>
      <c r="E2032" s="9"/>
      <c r="F2032" s="25"/>
      <c r="G2032" s="61"/>
      <c r="H2032" s="9"/>
      <c r="I2032" s="8"/>
      <c r="J2032" s="8"/>
      <c r="K2032" s="8"/>
      <c r="L2032" s="8"/>
      <c r="M2032" s="8"/>
    </row>
    <row r="2033" spans="1:13">
      <c r="A2033" s="62" t="s">
        <v>2901</v>
      </c>
      <c r="B2033" s="58">
        <v>34549590807</v>
      </c>
      <c r="C2033" s="63" t="s">
        <v>2902</v>
      </c>
      <c r="D2033" s="60">
        <v>13581578808</v>
      </c>
      <c r="E2033" s="9"/>
      <c r="F2033" s="25"/>
      <c r="G2033" s="61"/>
      <c r="H2033" s="9"/>
      <c r="I2033" s="8"/>
      <c r="J2033" s="8"/>
      <c r="K2033" s="8"/>
      <c r="L2033" s="8"/>
      <c r="M2033" s="8"/>
    </row>
    <row r="2034" spans="1:13">
      <c r="A2034" s="27" t="s">
        <v>2903</v>
      </c>
      <c r="B2034" s="58"/>
      <c r="C2034" s="18" t="s">
        <v>129</v>
      </c>
      <c r="D2034" s="60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62" t="s">
        <v>2904</v>
      </c>
      <c r="B2035" s="58">
        <v>25439060880</v>
      </c>
      <c r="C2035" s="63"/>
      <c r="D2035" s="60"/>
      <c r="E2035" s="9"/>
      <c r="F2035" s="25"/>
      <c r="G2035" s="61"/>
      <c r="H2035" s="9"/>
      <c r="I2035" s="8"/>
      <c r="J2035" s="8"/>
      <c r="K2035" s="8"/>
      <c r="L2035" s="8"/>
      <c r="M2035" s="8"/>
    </row>
    <row r="2036" spans="1:13">
      <c r="A2036" s="15" t="s">
        <v>2905</v>
      </c>
      <c r="B2036" s="58">
        <v>41292199873</v>
      </c>
      <c r="C2036" s="63" t="s">
        <v>2906</v>
      </c>
      <c r="D2036" s="60">
        <v>788209361</v>
      </c>
      <c r="E2036" s="9">
        <v>485</v>
      </c>
      <c r="F2036" s="25">
        <v>43196</v>
      </c>
      <c r="G2036" s="61"/>
      <c r="H2036" s="9"/>
      <c r="I2036" s="8"/>
      <c r="J2036" s="8"/>
      <c r="K2036" s="8"/>
      <c r="L2036" s="9">
        <v>483</v>
      </c>
      <c r="M2036" s="8"/>
    </row>
    <row r="2037" spans="1:13">
      <c r="A2037" s="27" t="s">
        <v>2907</v>
      </c>
      <c r="B2037" s="58"/>
      <c r="C2037" s="27" t="s">
        <v>129</v>
      </c>
      <c r="D2037" s="60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2908</v>
      </c>
      <c r="B2038" s="58">
        <v>14000985809</v>
      </c>
      <c r="C2038" s="63"/>
      <c r="D2038" s="60"/>
      <c r="E2038" s="9">
        <v>485</v>
      </c>
      <c r="F2038" s="25">
        <v>43196</v>
      </c>
      <c r="G2038" s="61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2909</v>
      </c>
      <c r="B2039" s="58">
        <v>42318039860</v>
      </c>
      <c r="C2039" s="63" t="s">
        <v>2910</v>
      </c>
      <c r="D2039" s="60">
        <v>23059375801</v>
      </c>
      <c r="E2039" s="9">
        <v>85</v>
      </c>
      <c r="F2039" s="25">
        <v>43109</v>
      </c>
      <c r="G2039" s="61" t="s">
        <v>13</v>
      </c>
      <c r="H2039" s="25">
        <v>43151</v>
      </c>
      <c r="I2039" s="8"/>
      <c r="J2039" s="8"/>
      <c r="K2039" s="8"/>
      <c r="L2039" s="8"/>
      <c r="M2039" s="8"/>
    </row>
    <row r="2040" spans="1:13">
      <c r="A2040" s="62" t="s">
        <v>2911</v>
      </c>
      <c r="B2040" s="58">
        <v>63956250478</v>
      </c>
      <c r="C2040" s="63"/>
      <c r="D2040" s="60"/>
      <c r="E2040" s="9">
        <v>810</v>
      </c>
      <c r="F2040" s="25">
        <v>42915</v>
      </c>
      <c r="G2040" s="61" t="s">
        <v>13</v>
      </c>
      <c r="H2040" s="9"/>
      <c r="I2040" s="8"/>
      <c r="J2040" s="8"/>
      <c r="K2040" s="8"/>
      <c r="L2040" s="9" t="s">
        <v>138</v>
      </c>
      <c r="M2040" s="8"/>
    </row>
    <row r="2041" spans="1:13">
      <c r="A2041" s="62" t="s">
        <v>2912</v>
      </c>
      <c r="B2041" s="58">
        <v>2693234573</v>
      </c>
      <c r="C2041" s="62" t="s">
        <v>2913</v>
      </c>
      <c r="D2041" s="60">
        <v>36131987890</v>
      </c>
      <c r="E2041" s="9">
        <v>292</v>
      </c>
      <c r="F2041" s="25">
        <v>43168</v>
      </c>
      <c r="G2041" s="9" t="s">
        <v>13</v>
      </c>
      <c r="H2041" s="9"/>
      <c r="I2041" s="8"/>
      <c r="J2041" s="8"/>
      <c r="K2041" s="8"/>
      <c r="L2041" s="9">
        <v>318</v>
      </c>
      <c r="M2041" s="8"/>
    </row>
    <row r="2042" spans="1:13">
      <c r="A2042" s="63" t="s">
        <v>2914</v>
      </c>
      <c r="B2042" s="58">
        <v>19677621807</v>
      </c>
      <c r="C2042" s="63" t="s">
        <v>2915</v>
      </c>
      <c r="D2042" s="60">
        <v>57147752520</v>
      </c>
      <c r="E2042" s="9"/>
      <c r="F2042" s="25"/>
      <c r="G2042" s="61"/>
      <c r="H2042" s="9"/>
      <c r="I2042" s="8"/>
      <c r="J2042" s="8"/>
      <c r="K2042" s="8"/>
      <c r="L2042" s="8"/>
      <c r="M2042" s="8"/>
    </row>
    <row r="2043" spans="1:13">
      <c r="A2043" s="62" t="s">
        <v>2916</v>
      </c>
      <c r="B2043" s="58">
        <v>29638307854</v>
      </c>
      <c r="C2043" s="63"/>
      <c r="D2043" s="60"/>
      <c r="E2043" s="9">
        <v>1752</v>
      </c>
      <c r="F2043" s="25">
        <v>43051</v>
      </c>
      <c r="G2043" s="61" t="s">
        <v>13</v>
      </c>
      <c r="H2043" s="9"/>
      <c r="I2043" s="8"/>
      <c r="J2043" s="8"/>
      <c r="K2043" s="8"/>
      <c r="L2043" s="9">
        <v>1759</v>
      </c>
      <c r="M2043" s="8"/>
    </row>
    <row r="2044" spans="1:13">
      <c r="A2044" s="62" t="s">
        <v>2917</v>
      </c>
      <c r="B2044" s="58">
        <v>4439215807</v>
      </c>
      <c r="C2044" s="63"/>
      <c r="D2044" s="60"/>
      <c r="E2044" s="9"/>
      <c r="F2044" s="25"/>
      <c r="G2044" s="61"/>
      <c r="H2044" s="9"/>
      <c r="I2044" s="8"/>
      <c r="J2044" s="8"/>
      <c r="K2044" s="8"/>
      <c r="L2044" s="8"/>
      <c r="M2044" s="8"/>
    </row>
    <row r="2045" spans="1:13">
      <c r="A2045" s="62" t="s">
        <v>2918</v>
      </c>
      <c r="B2045" s="58">
        <v>11279019824</v>
      </c>
      <c r="C2045" s="63"/>
      <c r="D2045" s="60"/>
      <c r="E2045" s="9">
        <v>292</v>
      </c>
      <c r="F2045" s="25">
        <v>43168</v>
      </c>
      <c r="G2045" s="61" t="s">
        <v>13</v>
      </c>
      <c r="H2045" s="9"/>
      <c r="I2045" s="8"/>
      <c r="J2045" s="8"/>
      <c r="K2045" s="8"/>
      <c r="L2045" s="9">
        <v>318</v>
      </c>
      <c r="M2045" s="8"/>
    </row>
    <row r="2046" spans="1:13">
      <c r="A2046" s="63" t="s">
        <v>2919</v>
      </c>
      <c r="B2046" s="58">
        <v>22583603825</v>
      </c>
      <c r="C2046" s="63" t="s">
        <v>2920</v>
      </c>
      <c r="D2046" s="60">
        <v>4666893571</v>
      </c>
      <c r="E2046" s="9"/>
      <c r="F2046" s="25"/>
      <c r="G2046" s="61"/>
      <c r="H2046" s="9"/>
      <c r="I2046" s="8"/>
      <c r="J2046" s="8"/>
      <c r="K2046" s="8"/>
      <c r="L2046" s="8"/>
      <c r="M2046" s="8"/>
    </row>
    <row r="2047" spans="1:13">
      <c r="A2047" s="15" t="s">
        <v>2921</v>
      </c>
      <c r="B2047" s="58">
        <v>14858077861</v>
      </c>
      <c r="C2047" s="15" t="s">
        <v>2922</v>
      </c>
      <c r="D2047" s="60">
        <v>55994709468</v>
      </c>
      <c r="E2047" s="9"/>
      <c r="F2047" s="25"/>
      <c r="G2047" s="61"/>
      <c r="H2047" s="9"/>
      <c r="I2047" s="8"/>
      <c r="J2047" s="8"/>
      <c r="K2047" s="8"/>
      <c r="L2047" s="8"/>
      <c r="M2047" s="8"/>
    </row>
    <row r="2048" spans="1:13">
      <c r="A2048" s="62" t="s">
        <v>2923</v>
      </c>
      <c r="B2048" s="58">
        <v>32291860879</v>
      </c>
      <c r="C2048" s="27" t="s">
        <v>2924</v>
      </c>
      <c r="D2048" s="60">
        <v>6096567812</v>
      </c>
      <c r="E2048" s="9"/>
      <c r="F2048" s="25"/>
      <c r="G2048" s="61"/>
      <c r="H2048" s="9"/>
      <c r="I2048" s="8"/>
      <c r="J2048" s="8"/>
      <c r="K2048" s="8"/>
      <c r="L2048" s="8"/>
      <c r="M2048" s="8"/>
    </row>
    <row r="2049" spans="1:13">
      <c r="A2049" s="62" t="s">
        <v>2925</v>
      </c>
      <c r="B2049" s="58">
        <v>76396126320</v>
      </c>
      <c r="C2049" s="63" t="s">
        <v>2926</v>
      </c>
      <c r="D2049" s="60">
        <v>62133390510</v>
      </c>
      <c r="E2049" s="9">
        <v>1262</v>
      </c>
      <c r="F2049" s="25">
        <v>42997</v>
      </c>
      <c r="G2049" s="61" t="s">
        <v>13</v>
      </c>
      <c r="H2049" s="9"/>
      <c r="I2049" s="8"/>
      <c r="J2049" s="8"/>
      <c r="K2049" s="8"/>
      <c r="L2049" s="8"/>
      <c r="M2049" s="8"/>
    </row>
    <row r="2050" spans="1:13">
      <c r="A2050" s="14" t="s">
        <v>2927</v>
      </c>
      <c r="B2050" s="58">
        <v>34303186880</v>
      </c>
      <c r="C2050" s="63" t="s">
        <v>2928</v>
      </c>
      <c r="D2050" s="60">
        <v>39695431852</v>
      </c>
      <c r="E2050" s="9">
        <v>1570</v>
      </c>
      <c r="F2050" s="25">
        <v>43077</v>
      </c>
      <c r="G2050" s="61" t="s">
        <v>13</v>
      </c>
      <c r="H2050" s="9"/>
      <c r="I2050" s="8"/>
      <c r="J2050" s="8"/>
      <c r="K2050" s="8"/>
      <c r="L2050" s="8"/>
      <c r="M2050" s="8"/>
    </row>
    <row r="2051" spans="1:13">
      <c r="A2051" s="18" t="s">
        <v>2929</v>
      </c>
      <c r="B2051" s="58">
        <v>14331980880</v>
      </c>
      <c r="C2051" s="8" t="s">
        <v>2930</v>
      </c>
      <c r="D2051" s="60">
        <v>11762054809</v>
      </c>
      <c r="E2051" s="9"/>
      <c r="F2051" s="25"/>
      <c r="G2051" s="61"/>
      <c r="H2051" s="9"/>
      <c r="I2051" s="8"/>
      <c r="J2051" s="8"/>
      <c r="K2051" s="8"/>
      <c r="L2051" s="8"/>
      <c r="M2051" s="8"/>
    </row>
    <row r="2052" spans="1:13">
      <c r="A2052" s="19" t="s">
        <v>2929</v>
      </c>
      <c r="B2052" s="58">
        <v>14331980880</v>
      </c>
      <c r="C2052" s="68" t="s">
        <v>2930</v>
      </c>
      <c r="D2052" s="58">
        <v>11762054809</v>
      </c>
      <c r="E2052" s="9"/>
      <c r="F2052" s="25"/>
      <c r="G2052" s="61"/>
      <c r="H2052" s="9"/>
      <c r="I2052" s="8"/>
      <c r="J2052" s="8"/>
      <c r="K2052" s="8"/>
      <c r="L2052" s="8"/>
      <c r="M2052" s="8"/>
    </row>
    <row r="2053" spans="1:13">
      <c r="A2053" s="18" t="s">
        <v>2931</v>
      </c>
      <c r="B2053" s="58">
        <v>82007454491</v>
      </c>
      <c r="C2053" s="18"/>
      <c r="D2053" s="60"/>
      <c r="E2053" s="9"/>
      <c r="F2053" s="25"/>
      <c r="G2053" s="61"/>
      <c r="H2053" s="9"/>
      <c r="I2053" s="8"/>
      <c r="J2053" s="8"/>
      <c r="K2053" s="8"/>
      <c r="L2053" s="8"/>
      <c r="M2053" s="8"/>
    </row>
    <row r="2054" spans="1:13">
      <c r="A2054" s="27" t="s">
        <v>2932</v>
      </c>
      <c r="B2054" s="58"/>
      <c r="C2054" s="27" t="s">
        <v>2933</v>
      </c>
      <c r="D2054" s="60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62" t="s">
        <v>2934</v>
      </c>
      <c r="B2055" s="58">
        <v>31662836848</v>
      </c>
      <c r="C2055" s="63" t="s">
        <v>2935</v>
      </c>
      <c r="D2055" s="60">
        <v>12871784809</v>
      </c>
      <c r="E2055" s="9">
        <v>1570</v>
      </c>
      <c r="F2055" s="25">
        <v>43077</v>
      </c>
      <c r="G2055" s="61" t="s">
        <v>13</v>
      </c>
      <c r="H2055" s="9"/>
      <c r="I2055" s="8"/>
      <c r="J2055" s="8"/>
      <c r="K2055" s="8"/>
      <c r="L2055" s="8"/>
      <c r="M2055" s="8"/>
    </row>
    <row r="2056" spans="1:13">
      <c r="A2056" s="14" t="s">
        <v>2936</v>
      </c>
      <c r="B2056" s="58">
        <v>39000389372</v>
      </c>
      <c r="C2056" s="63" t="s">
        <v>2937</v>
      </c>
      <c r="D2056" s="60">
        <v>14683732858</v>
      </c>
      <c r="E2056" s="9">
        <v>1417</v>
      </c>
      <c r="F2056" s="25">
        <v>43017</v>
      </c>
      <c r="G2056" s="61" t="s">
        <v>13</v>
      </c>
      <c r="H2056" s="9"/>
      <c r="I2056" s="8"/>
      <c r="J2056" s="8"/>
      <c r="K2056" s="8"/>
      <c r="L2056" s="9" t="s">
        <v>253</v>
      </c>
      <c r="M2056" s="8"/>
    </row>
    <row r="2057" spans="1:13">
      <c r="A2057" s="18" t="s">
        <v>2938</v>
      </c>
      <c r="B2057" s="58">
        <v>10349044856</v>
      </c>
      <c r="C2057" s="18" t="s">
        <v>2209</v>
      </c>
      <c r="D2057" s="60">
        <v>31651998841</v>
      </c>
      <c r="E2057" s="9"/>
      <c r="F2057" s="25"/>
      <c r="G2057" s="61"/>
      <c r="H2057" s="9"/>
      <c r="I2057" s="8"/>
      <c r="J2057" s="8"/>
      <c r="K2057" s="8"/>
      <c r="L2057" s="8"/>
      <c r="M2057" s="8"/>
    </row>
    <row r="2058" spans="1:13">
      <c r="A2058" s="62" t="s">
        <v>2939</v>
      </c>
      <c r="B2058" s="58">
        <v>25058845873</v>
      </c>
      <c r="C2058" s="62" t="s">
        <v>2940</v>
      </c>
      <c r="D2058" s="60">
        <v>57070563868</v>
      </c>
      <c r="E2058" s="9"/>
      <c r="F2058" s="25"/>
      <c r="G2058" s="61"/>
      <c r="H2058" s="9"/>
      <c r="I2058" s="8"/>
      <c r="J2058" s="8"/>
      <c r="K2058" s="8"/>
      <c r="L2058" s="8"/>
      <c r="M2058" s="8"/>
    </row>
    <row r="2059" spans="1:13">
      <c r="A2059" s="27" t="s">
        <v>2941</v>
      </c>
      <c r="B2059" s="58"/>
      <c r="C2059" s="27" t="s">
        <v>2942</v>
      </c>
      <c r="D2059" s="60"/>
      <c r="E2059" s="9"/>
      <c r="F2059" s="25"/>
      <c r="G2059" s="61"/>
      <c r="H2059" s="9"/>
      <c r="I2059" s="8"/>
      <c r="J2059" s="8"/>
      <c r="K2059" s="8"/>
      <c r="L2059" s="8"/>
      <c r="M2059" s="8"/>
    </row>
    <row r="2060" spans="1:13">
      <c r="A2060" s="63" t="s">
        <v>2943</v>
      </c>
      <c r="B2060" s="58">
        <v>5088717431</v>
      </c>
      <c r="C2060" s="63" t="s">
        <v>2944</v>
      </c>
      <c r="D2060" s="60">
        <v>36792180874</v>
      </c>
      <c r="E2060" s="9">
        <v>563</v>
      </c>
      <c r="F2060" s="25">
        <v>43217</v>
      </c>
      <c r="G2060" s="61"/>
      <c r="H2060" s="9"/>
      <c r="I2060" s="8"/>
      <c r="J2060" s="8"/>
      <c r="K2060" s="8"/>
      <c r="L2060" s="9" t="s">
        <v>299</v>
      </c>
      <c r="M2060" s="8"/>
    </row>
    <row r="2061" spans="1:13">
      <c r="A2061" s="13" t="s">
        <v>2945</v>
      </c>
      <c r="B2061" s="58">
        <v>38167815862</v>
      </c>
      <c r="C2061" s="59"/>
      <c r="D2061" s="60"/>
      <c r="E2061" s="9">
        <v>1128</v>
      </c>
      <c r="F2061" s="25">
        <v>42972</v>
      </c>
      <c r="G2061" s="61" t="s">
        <v>13</v>
      </c>
      <c r="H2061" s="9"/>
      <c r="I2061" s="8"/>
      <c r="J2061" s="8"/>
      <c r="K2061" s="8"/>
      <c r="L2061" s="8"/>
      <c r="M2061" s="8"/>
    </row>
    <row r="2062" spans="1:13">
      <c r="A2062" s="62" t="s">
        <v>2946</v>
      </c>
      <c r="B2062" s="58">
        <v>11265529418</v>
      </c>
      <c r="C2062" s="63"/>
      <c r="D2062" s="60"/>
      <c r="E2062" s="9">
        <v>485</v>
      </c>
      <c r="F2062" s="25">
        <v>43196</v>
      </c>
      <c r="G2062" s="61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2947</v>
      </c>
      <c r="B2063" s="58">
        <v>33517044881</v>
      </c>
      <c r="C2063" s="63" t="s">
        <v>2948</v>
      </c>
      <c r="D2063" s="60">
        <v>28076571847</v>
      </c>
      <c r="E2063" s="9">
        <v>85</v>
      </c>
      <c r="F2063" s="25">
        <v>43109</v>
      </c>
      <c r="G2063" s="84" t="s">
        <v>20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2949</v>
      </c>
      <c r="B2064" s="58">
        <v>28067036896</v>
      </c>
      <c r="C2064" s="63"/>
      <c r="D2064" s="60"/>
      <c r="E2064" s="9">
        <v>1350</v>
      </c>
      <c r="F2064" s="25">
        <v>43006</v>
      </c>
      <c r="G2064" s="61" t="s">
        <v>13</v>
      </c>
      <c r="H2064" s="9"/>
      <c r="I2064" s="8"/>
      <c r="J2064" s="8"/>
      <c r="K2064" s="8"/>
      <c r="L2064" s="8"/>
      <c r="M2064" s="8"/>
    </row>
    <row r="2065" spans="1:13">
      <c r="A2065" s="62" t="s">
        <v>2950</v>
      </c>
      <c r="B2065" s="58">
        <v>3754865340</v>
      </c>
      <c r="C2065" s="63"/>
      <c r="D2065" s="60"/>
      <c r="E2065" s="9"/>
      <c r="F2065" s="25"/>
      <c r="G2065" s="61"/>
      <c r="H2065" s="9"/>
      <c r="I2065" s="8"/>
      <c r="J2065" s="8"/>
      <c r="K2065" s="8"/>
      <c r="L2065" s="8"/>
      <c r="M2065" s="8"/>
    </row>
    <row r="2066" spans="1:13">
      <c r="A2066" s="62" t="s">
        <v>2951</v>
      </c>
      <c r="B2066" s="58">
        <v>25165265803</v>
      </c>
      <c r="C2066" s="63"/>
      <c r="D2066" s="60"/>
      <c r="E2066" s="9">
        <v>1555</v>
      </c>
      <c r="F2066" s="25">
        <v>43049</v>
      </c>
      <c r="G2066" s="61" t="s">
        <v>13</v>
      </c>
      <c r="H2066" s="9"/>
      <c r="I2066" s="8"/>
      <c r="J2066" s="8"/>
      <c r="K2066" s="8"/>
      <c r="L2066" s="9" t="s">
        <v>398</v>
      </c>
      <c r="M2066" s="8"/>
    </row>
    <row r="2067" spans="1:13">
      <c r="A2067" s="62" t="s">
        <v>2952</v>
      </c>
      <c r="B2067" s="58">
        <v>16488724843</v>
      </c>
      <c r="C2067" s="64" t="s">
        <v>2953</v>
      </c>
      <c r="D2067" s="85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7" t="s">
        <v>2954</v>
      </c>
      <c r="B2068" s="58">
        <v>22230898876</v>
      </c>
      <c r="C2068" s="18" t="s">
        <v>129</v>
      </c>
      <c r="D2068" s="60"/>
      <c r="E2068" s="9"/>
      <c r="F2068" s="25"/>
      <c r="G2068" s="61"/>
      <c r="H2068" s="9"/>
      <c r="I2068" s="8"/>
      <c r="J2068" s="8"/>
      <c r="K2068" s="8"/>
      <c r="L2068" s="8"/>
      <c r="M2068" s="8"/>
    </row>
    <row r="2069" spans="1:13">
      <c r="A2069" s="27" t="s">
        <v>2955</v>
      </c>
      <c r="B2069" s="58">
        <v>1218219866</v>
      </c>
      <c r="C2069" s="18" t="s">
        <v>129</v>
      </c>
      <c r="D2069" s="60"/>
      <c r="E2069" s="9"/>
      <c r="F2069" s="25"/>
      <c r="G2069" s="61"/>
      <c r="H2069" s="9"/>
      <c r="I2069" s="8"/>
      <c r="J2069" s="8"/>
      <c r="K2069" s="8"/>
      <c r="L2069" s="8"/>
      <c r="M2069" s="8"/>
    </row>
    <row r="2070" spans="1:13">
      <c r="A2070" s="62" t="s">
        <v>2956</v>
      </c>
      <c r="B2070" s="58">
        <v>75696312772</v>
      </c>
      <c r="C2070" s="68" t="s">
        <v>2957</v>
      </c>
      <c r="D2070" s="60">
        <v>4139604808</v>
      </c>
      <c r="E2070" s="9"/>
      <c r="F2070" s="25"/>
      <c r="G2070" s="61"/>
      <c r="H2070" s="9"/>
      <c r="I2070" s="8"/>
      <c r="J2070" s="8"/>
      <c r="K2070" s="8"/>
      <c r="L2070" s="8"/>
      <c r="M2070" s="8"/>
    </row>
    <row r="2071" spans="1:13">
      <c r="A2071" s="27" t="s">
        <v>2958</v>
      </c>
      <c r="B2071" s="58">
        <v>12772099873</v>
      </c>
      <c r="C2071" s="27" t="s">
        <v>2959</v>
      </c>
      <c r="D2071" s="60">
        <v>2256900800</v>
      </c>
      <c r="E2071" s="9"/>
      <c r="F2071" s="25"/>
      <c r="G2071" s="61"/>
      <c r="H2071" s="9"/>
      <c r="I2071" s="8"/>
      <c r="J2071" s="8"/>
      <c r="K2071" s="8"/>
      <c r="L2071" s="8"/>
      <c r="M2071" s="8"/>
    </row>
    <row r="2072" spans="1:13">
      <c r="A2072" s="62" t="s">
        <v>2960</v>
      </c>
      <c r="B2072" s="58">
        <v>8241964811</v>
      </c>
      <c r="C2072" s="68"/>
      <c r="D2072" s="60"/>
      <c r="E2072" s="9">
        <v>563</v>
      </c>
      <c r="F2072" s="25">
        <v>43217</v>
      </c>
      <c r="G2072" s="61"/>
      <c r="H2072" s="9"/>
      <c r="I2072" s="8"/>
      <c r="J2072" s="8"/>
      <c r="K2072" s="8"/>
      <c r="L2072" s="9" t="s">
        <v>299</v>
      </c>
      <c r="M2072" s="8"/>
    </row>
    <row r="2073" spans="1:13">
      <c r="A2073" s="18" t="s">
        <v>417</v>
      </c>
      <c r="B2073" s="58">
        <v>14633138860</v>
      </c>
      <c r="C2073" s="18"/>
      <c r="D2073" s="60"/>
      <c r="E2073" s="9"/>
      <c r="F2073" s="25"/>
      <c r="G2073" s="61"/>
      <c r="H2073" s="9"/>
      <c r="I2073" s="8"/>
      <c r="J2073" s="8"/>
      <c r="K2073" s="8"/>
      <c r="L2073" s="8"/>
      <c r="M2073" s="8"/>
    </row>
    <row r="2074" spans="1:13">
      <c r="A2074" s="62" t="s">
        <v>417</v>
      </c>
      <c r="B2074" s="58">
        <v>40312801491</v>
      </c>
      <c r="C2074" s="63" t="s">
        <v>2961</v>
      </c>
      <c r="D2074" s="60">
        <v>36270235823</v>
      </c>
      <c r="E2074" s="9">
        <v>810</v>
      </c>
      <c r="F2074" s="25">
        <v>42915</v>
      </c>
      <c r="G2074" s="61" t="s">
        <v>13</v>
      </c>
      <c r="H2074" s="9"/>
      <c r="I2074" s="8"/>
      <c r="J2074" s="8"/>
      <c r="K2074" s="8"/>
      <c r="L2074" s="9" t="s">
        <v>138</v>
      </c>
      <c r="M2074" s="8"/>
    </row>
    <row r="2075" spans="1:13">
      <c r="A2075" s="62" t="s">
        <v>417</v>
      </c>
      <c r="B2075" s="58">
        <v>13016641895</v>
      </c>
      <c r="C2075" s="63" t="s">
        <v>2962</v>
      </c>
      <c r="D2075" s="60">
        <v>2681565731</v>
      </c>
      <c r="E2075" s="9">
        <v>810</v>
      </c>
      <c r="F2075" s="25">
        <v>42915</v>
      </c>
      <c r="G2075" s="61" t="s">
        <v>13</v>
      </c>
      <c r="H2075" s="9"/>
      <c r="I2075" s="8"/>
      <c r="J2075" s="8"/>
      <c r="K2075" s="8"/>
      <c r="L2075" s="9" t="s">
        <v>138</v>
      </c>
      <c r="M2075" s="8"/>
    </row>
    <row r="2076" spans="1:13">
      <c r="A2076" s="62" t="s">
        <v>2963</v>
      </c>
      <c r="B2076" s="58">
        <v>14688713827</v>
      </c>
      <c r="C2076" s="63"/>
      <c r="D2076" s="60"/>
      <c r="E2076" s="9"/>
      <c r="F2076" s="25"/>
      <c r="G2076" s="61"/>
      <c r="H2076" s="9"/>
      <c r="I2076" s="8"/>
      <c r="J2076" s="8"/>
      <c r="K2076" s="8"/>
      <c r="L2076" s="8"/>
      <c r="M2076" s="8"/>
    </row>
    <row r="2077" spans="1:13">
      <c r="A2077" s="62" t="s">
        <v>2964</v>
      </c>
      <c r="B2077" s="58">
        <v>18472653838</v>
      </c>
      <c r="C2077" s="63" t="s">
        <v>2965</v>
      </c>
      <c r="D2077" s="60">
        <v>41070391883</v>
      </c>
      <c r="E2077" s="9"/>
      <c r="F2077" s="25"/>
      <c r="G2077" s="61"/>
      <c r="H2077" s="9"/>
      <c r="I2077" s="8"/>
      <c r="J2077" s="8"/>
      <c r="K2077" s="8"/>
      <c r="L2077" s="8"/>
      <c r="M2077" s="8"/>
    </row>
    <row r="2078" spans="1:13">
      <c r="A2078" s="27" t="s">
        <v>2966</v>
      </c>
      <c r="B2078" s="58"/>
      <c r="C2078" s="18" t="s">
        <v>129</v>
      </c>
      <c r="D2078" s="60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62" t="s">
        <v>2967</v>
      </c>
      <c r="B2079" s="58">
        <v>21531362885</v>
      </c>
      <c r="C2079" s="63" t="s">
        <v>2968</v>
      </c>
      <c r="D2079" s="60">
        <v>27454333850</v>
      </c>
      <c r="E2079" s="9">
        <v>117</v>
      </c>
      <c r="F2079" s="25">
        <v>43117</v>
      </c>
      <c r="G2079" s="61" t="s">
        <v>13</v>
      </c>
      <c r="H2079" s="9"/>
      <c r="I2079" s="8"/>
      <c r="J2079" s="8"/>
      <c r="K2079" s="8"/>
      <c r="L2079" s="9" t="s">
        <v>170</v>
      </c>
      <c r="M2079" s="8"/>
    </row>
    <row r="2080" spans="1:13">
      <c r="A2080" s="13" t="s">
        <v>2967</v>
      </c>
      <c r="B2080" s="58">
        <v>35537854899</v>
      </c>
      <c r="C2080" s="63" t="s">
        <v>2969</v>
      </c>
      <c r="D2080" s="60">
        <v>35365081897</v>
      </c>
      <c r="E2080" s="9">
        <v>1128</v>
      </c>
      <c r="F2080" s="25">
        <v>42972</v>
      </c>
      <c r="G2080" s="61" t="s">
        <v>13</v>
      </c>
      <c r="H2080" s="9"/>
      <c r="I2080" s="8"/>
      <c r="J2080" s="8"/>
      <c r="K2080" s="8"/>
      <c r="L2080" s="8"/>
      <c r="M2080" s="8"/>
    </row>
    <row r="2081" spans="1:13">
      <c r="A2081" s="27" t="s">
        <v>2970</v>
      </c>
      <c r="B2081" s="58"/>
      <c r="C2081" s="27" t="s">
        <v>2971</v>
      </c>
      <c r="D2081" s="60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2972</v>
      </c>
      <c r="B2082" s="58">
        <v>2234021413</v>
      </c>
      <c r="C2082" s="63"/>
      <c r="D2082" s="60"/>
      <c r="E2082" s="9">
        <v>85</v>
      </c>
      <c r="F2082" s="25">
        <v>43109</v>
      </c>
      <c r="G2082" s="61" t="s">
        <v>13</v>
      </c>
      <c r="H2082" s="25">
        <v>43151</v>
      </c>
      <c r="I2082" s="8"/>
      <c r="J2082" s="8"/>
      <c r="K2082" s="8"/>
      <c r="L2082" s="8"/>
      <c r="M2082" s="8"/>
    </row>
    <row r="2083" spans="1:13">
      <c r="A2083" s="62" t="s">
        <v>2973</v>
      </c>
      <c r="B2083" s="58">
        <v>35483702840</v>
      </c>
      <c r="C2083" s="63" t="s">
        <v>2974</v>
      </c>
      <c r="D2083" s="60">
        <v>43100368487</v>
      </c>
      <c r="E2083" s="9"/>
      <c r="F2083" s="25"/>
      <c r="G2083" s="61"/>
      <c r="H2083" s="9"/>
      <c r="I2083" s="8"/>
      <c r="J2083" s="8"/>
      <c r="K2083" s="8"/>
      <c r="L2083" s="8"/>
      <c r="M2083" s="8"/>
    </row>
    <row r="2084" spans="1:13">
      <c r="A2084" s="64" t="s">
        <v>2975</v>
      </c>
      <c r="B2084" s="58">
        <v>13143080841</v>
      </c>
      <c r="C2084" s="63"/>
      <c r="D2084" s="60"/>
      <c r="E2084" s="9">
        <v>292</v>
      </c>
      <c r="F2084" s="25">
        <v>43168</v>
      </c>
      <c r="G2084" s="9" t="s">
        <v>13</v>
      </c>
      <c r="H2084" s="9"/>
      <c r="I2084" s="8"/>
      <c r="J2084" s="8"/>
      <c r="K2084" s="8"/>
      <c r="L2084" s="9">
        <v>318</v>
      </c>
      <c r="M2084" s="8"/>
    </row>
    <row r="2085" spans="1:13">
      <c r="A2085" s="62" t="s">
        <v>2976</v>
      </c>
      <c r="B2085" s="58">
        <v>38434367890</v>
      </c>
      <c r="C2085" s="68"/>
      <c r="D2085" s="60"/>
      <c r="E2085" s="9">
        <v>563</v>
      </c>
      <c r="F2085" s="25">
        <v>43217</v>
      </c>
      <c r="G2085" s="61"/>
      <c r="H2085" s="9"/>
      <c r="I2085" s="8"/>
      <c r="J2085" s="8"/>
      <c r="K2085" s="8"/>
      <c r="L2085" s="9" t="s">
        <v>299</v>
      </c>
      <c r="M2085" s="8"/>
    </row>
    <row r="2086" spans="1:13">
      <c r="A2086" s="63" t="s">
        <v>2977</v>
      </c>
      <c r="B2086" s="58">
        <v>93387016468</v>
      </c>
      <c r="C2086" s="63"/>
      <c r="D2086" s="60"/>
      <c r="E2086" s="9"/>
      <c r="F2086" s="25"/>
      <c r="G2086" s="61"/>
      <c r="H2086" s="9"/>
      <c r="I2086" s="8"/>
      <c r="J2086" s="8"/>
      <c r="K2086" s="8"/>
      <c r="L2086" s="8"/>
      <c r="M2086" s="8"/>
    </row>
    <row r="2087" spans="1:13">
      <c r="A2087" s="18" t="s">
        <v>2978</v>
      </c>
      <c r="B2087" s="58">
        <v>3322258440</v>
      </c>
      <c r="C2087" s="18" t="s">
        <v>2979</v>
      </c>
      <c r="D2087" s="60">
        <v>606629564</v>
      </c>
      <c r="E2087" s="9"/>
      <c r="F2087" s="25"/>
      <c r="G2087" s="61"/>
      <c r="H2087" s="9"/>
      <c r="I2087" s="8"/>
      <c r="J2087" s="8"/>
      <c r="K2087" s="8"/>
      <c r="L2087" s="8"/>
      <c r="M2087" s="8"/>
    </row>
    <row r="2088" spans="1:13">
      <c r="A2088" s="63" t="s">
        <v>2980</v>
      </c>
      <c r="B2088" s="58">
        <v>26418574800</v>
      </c>
      <c r="C2088" s="63"/>
      <c r="D2088" s="60"/>
      <c r="E2088" s="9"/>
      <c r="F2088" s="25"/>
      <c r="G2088" s="61"/>
      <c r="H2088" s="9"/>
      <c r="I2088" s="8"/>
      <c r="J2088" s="8"/>
      <c r="K2088" s="8"/>
      <c r="L2088" s="8"/>
      <c r="M2088" s="8"/>
    </row>
    <row r="2089" spans="1:13">
      <c r="A2089" s="27" t="s">
        <v>2981</v>
      </c>
      <c r="B2089" s="58"/>
      <c r="C2089" s="18" t="s">
        <v>129</v>
      </c>
      <c r="D2089" s="60"/>
      <c r="E2089" s="9"/>
      <c r="F2089" s="25"/>
      <c r="G2089" s="61"/>
      <c r="H2089" s="9"/>
      <c r="I2089" s="8"/>
      <c r="J2089" s="8"/>
      <c r="K2089" s="8"/>
      <c r="L2089" s="8"/>
      <c r="M2089" s="8"/>
    </row>
    <row r="2090" spans="1:13">
      <c r="A2090" s="62" t="s">
        <v>2982</v>
      </c>
      <c r="B2090" s="58">
        <v>25564758897</v>
      </c>
      <c r="C2090" s="63" t="s">
        <v>2983</v>
      </c>
      <c r="D2090" s="60">
        <v>72365617468</v>
      </c>
      <c r="E2090" s="9">
        <v>262</v>
      </c>
      <c r="F2090" s="25">
        <v>43160</v>
      </c>
      <c r="G2090" s="61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62" t="s">
        <v>2984</v>
      </c>
      <c r="B2091" s="58">
        <v>9722276875</v>
      </c>
      <c r="C2091" s="63" t="s">
        <v>2985</v>
      </c>
      <c r="D2091" s="60">
        <v>7777516825</v>
      </c>
      <c r="E2091" s="9">
        <v>810</v>
      </c>
      <c r="F2091" s="25">
        <v>42915</v>
      </c>
      <c r="G2091" s="61" t="s">
        <v>13</v>
      </c>
      <c r="H2091" s="9"/>
      <c r="I2091" s="8"/>
      <c r="J2091" s="8"/>
      <c r="K2091" s="8"/>
      <c r="L2091" s="9" t="s">
        <v>138</v>
      </c>
      <c r="M2091" s="8"/>
    </row>
    <row r="2092" spans="1:13">
      <c r="A2092" s="62" t="s">
        <v>2986</v>
      </c>
      <c r="B2092" s="58">
        <v>34579849809</v>
      </c>
      <c r="C2092" s="63"/>
      <c r="D2092" s="60"/>
      <c r="E2092" s="9"/>
      <c r="F2092" s="25"/>
      <c r="G2092" s="61"/>
      <c r="H2092" s="9"/>
      <c r="I2092" s="8"/>
      <c r="J2092" s="8"/>
      <c r="K2092" s="8"/>
      <c r="L2092" s="8"/>
      <c r="M2092" s="8"/>
    </row>
    <row r="2093" spans="1:13">
      <c r="A2093" s="13" t="s">
        <v>2987</v>
      </c>
      <c r="B2093" s="58">
        <v>27192176893</v>
      </c>
      <c r="C2093" s="59" t="s">
        <v>2988</v>
      </c>
      <c r="D2093" s="60">
        <v>8367664825</v>
      </c>
      <c r="E2093" s="9">
        <v>608</v>
      </c>
      <c r="F2093" s="25">
        <v>43012</v>
      </c>
      <c r="G2093" s="61" t="s">
        <v>13</v>
      </c>
      <c r="H2093" s="9"/>
      <c r="I2093" s="8"/>
      <c r="J2093" s="8"/>
      <c r="K2093" s="8"/>
      <c r="L2093" s="8"/>
      <c r="M2093" s="8"/>
    </row>
    <row r="2094" spans="1:13">
      <c r="A2094" s="18" t="s">
        <v>2989</v>
      </c>
      <c r="B2094" s="58">
        <v>16514255825</v>
      </c>
      <c r="C2094" s="18" t="s">
        <v>2990</v>
      </c>
      <c r="D2094" s="60">
        <v>6568302805</v>
      </c>
      <c r="E2094" s="9"/>
      <c r="F2094" s="25"/>
      <c r="G2094" s="61"/>
      <c r="H2094" s="9"/>
      <c r="I2094" s="8"/>
      <c r="J2094" s="8"/>
      <c r="K2094" s="8"/>
      <c r="L2094" s="8"/>
      <c r="M2094" s="8"/>
    </row>
    <row r="2095" spans="1:13">
      <c r="A2095" s="64" t="s">
        <v>2991</v>
      </c>
      <c r="B2095" s="58">
        <v>4809644324</v>
      </c>
      <c r="C2095" s="63" t="s">
        <v>2992</v>
      </c>
      <c r="D2095" s="60">
        <v>31827963808</v>
      </c>
      <c r="E2095" s="9">
        <v>1214</v>
      </c>
      <c r="F2095" s="25">
        <v>42989</v>
      </c>
      <c r="G2095" s="61" t="s">
        <v>13</v>
      </c>
      <c r="H2095" s="9"/>
      <c r="I2095" s="8"/>
      <c r="J2095" s="8"/>
      <c r="K2095" s="8"/>
      <c r="L2095" s="8"/>
      <c r="M2095" s="8"/>
    </row>
    <row r="2096" spans="1:13">
      <c r="A2096" s="62" t="s">
        <v>2993</v>
      </c>
      <c r="B2096" s="58">
        <v>90638883504</v>
      </c>
      <c r="C2096" s="63"/>
      <c r="D2096" s="60"/>
      <c r="E2096" s="9">
        <v>262</v>
      </c>
      <c r="F2096" s="25">
        <v>43160</v>
      </c>
      <c r="G2096" s="61" t="s">
        <v>13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64" t="s">
        <v>2994</v>
      </c>
      <c r="B2097" s="58">
        <v>11894918428</v>
      </c>
      <c r="C2097" s="63" t="s">
        <v>2995</v>
      </c>
      <c r="D2097" s="60">
        <v>37623185810</v>
      </c>
      <c r="E2097" s="9">
        <v>810</v>
      </c>
      <c r="F2097" s="25">
        <v>42915</v>
      </c>
      <c r="G2097" s="61" t="s">
        <v>13</v>
      </c>
      <c r="H2097" s="9"/>
      <c r="I2097" s="8"/>
      <c r="J2097" s="8"/>
      <c r="K2097" s="8"/>
      <c r="L2097" s="9" t="s">
        <v>138</v>
      </c>
      <c r="M2097" s="8"/>
    </row>
    <row r="2098" spans="1:13">
      <c r="A2098" s="15" t="s">
        <v>2996</v>
      </c>
      <c r="B2098" s="58">
        <v>70146081420</v>
      </c>
      <c r="C2098" s="63"/>
      <c r="D2098" s="60"/>
      <c r="E2098" s="9">
        <v>423</v>
      </c>
      <c r="F2098" s="25">
        <v>43182</v>
      </c>
      <c r="G2098" s="61" t="s">
        <v>13</v>
      </c>
      <c r="H2098" s="9"/>
      <c r="I2098" s="8"/>
      <c r="J2098" s="8"/>
      <c r="K2098" s="8"/>
      <c r="L2098" s="8"/>
      <c r="M2098" s="8"/>
    </row>
    <row r="2099" spans="1:13">
      <c r="A2099" s="63" t="s">
        <v>2997</v>
      </c>
      <c r="B2099" s="58">
        <v>14774907871</v>
      </c>
      <c r="C2099" s="63"/>
      <c r="D2099" s="60"/>
      <c r="E2099" s="9"/>
      <c r="F2099" s="25"/>
      <c r="G2099" s="61"/>
      <c r="H2099" s="9"/>
      <c r="I2099" s="8"/>
      <c r="J2099" s="8"/>
      <c r="K2099" s="8"/>
      <c r="L2099" s="8"/>
      <c r="M2099" s="8"/>
    </row>
    <row r="2100" spans="1:13">
      <c r="A2100" s="62" t="s">
        <v>2998</v>
      </c>
      <c r="B2100" s="58">
        <v>11161101802</v>
      </c>
      <c r="C2100" s="68"/>
      <c r="D2100" s="60"/>
      <c r="E2100" s="9">
        <v>563</v>
      </c>
      <c r="F2100" s="25">
        <v>43217</v>
      </c>
      <c r="G2100" s="61"/>
      <c r="H2100" s="9"/>
      <c r="I2100" s="8"/>
      <c r="J2100" s="8"/>
      <c r="K2100" s="8"/>
      <c r="L2100" s="9" t="s">
        <v>299</v>
      </c>
      <c r="M2100" s="8"/>
    </row>
    <row r="2101" spans="1:13">
      <c r="A2101" s="15" t="s">
        <v>2999</v>
      </c>
      <c r="B2101" s="58">
        <v>15311115807</v>
      </c>
      <c r="C2101" s="63"/>
      <c r="D2101" s="60"/>
      <c r="E2101" s="9"/>
      <c r="F2101" s="25"/>
      <c r="G2101" s="61"/>
      <c r="H2101" s="9"/>
      <c r="I2101" s="8"/>
      <c r="J2101" s="8"/>
      <c r="K2101" s="8"/>
      <c r="L2101" s="8"/>
      <c r="M2101" s="8"/>
    </row>
    <row r="2102" spans="1:13">
      <c r="A2102" s="63" t="s">
        <v>3000</v>
      </c>
      <c r="B2102" s="58">
        <v>29167389830</v>
      </c>
      <c r="C2102" s="63"/>
      <c r="D2102" s="60"/>
      <c r="E2102" s="9">
        <v>292</v>
      </c>
      <c r="F2102" s="25">
        <v>43168</v>
      </c>
      <c r="G2102" s="9" t="s">
        <v>13</v>
      </c>
      <c r="H2102" s="9"/>
      <c r="I2102" s="8"/>
      <c r="J2102" s="8"/>
      <c r="K2102" s="8"/>
      <c r="L2102" s="9">
        <v>318</v>
      </c>
      <c r="M2102" s="8"/>
    </row>
    <row r="2103" spans="1:13">
      <c r="A2103" s="27" t="s">
        <v>3001</v>
      </c>
      <c r="B2103" s="58"/>
      <c r="C2103" s="27" t="s">
        <v>129</v>
      </c>
      <c r="D2103" s="60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3002</v>
      </c>
      <c r="B2104" s="58">
        <v>4241745377</v>
      </c>
      <c r="C2104" s="63" t="s">
        <v>3003</v>
      </c>
      <c r="D2104" s="60">
        <v>4417028303</v>
      </c>
      <c r="E2104" s="9">
        <v>85</v>
      </c>
      <c r="F2104" s="25">
        <v>43109</v>
      </c>
      <c r="G2104" s="61" t="s">
        <v>13</v>
      </c>
      <c r="H2104" s="25">
        <v>43151</v>
      </c>
      <c r="I2104" s="8"/>
      <c r="J2104" s="8"/>
      <c r="K2104" s="8"/>
      <c r="L2104" s="8"/>
      <c r="M2104" s="8"/>
    </row>
    <row r="2105" spans="1:13">
      <c r="A2105" s="27" t="s">
        <v>3004</v>
      </c>
      <c r="B2105" s="58"/>
      <c r="C2105" s="27" t="s">
        <v>3005</v>
      </c>
      <c r="D2105" s="60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3006</v>
      </c>
      <c r="B2106" s="58">
        <v>14906913830</v>
      </c>
      <c r="C2106" s="59"/>
      <c r="D2106" s="60"/>
      <c r="E2106" s="9">
        <v>1128</v>
      </c>
      <c r="F2106" s="25">
        <v>42972</v>
      </c>
      <c r="G2106" s="61" t="s">
        <v>13</v>
      </c>
      <c r="H2106" s="9"/>
      <c r="I2106" s="8"/>
      <c r="J2106" s="8"/>
      <c r="K2106" s="8"/>
      <c r="L2106" s="8"/>
      <c r="M2106" s="8"/>
    </row>
    <row r="2107" spans="1:13">
      <c r="A2107" s="62" t="s">
        <v>3007</v>
      </c>
      <c r="B2107" s="58">
        <v>2182682708</v>
      </c>
      <c r="C2107" s="63" t="s">
        <v>3008</v>
      </c>
      <c r="D2107" s="60">
        <v>1409950727</v>
      </c>
      <c r="E2107" s="9">
        <v>810</v>
      </c>
      <c r="F2107" s="25">
        <v>42915</v>
      </c>
      <c r="G2107" s="61" t="s">
        <v>28</v>
      </c>
      <c r="H2107" s="9"/>
      <c r="I2107" s="8"/>
      <c r="J2107" s="8"/>
      <c r="K2107" s="8"/>
      <c r="L2107" s="9" t="s">
        <v>138</v>
      </c>
      <c r="M2107" s="8"/>
    </row>
    <row r="2108" spans="1:13">
      <c r="A2108" s="62" t="s">
        <v>3009</v>
      </c>
      <c r="B2108" s="58">
        <v>4827754403</v>
      </c>
      <c r="C2108" s="63"/>
      <c r="D2108" s="60"/>
      <c r="E2108" s="9">
        <v>509</v>
      </c>
      <c r="F2108" s="25">
        <v>43203</v>
      </c>
      <c r="G2108" s="67"/>
      <c r="H2108" s="67">
        <v>43213</v>
      </c>
      <c r="I2108" s="8"/>
      <c r="J2108" s="8"/>
      <c r="K2108" s="8"/>
      <c r="L2108" s="8"/>
      <c r="M2108" s="8"/>
    </row>
    <row r="2109" spans="1:13">
      <c r="A2109" s="63" t="s">
        <v>3010</v>
      </c>
      <c r="B2109" s="58">
        <v>11694151808</v>
      </c>
      <c r="C2109" s="63" t="s">
        <v>3011</v>
      </c>
      <c r="D2109" s="60">
        <v>29721167800</v>
      </c>
      <c r="E2109" s="9">
        <v>485</v>
      </c>
      <c r="F2109" s="25">
        <v>43196</v>
      </c>
      <c r="G2109" s="61" t="s">
        <v>20</v>
      </c>
      <c r="H2109" s="67">
        <v>43213</v>
      </c>
      <c r="I2109" s="8"/>
      <c r="J2109" s="8"/>
      <c r="K2109" s="8"/>
      <c r="L2109" s="9">
        <v>483</v>
      </c>
      <c r="M2109" s="8"/>
    </row>
    <row r="2110" spans="1:13">
      <c r="A2110" s="62" t="s">
        <v>3012</v>
      </c>
      <c r="B2110" s="58">
        <v>15801331859</v>
      </c>
      <c r="C2110" s="63"/>
      <c r="D2110" s="60"/>
      <c r="E2110" s="9">
        <v>292</v>
      </c>
      <c r="F2110" s="25">
        <v>43168</v>
      </c>
      <c r="G2110" s="61" t="s">
        <v>13</v>
      </c>
      <c r="H2110" s="67">
        <v>43213</v>
      </c>
      <c r="I2110" s="8"/>
      <c r="J2110" s="8"/>
      <c r="K2110" s="8"/>
      <c r="L2110" s="9">
        <v>318</v>
      </c>
      <c r="M2110" s="8"/>
    </row>
    <row r="2111" spans="1:13">
      <c r="A2111" s="62" t="s">
        <v>3013</v>
      </c>
      <c r="B2111" s="58">
        <v>37623190814</v>
      </c>
      <c r="C2111" s="63"/>
      <c r="D2111" s="60"/>
      <c r="E2111" s="9"/>
      <c r="F2111" s="25"/>
      <c r="G2111" s="61"/>
      <c r="H2111" s="67">
        <v>43213</v>
      </c>
      <c r="I2111" s="8"/>
      <c r="J2111" s="8"/>
      <c r="K2111" s="8"/>
      <c r="L2111" s="8"/>
      <c r="M2111" s="8"/>
    </row>
    <row r="2112" spans="1:13">
      <c r="A2112" s="62" t="s">
        <v>3014</v>
      </c>
      <c r="B2112" s="58">
        <v>14360185871</v>
      </c>
      <c r="C2112" s="59"/>
      <c r="D2112" s="60"/>
      <c r="E2112" s="9">
        <v>1752</v>
      </c>
      <c r="F2112" s="25">
        <v>43051</v>
      </c>
      <c r="G2112" s="61" t="s">
        <v>13</v>
      </c>
      <c r="H2112" s="67">
        <v>43213</v>
      </c>
      <c r="I2112" s="8"/>
      <c r="J2112" s="8"/>
      <c r="K2112" s="8"/>
      <c r="L2112" s="9">
        <v>1759</v>
      </c>
      <c r="M2112" s="8"/>
    </row>
    <row r="2113" spans="1:13">
      <c r="A2113" s="62" t="s">
        <v>3015</v>
      </c>
      <c r="B2113" s="58">
        <v>24613427843</v>
      </c>
      <c r="C2113" s="63" t="s">
        <v>3016</v>
      </c>
      <c r="D2113" s="60">
        <v>6003706821</v>
      </c>
      <c r="E2113" s="9">
        <v>810</v>
      </c>
      <c r="F2113" s="25">
        <v>42915</v>
      </c>
      <c r="G2113" s="61" t="s">
        <v>13</v>
      </c>
      <c r="H2113" s="67">
        <v>43213</v>
      </c>
      <c r="I2113" s="8"/>
      <c r="J2113" s="8"/>
      <c r="K2113" s="8"/>
      <c r="L2113" s="9" t="s">
        <v>138</v>
      </c>
      <c r="M2113" s="8"/>
    </row>
    <row r="2114" spans="1:13">
      <c r="A2114" s="63" t="s">
        <v>3017</v>
      </c>
      <c r="B2114" s="58">
        <v>61234508400</v>
      </c>
      <c r="C2114" s="63" t="s">
        <v>3018</v>
      </c>
      <c r="D2114" s="60">
        <v>61614068453</v>
      </c>
      <c r="E2114" s="9"/>
      <c r="F2114" s="25"/>
      <c r="G2114" s="61"/>
      <c r="H2114" s="67">
        <v>43213</v>
      </c>
      <c r="I2114" s="8"/>
      <c r="J2114" s="8"/>
      <c r="K2114" s="8"/>
      <c r="L2114" s="8"/>
      <c r="M2114" s="8"/>
    </row>
    <row r="2115" spans="1:13">
      <c r="A2115" s="27" t="s">
        <v>3019</v>
      </c>
      <c r="B2115" s="58"/>
      <c r="C2115" s="18" t="s">
        <v>129</v>
      </c>
      <c r="D2115" s="60"/>
      <c r="E2115" s="9"/>
      <c r="F2115" s="25"/>
      <c r="G2115" s="2"/>
      <c r="H2115" s="67">
        <v>43213</v>
      </c>
      <c r="I2115" s="8"/>
      <c r="J2115" s="8"/>
      <c r="K2115" s="8"/>
      <c r="L2115" s="8"/>
      <c r="M2115" s="8"/>
    </row>
    <row r="2116" spans="1:13">
      <c r="A2116" s="62" t="s">
        <v>3020</v>
      </c>
      <c r="B2116" s="58">
        <v>13129909885</v>
      </c>
      <c r="C2116" s="63"/>
      <c r="D2116" s="60"/>
      <c r="E2116" s="9">
        <v>810</v>
      </c>
      <c r="F2116" s="25">
        <v>42915</v>
      </c>
      <c r="G2116" s="61" t="s">
        <v>13</v>
      </c>
      <c r="H2116" s="67">
        <v>43213</v>
      </c>
      <c r="I2116" s="8"/>
      <c r="J2116" s="8"/>
      <c r="K2116" s="8"/>
      <c r="L2116" s="9" t="s">
        <v>138</v>
      </c>
      <c r="M2116" s="8"/>
    </row>
    <row r="2117" spans="1:13">
      <c r="A2117" s="62" t="s">
        <v>3021</v>
      </c>
      <c r="B2117" s="58">
        <v>13517391824</v>
      </c>
      <c r="C2117" s="63"/>
      <c r="D2117" s="60"/>
      <c r="E2117" s="9">
        <v>1555</v>
      </c>
      <c r="F2117" s="25">
        <v>43049</v>
      </c>
      <c r="G2117" s="61" t="s">
        <v>28</v>
      </c>
      <c r="H2117" s="67">
        <v>43213</v>
      </c>
      <c r="I2117" s="8"/>
      <c r="J2117" s="8"/>
      <c r="K2117" s="8"/>
      <c r="L2117" s="9" t="s">
        <v>398</v>
      </c>
      <c r="M2117" s="8"/>
    </row>
    <row r="2118" spans="1:13">
      <c r="A2118" s="62" t="s">
        <v>3022</v>
      </c>
      <c r="B2118" s="58">
        <v>16684268898</v>
      </c>
      <c r="C2118" s="59"/>
      <c r="D2118" s="60"/>
      <c r="E2118" s="9"/>
      <c r="F2118" s="25"/>
      <c r="G2118" s="61"/>
      <c r="H2118" s="9"/>
      <c r="I2118" s="8"/>
      <c r="J2118" s="8"/>
      <c r="K2118" s="8"/>
      <c r="L2118" s="8"/>
      <c r="M2118" s="8"/>
    </row>
    <row r="2119" spans="1:13">
      <c r="A2119" s="62" t="s">
        <v>3023</v>
      </c>
      <c r="B2119" s="58">
        <v>26665024814</v>
      </c>
      <c r="C2119" s="68"/>
      <c r="D2119" s="60"/>
      <c r="E2119" s="9"/>
      <c r="F2119" s="25"/>
      <c r="G2119" s="61"/>
      <c r="H2119" s="9"/>
      <c r="I2119" s="8"/>
      <c r="J2119" s="8"/>
      <c r="K2119" s="8"/>
      <c r="L2119" s="8"/>
      <c r="M2119" s="8"/>
    </row>
    <row r="2120" spans="1:13">
      <c r="A2120" s="15" t="s">
        <v>3024</v>
      </c>
      <c r="B2120" s="58">
        <v>3493507364</v>
      </c>
      <c r="C2120" s="63" t="s">
        <v>3025</v>
      </c>
      <c r="D2120" s="60">
        <v>35793827803</v>
      </c>
      <c r="E2120" s="9"/>
      <c r="F2120" s="25"/>
      <c r="G2120" s="61"/>
      <c r="H2120" s="9"/>
      <c r="I2120" s="8"/>
      <c r="J2120" s="8"/>
      <c r="K2120" s="8"/>
      <c r="L2120" s="8"/>
      <c r="M2120" s="8"/>
    </row>
    <row r="2121" spans="1:13">
      <c r="A2121" s="62" t="s">
        <v>3026</v>
      </c>
      <c r="B2121" s="58">
        <v>12722083892</v>
      </c>
      <c r="C2121" s="63"/>
      <c r="D2121" s="60"/>
      <c r="E2121" s="9">
        <v>1824</v>
      </c>
      <c r="F2121" s="25">
        <v>43091</v>
      </c>
      <c r="G2121" s="61" t="s">
        <v>13</v>
      </c>
      <c r="H2121" s="9"/>
      <c r="I2121" s="8"/>
      <c r="J2121" s="8"/>
      <c r="K2121" s="8"/>
      <c r="L2121" s="9">
        <v>1828</v>
      </c>
      <c r="M2121" s="8"/>
    </row>
    <row r="2122" spans="1:13">
      <c r="A2122" s="62" t="s">
        <v>3027</v>
      </c>
      <c r="B2122" s="58">
        <v>72303573572</v>
      </c>
      <c r="C2122" s="63"/>
      <c r="D2122" s="60"/>
      <c r="E2122" s="9">
        <v>810</v>
      </c>
      <c r="F2122" s="25">
        <v>42915</v>
      </c>
      <c r="G2122" s="61" t="s">
        <v>13</v>
      </c>
      <c r="H2122" s="9"/>
      <c r="I2122" s="8"/>
      <c r="J2122" s="8"/>
      <c r="K2122" s="8"/>
      <c r="L2122" s="9" t="s">
        <v>138</v>
      </c>
      <c r="M2122" s="8"/>
    </row>
    <row r="2123" spans="1:13">
      <c r="A2123" s="62" t="s">
        <v>3028</v>
      </c>
      <c r="B2123" s="58">
        <v>9111755806</v>
      </c>
      <c r="C2123" s="63"/>
      <c r="D2123" s="60"/>
      <c r="E2123" s="9">
        <v>527</v>
      </c>
      <c r="F2123" s="25">
        <v>43210</v>
      </c>
      <c r="G2123" s="61"/>
      <c r="H2123" s="9"/>
      <c r="I2123" s="8"/>
      <c r="J2123" s="8"/>
      <c r="K2123" s="8"/>
      <c r="L2123" s="9">
        <v>528</v>
      </c>
      <c r="M2123" s="8"/>
    </row>
    <row r="2124" spans="1:13">
      <c r="A2124" s="62" t="s">
        <v>3029</v>
      </c>
      <c r="B2124" s="58">
        <v>31365484858</v>
      </c>
      <c r="C2124" s="62" t="s">
        <v>3030</v>
      </c>
      <c r="D2124" s="58">
        <v>17087119885</v>
      </c>
      <c r="E2124" s="9"/>
      <c r="F2124" s="25"/>
      <c r="G2124" s="61"/>
      <c r="H2124" s="9"/>
      <c r="I2124" s="8"/>
      <c r="J2124" s="8"/>
      <c r="K2124" s="8"/>
      <c r="L2124" s="8"/>
      <c r="M2124" s="8"/>
    </row>
    <row r="2125" spans="1:13">
      <c r="A2125" s="62" t="s">
        <v>3031</v>
      </c>
      <c r="B2125" s="58">
        <v>24759458859</v>
      </c>
      <c r="C2125" s="59"/>
      <c r="D2125" s="60"/>
      <c r="E2125" s="9">
        <v>1214</v>
      </c>
      <c r="F2125" s="25">
        <v>42989</v>
      </c>
      <c r="G2125" s="61" t="s">
        <v>13</v>
      </c>
      <c r="H2125" s="9"/>
      <c r="I2125" s="8"/>
      <c r="J2125" s="8"/>
      <c r="K2125" s="8"/>
      <c r="L2125" s="8"/>
      <c r="M2125" s="8"/>
    </row>
    <row r="2126" spans="1:13">
      <c r="A2126" s="62" t="s">
        <v>3032</v>
      </c>
      <c r="B2126" s="58">
        <v>27068346847</v>
      </c>
      <c r="C2126" s="63"/>
      <c r="D2126" s="60"/>
      <c r="E2126" s="9">
        <v>810</v>
      </c>
      <c r="F2126" s="25">
        <v>42915</v>
      </c>
      <c r="G2126" s="61" t="s">
        <v>13</v>
      </c>
      <c r="H2126" s="9"/>
      <c r="I2126" s="8"/>
      <c r="J2126" s="8"/>
      <c r="K2126" s="8"/>
      <c r="L2126" s="9" t="s">
        <v>138</v>
      </c>
      <c r="M2126" s="8"/>
    </row>
    <row r="2127" spans="1:13">
      <c r="A2127" s="14" t="s">
        <v>3033</v>
      </c>
      <c r="B2127" s="58">
        <v>69813043504</v>
      </c>
      <c r="C2127" s="63" t="s">
        <v>3034</v>
      </c>
      <c r="D2127" s="60">
        <v>12384582895</v>
      </c>
      <c r="E2127" s="9">
        <v>573</v>
      </c>
      <c r="F2127" s="25">
        <v>43224</v>
      </c>
      <c r="G2127" s="61"/>
      <c r="H2127" s="9"/>
      <c r="I2127" s="8"/>
      <c r="J2127" s="8"/>
      <c r="K2127" s="8"/>
      <c r="L2127" s="8"/>
      <c r="M2127" s="8"/>
    </row>
    <row r="2128" spans="1:13">
      <c r="A2128" s="18" t="s">
        <v>3035</v>
      </c>
      <c r="B2128" s="58">
        <v>22728510881</v>
      </c>
      <c r="C2128" s="18"/>
      <c r="D2128" s="60"/>
      <c r="E2128" s="9"/>
      <c r="F2128" s="25"/>
      <c r="G2128" s="61"/>
      <c r="H2128" s="9"/>
      <c r="I2128" s="8"/>
      <c r="J2128" s="8"/>
      <c r="K2128" s="8"/>
      <c r="L2128" s="8"/>
      <c r="M2128" s="8"/>
    </row>
    <row r="2129" spans="1:13">
      <c r="A2129" s="62" t="s">
        <v>3036</v>
      </c>
      <c r="B2129" s="58">
        <v>8784971886</v>
      </c>
      <c r="C2129" s="63"/>
      <c r="D2129" s="60"/>
      <c r="E2129" s="9">
        <v>117</v>
      </c>
      <c r="F2129" s="25">
        <v>43117</v>
      </c>
      <c r="G2129" s="61" t="s">
        <v>13</v>
      </c>
      <c r="H2129" s="9"/>
      <c r="I2129" s="8"/>
      <c r="J2129" s="8"/>
      <c r="K2129" s="8"/>
      <c r="L2129" s="9" t="s">
        <v>170</v>
      </c>
      <c r="M2129" s="8"/>
    </row>
    <row r="2130" spans="1:13">
      <c r="A2130" s="18" t="s">
        <v>3037</v>
      </c>
      <c r="B2130" s="58">
        <v>15800175845</v>
      </c>
      <c r="C2130" s="18" t="s">
        <v>3038</v>
      </c>
      <c r="D2130" s="60">
        <v>8904506840</v>
      </c>
      <c r="E2130" s="9"/>
      <c r="F2130" s="25"/>
      <c r="G2130" s="61"/>
      <c r="H2130" s="9"/>
      <c r="I2130" s="8"/>
      <c r="J2130" s="8"/>
      <c r="K2130" s="8"/>
      <c r="L2130" s="8"/>
      <c r="M2130" s="8"/>
    </row>
    <row r="2131" spans="1:13">
      <c r="A2131" s="62" t="s">
        <v>3039</v>
      </c>
      <c r="B2131" s="58">
        <v>13018290801</v>
      </c>
      <c r="C2131" s="63" t="s">
        <v>3040</v>
      </c>
      <c r="D2131" s="60">
        <v>13557701816</v>
      </c>
      <c r="E2131" s="9">
        <v>509</v>
      </c>
      <c r="F2131" s="25">
        <v>43203</v>
      </c>
      <c r="G2131" s="67"/>
      <c r="H2131" s="67">
        <v>43213</v>
      </c>
      <c r="I2131" s="8"/>
      <c r="J2131" s="8"/>
      <c r="K2131" s="8"/>
      <c r="L2131" s="8"/>
      <c r="M2131" s="8"/>
    </row>
    <row r="2132" spans="1:13">
      <c r="A2132" s="18" t="s">
        <v>3041</v>
      </c>
      <c r="B2132" s="58">
        <v>61505078318</v>
      </c>
      <c r="C2132" s="18" t="s">
        <v>3042</v>
      </c>
      <c r="D2132" s="60">
        <v>342762893</v>
      </c>
      <c r="E2132" s="9"/>
      <c r="F2132" s="25"/>
      <c r="G2132" s="61"/>
      <c r="H2132" s="67">
        <v>43213</v>
      </c>
      <c r="I2132" s="8"/>
      <c r="J2132" s="8"/>
      <c r="K2132" s="8"/>
      <c r="L2132" s="8"/>
      <c r="M2132" s="8"/>
    </row>
    <row r="2133" spans="1:13">
      <c r="A2133" s="62" t="s">
        <v>3043</v>
      </c>
      <c r="B2133" s="58">
        <v>6097323824</v>
      </c>
      <c r="C2133" s="63" t="s">
        <v>3044</v>
      </c>
      <c r="D2133" s="60">
        <v>4869646803</v>
      </c>
      <c r="E2133" s="9"/>
      <c r="F2133" s="25"/>
      <c r="G2133" s="61"/>
      <c r="H2133" s="67">
        <v>43213</v>
      </c>
      <c r="I2133" s="8"/>
      <c r="J2133" s="8"/>
      <c r="K2133" s="8"/>
      <c r="L2133" s="8"/>
      <c r="M2133" s="8"/>
    </row>
    <row r="2134" spans="1:13">
      <c r="A2134" s="62" t="s">
        <v>3045</v>
      </c>
      <c r="B2134" s="58">
        <v>2280793814</v>
      </c>
      <c r="C2134" s="63"/>
      <c r="D2134" s="60"/>
      <c r="E2134" s="9">
        <v>1824</v>
      </c>
      <c r="F2134" s="25">
        <v>43091</v>
      </c>
      <c r="G2134" s="61" t="s">
        <v>13</v>
      </c>
      <c r="H2134" s="67">
        <v>43213</v>
      </c>
      <c r="I2134" s="8"/>
      <c r="J2134" s="8"/>
      <c r="K2134" s="8"/>
      <c r="L2134" s="9">
        <v>1828</v>
      </c>
      <c r="M2134" s="8"/>
    </row>
    <row r="2135" spans="1:13">
      <c r="A2135" s="62" t="s">
        <v>3046</v>
      </c>
      <c r="B2135" s="58">
        <v>16514582869</v>
      </c>
      <c r="C2135" s="63"/>
      <c r="D2135" s="60"/>
      <c r="E2135" s="9">
        <v>810</v>
      </c>
      <c r="F2135" s="25">
        <v>42915</v>
      </c>
      <c r="G2135" s="61" t="s">
        <v>13</v>
      </c>
      <c r="H2135" s="67">
        <v>43213</v>
      </c>
      <c r="I2135" s="8"/>
      <c r="J2135" s="8"/>
      <c r="K2135" s="8"/>
      <c r="L2135" s="9" t="s">
        <v>138</v>
      </c>
      <c r="M2135" s="8"/>
    </row>
    <row r="2136" spans="1:13">
      <c r="A2136" s="62" t="s">
        <v>3047</v>
      </c>
      <c r="B2136" s="58">
        <v>93387784520</v>
      </c>
      <c r="C2136" s="63"/>
      <c r="D2136" s="60"/>
      <c r="E2136" s="9">
        <v>810</v>
      </c>
      <c r="F2136" s="25">
        <v>42915</v>
      </c>
      <c r="G2136" s="61" t="s">
        <v>13</v>
      </c>
      <c r="H2136" s="67">
        <v>43213</v>
      </c>
      <c r="I2136" s="8"/>
      <c r="J2136" s="8"/>
      <c r="K2136" s="8"/>
      <c r="L2136" s="9" t="s">
        <v>138</v>
      </c>
      <c r="M2136" s="8"/>
    </row>
    <row r="2137" spans="1:13">
      <c r="A2137" s="62" t="s">
        <v>3048</v>
      </c>
      <c r="B2137" s="58">
        <v>19266795801</v>
      </c>
      <c r="C2137" s="63"/>
      <c r="D2137" s="60"/>
      <c r="E2137" s="9">
        <v>810</v>
      </c>
      <c r="F2137" s="25">
        <v>42915</v>
      </c>
      <c r="G2137" s="61" t="s">
        <v>13</v>
      </c>
      <c r="H2137" s="67">
        <v>43213</v>
      </c>
      <c r="I2137" s="8"/>
      <c r="J2137" s="8"/>
      <c r="K2137" s="8"/>
      <c r="L2137" s="9" t="s">
        <v>138</v>
      </c>
      <c r="M2137" s="8"/>
    </row>
    <row r="2138" spans="1:13">
      <c r="A2138" s="62" t="s">
        <v>3049</v>
      </c>
      <c r="B2138" s="58">
        <v>25748697882</v>
      </c>
      <c r="C2138" s="63"/>
      <c r="D2138" s="60"/>
      <c r="E2138" s="9"/>
      <c r="F2138" s="25"/>
      <c r="G2138" s="61"/>
      <c r="H2138" s="67">
        <v>43213</v>
      </c>
      <c r="I2138" s="8"/>
      <c r="J2138" s="8"/>
      <c r="K2138" s="8"/>
      <c r="L2138" s="8"/>
      <c r="M2138" s="8"/>
    </row>
    <row r="2139" spans="1:13">
      <c r="A2139" s="62" t="s">
        <v>3050</v>
      </c>
      <c r="B2139" s="58">
        <v>18020035842</v>
      </c>
      <c r="C2139" s="63"/>
      <c r="D2139" s="60"/>
      <c r="E2139" s="9">
        <v>1752</v>
      </c>
      <c r="F2139" s="25">
        <v>43051</v>
      </c>
      <c r="G2139" s="61" t="s">
        <v>13</v>
      </c>
      <c r="H2139" s="67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3051</v>
      </c>
      <c r="B2140" s="58">
        <v>33005130819</v>
      </c>
      <c r="C2140" s="63" t="s">
        <v>3052</v>
      </c>
      <c r="D2140" s="60">
        <v>29843431820</v>
      </c>
      <c r="E2140" s="9">
        <v>117</v>
      </c>
      <c r="F2140" s="25">
        <v>43117</v>
      </c>
      <c r="G2140" s="61" t="s">
        <v>13</v>
      </c>
      <c r="H2140" s="67">
        <v>43213</v>
      </c>
      <c r="I2140" s="8"/>
      <c r="J2140" s="8"/>
      <c r="K2140" s="8"/>
      <c r="L2140" s="9" t="s">
        <v>170</v>
      </c>
      <c r="M2140" s="8"/>
    </row>
    <row r="2141" spans="1:13">
      <c r="A2141" s="62" t="s">
        <v>3053</v>
      </c>
      <c r="B2141" s="58">
        <v>41277413843</v>
      </c>
      <c r="C2141" s="63"/>
      <c r="D2141" s="60"/>
      <c r="E2141" s="9">
        <v>292</v>
      </c>
      <c r="F2141" s="25">
        <v>43168</v>
      </c>
      <c r="G2141" s="61" t="s">
        <v>13</v>
      </c>
      <c r="H2141" s="9"/>
      <c r="I2141" s="8"/>
      <c r="J2141" s="8"/>
      <c r="K2141" s="8"/>
      <c r="L2141" s="9">
        <v>318</v>
      </c>
      <c r="M2141" s="8"/>
    </row>
    <row r="2142" spans="1:13">
      <c r="A2142" s="62" t="s">
        <v>3054</v>
      </c>
      <c r="B2142" s="58">
        <v>42840674866</v>
      </c>
      <c r="C2142" s="63" t="s">
        <v>3055</v>
      </c>
      <c r="D2142" s="60">
        <v>33066015866</v>
      </c>
      <c r="E2142" s="9">
        <v>117</v>
      </c>
      <c r="F2142" s="25">
        <v>43117</v>
      </c>
      <c r="G2142" s="61" t="s">
        <v>13</v>
      </c>
      <c r="H2142" s="9"/>
      <c r="I2142" s="8"/>
      <c r="J2142" s="8"/>
      <c r="K2142" s="8"/>
      <c r="L2142" s="9" t="s">
        <v>170</v>
      </c>
      <c r="M2142" s="8"/>
    </row>
    <row r="2143" spans="1:13">
      <c r="A2143" s="62" t="s">
        <v>3056</v>
      </c>
      <c r="B2143" s="58">
        <v>35341510895</v>
      </c>
      <c r="C2143" s="63"/>
      <c r="D2143" s="60"/>
      <c r="E2143" s="9"/>
      <c r="F2143" s="25"/>
      <c r="G2143" s="61"/>
      <c r="H2143" s="9"/>
      <c r="I2143" s="8"/>
      <c r="J2143" s="8"/>
      <c r="K2143" s="8"/>
      <c r="L2143" s="8"/>
      <c r="M2143" s="8"/>
    </row>
    <row r="2144" spans="1:13">
      <c r="A2144" s="27" t="s">
        <v>3057</v>
      </c>
      <c r="B2144" s="58">
        <v>2312065851</v>
      </c>
      <c r="C2144" s="64" t="s">
        <v>3058</v>
      </c>
      <c r="D2144" s="60">
        <v>26078428837</v>
      </c>
      <c r="E2144" s="9"/>
      <c r="F2144" s="25"/>
      <c r="G2144" s="61"/>
      <c r="H2144" s="9"/>
      <c r="I2144" s="8"/>
      <c r="J2144" s="8"/>
      <c r="K2144" s="8"/>
      <c r="L2144" s="8"/>
      <c r="M2144" s="8"/>
    </row>
    <row r="2145" spans="1:13">
      <c r="A2145" s="62" t="s">
        <v>3059</v>
      </c>
      <c r="B2145" s="58">
        <v>48549010472</v>
      </c>
      <c r="C2145" s="63" t="s">
        <v>3060</v>
      </c>
      <c r="D2145" s="60">
        <v>7796014830</v>
      </c>
      <c r="E2145" s="9">
        <v>1267</v>
      </c>
      <c r="F2145" s="25">
        <v>42998</v>
      </c>
      <c r="G2145" s="61" t="s">
        <v>13</v>
      </c>
      <c r="H2145" s="9"/>
      <c r="I2145" s="8"/>
      <c r="J2145" s="8"/>
      <c r="K2145" s="8"/>
      <c r="L2145" s="8"/>
      <c r="M2145" s="8"/>
    </row>
    <row r="2146" spans="1:13">
      <c r="A2146" s="27" t="s">
        <v>3061</v>
      </c>
      <c r="B2146" s="58"/>
      <c r="C2146" s="18" t="s">
        <v>129</v>
      </c>
      <c r="D2146" s="60"/>
      <c r="E2146" s="9"/>
      <c r="F2146" s="25"/>
      <c r="G2146" s="61"/>
      <c r="H2146" s="9"/>
      <c r="I2146" s="8"/>
      <c r="J2146" s="8"/>
      <c r="K2146" s="8"/>
      <c r="L2146" s="8"/>
      <c r="M2146" s="8"/>
    </row>
    <row r="2147" spans="1:13">
      <c r="A2147" s="86" t="s">
        <v>3061</v>
      </c>
      <c r="B2147" s="58">
        <v>14907695870</v>
      </c>
      <c r="C2147" s="27"/>
      <c r="D2147" s="60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64" t="s">
        <v>3062</v>
      </c>
      <c r="B2148" s="58">
        <v>38348922890</v>
      </c>
      <c r="C2148" s="63" t="s">
        <v>3063</v>
      </c>
      <c r="D2148" s="60">
        <v>22580367802</v>
      </c>
      <c r="E2148" s="9">
        <v>810</v>
      </c>
      <c r="F2148" s="25">
        <v>42915</v>
      </c>
      <c r="G2148" s="61" t="s">
        <v>13</v>
      </c>
      <c r="H2148" s="9"/>
      <c r="I2148" s="8"/>
      <c r="J2148" s="8"/>
      <c r="K2148" s="8"/>
      <c r="L2148" s="9" t="s">
        <v>138</v>
      </c>
      <c r="M2148" s="8"/>
    </row>
    <row r="2149" spans="1:13">
      <c r="A2149" s="63" t="s">
        <v>3064</v>
      </c>
      <c r="B2149" s="58">
        <v>27123900839</v>
      </c>
      <c r="C2149" s="63"/>
      <c r="D2149" s="60"/>
      <c r="E2149" s="9">
        <v>117</v>
      </c>
      <c r="F2149" s="25">
        <v>43117</v>
      </c>
      <c r="G2149" s="61" t="s">
        <v>13</v>
      </c>
      <c r="H2149" s="9"/>
      <c r="I2149" s="8"/>
      <c r="J2149" s="8"/>
      <c r="K2149" s="8"/>
      <c r="L2149" s="9" t="s">
        <v>170</v>
      </c>
      <c r="M2149" s="8"/>
    </row>
    <row r="2150" spans="1:13">
      <c r="A2150" s="62" t="s">
        <v>3065</v>
      </c>
      <c r="B2150" s="58">
        <v>13529456810</v>
      </c>
      <c r="C2150" s="63"/>
      <c r="D2150" s="60"/>
      <c r="E2150" s="9"/>
      <c r="F2150" s="25"/>
      <c r="G2150" s="61"/>
      <c r="H2150" s="9"/>
      <c r="I2150" s="8"/>
      <c r="J2150" s="8"/>
      <c r="K2150" s="8"/>
      <c r="L2150" s="8"/>
      <c r="M2150" s="8"/>
    </row>
    <row r="2151" spans="1:13">
      <c r="A2151" s="64" t="s">
        <v>3066</v>
      </c>
      <c r="B2151" s="58">
        <v>36691354800</v>
      </c>
      <c r="C2151" s="63" t="s">
        <v>3067</v>
      </c>
      <c r="D2151" s="60">
        <v>33316627634</v>
      </c>
      <c r="E2151" s="9"/>
      <c r="F2151" s="25"/>
      <c r="G2151" s="61"/>
      <c r="H2151" s="9"/>
      <c r="I2151" s="8"/>
      <c r="J2151" s="8"/>
      <c r="K2151" s="8"/>
      <c r="L2151" s="8"/>
      <c r="M2151" s="8"/>
    </row>
    <row r="2152" spans="1:13">
      <c r="A2152" s="15" t="s">
        <v>3068</v>
      </c>
      <c r="B2152" s="58">
        <v>2599679559</v>
      </c>
      <c r="C2152" s="63" t="s">
        <v>3069</v>
      </c>
      <c r="D2152" s="60">
        <v>99002051549</v>
      </c>
      <c r="E2152" s="9">
        <v>1824</v>
      </c>
      <c r="F2152" s="25">
        <v>43091</v>
      </c>
      <c r="G2152" s="61" t="s">
        <v>28</v>
      </c>
      <c r="H2152" s="9"/>
      <c r="I2152" s="8"/>
      <c r="J2152" s="8"/>
      <c r="K2152" s="8"/>
      <c r="L2152" s="9">
        <v>1828</v>
      </c>
      <c r="M2152" s="8"/>
    </row>
    <row r="2153" spans="1:13">
      <c r="A2153" s="27" t="s">
        <v>3070</v>
      </c>
      <c r="B2153" s="58">
        <v>50263790525</v>
      </c>
      <c r="C2153" s="18"/>
      <c r="D2153" s="60"/>
      <c r="E2153" s="9"/>
      <c r="F2153" s="25"/>
      <c r="G2153" s="61"/>
      <c r="H2153" s="9"/>
      <c r="I2153" s="8"/>
      <c r="J2153" s="8"/>
      <c r="K2153" s="8"/>
      <c r="L2153" s="8"/>
      <c r="M2153" s="8"/>
    </row>
    <row r="2154" spans="1:13">
      <c r="A2154" s="62" t="s">
        <v>3071</v>
      </c>
      <c r="B2154" s="58">
        <v>35562252805</v>
      </c>
      <c r="C2154" s="63"/>
      <c r="D2154" s="60"/>
      <c r="E2154" s="9">
        <v>1214</v>
      </c>
      <c r="F2154" s="25">
        <v>42989</v>
      </c>
      <c r="G2154" s="61" t="s">
        <v>13</v>
      </c>
      <c r="H2154" s="9"/>
      <c r="I2154" s="8"/>
      <c r="J2154" s="8"/>
      <c r="K2154" s="8"/>
      <c r="L2154" s="8"/>
      <c r="M2154" s="8"/>
    </row>
    <row r="2155" spans="1:13">
      <c r="A2155" s="15" t="s">
        <v>3072</v>
      </c>
      <c r="B2155" s="58">
        <v>932891381</v>
      </c>
      <c r="C2155" s="63"/>
      <c r="D2155" s="60"/>
      <c r="E2155" s="9">
        <v>229</v>
      </c>
      <c r="F2155" s="25">
        <v>43151</v>
      </c>
      <c r="G2155" s="61" t="s">
        <v>13</v>
      </c>
      <c r="H2155" s="9"/>
      <c r="I2155" s="8"/>
      <c r="J2155" s="8"/>
      <c r="K2155" s="8"/>
      <c r="L2155" s="9">
        <v>232</v>
      </c>
      <c r="M2155" s="8"/>
    </row>
    <row r="2156" spans="1:13">
      <c r="A2156" s="27" t="s">
        <v>3073</v>
      </c>
      <c r="B2156" s="58">
        <v>94813078591</v>
      </c>
      <c r="C2156" s="18" t="s">
        <v>3074</v>
      </c>
      <c r="D2156" s="60">
        <v>18975422836</v>
      </c>
      <c r="E2156" s="9"/>
      <c r="F2156" s="25"/>
      <c r="G2156" s="61"/>
      <c r="H2156" s="9"/>
      <c r="I2156" s="8"/>
      <c r="J2156" s="8"/>
      <c r="K2156" s="8"/>
      <c r="L2156" s="8"/>
      <c r="M2156" s="8"/>
    </row>
    <row r="2157" spans="1:13">
      <c r="A2157" s="15" t="s">
        <v>3075</v>
      </c>
      <c r="B2157" s="58">
        <v>6522038846</v>
      </c>
      <c r="C2157" s="63" t="s">
        <v>3076</v>
      </c>
      <c r="D2157" s="60">
        <v>390582808</v>
      </c>
      <c r="E2157" s="9">
        <v>292</v>
      </c>
      <c r="F2157" s="25">
        <v>43168</v>
      </c>
      <c r="G2157" s="61" t="s">
        <v>13</v>
      </c>
      <c r="H2157" s="9"/>
      <c r="I2157" s="8"/>
      <c r="J2157" s="8"/>
      <c r="K2157" s="8"/>
      <c r="L2157" s="9">
        <v>318</v>
      </c>
      <c r="M2157" s="8"/>
    </row>
    <row r="2158" spans="1:13">
      <c r="A2158" s="62" t="s">
        <v>3077</v>
      </c>
      <c r="B2158" s="58">
        <v>70986847402</v>
      </c>
      <c r="C2158" s="63" t="s">
        <v>3078</v>
      </c>
      <c r="D2158" s="60">
        <v>39640099899</v>
      </c>
      <c r="E2158" s="9">
        <v>229</v>
      </c>
      <c r="F2158" s="25">
        <v>43151</v>
      </c>
      <c r="G2158" s="61" t="s">
        <v>13</v>
      </c>
      <c r="H2158" s="9"/>
      <c r="I2158" s="8"/>
      <c r="J2158" s="8"/>
      <c r="K2158" s="8"/>
      <c r="L2158" s="9">
        <v>232</v>
      </c>
      <c r="M2158" s="8"/>
    </row>
    <row r="2159" spans="1:13">
      <c r="A2159" s="62" t="s">
        <v>3079</v>
      </c>
      <c r="B2159" s="58">
        <v>37737032878</v>
      </c>
      <c r="C2159" s="63" t="s">
        <v>3080</v>
      </c>
      <c r="D2159" s="60">
        <v>24659778819</v>
      </c>
      <c r="E2159" s="9">
        <v>1417</v>
      </c>
      <c r="F2159" s="25">
        <v>43017</v>
      </c>
      <c r="G2159" s="61" t="s">
        <v>20</v>
      </c>
      <c r="H2159" s="9"/>
      <c r="I2159" s="8"/>
      <c r="J2159" s="8"/>
      <c r="K2159" s="8"/>
      <c r="L2159" s="9" t="s">
        <v>253</v>
      </c>
      <c r="M2159" s="8"/>
    </row>
    <row r="2160" spans="1:13">
      <c r="A2160" s="62" t="s">
        <v>3081</v>
      </c>
      <c r="B2160" s="58">
        <v>62239147504</v>
      </c>
      <c r="C2160" s="63"/>
      <c r="D2160" s="60"/>
      <c r="E2160" s="9">
        <v>527</v>
      </c>
      <c r="F2160" s="25">
        <v>43210</v>
      </c>
      <c r="G2160" s="61"/>
      <c r="H2160" s="9"/>
      <c r="I2160" s="8"/>
      <c r="J2160" s="8"/>
      <c r="K2160" s="8"/>
      <c r="L2160" s="9">
        <v>528</v>
      </c>
      <c r="M2160" s="8"/>
    </row>
    <row r="2161" spans="1:13">
      <c r="A2161" s="62" t="s">
        <v>3082</v>
      </c>
      <c r="B2161" s="58">
        <v>15597554824</v>
      </c>
      <c r="C2161" s="63"/>
      <c r="D2161" s="60"/>
      <c r="E2161" s="9">
        <v>1214</v>
      </c>
      <c r="F2161" s="25">
        <v>42989</v>
      </c>
      <c r="G2161" s="61" t="s">
        <v>13</v>
      </c>
      <c r="H2161" s="9"/>
      <c r="I2161" s="8"/>
      <c r="J2161" s="8"/>
      <c r="K2161" s="8"/>
      <c r="L2161" s="8"/>
      <c r="M2161" s="8"/>
    </row>
    <row r="2162" spans="1:13">
      <c r="A2162" s="64" t="s">
        <v>3083</v>
      </c>
      <c r="B2162" s="58">
        <v>15716959822</v>
      </c>
      <c r="C2162" s="63" t="s">
        <v>3084</v>
      </c>
      <c r="D2162" s="60">
        <v>10451985877</v>
      </c>
      <c r="E2162" s="9">
        <v>262</v>
      </c>
      <c r="F2162" s="25">
        <v>43160</v>
      </c>
      <c r="G2162" s="61" t="s">
        <v>13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0" t="s">
        <v>3085</v>
      </c>
      <c r="B2163" s="71">
        <v>12739147830</v>
      </c>
      <c r="C2163" s="72"/>
      <c r="D2163" s="73"/>
      <c r="E2163" s="45">
        <v>262</v>
      </c>
      <c r="F2163" s="46">
        <v>43160</v>
      </c>
      <c r="G2163" s="74"/>
      <c r="H2163" s="46">
        <v>43164</v>
      </c>
      <c r="I2163" s="47"/>
      <c r="J2163" s="47"/>
      <c r="K2163" s="47"/>
      <c r="L2163" s="9">
        <v>255</v>
      </c>
      <c r="M2163" s="47"/>
    </row>
    <row r="2164" spans="1:13">
      <c r="A2164" s="62" t="s">
        <v>3086</v>
      </c>
      <c r="B2164" s="58">
        <v>41976066808</v>
      </c>
      <c r="C2164" s="63"/>
      <c r="D2164" s="60"/>
      <c r="E2164" s="9">
        <v>262</v>
      </c>
      <c r="F2164" s="25">
        <v>43160</v>
      </c>
      <c r="G2164" s="61" t="s">
        <v>13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3087</v>
      </c>
      <c r="B2165" s="58">
        <v>21888553880</v>
      </c>
      <c r="C2165" s="63"/>
      <c r="D2165" s="60"/>
      <c r="E2165" s="9">
        <v>1350</v>
      </c>
      <c r="F2165" s="25">
        <v>43006</v>
      </c>
      <c r="G2165" s="61" t="s">
        <v>13</v>
      </c>
      <c r="H2165" s="9"/>
      <c r="I2165" s="8"/>
      <c r="J2165" s="8"/>
      <c r="K2165" s="8"/>
      <c r="L2165" s="8"/>
      <c r="M2165" s="8"/>
    </row>
    <row r="2166" spans="1:13">
      <c r="A2166" s="62" t="s">
        <v>3088</v>
      </c>
      <c r="B2166" s="58">
        <v>32241408875</v>
      </c>
      <c r="C2166" s="63" t="s">
        <v>3089</v>
      </c>
      <c r="D2166" s="60">
        <v>7164250413</v>
      </c>
      <c r="E2166" s="9">
        <v>1824</v>
      </c>
      <c r="F2166" s="25">
        <v>43091</v>
      </c>
      <c r="G2166" s="61" t="s">
        <v>13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3090</v>
      </c>
      <c r="B2167" s="58">
        <v>2169510460</v>
      </c>
      <c r="C2167" s="63"/>
      <c r="D2167" s="60"/>
      <c r="E2167" s="9">
        <v>262</v>
      </c>
      <c r="F2167" s="25">
        <v>43160</v>
      </c>
      <c r="G2167" s="61" t="s">
        <v>13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62" t="s">
        <v>3091</v>
      </c>
      <c r="B2168" s="58">
        <v>27254252806</v>
      </c>
      <c r="C2168" s="59"/>
      <c r="D2168" s="60"/>
      <c r="E2168" s="9">
        <v>1128</v>
      </c>
      <c r="F2168" s="25">
        <v>42972</v>
      </c>
      <c r="G2168" s="61" t="s">
        <v>13</v>
      </c>
      <c r="H2168" s="9"/>
      <c r="I2168" s="8"/>
      <c r="J2168" s="8"/>
      <c r="K2168" s="8"/>
      <c r="L2168" s="8"/>
      <c r="M2168" s="8"/>
    </row>
    <row r="2169" spans="1:13">
      <c r="A2169" s="63" t="s">
        <v>3092</v>
      </c>
      <c r="B2169" s="58">
        <v>32762788803</v>
      </c>
      <c r="C2169" s="63"/>
      <c r="D2169" s="60"/>
      <c r="E2169" s="9">
        <v>485</v>
      </c>
      <c r="F2169" s="25">
        <v>43196</v>
      </c>
      <c r="G2169" s="61"/>
      <c r="H2169" s="9"/>
      <c r="I2169" s="8"/>
      <c r="J2169" s="8"/>
      <c r="K2169" s="8"/>
      <c r="L2169" s="9">
        <v>483</v>
      </c>
      <c r="M2169" s="8"/>
    </row>
    <row r="2170" spans="1:13">
      <c r="A2170" s="63" t="s">
        <v>3093</v>
      </c>
      <c r="B2170" s="58">
        <v>14691798811</v>
      </c>
      <c r="C2170" s="63"/>
      <c r="D2170" s="60"/>
      <c r="E2170" s="9">
        <v>443</v>
      </c>
      <c r="F2170" s="25">
        <v>43188</v>
      </c>
      <c r="G2170" s="61"/>
      <c r="H2170" s="9"/>
      <c r="I2170" s="8"/>
      <c r="J2170" s="8"/>
      <c r="K2170" s="8"/>
      <c r="L2170" s="8"/>
      <c r="M2170" s="8"/>
    </row>
    <row r="2171" spans="1:13">
      <c r="A2171" s="63" t="s">
        <v>3094</v>
      </c>
      <c r="B2171" s="58">
        <v>25924763854</v>
      </c>
      <c r="C2171" s="63"/>
      <c r="D2171" s="60"/>
      <c r="E2171" s="9">
        <v>292</v>
      </c>
      <c r="F2171" s="25">
        <v>43168</v>
      </c>
      <c r="G2171" s="9" t="s">
        <v>13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3095</v>
      </c>
      <c r="B2172" s="58">
        <v>70044554400</v>
      </c>
      <c r="C2172" s="63"/>
      <c r="D2172" s="60"/>
      <c r="E2172" s="9">
        <v>1417</v>
      </c>
      <c r="F2172" s="25">
        <v>43017</v>
      </c>
      <c r="G2172" s="61" t="s">
        <v>13</v>
      </c>
      <c r="H2172" s="9"/>
      <c r="I2172" s="8"/>
      <c r="J2172" s="8"/>
      <c r="K2172" s="8"/>
      <c r="L2172" s="9" t="s">
        <v>253</v>
      </c>
      <c r="M2172" s="8"/>
    </row>
    <row r="2173" spans="1:13">
      <c r="A2173" s="62" t="s">
        <v>3096</v>
      </c>
      <c r="B2173" s="58">
        <v>8983229870</v>
      </c>
      <c r="C2173" s="63" t="s">
        <v>3097</v>
      </c>
      <c r="D2173" s="60">
        <v>25639387831</v>
      </c>
      <c r="E2173" s="9"/>
      <c r="F2173" s="25"/>
      <c r="G2173" s="61"/>
      <c r="H2173" s="9"/>
      <c r="I2173" s="8"/>
      <c r="J2173" s="8"/>
      <c r="K2173" s="8"/>
      <c r="L2173" s="8"/>
      <c r="M2173" s="8"/>
    </row>
    <row r="2174" spans="1:13">
      <c r="A2174" s="62" t="s">
        <v>3098</v>
      </c>
      <c r="B2174" s="58">
        <v>9269199894</v>
      </c>
      <c r="C2174" s="63" t="s">
        <v>3099</v>
      </c>
      <c r="D2174" s="60">
        <v>11299722871</v>
      </c>
      <c r="E2174" s="9"/>
      <c r="F2174" s="25"/>
      <c r="G2174" s="61"/>
      <c r="H2174" s="9"/>
      <c r="I2174" s="8"/>
      <c r="J2174" s="8"/>
      <c r="K2174" s="8"/>
      <c r="L2174" s="8"/>
      <c r="M2174" s="8"/>
    </row>
    <row r="2175" spans="1:13">
      <c r="A2175" s="62" t="s">
        <v>3100</v>
      </c>
      <c r="B2175" s="58">
        <v>67401376504</v>
      </c>
      <c r="C2175" s="63"/>
      <c r="D2175" s="60"/>
      <c r="E2175" s="9">
        <v>1106</v>
      </c>
      <c r="F2175" s="25">
        <v>42965</v>
      </c>
      <c r="G2175" s="61" t="s">
        <v>13</v>
      </c>
      <c r="H2175" s="9"/>
      <c r="I2175" s="8"/>
      <c r="J2175" s="8"/>
      <c r="K2175" s="8"/>
      <c r="L2175" s="8"/>
      <c r="M2175" s="8"/>
    </row>
    <row r="2176" spans="1:13">
      <c r="A2176" s="13" t="s">
        <v>3101</v>
      </c>
      <c r="B2176" s="58">
        <v>2277633518</v>
      </c>
      <c r="C2176" s="63"/>
      <c r="D2176" s="60"/>
      <c r="E2176" s="9">
        <v>1350</v>
      </c>
      <c r="F2176" s="25">
        <v>43006</v>
      </c>
      <c r="G2176" s="61" t="s">
        <v>13</v>
      </c>
      <c r="H2176" s="9"/>
      <c r="I2176" s="8"/>
      <c r="J2176" s="8"/>
      <c r="K2176" s="8"/>
      <c r="L2176" s="8"/>
      <c r="M2176" s="8"/>
    </row>
    <row r="2177" spans="1:13">
      <c r="A2177" s="62" t="s">
        <v>3102</v>
      </c>
      <c r="B2177" s="58">
        <v>26144961895</v>
      </c>
      <c r="C2177" s="63"/>
      <c r="D2177" s="60"/>
      <c r="E2177" s="9">
        <v>292</v>
      </c>
      <c r="F2177" s="25">
        <v>43168</v>
      </c>
      <c r="G2177" s="61" t="s">
        <v>13</v>
      </c>
      <c r="H2177" s="9"/>
      <c r="I2177" s="8"/>
      <c r="J2177" s="8"/>
      <c r="K2177" s="8"/>
      <c r="L2177" s="9">
        <v>318</v>
      </c>
      <c r="M2177" s="8"/>
    </row>
    <row r="2178" spans="1:13">
      <c r="A2178" s="64" t="s">
        <v>3103</v>
      </c>
      <c r="B2178" s="58">
        <v>34641758808</v>
      </c>
      <c r="C2178" s="63" t="s">
        <v>3104</v>
      </c>
      <c r="D2178" s="60">
        <v>30083315802</v>
      </c>
      <c r="E2178" s="9">
        <v>810</v>
      </c>
      <c r="F2178" s="25">
        <v>42915</v>
      </c>
      <c r="G2178" s="61" t="s">
        <v>13</v>
      </c>
      <c r="H2178" s="9"/>
      <c r="I2178" s="8"/>
      <c r="J2178" s="8"/>
      <c r="K2178" s="8"/>
      <c r="L2178" s="9" t="s">
        <v>138</v>
      </c>
      <c r="M2178" s="8"/>
    </row>
    <row r="2179" spans="1:13">
      <c r="A2179" s="62" t="s">
        <v>3105</v>
      </c>
      <c r="B2179" s="58">
        <v>1335459383</v>
      </c>
      <c r="C2179" s="62" t="s">
        <v>3106</v>
      </c>
      <c r="D2179" s="60">
        <v>2369426381</v>
      </c>
      <c r="E2179" s="9">
        <v>292</v>
      </c>
      <c r="F2179" s="25">
        <v>43168</v>
      </c>
      <c r="G2179" s="61" t="s">
        <v>13</v>
      </c>
      <c r="H2179" s="9"/>
      <c r="I2179" s="8"/>
      <c r="J2179" s="8"/>
      <c r="K2179" s="8"/>
      <c r="L2179" s="9">
        <v>318</v>
      </c>
      <c r="M2179" s="8"/>
    </row>
    <row r="2180" spans="1:13">
      <c r="A2180" s="62" t="s">
        <v>3107</v>
      </c>
      <c r="B2180" s="58">
        <v>14780354803</v>
      </c>
      <c r="C2180" s="63"/>
      <c r="D2180" s="60"/>
      <c r="E2180" s="9">
        <v>117</v>
      </c>
      <c r="F2180" s="25">
        <v>43117</v>
      </c>
      <c r="G2180" s="61" t="s">
        <v>13</v>
      </c>
      <c r="H2180" s="9"/>
      <c r="I2180" s="8"/>
      <c r="J2180" s="8"/>
      <c r="K2180" s="8"/>
      <c r="L2180" s="9" t="s">
        <v>170</v>
      </c>
      <c r="M2180" s="8"/>
    </row>
    <row r="2181" spans="1:13">
      <c r="A2181" s="62" t="s">
        <v>3108</v>
      </c>
      <c r="B2181" s="58">
        <v>95479112368</v>
      </c>
      <c r="C2181" s="63"/>
      <c r="D2181" s="60"/>
      <c r="E2181" s="9">
        <v>1824</v>
      </c>
      <c r="F2181" s="25">
        <v>43091</v>
      </c>
      <c r="G2181" s="9" t="s">
        <v>13</v>
      </c>
      <c r="H2181" s="9"/>
      <c r="I2181" s="8"/>
      <c r="J2181" s="8"/>
      <c r="K2181" s="8"/>
      <c r="L2181" s="9">
        <v>1828</v>
      </c>
      <c r="M2181" s="8"/>
    </row>
    <row r="2182" spans="1:13">
      <c r="A2182" s="27" t="s">
        <v>3109</v>
      </c>
      <c r="B2182" s="58">
        <v>38248770826</v>
      </c>
      <c r="C2182" s="27" t="s">
        <v>3110</v>
      </c>
      <c r="D2182" s="60">
        <v>22681091861</v>
      </c>
      <c r="E2182" s="9"/>
      <c r="F2182" s="25"/>
      <c r="G2182" s="61"/>
      <c r="H2182" s="9"/>
      <c r="I2182" s="8"/>
      <c r="J2182" s="8"/>
      <c r="K2182" s="8"/>
      <c r="L2182" s="8"/>
      <c r="M2182" s="8"/>
    </row>
    <row r="2183" spans="1:13">
      <c r="A2183" s="64" t="s">
        <v>3111</v>
      </c>
      <c r="B2183" s="58">
        <v>32857847840</v>
      </c>
      <c r="C2183" s="63" t="s">
        <v>3112</v>
      </c>
      <c r="D2183" s="60">
        <v>33885204886</v>
      </c>
      <c r="E2183" s="9">
        <v>810</v>
      </c>
      <c r="F2183" s="25">
        <v>42915</v>
      </c>
      <c r="G2183" s="61" t="s">
        <v>13</v>
      </c>
      <c r="H2183" s="9"/>
      <c r="I2183" s="8"/>
      <c r="J2183" s="8"/>
      <c r="K2183" s="8"/>
      <c r="L2183" s="9" t="s">
        <v>138</v>
      </c>
      <c r="M2183" s="8"/>
    </row>
    <row r="2184" spans="1:13">
      <c r="A2184" s="14" t="s">
        <v>3113</v>
      </c>
      <c r="B2184" s="58">
        <v>25367069827</v>
      </c>
      <c r="C2184" s="63" t="s">
        <v>3114</v>
      </c>
      <c r="D2184" s="60">
        <v>28922275855</v>
      </c>
      <c r="E2184" s="9">
        <v>262</v>
      </c>
      <c r="F2184" s="25">
        <v>43160</v>
      </c>
      <c r="G2184" s="61" t="s">
        <v>20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3115</v>
      </c>
      <c r="B2185" s="58">
        <v>26032519880</v>
      </c>
      <c r="C2185" s="63"/>
      <c r="D2185" s="60"/>
      <c r="E2185" s="9">
        <v>117</v>
      </c>
      <c r="F2185" s="25">
        <v>43117</v>
      </c>
      <c r="G2185" s="61" t="s">
        <v>13</v>
      </c>
      <c r="H2185" s="9"/>
      <c r="I2185" s="8"/>
      <c r="J2185" s="8"/>
      <c r="K2185" s="8"/>
      <c r="L2185" s="9" t="s">
        <v>170</v>
      </c>
      <c r="M2185" s="8"/>
    </row>
    <row r="2186" spans="1:13">
      <c r="A2186" s="62" t="s">
        <v>3116</v>
      </c>
      <c r="B2186" s="58">
        <v>29652533866</v>
      </c>
      <c r="C2186" s="63" t="s">
        <v>3117</v>
      </c>
      <c r="D2186" s="60">
        <v>21898199892</v>
      </c>
      <c r="E2186" s="9">
        <v>1752</v>
      </c>
      <c r="F2186" s="25">
        <v>43051</v>
      </c>
      <c r="G2186" s="61" t="s">
        <v>13</v>
      </c>
      <c r="H2186" s="9"/>
      <c r="I2186" s="8"/>
      <c r="J2186" s="8"/>
      <c r="K2186" s="8"/>
      <c r="L2186" s="9">
        <v>1759</v>
      </c>
      <c r="M2186" s="8"/>
    </row>
    <row r="2187" spans="1:13">
      <c r="A2187" s="62" t="s">
        <v>3118</v>
      </c>
      <c r="B2187" s="58">
        <v>69554196415</v>
      </c>
      <c r="C2187" s="63"/>
      <c r="D2187" s="60"/>
      <c r="E2187" s="9">
        <v>608</v>
      </c>
      <c r="F2187" s="25">
        <v>43012</v>
      </c>
      <c r="G2187" s="61" t="s">
        <v>13</v>
      </c>
      <c r="H2187" s="9"/>
      <c r="I2187" s="8"/>
      <c r="J2187" s="8"/>
      <c r="K2187" s="8"/>
      <c r="L2187" s="8"/>
      <c r="M2187" s="8"/>
    </row>
    <row r="2188" spans="1:13">
      <c r="A2188" s="14" t="s">
        <v>3119</v>
      </c>
      <c r="B2188" s="58">
        <v>52584275520</v>
      </c>
      <c r="C2188" s="63"/>
      <c r="D2188" s="60"/>
      <c r="E2188" s="9">
        <v>292</v>
      </c>
      <c r="F2188" s="25">
        <v>43168</v>
      </c>
      <c r="G2188" s="61" t="s">
        <v>13</v>
      </c>
      <c r="H2188" s="9"/>
      <c r="I2188" s="8"/>
      <c r="J2188" s="8"/>
      <c r="K2188" s="8"/>
      <c r="L2188" s="9">
        <v>318</v>
      </c>
      <c r="M2188" s="8"/>
    </row>
    <row r="2189" spans="1:13">
      <c r="A2189" s="62" t="s">
        <v>3120</v>
      </c>
      <c r="B2189" s="58">
        <v>34777966836</v>
      </c>
      <c r="C2189" s="63" t="s">
        <v>3121</v>
      </c>
      <c r="D2189" s="60">
        <v>33600648870</v>
      </c>
      <c r="E2189" s="9">
        <v>117</v>
      </c>
      <c r="F2189" s="25">
        <v>43117</v>
      </c>
      <c r="G2189" s="61" t="s">
        <v>13</v>
      </c>
      <c r="H2189" s="9"/>
      <c r="I2189" s="8"/>
      <c r="J2189" s="8"/>
      <c r="K2189" s="8"/>
      <c r="L2189" s="9" t="s">
        <v>170</v>
      </c>
      <c r="M2189" s="8"/>
    </row>
    <row r="2190" spans="1:13">
      <c r="A2190" s="27" t="s">
        <v>3122</v>
      </c>
      <c r="B2190" s="58"/>
      <c r="C2190" s="27" t="s">
        <v>3123</v>
      </c>
      <c r="D2190" s="60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62" t="s">
        <v>3124</v>
      </c>
      <c r="B2191" s="58">
        <v>30104832878</v>
      </c>
      <c r="C2191" s="63"/>
      <c r="D2191" s="60"/>
      <c r="E2191" s="9">
        <v>292</v>
      </c>
      <c r="F2191" s="25">
        <v>43168</v>
      </c>
      <c r="G2191" s="9" t="s">
        <v>13</v>
      </c>
      <c r="H2191" s="9"/>
      <c r="I2191" s="8"/>
      <c r="J2191" s="8"/>
      <c r="K2191" s="8"/>
      <c r="L2191" s="9">
        <v>318</v>
      </c>
      <c r="M2191" s="8"/>
    </row>
    <row r="2192" spans="1:13">
      <c r="A2192" s="62" t="s">
        <v>3125</v>
      </c>
      <c r="B2192" s="58">
        <v>26930078875</v>
      </c>
      <c r="C2192" s="63"/>
      <c r="D2192" s="60"/>
      <c r="E2192" s="9"/>
      <c r="F2192" s="25"/>
      <c r="G2192" s="61"/>
      <c r="H2192" s="9"/>
      <c r="I2192" s="8"/>
      <c r="J2192" s="8"/>
      <c r="K2192" s="8"/>
      <c r="L2192" s="8"/>
      <c r="M2192" s="8"/>
    </row>
    <row r="2193" spans="1:13">
      <c r="A2193" s="15" t="s">
        <v>3126</v>
      </c>
      <c r="B2193" s="58">
        <v>30080164803</v>
      </c>
      <c r="C2193" s="63"/>
      <c r="D2193" s="60"/>
      <c r="E2193" s="9">
        <v>229</v>
      </c>
      <c r="F2193" s="25">
        <v>43151</v>
      </c>
      <c r="G2193" s="61" t="s">
        <v>13</v>
      </c>
      <c r="H2193" s="9"/>
      <c r="I2193" s="8"/>
      <c r="J2193" s="8"/>
      <c r="K2193" s="8"/>
      <c r="L2193" s="9">
        <v>232</v>
      </c>
      <c r="M2193" s="8"/>
    </row>
    <row r="2194" spans="1:13">
      <c r="A2194" s="62" t="s">
        <v>3127</v>
      </c>
      <c r="B2194" s="58">
        <v>27082581840</v>
      </c>
      <c r="C2194" s="68" t="s">
        <v>3128</v>
      </c>
      <c r="D2194" s="60">
        <v>37976724894</v>
      </c>
      <c r="E2194" s="9"/>
      <c r="F2194" s="25"/>
      <c r="G2194" s="61"/>
      <c r="H2194" s="9"/>
      <c r="I2194" s="8"/>
      <c r="J2194" s="8"/>
      <c r="K2194" s="8"/>
      <c r="L2194" s="8"/>
      <c r="M2194" s="8"/>
    </row>
    <row r="2195" spans="1:13">
      <c r="A2195" s="63" t="s">
        <v>3129</v>
      </c>
      <c r="B2195" s="58">
        <v>8191538857</v>
      </c>
      <c r="C2195" s="63"/>
      <c r="D2195" s="60"/>
      <c r="E2195" s="9">
        <v>485</v>
      </c>
      <c r="F2195" s="25">
        <v>43196</v>
      </c>
      <c r="G2195" s="61"/>
      <c r="H2195" s="9"/>
      <c r="I2195" s="8"/>
      <c r="J2195" s="8"/>
      <c r="K2195" s="8"/>
      <c r="L2195" s="9">
        <v>483</v>
      </c>
      <c r="M2195" s="8"/>
    </row>
    <row r="2196" spans="1:13">
      <c r="A2196" s="63" t="s">
        <v>3130</v>
      </c>
      <c r="B2196" s="58">
        <v>40878539859</v>
      </c>
      <c r="C2196" s="63" t="s">
        <v>3131</v>
      </c>
      <c r="D2196" s="60"/>
      <c r="E2196" s="9">
        <v>1489</v>
      </c>
      <c r="F2196" s="25">
        <v>43038</v>
      </c>
      <c r="G2196" s="61" t="s">
        <v>13</v>
      </c>
      <c r="H2196" s="9"/>
      <c r="I2196" s="8"/>
      <c r="J2196" s="8"/>
      <c r="K2196" s="8"/>
      <c r="L2196" s="9" t="s">
        <v>160</v>
      </c>
      <c r="M2196" s="8"/>
    </row>
    <row r="2197" spans="1:13">
      <c r="A2197" s="62" t="s">
        <v>3132</v>
      </c>
      <c r="B2197" s="58">
        <v>35643661802</v>
      </c>
      <c r="C2197" s="59" t="s">
        <v>3133</v>
      </c>
      <c r="D2197" s="60">
        <v>34613571898</v>
      </c>
      <c r="E2197" s="9">
        <v>1128</v>
      </c>
      <c r="F2197" s="25">
        <v>42972</v>
      </c>
      <c r="G2197" s="61" t="s">
        <v>13</v>
      </c>
      <c r="H2197" s="9"/>
      <c r="I2197" s="8"/>
      <c r="J2197" s="8"/>
      <c r="K2197" s="8"/>
      <c r="L2197" s="8"/>
      <c r="M2197" s="8"/>
    </row>
    <row r="2198" spans="1:13">
      <c r="A2198" s="27" t="s">
        <v>3134</v>
      </c>
      <c r="B2198" s="58">
        <v>89251660549</v>
      </c>
      <c r="C2198" s="18" t="s">
        <v>129</v>
      </c>
      <c r="D2198" s="60"/>
      <c r="E2198" s="9"/>
      <c r="F2198" s="25"/>
      <c r="G2198" s="61"/>
      <c r="H2198" s="9"/>
      <c r="I2198" s="8"/>
      <c r="J2198" s="8"/>
      <c r="K2198" s="8"/>
      <c r="L2198" s="8"/>
      <c r="M2198" s="8"/>
    </row>
    <row r="2199" spans="1:13">
      <c r="A2199" s="13" t="s">
        <v>3135</v>
      </c>
      <c r="B2199" s="58">
        <v>16264017809</v>
      </c>
      <c r="C2199" s="59"/>
      <c r="D2199" s="60"/>
      <c r="E2199" s="9">
        <v>1241</v>
      </c>
      <c r="F2199" s="25">
        <v>42992</v>
      </c>
      <c r="G2199" s="61" t="s">
        <v>13</v>
      </c>
      <c r="H2199" s="9"/>
      <c r="I2199" s="8"/>
      <c r="J2199" s="8"/>
      <c r="K2199" s="8"/>
      <c r="L2199" s="8"/>
      <c r="M2199" s="8"/>
    </row>
    <row r="2200" spans="1:13">
      <c r="A2200" s="13" t="s">
        <v>3136</v>
      </c>
      <c r="B2200" s="58">
        <v>28280731814</v>
      </c>
      <c r="C2200" s="59" t="s">
        <v>3137</v>
      </c>
      <c r="D2200" s="60">
        <v>36523032884</v>
      </c>
      <c r="E2200" s="9">
        <v>1128</v>
      </c>
      <c r="F2200" s="25">
        <v>42972</v>
      </c>
      <c r="G2200" s="61" t="s">
        <v>13</v>
      </c>
      <c r="H2200" s="9"/>
      <c r="I2200" s="8"/>
      <c r="J2200" s="8"/>
      <c r="K2200" s="8"/>
      <c r="L2200" s="8"/>
      <c r="M2200" s="8"/>
    </row>
    <row r="2201" spans="1:13">
      <c r="A2201" s="62" t="s">
        <v>3138</v>
      </c>
      <c r="B2201" s="58">
        <v>12525223802</v>
      </c>
      <c r="C2201" s="59" t="s">
        <v>3139</v>
      </c>
      <c r="D2201" s="60">
        <v>67349218591</v>
      </c>
      <c r="E2201" s="9">
        <v>1343</v>
      </c>
      <c r="F2201" s="25">
        <v>43004</v>
      </c>
      <c r="G2201" s="61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62" t="s">
        <v>3140</v>
      </c>
      <c r="B2202" s="58">
        <v>37014825860</v>
      </c>
      <c r="C2202" s="63" t="s">
        <v>3141</v>
      </c>
      <c r="D2202" s="60">
        <v>38869051870</v>
      </c>
      <c r="E2202" s="9">
        <v>1752</v>
      </c>
      <c r="F2202" s="25">
        <v>43051</v>
      </c>
      <c r="G2202" s="61" t="s">
        <v>13</v>
      </c>
      <c r="H2202" s="9"/>
      <c r="I2202" s="8"/>
      <c r="J2202" s="8"/>
      <c r="K2202" s="8"/>
      <c r="L2202" s="9">
        <v>1759</v>
      </c>
      <c r="M2202" s="8"/>
    </row>
    <row r="2203" spans="1:13">
      <c r="A2203" s="62" t="s">
        <v>3142</v>
      </c>
      <c r="B2203" s="58">
        <v>34927576850</v>
      </c>
      <c r="C2203" s="63"/>
      <c r="D2203" s="60"/>
      <c r="E2203" s="9">
        <v>1106</v>
      </c>
      <c r="F2203" s="25">
        <v>42965</v>
      </c>
      <c r="G2203" s="61" t="s">
        <v>13</v>
      </c>
      <c r="H2203" s="9"/>
      <c r="I2203" s="8"/>
      <c r="J2203" s="8"/>
      <c r="K2203" s="8"/>
      <c r="L2203" s="8"/>
      <c r="M2203" s="8"/>
    </row>
    <row r="2204" spans="1:13">
      <c r="A2204" s="62" t="s">
        <v>3143</v>
      </c>
      <c r="B2204" s="58">
        <v>36059848869</v>
      </c>
      <c r="C2204" s="59"/>
      <c r="D2204" s="60"/>
      <c r="E2204" s="9">
        <v>1128</v>
      </c>
      <c r="F2204" s="25">
        <v>42972</v>
      </c>
      <c r="G2204" s="61" t="s">
        <v>13</v>
      </c>
      <c r="H2204" s="9"/>
      <c r="I2204" s="8"/>
      <c r="J2204" s="8"/>
      <c r="K2204" s="8"/>
      <c r="L2204" s="8"/>
      <c r="M2204" s="8"/>
    </row>
    <row r="2205" spans="1:13">
      <c r="A2205" s="62" t="s">
        <v>3144</v>
      </c>
      <c r="B2205" s="58">
        <v>15095801825</v>
      </c>
      <c r="C2205" s="63" t="s">
        <v>3145</v>
      </c>
      <c r="D2205" s="60">
        <v>16417229831</v>
      </c>
      <c r="E2205" s="9">
        <v>85</v>
      </c>
      <c r="F2205" s="25">
        <v>43109</v>
      </c>
      <c r="G2205" s="61" t="s">
        <v>13</v>
      </c>
      <c r="H2205" s="25">
        <v>43151</v>
      </c>
      <c r="I2205" s="8"/>
      <c r="J2205" s="8"/>
      <c r="K2205" s="8"/>
      <c r="L2205" s="8"/>
      <c r="M2205" s="8"/>
    </row>
    <row r="2206" spans="1:13">
      <c r="A2206" s="62" t="s">
        <v>3146</v>
      </c>
      <c r="B2206" s="58">
        <v>33752444878</v>
      </c>
      <c r="C2206" s="63"/>
      <c r="D2206" s="60"/>
      <c r="E2206" s="9"/>
      <c r="F2206" s="25"/>
      <c r="G2206" s="61"/>
      <c r="H2206" s="9"/>
      <c r="I2206" s="8"/>
      <c r="J2206" s="8"/>
      <c r="K2206" s="8"/>
      <c r="L2206" s="8"/>
      <c r="M2206" s="8"/>
    </row>
    <row r="2207" spans="1:13">
      <c r="A2207" s="15" t="s">
        <v>3147</v>
      </c>
      <c r="B2207" s="58">
        <v>58037845249</v>
      </c>
      <c r="C2207" s="63" t="s">
        <v>3148</v>
      </c>
      <c r="D2207" s="60">
        <v>496500333</v>
      </c>
      <c r="E2207" s="9">
        <v>117</v>
      </c>
      <c r="F2207" s="25">
        <v>43117</v>
      </c>
      <c r="G2207" s="61" t="s">
        <v>13</v>
      </c>
      <c r="H2207" s="9"/>
      <c r="I2207" s="8"/>
      <c r="J2207" s="8"/>
      <c r="K2207" s="8"/>
      <c r="L2207" s="9" t="s">
        <v>170</v>
      </c>
      <c r="M2207" s="8"/>
    </row>
    <row r="2208" spans="1:13">
      <c r="A2208" s="75" t="s">
        <v>3149</v>
      </c>
      <c r="B2208" s="58">
        <v>21380472881</v>
      </c>
      <c r="C2208" s="63"/>
      <c r="D2208" s="60"/>
      <c r="E2208" s="9"/>
      <c r="F2208" s="25"/>
      <c r="G2208" s="61"/>
      <c r="H2208" s="9"/>
      <c r="I2208" s="8"/>
      <c r="J2208" s="8"/>
      <c r="K2208" s="8"/>
      <c r="L2208" s="8"/>
      <c r="M2208" s="8"/>
    </row>
    <row r="2209" spans="1:13">
      <c r="A2209" s="62" t="s">
        <v>3150</v>
      </c>
      <c r="B2209" s="58">
        <v>30245787810</v>
      </c>
      <c r="C2209" s="63"/>
      <c r="D2209" s="60"/>
      <c r="E2209" s="9">
        <v>443</v>
      </c>
      <c r="F2209" s="25">
        <v>43188</v>
      </c>
      <c r="G2209" s="61"/>
      <c r="H2209" s="9"/>
      <c r="I2209" s="8"/>
      <c r="J2209" s="8"/>
      <c r="K2209" s="8"/>
      <c r="L2209" s="8"/>
      <c r="M2209" s="8"/>
    </row>
    <row r="2210" spans="1:13">
      <c r="A2210" s="63" t="s">
        <v>3151</v>
      </c>
      <c r="B2210" s="58">
        <v>4416847858</v>
      </c>
      <c r="C2210" s="63" t="s">
        <v>3152</v>
      </c>
      <c r="D2210" s="60">
        <v>21831994518</v>
      </c>
      <c r="E2210" s="9"/>
      <c r="F2210" s="25"/>
      <c r="G2210" s="61"/>
      <c r="H2210" s="9"/>
      <c r="I2210" s="8"/>
      <c r="J2210" s="8"/>
      <c r="K2210" s="8"/>
      <c r="L2210" s="8"/>
      <c r="M2210" s="8"/>
    </row>
    <row r="2211" spans="1:13">
      <c r="A2211" s="27" t="s">
        <v>3153</v>
      </c>
      <c r="B2211" s="58"/>
      <c r="C2211" s="18" t="s">
        <v>129</v>
      </c>
      <c r="D2211" s="60"/>
      <c r="E2211" s="9"/>
      <c r="F2211" s="25"/>
      <c r="G2211" s="61"/>
      <c r="H2211" s="9"/>
      <c r="I2211" s="8"/>
      <c r="J2211" s="8"/>
      <c r="K2211" s="8"/>
      <c r="L2211" s="8"/>
      <c r="M2211" s="8"/>
    </row>
    <row r="2212" spans="1:13">
      <c r="A2212" s="62" t="s">
        <v>3154</v>
      </c>
      <c r="B2212" s="58">
        <v>16661345896</v>
      </c>
      <c r="C2212" s="63"/>
      <c r="D2212" s="60"/>
      <c r="E2212" s="9">
        <v>1241</v>
      </c>
      <c r="F2212" s="25">
        <v>42992</v>
      </c>
      <c r="G2212" s="61" t="s">
        <v>13</v>
      </c>
      <c r="H2212" s="9"/>
      <c r="I2212" s="8"/>
      <c r="J2212" s="8"/>
      <c r="K2212" s="8"/>
      <c r="L2212" s="8"/>
      <c r="M2212" s="8"/>
    </row>
    <row r="2213" spans="1:13">
      <c r="A2213" s="62" t="s">
        <v>3155</v>
      </c>
      <c r="B2213" s="58">
        <v>35325197800</v>
      </c>
      <c r="C2213" s="63" t="s">
        <v>3156</v>
      </c>
      <c r="D2213" s="60">
        <v>38159378840</v>
      </c>
      <c r="E2213" s="9">
        <v>810</v>
      </c>
      <c r="F2213" s="25">
        <v>42915</v>
      </c>
      <c r="G2213" s="61" t="s">
        <v>13</v>
      </c>
      <c r="H2213" s="9"/>
      <c r="I2213" s="8"/>
      <c r="J2213" s="8"/>
      <c r="K2213" s="8"/>
      <c r="L2213" s="9" t="s">
        <v>138</v>
      </c>
      <c r="M2213" s="8"/>
    </row>
    <row r="2214" spans="1:13">
      <c r="A2214" s="62" t="s">
        <v>3157</v>
      </c>
      <c r="B2214" s="58">
        <v>37527821884</v>
      </c>
      <c r="C2214" s="63" t="s">
        <v>3158</v>
      </c>
      <c r="D2214" s="60">
        <v>69447810420</v>
      </c>
      <c r="E2214" s="9">
        <v>262</v>
      </c>
      <c r="F2214" s="25">
        <v>43160</v>
      </c>
      <c r="G2214" s="61" t="s">
        <v>13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62" t="s">
        <v>3159</v>
      </c>
      <c r="B2215" s="58">
        <v>29116415825</v>
      </c>
      <c r="C2215" s="63"/>
      <c r="D2215" s="60"/>
      <c r="E2215" s="9">
        <v>117</v>
      </c>
      <c r="F2215" s="25">
        <v>43117</v>
      </c>
      <c r="G2215" s="61" t="s">
        <v>13</v>
      </c>
      <c r="H2215" s="9"/>
      <c r="I2215" s="8"/>
      <c r="J2215" s="8"/>
      <c r="K2215" s="8"/>
      <c r="L2215" s="9" t="s">
        <v>170</v>
      </c>
      <c r="M2215" s="8"/>
    </row>
    <row r="2216" spans="1:13">
      <c r="A2216" s="15" t="s">
        <v>3160</v>
      </c>
      <c r="B2216" s="58">
        <v>85281050672</v>
      </c>
      <c r="C2216" s="63" t="s">
        <v>3161</v>
      </c>
      <c r="D2216" s="60">
        <v>5490696664</v>
      </c>
      <c r="E2216" s="9">
        <v>229</v>
      </c>
      <c r="F2216" s="25">
        <v>43151</v>
      </c>
      <c r="G2216" s="61" t="s">
        <v>13</v>
      </c>
      <c r="H2216" s="9"/>
      <c r="I2216" s="8"/>
      <c r="J2216" s="8"/>
      <c r="K2216" s="8"/>
      <c r="L2216" s="9">
        <v>232</v>
      </c>
      <c r="M2216" s="8"/>
    </row>
    <row r="2217" spans="1:13">
      <c r="A2217" s="62" t="s">
        <v>3162</v>
      </c>
      <c r="B2217" s="58">
        <v>28203692869</v>
      </c>
      <c r="C2217" s="63"/>
      <c r="D2217" s="60"/>
      <c r="E2217" s="9">
        <v>292</v>
      </c>
      <c r="F2217" s="25">
        <v>43168</v>
      </c>
      <c r="G2217" s="61" t="s">
        <v>13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3163</v>
      </c>
      <c r="B2218" s="58">
        <v>7414399800</v>
      </c>
      <c r="C2218" s="63"/>
      <c r="D2218" s="60"/>
      <c r="E2218" s="9">
        <v>117</v>
      </c>
      <c r="F2218" s="25">
        <v>43117</v>
      </c>
      <c r="G2218" s="61" t="s">
        <v>20</v>
      </c>
      <c r="H2218" s="9"/>
      <c r="I2218" s="8"/>
      <c r="J2218" s="8"/>
      <c r="K2218" s="8"/>
      <c r="L2218" s="9" t="s">
        <v>170</v>
      </c>
      <c r="M2218" s="8"/>
    </row>
    <row r="2219" spans="1:13">
      <c r="A2219" s="62" t="s">
        <v>3164</v>
      </c>
      <c r="B2219" s="58">
        <v>2939736448</v>
      </c>
      <c r="C2219" s="63"/>
      <c r="D2219" s="60"/>
      <c r="E2219" s="9"/>
      <c r="F2219" s="25"/>
      <c r="G2219" s="61"/>
      <c r="H2219" s="9"/>
      <c r="I2219" s="8"/>
      <c r="J2219" s="8"/>
      <c r="K2219" s="8"/>
      <c r="L2219" s="8"/>
      <c r="M2219" s="8"/>
    </row>
    <row r="2220" spans="1:13">
      <c r="A2220" s="62" t="s">
        <v>3165</v>
      </c>
      <c r="B2220" s="58">
        <v>27851461820</v>
      </c>
      <c r="C2220" s="63" t="s">
        <v>3166</v>
      </c>
      <c r="D2220" s="60">
        <v>27264565882</v>
      </c>
      <c r="E2220" s="9">
        <v>117</v>
      </c>
      <c r="F2220" s="25">
        <v>43117</v>
      </c>
      <c r="G2220" s="61" t="s">
        <v>13</v>
      </c>
      <c r="H2220" s="9"/>
      <c r="I2220" s="8"/>
      <c r="J2220" s="8"/>
      <c r="K2220" s="8"/>
      <c r="L2220" s="9" t="s">
        <v>170</v>
      </c>
      <c r="M2220" s="8"/>
    </row>
    <row r="2221" spans="1:13">
      <c r="A2221" s="62" t="s">
        <v>3167</v>
      </c>
      <c r="B2221" s="58">
        <v>32960731832</v>
      </c>
      <c r="C2221" s="68" t="s">
        <v>3168</v>
      </c>
      <c r="D2221" s="60">
        <v>33264655802</v>
      </c>
      <c r="E2221" s="9"/>
      <c r="F2221" s="25"/>
      <c r="G2221" s="61"/>
      <c r="H2221" s="9"/>
      <c r="I2221" s="8"/>
      <c r="J2221" s="8"/>
      <c r="K2221" s="8"/>
      <c r="L2221" s="8"/>
      <c r="M2221" s="8"/>
    </row>
    <row r="2222" spans="1:13">
      <c r="A2222" s="18" t="s">
        <v>3169</v>
      </c>
      <c r="B2222" s="58"/>
      <c r="C2222" s="18"/>
      <c r="D2222" s="60"/>
      <c r="E2222" s="9"/>
      <c r="F2222" s="25"/>
      <c r="G2222" s="61"/>
      <c r="H2222" s="9"/>
      <c r="I2222" s="8"/>
      <c r="J2222" s="8"/>
      <c r="K2222" s="8"/>
      <c r="L2222" s="8"/>
      <c r="M2222" s="8"/>
    </row>
    <row r="2223" spans="1:13">
      <c r="A2223" s="62" t="s">
        <v>3170</v>
      </c>
      <c r="B2223" s="58">
        <v>11596370831</v>
      </c>
      <c r="C2223" s="63"/>
      <c r="D2223" s="60"/>
      <c r="E2223" s="9">
        <v>1267</v>
      </c>
      <c r="F2223" s="25">
        <v>42998</v>
      </c>
      <c r="G2223" s="61" t="s">
        <v>13</v>
      </c>
      <c r="H2223" s="9"/>
      <c r="I2223" s="8"/>
      <c r="J2223" s="8"/>
      <c r="K2223" s="8"/>
      <c r="L2223" s="8"/>
      <c r="M2223" s="8"/>
    </row>
    <row r="2224" spans="1:13">
      <c r="A2224" s="62" t="s">
        <v>3171</v>
      </c>
      <c r="B2224" s="58">
        <v>32148451871</v>
      </c>
      <c r="C2224" s="63"/>
      <c r="D2224" s="60"/>
      <c r="E2224" s="9">
        <v>1489</v>
      </c>
      <c r="F2224" s="25">
        <v>43038</v>
      </c>
      <c r="G2224" s="61" t="s">
        <v>13</v>
      </c>
      <c r="H2224" s="9"/>
      <c r="I2224" s="8"/>
      <c r="J2224" s="8"/>
      <c r="K2224" s="8"/>
      <c r="L2224" s="9" t="s">
        <v>160</v>
      </c>
      <c r="M2224" s="8"/>
    </row>
    <row r="2225" spans="1:13">
      <c r="A2225" s="62" t="s">
        <v>3172</v>
      </c>
      <c r="B2225" s="58">
        <v>39390467870</v>
      </c>
      <c r="C2225" s="63"/>
      <c r="D2225" s="60"/>
      <c r="E2225" s="9">
        <v>1570</v>
      </c>
      <c r="F2225" s="25">
        <v>43077</v>
      </c>
      <c r="G2225" s="61" t="s">
        <v>13</v>
      </c>
      <c r="H2225" s="9"/>
      <c r="I2225" s="8"/>
      <c r="J2225" s="8"/>
      <c r="K2225" s="8"/>
      <c r="L2225" s="8"/>
      <c r="M2225" s="8"/>
    </row>
    <row r="2226" spans="1:13">
      <c r="A2226" s="62" t="s">
        <v>3173</v>
      </c>
      <c r="B2226" s="58">
        <v>66019133591</v>
      </c>
      <c r="C2226" s="63"/>
      <c r="D2226" s="60"/>
      <c r="E2226" s="9">
        <v>1106</v>
      </c>
      <c r="F2226" s="25">
        <v>42965</v>
      </c>
      <c r="G2226" s="61" t="s">
        <v>13</v>
      </c>
      <c r="H2226" s="9"/>
      <c r="I2226" s="8"/>
      <c r="J2226" s="8"/>
      <c r="K2226" s="8"/>
      <c r="L2226" s="8"/>
      <c r="M2226" s="8"/>
    </row>
    <row r="2227" spans="1:13">
      <c r="A2227" s="27" t="s">
        <v>3174</v>
      </c>
      <c r="B2227" s="58"/>
      <c r="C2227" s="18" t="s">
        <v>129</v>
      </c>
      <c r="D2227" s="60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62" t="s">
        <v>3175</v>
      </c>
      <c r="B2228" s="58">
        <v>31837657807</v>
      </c>
      <c r="C2228" s="63"/>
      <c r="D2228" s="60"/>
      <c r="E2228" s="9">
        <v>1752</v>
      </c>
      <c r="F2228" s="25">
        <v>43051</v>
      </c>
      <c r="G2228" s="61" t="s">
        <v>13</v>
      </c>
      <c r="H2228" s="9"/>
      <c r="I2228" s="8"/>
      <c r="J2228" s="8"/>
      <c r="K2228" s="8"/>
      <c r="L2228" s="9">
        <v>1759</v>
      </c>
      <c r="M2228" s="8"/>
    </row>
    <row r="2229" spans="1:13">
      <c r="A2229" s="62" t="s">
        <v>3176</v>
      </c>
      <c r="B2229" s="58">
        <v>442464045</v>
      </c>
      <c r="C2229" s="63"/>
      <c r="D2229" s="60"/>
      <c r="E2229" s="9">
        <v>292</v>
      </c>
      <c r="F2229" s="25">
        <v>43168</v>
      </c>
      <c r="G2229" s="61" t="s">
        <v>13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3177</v>
      </c>
      <c r="B2230" s="58"/>
      <c r="C2230" s="18"/>
      <c r="D2230" s="60"/>
      <c r="E2230" s="9"/>
      <c r="F2230" s="25"/>
      <c r="G2230" s="61"/>
      <c r="H2230" s="9"/>
      <c r="I2230" s="8"/>
      <c r="J2230" s="8"/>
      <c r="K2230" s="8"/>
      <c r="L2230" s="8"/>
      <c r="M2230" s="8"/>
    </row>
    <row r="2231" spans="1:13">
      <c r="A2231" s="15" t="s">
        <v>3178</v>
      </c>
      <c r="B2231" s="58">
        <v>16699525840</v>
      </c>
      <c r="C2231" s="63"/>
      <c r="D2231" s="60"/>
      <c r="E2231" s="9">
        <v>117</v>
      </c>
      <c r="F2231" s="25">
        <v>43117</v>
      </c>
      <c r="G2231" s="61" t="s">
        <v>13</v>
      </c>
      <c r="H2231" s="9"/>
      <c r="I2231" s="8"/>
      <c r="J2231" s="8"/>
      <c r="K2231" s="8"/>
      <c r="L2231" s="9" t="s">
        <v>170</v>
      </c>
      <c r="M2231" s="8"/>
    </row>
    <row r="2232" spans="1:13">
      <c r="A2232" s="14" t="s">
        <v>3179</v>
      </c>
      <c r="B2232" s="58">
        <v>28144806859</v>
      </c>
      <c r="C2232" s="63"/>
      <c r="D2232" s="60"/>
      <c r="E2232" s="9">
        <v>443</v>
      </c>
      <c r="F2232" s="25">
        <v>43188</v>
      </c>
      <c r="G2232" s="61"/>
      <c r="H2232" s="9"/>
      <c r="I2232" s="8"/>
      <c r="J2232" s="8"/>
      <c r="K2232" s="8"/>
      <c r="L2232" s="8"/>
      <c r="M2232" s="8"/>
    </row>
    <row r="2233" spans="1:13">
      <c r="A2233" s="15" t="s">
        <v>3180</v>
      </c>
      <c r="B2233" s="58">
        <v>7632197893</v>
      </c>
      <c r="C2233" s="63"/>
      <c r="D2233" s="60"/>
      <c r="E2233" s="9">
        <v>85</v>
      </c>
      <c r="F2233" s="25">
        <v>43109</v>
      </c>
      <c r="G2233" s="61" t="s">
        <v>13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3181</v>
      </c>
      <c r="B2234" s="58">
        <v>28135599897</v>
      </c>
      <c r="C2234" s="63"/>
      <c r="D2234" s="60"/>
      <c r="E2234" s="9"/>
      <c r="F2234" s="25"/>
      <c r="G2234" s="61"/>
      <c r="H2234" s="9"/>
      <c r="I2234" s="8"/>
      <c r="J2234" s="8"/>
      <c r="K2234" s="8"/>
      <c r="L2234" s="8"/>
      <c r="M2234" s="8"/>
    </row>
    <row r="2235" spans="1:13">
      <c r="A2235" s="62" t="s">
        <v>3182</v>
      </c>
      <c r="B2235" s="58">
        <v>25257368854</v>
      </c>
      <c r="C2235" s="63"/>
      <c r="D2235" s="60"/>
      <c r="E2235" s="9">
        <v>443</v>
      </c>
      <c r="F2235" s="25">
        <v>43188</v>
      </c>
      <c r="G2235" s="61"/>
      <c r="H2235" s="9"/>
      <c r="I2235" s="8"/>
      <c r="J2235" s="8"/>
      <c r="K2235" s="8"/>
      <c r="L2235" s="8"/>
      <c r="M2235" s="8"/>
    </row>
    <row r="2236" spans="1:13">
      <c r="A2236" s="68" t="s">
        <v>3183</v>
      </c>
      <c r="B2236" s="58">
        <v>65624858604</v>
      </c>
      <c r="C2236" s="63"/>
      <c r="D2236" s="60"/>
      <c r="E2236" s="9"/>
      <c r="F2236" s="25"/>
      <c r="G2236" s="61"/>
      <c r="H2236" s="9"/>
      <c r="I2236" s="8"/>
      <c r="J2236" s="8"/>
      <c r="K2236" s="8"/>
      <c r="L2236" s="8"/>
      <c r="M2236" s="8"/>
    </row>
    <row r="2237" spans="1:13">
      <c r="A2237" s="62" t="s">
        <v>3184</v>
      </c>
      <c r="B2237" s="58">
        <v>22548549844</v>
      </c>
      <c r="C2237" s="68" t="s">
        <v>3185</v>
      </c>
      <c r="D2237" s="60">
        <v>36160419889</v>
      </c>
      <c r="E2237" s="9"/>
      <c r="F2237" s="25"/>
      <c r="G2237" s="61"/>
      <c r="H2237" s="9"/>
      <c r="I2237" s="8"/>
      <c r="J2237" s="8"/>
      <c r="K2237" s="8"/>
      <c r="L2237" s="8"/>
      <c r="M2237" s="8"/>
    </row>
    <row r="2238" spans="1:13">
      <c r="A2238" s="15" t="s">
        <v>3186</v>
      </c>
      <c r="B2238" s="58">
        <v>34028808812</v>
      </c>
      <c r="C2238" s="63"/>
      <c r="D2238" s="60"/>
      <c r="E2238" s="9">
        <v>85</v>
      </c>
      <c r="F2238" s="25">
        <v>43109</v>
      </c>
      <c r="G2238" s="61" t="s">
        <v>13</v>
      </c>
      <c r="H2238" s="25">
        <v>43151</v>
      </c>
      <c r="I2238" s="8"/>
      <c r="J2238" s="8"/>
      <c r="K2238" s="8"/>
      <c r="L2238" s="8"/>
      <c r="M2238" s="8"/>
    </row>
    <row r="2239" spans="1:13">
      <c r="A2239" s="62" t="s">
        <v>3187</v>
      </c>
      <c r="B2239" s="58">
        <v>32944172840</v>
      </c>
      <c r="C2239" s="63"/>
      <c r="D2239" s="60"/>
      <c r="E2239" s="9">
        <v>292</v>
      </c>
      <c r="F2239" s="25">
        <v>43168</v>
      </c>
      <c r="G2239" s="61" t="s">
        <v>13</v>
      </c>
      <c r="H2239" s="9"/>
      <c r="I2239" s="8"/>
      <c r="J2239" s="8"/>
      <c r="K2239" s="8"/>
      <c r="L2239" s="9">
        <v>318</v>
      </c>
      <c r="M2239" s="8"/>
    </row>
    <row r="2240" spans="1:13">
      <c r="A2240" s="62" t="s">
        <v>3188</v>
      </c>
      <c r="B2240" s="58">
        <v>27757716888</v>
      </c>
      <c r="C2240" s="68" t="s">
        <v>3189</v>
      </c>
      <c r="D2240" s="60" t="s">
        <v>3190</v>
      </c>
      <c r="E2240" s="9"/>
      <c r="F2240" s="25"/>
      <c r="G2240" s="61"/>
      <c r="H2240" s="9"/>
      <c r="I2240" s="8"/>
      <c r="J2240" s="8"/>
      <c r="K2240" s="8"/>
      <c r="L2240" s="8"/>
      <c r="M2240" s="8"/>
    </row>
    <row r="2241" spans="1:13">
      <c r="A2241" s="15" t="s">
        <v>3191</v>
      </c>
      <c r="B2241" s="58">
        <v>30926413880</v>
      </c>
      <c r="C2241" s="63" t="s">
        <v>3192</v>
      </c>
      <c r="D2241" s="60">
        <v>29602877898</v>
      </c>
      <c r="E2241" s="9">
        <v>563</v>
      </c>
      <c r="F2241" s="25">
        <v>43217</v>
      </c>
      <c r="G2241" s="61"/>
      <c r="H2241" s="9"/>
      <c r="I2241" s="8"/>
      <c r="J2241" s="8"/>
      <c r="K2241" s="8"/>
      <c r="L2241" s="9" t="s">
        <v>299</v>
      </c>
      <c r="M2241" s="8"/>
    </row>
    <row r="2242" spans="1:13">
      <c r="A2242" s="62" t="s">
        <v>3193</v>
      </c>
      <c r="B2242" s="58">
        <v>32954076810</v>
      </c>
      <c r="C2242" s="63" t="s">
        <v>3194</v>
      </c>
      <c r="D2242" s="60">
        <v>82353131468</v>
      </c>
      <c r="E2242" s="9">
        <v>292</v>
      </c>
      <c r="F2242" s="25">
        <v>43168</v>
      </c>
      <c r="G2242" s="61" t="s">
        <v>13</v>
      </c>
      <c r="H2242" s="9"/>
      <c r="I2242" s="8"/>
      <c r="J2242" s="8"/>
      <c r="K2242" s="8"/>
      <c r="L2242" s="9">
        <v>318</v>
      </c>
      <c r="M2242" s="8"/>
    </row>
    <row r="2243" spans="1:13">
      <c r="A2243" s="62" t="s">
        <v>3195</v>
      </c>
      <c r="B2243" s="58">
        <v>73897264404</v>
      </c>
      <c r="C2243" s="63"/>
      <c r="D2243" s="60"/>
      <c r="E2243" s="9">
        <v>1824</v>
      </c>
      <c r="F2243" s="25">
        <v>43091</v>
      </c>
      <c r="G2243" s="61" t="s">
        <v>20</v>
      </c>
      <c r="H2243" s="9"/>
      <c r="I2243" s="8"/>
      <c r="J2243" s="8"/>
      <c r="K2243" s="8"/>
      <c r="L2243" s="9">
        <v>1828</v>
      </c>
      <c r="M2243" s="8"/>
    </row>
    <row r="2244" spans="1:13">
      <c r="A2244" s="62" t="s">
        <v>3196</v>
      </c>
      <c r="B2244" s="58">
        <v>35516398843</v>
      </c>
      <c r="C2244" s="63"/>
      <c r="D2244" s="60"/>
      <c r="E2244" s="9">
        <v>292</v>
      </c>
      <c r="F2244" s="25">
        <v>43168</v>
      </c>
      <c r="G2244" s="61" t="s">
        <v>13</v>
      </c>
      <c r="H2244" s="9"/>
      <c r="I2244" s="8"/>
      <c r="J2244" s="8"/>
      <c r="K2244" s="8"/>
      <c r="L2244" s="9">
        <v>318</v>
      </c>
      <c r="M2244" s="8"/>
    </row>
    <row r="2245" spans="1:13">
      <c r="A2245" s="62" t="s">
        <v>3197</v>
      </c>
      <c r="B2245" s="58">
        <v>21384986898</v>
      </c>
      <c r="C2245" s="63"/>
      <c r="D2245" s="60"/>
      <c r="E2245" s="9">
        <v>1824</v>
      </c>
      <c r="F2245" s="25">
        <v>43091</v>
      </c>
      <c r="G2245" s="61" t="s">
        <v>13</v>
      </c>
      <c r="H2245" s="9"/>
      <c r="I2245" s="8"/>
      <c r="J2245" s="8"/>
      <c r="K2245" s="8"/>
      <c r="L2245" s="9">
        <v>1828</v>
      </c>
      <c r="M2245" s="8"/>
    </row>
    <row r="2246" spans="1:13">
      <c r="A2246" s="62" t="s">
        <v>3198</v>
      </c>
      <c r="B2246" s="58">
        <v>23171032805</v>
      </c>
      <c r="C2246" s="63" t="s">
        <v>3199</v>
      </c>
      <c r="D2246" s="60">
        <v>23170860836</v>
      </c>
      <c r="E2246" s="9">
        <v>443</v>
      </c>
      <c r="F2246" s="25">
        <v>43188</v>
      </c>
      <c r="G2246" s="61"/>
      <c r="H2246" s="9"/>
      <c r="I2246" s="8"/>
      <c r="J2246" s="8"/>
      <c r="K2246" s="8"/>
      <c r="L2246" s="8"/>
      <c r="M2246" s="8"/>
    </row>
    <row r="2247" spans="1:13">
      <c r="A2247" s="62" t="s">
        <v>3200</v>
      </c>
      <c r="B2247" s="58">
        <v>33375182813</v>
      </c>
      <c r="C2247" s="66" t="s">
        <v>3201</v>
      </c>
      <c r="D2247" s="60">
        <v>30178836800</v>
      </c>
      <c r="E2247" s="9">
        <v>1106</v>
      </c>
      <c r="F2247" s="25">
        <v>42965</v>
      </c>
      <c r="G2247" s="61" t="s">
        <v>13</v>
      </c>
      <c r="H2247" s="9"/>
      <c r="I2247" s="8"/>
      <c r="J2247" s="8"/>
      <c r="K2247" s="8"/>
      <c r="L2247" s="8"/>
      <c r="M2247" s="8"/>
    </row>
    <row r="2248" spans="1:13">
      <c r="A2248" s="62" t="s">
        <v>3202</v>
      </c>
      <c r="B2248" s="58">
        <v>81684215668</v>
      </c>
      <c r="C2248" s="63"/>
      <c r="D2248" s="60"/>
      <c r="E2248" s="9">
        <v>1214</v>
      </c>
      <c r="F2248" s="25">
        <v>42989</v>
      </c>
      <c r="G2248" s="61" t="s">
        <v>13</v>
      </c>
      <c r="H2248" s="9"/>
      <c r="I2248" s="8"/>
      <c r="J2248" s="8"/>
      <c r="K2248" s="8"/>
      <c r="L2248" s="8"/>
      <c r="M2248" s="8"/>
    </row>
    <row r="2249" spans="1:13">
      <c r="A2249" s="62" t="s">
        <v>3203</v>
      </c>
      <c r="B2249" s="58">
        <v>15712243865</v>
      </c>
      <c r="C2249" s="63" t="s">
        <v>3204</v>
      </c>
      <c r="D2249" s="60">
        <v>501095705</v>
      </c>
      <c r="E2249" s="9">
        <v>1752</v>
      </c>
      <c r="F2249" s="25">
        <v>43051</v>
      </c>
      <c r="G2249" s="61" t="s">
        <v>13</v>
      </c>
      <c r="H2249" s="9"/>
      <c r="I2249" s="8"/>
      <c r="J2249" s="8"/>
      <c r="K2249" s="8"/>
      <c r="L2249" s="9">
        <v>1759</v>
      </c>
      <c r="M2249" s="8"/>
    </row>
    <row r="2250" spans="1:13">
      <c r="A2250" s="62" t="s">
        <v>3205</v>
      </c>
      <c r="B2250" s="58">
        <v>19448516827</v>
      </c>
      <c r="C2250" s="63"/>
      <c r="D2250" s="60"/>
      <c r="E2250" s="9">
        <v>810</v>
      </c>
      <c r="F2250" s="25">
        <v>42915</v>
      </c>
      <c r="G2250" s="61" t="s">
        <v>13</v>
      </c>
      <c r="H2250" s="9"/>
      <c r="I2250" s="8"/>
      <c r="J2250" s="8"/>
      <c r="K2250" s="8"/>
      <c r="L2250" s="9" t="s">
        <v>138</v>
      </c>
      <c r="M2250" s="8"/>
    </row>
    <row r="2251" spans="1:13">
      <c r="A2251" s="15" t="s">
        <v>3206</v>
      </c>
      <c r="B2251" s="58">
        <v>2635248419</v>
      </c>
      <c r="C2251" s="63"/>
      <c r="D2251" s="60"/>
      <c r="E2251" s="9">
        <v>262</v>
      </c>
      <c r="F2251" s="25">
        <v>43160</v>
      </c>
      <c r="G2251" s="61" t="s">
        <v>13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62" t="s">
        <v>3207</v>
      </c>
      <c r="B2252" s="58">
        <v>22403927899</v>
      </c>
      <c r="C2252" s="63" t="s">
        <v>3208</v>
      </c>
      <c r="D2252" s="60">
        <v>28560501827</v>
      </c>
      <c r="E2252" s="9"/>
      <c r="F2252" s="25"/>
      <c r="G2252" s="61"/>
      <c r="H2252" s="9"/>
      <c r="I2252" s="8"/>
      <c r="J2252" s="8"/>
      <c r="K2252" s="8"/>
      <c r="L2252" s="8"/>
      <c r="M2252" s="8"/>
    </row>
    <row r="2253" spans="1:13">
      <c r="A2253" s="13" t="s">
        <v>3209</v>
      </c>
      <c r="B2253" s="58">
        <v>38569770820</v>
      </c>
      <c r="C2253" s="63"/>
      <c r="D2253" s="60"/>
      <c r="E2253" s="9">
        <v>117</v>
      </c>
      <c r="F2253" s="25">
        <v>43117</v>
      </c>
      <c r="G2253" s="61" t="s">
        <v>13</v>
      </c>
      <c r="H2253" s="9"/>
      <c r="I2253" s="8"/>
      <c r="J2253" s="8"/>
      <c r="K2253" s="8"/>
      <c r="L2253" s="9" t="s">
        <v>170</v>
      </c>
      <c r="M2253" s="8"/>
    </row>
    <row r="2254" spans="1:13">
      <c r="A2254" s="14" t="s">
        <v>3210</v>
      </c>
      <c r="B2254" s="58">
        <v>36943818805</v>
      </c>
      <c r="C2254" s="63"/>
      <c r="D2254" s="60"/>
      <c r="E2254" s="9"/>
      <c r="F2254" s="25"/>
      <c r="G2254" s="61"/>
      <c r="H2254" s="9"/>
      <c r="I2254" s="8"/>
      <c r="J2254" s="8"/>
      <c r="K2254" s="8"/>
      <c r="L2254" s="8"/>
      <c r="M2254" s="8"/>
    </row>
    <row r="2255" spans="1:13">
      <c r="A2255" s="66" t="s">
        <v>3211</v>
      </c>
      <c r="B2255" s="58">
        <v>32624504800</v>
      </c>
      <c r="C2255" s="63" t="s">
        <v>3212</v>
      </c>
      <c r="D2255" s="60">
        <v>40612746860</v>
      </c>
      <c r="E2255" s="9"/>
      <c r="F2255" s="25"/>
      <c r="G2255" s="61"/>
      <c r="H2255" s="9"/>
      <c r="I2255" s="8"/>
      <c r="J2255" s="8"/>
      <c r="K2255" s="8"/>
      <c r="L2255" s="8"/>
      <c r="M2255" s="8"/>
    </row>
    <row r="2256" spans="1:13">
      <c r="A2256" s="62" t="s">
        <v>3213</v>
      </c>
      <c r="B2256" s="58">
        <v>71077545568</v>
      </c>
      <c r="C2256" s="59"/>
      <c r="D2256" s="60"/>
      <c r="E2256" s="9">
        <v>1128</v>
      </c>
      <c r="F2256" s="25">
        <v>42972</v>
      </c>
      <c r="G2256" s="61" t="s">
        <v>13</v>
      </c>
      <c r="H2256" s="9"/>
      <c r="I2256" s="8"/>
      <c r="J2256" s="8"/>
      <c r="K2256" s="8"/>
      <c r="L2256" s="8"/>
      <c r="M2256" s="8"/>
    </row>
    <row r="2257" spans="1:13">
      <c r="A2257" s="62" t="s">
        <v>3214</v>
      </c>
      <c r="B2257" s="58">
        <v>15534092807</v>
      </c>
      <c r="C2257" s="63"/>
      <c r="D2257" s="60"/>
      <c r="E2257" s="9">
        <v>1106</v>
      </c>
      <c r="F2257" s="25">
        <v>42965</v>
      </c>
      <c r="G2257" s="61" t="s">
        <v>20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63" t="s">
        <v>3215</v>
      </c>
      <c r="B2258" s="58">
        <v>11207918806</v>
      </c>
      <c r="C2258" s="63"/>
      <c r="D2258" s="60"/>
      <c r="E2258" s="9"/>
      <c r="F2258" s="25"/>
      <c r="G2258" s="61"/>
      <c r="H2258" s="9"/>
      <c r="I2258" s="8"/>
      <c r="J2258" s="8"/>
      <c r="K2258" s="8"/>
      <c r="L2258" s="8"/>
      <c r="M2258" s="8"/>
    </row>
    <row r="2259" spans="1:13">
      <c r="A2259" s="63" t="s">
        <v>3216</v>
      </c>
      <c r="B2259" s="58">
        <v>11533924457</v>
      </c>
      <c r="C2259" s="63"/>
      <c r="D2259" s="60"/>
      <c r="E2259" s="9">
        <v>292</v>
      </c>
      <c r="F2259" s="25">
        <v>43168</v>
      </c>
      <c r="G2259" s="9" t="s">
        <v>13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3217</v>
      </c>
      <c r="B2260" s="58">
        <v>14688456832</v>
      </c>
      <c r="C2260" s="63" t="s">
        <v>3218</v>
      </c>
      <c r="D2260" s="60">
        <v>72202017615</v>
      </c>
      <c r="E2260" s="9"/>
      <c r="F2260" s="25"/>
      <c r="G2260" s="61"/>
      <c r="H2260" s="9"/>
      <c r="I2260" s="8"/>
      <c r="J2260" s="8"/>
      <c r="K2260" s="8"/>
      <c r="L2260" s="8"/>
      <c r="M2260" s="8"/>
    </row>
    <row r="2261" spans="1:13">
      <c r="A2261" s="13" t="s">
        <v>3219</v>
      </c>
      <c r="B2261" s="58">
        <v>25238015828</v>
      </c>
      <c r="C2261" s="59"/>
      <c r="D2261" s="60"/>
      <c r="E2261" s="9">
        <v>1241</v>
      </c>
      <c r="F2261" s="25">
        <v>42992</v>
      </c>
      <c r="G2261" s="61" t="s">
        <v>13</v>
      </c>
      <c r="H2261" s="9"/>
      <c r="I2261" s="8"/>
      <c r="J2261" s="8"/>
      <c r="K2261" s="8"/>
      <c r="L2261" s="8"/>
      <c r="M2261" s="8"/>
    </row>
    <row r="2262" spans="1:13">
      <c r="A2262" s="62" t="s">
        <v>3220</v>
      </c>
      <c r="B2262" s="58">
        <v>21912285851</v>
      </c>
      <c r="C2262" s="63"/>
      <c r="D2262" s="60"/>
      <c r="E2262" s="9">
        <v>292</v>
      </c>
      <c r="F2262" s="25">
        <v>43168</v>
      </c>
      <c r="G2262" s="61" t="s">
        <v>13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3221</v>
      </c>
      <c r="B2263" s="58">
        <v>38726646897</v>
      </c>
      <c r="C2263" s="18" t="s">
        <v>3222</v>
      </c>
      <c r="D2263" s="60">
        <v>37572268870</v>
      </c>
      <c r="E2263" s="9"/>
      <c r="F2263" s="25"/>
      <c r="G2263" s="61"/>
      <c r="H2263" s="9"/>
      <c r="I2263" s="8"/>
      <c r="J2263" s="8"/>
      <c r="K2263" s="8"/>
      <c r="L2263" s="8"/>
      <c r="M2263" s="8"/>
    </row>
    <row r="2264" spans="1:13">
      <c r="A2264" s="27" t="s">
        <v>3223</v>
      </c>
      <c r="B2264" s="58">
        <v>45171952876</v>
      </c>
      <c r="C2264" s="27" t="s">
        <v>3224</v>
      </c>
      <c r="D2264" s="60">
        <v>41262810884</v>
      </c>
      <c r="E2264" s="9"/>
      <c r="F2264" s="25"/>
      <c r="G2264" s="61"/>
      <c r="H2264" s="9"/>
      <c r="I2264" s="8"/>
      <c r="J2264" s="8"/>
      <c r="K2264" s="8"/>
      <c r="L2264" s="8"/>
      <c r="M2264" s="8"/>
    </row>
    <row r="2265" spans="1:13">
      <c r="A2265" s="62" t="s">
        <v>3225</v>
      </c>
      <c r="B2265" s="58">
        <v>34527428810</v>
      </c>
      <c r="C2265" s="63"/>
      <c r="D2265" s="60"/>
      <c r="E2265" s="9">
        <v>292</v>
      </c>
      <c r="F2265" s="25">
        <v>43168</v>
      </c>
      <c r="G2265" s="61" t="s">
        <v>13</v>
      </c>
      <c r="H2265" s="9"/>
      <c r="I2265" s="8"/>
      <c r="J2265" s="8"/>
      <c r="K2265" s="8"/>
      <c r="L2265" s="9">
        <v>318</v>
      </c>
      <c r="M2265" s="8"/>
    </row>
    <row r="2266" spans="1:13">
      <c r="A2266" s="62" t="s">
        <v>3226</v>
      </c>
      <c r="B2266" s="58">
        <v>36695082871</v>
      </c>
      <c r="C2266" s="63" t="s">
        <v>3227</v>
      </c>
      <c r="D2266" s="60">
        <v>36736721857</v>
      </c>
      <c r="E2266" s="9">
        <v>1241</v>
      </c>
      <c r="F2266" s="25">
        <v>42992</v>
      </c>
      <c r="G2266" s="61" t="s">
        <v>13</v>
      </c>
      <c r="H2266" s="9"/>
      <c r="I2266" s="8"/>
      <c r="J2266" s="8"/>
      <c r="K2266" s="8"/>
      <c r="L2266" s="8"/>
      <c r="M2266" s="8"/>
    </row>
    <row r="2267" spans="1:13">
      <c r="A2267" s="13" t="s">
        <v>3228</v>
      </c>
      <c r="B2267" s="58">
        <v>34486403878</v>
      </c>
      <c r="C2267" s="59"/>
      <c r="D2267" s="60"/>
      <c r="E2267" s="9"/>
      <c r="F2267" s="25"/>
      <c r="G2267" s="61"/>
      <c r="H2267" s="9"/>
      <c r="I2267" s="8"/>
      <c r="J2267" s="8"/>
      <c r="K2267" s="8"/>
      <c r="L2267" s="8"/>
      <c r="M2267" s="8"/>
    </row>
    <row r="2268" spans="1:13">
      <c r="A2268" s="62" t="s">
        <v>3229</v>
      </c>
      <c r="B2268" s="58">
        <v>38536260840</v>
      </c>
      <c r="C2268" s="63"/>
      <c r="D2268" s="60"/>
      <c r="E2268" s="9"/>
      <c r="F2268" s="25"/>
      <c r="G2268" s="61"/>
      <c r="H2268" s="9"/>
      <c r="I2268" s="8"/>
      <c r="J2268" s="8"/>
      <c r="K2268" s="8"/>
      <c r="L2268" s="8"/>
      <c r="M2268" s="8"/>
    </row>
    <row r="2269" spans="1:13">
      <c r="A2269" s="62" t="s">
        <v>3230</v>
      </c>
      <c r="B2269" s="58">
        <v>42141950864</v>
      </c>
      <c r="C2269" s="63" t="s">
        <v>3231</v>
      </c>
      <c r="D2269" s="60"/>
      <c r="E2269" s="9">
        <v>1214</v>
      </c>
      <c r="F2269" s="25">
        <v>42989</v>
      </c>
      <c r="G2269" s="61" t="s">
        <v>13</v>
      </c>
      <c r="H2269" s="9"/>
      <c r="I2269" s="8"/>
      <c r="J2269" s="8"/>
      <c r="K2269" s="8"/>
      <c r="L2269" s="8"/>
      <c r="M2269" s="8"/>
    </row>
    <row r="2270" spans="1:13">
      <c r="A2270" s="15" t="s">
        <v>3232</v>
      </c>
      <c r="B2270" s="58">
        <v>47270275858</v>
      </c>
      <c r="C2270" s="63" t="s">
        <v>3233</v>
      </c>
      <c r="D2270" s="60">
        <v>34861975840</v>
      </c>
      <c r="E2270" s="9">
        <v>1824</v>
      </c>
      <c r="F2270" s="25">
        <v>43091</v>
      </c>
      <c r="G2270" s="61" t="s">
        <v>13</v>
      </c>
      <c r="H2270" s="9"/>
      <c r="I2270" s="8"/>
      <c r="J2270" s="8"/>
      <c r="K2270" s="8"/>
      <c r="L2270" s="9">
        <v>1828</v>
      </c>
      <c r="M2270" s="8"/>
    </row>
    <row r="2271" spans="1:13">
      <c r="A2271" s="64" t="s">
        <v>3234</v>
      </c>
      <c r="B2271" s="58">
        <v>25406088840</v>
      </c>
      <c r="C2271" s="63"/>
      <c r="D2271" s="60"/>
      <c r="E2271" s="9">
        <v>117</v>
      </c>
      <c r="F2271" s="25">
        <v>43117</v>
      </c>
      <c r="G2271" s="61" t="s">
        <v>13</v>
      </c>
      <c r="H2271" s="9"/>
      <c r="I2271" s="8"/>
      <c r="J2271" s="8"/>
      <c r="K2271" s="8"/>
      <c r="L2271" s="9" t="s">
        <v>170</v>
      </c>
      <c r="M2271" s="8"/>
    </row>
    <row r="2272" spans="1:13">
      <c r="A2272" s="27" t="s">
        <v>3235</v>
      </c>
      <c r="B2272" s="58">
        <v>22899917838</v>
      </c>
      <c r="C2272" s="18" t="s">
        <v>129</v>
      </c>
      <c r="D2272" s="60"/>
      <c r="E2272" s="9"/>
      <c r="F2272" s="25"/>
      <c r="G2272" s="61"/>
      <c r="H2272" s="9"/>
      <c r="I2272" s="8"/>
      <c r="J2272" s="8"/>
      <c r="K2272" s="8"/>
      <c r="L2272" s="8"/>
      <c r="M2272" s="8"/>
    </row>
    <row r="2273" spans="1:13">
      <c r="A2273" s="27" t="s">
        <v>3236</v>
      </c>
      <c r="B2273" s="58"/>
      <c r="C2273" s="27" t="s">
        <v>129</v>
      </c>
      <c r="D2273" s="60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62" t="s">
        <v>3237</v>
      </c>
      <c r="B2274" s="58">
        <v>45477385804</v>
      </c>
      <c r="C2274" s="63" t="s">
        <v>3238</v>
      </c>
      <c r="D2274" s="60">
        <v>40972166866</v>
      </c>
      <c r="E2274" s="9">
        <v>1417</v>
      </c>
      <c r="F2274" s="25">
        <v>43017</v>
      </c>
      <c r="G2274" s="61" t="s">
        <v>13</v>
      </c>
      <c r="H2274" s="9"/>
      <c r="I2274" s="8"/>
      <c r="J2274" s="8"/>
      <c r="K2274" s="8"/>
      <c r="L2274" s="9" t="s">
        <v>253</v>
      </c>
      <c r="M2274" s="8"/>
    </row>
    <row r="2275" spans="1:13">
      <c r="A2275" s="62" t="s">
        <v>3239</v>
      </c>
      <c r="B2275" s="58">
        <v>34332557840</v>
      </c>
      <c r="C2275" s="63"/>
      <c r="D2275" s="60"/>
      <c r="E2275" s="9">
        <v>1106</v>
      </c>
      <c r="F2275" s="25">
        <v>42965</v>
      </c>
      <c r="G2275" s="61" t="s">
        <v>13</v>
      </c>
      <c r="H2275" s="9"/>
      <c r="I2275" s="8"/>
      <c r="J2275" s="8"/>
      <c r="K2275" s="8"/>
      <c r="L2275" s="8"/>
      <c r="M2275" s="8"/>
    </row>
    <row r="2276" spans="1:13">
      <c r="A2276" s="27" t="s">
        <v>3240</v>
      </c>
      <c r="B2276" s="58"/>
      <c r="C2276" s="27" t="s">
        <v>3241</v>
      </c>
      <c r="D2276" s="60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3242</v>
      </c>
      <c r="B2277" s="58">
        <v>8990461855</v>
      </c>
      <c r="C2277" s="15" t="s">
        <v>3081</v>
      </c>
      <c r="D2277" s="60">
        <v>62239147504</v>
      </c>
      <c r="E2277" s="9"/>
      <c r="F2277" s="25"/>
      <c r="G2277" s="61"/>
      <c r="H2277" s="9"/>
      <c r="I2277" s="8"/>
      <c r="J2277" s="8"/>
      <c r="K2277" s="8"/>
      <c r="L2277" s="8"/>
      <c r="M2277" s="8"/>
    </row>
    <row r="2278" spans="1:13">
      <c r="A2278" s="62" t="s">
        <v>3243</v>
      </c>
      <c r="B2278" s="58">
        <v>38728784847</v>
      </c>
      <c r="C2278" s="63"/>
      <c r="D2278" s="60"/>
      <c r="E2278" s="9"/>
      <c r="F2278" s="25"/>
      <c r="G2278" s="61"/>
      <c r="H2278" s="9"/>
      <c r="I2278" s="8"/>
      <c r="J2278" s="8"/>
      <c r="K2278" s="8"/>
      <c r="L2278" s="8"/>
      <c r="M2278" s="8"/>
    </row>
    <row r="2279" spans="1:13">
      <c r="A2279" s="27" t="s">
        <v>3244</v>
      </c>
      <c r="B2279" s="58"/>
      <c r="C2279" s="27" t="s">
        <v>3245</v>
      </c>
      <c r="D2279" s="60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62" t="s">
        <v>3246</v>
      </c>
      <c r="B2280" s="58">
        <v>16514790895</v>
      </c>
      <c r="C2280" s="63"/>
      <c r="D2280" s="60"/>
      <c r="E2280" s="9">
        <v>1824</v>
      </c>
      <c r="F2280" s="25">
        <v>43091</v>
      </c>
      <c r="G2280" s="61" t="s">
        <v>13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3247</v>
      </c>
      <c r="B2281" s="58">
        <v>38917984827</v>
      </c>
      <c r="C2281" s="63" t="s">
        <v>3248</v>
      </c>
      <c r="D2281" s="60">
        <v>42231603896</v>
      </c>
      <c r="E2281" s="9">
        <v>229</v>
      </c>
      <c r="F2281" s="25">
        <v>43151</v>
      </c>
      <c r="G2281" s="61" t="s">
        <v>13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3249</v>
      </c>
      <c r="B2282" s="58">
        <v>37870673889</v>
      </c>
      <c r="C2282" s="63" t="s">
        <v>3250</v>
      </c>
      <c r="D2282" s="60">
        <v>2786569516</v>
      </c>
      <c r="E2282" s="9">
        <v>262</v>
      </c>
      <c r="F2282" s="25">
        <v>43160</v>
      </c>
      <c r="G2282" s="61" t="s">
        <v>13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3251</v>
      </c>
      <c r="B2283" s="58">
        <v>10441616801</v>
      </c>
      <c r="C2283" s="63" t="s">
        <v>3252</v>
      </c>
      <c r="D2283" s="60">
        <v>25326185822</v>
      </c>
      <c r="E2283" s="9"/>
      <c r="F2283" s="25"/>
      <c r="G2283" s="61"/>
      <c r="H2283" s="9"/>
      <c r="I2283" s="8"/>
      <c r="J2283" s="8"/>
      <c r="K2283" s="8"/>
      <c r="L2283" s="8"/>
      <c r="M2283" s="8"/>
    </row>
    <row r="2284" spans="1:13">
      <c r="A2284" s="28" t="s">
        <v>3253</v>
      </c>
      <c r="B2284" s="58">
        <v>11702039811</v>
      </c>
      <c r="C2284" s="30" t="s">
        <v>3254</v>
      </c>
      <c r="D2284" s="60">
        <v>14689396884</v>
      </c>
      <c r="E2284" s="9">
        <v>1350</v>
      </c>
      <c r="F2284" s="25">
        <v>43006</v>
      </c>
      <c r="G2284" s="61" t="s">
        <v>13</v>
      </c>
      <c r="H2284" s="9"/>
      <c r="I2284" s="8"/>
      <c r="J2284" s="8"/>
      <c r="K2284" s="8"/>
      <c r="L2284" s="8"/>
      <c r="M2284" s="8"/>
    </row>
    <row r="2285" spans="1:13">
      <c r="A2285" s="15" t="s">
        <v>3255</v>
      </c>
      <c r="B2285" s="58">
        <v>7190997652</v>
      </c>
      <c r="C2285" s="63"/>
      <c r="D2285" s="60"/>
      <c r="E2285" s="9">
        <v>229</v>
      </c>
      <c r="F2285" s="25">
        <v>43151</v>
      </c>
      <c r="G2285" s="61" t="s">
        <v>13</v>
      </c>
      <c r="H2285" s="9"/>
      <c r="I2285" s="8"/>
      <c r="J2285" s="8"/>
      <c r="K2285" s="8"/>
      <c r="L2285" s="9">
        <v>232</v>
      </c>
      <c r="M2285" s="8"/>
    </row>
    <row r="2286" spans="1:13">
      <c r="A2286" s="62" t="s">
        <v>3256</v>
      </c>
      <c r="B2286" s="58">
        <v>14806132829</v>
      </c>
      <c r="C2286" s="63"/>
      <c r="D2286" s="60"/>
      <c r="E2286" s="9"/>
      <c r="F2286" s="25"/>
      <c r="G2286" s="61"/>
      <c r="H2286" s="9"/>
      <c r="I2286" s="8"/>
      <c r="J2286" s="8"/>
      <c r="K2286" s="8"/>
      <c r="L2286" s="8"/>
      <c r="M2286" s="8"/>
    </row>
    <row r="2287" spans="1:13">
      <c r="A2287" s="62" t="s">
        <v>3257</v>
      </c>
      <c r="B2287" s="58">
        <v>32370344873</v>
      </c>
      <c r="C2287" s="63"/>
      <c r="D2287" s="60"/>
      <c r="E2287" s="9"/>
      <c r="F2287" s="25"/>
      <c r="G2287" s="61"/>
      <c r="H2287" s="9"/>
      <c r="I2287" s="8"/>
      <c r="J2287" s="8"/>
      <c r="K2287" s="8"/>
      <c r="L2287" s="8"/>
      <c r="M2287" s="8"/>
    </row>
    <row r="2288" spans="1:13">
      <c r="A2288" s="62" t="s">
        <v>3258</v>
      </c>
      <c r="B2288" s="58">
        <v>46959766842</v>
      </c>
      <c r="C2288" s="63" t="s">
        <v>3259</v>
      </c>
      <c r="D2288" s="60">
        <v>40096022876</v>
      </c>
      <c r="E2288" s="9">
        <v>1350</v>
      </c>
      <c r="F2288" s="25">
        <v>43006</v>
      </c>
      <c r="G2288" s="61" t="s">
        <v>13</v>
      </c>
      <c r="H2288" s="9"/>
      <c r="I2288" s="8"/>
      <c r="J2288" s="8"/>
      <c r="K2288" s="8"/>
      <c r="L2288" s="8"/>
      <c r="M2288" s="8"/>
    </row>
    <row r="2289" spans="1:13">
      <c r="A2289" s="62" t="s">
        <v>3260</v>
      </c>
      <c r="B2289" s="58">
        <v>15147799869</v>
      </c>
      <c r="C2289" s="63" t="s">
        <v>3261</v>
      </c>
      <c r="D2289" s="60">
        <v>18304595893</v>
      </c>
      <c r="E2289" s="9">
        <v>1824</v>
      </c>
      <c r="F2289" s="25">
        <v>43091</v>
      </c>
      <c r="G2289" s="61" t="s">
        <v>13</v>
      </c>
      <c r="H2289" s="9"/>
      <c r="I2289" s="8"/>
      <c r="J2289" s="8"/>
      <c r="K2289" s="8"/>
      <c r="L2289" s="9">
        <v>1828</v>
      </c>
      <c r="M2289" s="8"/>
    </row>
    <row r="2290" spans="1:13">
      <c r="A2290" s="62" t="s">
        <v>3262</v>
      </c>
      <c r="B2290" s="58">
        <v>29012884802</v>
      </c>
      <c r="C2290" s="63" t="s">
        <v>3263</v>
      </c>
      <c r="D2290" s="60">
        <v>16761377854</v>
      </c>
      <c r="E2290" s="9">
        <v>85</v>
      </c>
      <c r="F2290" s="25">
        <v>43109</v>
      </c>
      <c r="G2290" s="61" t="s">
        <v>13</v>
      </c>
      <c r="H2290" s="25">
        <v>43151</v>
      </c>
      <c r="I2290" s="8"/>
      <c r="J2290" s="8"/>
      <c r="K2290" s="8"/>
      <c r="L2290" s="8"/>
      <c r="M2290" s="8"/>
    </row>
    <row r="2291" spans="1:13">
      <c r="A2291" s="62" t="s">
        <v>3264</v>
      </c>
      <c r="B2291" s="58">
        <v>13009518854</v>
      </c>
      <c r="C2291" s="63" t="s">
        <v>3265</v>
      </c>
      <c r="D2291" s="60">
        <v>59636467749</v>
      </c>
      <c r="E2291" s="9">
        <v>1267</v>
      </c>
      <c r="F2291" s="25">
        <v>42998</v>
      </c>
      <c r="G2291" s="61" t="s">
        <v>28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62" t="s">
        <v>3266</v>
      </c>
      <c r="B2292" s="58">
        <v>27024611820</v>
      </c>
      <c r="C2292" s="63"/>
      <c r="D2292" s="60"/>
      <c r="E2292" s="9"/>
      <c r="F2292" s="25"/>
      <c r="G2292" s="61"/>
      <c r="H2292" s="9"/>
      <c r="I2292" s="8"/>
      <c r="J2292" s="8"/>
      <c r="K2292" s="8"/>
      <c r="L2292" s="8"/>
      <c r="M2292" s="8"/>
    </row>
    <row r="2293" spans="1:13">
      <c r="A2293" s="15" t="s">
        <v>3267</v>
      </c>
      <c r="B2293" s="58">
        <v>38605259809</v>
      </c>
      <c r="C2293" s="63" t="s">
        <v>3268</v>
      </c>
      <c r="D2293" s="60">
        <v>1090388519</v>
      </c>
      <c r="E2293" s="9">
        <v>117</v>
      </c>
      <c r="F2293" s="25">
        <v>43117</v>
      </c>
      <c r="G2293" s="61" t="s">
        <v>13</v>
      </c>
      <c r="H2293" s="9"/>
      <c r="I2293" s="8"/>
      <c r="J2293" s="8"/>
      <c r="K2293" s="8"/>
      <c r="L2293" s="9" t="s">
        <v>170</v>
      </c>
      <c r="M2293" s="8"/>
    </row>
    <row r="2294" spans="1:13">
      <c r="A2294" s="15" t="s">
        <v>3269</v>
      </c>
      <c r="B2294" s="58">
        <v>9333321810</v>
      </c>
      <c r="C2294" s="63" t="s">
        <v>3270</v>
      </c>
      <c r="D2294" s="60">
        <v>16122645818</v>
      </c>
      <c r="E2294" s="9">
        <v>117</v>
      </c>
      <c r="F2294" s="25">
        <v>43117</v>
      </c>
      <c r="G2294" s="61" t="s">
        <v>13</v>
      </c>
      <c r="H2294" s="9"/>
      <c r="I2294" s="8"/>
      <c r="J2294" s="8"/>
      <c r="K2294" s="8"/>
      <c r="L2294" s="9" t="s">
        <v>170</v>
      </c>
      <c r="M2294" s="8"/>
    </row>
    <row r="2295" spans="1:13">
      <c r="A2295" s="62" t="s">
        <v>3271</v>
      </c>
      <c r="B2295" s="58">
        <v>3941867539</v>
      </c>
      <c r="C2295" s="63"/>
      <c r="D2295" s="60"/>
      <c r="E2295" s="9">
        <v>810</v>
      </c>
      <c r="F2295" s="25">
        <v>42915</v>
      </c>
      <c r="G2295" s="61" t="s">
        <v>13</v>
      </c>
      <c r="H2295" s="9"/>
      <c r="I2295" s="8"/>
      <c r="J2295" s="8"/>
      <c r="K2295" s="8"/>
      <c r="L2295" s="9" t="s">
        <v>138</v>
      </c>
      <c r="M2295" s="8"/>
    </row>
    <row r="2296" spans="1:13">
      <c r="A2296" s="62" t="s">
        <v>3272</v>
      </c>
      <c r="B2296" s="58">
        <v>40786011890</v>
      </c>
      <c r="C2296" s="63"/>
      <c r="D2296" s="60"/>
      <c r="E2296" s="9"/>
      <c r="F2296" s="25"/>
      <c r="G2296" s="61"/>
      <c r="H2296" s="9"/>
      <c r="I2296" s="8"/>
      <c r="J2296" s="8"/>
      <c r="K2296" s="8"/>
      <c r="L2296" s="8"/>
      <c r="M2296" s="8"/>
    </row>
    <row r="2297" spans="1:13">
      <c r="A2297" s="62" t="s">
        <v>3273</v>
      </c>
      <c r="B2297" s="58">
        <v>25852243841</v>
      </c>
      <c r="C2297" s="63"/>
      <c r="D2297" s="60"/>
      <c r="E2297" s="9"/>
      <c r="F2297" s="25"/>
      <c r="G2297" s="61"/>
      <c r="H2297" s="9"/>
      <c r="I2297" s="8"/>
      <c r="J2297" s="8"/>
      <c r="K2297" s="8"/>
      <c r="L2297" s="8"/>
      <c r="M2297" s="8"/>
    </row>
    <row r="2298" spans="1:13">
      <c r="A2298" s="62" t="s">
        <v>3274</v>
      </c>
      <c r="B2298" s="58">
        <v>19586931897</v>
      </c>
      <c r="C2298" s="63"/>
      <c r="D2298" s="60"/>
      <c r="E2298" s="9"/>
      <c r="F2298" s="25"/>
      <c r="G2298" s="61"/>
      <c r="H2298" s="9"/>
      <c r="I2298" s="8"/>
      <c r="J2298" s="8"/>
      <c r="K2298" s="8"/>
      <c r="L2298" s="8"/>
      <c r="M2298" s="8"/>
    </row>
    <row r="2299" spans="1:13">
      <c r="A2299" s="62" t="s">
        <v>3275</v>
      </c>
      <c r="B2299" s="58">
        <v>33116094845</v>
      </c>
      <c r="C2299" s="64"/>
      <c r="D2299" s="60"/>
      <c r="E2299" s="9"/>
      <c r="F2299" s="25"/>
      <c r="G2299" s="61"/>
      <c r="H2299" s="9"/>
      <c r="I2299" s="8"/>
      <c r="J2299" s="8"/>
      <c r="K2299" s="8"/>
      <c r="L2299" s="8"/>
      <c r="M2299" s="8"/>
    </row>
    <row r="2300" spans="1:13">
      <c r="A2300" s="18" t="s">
        <v>3276</v>
      </c>
      <c r="B2300" s="58">
        <v>35810601839</v>
      </c>
      <c r="C2300" s="18" t="s">
        <v>3277</v>
      </c>
      <c r="D2300" s="60">
        <v>17623129805</v>
      </c>
      <c r="E2300" s="9"/>
      <c r="F2300" s="25"/>
      <c r="G2300" s="61"/>
      <c r="H2300" s="9"/>
      <c r="I2300" s="8"/>
      <c r="J2300" s="8"/>
      <c r="K2300" s="8"/>
      <c r="L2300" s="8"/>
      <c r="M2300" s="8"/>
    </row>
    <row r="2301" spans="1:13">
      <c r="A2301" s="62" t="s">
        <v>3278</v>
      </c>
      <c r="B2301" s="58">
        <v>32203433841</v>
      </c>
      <c r="C2301" s="63" t="s">
        <v>3279</v>
      </c>
      <c r="D2301" s="60">
        <v>36256617890</v>
      </c>
      <c r="E2301" s="9">
        <v>810</v>
      </c>
      <c r="F2301" s="25">
        <v>42915</v>
      </c>
      <c r="G2301" s="61" t="s">
        <v>13</v>
      </c>
      <c r="H2301" s="9"/>
      <c r="I2301" s="8"/>
      <c r="J2301" s="8"/>
      <c r="K2301" s="8"/>
      <c r="L2301" s="9" t="s">
        <v>138</v>
      </c>
      <c r="M2301" s="8"/>
    </row>
    <row r="2302" spans="1:13">
      <c r="A2302" s="63" t="s">
        <v>3280</v>
      </c>
      <c r="B2302" s="58">
        <v>29816586894</v>
      </c>
      <c r="C2302" s="63" t="s">
        <v>3281</v>
      </c>
      <c r="D2302" s="60">
        <v>10373683391</v>
      </c>
      <c r="E2302" s="9"/>
      <c r="F2302" s="25"/>
      <c r="G2302" s="61"/>
      <c r="H2302" s="9"/>
      <c r="I2302" s="8"/>
      <c r="J2302" s="8"/>
      <c r="K2302" s="8"/>
      <c r="L2302" s="8"/>
      <c r="M2302" s="8"/>
    </row>
    <row r="2303" spans="1:13">
      <c r="A2303" s="63" t="s">
        <v>3282</v>
      </c>
      <c r="B2303" s="58">
        <v>3087797545</v>
      </c>
      <c r="C2303" s="62" t="s">
        <v>3283</v>
      </c>
      <c r="D2303" s="60">
        <v>35687636803</v>
      </c>
      <c r="E2303" s="9"/>
      <c r="F2303" s="25"/>
      <c r="G2303" s="61"/>
      <c r="H2303" s="9"/>
      <c r="I2303" s="8"/>
      <c r="J2303" s="8"/>
      <c r="K2303" s="8"/>
      <c r="L2303" s="8"/>
      <c r="M2303" s="8"/>
    </row>
    <row r="2304" spans="1:13">
      <c r="A2304" s="18" t="s">
        <v>3284</v>
      </c>
      <c r="B2304" s="58">
        <v>44135110851</v>
      </c>
      <c r="C2304" s="18" t="s">
        <v>3285</v>
      </c>
      <c r="D2304" s="60">
        <v>23917833883</v>
      </c>
      <c r="E2304" s="9"/>
      <c r="F2304" s="25"/>
      <c r="G2304" s="61"/>
      <c r="H2304" s="9"/>
      <c r="I2304" s="8"/>
      <c r="J2304" s="8"/>
      <c r="K2304" s="8"/>
      <c r="L2304" s="8"/>
      <c r="M2304" s="8"/>
    </row>
    <row r="2305" spans="1:13">
      <c r="A2305" s="62" t="s">
        <v>3286</v>
      </c>
      <c r="B2305" s="58">
        <v>48639863865</v>
      </c>
      <c r="C2305" s="63"/>
      <c r="D2305" s="60"/>
      <c r="E2305" s="9">
        <v>1824</v>
      </c>
      <c r="F2305" s="25">
        <v>43091</v>
      </c>
      <c r="G2305" s="61" t="s">
        <v>13</v>
      </c>
      <c r="H2305" s="9"/>
      <c r="I2305" s="8"/>
      <c r="J2305" s="8"/>
      <c r="K2305" s="8"/>
      <c r="L2305" s="9">
        <v>1828</v>
      </c>
      <c r="M2305" s="8"/>
    </row>
    <row r="2306" spans="1:13">
      <c r="A2306" s="62" t="s">
        <v>3287</v>
      </c>
      <c r="B2306" s="58">
        <v>5416929847</v>
      </c>
      <c r="C2306" s="63" t="s">
        <v>3288</v>
      </c>
      <c r="D2306" s="60">
        <v>69220670887</v>
      </c>
      <c r="E2306" s="9">
        <v>292</v>
      </c>
      <c r="F2306" s="25">
        <v>43168</v>
      </c>
      <c r="G2306" s="61" t="s">
        <v>20</v>
      </c>
      <c r="H2306" s="9"/>
      <c r="I2306" s="8"/>
      <c r="J2306" s="8"/>
      <c r="K2306" s="8"/>
      <c r="L2306" s="9">
        <v>318</v>
      </c>
      <c r="M2306" s="8"/>
    </row>
    <row r="2307" spans="1:13">
      <c r="A2307" s="62" t="s">
        <v>3289</v>
      </c>
      <c r="B2307" s="58">
        <v>11462821847</v>
      </c>
      <c r="C2307" s="63"/>
      <c r="D2307" s="60"/>
      <c r="E2307" s="9">
        <v>1350</v>
      </c>
      <c r="F2307" s="25">
        <v>43006</v>
      </c>
      <c r="G2307" s="61" t="s">
        <v>13</v>
      </c>
      <c r="H2307" s="61"/>
      <c r="I2307" s="8"/>
      <c r="J2307" s="8"/>
      <c r="K2307" s="8"/>
      <c r="L2307" s="8"/>
      <c r="M2307" s="8"/>
    </row>
    <row r="2308" spans="1:13">
      <c r="A2308" s="62" t="s">
        <v>3290</v>
      </c>
      <c r="B2308" s="58">
        <v>42985410886</v>
      </c>
      <c r="C2308" s="63"/>
      <c r="D2308" s="60"/>
      <c r="E2308" s="9"/>
      <c r="F2308" s="25"/>
      <c r="G2308" s="61"/>
      <c r="H2308" s="61"/>
      <c r="I2308" s="8"/>
      <c r="J2308" s="8"/>
      <c r="K2308" s="8"/>
      <c r="L2308" s="8"/>
      <c r="M2308" s="8"/>
    </row>
    <row r="2309" spans="1:13">
      <c r="A2309" s="63" t="s">
        <v>3291</v>
      </c>
      <c r="B2309" s="58">
        <v>37840635865</v>
      </c>
      <c r="C2309" s="63"/>
      <c r="D2309" s="60"/>
      <c r="E2309" s="9">
        <v>1417</v>
      </c>
      <c r="F2309" s="25">
        <v>43017</v>
      </c>
      <c r="G2309" s="61" t="s">
        <v>13</v>
      </c>
      <c r="H2309" s="61"/>
      <c r="I2309" s="8"/>
      <c r="J2309" s="8"/>
      <c r="K2309" s="8"/>
      <c r="L2309" s="9" t="s">
        <v>253</v>
      </c>
      <c r="M2309" s="8"/>
    </row>
    <row r="2310" spans="1:13">
      <c r="A2310" s="62" t="s">
        <v>3292</v>
      </c>
      <c r="B2310" s="58">
        <v>2433835500</v>
      </c>
      <c r="C2310" s="63"/>
      <c r="D2310" s="60"/>
      <c r="E2310" s="9">
        <v>1350</v>
      </c>
      <c r="F2310" s="25">
        <v>43006</v>
      </c>
      <c r="G2310" s="61" t="s">
        <v>13</v>
      </c>
      <c r="H2310" s="61"/>
      <c r="I2310" s="8"/>
      <c r="J2310" s="8"/>
      <c r="K2310" s="8"/>
      <c r="L2310" s="8"/>
      <c r="M2310" s="8"/>
    </row>
    <row r="2311" spans="1:13">
      <c r="A2311" s="62" t="s">
        <v>3293</v>
      </c>
      <c r="B2311" s="58">
        <v>29501225828</v>
      </c>
      <c r="C2311" s="63"/>
      <c r="D2311" s="60"/>
      <c r="E2311" s="9"/>
      <c r="F2311" s="25"/>
      <c r="G2311" s="61"/>
      <c r="H2311" s="61"/>
      <c r="I2311" s="8"/>
      <c r="J2311" s="8"/>
      <c r="K2311" s="8"/>
      <c r="L2311" s="8"/>
      <c r="M2311" s="8"/>
    </row>
    <row r="2312" spans="1:13">
      <c r="A2312" s="13" t="s">
        <v>3294</v>
      </c>
      <c r="B2312" s="58">
        <v>34133971841</v>
      </c>
      <c r="C2312" s="59"/>
      <c r="D2312" s="60"/>
      <c r="E2312" s="9">
        <v>1241</v>
      </c>
      <c r="F2312" s="25">
        <v>42992</v>
      </c>
      <c r="G2312" s="61" t="s">
        <v>13</v>
      </c>
      <c r="H2312" s="61"/>
      <c r="I2312" s="8"/>
      <c r="J2312" s="8"/>
      <c r="K2312" s="8"/>
      <c r="L2312" s="8"/>
      <c r="M2312" s="8"/>
    </row>
    <row r="2313" spans="1:13">
      <c r="A2313" s="62" t="s">
        <v>3295</v>
      </c>
      <c r="B2313" s="58">
        <v>32862677833</v>
      </c>
      <c r="C2313" s="63"/>
      <c r="D2313" s="60"/>
      <c r="E2313" s="9">
        <v>292</v>
      </c>
      <c r="F2313" s="25">
        <v>43168</v>
      </c>
      <c r="G2313" s="61" t="s">
        <v>13</v>
      </c>
      <c r="H2313" s="61"/>
      <c r="I2313" s="8"/>
      <c r="J2313" s="8"/>
      <c r="K2313" s="8"/>
      <c r="L2313" s="9">
        <v>318</v>
      </c>
      <c r="M2313" s="8"/>
    </row>
    <row r="2314" spans="1:13">
      <c r="A2314" s="62" t="s">
        <v>3296</v>
      </c>
      <c r="B2314" s="58">
        <v>60363616373</v>
      </c>
      <c r="C2314" s="63" t="s">
        <v>3297</v>
      </c>
      <c r="D2314" s="60">
        <v>569417309</v>
      </c>
      <c r="E2314" s="9"/>
      <c r="F2314" s="25"/>
      <c r="G2314" s="61"/>
      <c r="H2314" s="61"/>
      <c r="I2314" s="8"/>
      <c r="J2314" s="8"/>
      <c r="K2314" s="8"/>
      <c r="L2314" s="8"/>
      <c r="M2314" s="8"/>
    </row>
    <row r="2315" spans="1:13">
      <c r="A2315" s="62" t="s">
        <v>3298</v>
      </c>
      <c r="B2315" s="58">
        <v>34431075836</v>
      </c>
      <c r="C2315" s="63"/>
      <c r="D2315" s="60"/>
      <c r="E2315" s="9">
        <v>1106</v>
      </c>
      <c r="F2315" s="25">
        <v>42965</v>
      </c>
      <c r="G2315" s="61" t="s">
        <v>13</v>
      </c>
      <c r="H2315" s="61"/>
      <c r="I2315" s="8"/>
      <c r="J2315" s="8"/>
      <c r="K2315" s="8"/>
      <c r="L2315" s="8"/>
      <c r="M2315" s="8"/>
    </row>
    <row r="2316" spans="1:13">
      <c r="A2316" s="27" t="s">
        <v>3299</v>
      </c>
      <c r="B2316" s="58">
        <v>6780677833</v>
      </c>
      <c r="C2316" s="27" t="s">
        <v>3300</v>
      </c>
      <c r="D2316" s="60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62" t="s">
        <v>3301</v>
      </c>
      <c r="B2317" s="58">
        <v>43219329802</v>
      </c>
      <c r="C2317" s="63"/>
      <c r="D2317" s="60"/>
      <c r="E2317" s="9">
        <v>527</v>
      </c>
      <c r="F2317" s="25">
        <v>43210</v>
      </c>
      <c r="G2317" s="61"/>
      <c r="H2317" s="61"/>
      <c r="I2317" s="8"/>
      <c r="J2317" s="8"/>
      <c r="K2317" s="8"/>
      <c r="L2317" s="9">
        <v>528</v>
      </c>
      <c r="M2317" s="8"/>
    </row>
    <row r="2318" spans="1:13">
      <c r="A2318" s="27" t="s">
        <v>3302</v>
      </c>
      <c r="B2318" s="58"/>
      <c r="C2318" s="27" t="s">
        <v>129</v>
      </c>
      <c r="D2318" s="60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62" t="s">
        <v>3303</v>
      </c>
      <c r="B2319" s="58">
        <v>32083016858</v>
      </c>
      <c r="C2319" s="63"/>
      <c r="D2319" s="60"/>
      <c r="E2319" s="9"/>
      <c r="F2319" s="25"/>
      <c r="G2319" s="61"/>
      <c r="H2319" s="61"/>
      <c r="I2319" s="8"/>
      <c r="J2319" s="8"/>
      <c r="K2319" s="8"/>
      <c r="L2319" s="8"/>
      <c r="M2319" s="8"/>
    </row>
    <row r="2320" spans="1:13">
      <c r="A2320" s="62" t="s">
        <v>3304</v>
      </c>
      <c r="B2320" s="58">
        <v>38711601809</v>
      </c>
      <c r="C2320" s="63"/>
      <c r="D2320" s="60"/>
      <c r="E2320" s="9"/>
      <c r="F2320" s="25"/>
      <c r="G2320" s="61"/>
      <c r="H2320" s="61"/>
      <c r="I2320" s="8"/>
      <c r="J2320" s="8"/>
      <c r="K2320" s="8"/>
      <c r="L2320" s="8"/>
      <c r="M2320" s="8"/>
    </row>
    <row r="2321" spans="1:13">
      <c r="A2321" s="18" t="s">
        <v>3305</v>
      </c>
      <c r="B2321" s="58"/>
      <c r="C2321" s="18" t="s">
        <v>3306</v>
      </c>
      <c r="D2321" s="60"/>
      <c r="E2321" s="9"/>
      <c r="F2321" s="25"/>
      <c r="G2321" s="61"/>
      <c r="H2321" s="61"/>
      <c r="I2321" s="8"/>
      <c r="J2321" s="8"/>
      <c r="K2321" s="8"/>
      <c r="L2321" s="8"/>
      <c r="M2321" s="8"/>
    </row>
    <row r="2322" spans="1:13">
      <c r="A2322" s="62" t="s">
        <v>3307</v>
      </c>
      <c r="B2322" s="58">
        <v>47104776800</v>
      </c>
      <c r="C2322" s="63" t="s">
        <v>3308</v>
      </c>
      <c r="D2322" s="60">
        <v>29524413833</v>
      </c>
      <c r="E2322" s="9">
        <v>117</v>
      </c>
      <c r="F2322" s="25">
        <v>43117</v>
      </c>
      <c r="G2322" s="61" t="s">
        <v>13</v>
      </c>
      <c r="H2322" s="61"/>
      <c r="I2322" s="8"/>
      <c r="J2322" s="8"/>
      <c r="K2322" s="8"/>
      <c r="L2322" s="9" t="s">
        <v>170</v>
      </c>
      <c r="M2322" s="8"/>
    </row>
    <row r="2323" spans="1:13">
      <c r="A2323" s="62" t="s">
        <v>3309</v>
      </c>
      <c r="B2323" s="58">
        <v>16410348827</v>
      </c>
      <c r="C2323" s="63"/>
      <c r="D2323" s="60"/>
      <c r="E2323" s="9">
        <v>292</v>
      </c>
      <c r="F2323" s="25">
        <v>43168</v>
      </c>
      <c r="G2323" s="61" t="s">
        <v>13</v>
      </c>
      <c r="H2323" s="61"/>
      <c r="I2323" s="8"/>
      <c r="J2323" s="8"/>
      <c r="K2323" s="8"/>
      <c r="L2323" s="9">
        <v>318</v>
      </c>
      <c r="M2323" s="8"/>
    </row>
    <row r="2324" spans="1:13">
      <c r="A2324" s="62" t="s">
        <v>3310</v>
      </c>
      <c r="B2324" s="58">
        <v>7059813470</v>
      </c>
      <c r="C2324" s="63"/>
      <c r="D2324" s="60"/>
      <c r="E2324" s="9">
        <v>292</v>
      </c>
      <c r="F2324" s="25">
        <v>43168</v>
      </c>
      <c r="G2324" s="61" t="s">
        <v>13</v>
      </c>
      <c r="H2324" s="61"/>
      <c r="I2324" s="8"/>
      <c r="J2324" s="8"/>
      <c r="K2324" s="8"/>
      <c r="L2324" s="9">
        <v>318</v>
      </c>
      <c r="M2324" s="8"/>
    </row>
    <row r="2325" spans="1:13">
      <c r="A2325" s="62" t="s">
        <v>3311</v>
      </c>
      <c r="B2325" s="58">
        <v>23413713884</v>
      </c>
      <c r="C2325" s="63"/>
      <c r="D2325" s="60"/>
      <c r="E2325" s="9">
        <v>509</v>
      </c>
      <c r="F2325" s="25">
        <v>43203</v>
      </c>
      <c r="G2325" s="67"/>
      <c r="H2325" s="67">
        <v>43213</v>
      </c>
      <c r="I2325" s="8"/>
      <c r="J2325" s="8"/>
      <c r="K2325" s="8"/>
      <c r="L2325" s="8"/>
      <c r="M2325" s="8"/>
    </row>
    <row r="2326" spans="1:13">
      <c r="A2326" s="27" t="s">
        <v>3312</v>
      </c>
      <c r="B2326" s="58"/>
      <c r="C2326" s="27" t="s">
        <v>3313</v>
      </c>
      <c r="D2326" s="60"/>
      <c r="E2326" s="9"/>
      <c r="F2326" s="25"/>
      <c r="G2326" s="61"/>
      <c r="H2326" s="9"/>
      <c r="I2326" s="8"/>
      <c r="J2326" s="8"/>
      <c r="K2326" s="8"/>
      <c r="L2326" s="8"/>
      <c r="M2326" s="8"/>
    </row>
    <row r="2327" spans="1:13">
      <c r="A2327" s="15" t="s">
        <v>3314</v>
      </c>
      <c r="B2327" s="58">
        <v>43704962848</v>
      </c>
      <c r="C2327" s="63"/>
      <c r="D2327" s="60"/>
      <c r="E2327" s="9">
        <v>117</v>
      </c>
      <c r="F2327" s="25">
        <v>43117</v>
      </c>
      <c r="G2327" s="61" t="s">
        <v>13</v>
      </c>
      <c r="H2327" s="9"/>
      <c r="I2327" s="8"/>
      <c r="J2327" s="8"/>
      <c r="K2327" s="8"/>
      <c r="L2327" s="9" t="s">
        <v>170</v>
      </c>
      <c r="M2327" s="8"/>
    </row>
    <row r="2328" spans="1:13">
      <c r="A2328" s="62" t="s">
        <v>3315</v>
      </c>
      <c r="B2328" s="58">
        <v>37815273874</v>
      </c>
      <c r="C2328" s="64"/>
      <c r="D2328" s="60"/>
      <c r="E2328" s="9">
        <v>573</v>
      </c>
      <c r="F2328" s="25">
        <v>43224</v>
      </c>
      <c r="G2328" s="61"/>
      <c r="H2328" s="9"/>
      <c r="I2328" s="8"/>
      <c r="J2328" s="8"/>
      <c r="K2328" s="8"/>
      <c r="L2328" s="8"/>
      <c r="M2328" s="8"/>
    </row>
    <row r="2329" spans="1:13">
      <c r="A2329" s="18" t="s">
        <v>3316</v>
      </c>
      <c r="B2329" s="58">
        <v>41731612800</v>
      </c>
      <c r="C2329" s="18"/>
      <c r="D2329" s="60"/>
      <c r="E2329" s="9"/>
      <c r="F2329" s="25"/>
      <c r="G2329" s="61"/>
      <c r="H2329" s="9"/>
      <c r="I2329" s="8"/>
      <c r="J2329" s="8"/>
      <c r="K2329" s="8"/>
      <c r="L2329" s="8"/>
      <c r="M2329" s="8"/>
    </row>
    <row r="2330" spans="1:13">
      <c r="A2330" s="15" t="s">
        <v>3317</v>
      </c>
      <c r="B2330" s="58">
        <v>44920823878</v>
      </c>
      <c r="C2330" s="63" t="s">
        <v>3318</v>
      </c>
      <c r="D2330" s="60">
        <v>45137930822</v>
      </c>
      <c r="E2330" s="9"/>
      <c r="F2330" s="25"/>
      <c r="G2330" s="61"/>
      <c r="H2330" s="9"/>
      <c r="I2330" s="8"/>
      <c r="J2330" s="8"/>
      <c r="K2330" s="8"/>
      <c r="L2330" s="8"/>
      <c r="M2330" s="8"/>
    </row>
    <row r="2331" spans="1:13">
      <c r="A2331" s="62" t="s">
        <v>3319</v>
      </c>
      <c r="B2331" s="58">
        <v>41236843860</v>
      </c>
      <c r="C2331" s="63"/>
      <c r="D2331" s="60"/>
      <c r="E2331" s="9"/>
      <c r="F2331" s="25"/>
      <c r="G2331" s="61"/>
      <c r="H2331" s="9"/>
      <c r="I2331" s="8"/>
      <c r="J2331" s="8"/>
      <c r="K2331" s="8"/>
      <c r="L2331" s="8"/>
      <c r="M2331" s="8"/>
    </row>
    <row r="2332" spans="1:13">
      <c r="A2332" s="62" t="s">
        <v>3320</v>
      </c>
      <c r="B2332" s="58">
        <v>27702750898</v>
      </c>
      <c r="C2332" s="63"/>
      <c r="D2332" s="60"/>
      <c r="E2332" s="9">
        <v>573</v>
      </c>
      <c r="F2332" s="25">
        <v>43224</v>
      </c>
      <c r="G2332" s="61"/>
      <c r="H2332" s="9"/>
      <c r="I2332" s="8"/>
      <c r="J2332" s="8"/>
      <c r="K2332" s="8"/>
      <c r="L2332" s="8"/>
      <c r="M2332" s="8"/>
    </row>
    <row r="2333" spans="1:13">
      <c r="A2333" s="62" t="s">
        <v>3321</v>
      </c>
      <c r="B2333" s="58">
        <v>8665698809</v>
      </c>
      <c r="C2333" s="63" t="s">
        <v>3322</v>
      </c>
      <c r="D2333" s="60">
        <v>5355408842</v>
      </c>
      <c r="E2333" s="9">
        <v>485</v>
      </c>
      <c r="F2333" s="25">
        <v>43196</v>
      </c>
      <c r="G2333" s="61"/>
      <c r="H2333" s="9"/>
      <c r="I2333" s="8"/>
      <c r="J2333" s="8"/>
      <c r="K2333" s="8"/>
      <c r="L2333" s="9">
        <v>483</v>
      </c>
      <c r="M2333" s="8"/>
    </row>
    <row r="2334" spans="1:13">
      <c r="A2334" s="62" t="s">
        <v>3323</v>
      </c>
      <c r="B2334" s="58">
        <v>47346205553</v>
      </c>
      <c r="C2334" s="63"/>
      <c r="D2334" s="60"/>
      <c r="E2334" s="9">
        <v>262</v>
      </c>
      <c r="F2334" s="25">
        <v>43160</v>
      </c>
      <c r="G2334" s="9" t="s">
        <v>13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3324</v>
      </c>
      <c r="B2335" s="58">
        <v>41156243882</v>
      </c>
      <c r="C2335" s="63"/>
      <c r="D2335" s="60"/>
      <c r="E2335" s="9"/>
      <c r="F2335" s="25"/>
      <c r="G2335" s="61"/>
      <c r="H2335" s="9"/>
      <c r="I2335" s="8"/>
      <c r="J2335" s="8"/>
      <c r="K2335" s="8"/>
      <c r="L2335" s="8"/>
      <c r="M2335" s="8"/>
    </row>
    <row r="2336" spans="1:13">
      <c r="A2336" s="62" t="s">
        <v>3325</v>
      </c>
      <c r="B2336" s="58">
        <v>37383675860</v>
      </c>
      <c r="C2336" s="63" t="s">
        <v>3326</v>
      </c>
      <c r="D2336" s="60">
        <v>37457320814</v>
      </c>
      <c r="E2336" s="9">
        <v>1824</v>
      </c>
      <c r="F2336" s="25">
        <v>43091</v>
      </c>
      <c r="G2336" s="61" t="s">
        <v>13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3327</v>
      </c>
      <c r="B2337" s="58">
        <v>36559837866</v>
      </c>
      <c r="C2337" s="63"/>
      <c r="D2337" s="60"/>
      <c r="E2337" s="9">
        <v>229</v>
      </c>
      <c r="F2337" s="25">
        <v>43151</v>
      </c>
      <c r="G2337" s="61" t="s">
        <v>13</v>
      </c>
      <c r="H2337" s="9"/>
      <c r="I2337" s="8"/>
      <c r="J2337" s="8"/>
      <c r="K2337" s="8"/>
      <c r="L2337" s="9">
        <v>232</v>
      </c>
      <c r="M2337" s="8"/>
    </row>
    <row r="2338" spans="1:13">
      <c r="A2338" s="62" t="s">
        <v>3328</v>
      </c>
      <c r="B2338" s="58">
        <v>41800891814</v>
      </c>
      <c r="C2338" s="63"/>
      <c r="D2338" s="60"/>
      <c r="E2338" s="9">
        <v>1752</v>
      </c>
      <c r="F2338" s="25">
        <v>43051</v>
      </c>
      <c r="G2338" s="61" t="s">
        <v>13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3329</v>
      </c>
      <c r="B2339" s="58">
        <v>5092648830</v>
      </c>
      <c r="C2339" s="18"/>
      <c r="D2339" s="60"/>
      <c r="E2339" s="9"/>
      <c r="F2339" s="25"/>
      <c r="G2339" s="61"/>
      <c r="H2339" s="9"/>
      <c r="I2339" s="8"/>
      <c r="J2339" s="8"/>
      <c r="K2339" s="8"/>
      <c r="L2339" s="8"/>
      <c r="M2339" s="8"/>
    </row>
    <row r="2340" spans="1:13">
      <c r="A2340" s="27" t="s">
        <v>3330</v>
      </c>
      <c r="B2340" s="58"/>
      <c r="C2340" s="18"/>
      <c r="D2340" s="60"/>
      <c r="E2340" s="9"/>
      <c r="F2340" s="25"/>
      <c r="G2340" s="61"/>
      <c r="H2340" s="9"/>
      <c r="I2340" s="8"/>
      <c r="J2340" s="8"/>
      <c r="K2340" s="8"/>
      <c r="L2340" s="8"/>
      <c r="M2340" s="8"/>
    </row>
    <row r="2341" spans="1:13">
      <c r="A2341" s="63" t="s">
        <v>3331</v>
      </c>
      <c r="B2341" s="58">
        <v>36394093882</v>
      </c>
      <c r="C2341" s="63" t="s">
        <v>3332</v>
      </c>
      <c r="D2341" s="60">
        <v>57069875568</v>
      </c>
      <c r="E2341" s="9"/>
      <c r="F2341" s="25"/>
      <c r="G2341" s="61"/>
      <c r="H2341" s="9"/>
      <c r="I2341" s="8"/>
      <c r="J2341" s="8"/>
      <c r="K2341" s="8"/>
      <c r="L2341" s="8"/>
      <c r="M2341" s="8"/>
    </row>
    <row r="2342" spans="1:13">
      <c r="A2342" s="70" t="s">
        <v>3333</v>
      </c>
      <c r="B2342" s="71">
        <v>38327155687</v>
      </c>
      <c r="C2342" s="72" t="s">
        <v>3334</v>
      </c>
      <c r="D2342" s="73">
        <v>20534089879</v>
      </c>
      <c r="E2342" s="45">
        <v>1824</v>
      </c>
      <c r="F2342" s="46">
        <v>43091</v>
      </c>
      <c r="G2342" s="74" t="s">
        <v>28</v>
      </c>
      <c r="H2342" s="45"/>
      <c r="I2342" s="47"/>
      <c r="J2342" s="47"/>
      <c r="K2342" s="47"/>
      <c r="L2342" s="9">
        <v>1828</v>
      </c>
      <c r="M2342" s="47"/>
    </row>
    <row r="2343" spans="1:13">
      <c r="A2343" s="62" t="s">
        <v>3335</v>
      </c>
      <c r="B2343" s="58">
        <v>36553625875</v>
      </c>
      <c r="C2343" s="63" t="s">
        <v>3336</v>
      </c>
      <c r="D2343" s="60">
        <v>34615418850</v>
      </c>
      <c r="E2343" s="9">
        <v>608</v>
      </c>
      <c r="F2343" s="25">
        <v>43012</v>
      </c>
      <c r="G2343" s="61" t="s">
        <v>13</v>
      </c>
      <c r="H2343" s="9"/>
      <c r="I2343" s="8"/>
      <c r="J2343" s="8"/>
      <c r="K2343" s="8"/>
      <c r="L2343" s="8"/>
      <c r="M2343" s="8"/>
    </row>
    <row r="2344" spans="1:13">
      <c r="A2344" s="62" t="s">
        <v>3337</v>
      </c>
      <c r="B2344" s="58">
        <v>10307625893</v>
      </c>
      <c r="C2344" s="63"/>
      <c r="D2344" s="60"/>
      <c r="E2344" s="9">
        <v>1752</v>
      </c>
      <c r="F2344" s="25">
        <v>43051</v>
      </c>
      <c r="G2344" s="61" t="s">
        <v>13</v>
      </c>
      <c r="H2344" s="9"/>
      <c r="I2344" s="8"/>
      <c r="J2344" s="8"/>
      <c r="K2344" s="8"/>
      <c r="L2344" s="9">
        <v>1759</v>
      </c>
      <c r="M2344" s="8"/>
    </row>
    <row r="2345" spans="1:13">
      <c r="A2345" s="62" t="s">
        <v>3338</v>
      </c>
      <c r="B2345" s="58">
        <v>1284783499</v>
      </c>
      <c r="C2345" s="63"/>
      <c r="D2345" s="60"/>
      <c r="E2345" s="9">
        <v>810</v>
      </c>
      <c r="F2345" s="25">
        <v>42915</v>
      </c>
      <c r="G2345" s="61" t="s">
        <v>13</v>
      </c>
      <c r="H2345" s="9"/>
      <c r="I2345" s="8"/>
      <c r="J2345" s="8"/>
      <c r="K2345" s="8"/>
      <c r="L2345" s="9" t="s">
        <v>138</v>
      </c>
      <c r="M2345" s="8"/>
    </row>
    <row r="2346" spans="1:13">
      <c r="A2346" s="13" t="s">
        <v>3339</v>
      </c>
      <c r="B2346" s="58">
        <v>28301601850</v>
      </c>
      <c r="C2346" s="59"/>
      <c r="D2346" s="60"/>
      <c r="E2346" s="9">
        <v>1489</v>
      </c>
      <c r="F2346" s="25">
        <v>43038</v>
      </c>
      <c r="G2346" s="61" t="s">
        <v>13</v>
      </c>
      <c r="H2346" s="9"/>
      <c r="I2346" s="8"/>
      <c r="J2346" s="8"/>
      <c r="K2346" s="8"/>
      <c r="L2346" s="9" t="s">
        <v>160</v>
      </c>
      <c r="M2346" s="8"/>
    </row>
    <row r="2347" spans="1:13">
      <c r="A2347" s="62" t="s">
        <v>3340</v>
      </c>
      <c r="B2347" s="58">
        <v>28705745845</v>
      </c>
      <c r="C2347" s="63"/>
      <c r="D2347" s="60"/>
      <c r="E2347" s="9"/>
      <c r="F2347" s="25"/>
      <c r="G2347" s="61"/>
      <c r="H2347" s="9"/>
      <c r="I2347" s="8"/>
      <c r="J2347" s="8"/>
      <c r="K2347" s="8"/>
      <c r="L2347" s="8"/>
      <c r="M2347" s="8"/>
    </row>
    <row r="2348" spans="1:13" ht="13.5" customHeight="1">
      <c r="A2348" s="62" t="s">
        <v>3341</v>
      </c>
      <c r="B2348" s="58">
        <v>8306544889</v>
      </c>
      <c r="C2348" s="63"/>
      <c r="D2348" s="60"/>
      <c r="E2348" s="9">
        <v>262</v>
      </c>
      <c r="F2348" s="25">
        <v>43160</v>
      </c>
      <c r="G2348" s="61" t="s">
        <v>13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3342</v>
      </c>
      <c r="B2349" s="58">
        <v>23450608835</v>
      </c>
      <c r="C2349" s="63"/>
      <c r="D2349" s="60"/>
      <c r="E2349" s="9">
        <v>229</v>
      </c>
      <c r="F2349" s="25">
        <v>43151</v>
      </c>
      <c r="G2349" s="61" t="s">
        <v>13</v>
      </c>
      <c r="H2349" s="9"/>
      <c r="I2349" s="8"/>
      <c r="J2349" s="8"/>
      <c r="K2349" s="8"/>
      <c r="L2349" s="9">
        <v>232</v>
      </c>
      <c r="M2349" s="8"/>
    </row>
    <row r="2350" spans="1:13">
      <c r="A2350" s="62" t="s">
        <v>3343</v>
      </c>
      <c r="B2350" s="58">
        <v>28282406813</v>
      </c>
      <c r="C2350" s="63"/>
      <c r="D2350" s="60"/>
      <c r="E2350" s="9">
        <v>1470</v>
      </c>
      <c r="F2350" s="25">
        <v>43031</v>
      </c>
      <c r="G2350" s="61" t="s">
        <v>13</v>
      </c>
      <c r="H2350" s="9"/>
      <c r="I2350" s="8"/>
      <c r="J2350" s="8"/>
      <c r="K2350" s="8"/>
      <c r="L2350" s="8"/>
      <c r="M2350" s="8"/>
    </row>
    <row r="2351" spans="1:13">
      <c r="A2351" s="14" t="s">
        <v>3344</v>
      </c>
      <c r="B2351" s="58">
        <v>25324930890</v>
      </c>
      <c r="C2351" s="63"/>
      <c r="D2351" s="60"/>
      <c r="E2351" s="9">
        <v>292</v>
      </c>
      <c r="F2351" s="25">
        <v>43168</v>
      </c>
      <c r="G2351" s="61" t="s">
        <v>13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3345</v>
      </c>
      <c r="B2352" s="58">
        <v>5141089835</v>
      </c>
      <c r="C2352" s="18"/>
      <c r="D2352" s="60"/>
      <c r="E2352" s="9"/>
      <c r="F2352" s="25"/>
      <c r="G2352" s="61"/>
      <c r="H2352" s="9"/>
      <c r="I2352" s="8"/>
      <c r="J2352" s="8"/>
      <c r="K2352" s="8"/>
      <c r="L2352" s="8"/>
      <c r="M2352" s="8"/>
    </row>
    <row r="2353" spans="1:13">
      <c r="A2353" s="62" t="s">
        <v>3346</v>
      </c>
      <c r="B2353" s="58">
        <v>2267811863</v>
      </c>
      <c r="C2353" s="59" t="s">
        <v>3347</v>
      </c>
      <c r="D2353" s="60"/>
      <c r="E2353" s="9"/>
      <c r="F2353" s="25"/>
      <c r="G2353" s="61"/>
      <c r="H2353" s="9"/>
      <c r="I2353" s="8"/>
      <c r="J2353" s="8"/>
      <c r="K2353" s="8"/>
      <c r="L2353" s="8"/>
      <c r="M2353" s="8"/>
    </row>
    <row r="2354" spans="1:13">
      <c r="A2354" s="14" t="s">
        <v>3348</v>
      </c>
      <c r="B2354" s="58">
        <v>4640546726</v>
      </c>
      <c r="C2354" s="63" t="s">
        <v>3349</v>
      </c>
      <c r="D2354" s="60">
        <v>72849215791</v>
      </c>
      <c r="E2354" s="9">
        <v>262</v>
      </c>
      <c r="F2354" s="25">
        <v>43160</v>
      </c>
      <c r="G2354" s="61" t="s">
        <v>13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7" t="s">
        <v>3350</v>
      </c>
      <c r="B2355" s="58">
        <v>11862093806</v>
      </c>
      <c r="C2355" s="18" t="s">
        <v>129</v>
      </c>
      <c r="D2355" s="60"/>
      <c r="E2355" s="9"/>
      <c r="F2355" s="25"/>
      <c r="G2355" s="61"/>
      <c r="H2355" s="9"/>
      <c r="I2355" s="8"/>
      <c r="J2355" s="8"/>
      <c r="K2355" s="8"/>
      <c r="L2355" s="8"/>
      <c r="M2355" s="8"/>
    </row>
    <row r="2356" spans="1:13">
      <c r="A2356" s="62" t="s">
        <v>3351</v>
      </c>
      <c r="B2356" s="58">
        <v>16945365808</v>
      </c>
      <c r="C2356" s="63"/>
      <c r="D2356" s="60"/>
      <c r="E2356" s="9">
        <v>292</v>
      </c>
      <c r="F2356" s="25">
        <v>43168</v>
      </c>
      <c r="G2356" s="61" t="s">
        <v>13</v>
      </c>
      <c r="H2356" s="9"/>
      <c r="I2356" s="8"/>
      <c r="J2356" s="8"/>
      <c r="K2356" s="8"/>
      <c r="L2356" s="9">
        <v>318</v>
      </c>
      <c r="M2356" s="8"/>
    </row>
    <row r="2357" spans="1:13">
      <c r="A2357" s="62" t="s">
        <v>3352</v>
      </c>
      <c r="B2357" s="58">
        <v>14330845890</v>
      </c>
      <c r="C2357" s="63"/>
      <c r="D2357" s="60"/>
      <c r="E2357" s="9">
        <v>262</v>
      </c>
      <c r="F2357" s="25">
        <v>43160</v>
      </c>
      <c r="G2357" s="61" t="s">
        <v>13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62" t="s">
        <v>3353</v>
      </c>
      <c r="B2358" s="58">
        <v>12983214842</v>
      </c>
      <c r="C2358" s="63" t="s">
        <v>3354</v>
      </c>
      <c r="D2358" s="60">
        <v>33776403802</v>
      </c>
      <c r="E2358" s="9">
        <v>85</v>
      </c>
      <c r="F2358" s="25">
        <v>43109</v>
      </c>
      <c r="G2358" s="61" t="s">
        <v>13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3355</v>
      </c>
      <c r="B2359" s="58">
        <v>3343521507</v>
      </c>
      <c r="C2359" s="15" t="s">
        <v>3356</v>
      </c>
      <c r="D2359" s="60">
        <v>42021841812</v>
      </c>
      <c r="E2359" s="9"/>
      <c r="F2359" s="25"/>
      <c r="G2359" s="61"/>
      <c r="H2359" s="9"/>
      <c r="I2359" s="8"/>
      <c r="J2359" s="8"/>
      <c r="K2359" s="8"/>
      <c r="L2359" s="8"/>
      <c r="M2359" s="8"/>
    </row>
    <row r="2360" spans="1:13">
      <c r="A2360" s="64" t="s">
        <v>3357</v>
      </c>
      <c r="B2360" s="58">
        <v>41812689500</v>
      </c>
      <c r="C2360" s="63" t="s">
        <v>3358</v>
      </c>
      <c r="D2360" s="60">
        <v>14037047837</v>
      </c>
      <c r="E2360" s="9">
        <v>1106</v>
      </c>
      <c r="F2360" s="25">
        <v>42965</v>
      </c>
      <c r="G2360" s="61" t="s">
        <v>13</v>
      </c>
      <c r="H2360" s="9"/>
      <c r="I2360" s="8"/>
      <c r="J2360" s="8"/>
      <c r="K2360" s="8"/>
      <c r="L2360" s="8"/>
      <c r="M2360" s="8"/>
    </row>
    <row r="2361" spans="1:13">
      <c r="A2361" s="62" t="s">
        <v>3359</v>
      </c>
      <c r="B2361" s="58">
        <v>33954116804</v>
      </c>
      <c r="C2361" s="63"/>
      <c r="D2361" s="60"/>
      <c r="E2361" s="9">
        <v>527</v>
      </c>
      <c r="F2361" s="25">
        <v>43210</v>
      </c>
      <c r="G2361" s="61"/>
      <c r="H2361" s="9"/>
      <c r="I2361" s="8"/>
      <c r="J2361" s="8"/>
      <c r="K2361" s="8"/>
      <c r="L2361" s="9">
        <v>528</v>
      </c>
      <c r="M2361" s="8"/>
    </row>
    <row r="2362" spans="1:13">
      <c r="A2362" s="62" t="s">
        <v>3360</v>
      </c>
      <c r="B2362" s="58">
        <v>17529253867</v>
      </c>
      <c r="C2362" s="63"/>
      <c r="D2362" s="60"/>
      <c r="E2362" s="9">
        <v>810</v>
      </c>
      <c r="F2362" s="25">
        <v>42915</v>
      </c>
      <c r="G2362" s="61" t="s">
        <v>13</v>
      </c>
      <c r="H2362" s="9"/>
      <c r="I2362" s="8"/>
      <c r="J2362" s="8"/>
      <c r="K2362" s="8"/>
      <c r="L2362" s="9" t="s">
        <v>138</v>
      </c>
      <c r="M2362" s="8"/>
    </row>
    <row r="2363" spans="1:13">
      <c r="A2363" s="62" t="s">
        <v>3361</v>
      </c>
      <c r="B2363" s="58">
        <v>80505597691</v>
      </c>
      <c r="C2363" s="63"/>
      <c r="D2363" s="60"/>
      <c r="E2363" s="9"/>
      <c r="F2363" s="25"/>
      <c r="G2363" s="61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3362</v>
      </c>
      <c r="B2364" s="58">
        <v>45479391879</v>
      </c>
      <c r="C2364" s="28" t="s">
        <v>3363</v>
      </c>
      <c r="D2364" s="58">
        <v>35624185820</v>
      </c>
      <c r="E2364" s="9">
        <v>1350</v>
      </c>
      <c r="F2364" s="25">
        <v>43006</v>
      </c>
      <c r="G2364" s="61" t="s">
        <v>13</v>
      </c>
      <c r="H2364" s="9"/>
      <c r="I2364" s="8"/>
      <c r="J2364" s="8"/>
      <c r="K2364" s="8"/>
      <c r="L2364" s="8"/>
      <c r="M2364" s="8"/>
    </row>
    <row r="2365" spans="1:13" ht="15" customHeight="1">
      <c r="A2365" s="66" t="s">
        <v>3364</v>
      </c>
      <c r="B2365" s="58">
        <v>30625026810</v>
      </c>
      <c r="C2365" s="63"/>
      <c r="D2365" s="60"/>
      <c r="E2365" s="9">
        <v>1439</v>
      </c>
      <c r="F2365" s="25">
        <v>43025</v>
      </c>
      <c r="G2365" s="61" t="s">
        <v>28</v>
      </c>
      <c r="H2365" s="9"/>
      <c r="I2365" s="8"/>
      <c r="J2365" s="8"/>
      <c r="K2365" s="8"/>
      <c r="L2365" s="9" t="s">
        <v>502</v>
      </c>
      <c r="M2365" s="8"/>
    </row>
    <row r="2366" spans="1:13">
      <c r="A2366" s="15" t="s">
        <v>3365</v>
      </c>
      <c r="B2366" s="58">
        <v>33701405867</v>
      </c>
      <c r="C2366" s="63"/>
      <c r="D2366" s="60"/>
      <c r="E2366" s="9">
        <v>85</v>
      </c>
      <c r="F2366" s="25">
        <v>43109</v>
      </c>
      <c r="G2366" s="61" t="s">
        <v>13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3366</v>
      </c>
      <c r="B2367" s="58">
        <v>32275575847</v>
      </c>
      <c r="C2367" s="18"/>
      <c r="D2367" s="60"/>
      <c r="E2367" s="9"/>
      <c r="F2367" s="25"/>
      <c r="G2367" s="61"/>
      <c r="H2367" s="9"/>
      <c r="I2367" s="8"/>
      <c r="J2367" s="8"/>
      <c r="K2367" s="8"/>
      <c r="L2367" s="8"/>
      <c r="M2367" s="8"/>
    </row>
    <row r="2368" spans="1:13">
      <c r="A2368" s="15" t="s">
        <v>3367</v>
      </c>
      <c r="B2368" s="58">
        <v>25737671836</v>
      </c>
      <c r="C2368" s="63"/>
      <c r="D2368" s="60"/>
      <c r="E2368" s="9">
        <v>573</v>
      </c>
      <c r="F2368" s="25">
        <v>43224</v>
      </c>
      <c r="G2368" s="61"/>
      <c r="H2368" s="9"/>
      <c r="I2368" s="8"/>
      <c r="J2368" s="8"/>
      <c r="K2368" s="8"/>
      <c r="L2368" s="8"/>
      <c r="M2368" s="8"/>
    </row>
    <row r="2369" spans="1:13">
      <c r="A2369" s="62" t="s">
        <v>3368</v>
      </c>
      <c r="B2369" s="58">
        <v>36159577840</v>
      </c>
      <c r="C2369" s="63" t="s">
        <v>3369</v>
      </c>
      <c r="D2369" s="60">
        <v>19181887850</v>
      </c>
      <c r="E2369" s="9"/>
      <c r="F2369" s="25"/>
      <c r="G2369" s="61"/>
      <c r="H2369" s="9"/>
      <c r="I2369" s="8"/>
      <c r="J2369" s="8"/>
      <c r="K2369" s="8"/>
      <c r="L2369" s="8"/>
      <c r="M2369" s="8"/>
    </row>
    <row r="2370" spans="1:13">
      <c r="A2370" s="63" t="s">
        <v>3370</v>
      </c>
      <c r="B2370" s="58">
        <v>39308828842</v>
      </c>
      <c r="C2370" s="63" t="s">
        <v>3371</v>
      </c>
      <c r="D2370" s="60">
        <v>32505241821</v>
      </c>
      <c r="E2370" s="9"/>
      <c r="F2370" s="25"/>
      <c r="G2370" s="61"/>
      <c r="H2370" s="9"/>
      <c r="I2370" s="8"/>
      <c r="J2370" s="8"/>
      <c r="K2370" s="8"/>
      <c r="L2370" s="8"/>
      <c r="M2370" s="8"/>
    </row>
    <row r="2371" spans="1:13">
      <c r="A2371" s="27" t="s">
        <v>3372</v>
      </c>
      <c r="B2371" s="58">
        <v>6619801897</v>
      </c>
      <c r="C2371" s="27" t="s">
        <v>3373</v>
      </c>
      <c r="D2371" s="60">
        <v>6619802869</v>
      </c>
      <c r="E2371" s="9"/>
      <c r="F2371" s="25"/>
      <c r="G2371" s="61"/>
      <c r="H2371" s="9"/>
      <c r="I2371" s="8"/>
      <c r="J2371" s="8"/>
      <c r="K2371" s="8"/>
      <c r="L2371" s="8"/>
      <c r="M2371" s="8"/>
    </row>
    <row r="2372" spans="1:13">
      <c r="A2372" s="62" t="s">
        <v>3374</v>
      </c>
      <c r="B2372" s="58">
        <v>25610478812</v>
      </c>
      <c r="C2372" s="63"/>
      <c r="D2372" s="60"/>
      <c r="E2372" s="9"/>
      <c r="F2372" s="25"/>
      <c r="G2372" s="61"/>
      <c r="H2372" s="9"/>
      <c r="I2372" s="8"/>
      <c r="J2372" s="8"/>
      <c r="K2372" s="8"/>
      <c r="L2372" s="8"/>
      <c r="M2372" s="8"/>
    </row>
    <row r="2373" spans="1:13">
      <c r="A2373" s="62" t="s">
        <v>3375</v>
      </c>
      <c r="B2373" s="58">
        <v>14268250808</v>
      </c>
      <c r="C2373" s="63"/>
      <c r="D2373" s="60"/>
      <c r="E2373" s="9">
        <v>292</v>
      </c>
      <c r="F2373" s="25">
        <v>43168</v>
      </c>
      <c r="G2373" s="9" t="s">
        <v>13</v>
      </c>
      <c r="H2373" s="9"/>
      <c r="I2373" s="8"/>
      <c r="J2373" s="8"/>
      <c r="K2373" s="8"/>
      <c r="L2373" s="9">
        <v>318</v>
      </c>
      <c r="M2373" s="8"/>
    </row>
    <row r="2374" spans="1:13">
      <c r="A2374" s="62" t="s">
        <v>3376</v>
      </c>
      <c r="B2374" s="58">
        <v>36138056850</v>
      </c>
      <c r="C2374" s="63" t="s">
        <v>3377</v>
      </c>
      <c r="D2374" s="60">
        <v>56721897504</v>
      </c>
      <c r="E2374" s="9">
        <v>262</v>
      </c>
      <c r="F2374" s="25">
        <v>43160</v>
      </c>
      <c r="G2374" s="61" t="s">
        <v>13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62" t="s">
        <v>3378</v>
      </c>
      <c r="B2375" s="58">
        <v>22365509878</v>
      </c>
      <c r="C2375" s="63" t="s">
        <v>3379</v>
      </c>
      <c r="D2375" s="60">
        <v>9353681839</v>
      </c>
      <c r="E2375" s="9">
        <v>810</v>
      </c>
      <c r="F2375" s="25">
        <v>42915</v>
      </c>
      <c r="G2375" s="61" t="s">
        <v>13</v>
      </c>
      <c r="H2375" s="9"/>
      <c r="I2375" s="8"/>
      <c r="J2375" s="8"/>
      <c r="K2375" s="8"/>
      <c r="L2375" s="9" t="s">
        <v>138</v>
      </c>
      <c r="M2375" s="8"/>
    </row>
    <row r="2376" spans="1:13">
      <c r="A2376" s="63" t="s">
        <v>3380</v>
      </c>
      <c r="B2376" s="58">
        <v>18474192838</v>
      </c>
      <c r="C2376" s="63"/>
      <c r="D2376" s="60"/>
      <c r="E2376" s="9"/>
      <c r="F2376" s="25"/>
      <c r="G2376" s="61"/>
      <c r="H2376" s="9"/>
      <c r="I2376" s="8"/>
      <c r="J2376" s="8"/>
      <c r="K2376" s="8"/>
      <c r="L2376" s="8"/>
      <c r="M2376" s="8"/>
    </row>
    <row r="2377" spans="1:13">
      <c r="A2377" s="62" t="s">
        <v>3381</v>
      </c>
      <c r="B2377" s="58">
        <v>14781464866</v>
      </c>
      <c r="C2377" s="63"/>
      <c r="D2377" s="60"/>
      <c r="E2377" s="9">
        <v>1824</v>
      </c>
      <c r="F2377" s="25">
        <v>43091</v>
      </c>
      <c r="G2377" s="61" t="s">
        <v>13</v>
      </c>
      <c r="H2377" s="9"/>
      <c r="I2377" s="8"/>
      <c r="J2377" s="8"/>
      <c r="K2377" s="8"/>
      <c r="L2377" s="9">
        <v>1828</v>
      </c>
      <c r="M2377" s="8"/>
    </row>
    <row r="2378" spans="1:13">
      <c r="A2378" s="64" t="s">
        <v>3382</v>
      </c>
      <c r="B2378" s="58">
        <v>38632080644</v>
      </c>
      <c r="C2378" s="63"/>
      <c r="D2378" s="60"/>
      <c r="E2378" s="9"/>
      <c r="F2378" s="25"/>
      <c r="G2378" s="61"/>
      <c r="H2378" s="9"/>
      <c r="I2378" s="8"/>
      <c r="J2378" s="8"/>
      <c r="K2378" s="8"/>
      <c r="L2378" s="8"/>
      <c r="M2378" s="8"/>
    </row>
    <row r="2379" spans="1:13">
      <c r="A2379" s="62" t="s">
        <v>3383</v>
      </c>
      <c r="B2379" s="58">
        <v>43093185840</v>
      </c>
      <c r="C2379" s="63"/>
      <c r="D2379" s="60"/>
      <c r="E2379" s="9">
        <v>1555</v>
      </c>
      <c r="F2379" s="25">
        <v>43049</v>
      </c>
      <c r="G2379" s="61" t="s">
        <v>13</v>
      </c>
      <c r="H2379" s="9"/>
      <c r="I2379" s="8"/>
      <c r="J2379" s="8"/>
      <c r="K2379" s="8"/>
      <c r="L2379" s="9" t="s">
        <v>398</v>
      </c>
      <c r="M2379" s="8"/>
    </row>
    <row r="2380" spans="1:13">
      <c r="A2380" s="62" t="s">
        <v>3384</v>
      </c>
      <c r="B2380" s="58">
        <v>36134228591</v>
      </c>
      <c r="C2380" s="63"/>
      <c r="D2380" s="60"/>
      <c r="E2380" s="9">
        <v>117</v>
      </c>
      <c r="F2380" s="25">
        <v>43117</v>
      </c>
      <c r="G2380" s="61" t="s">
        <v>13</v>
      </c>
      <c r="H2380" s="9"/>
      <c r="I2380" s="8"/>
      <c r="J2380" s="8"/>
      <c r="K2380" s="8"/>
      <c r="L2380" s="9" t="s">
        <v>170</v>
      </c>
      <c r="M2380" s="8"/>
    </row>
    <row r="2381" spans="1:13">
      <c r="A2381" s="62" t="s">
        <v>3385</v>
      </c>
      <c r="B2381" s="58">
        <v>40878398856</v>
      </c>
      <c r="C2381" s="63" t="s">
        <v>3386</v>
      </c>
      <c r="D2381" s="60">
        <v>73226718568</v>
      </c>
      <c r="E2381" s="9">
        <v>262</v>
      </c>
      <c r="F2381" s="25">
        <v>43160</v>
      </c>
      <c r="G2381" s="61" t="s">
        <v>13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62" t="s">
        <v>3387</v>
      </c>
      <c r="B2382" s="58">
        <v>24809944816</v>
      </c>
      <c r="C2382" s="63"/>
      <c r="D2382" s="60"/>
      <c r="E2382" s="9">
        <v>1106</v>
      </c>
      <c r="F2382" s="25">
        <v>42965</v>
      </c>
      <c r="G2382" s="61" t="s">
        <v>13</v>
      </c>
      <c r="H2382" s="9"/>
      <c r="I2382" s="8"/>
      <c r="J2382" s="8"/>
      <c r="K2382" s="8"/>
      <c r="L2382" s="8"/>
      <c r="M2382" s="8"/>
    </row>
    <row r="2383" spans="1:13">
      <c r="A2383" s="13" t="s">
        <v>3388</v>
      </c>
      <c r="B2383" s="58">
        <v>13413350544</v>
      </c>
      <c r="C2383" s="59"/>
      <c r="D2383" s="60"/>
      <c r="E2383" s="9">
        <v>1752</v>
      </c>
      <c r="F2383" s="25">
        <v>43051</v>
      </c>
      <c r="G2383" s="61" t="s">
        <v>13</v>
      </c>
      <c r="H2383" s="9"/>
      <c r="I2383" s="8"/>
      <c r="J2383" s="8"/>
      <c r="K2383" s="8"/>
      <c r="L2383" s="9">
        <v>1759</v>
      </c>
      <c r="M2383" s="8"/>
    </row>
    <row r="2384" spans="1:13">
      <c r="A2384" s="28" t="s">
        <v>3389</v>
      </c>
      <c r="B2384" s="58">
        <v>36898198300</v>
      </c>
      <c r="C2384" s="63"/>
      <c r="D2384" s="60"/>
      <c r="E2384" s="9">
        <v>1470</v>
      </c>
      <c r="F2384" s="25">
        <v>43031</v>
      </c>
      <c r="G2384" s="61" t="s">
        <v>13</v>
      </c>
      <c r="H2384" s="9"/>
      <c r="I2384" s="8"/>
      <c r="J2384" s="8"/>
      <c r="K2384" s="8"/>
      <c r="L2384" s="8"/>
      <c r="M2384" s="8"/>
    </row>
    <row r="2385" spans="1:13">
      <c r="A2385" s="62" t="s">
        <v>3390</v>
      </c>
      <c r="B2385" s="58">
        <v>33475393387</v>
      </c>
      <c r="C2385" s="63" t="s">
        <v>3391</v>
      </c>
      <c r="D2385" s="60">
        <v>21580260306</v>
      </c>
      <c r="E2385" s="9">
        <v>292</v>
      </c>
      <c r="F2385" s="25">
        <v>43168</v>
      </c>
      <c r="G2385" s="61" t="s">
        <v>13</v>
      </c>
      <c r="H2385" s="9"/>
      <c r="I2385" s="8"/>
      <c r="J2385" s="8"/>
      <c r="K2385" s="8"/>
      <c r="L2385" s="9">
        <v>318</v>
      </c>
      <c r="M2385" s="8"/>
    </row>
    <row r="2386" spans="1:13">
      <c r="A2386" s="62" t="s">
        <v>3392</v>
      </c>
      <c r="B2386" s="58">
        <v>15328055861</v>
      </c>
      <c r="C2386" s="63"/>
      <c r="D2386" s="60"/>
      <c r="E2386" s="9">
        <v>443</v>
      </c>
      <c r="F2386" s="25">
        <v>43188</v>
      </c>
      <c r="G2386" s="61"/>
      <c r="H2386" s="9"/>
      <c r="I2386" s="8"/>
      <c r="J2386" s="8"/>
      <c r="K2386" s="8"/>
      <c r="L2386" s="8"/>
      <c r="M2386" s="8"/>
    </row>
    <row r="2387" spans="1:13">
      <c r="A2387" s="27" t="s">
        <v>3393</v>
      </c>
      <c r="B2387" s="58">
        <v>15114386816</v>
      </c>
      <c r="C2387" s="27" t="s">
        <v>3394</v>
      </c>
      <c r="D2387" s="60">
        <v>83833552891</v>
      </c>
      <c r="E2387" s="9"/>
      <c r="F2387" s="25"/>
      <c r="G2387" s="61"/>
      <c r="H2387" s="9"/>
      <c r="I2387" s="8"/>
      <c r="J2387" s="8"/>
      <c r="K2387" s="8"/>
      <c r="L2387" s="8"/>
      <c r="M2387" s="8"/>
    </row>
    <row r="2388" spans="1:13">
      <c r="A2388" s="62" t="s">
        <v>3395</v>
      </c>
      <c r="B2388" s="58">
        <v>21655657828</v>
      </c>
      <c r="C2388" s="63"/>
      <c r="D2388" s="60"/>
      <c r="E2388" s="9">
        <v>262</v>
      </c>
      <c r="F2388" s="25">
        <v>43160</v>
      </c>
      <c r="G2388" s="9" t="s">
        <v>13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62" t="s">
        <v>3396</v>
      </c>
      <c r="B2389" s="58">
        <v>16909682300</v>
      </c>
      <c r="C2389" s="63"/>
      <c r="D2389" s="60"/>
      <c r="E2389" s="9">
        <v>1214</v>
      </c>
      <c r="F2389" s="25">
        <v>42989</v>
      </c>
      <c r="G2389" s="61" t="s">
        <v>13</v>
      </c>
      <c r="H2389" s="9"/>
      <c r="I2389" s="8"/>
      <c r="J2389" s="8"/>
      <c r="K2389" s="8"/>
      <c r="L2389" s="8"/>
      <c r="M2389" s="8"/>
    </row>
    <row r="2390" spans="1:13">
      <c r="A2390" s="62" t="s">
        <v>3397</v>
      </c>
      <c r="B2390" s="58">
        <v>21421319802</v>
      </c>
      <c r="C2390" s="63"/>
      <c r="D2390" s="60"/>
      <c r="E2390" s="9"/>
      <c r="F2390" s="25"/>
      <c r="G2390" s="61"/>
      <c r="H2390" s="9"/>
      <c r="I2390" s="8"/>
      <c r="J2390" s="8"/>
      <c r="K2390" s="8"/>
      <c r="L2390" s="8"/>
      <c r="M2390" s="8"/>
    </row>
    <row r="2391" spans="1:13">
      <c r="A2391" s="62" t="s">
        <v>3398</v>
      </c>
      <c r="B2391" s="58">
        <v>23154358897</v>
      </c>
      <c r="C2391" s="63"/>
      <c r="D2391" s="60"/>
      <c r="E2391" s="9"/>
      <c r="F2391" s="25"/>
      <c r="G2391" s="61"/>
      <c r="H2391" s="9"/>
      <c r="I2391" s="8"/>
      <c r="J2391" s="8"/>
      <c r="K2391" s="8"/>
      <c r="L2391" s="8"/>
      <c r="M2391" s="8"/>
    </row>
    <row r="2392" spans="1:13">
      <c r="A2392" s="62" t="s">
        <v>3399</v>
      </c>
      <c r="B2392" s="58">
        <v>39556370854</v>
      </c>
      <c r="C2392" s="63"/>
      <c r="D2392" s="60"/>
      <c r="E2392" s="9"/>
      <c r="F2392" s="25"/>
      <c r="G2392" s="61"/>
      <c r="H2392" s="9"/>
      <c r="I2392" s="8"/>
      <c r="J2392" s="8"/>
      <c r="K2392" s="8"/>
      <c r="L2392" s="8"/>
      <c r="M2392" s="8"/>
    </row>
    <row r="2393" spans="1:13">
      <c r="A2393" s="15" t="s">
        <v>3400</v>
      </c>
      <c r="B2393" s="58">
        <v>38754982839</v>
      </c>
      <c r="C2393" s="63" t="s">
        <v>3401</v>
      </c>
      <c r="D2393" s="60">
        <v>34941494881</v>
      </c>
      <c r="E2393" s="9">
        <v>85</v>
      </c>
      <c r="F2393" s="25">
        <v>43109</v>
      </c>
      <c r="G2393" s="61" t="s">
        <v>28</v>
      </c>
      <c r="H2393" s="25">
        <v>43151</v>
      </c>
      <c r="I2393" s="8"/>
      <c r="J2393" s="8"/>
      <c r="K2393" s="8"/>
      <c r="L2393" s="8"/>
      <c r="M2393" s="8"/>
    </row>
    <row r="2394" spans="1:13">
      <c r="A2394" s="62" t="s">
        <v>3402</v>
      </c>
      <c r="B2394" s="58">
        <v>33401168819</v>
      </c>
      <c r="C2394" s="63" t="s">
        <v>3403</v>
      </c>
      <c r="D2394" s="60">
        <v>29647170874</v>
      </c>
      <c r="E2394" s="9"/>
      <c r="F2394" s="25"/>
      <c r="G2394" s="61"/>
      <c r="H2394" s="9"/>
      <c r="I2394" s="8"/>
      <c r="J2394" s="8"/>
      <c r="K2394" s="8"/>
      <c r="L2394" s="8"/>
      <c r="M2394" s="8"/>
    </row>
    <row r="2395" spans="1:13">
      <c r="A2395" s="62" t="s">
        <v>3404</v>
      </c>
      <c r="B2395" s="58">
        <v>42116294843</v>
      </c>
      <c r="C2395" s="63" t="s">
        <v>3405</v>
      </c>
      <c r="D2395" s="60">
        <v>42151043860</v>
      </c>
      <c r="E2395" s="9"/>
      <c r="F2395" s="25"/>
      <c r="G2395" s="61"/>
      <c r="H2395" s="9"/>
      <c r="I2395" s="8"/>
      <c r="J2395" s="8"/>
      <c r="K2395" s="8"/>
      <c r="L2395" s="8"/>
      <c r="M2395" s="8"/>
    </row>
    <row r="2396" spans="1:13">
      <c r="A2396" s="14" t="s">
        <v>3406</v>
      </c>
      <c r="B2396" s="58">
        <v>12648968679</v>
      </c>
      <c r="C2396" s="63" t="s">
        <v>3407</v>
      </c>
      <c r="D2396" s="60">
        <v>2274453683</v>
      </c>
      <c r="E2396" s="9"/>
      <c r="F2396" s="25"/>
      <c r="G2396" s="61"/>
      <c r="H2396" s="9"/>
      <c r="I2396" s="8"/>
      <c r="J2396" s="8"/>
      <c r="K2396" s="8"/>
      <c r="L2396" s="8"/>
      <c r="M2396" s="8"/>
    </row>
    <row r="2397" spans="1:13">
      <c r="A2397" s="64" t="s">
        <v>3408</v>
      </c>
      <c r="B2397" s="58">
        <v>34361698899</v>
      </c>
      <c r="C2397" s="63" t="s">
        <v>3409</v>
      </c>
      <c r="D2397" s="60">
        <v>21266025839</v>
      </c>
      <c r="E2397" s="9">
        <v>1489</v>
      </c>
      <c r="F2397" s="25">
        <v>43038</v>
      </c>
      <c r="G2397" s="61" t="s">
        <v>13</v>
      </c>
      <c r="H2397" s="9"/>
      <c r="I2397" s="8"/>
      <c r="J2397" s="8"/>
      <c r="K2397" s="8"/>
      <c r="L2397" s="9" t="s">
        <v>160</v>
      </c>
      <c r="M2397" s="8"/>
    </row>
    <row r="2398" spans="1:13">
      <c r="A2398" s="62" t="s">
        <v>3410</v>
      </c>
      <c r="B2398" s="58">
        <v>12835905812</v>
      </c>
      <c r="C2398" s="63" t="s">
        <v>3411</v>
      </c>
      <c r="D2398" s="60">
        <v>26821342890</v>
      </c>
      <c r="E2398" s="9">
        <v>262</v>
      </c>
      <c r="F2398" s="25">
        <v>43160</v>
      </c>
      <c r="G2398" s="61" t="s">
        <v>20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62" t="s">
        <v>3412</v>
      </c>
      <c r="B2399" s="58">
        <v>30207968810</v>
      </c>
      <c r="C2399" s="63"/>
      <c r="D2399" s="60"/>
      <c r="E2399" s="9">
        <v>262</v>
      </c>
      <c r="F2399" s="25">
        <v>43160</v>
      </c>
      <c r="G2399" s="61" t="s">
        <v>13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62" t="s">
        <v>3413</v>
      </c>
      <c r="B2400" s="58">
        <v>22713517826</v>
      </c>
      <c r="C2400" s="63" t="s">
        <v>3414</v>
      </c>
      <c r="D2400" s="60">
        <v>30508085861</v>
      </c>
      <c r="E2400" s="9"/>
      <c r="F2400" s="25"/>
      <c r="G2400" s="61"/>
      <c r="H2400" s="9"/>
      <c r="I2400" s="8"/>
      <c r="J2400" s="8"/>
      <c r="K2400" s="8"/>
      <c r="L2400" s="8"/>
      <c r="M2400" s="8"/>
    </row>
    <row r="2401" spans="1:13">
      <c r="A2401" s="62" t="s">
        <v>3415</v>
      </c>
      <c r="B2401" s="58">
        <v>28467390808</v>
      </c>
      <c r="C2401" s="63" t="s">
        <v>3416</v>
      </c>
      <c r="D2401" s="60">
        <v>90847547</v>
      </c>
      <c r="E2401" s="9">
        <v>810</v>
      </c>
      <c r="F2401" s="25">
        <v>42915</v>
      </c>
      <c r="G2401" s="61" t="s">
        <v>13</v>
      </c>
      <c r="H2401" s="9"/>
      <c r="I2401" s="8"/>
      <c r="J2401" s="8"/>
      <c r="K2401" s="8"/>
      <c r="L2401" s="9" t="s">
        <v>138</v>
      </c>
      <c r="M2401" s="8"/>
    </row>
    <row r="2402" spans="1:13">
      <c r="A2402" s="62" t="s">
        <v>3417</v>
      </c>
      <c r="B2402" s="58">
        <v>29872130850</v>
      </c>
      <c r="C2402" s="63"/>
      <c r="D2402" s="60"/>
      <c r="E2402" s="9">
        <v>1106</v>
      </c>
      <c r="F2402" s="25">
        <v>42965</v>
      </c>
      <c r="G2402" s="61" t="s">
        <v>13</v>
      </c>
      <c r="H2402" s="9"/>
      <c r="I2402" s="8"/>
      <c r="J2402" s="8"/>
      <c r="K2402" s="8"/>
      <c r="L2402" s="8"/>
      <c r="M2402" s="8"/>
    </row>
    <row r="2403" spans="1:13">
      <c r="A2403" s="64" t="s">
        <v>3418</v>
      </c>
      <c r="B2403" s="58">
        <v>32033541878</v>
      </c>
      <c r="C2403" s="63" t="s">
        <v>3419</v>
      </c>
      <c r="D2403" s="60">
        <v>19674006877</v>
      </c>
      <c r="E2403" s="9">
        <v>1752</v>
      </c>
      <c r="F2403" s="25">
        <v>43051</v>
      </c>
      <c r="G2403" s="61" t="s">
        <v>13</v>
      </c>
      <c r="H2403" s="9"/>
      <c r="I2403" s="8"/>
      <c r="J2403" s="8"/>
      <c r="K2403" s="8"/>
      <c r="L2403" s="9">
        <v>1759</v>
      </c>
      <c r="M2403" s="8"/>
    </row>
    <row r="2404" spans="1:13">
      <c r="A2404" s="27" t="s">
        <v>3420</v>
      </c>
      <c r="B2404" s="58">
        <v>23241720896</v>
      </c>
      <c r="C2404" s="18" t="s">
        <v>3421</v>
      </c>
      <c r="D2404" s="60">
        <v>668743514</v>
      </c>
      <c r="E2404" s="9"/>
      <c r="F2404" s="25"/>
      <c r="G2404" s="61"/>
      <c r="H2404" s="9"/>
      <c r="I2404" s="8"/>
      <c r="J2404" s="8"/>
      <c r="K2404" s="8"/>
      <c r="L2404" s="8"/>
      <c r="M2404" s="8"/>
    </row>
    <row r="2405" spans="1:13">
      <c r="A2405" s="62" t="s">
        <v>3422</v>
      </c>
      <c r="B2405" s="58">
        <v>20538853867</v>
      </c>
      <c r="C2405" s="63"/>
      <c r="D2405" s="60"/>
      <c r="E2405" s="9">
        <v>443</v>
      </c>
      <c r="F2405" s="25">
        <v>43188</v>
      </c>
      <c r="G2405" s="61"/>
      <c r="H2405" s="9"/>
      <c r="I2405" s="8"/>
      <c r="J2405" s="8"/>
      <c r="K2405" s="8"/>
      <c r="L2405" s="8"/>
      <c r="M2405" s="8"/>
    </row>
    <row r="2406" spans="1:13">
      <c r="A2406" s="62" t="s">
        <v>3423</v>
      </c>
      <c r="B2406" s="58">
        <v>40257213848</v>
      </c>
      <c r="C2406" s="63"/>
      <c r="D2406" s="60"/>
      <c r="E2406" s="9">
        <v>262</v>
      </c>
      <c r="F2406" s="25">
        <v>43160</v>
      </c>
      <c r="G2406" s="61" t="s">
        <v>13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64" t="s">
        <v>3424</v>
      </c>
      <c r="B2407" s="58">
        <v>1889333360</v>
      </c>
      <c r="C2407" s="63" t="s">
        <v>3425</v>
      </c>
      <c r="D2407" s="60">
        <v>580003302</v>
      </c>
      <c r="E2407" s="9">
        <v>1241</v>
      </c>
      <c r="F2407" s="25">
        <v>42992</v>
      </c>
      <c r="G2407" s="61" t="s">
        <v>13</v>
      </c>
      <c r="H2407" s="9"/>
      <c r="I2407" s="8"/>
      <c r="J2407" s="8"/>
      <c r="K2407" s="8"/>
      <c r="L2407" s="8"/>
      <c r="M2407" s="8"/>
    </row>
    <row r="2408" spans="1:13">
      <c r="A2408" s="62" t="s">
        <v>3426</v>
      </c>
      <c r="B2408" s="58">
        <v>40321655800</v>
      </c>
      <c r="C2408" s="63" t="s">
        <v>3427</v>
      </c>
      <c r="D2408" s="60">
        <v>37378835803</v>
      </c>
      <c r="E2408" s="9">
        <v>810</v>
      </c>
      <c r="F2408" s="25">
        <v>42915</v>
      </c>
      <c r="G2408" s="61" t="s">
        <v>13</v>
      </c>
      <c r="H2408" s="9"/>
      <c r="I2408" s="8"/>
      <c r="J2408" s="8"/>
      <c r="K2408" s="8"/>
      <c r="L2408" s="9" t="s">
        <v>138</v>
      </c>
      <c r="M2408" s="8"/>
    </row>
    <row r="2409" spans="1:13">
      <c r="A2409" s="14" t="s">
        <v>3428</v>
      </c>
      <c r="B2409" s="58">
        <v>5117256557</v>
      </c>
      <c r="C2409" s="63" t="s">
        <v>3429</v>
      </c>
      <c r="D2409" s="60">
        <v>5063737544</v>
      </c>
      <c r="E2409" s="9">
        <v>262</v>
      </c>
      <c r="F2409" s="25">
        <v>43160</v>
      </c>
      <c r="G2409" s="61" t="s">
        <v>20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3430</v>
      </c>
      <c r="B2410" s="58">
        <v>21863985832</v>
      </c>
      <c r="C2410" s="63" t="s">
        <v>3431</v>
      </c>
      <c r="D2410" s="60">
        <v>8037111822</v>
      </c>
      <c r="E2410" s="9">
        <v>262</v>
      </c>
      <c r="F2410" s="25">
        <v>43160</v>
      </c>
      <c r="G2410" s="61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62" t="s">
        <v>3432</v>
      </c>
      <c r="B2411" s="58">
        <v>28301891831</v>
      </c>
      <c r="C2411" s="63"/>
      <c r="D2411" s="60"/>
      <c r="E2411" s="9">
        <v>1417</v>
      </c>
      <c r="F2411" s="25">
        <v>43017</v>
      </c>
      <c r="G2411" s="61" t="s">
        <v>13</v>
      </c>
      <c r="H2411" s="9"/>
      <c r="I2411" s="8"/>
      <c r="J2411" s="8"/>
      <c r="K2411" s="8"/>
      <c r="L2411" s="9" t="s">
        <v>253</v>
      </c>
      <c r="M2411" s="8"/>
    </row>
    <row r="2412" spans="1:13">
      <c r="A2412" s="18" t="s">
        <v>3433</v>
      </c>
      <c r="B2412" s="58">
        <v>31694477851</v>
      </c>
      <c r="C2412" s="18" t="s">
        <v>3434</v>
      </c>
      <c r="D2412" s="60">
        <v>33083604890</v>
      </c>
      <c r="E2412" s="9"/>
      <c r="F2412" s="25"/>
      <c r="G2412" s="61"/>
      <c r="H2412" s="9"/>
      <c r="I2412" s="8"/>
      <c r="J2412" s="8"/>
      <c r="K2412" s="8"/>
      <c r="L2412" s="8"/>
      <c r="M2412" s="8"/>
    </row>
    <row r="2413" spans="1:13">
      <c r="A2413" s="62" t="s">
        <v>3435</v>
      </c>
      <c r="B2413" s="58">
        <v>14690610827</v>
      </c>
      <c r="C2413" s="63" t="s">
        <v>3436</v>
      </c>
      <c r="D2413" s="60">
        <v>5379935761</v>
      </c>
      <c r="E2413" s="9"/>
      <c r="F2413" s="25"/>
      <c r="G2413" s="61"/>
      <c r="H2413" s="9"/>
      <c r="I2413" s="8"/>
      <c r="J2413" s="8"/>
      <c r="K2413" s="8"/>
      <c r="L2413" s="8"/>
      <c r="M2413" s="8"/>
    </row>
    <row r="2414" spans="1:13">
      <c r="A2414" s="62" t="s">
        <v>3437</v>
      </c>
      <c r="B2414" s="58">
        <v>1740803523</v>
      </c>
      <c r="C2414" s="63" t="s">
        <v>3438</v>
      </c>
      <c r="D2414" s="60">
        <v>32727175876</v>
      </c>
      <c r="E2414" s="9"/>
      <c r="F2414" s="25"/>
      <c r="G2414" s="61"/>
      <c r="H2414" s="9"/>
      <c r="I2414" s="8"/>
      <c r="J2414" s="8"/>
      <c r="K2414" s="8"/>
      <c r="L2414" s="8"/>
      <c r="M2414" s="8"/>
    </row>
    <row r="2415" spans="1:13">
      <c r="A2415" s="62" t="s">
        <v>3439</v>
      </c>
      <c r="B2415" s="58">
        <v>23328195840</v>
      </c>
      <c r="C2415" s="63" t="s">
        <v>3440</v>
      </c>
      <c r="D2415" s="60">
        <v>770249310</v>
      </c>
      <c r="E2415" s="9">
        <v>810</v>
      </c>
      <c r="F2415" s="25">
        <v>42915</v>
      </c>
      <c r="G2415" s="61" t="s">
        <v>13</v>
      </c>
      <c r="H2415" s="9"/>
      <c r="I2415" s="8"/>
      <c r="J2415" s="8"/>
      <c r="K2415" s="8"/>
      <c r="L2415" s="9" t="s">
        <v>138</v>
      </c>
      <c r="M2415" s="8"/>
    </row>
    <row r="2416" spans="1:13">
      <c r="A2416" s="62" t="s">
        <v>3441</v>
      </c>
      <c r="B2416" s="58">
        <v>28082388862</v>
      </c>
      <c r="C2416" s="63" t="s">
        <v>3442</v>
      </c>
      <c r="D2416" s="60">
        <v>92633617549</v>
      </c>
      <c r="E2416" s="9"/>
      <c r="F2416" s="25"/>
      <c r="G2416" s="61"/>
      <c r="H2416" s="9"/>
      <c r="I2416" s="8"/>
      <c r="J2416" s="8"/>
      <c r="K2416" s="8"/>
      <c r="L2416" s="8"/>
      <c r="M2416" s="8"/>
    </row>
    <row r="2417" spans="1:13">
      <c r="A2417" s="27" t="s">
        <v>3443</v>
      </c>
      <c r="B2417" s="58">
        <v>43054747867</v>
      </c>
      <c r="C2417" s="27" t="s">
        <v>3444</v>
      </c>
      <c r="D2417" s="60">
        <v>35589807867</v>
      </c>
      <c r="E2417" s="9"/>
      <c r="F2417" s="25"/>
      <c r="G2417" s="61"/>
      <c r="H2417" s="9"/>
      <c r="I2417" s="8"/>
      <c r="J2417" s="8"/>
      <c r="K2417" s="8"/>
      <c r="L2417" s="8"/>
      <c r="M2417" s="8"/>
    </row>
    <row r="2418" spans="1:13">
      <c r="A2418" s="62" t="s">
        <v>3445</v>
      </c>
      <c r="B2418" s="58">
        <v>25765767885</v>
      </c>
      <c r="C2418" s="63"/>
      <c r="D2418" s="60"/>
      <c r="E2418" s="9"/>
      <c r="F2418" s="25"/>
      <c r="G2418" s="61"/>
      <c r="H2418" s="9"/>
      <c r="I2418" s="8"/>
      <c r="J2418" s="8"/>
      <c r="K2418" s="8"/>
      <c r="L2418" s="8"/>
      <c r="M2418" s="8"/>
    </row>
    <row r="2419" spans="1:13">
      <c r="A2419" s="14" t="s">
        <v>3446</v>
      </c>
      <c r="B2419" s="58">
        <v>89863704504</v>
      </c>
      <c r="C2419" s="63" t="s">
        <v>3447</v>
      </c>
      <c r="D2419" s="60">
        <v>29135886897</v>
      </c>
      <c r="E2419" s="9"/>
      <c r="F2419" s="25"/>
      <c r="G2419" s="61"/>
      <c r="H2419" s="9"/>
      <c r="I2419" s="8"/>
      <c r="J2419" s="8"/>
      <c r="K2419" s="8"/>
      <c r="L2419" s="8"/>
      <c r="M2419" s="8"/>
    </row>
    <row r="2420" spans="1:13">
      <c r="A2420" s="62" t="s">
        <v>3448</v>
      </c>
      <c r="B2420" s="58">
        <v>22134435801</v>
      </c>
      <c r="C2420" s="63"/>
      <c r="D2420" s="60"/>
      <c r="E2420" s="9"/>
      <c r="F2420" s="25"/>
      <c r="G2420" s="61"/>
      <c r="H2420" s="9"/>
      <c r="I2420" s="8"/>
      <c r="J2420" s="8"/>
      <c r="K2420" s="8"/>
      <c r="L2420" s="8"/>
      <c r="M2420" s="8"/>
    </row>
    <row r="2421" spans="1:13">
      <c r="A2421" s="62" t="s">
        <v>3449</v>
      </c>
      <c r="B2421" s="58">
        <v>33451336871</v>
      </c>
      <c r="C2421" s="63"/>
      <c r="D2421" s="60"/>
      <c r="E2421" s="9">
        <v>292</v>
      </c>
      <c r="F2421" s="25">
        <v>43168</v>
      </c>
      <c r="G2421" s="61" t="s">
        <v>13</v>
      </c>
      <c r="H2421" s="9"/>
      <c r="I2421" s="8"/>
      <c r="J2421" s="8"/>
      <c r="K2421" s="8"/>
      <c r="L2421" s="9">
        <v>318</v>
      </c>
      <c r="M2421" s="8"/>
    </row>
    <row r="2422" spans="1:13">
      <c r="A2422" s="62" t="s">
        <v>3450</v>
      </c>
      <c r="B2422" s="58">
        <v>32408669863</v>
      </c>
      <c r="C2422" s="63"/>
      <c r="D2422" s="60"/>
      <c r="E2422" s="9"/>
      <c r="F2422" s="25"/>
      <c r="G2422" s="61"/>
      <c r="H2422" s="9"/>
      <c r="I2422" s="8"/>
      <c r="J2422" s="8"/>
      <c r="K2422" s="8"/>
      <c r="L2422" s="8"/>
      <c r="M2422" s="8"/>
    </row>
    <row r="2423" spans="1:13">
      <c r="A2423" s="62" t="s">
        <v>3451</v>
      </c>
      <c r="B2423" s="58">
        <v>16123772899</v>
      </c>
      <c r="C2423" s="59"/>
      <c r="D2423" s="60"/>
      <c r="E2423" s="9">
        <v>1214</v>
      </c>
      <c r="F2423" s="25">
        <v>42989</v>
      </c>
      <c r="G2423" s="61" t="s">
        <v>13</v>
      </c>
      <c r="H2423" s="9"/>
      <c r="I2423" s="8"/>
      <c r="J2423" s="8"/>
      <c r="K2423" s="8"/>
      <c r="L2423" s="8"/>
      <c r="M2423" s="8"/>
    </row>
    <row r="2424" spans="1:13">
      <c r="A2424" s="64" t="s">
        <v>3452</v>
      </c>
      <c r="B2424" s="58">
        <v>33538686823</v>
      </c>
      <c r="C2424" s="63" t="s">
        <v>3453</v>
      </c>
      <c r="D2424" s="60">
        <v>37104062858</v>
      </c>
      <c r="E2424" s="9">
        <v>810</v>
      </c>
      <c r="F2424" s="25">
        <v>42915</v>
      </c>
      <c r="G2424" s="9" t="s">
        <v>13</v>
      </c>
      <c r="H2424" s="9"/>
      <c r="I2424" s="8"/>
      <c r="J2424" s="8"/>
      <c r="K2424" s="8"/>
      <c r="L2424" s="9" t="s">
        <v>138</v>
      </c>
      <c r="M2424" s="8"/>
    </row>
    <row r="2425" spans="1:13">
      <c r="A2425" s="18" t="s">
        <v>3454</v>
      </c>
      <c r="B2425" s="58">
        <v>30524078807</v>
      </c>
      <c r="C2425" s="18"/>
      <c r="D2425" s="60"/>
      <c r="E2425" s="9"/>
      <c r="F2425" s="25"/>
      <c r="G2425" s="61"/>
      <c r="H2425" s="9"/>
      <c r="I2425" s="8"/>
      <c r="J2425" s="8"/>
      <c r="K2425" s="8"/>
      <c r="L2425" s="8"/>
      <c r="M2425" s="8"/>
    </row>
    <row r="2426" spans="1:13">
      <c r="A2426" s="62" t="s">
        <v>3455</v>
      </c>
      <c r="B2426" s="58">
        <v>1296421856</v>
      </c>
      <c r="C2426" s="63"/>
      <c r="D2426" s="60"/>
      <c r="E2426" s="9">
        <v>292</v>
      </c>
      <c r="F2426" s="25">
        <v>43168</v>
      </c>
      <c r="G2426" s="61" t="s">
        <v>13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3456</v>
      </c>
      <c r="B2427" s="58">
        <v>22678523810</v>
      </c>
      <c r="C2427" s="63"/>
      <c r="D2427" s="60"/>
      <c r="E2427" s="9">
        <v>485</v>
      </c>
      <c r="F2427" s="25">
        <v>43196</v>
      </c>
      <c r="G2427" s="61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3457</v>
      </c>
      <c r="B2428" s="58">
        <v>87763559349</v>
      </c>
      <c r="C2428" s="63"/>
      <c r="D2428" s="60"/>
      <c r="E2428" s="9">
        <v>292</v>
      </c>
      <c r="F2428" s="25">
        <v>43168</v>
      </c>
      <c r="G2428" s="61" t="s">
        <v>13</v>
      </c>
      <c r="H2428" s="9"/>
      <c r="I2428" s="8"/>
      <c r="J2428" s="8"/>
      <c r="K2428" s="8"/>
      <c r="L2428" s="9">
        <v>318</v>
      </c>
      <c r="M2428" s="8"/>
    </row>
    <row r="2429" spans="1:13">
      <c r="A2429" s="62" t="s">
        <v>3458</v>
      </c>
      <c r="B2429" s="58">
        <v>93637551420</v>
      </c>
      <c r="C2429" s="63"/>
      <c r="D2429" s="60"/>
      <c r="E2429" s="9">
        <v>1214</v>
      </c>
      <c r="F2429" s="25">
        <v>42989</v>
      </c>
      <c r="G2429" s="84" t="s">
        <v>13</v>
      </c>
      <c r="H2429" s="9"/>
      <c r="I2429" s="8"/>
      <c r="J2429" s="8"/>
      <c r="K2429" s="8"/>
      <c r="L2429" s="8"/>
      <c r="M2429" s="8"/>
    </row>
    <row r="2430" spans="1:13">
      <c r="A2430" s="27" t="s">
        <v>3459</v>
      </c>
      <c r="B2430" s="58"/>
      <c r="C2430" s="27" t="s">
        <v>129</v>
      </c>
      <c r="D2430" s="60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3460</v>
      </c>
      <c r="B2431" s="58">
        <v>39308964860</v>
      </c>
      <c r="C2431" s="63" t="s">
        <v>3461</v>
      </c>
      <c r="D2431" s="60">
        <v>39308963898</v>
      </c>
      <c r="E2431" s="9">
        <v>229</v>
      </c>
      <c r="F2431" s="25">
        <v>43151</v>
      </c>
      <c r="G2431" s="61" t="s">
        <v>13</v>
      </c>
      <c r="H2431" s="9"/>
      <c r="I2431" s="8"/>
      <c r="J2431" s="8"/>
      <c r="K2431" s="8"/>
      <c r="L2431" s="9">
        <v>232</v>
      </c>
      <c r="M2431" s="8"/>
    </row>
    <row r="2432" spans="1:13">
      <c r="A2432" s="62" t="s">
        <v>3462</v>
      </c>
      <c r="B2432" s="58">
        <v>81487509987</v>
      </c>
      <c r="C2432" s="63"/>
      <c r="D2432" s="60"/>
      <c r="E2432" s="9">
        <v>292</v>
      </c>
      <c r="F2432" s="25">
        <v>43168</v>
      </c>
      <c r="G2432" s="9" t="s">
        <v>13</v>
      </c>
      <c r="H2432" s="9"/>
      <c r="I2432" s="8"/>
      <c r="J2432" s="8"/>
      <c r="K2432" s="8"/>
      <c r="L2432" s="9">
        <v>318</v>
      </c>
      <c r="M2432" s="8"/>
    </row>
    <row r="2433" spans="1:13">
      <c r="A2433" s="62" t="s">
        <v>3463</v>
      </c>
      <c r="B2433" s="58">
        <v>12737024846</v>
      </c>
      <c r="C2433" s="59"/>
      <c r="D2433" s="60"/>
      <c r="E2433" s="9">
        <v>1128</v>
      </c>
      <c r="F2433" s="25">
        <v>42972</v>
      </c>
      <c r="G2433" s="61" t="s">
        <v>13</v>
      </c>
      <c r="H2433" s="9"/>
      <c r="I2433" s="8"/>
      <c r="J2433" s="8"/>
      <c r="K2433" s="8"/>
      <c r="L2433" s="8"/>
      <c r="M2433" s="8"/>
    </row>
    <row r="2434" spans="1:13">
      <c r="A2434" s="62" t="s">
        <v>3464</v>
      </c>
      <c r="B2434" s="58">
        <v>107110580</v>
      </c>
      <c r="C2434" s="63"/>
      <c r="D2434" s="60"/>
      <c r="E2434" s="9"/>
      <c r="F2434" s="25"/>
      <c r="G2434" s="61"/>
      <c r="H2434" s="9"/>
      <c r="I2434" s="8"/>
      <c r="J2434" s="8"/>
      <c r="K2434" s="8"/>
      <c r="L2434" s="8"/>
      <c r="M2434" s="8"/>
    </row>
    <row r="2435" spans="1:13">
      <c r="A2435" s="62" t="s">
        <v>3465</v>
      </c>
      <c r="B2435" s="58">
        <v>14032390886</v>
      </c>
      <c r="C2435" s="59"/>
      <c r="D2435" s="60"/>
      <c r="E2435" s="9">
        <v>1128</v>
      </c>
      <c r="F2435" s="25">
        <v>42972</v>
      </c>
      <c r="G2435" s="61" t="s">
        <v>13</v>
      </c>
      <c r="H2435" s="9"/>
      <c r="I2435" s="8"/>
      <c r="J2435" s="8"/>
      <c r="K2435" s="8"/>
      <c r="L2435" s="8"/>
      <c r="M2435" s="8"/>
    </row>
    <row r="2436" spans="1:13">
      <c r="A2436" s="62" t="s">
        <v>3466</v>
      </c>
      <c r="B2436" s="58">
        <v>27853704810</v>
      </c>
      <c r="C2436" s="63"/>
      <c r="D2436" s="60"/>
      <c r="E2436" s="9"/>
      <c r="F2436" s="25"/>
      <c r="G2436" s="61"/>
      <c r="H2436" s="9"/>
      <c r="I2436" s="8"/>
      <c r="J2436" s="8"/>
      <c r="K2436" s="8"/>
      <c r="L2436" s="8"/>
      <c r="M2436" s="8"/>
    </row>
    <row r="2437" spans="1:13">
      <c r="A2437" s="62" t="s">
        <v>3467</v>
      </c>
      <c r="B2437" s="58"/>
      <c r="C2437" s="63"/>
      <c r="D2437" s="60"/>
      <c r="E2437" s="9"/>
      <c r="F2437" s="25"/>
      <c r="G2437" s="61"/>
      <c r="H2437" s="9"/>
      <c r="I2437" s="8"/>
      <c r="J2437" s="8"/>
      <c r="K2437" s="8"/>
      <c r="L2437" s="8"/>
      <c r="M2437" s="8"/>
    </row>
    <row r="2438" spans="1:13">
      <c r="A2438" s="13" t="s">
        <v>3468</v>
      </c>
      <c r="B2438" s="58">
        <v>90585038520</v>
      </c>
      <c r="C2438" s="59"/>
      <c r="D2438" s="60"/>
      <c r="E2438" s="9"/>
      <c r="F2438" s="25"/>
      <c r="G2438" s="61"/>
      <c r="H2438" s="9"/>
      <c r="I2438" s="8"/>
      <c r="J2438" s="8"/>
      <c r="K2438" s="8"/>
      <c r="L2438" s="8"/>
      <c r="M2438" s="8"/>
    </row>
    <row r="2439" spans="1:13">
      <c r="A2439" s="64" t="s">
        <v>3469</v>
      </c>
      <c r="B2439" s="58">
        <v>4453780850</v>
      </c>
      <c r="C2439" s="63"/>
      <c r="D2439" s="60"/>
      <c r="E2439" s="9">
        <v>117</v>
      </c>
      <c r="F2439" s="25">
        <v>43117</v>
      </c>
      <c r="G2439" s="61" t="s">
        <v>13</v>
      </c>
      <c r="H2439" s="9"/>
      <c r="I2439" s="8"/>
      <c r="J2439" s="8"/>
      <c r="K2439" s="8"/>
      <c r="L2439" s="9" t="s">
        <v>170</v>
      </c>
      <c r="M2439" s="8"/>
    </row>
    <row r="2440" spans="1:13">
      <c r="A2440" s="62" t="s">
        <v>3470</v>
      </c>
      <c r="B2440" s="58">
        <v>36344864818</v>
      </c>
      <c r="C2440" s="63" t="s">
        <v>3471</v>
      </c>
      <c r="D2440" s="60">
        <v>35601867810</v>
      </c>
      <c r="E2440" s="9">
        <v>810</v>
      </c>
      <c r="F2440" s="25">
        <v>42915</v>
      </c>
      <c r="G2440" s="61" t="s">
        <v>13</v>
      </c>
      <c r="H2440" s="9"/>
      <c r="I2440" s="8"/>
      <c r="J2440" s="8"/>
      <c r="K2440" s="8"/>
      <c r="L2440" s="9" t="s">
        <v>138</v>
      </c>
      <c r="M2440" s="8"/>
    </row>
    <row r="2441" spans="1:13">
      <c r="A2441" s="27" t="s">
        <v>3472</v>
      </c>
      <c r="B2441" s="58"/>
      <c r="C2441" s="27" t="s">
        <v>129</v>
      </c>
      <c r="D2441" s="60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62" t="s">
        <v>3473</v>
      </c>
      <c r="B2442" s="58">
        <v>34950715801</v>
      </c>
      <c r="C2442" s="63"/>
      <c r="D2442" s="60"/>
      <c r="E2442" s="9">
        <v>1241</v>
      </c>
      <c r="F2442" s="25">
        <v>42992</v>
      </c>
      <c r="G2442" s="61" t="s">
        <v>13</v>
      </c>
      <c r="H2442" s="9"/>
      <c r="I2442" s="8"/>
      <c r="J2442" s="8"/>
      <c r="K2442" s="8"/>
      <c r="L2442" s="8"/>
      <c r="M2442" s="8"/>
    </row>
    <row r="2443" spans="1:13">
      <c r="A2443" s="64" t="s">
        <v>3474</v>
      </c>
      <c r="B2443" s="58">
        <v>23969560861</v>
      </c>
      <c r="C2443" s="63" t="s">
        <v>3475</v>
      </c>
      <c r="D2443" s="60">
        <v>16141701850</v>
      </c>
      <c r="E2443" s="9">
        <v>1267</v>
      </c>
      <c r="F2443" s="25">
        <v>42998</v>
      </c>
      <c r="G2443" s="61" t="s">
        <v>13</v>
      </c>
      <c r="H2443" s="9"/>
      <c r="I2443" s="8"/>
      <c r="J2443" s="8"/>
      <c r="K2443" s="8"/>
      <c r="L2443" s="8"/>
      <c r="M2443" s="8"/>
    </row>
    <row r="2444" spans="1:13">
      <c r="A2444" s="62" t="s">
        <v>3476</v>
      </c>
      <c r="B2444" s="58">
        <v>37416846862</v>
      </c>
      <c r="C2444" s="63"/>
      <c r="D2444" s="60"/>
      <c r="E2444" s="9"/>
      <c r="F2444" s="25"/>
      <c r="G2444" s="61"/>
      <c r="H2444" s="9"/>
      <c r="I2444" s="8"/>
      <c r="J2444" s="8"/>
      <c r="K2444" s="8"/>
      <c r="L2444" s="8"/>
      <c r="M2444" s="8"/>
    </row>
    <row r="2445" spans="1:13">
      <c r="A2445" s="62" t="s">
        <v>3477</v>
      </c>
      <c r="B2445" s="58">
        <v>40042422825</v>
      </c>
      <c r="C2445" s="63"/>
      <c r="D2445" s="60"/>
      <c r="E2445" s="9">
        <v>262</v>
      </c>
      <c r="F2445" s="25">
        <v>43160</v>
      </c>
      <c r="G2445" s="61" t="s">
        <v>13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3478</v>
      </c>
      <c r="B2446" s="58">
        <v>1510095543</v>
      </c>
      <c r="C2446" s="59"/>
      <c r="D2446" s="60"/>
      <c r="E2446" s="9">
        <v>1241</v>
      </c>
      <c r="F2446" s="25">
        <v>42992</v>
      </c>
      <c r="G2446" s="61" t="s">
        <v>13</v>
      </c>
      <c r="H2446" s="9"/>
      <c r="I2446" s="8"/>
      <c r="J2446" s="8"/>
      <c r="K2446" s="8"/>
      <c r="L2446" s="8"/>
      <c r="M2446" s="8"/>
    </row>
    <row r="2447" spans="1:13">
      <c r="A2447" s="63" t="s">
        <v>3479</v>
      </c>
      <c r="B2447" s="58">
        <v>27138808828</v>
      </c>
      <c r="C2447" s="63"/>
      <c r="D2447" s="60"/>
      <c r="E2447" s="9"/>
      <c r="F2447" s="25"/>
      <c r="G2447" s="61"/>
      <c r="H2447" s="9"/>
      <c r="I2447" s="8"/>
      <c r="J2447" s="8"/>
      <c r="K2447" s="8"/>
      <c r="L2447" s="8"/>
      <c r="M2447" s="8"/>
    </row>
    <row r="2448" spans="1:13">
      <c r="A2448" s="15" t="s">
        <v>3480</v>
      </c>
      <c r="B2448" s="58">
        <v>35193151817</v>
      </c>
      <c r="C2448" s="63" t="s">
        <v>3481</v>
      </c>
      <c r="D2448" s="60">
        <v>26084005829</v>
      </c>
      <c r="E2448" s="9">
        <v>229</v>
      </c>
      <c r="F2448" s="25">
        <v>43151</v>
      </c>
      <c r="G2448" s="61" t="s">
        <v>13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3482</v>
      </c>
      <c r="B2449" s="58">
        <v>42160844861</v>
      </c>
      <c r="C2449" s="18"/>
      <c r="D2449" s="60"/>
      <c r="E2449" s="9"/>
      <c r="F2449" s="25"/>
      <c r="G2449" s="61"/>
      <c r="H2449" s="9"/>
      <c r="I2449" s="8"/>
      <c r="J2449" s="8"/>
      <c r="K2449" s="8"/>
      <c r="L2449" s="8"/>
      <c r="M2449" s="8"/>
    </row>
    <row r="2450" spans="1:13">
      <c r="A2450" s="15" t="s">
        <v>3483</v>
      </c>
      <c r="B2450" s="58">
        <v>43302954824</v>
      </c>
      <c r="C2450" s="63"/>
      <c r="D2450" s="60"/>
      <c r="E2450" s="9"/>
      <c r="F2450" s="25"/>
      <c r="G2450" s="61"/>
      <c r="H2450" s="9"/>
      <c r="I2450" s="8"/>
      <c r="J2450" s="8"/>
      <c r="K2450" s="8"/>
      <c r="L2450" s="8"/>
      <c r="M2450" s="8"/>
    </row>
    <row r="2451" spans="1:13">
      <c r="A2451" s="62" t="s">
        <v>3484</v>
      </c>
      <c r="B2451" s="58">
        <v>39928618801</v>
      </c>
      <c r="C2451" s="63"/>
      <c r="D2451" s="60"/>
      <c r="E2451" s="9">
        <v>292</v>
      </c>
      <c r="F2451" s="25">
        <v>43168</v>
      </c>
      <c r="G2451" s="9" t="s">
        <v>13</v>
      </c>
      <c r="H2451" s="9"/>
      <c r="I2451" s="8"/>
      <c r="J2451" s="8"/>
      <c r="K2451" s="8"/>
      <c r="L2451" s="9">
        <v>318</v>
      </c>
      <c r="M2451" s="8"/>
    </row>
    <row r="2452" spans="1:13">
      <c r="A2452" s="62" t="s">
        <v>3485</v>
      </c>
      <c r="B2452" s="58">
        <v>34674605857</v>
      </c>
      <c r="C2452" s="63" t="s">
        <v>3486</v>
      </c>
      <c r="D2452" s="60">
        <v>36771603830</v>
      </c>
      <c r="E2452" s="9">
        <v>810</v>
      </c>
      <c r="F2452" s="25">
        <v>42915</v>
      </c>
      <c r="G2452" s="61" t="s">
        <v>13</v>
      </c>
      <c r="H2452" s="9"/>
      <c r="I2452" s="8"/>
      <c r="J2452" s="8"/>
      <c r="K2452" s="8"/>
      <c r="L2452" s="9" t="s">
        <v>138</v>
      </c>
      <c r="M2452" s="8"/>
    </row>
    <row r="2453" spans="1:13">
      <c r="A2453" s="62" t="s">
        <v>3487</v>
      </c>
      <c r="B2453" s="58">
        <v>33248807857</v>
      </c>
      <c r="C2453" s="63" t="s">
        <v>3488</v>
      </c>
      <c r="D2453" s="60">
        <v>40575174803</v>
      </c>
      <c r="E2453" s="9">
        <v>573</v>
      </c>
      <c r="F2453" s="25">
        <v>43224</v>
      </c>
      <c r="G2453" s="61"/>
      <c r="H2453" s="9"/>
      <c r="I2453" s="8"/>
      <c r="J2453" s="8"/>
      <c r="K2453" s="8"/>
      <c r="L2453" s="8"/>
      <c r="M2453" s="8"/>
    </row>
    <row r="2454" spans="1:13">
      <c r="A2454" s="13" t="s">
        <v>3489</v>
      </c>
      <c r="B2454" s="58">
        <v>42336003813</v>
      </c>
      <c r="C2454" s="63"/>
      <c r="D2454" s="60"/>
      <c r="E2454" s="9">
        <v>1350</v>
      </c>
      <c r="F2454" s="25">
        <v>43006</v>
      </c>
      <c r="G2454" s="61" t="s">
        <v>13</v>
      </c>
      <c r="H2454" s="9"/>
      <c r="I2454" s="8"/>
      <c r="J2454" s="8"/>
      <c r="K2454" s="8"/>
      <c r="L2454" s="8"/>
      <c r="M2454" s="8"/>
    </row>
    <row r="2455" spans="1:13">
      <c r="A2455" s="13" t="s">
        <v>3490</v>
      </c>
      <c r="B2455" s="58">
        <v>34488341810</v>
      </c>
      <c r="C2455" s="63"/>
      <c r="D2455" s="60"/>
      <c r="E2455" s="9">
        <v>1350</v>
      </c>
      <c r="F2455" s="25">
        <v>43006</v>
      </c>
      <c r="G2455" s="61" t="s">
        <v>13</v>
      </c>
      <c r="H2455" s="9"/>
      <c r="I2455" s="8"/>
      <c r="J2455" s="8"/>
      <c r="K2455" s="8"/>
      <c r="L2455" s="8"/>
      <c r="M2455" s="8"/>
    </row>
    <row r="2456" spans="1:13">
      <c r="A2456" s="62" t="s">
        <v>3491</v>
      </c>
      <c r="B2456" s="58">
        <v>39556368876</v>
      </c>
      <c r="C2456" s="22"/>
      <c r="D2456" s="23"/>
      <c r="E2456" s="9"/>
      <c r="F2456" s="25"/>
      <c r="G2456" s="61"/>
      <c r="H2456" s="9"/>
      <c r="I2456" s="8"/>
      <c r="J2456" s="8"/>
      <c r="K2456" s="8"/>
      <c r="L2456" s="8"/>
      <c r="M2456" s="8"/>
    </row>
    <row r="2457" spans="1:13">
      <c r="A2457" s="62" t="s">
        <v>3492</v>
      </c>
      <c r="B2457" s="58">
        <v>34957713871</v>
      </c>
      <c r="C2457" s="63"/>
      <c r="D2457" s="60"/>
      <c r="E2457" s="9">
        <v>1752</v>
      </c>
      <c r="F2457" s="25">
        <v>43051</v>
      </c>
      <c r="G2457" s="61" t="s">
        <v>13</v>
      </c>
      <c r="H2457" s="9"/>
      <c r="I2457" s="8"/>
      <c r="J2457" s="8"/>
      <c r="K2457" s="8"/>
      <c r="L2457" s="9">
        <v>1759</v>
      </c>
      <c r="M2457" s="8"/>
    </row>
    <row r="2458" spans="1:13">
      <c r="A2458" s="27" t="s">
        <v>3493</v>
      </c>
      <c r="B2458" s="58">
        <v>7143855901</v>
      </c>
      <c r="C2458" s="18" t="s">
        <v>129</v>
      </c>
      <c r="D2458" s="60"/>
      <c r="E2458" s="9"/>
      <c r="F2458" s="25"/>
      <c r="G2458" s="61"/>
      <c r="H2458" s="9"/>
      <c r="I2458" s="8"/>
      <c r="J2458" s="8"/>
      <c r="K2458" s="8"/>
      <c r="L2458" s="8"/>
      <c r="M2458" s="8"/>
    </row>
    <row r="2459" spans="1:13">
      <c r="A2459" s="27" t="s">
        <v>3494</v>
      </c>
      <c r="B2459" s="58"/>
      <c r="C2459" s="27" t="s">
        <v>129</v>
      </c>
      <c r="D2459" s="60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62" t="s">
        <v>3495</v>
      </c>
      <c r="B2460" s="58">
        <v>5365375505</v>
      </c>
      <c r="C2460" s="59" t="s">
        <v>3496</v>
      </c>
      <c r="D2460" s="60">
        <v>34658162857</v>
      </c>
      <c r="E2460" s="9">
        <v>1128</v>
      </c>
      <c r="F2460" s="25">
        <v>42972</v>
      </c>
      <c r="G2460" s="61" t="s">
        <v>13</v>
      </c>
      <c r="H2460" s="9"/>
      <c r="I2460" s="8"/>
      <c r="J2460" s="8"/>
      <c r="K2460" s="8"/>
      <c r="L2460" s="8"/>
      <c r="M2460" s="8"/>
    </row>
    <row r="2461" spans="1:13">
      <c r="A2461" s="18" t="s">
        <v>3497</v>
      </c>
      <c r="B2461" s="58">
        <v>16544220884</v>
      </c>
      <c r="C2461" s="18"/>
      <c r="D2461" s="60"/>
      <c r="E2461" s="9"/>
      <c r="F2461" s="25"/>
      <c r="G2461" s="61"/>
      <c r="H2461" s="9"/>
      <c r="I2461" s="8"/>
      <c r="J2461" s="8"/>
      <c r="K2461" s="8"/>
      <c r="L2461" s="8"/>
      <c r="M2461" s="8"/>
    </row>
    <row r="2462" spans="1:13">
      <c r="A2462" s="27" t="s">
        <v>3498</v>
      </c>
      <c r="B2462" s="58">
        <v>66691990404</v>
      </c>
      <c r="C2462" s="27" t="s">
        <v>3499</v>
      </c>
      <c r="D2462" s="60">
        <v>65787714415</v>
      </c>
      <c r="E2462" s="9"/>
      <c r="F2462" s="25"/>
      <c r="G2462" s="61"/>
      <c r="H2462" s="9"/>
      <c r="I2462" s="8"/>
      <c r="J2462" s="8"/>
      <c r="K2462" s="8"/>
      <c r="L2462" s="8"/>
      <c r="M2462" s="8"/>
    </row>
    <row r="2463" spans="1:13">
      <c r="A2463" s="15" t="s">
        <v>3500</v>
      </c>
      <c r="B2463" s="58">
        <v>60347000355</v>
      </c>
      <c r="C2463" s="63" t="s">
        <v>3501</v>
      </c>
      <c r="D2463" s="60">
        <v>40730915816</v>
      </c>
      <c r="E2463" s="9"/>
      <c r="F2463" s="25"/>
      <c r="G2463" s="61"/>
      <c r="H2463" s="9"/>
      <c r="I2463" s="8"/>
      <c r="J2463" s="8"/>
      <c r="K2463" s="8"/>
      <c r="L2463" s="8"/>
      <c r="M2463" s="8"/>
    </row>
    <row r="2464" spans="1:13">
      <c r="A2464" s="15" t="s">
        <v>3502</v>
      </c>
      <c r="B2464" s="58">
        <v>37467543808</v>
      </c>
      <c r="C2464" s="63" t="s">
        <v>3503</v>
      </c>
      <c r="D2464" s="60">
        <v>40552745804</v>
      </c>
      <c r="E2464" s="9">
        <v>229</v>
      </c>
      <c r="F2464" s="25">
        <v>43151</v>
      </c>
      <c r="G2464" s="61" t="s">
        <v>13</v>
      </c>
      <c r="H2464" s="9"/>
      <c r="I2464" s="8"/>
      <c r="J2464" s="8"/>
      <c r="K2464" s="8"/>
      <c r="L2464" s="9">
        <v>232</v>
      </c>
      <c r="M2464" s="8"/>
    </row>
    <row r="2465" spans="1:13">
      <c r="A2465" s="62" t="s">
        <v>3504</v>
      </c>
      <c r="B2465" s="58">
        <v>41146398883</v>
      </c>
      <c r="C2465" s="68"/>
      <c r="D2465" s="60"/>
      <c r="E2465" s="9"/>
      <c r="F2465" s="25"/>
      <c r="G2465" s="61"/>
      <c r="H2465" s="9"/>
      <c r="I2465" s="8"/>
      <c r="J2465" s="8"/>
      <c r="K2465" s="8"/>
      <c r="L2465" s="8"/>
      <c r="M2465" s="8"/>
    </row>
    <row r="2466" spans="1:13">
      <c r="A2466" s="62" t="s">
        <v>3505</v>
      </c>
      <c r="B2466" s="58">
        <v>41506785883</v>
      </c>
      <c r="C2466" s="64"/>
      <c r="D2466" s="60"/>
      <c r="E2466" s="9">
        <v>573</v>
      </c>
      <c r="F2466" s="25">
        <v>43224</v>
      </c>
      <c r="G2466" s="61"/>
      <c r="H2466" s="9"/>
      <c r="I2466" s="8"/>
      <c r="J2466" s="8"/>
      <c r="K2466" s="8"/>
      <c r="L2466" s="8"/>
      <c r="M2466" s="8"/>
    </row>
    <row r="2467" spans="1:13">
      <c r="A2467" s="27" t="s">
        <v>3506</v>
      </c>
      <c r="B2467" s="58"/>
      <c r="C2467" s="18" t="s">
        <v>129</v>
      </c>
      <c r="D2467" s="60"/>
      <c r="E2467" s="9"/>
      <c r="F2467" s="25"/>
      <c r="G2467" s="61"/>
      <c r="H2467" s="9"/>
      <c r="I2467" s="8"/>
      <c r="J2467" s="8"/>
      <c r="K2467" s="8"/>
      <c r="L2467" s="8"/>
      <c r="M2467" s="8"/>
    </row>
    <row r="2468" spans="1:13">
      <c r="A2468" s="62" t="s">
        <v>3507</v>
      </c>
      <c r="B2468" s="58">
        <v>36726282800</v>
      </c>
      <c r="C2468" s="59"/>
      <c r="D2468" s="60"/>
      <c r="E2468" s="9">
        <v>1824</v>
      </c>
      <c r="F2468" s="25">
        <v>43091</v>
      </c>
      <c r="G2468" s="61" t="s">
        <v>13</v>
      </c>
      <c r="H2468" s="9"/>
      <c r="I2468" s="8"/>
      <c r="J2468" s="8"/>
      <c r="K2468" s="8"/>
      <c r="L2468" s="9">
        <v>1828</v>
      </c>
      <c r="M2468" s="8"/>
    </row>
    <row r="2469" spans="1:13">
      <c r="A2469" s="62" t="s">
        <v>3508</v>
      </c>
      <c r="B2469" s="58">
        <v>37416964806</v>
      </c>
      <c r="C2469" s="63"/>
      <c r="D2469" s="60"/>
      <c r="E2469" s="9"/>
      <c r="F2469" s="25"/>
      <c r="G2469" s="61"/>
      <c r="H2469" s="9"/>
      <c r="I2469" s="8"/>
      <c r="J2469" s="8"/>
      <c r="K2469" s="8"/>
      <c r="L2469" s="8"/>
      <c r="M2469" s="8"/>
    </row>
    <row r="2470" spans="1:13">
      <c r="A2470" s="15" t="s">
        <v>3509</v>
      </c>
      <c r="B2470" s="58">
        <v>36190751822</v>
      </c>
      <c r="C2470" s="63"/>
      <c r="D2470" s="60"/>
      <c r="E2470" s="9"/>
      <c r="F2470" s="25"/>
      <c r="G2470" s="61"/>
      <c r="H2470" s="9"/>
      <c r="I2470" s="8"/>
      <c r="J2470" s="8"/>
      <c r="K2470" s="8"/>
      <c r="L2470" s="8"/>
      <c r="M2470" s="8"/>
    </row>
    <row r="2471" spans="1:13">
      <c r="A2471" s="15" t="s">
        <v>3510</v>
      </c>
      <c r="B2471" s="58">
        <v>48697483808</v>
      </c>
      <c r="C2471" s="63"/>
      <c r="D2471" s="60"/>
      <c r="E2471" s="9"/>
      <c r="F2471" s="25"/>
      <c r="G2471" s="61"/>
      <c r="H2471" s="9"/>
      <c r="I2471" s="8"/>
      <c r="J2471" s="8"/>
      <c r="K2471" s="8"/>
      <c r="L2471" s="8"/>
      <c r="M2471" s="8"/>
    </row>
    <row r="2472" spans="1:13">
      <c r="A2472" s="27" t="s">
        <v>3511</v>
      </c>
      <c r="B2472" s="58"/>
      <c r="C2472" s="18" t="s">
        <v>129</v>
      </c>
      <c r="D2472" s="60"/>
      <c r="E2472" s="9"/>
      <c r="F2472" s="25"/>
      <c r="G2472" s="61"/>
      <c r="H2472" s="9"/>
      <c r="I2472" s="8"/>
      <c r="J2472" s="8"/>
      <c r="K2472" s="8"/>
      <c r="L2472" s="8"/>
      <c r="M2472" s="8"/>
    </row>
    <row r="2473" spans="1:13">
      <c r="A2473" s="15" t="s">
        <v>3512</v>
      </c>
      <c r="B2473" s="58">
        <v>34907942818</v>
      </c>
      <c r="C2473" s="63" t="s">
        <v>3513</v>
      </c>
      <c r="D2473" s="60">
        <v>36020385809</v>
      </c>
      <c r="E2473" s="9"/>
      <c r="F2473" s="25"/>
      <c r="G2473" s="61"/>
      <c r="H2473" s="9"/>
      <c r="I2473" s="8"/>
      <c r="J2473" s="8"/>
      <c r="K2473" s="8"/>
      <c r="L2473" s="8"/>
      <c r="M2473" s="8"/>
    </row>
    <row r="2474" spans="1:13">
      <c r="A2474" s="62" t="s">
        <v>3514</v>
      </c>
      <c r="B2474" s="58">
        <v>32865304841</v>
      </c>
      <c r="C2474" s="63"/>
      <c r="D2474" s="60"/>
      <c r="E2474" s="9"/>
      <c r="F2474" s="25"/>
      <c r="G2474" s="84"/>
      <c r="H2474" s="9"/>
      <c r="I2474" s="8"/>
      <c r="J2474" s="8"/>
      <c r="K2474" s="8"/>
      <c r="L2474" s="8"/>
      <c r="M2474" s="8"/>
    </row>
    <row r="2475" spans="1:13">
      <c r="A2475" s="62" t="s">
        <v>3515</v>
      </c>
      <c r="B2475" s="58">
        <v>40642684820</v>
      </c>
      <c r="C2475" s="63" t="s">
        <v>3516</v>
      </c>
      <c r="D2475" s="60">
        <v>43189527890</v>
      </c>
      <c r="E2475" s="9">
        <v>292</v>
      </c>
      <c r="F2475" s="25">
        <v>43168</v>
      </c>
      <c r="G2475" s="61" t="s">
        <v>13</v>
      </c>
      <c r="H2475" s="9"/>
      <c r="I2475" s="8"/>
      <c r="J2475" s="8"/>
      <c r="K2475" s="8"/>
      <c r="L2475" s="9">
        <v>318</v>
      </c>
      <c r="M2475" s="8"/>
    </row>
    <row r="2476" spans="1:13">
      <c r="A2476" s="62" t="s">
        <v>3517</v>
      </c>
      <c r="B2476" s="58">
        <v>36401343893</v>
      </c>
      <c r="C2476" s="63" t="s">
        <v>3518</v>
      </c>
      <c r="D2476" s="60">
        <v>43068415888</v>
      </c>
      <c r="E2476" s="9">
        <v>563</v>
      </c>
      <c r="F2476" s="25">
        <v>43217</v>
      </c>
      <c r="G2476" s="61"/>
      <c r="H2476" s="9"/>
      <c r="I2476" s="8"/>
      <c r="J2476" s="8"/>
      <c r="K2476" s="8"/>
      <c r="L2476" s="9" t="s">
        <v>299</v>
      </c>
      <c r="M2476" s="8"/>
    </row>
    <row r="2477" spans="1:13">
      <c r="A2477" s="15" t="s">
        <v>3519</v>
      </c>
      <c r="B2477" s="58">
        <v>10413301460</v>
      </c>
      <c r="C2477" s="63" t="s">
        <v>3520</v>
      </c>
      <c r="D2477" s="60">
        <v>10931047404</v>
      </c>
      <c r="E2477" s="9">
        <v>117</v>
      </c>
      <c r="F2477" s="25">
        <v>43117</v>
      </c>
      <c r="G2477" s="61" t="s">
        <v>13</v>
      </c>
      <c r="H2477" s="9"/>
      <c r="I2477" s="8"/>
      <c r="J2477" s="8"/>
      <c r="K2477" s="8"/>
      <c r="L2477" s="9" t="s">
        <v>170</v>
      </c>
      <c r="M2477" s="8"/>
    </row>
    <row r="2478" spans="1:13">
      <c r="A2478" s="15" t="s">
        <v>3521</v>
      </c>
      <c r="B2478" s="58">
        <v>42030087866</v>
      </c>
      <c r="C2478" s="63" t="s">
        <v>3522</v>
      </c>
      <c r="D2478" s="60">
        <v>29748028852</v>
      </c>
      <c r="E2478" s="9"/>
      <c r="F2478" s="25"/>
      <c r="G2478" s="61"/>
      <c r="H2478" s="9"/>
      <c r="I2478" s="8"/>
      <c r="J2478" s="8"/>
      <c r="K2478" s="8"/>
      <c r="L2478" s="8"/>
      <c r="M2478" s="8"/>
    </row>
    <row r="2479" spans="1:13">
      <c r="A2479" s="15" t="s">
        <v>3523</v>
      </c>
      <c r="B2479" s="58">
        <v>46879751865</v>
      </c>
      <c r="C2479" s="63"/>
      <c r="D2479" s="60"/>
      <c r="E2479" s="9"/>
      <c r="F2479" s="25"/>
      <c r="G2479" s="61"/>
      <c r="H2479" s="9"/>
      <c r="I2479" s="8"/>
      <c r="J2479" s="8"/>
      <c r="K2479" s="8"/>
      <c r="L2479" s="8"/>
      <c r="M2479" s="8"/>
    </row>
    <row r="2480" spans="1:13">
      <c r="A2480" s="19" t="s">
        <v>3524</v>
      </c>
      <c r="B2480" s="58">
        <v>38302413801</v>
      </c>
      <c r="C2480" s="68" t="s">
        <v>3525</v>
      </c>
      <c r="D2480" s="60">
        <v>33894151811</v>
      </c>
      <c r="E2480" s="9"/>
      <c r="F2480" s="25"/>
      <c r="G2480" s="61"/>
      <c r="H2480" s="9"/>
      <c r="I2480" s="8"/>
      <c r="J2480" s="8"/>
      <c r="K2480" s="8"/>
      <c r="L2480" s="8"/>
      <c r="M2480" s="8"/>
    </row>
    <row r="2481" spans="1:13">
      <c r="A2481" s="62" t="s">
        <v>3526</v>
      </c>
      <c r="B2481" s="58">
        <v>1421810301</v>
      </c>
      <c r="C2481" s="63"/>
      <c r="D2481" s="60"/>
      <c r="E2481" s="9">
        <v>810</v>
      </c>
      <c r="F2481" s="25">
        <v>42915</v>
      </c>
      <c r="G2481" s="61" t="s">
        <v>13</v>
      </c>
      <c r="H2481" s="9"/>
      <c r="I2481" s="8"/>
      <c r="J2481" s="8"/>
      <c r="K2481" s="8"/>
      <c r="L2481" s="9" t="s">
        <v>138</v>
      </c>
      <c r="M2481" s="8"/>
    </row>
    <row r="2482" spans="1:13">
      <c r="A2482" s="62" t="s">
        <v>3527</v>
      </c>
      <c r="B2482" s="58">
        <v>33735840</v>
      </c>
      <c r="C2482" s="63"/>
      <c r="D2482" s="60"/>
      <c r="E2482" s="9">
        <v>262</v>
      </c>
      <c r="F2482" s="25">
        <v>43160</v>
      </c>
      <c r="G2482" s="61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3528</v>
      </c>
      <c r="B2483" s="58">
        <v>2884067531</v>
      </c>
      <c r="C2483" s="63"/>
      <c r="D2483" s="60"/>
      <c r="E2483" s="9">
        <v>262</v>
      </c>
      <c r="F2483" s="25">
        <v>43160</v>
      </c>
      <c r="G2483" s="61" t="s">
        <v>20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62" t="s">
        <v>3529</v>
      </c>
      <c r="B2484" s="58">
        <v>27421788808</v>
      </c>
      <c r="C2484" s="63"/>
      <c r="D2484" s="60"/>
      <c r="E2484" s="9">
        <v>1570</v>
      </c>
      <c r="F2484" s="25">
        <v>43055</v>
      </c>
      <c r="G2484" s="9" t="s">
        <v>13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62" t="s">
        <v>3530</v>
      </c>
      <c r="B2485" s="58">
        <v>12713166845</v>
      </c>
      <c r="C2485" s="63"/>
      <c r="D2485" s="60"/>
      <c r="E2485" s="9">
        <v>292</v>
      </c>
      <c r="F2485" s="25">
        <v>43168</v>
      </c>
      <c r="G2485" s="61" t="s">
        <v>13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3531</v>
      </c>
      <c r="B2486" s="58">
        <v>34034498315</v>
      </c>
      <c r="C2486" s="63" t="s">
        <v>3532</v>
      </c>
      <c r="D2486" s="60">
        <v>30620015349</v>
      </c>
      <c r="E2486" s="9">
        <v>1470</v>
      </c>
      <c r="F2486" s="25">
        <v>43031</v>
      </c>
      <c r="G2486" s="61" t="s">
        <v>13</v>
      </c>
      <c r="H2486" s="9"/>
      <c r="I2486" s="8"/>
      <c r="J2486" s="8"/>
      <c r="K2486" s="8"/>
      <c r="L2486" s="8"/>
      <c r="M2486" s="8"/>
    </row>
    <row r="2487" spans="1:13">
      <c r="A2487" s="62" t="s">
        <v>3533</v>
      </c>
      <c r="B2487" s="58">
        <v>38027861810</v>
      </c>
      <c r="C2487" s="63" t="s">
        <v>3534</v>
      </c>
      <c r="D2487" s="60">
        <v>28770070814</v>
      </c>
      <c r="E2487" s="9">
        <v>443</v>
      </c>
      <c r="F2487" s="25">
        <v>43188</v>
      </c>
      <c r="G2487" s="61"/>
      <c r="H2487" s="9"/>
      <c r="I2487" s="8"/>
      <c r="J2487" s="8"/>
      <c r="K2487" s="8"/>
      <c r="L2487" s="8"/>
      <c r="M2487" s="8"/>
    </row>
    <row r="2488" spans="1:13">
      <c r="A2488" s="15" t="s">
        <v>3535</v>
      </c>
      <c r="B2488" s="58">
        <v>34557275818</v>
      </c>
      <c r="C2488" s="63" t="s">
        <v>3536</v>
      </c>
      <c r="D2488" s="60">
        <v>25995627830</v>
      </c>
      <c r="E2488" s="9">
        <v>262</v>
      </c>
      <c r="F2488" s="25">
        <v>43160</v>
      </c>
      <c r="G2488" s="61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62" t="s">
        <v>3537</v>
      </c>
      <c r="B2489" s="58">
        <v>29929841830</v>
      </c>
      <c r="C2489" s="63"/>
      <c r="D2489" s="60"/>
      <c r="E2489" s="9">
        <v>1752</v>
      </c>
      <c r="F2489" s="25">
        <v>43051</v>
      </c>
      <c r="G2489" s="61" t="s">
        <v>13</v>
      </c>
      <c r="H2489" s="9"/>
      <c r="I2489" s="8"/>
      <c r="J2489" s="8"/>
      <c r="K2489" s="8"/>
      <c r="L2489" s="9">
        <v>1759</v>
      </c>
      <c r="M2489" s="8"/>
    </row>
    <row r="2490" spans="1:13">
      <c r="A2490" s="27" t="s">
        <v>3538</v>
      </c>
      <c r="B2490" s="58"/>
      <c r="C2490" s="27" t="s">
        <v>3539</v>
      </c>
      <c r="D2490" s="60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3540</v>
      </c>
      <c r="B2491" s="58">
        <v>40298877830</v>
      </c>
      <c r="C2491" s="63" t="s">
        <v>3541</v>
      </c>
      <c r="D2491" s="60">
        <v>5551703576</v>
      </c>
      <c r="E2491" s="9">
        <v>262</v>
      </c>
      <c r="F2491" s="25">
        <v>43160</v>
      </c>
      <c r="G2491" s="61" t="s">
        <v>13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62" t="s">
        <v>3542</v>
      </c>
      <c r="B2492" s="58">
        <v>36295512895</v>
      </c>
      <c r="C2492" s="63" t="s">
        <v>3543</v>
      </c>
      <c r="D2492" s="60">
        <v>29129585805</v>
      </c>
      <c r="E2492" s="9">
        <v>292</v>
      </c>
      <c r="F2492" s="25">
        <v>43168</v>
      </c>
      <c r="G2492" s="61" t="s">
        <v>13</v>
      </c>
      <c r="H2492" s="9"/>
      <c r="I2492" s="8"/>
      <c r="J2492" s="8"/>
      <c r="K2492" s="8"/>
      <c r="L2492" s="9">
        <v>318</v>
      </c>
      <c r="M2492" s="8"/>
    </row>
    <row r="2493" spans="1:13">
      <c r="A2493" s="64" t="s">
        <v>3544</v>
      </c>
      <c r="B2493" s="58">
        <v>13188101830</v>
      </c>
      <c r="C2493" s="63" t="s">
        <v>3545</v>
      </c>
      <c r="D2493" s="60">
        <v>55072399320</v>
      </c>
      <c r="E2493" s="9">
        <v>1752</v>
      </c>
      <c r="F2493" s="25">
        <v>43051</v>
      </c>
      <c r="G2493" s="61" t="s">
        <v>20</v>
      </c>
      <c r="H2493" s="9"/>
      <c r="I2493" s="8"/>
      <c r="J2493" s="8"/>
      <c r="K2493" s="8"/>
      <c r="L2493" s="9">
        <v>1759</v>
      </c>
      <c r="M2493" s="8"/>
    </row>
    <row r="2494" spans="1:13">
      <c r="A2494" s="62" t="s">
        <v>3546</v>
      </c>
      <c r="B2494" s="58">
        <v>4592851307</v>
      </c>
      <c r="C2494" s="59"/>
      <c r="D2494" s="60"/>
      <c r="E2494" s="9"/>
      <c r="F2494" s="25"/>
      <c r="G2494" s="61"/>
      <c r="H2494" s="9"/>
      <c r="I2494" s="8"/>
      <c r="J2494" s="8"/>
      <c r="K2494" s="8"/>
      <c r="L2494" s="8"/>
      <c r="M2494" s="8"/>
    </row>
    <row r="2495" spans="1:13">
      <c r="A2495" s="62" t="s">
        <v>3547</v>
      </c>
      <c r="B2495" s="58">
        <v>33207343856</v>
      </c>
      <c r="C2495" s="59"/>
      <c r="D2495" s="60"/>
      <c r="E2495" s="9">
        <v>1489</v>
      </c>
      <c r="F2495" s="25">
        <v>43038</v>
      </c>
      <c r="G2495" s="61" t="s">
        <v>13</v>
      </c>
      <c r="H2495" s="9"/>
      <c r="I2495" s="8"/>
      <c r="J2495" s="8"/>
      <c r="K2495" s="8"/>
      <c r="L2495" s="9" t="s">
        <v>160</v>
      </c>
      <c r="M2495" s="8"/>
    </row>
    <row r="2496" spans="1:13">
      <c r="A2496" s="62" t="s">
        <v>3548</v>
      </c>
      <c r="B2496" s="58">
        <v>51930315368</v>
      </c>
      <c r="C2496" s="63"/>
      <c r="D2496" s="60"/>
      <c r="E2496" s="9"/>
      <c r="F2496" s="25"/>
      <c r="G2496" s="61"/>
      <c r="H2496" s="9"/>
      <c r="I2496" s="8"/>
      <c r="J2496" s="8"/>
      <c r="K2496" s="8"/>
      <c r="L2496" s="8"/>
      <c r="M2496" s="8"/>
    </row>
    <row r="2497" spans="1:13">
      <c r="A2497" s="63" t="s">
        <v>3549</v>
      </c>
      <c r="B2497" s="58">
        <v>18468597864</v>
      </c>
      <c r="C2497" s="63" t="s">
        <v>3550</v>
      </c>
      <c r="D2497" s="60">
        <v>28658630854</v>
      </c>
      <c r="E2497" s="9"/>
      <c r="F2497" s="25"/>
      <c r="G2497" s="61"/>
      <c r="H2497" s="9"/>
      <c r="I2497" s="8"/>
      <c r="J2497" s="8"/>
      <c r="K2497" s="8"/>
      <c r="L2497" s="8"/>
      <c r="M2497" s="8"/>
    </row>
    <row r="2498" spans="1:13">
      <c r="A2498" s="62" t="s">
        <v>3551</v>
      </c>
      <c r="B2498" s="58">
        <v>18462937825</v>
      </c>
      <c r="C2498" s="59"/>
      <c r="D2498" s="60"/>
      <c r="E2498" s="9">
        <v>1128</v>
      </c>
      <c r="F2498" s="25">
        <v>42972</v>
      </c>
      <c r="G2498" s="61" t="s">
        <v>13</v>
      </c>
      <c r="H2498" s="9"/>
      <c r="I2498" s="8"/>
      <c r="J2498" s="8"/>
      <c r="K2498" s="8"/>
      <c r="L2498" s="8"/>
      <c r="M2498" s="8"/>
    </row>
    <row r="2499" spans="1:13">
      <c r="A2499" s="15" t="s">
        <v>3552</v>
      </c>
      <c r="B2499" s="58">
        <v>38618983810</v>
      </c>
      <c r="C2499" s="63"/>
      <c r="D2499" s="60"/>
      <c r="E2499" s="9">
        <v>229</v>
      </c>
      <c r="F2499" s="25">
        <v>43151</v>
      </c>
      <c r="G2499" s="61" t="s">
        <v>13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3553</v>
      </c>
      <c r="B2500" s="58">
        <v>46654346890</v>
      </c>
      <c r="C2500" s="63"/>
      <c r="D2500" s="60"/>
      <c r="E2500" s="9">
        <v>85</v>
      </c>
      <c r="F2500" s="25">
        <v>43109</v>
      </c>
      <c r="G2500" s="61" t="s">
        <v>13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3554</v>
      </c>
      <c r="B2501" s="58">
        <v>23134916843</v>
      </c>
      <c r="C2501" s="63" t="s">
        <v>3555</v>
      </c>
      <c r="D2501" s="60"/>
      <c r="E2501" s="9"/>
      <c r="F2501" s="25"/>
      <c r="G2501" s="61"/>
      <c r="H2501" s="9"/>
      <c r="I2501" s="8"/>
      <c r="J2501" s="8"/>
      <c r="K2501" s="8"/>
      <c r="L2501" s="8"/>
      <c r="M2501" s="8"/>
    </row>
    <row r="2502" spans="1:13">
      <c r="A2502" s="63" t="s">
        <v>3556</v>
      </c>
      <c r="B2502" s="58">
        <v>60939966468</v>
      </c>
      <c r="C2502" s="63" t="s">
        <v>3557</v>
      </c>
      <c r="D2502" s="60">
        <v>43508498824</v>
      </c>
      <c r="E2502" s="9"/>
      <c r="F2502" s="25"/>
      <c r="G2502" s="61"/>
      <c r="H2502" s="9"/>
      <c r="I2502" s="8"/>
      <c r="J2502" s="8"/>
      <c r="K2502" s="8"/>
      <c r="L2502" s="8"/>
      <c r="M2502" s="8"/>
    </row>
    <row r="2503" spans="1:13">
      <c r="A2503" s="27" t="s">
        <v>3558</v>
      </c>
      <c r="B2503" s="58"/>
      <c r="C2503" s="27" t="s">
        <v>3559</v>
      </c>
      <c r="D2503" s="60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3560</v>
      </c>
      <c r="B2504" s="58">
        <v>33701764832</v>
      </c>
      <c r="C2504" s="63"/>
      <c r="D2504" s="60"/>
      <c r="E2504" s="9">
        <v>262</v>
      </c>
      <c r="F2504" s="25">
        <v>43160</v>
      </c>
      <c r="G2504" s="61" t="s">
        <v>13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3561</v>
      </c>
      <c r="B2505" s="58">
        <v>33594407810</v>
      </c>
      <c r="C2505" s="59" t="s">
        <v>3562</v>
      </c>
      <c r="D2505" s="60">
        <v>5613611777</v>
      </c>
      <c r="E2505" s="9">
        <v>1128</v>
      </c>
      <c r="F2505" s="25">
        <v>42972</v>
      </c>
      <c r="G2505" s="61" t="s">
        <v>13</v>
      </c>
      <c r="H2505" s="9"/>
      <c r="I2505" s="8"/>
      <c r="J2505" s="8"/>
      <c r="K2505" s="8"/>
      <c r="L2505" s="8"/>
      <c r="M2505" s="8"/>
    </row>
    <row r="2506" spans="1:13">
      <c r="A2506" s="62" t="s">
        <v>3563</v>
      </c>
      <c r="B2506" s="58">
        <v>31973273810</v>
      </c>
      <c r="C2506" s="63"/>
      <c r="D2506" s="60"/>
      <c r="E2506" s="9">
        <v>292</v>
      </c>
      <c r="F2506" s="25">
        <v>43168</v>
      </c>
      <c r="G2506" s="61" t="s">
        <v>13</v>
      </c>
      <c r="H2506" s="9"/>
      <c r="I2506" s="8"/>
      <c r="J2506" s="8"/>
      <c r="K2506" s="8"/>
      <c r="L2506" s="9">
        <v>318</v>
      </c>
      <c r="M2506" s="8"/>
    </row>
    <row r="2507" spans="1:13">
      <c r="A2507" s="62" t="s">
        <v>3564</v>
      </c>
      <c r="B2507" s="58">
        <v>38473495896</v>
      </c>
      <c r="C2507" s="68"/>
      <c r="D2507" s="60"/>
      <c r="E2507" s="9"/>
      <c r="F2507" s="25"/>
      <c r="G2507" s="61"/>
      <c r="H2507" s="9"/>
      <c r="I2507" s="8"/>
      <c r="J2507" s="8"/>
      <c r="K2507" s="8"/>
      <c r="L2507" s="8"/>
      <c r="M2507" s="8"/>
    </row>
    <row r="2508" spans="1:13">
      <c r="A2508" s="62" t="s">
        <v>3565</v>
      </c>
      <c r="B2508" s="58">
        <v>38404903832</v>
      </c>
      <c r="C2508" s="63" t="s">
        <v>3566</v>
      </c>
      <c r="D2508" s="60">
        <v>35612360819</v>
      </c>
      <c r="E2508" s="9">
        <v>810</v>
      </c>
      <c r="F2508" s="25">
        <v>42915</v>
      </c>
      <c r="G2508" s="61" t="s">
        <v>13</v>
      </c>
      <c r="H2508" s="9"/>
      <c r="I2508" s="8"/>
      <c r="J2508" s="8"/>
      <c r="K2508" s="8"/>
      <c r="L2508" s="9" t="s">
        <v>138</v>
      </c>
      <c r="M2508" s="8"/>
    </row>
    <row r="2509" spans="1:13">
      <c r="A2509" s="62" t="s">
        <v>3567</v>
      </c>
      <c r="B2509" s="58">
        <v>33198410843</v>
      </c>
      <c r="C2509" s="63" t="s">
        <v>3568</v>
      </c>
      <c r="D2509" s="60">
        <v>32853865843</v>
      </c>
      <c r="E2509" s="9">
        <v>810</v>
      </c>
      <c r="F2509" s="25">
        <v>42915</v>
      </c>
      <c r="G2509" s="61" t="s">
        <v>13</v>
      </c>
      <c r="H2509" s="9"/>
      <c r="I2509" s="8"/>
      <c r="J2509" s="8"/>
      <c r="K2509" s="8"/>
      <c r="L2509" s="9" t="s">
        <v>138</v>
      </c>
      <c r="M2509" s="8"/>
    </row>
    <row r="2510" spans="1:13">
      <c r="A2510" s="62" t="s">
        <v>3569</v>
      </c>
      <c r="B2510" s="58">
        <v>39248825842</v>
      </c>
      <c r="C2510" s="63"/>
      <c r="D2510" s="60"/>
      <c r="E2510" s="9">
        <v>292</v>
      </c>
      <c r="F2510" s="25">
        <v>43168</v>
      </c>
      <c r="G2510" s="61" t="s">
        <v>13</v>
      </c>
      <c r="H2510" s="9"/>
      <c r="I2510" s="8"/>
      <c r="J2510" s="8"/>
      <c r="K2510" s="8"/>
      <c r="L2510" s="9">
        <v>318</v>
      </c>
      <c r="M2510" s="8"/>
    </row>
    <row r="2511" spans="1:13">
      <c r="A2511" s="62" t="s">
        <v>3570</v>
      </c>
      <c r="B2511" s="58">
        <v>46962268831</v>
      </c>
      <c r="C2511" s="63" t="s">
        <v>3571</v>
      </c>
      <c r="D2511" s="60">
        <v>40564058831</v>
      </c>
      <c r="E2511" s="9">
        <v>1752</v>
      </c>
      <c r="F2511" s="25">
        <v>43051</v>
      </c>
      <c r="G2511" s="61" t="s">
        <v>28</v>
      </c>
      <c r="H2511" s="9"/>
      <c r="I2511" s="8"/>
      <c r="J2511" s="8"/>
      <c r="K2511" s="8"/>
      <c r="L2511" s="9">
        <v>1759</v>
      </c>
      <c r="M2511" s="8"/>
    </row>
    <row r="2512" spans="1:13">
      <c r="A2512" s="62" t="s">
        <v>3572</v>
      </c>
      <c r="B2512" s="58">
        <v>33337344860</v>
      </c>
      <c r="C2512" s="63" t="s">
        <v>3573</v>
      </c>
      <c r="D2512" s="60">
        <v>33436663867</v>
      </c>
      <c r="E2512" s="9">
        <v>810</v>
      </c>
      <c r="F2512" s="25">
        <v>42915</v>
      </c>
      <c r="G2512" s="61" t="s">
        <v>13</v>
      </c>
      <c r="H2512" s="9"/>
      <c r="I2512" s="8"/>
      <c r="J2512" s="8"/>
      <c r="K2512" s="8"/>
      <c r="L2512" s="9" t="s">
        <v>138</v>
      </c>
      <c r="M2512" s="8"/>
    </row>
    <row r="2513" spans="1:13">
      <c r="A2513" s="14" t="s">
        <v>3574</v>
      </c>
      <c r="B2513" s="58">
        <v>11587518694</v>
      </c>
      <c r="C2513" s="63" t="s">
        <v>3575</v>
      </c>
      <c r="D2513" s="60">
        <v>4367275442</v>
      </c>
      <c r="E2513" s="9"/>
      <c r="F2513" s="25"/>
      <c r="G2513" s="61"/>
      <c r="H2513" s="9"/>
      <c r="I2513" s="8"/>
      <c r="J2513" s="8"/>
      <c r="K2513" s="8"/>
      <c r="L2513" s="8"/>
      <c r="M2513" s="8"/>
    </row>
    <row r="2514" spans="1:13">
      <c r="A2514" s="13" t="s">
        <v>3576</v>
      </c>
      <c r="B2514" s="58">
        <v>37957151809</v>
      </c>
      <c r="C2514" s="63" t="s">
        <v>3577</v>
      </c>
      <c r="D2514" s="60">
        <v>28342788814</v>
      </c>
      <c r="E2514" s="9">
        <v>1570</v>
      </c>
      <c r="F2514" s="25">
        <v>43077</v>
      </c>
      <c r="G2514" s="61" t="s">
        <v>13</v>
      </c>
      <c r="H2514" s="9"/>
      <c r="I2514" s="8"/>
      <c r="J2514" s="8"/>
      <c r="K2514" s="8"/>
      <c r="L2514" s="8"/>
      <c r="M2514" s="8"/>
    </row>
    <row r="2515" spans="1:13">
      <c r="A2515" s="62" t="s">
        <v>3578</v>
      </c>
      <c r="B2515" s="58">
        <v>33607921814</v>
      </c>
      <c r="C2515" s="63"/>
      <c r="D2515" s="60"/>
      <c r="E2515" s="9">
        <v>563</v>
      </c>
      <c r="F2515" s="25">
        <v>43217</v>
      </c>
      <c r="G2515" s="61"/>
      <c r="H2515" s="9"/>
      <c r="I2515" s="8"/>
      <c r="J2515" s="8"/>
      <c r="K2515" s="8"/>
      <c r="L2515" s="9" t="s">
        <v>299</v>
      </c>
      <c r="M2515" s="8"/>
    </row>
    <row r="2516" spans="1:13">
      <c r="A2516" s="27" t="s">
        <v>3579</v>
      </c>
      <c r="B2516" s="58">
        <v>35434226852</v>
      </c>
      <c r="C2516" s="27" t="s">
        <v>3580</v>
      </c>
      <c r="D2516" s="60">
        <v>35141643808</v>
      </c>
      <c r="E2516" s="9"/>
      <c r="F2516" s="25"/>
      <c r="G2516" s="61"/>
      <c r="H2516" s="9"/>
      <c r="I2516" s="8"/>
      <c r="J2516" s="8"/>
      <c r="K2516" s="8"/>
      <c r="L2516" s="8"/>
      <c r="M2516" s="8"/>
    </row>
    <row r="2517" spans="1:13">
      <c r="A2517" s="62" t="s">
        <v>3581</v>
      </c>
      <c r="B2517" s="58">
        <v>32019159805</v>
      </c>
      <c r="C2517" s="63"/>
      <c r="D2517" s="60"/>
      <c r="E2517" s="9">
        <v>85</v>
      </c>
      <c r="F2517" s="25">
        <v>43109</v>
      </c>
      <c r="G2517" s="61" t="s">
        <v>13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3582</v>
      </c>
      <c r="B2518" s="58">
        <v>32997471850</v>
      </c>
      <c r="C2518" s="63"/>
      <c r="D2518" s="60"/>
      <c r="E2518" s="9">
        <v>1350</v>
      </c>
      <c r="F2518" s="25">
        <v>43006</v>
      </c>
      <c r="G2518" s="61" t="s">
        <v>13</v>
      </c>
      <c r="H2518" s="9"/>
      <c r="I2518" s="8"/>
      <c r="J2518" s="8"/>
      <c r="K2518" s="8"/>
      <c r="L2518" s="8"/>
      <c r="M2518" s="8"/>
    </row>
    <row r="2519" spans="1:13">
      <c r="A2519" s="15" t="s">
        <v>3583</v>
      </c>
      <c r="B2519" s="58">
        <v>22184632880</v>
      </c>
      <c r="C2519" s="63"/>
      <c r="D2519" s="60"/>
      <c r="E2519" s="9">
        <v>262</v>
      </c>
      <c r="F2519" s="25">
        <v>43160</v>
      </c>
      <c r="G2519" s="61" t="s">
        <v>13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3584</v>
      </c>
      <c r="B2520" s="58">
        <v>25408655857</v>
      </c>
      <c r="C2520" s="63"/>
      <c r="D2520" s="60"/>
      <c r="E2520" s="9"/>
      <c r="F2520" s="25"/>
      <c r="G2520" s="61"/>
      <c r="H2520" s="9"/>
      <c r="I2520" s="8"/>
      <c r="J2520" s="8"/>
      <c r="K2520" s="8"/>
      <c r="L2520" s="8"/>
      <c r="M2520" s="8"/>
    </row>
    <row r="2521" spans="1:13">
      <c r="A2521" s="63" t="s">
        <v>3585</v>
      </c>
      <c r="B2521" s="58">
        <v>2802673637</v>
      </c>
      <c r="C2521" s="63"/>
      <c r="D2521" s="60"/>
      <c r="E2521" s="9"/>
      <c r="F2521" s="25"/>
      <c r="G2521" s="61"/>
      <c r="H2521" s="9"/>
      <c r="I2521" s="8"/>
      <c r="J2521" s="8"/>
      <c r="K2521" s="8"/>
      <c r="L2521" s="8"/>
      <c r="M2521" s="8"/>
    </row>
    <row r="2522" spans="1:13">
      <c r="A2522" s="62" t="s">
        <v>3586</v>
      </c>
      <c r="B2522" s="58">
        <v>31989585809</v>
      </c>
      <c r="C2522" s="63" t="s">
        <v>3587</v>
      </c>
      <c r="D2522" s="60">
        <v>4312861919</v>
      </c>
      <c r="E2522" s="9">
        <v>1824</v>
      </c>
      <c r="F2522" s="25">
        <v>43091</v>
      </c>
      <c r="G2522" s="61" t="s">
        <v>28</v>
      </c>
      <c r="H2522" s="9"/>
      <c r="I2522" s="8"/>
      <c r="J2522" s="8"/>
      <c r="K2522" s="8"/>
      <c r="L2522" s="9">
        <v>1828</v>
      </c>
      <c r="M2522" s="8"/>
    </row>
    <row r="2523" spans="1:13">
      <c r="A2523" s="27" t="s">
        <v>3588</v>
      </c>
      <c r="B2523" s="58">
        <v>30264611802</v>
      </c>
      <c r="C2523" s="27" t="s">
        <v>3589</v>
      </c>
      <c r="D2523" s="60">
        <v>38321522882</v>
      </c>
      <c r="E2523" s="9"/>
      <c r="F2523" s="25"/>
      <c r="G2523" s="61"/>
      <c r="H2523" s="9"/>
      <c r="I2523" s="8"/>
      <c r="J2523" s="8"/>
      <c r="K2523" s="8"/>
      <c r="L2523" s="8"/>
      <c r="M2523" s="8"/>
    </row>
    <row r="2524" spans="1:13">
      <c r="A2524" s="13" t="s">
        <v>3590</v>
      </c>
      <c r="B2524" s="58">
        <v>98401858534</v>
      </c>
      <c r="C2524" s="59"/>
      <c r="D2524" s="60"/>
      <c r="E2524" s="9">
        <v>1128</v>
      </c>
      <c r="F2524" s="25">
        <v>42972</v>
      </c>
      <c r="G2524" s="61" t="s">
        <v>13</v>
      </c>
      <c r="H2524" s="9"/>
      <c r="I2524" s="8"/>
      <c r="J2524" s="8"/>
      <c r="K2524" s="8"/>
      <c r="L2524" s="8"/>
      <c r="M2524" s="8"/>
    </row>
    <row r="2525" spans="1:13">
      <c r="A2525" s="62" t="s">
        <v>3591</v>
      </c>
      <c r="B2525" s="58">
        <v>35598313855</v>
      </c>
      <c r="C2525" s="63"/>
      <c r="D2525" s="60"/>
      <c r="E2525" s="9">
        <v>292</v>
      </c>
      <c r="F2525" s="25">
        <v>43168</v>
      </c>
      <c r="G2525" s="61" t="s">
        <v>13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3592</v>
      </c>
      <c r="B2526" s="58">
        <v>8432447803</v>
      </c>
      <c r="C2526" s="63"/>
      <c r="D2526" s="60"/>
      <c r="E2526" s="9">
        <v>262</v>
      </c>
      <c r="F2526" s="25">
        <v>43160</v>
      </c>
      <c r="G2526" s="61" t="s">
        <v>13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62" t="s">
        <v>3593</v>
      </c>
      <c r="B2527" s="58">
        <v>61372684549</v>
      </c>
      <c r="C2527" s="63"/>
      <c r="D2527" s="60"/>
      <c r="E2527" s="9">
        <v>262</v>
      </c>
      <c r="F2527" s="25">
        <v>43160</v>
      </c>
      <c r="G2527" s="9" t="s">
        <v>13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62" t="s">
        <v>3594</v>
      </c>
      <c r="B2528" s="58">
        <v>3110525330</v>
      </c>
      <c r="C2528" s="63"/>
      <c r="D2528" s="60"/>
      <c r="E2528" s="9">
        <v>573</v>
      </c>
      <c r="F2528" s="25">
        <v>43224</v>
      </c>
      <c r="G2528" s="61"/>
      <c r="H2528" s="9"/>
      <c r="I2528" s="8"/>
      <c r="J2528" s="8"/>
      <c r="K2528" s="8"/>
      <c r="L2528" s="8"/>
      <c r="M2528" s="8"/>
    </row>
    <row r="2529" spans="1:13">
      <c r="A2529" s="62" t="s">
        <v>3595</v>
      </c>
      <c r="B2529" s="58">
        <v>37331713817</v>
      </c>
      <c r="C2529" s="63"/>
      <c r="D2529" s="60"/>
      <c r="E2529" s="9"/>
      <c r="F2529" s="25"/>
      <c r="G2529" s="61"/>
      <c r="H2529" s="9"/>
      <c r="I2529" s="8"/>
      <c r="J2529" s="8"/>
      <c r="K2529" s="8"/>
      <c r="L2529" s="8"/>
      <c r="M2529" s="8"/>
    </row>
    <row r="2530" spans="1:13">
      <c r="A2530" s="62" t="s">
        <v>3596</v>
      </c>
      <c r="B2530" s="58">
        <v>31117169880</v>
      </c>
      <c r="C2530" s="63" t="s">
        <v>3597</v>
      </c>
      <c r="D2530" s="60">
        <v>94586772468</v>
      </c>
      <c r="E2530" s="9"/>
      <c r="F2530" s="25"/>
      <c r="G2530" s="61"/>
      <c r="H2530" s="9"/>
      <c r="I2530" s="8"/>
      <c r="J2530" s="8"/>
      <c r="K2530" s="8"/>
      <c r="L2530" s="8"/>
      <c r="M2530" s="8"/>
    </row>
    <row r="2531" spans="1:13">
      <c r="A2531" s="15" t="s">
        <v>3598</v>
      </c>
      <c r="B2531" s="58">
        <v>16412994874</v>
      </c>
      <c r="C2531" s="63"/>
      <c r="D2531" s="60"/>
      <c r="E2531" s="9">
        <v>117</v>
      </c>
      <c r="F2531" s="25">
        <v>43117</v>
      </c>
      <c r="G2531" s="61" t="s">
        <v>13</v>
      </c>
      <c r="H2531" s="9"/>
      <c r="I2531" s="8"/>
      <c r="J2531" s="8"/>
      <c r="K2531" s="8"/>
      <c r="L2531" s="9" t="s">
        <v>170</v>
      </c>
      <c r="M2531" s="8"/>
    </row>
    <row r="2532" spans="1:13">
      <c r="A2532" s="27" t="s">
        <v>3599</v>
      </c>
      <c r="B2532" s="58"/>
      <c r="C2532" s="18"/>
      <c r="D2532" s="60"/>
      <c r="E2532" s="9"/>
      <c r="F2532" s="25"/>
      <c r="G2532" s="61"/>
      <c r="H2532" s="9"/>
      <c r="I2532" s="8"/>
      <c r="J2532" s="8"/>
      <c r="K2532" s="8"/>
      <c r="L2532" s="8"/>
      <c r="M2532" s="8"/>
    </row>
    <row r="2533" spans="1:13">
      <c r="A2533" s="64" t="s">
        <v>3600</v>
      </c>
      <c r="B2533" s="58">
        <v>34800386896</v>
      </c>
      <c r="C2533" s="63" t="s">
        <v>3601</v>
      </c>
      <c r="D2533" s="60">
        <v>33748068808</v>
      </c>
      <c r="E2533" s="9">
        <v>810</v>
      </c>
      <c r="F2533" s="25">
        <v>42915</v>
      </c>
      <c r="G2533" s="61" t="s">
        <v>13</v>
      </c>
      <c r="H2533" s="9"/>
      <c r="I2533" s="8"/>
      <c r="J2533" s="8"/>
      <c r="K2533" s="8"/>
      <c r="L2533" s="9" t="s">
        <v>138</v>
      </c>
      <c r="M2533" s="8"/>
    </row>
    <row r="2534" spans="1:13">
      <c r="A2534" s="63" t="s">
        <v>3602</v>
      </c>
      <c r="B2534" s="58">
        <v>46664827840</v>
      </c>
      <c r="C2534" s="63"/>
      <c r="D2534" s="60"/>
      <c r="E2534" s="9"/>
      <c r="F2534" s="25"/>
      <c r="G2534" s="61"/>
      <c r="H2534" s="9"/>
      <c r="I2534" s="8"/>
      <c r="J2534" s="8"/>
      <c r="K2534" s="8"/>
      <c r="L2534" s="8"/>
      <c r="M2534" s="8"/>
    </row>
    <row r="2535" spans="1:13">
      <c r="A2535" s="62" t="s">
        <v>3603</v>
      </c>
      <c r="B2535" s="58">
        <v>38858760867</v>
      </c>
      <c r="C2535" s="59" t="s">
        <v>3604</v>
      </c>
      <c r="D2535" s="60">
        <v>37279553842</v>
      </c>
      <c r="E2535" s="9">
        <v>1128</v>
      </c>
      <c r="F2535" s="25">
        <v>42972</v>
      </c>
      <c r="G2535" s="61" t="s">
        <v>13</v>
      </c>
      <c r="H2535" s="9"/>
      <c r="I2535" s="8"/>
      <c r="J2535" s="8"/>
      <c r="K2535" s="8"/>
      <c r="L2535" s="8"/>
      <c r="M2535" s="8"/>
    </row>
    <row r="2536" spans="1:13">
      <c r="A2536" s="27" t="s">
        <v>3605</v>
      </c>
      <c r="B2536" s="58">
        <v>43621579800</v>
      </c>
      <c r="C2536" s="27" t="s">
        <v>129</v>
      </c>
      <c r="D2536" s="60"/>
      <c r="E2536" s="9"/>
      <c r="F2536" s="25"/>
      <c r="G2536" s="61"/>
      <c r="H2536" s="9"/>
      <c r="I2536" s="8"/>
      <c r="J2536" s="8"/>
      <c r="K2536" s="8"/>
      <c r="L2536" s="8"/>
      <c r="M2536" s="8"/>
    </row>
    <row r="2537" spans="1:13">
      <c r="A2537" s="62" t="s">
        <v>3606</v>
      </c>
      <c r="B2537" s="58">
        <v>37412192825</v>
      </c>
      <c r="C2537" s="63" t="s">
        <v>3607</v>
      </c>
      <c r="D2537" s="60">
        <v>27576214830</v>
      </c>
      <c r="E2537" s="9">
        <v>1489</v>
      </c>
      <c r="F2537" s="25">
        <v>43038</v>
      </c>
      <c r="G2537" s="61" t="s">
        <v>13</v>
      </c>
      <c r="H2537" s="9"/>
      <c r="I2537" s="8"/>
      <c r="J2537" s="8"/>
      <c r="K2537" s="8"/>
      <c r="L2537" s="9" t="s">
        <v>160</v>
      </c>
      <c r="M2537" s="8"/>
    </row>
    <row r="2538" spans="1:13">
      <c r="A2538" s="62" t="s">
        <v>3608</v>
      </c>
      <c r="B2538" s="58">
        <v>25372296810</v>
      </c>
      <c r="C2538" s="63"/>
      <c r="D2538" s="60"/>
      <c r="E2538" s="9">
        <v>85</v>
      </c>
      <c r="F2538" s="25">
        <v>43109</v>
      </c>
      <c r="G2538" s="61" t="s">
        <v>13</v>
      </c>
      <c r="H2538" s="25">
        <v>43151</v>
      </c>
      <c r="I2538" s="8"/>
      <c r="J2538" s="8"/>
      <c r="K2538" s="8"/>
      <c r="L2538" s="8"/>
      <c r="M2538" s="8"/>
    </row>
    <row r="2539" spans="1:13">
      <c r="A2539" s="62" t="s">
        <v>3609</v>
      </c>
      <c r="B2539" s="58">
        <v>26516449864</v>
      </c>
      <c r="C2539" s="63"/>
      <c r="D2539" s="60"/>
      <c r="E2539" s="9">
        <v>810</v>
      </c>
      <c r="F2539" s="25">
        <v>42915</v>
      </c>
      <c r="G2539" s="61" t="s">
        <v>13</v>
      </c>
      <c r="H2539" s="9"/>
      <c r="I2539" s="8"/>
      <c r="J2539" s="8"/>
      <c r="K2539" s="8"/>
      <c r="L2539" s="9" t="s">
        <v>138</v>
      </c>
      <c r="M2539" s="8"/>
    </row>
    <row r="2540" spans="1:13">
      <c r="A2540" s="62" t="s">
        <v>3610</v>
      </c>
      <c r="B2540" s="58">
        <v>34932681810</v>
      </c>
      <c r="C2540" s="63"/>
      <c r="D2540" s="60"/>
      <c r="E2540" s="9">
        <v>443</v>
      </c>
      <c r="F2540" s="25">
        <v>43188</v>
      </c>
      <c r="G2540" s="61"/>
      <c r="H2540" s="9"/>
      <c r="I2540" s="8"/>
      <c r="J2540" s="8"/>
      <c r="K2540" s="8"/>
      <c r="L2540" s="8"/>
      <c r="M2540" s="8"/>
    </row>
    <row r="2541" spans="1:13">
      <c r="A2541" s="15" t="s">
        <v>3611</v>
      </c>
      <c r="B2541" s="58">
        <v>41136210806</v>
      </c>
      <c r="C2541" s="63"/>
      <c r="D2541" s="60"/>
      <c r="E2541" s="9"/>
      <c r="F2541" s="25"/>
      <c r="G2541" s="61"/>
      <c r="H2541" s="9"/>
      <c r="I2541" s="8"/>
      <c r="J2541" s="8"/>
      <c r="K2541" s="8"/>
      <c r="L2541" s="8"/>
      <c r="M2541" s="8"/>
    </row>
    <row r="2542" spans="1:13">
      <c r="A2542" s="63" t="s">
        <v>3612</v>
      </c>
      <c r="B2542" s="58">
        <v>3402540410</v>
      </c>
      <c r="C2542" s="63"/>
      <c r="D2542" s="60"/>
      <c r="E2542" s="9"/>
      <c r="F2542" s="25"/>
      <c r="G2542" s="61"/>
      <c r="H2542" s="9"/>
      <c r="I2542" s="8"/>
      <c r="J2542" s="8"/>
      <c r="K2542" s="8"/>
      <c r="L2542" s="8"/>
      <c r="M2542" s="8"/>
    </row>
    <row r="2543" spans="1:13">
      <c r="A2543" s="62" t="s">
        <v>3613</v>
      </c>
      <c r="B2543" s="58">
        <v>36613563803</v>
      </c>
      <c r="C2543" s="63" t="s">
        <v>3614</v>
      </c>
      <c r="D2543" s="60">
        <v>27798369899</v>
      </c>
      <c r="E2543" s="9">
        <v>292</v>
      </c>
      <c r="F2543" s="25">
        <v>43168</v>
      </c>
      <c r="G2543" s="61" t="s">
        <v>13</v>
      </c>
      <c r="H2543" s="9"/>
      <c r="I2543" s="8"/>
      <c r="J2543" s="8"/>
      <c r="K2543" s="8"/>
      <c r="L2543" s="9">
        <v>318</v>
      </c>
      <c r="M2543" s="8"/>
    </row>
    <row r="2544" spans="1:13">
      <c r="A2544" s="62" t="s">
        <v>3615</v>
      </c>
      <c r="B2544" s="58">
        <v>35336370851</v>
      </c>
      <c r="C2544" s="63"/>
      <c r="D2544" s="60"/>
      <c r="E2544" s="9"/>
      <c r="F2544" s="25"/>
      <c r="G2544" s="61"/>
      <c r="H2544" s="9"/>
      <c r="I2544" s="8"/>
      <c r="J2544" s="8"/>
      <c r="K2544" s="8"/>
      <c r="L2544" s="8"/>
      <c r="M2544" s="8"/>
    </row>
    <row r="2545" spans="1:13">
      <c r="A2545" s="62" t="s">
        <v>3616</v>
      </c>
      <c r="B2545" s="58">
        <v>29653447807</v>
      </c>
      <c r="C2545" s="63"/>
      <c r="D2545" s="60"/>
      <c r="E2545" s="9">
        <v>810</v>
      </c>
      <c r="F2545" s="25">
        <v>42915</v>
      </c>
      <c r="G2545" s="61" t="s">
        <v>13</v>
      </c>
      <c r="H2545" s="9"/>
      <c r="I2545" s="8"/>
      <c r="J2545" s="8"/>
      <c r="K2545" s="8"/>
      <c r="L2545" s="9" t="s">
        <v>138</v>
      </c>
      <c r="M2545" s="8"/>
    </row>
    <row r="2546" spans="1:13" ht="30">
      <c r="A2546" s="82" t="s">
        <v>3617</v>
      </c>
      <c r="B2546" s="58">
        <v>29034417824</v>
      </c>
      <c r="C2546" s="63"/>
      <c r="D2546" s="60"/>
      <c r="E2546" s="9">
        <v>1350</v>
      </c>
      <c r="F2546" s="25">
        <v>43006</v>
      </c>
      <c r="G2546" s="61" t="s">
        <v>13</v>
      </c>
      <c r="H2546" s="9"/>
      <c r="I2546" s="8"/>
      <c r="J2546" s="8"/>
      <c r="K2546" s="8"/>
      <c r="L2546" s="8"/>
      <c r="M2546" s="8"/>
    </row>
    <row r="2547" spans="1:13">
      <c r="A2547" s="15" t="s">
        <v>3618</v>
      </c>
      <c r="B2547" s="58">
        <v>2950068545</v>
      </c>
      <c r="C2547" s="15" t="s">
        <v>3619</v>
      </c>
      <c r="D2547" s="60">
        <v>64495957520</v>
      </c>
      <c r="E2547" s="9"/>
      <c r="F2547" s="25"/>
      <c r="G2547" s="61"/>
      <c r="H2547" s="9"/>
      <c r="I2547" s="8"/>
      <c r="J2547" s="8"/>
      <c r="K2547" s="8"/>
      <c r="L2547" s="8"/>
      <c r="M2547" s="8"/>
    </row>
    <row r="2548" spans="1:13">
      <c r="A2548" s="62" t="s">
        <v>3620</v>
      </c>
      <c r="B2548" s="58">
        <v>28714095874</v>
      </c>
      <c r="C2548" s="63"/>
      <c r="D2548" s="60"/>
      <c r="E2548" s="9">
        <v>1106</v>
      </c>
      <c r="F2548" s="25">
        <v>42965</v>
      </c>
      <c r="G2548" s="61" t="s">
        <v>13</v>
      </c>
      <c r="H2548" s="9"/>
      <c r="I2548" s="8"/>
      <c r="J2548" s="8"/>
      <c r="K2548" s="8"/>
      <c r="L2548" s="8"/>
      <c r="M2548" s="8"/>
    </row>
    <row r="2549" spans="1:13">
      <c r="A2549" s="62" t="s">
        <v>3621</v>
      </c>
      <c r="B2549" s="58">
        <v>4747247513</v>
      </c>
      <c r="C2549" s="59"/>
      <c r="D2549" s="60"/>
      <c r="E2549" s="9">
        <v>1824</v>
      </c>
      <c r="F2549" s="25">
        <v>43091</v>
      </c>
      <c r="G2549" s="61" t="s">
        <v>20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3622</v>
      </c>
      <c r="B2550" s="58">
        <v>12460105690</v>
      </c>
      <c r="C2550" s="63"/>
      <c r="D2550" s="60"/>
      <c r="E2550" s="9"/>
      <c r="F2550" s="25"/>
      <c r="G2550" s="61"/>
      <c r="H2550" s="9"/>
      <c r="I2550" s="8"/>
      <c r="J2550" s="8"/>
      <c r="K2550" s="8"/>
      <c r="L2550" s="8"/>
      <c r="M2550" s="8"/>
    </row>
    <row r="2551" spans="1:13">
      <c r="A2551" s="62" t="s">
        <v>3623</v>
      </c>
      <c r="B2551" s="58">
        <v>44618522453</v>
      </c>
      <c r="C2551" s="59" t="s">
        <v>3624</v>
      </c>
      <c r="D2551" s="60">
        <v>22176180836</v>
      </c>
      <c r="E2551" s="9">
        <v>292</v>
      </c>
      <c r="F2551" s="25">
        <v>43168</v>
      </c>
      <c r="G2551" s="61"/>
      <c r="H2551" s="9"/>
      <c r="I2551" s="8"/>
      <c r="J2551" s="8"/>
      <c r="K2551" s="8"/>
      <c r="L2551" s="9">
        <v>318</v>
      </c>
      <c r="M2551" s="8"/>
    </row>
    <row r="2552" spans="1:13">
      <c r="A2552" s="62" t="s">
        <v>3625</v>
      </c>
      <c r="B2552" s="58">
        <v>4517298540</v>
      </c>
      <c r="C2552" s="59"/>
      <c r="D2552" s="60"/>
      <c r="E2552" s="9">
        <v>117</v>
      </c>
      <c r="F2552" s="25">
        <v>43117</v>
      </c>
      <c r="G2552" s="61" t="s">
        <v>13</v>
      </c>
      <c r="H2552" s="9"/>
      <c r="I2552" s="8"/>
      <c r="J2552" s="8"/>
      <c r="K2552" s="8"/>
      <c r="L2552" s="9" t="s">
        <v>170</v>
      </c>
      <c r="M2552" s="8"/>
    </row>
    <row r="2553" spans="1:13">
      <c r="A2553" s="62" t="s">
        <v>3626</v>
      </c>
      <c r="B2553" s="58">
        <v>51627108491</v>
      </c>
      <c r="C2553" s="63"/>
      <c r="D2553" s="60"/>
      <c r="E2553" s="9">
        <v>1417</v>
      </c>
      <c r="F2553" s="25">
        <v>43017</v>
      </c>
      <c r="G2553" s="61" t="s">
        <v>13</v>
      </c>
      <c r="H2553" s="9"/>
      <c r="I2553" s="8"/>
      <c r="J2553" s="8"/>
      <c r="K2553" s="8"/>
      <c r="L2553" s="9" t="s">
        <v>253</v>
      </c>
      <c r="M2553" s="8"/>
    </row>
    <row r="2554" spans="1:13">
      <c r="A2554" s="62" t="s">
        <v>3627</v>
      </c>
      <c r="B2554" s="58">
        <v>32696581843</v>
      </c>
      <c r="C2554" s="63"/>
      <c r="D2554" s="60"/>
      <c r="E2554" s="9"/>
      <c r="F2554" s="25"/>
      <c r="G2554" s="61"/>
      <c r="H2554" s="9"/>
      <c r="I2554" s="8"/>
      <c r="J2554" s="8"/>
      <c r="K2554" s="8"/>
      <c r="L2554" s="8"/>
      <c r="M2554" s="8"/>
    </row>
    <row r="2555" spans="1:13">
      <c r="A2555" s="62" t="s">
        <v>3628</v>
      </c>
      <c r="B2555" s="58">
        <v>26333731862</v>
      </c>
      <c r="C2555" s="63" t="s">
        <v>3629</v>
      </c>
      <c r="D2555" s="60">
        <v>11915088895</v>
      </c>
      <c r="E2555" s="9"/>
      <c r="F2555" s="25"/>
      <c r="G2555" s="61"/>
      <c r="H2555" s="9"/>
      <c r="I2555" s="8"/>
      <c r="J2555" s="8"/>
      <c r="K2555" s="8"/>
      <c r="L2555" s="8"/>
      <c r="M2555" s="8"/>
    </row>
    <row r="2556" spans="1:13">
      <c r="A2556" s="62" t="s">
        <v>3630</v>
      </c>
      <c r="B2556" s="58">
        <v>33721864867</v>
      </c>
      <c r="C2556" s="68"/>
      <c r="D2556" s="60"/>
      <c r="E2556" s="9">
        <v>563</v>
      </c>
      <c r="F2556" s="25">
        <v>43217</v>
      </c>
      <c r="G2556" s="61"/>
      <c r="H2556" s="9"/>
      <c r="I2556" s="8"/>
      <c r="J2556" s="8"/>
      <c r="K2556" s="8"/>
      <c r="L2556" s="9" t="s">
        <v>299</v>
      </c>
      <c r="M2556" s="8"/>
    </row>
    <row r="2557" spans="1:13">
      <c r="A2557" s="62" t="s">
        <v>3631</v>
      </c>
      <c r="B2557" s="58">
        <v>16490342880</v>
      </c>
      <c r="C2557" s="59"/>
      <c r="D2557" s="60"/>
      <c r="E2557" s="9">
        <v>1359</v>
      </c>
      <c r="F2557" s="25">
        <v>43006</v>
      </c>
      <c r="G2557" s="61" t="s">
        <v>13</v>
      </c>
      <c r="H2557" s="9"/>
      <c r="I2557" s="8"/>
      <c r="J2557" s="8"/>
      <c r="K2557" s="8"/>
      <c r="L2557" s="8"/>
      <c r="M2557" s="8"/>
    </row>
    <row r="2558" spans="1:13">
      <c r="A2558" s="62" t="s">
        <v>3632</v>
      </c>
      <c r="B2558" s="58">
        <v>33194950894</v>
      </c>
      <c r="C2558" s="63"/>
      <c r="D2558" s="60"/>
      <c r="E2558" s="9">
        <v>262</v>
      </c>
      <c r="F2558" s="25">
        <v>43160</v>
      </c>
      <c r="G2558" s="9" t="s">
        <v>13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62" t="s">
        <v>3633</v>
      </c>
      <c r="B2559" s="58">
        <v>34321457807</v>
      </c>
      <c r="C2559" s="63"/>
      <c r="D2559" s="60"/>
      <c r="E2559" s="9">
        <v>1422</v>
      </c>
      <c r="F2559" s="25">
        <v>43018</v>
      </c>
      <c r="G2559" s="61" t="s">
        <v>13</v>
      </c>
      <c r="H2559" s="9"/>
      <c r="I2559" s="8"/>
      <c r="J2559" s="8"/>
      <c r="K2559" s="8"/>
      <c r="L2559" s="8"/>
      <c r="M2559" s="8"/>
    </row>
    <row r="2560" spans="1:13">
      <c r="A2560" s="62" t="s">
        <v>3634</v>
      </c>
      <c r="B2560" s="58">
        <v>27995581866</v>
      </c>
      <c r="C2560" s="63"/>
      <c r="D2560" s="60"/>
      <c r="E2560" s="9">
        <v>1106</v>
      </c>
      <c r="F2560" s="25">
        <v>42965</v>
      </c>
      <c r="G2560" s="61" t="s">
        <v>13</v>
      </c>
      <c r="H2560" s="9"/>
      <c r="I2560" s="8"/>
      <c r="J2560" s="8"/>
      <c r="K2560" s="8"/>
      <c r="L2560" s="8"/>
      <c r="M2560" s="8"/>
    </row>
    <row r="2561" spans="1:13">
      <c r="A2561" s="75" t="s">
        <v>3635</v>
      </c>
      <c r="B2561" s="58">
        <v>2035513545</v>
      </c>
      <c r="C2561" s="68" t="s">
        <v>3636</v>
      </c>
      <c r="D2561" s="60">
        <v>30209785802</v>
      </c>
      <c r="E2561" s="9"/>
      <c r="F2561" s="25"/>
      <c r="G2561" s="61"/>
      <c r="H2561" s="61"/>
      <c r="I2561" s="8"/>
      <c r="J2561" s="8"/>
      <c r="K2561" s="8"/>
      <c r="L2561" s="8"/>
      <c r="M2561" s="8"/>
    </row>
    <row r="2562" spans="1:13">
      <c r="A2562" s="15" t="s">
        <v>3637</v>
      </c>
      <c r="B2562" s="58">
        <v>32375610881</v>
      </c>
      <c r="C2562" s="63" t="s">
        <v>3638</v>
      </c>
      <c r="D2562" s="60">
        <v>30232464839</v>
      </c>
      <c r="E2562" s="9">
        <v>509</v>
      </c>
      <c r="F2562" s="25">
        <v>43203</v>
      </c>
      <c r="G2562" s="67"/>
      <c r="H2562" s="67">
        <v>43213</v>
      </c>
      <c r="I2562" s="8"/>
      <c r="J2562" s="8"/>
      <c r="K2562" s="8"/>
      <c r="L2562" s="8"/>
      <c r="M2562" s="8"/>
    </row>
    <row r="2563" spans="1:13">
      <c r="A2563" s="13" t="s">
        <v>3639</v>
      </c>
      <c r="B2563" s="58">
        <v>29436360886</v>
      </c>
      <c r="C2563" s="59"/>
      <c r="D2563" s="60"/>
      <c r="E2563" s="9">
        <v>1359</v>
      </c>
      <c r="F2563" s="25">
        <v>43006</v>
      </c>
      <c r="G2563" s="61" t="s">
        <v>13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3640</v>
      </c>
      <c r="B2564" s="58">
        <v>42538750504</v>
      </c>
      <c r="C2564" s="63"/>
      <c r="D2564" s="60"/>
      <c r="E2564" s="9">
        <v>1350</v>
      </c>
      <c r="F2564" s="25">
        <v>43006</v>
      </c>
      <c r="G2564" s="61" t="s">
        <v>13</v>
      </c>
      <c r="H2564" s="25">
        <v>43011</v>
      </c>
      <c r="I2564" s="8"/>
      <c r="J2564" s="8"/>
      <c r="K2564" s="8"/>
      <c r="L2564" s="8"/>
      <c r="M2564" s="8"/>
    </row>
    <row r="2565" spans="1:13">
      <c r="A2565" s="62" t="s">
        <v>3641</v>
      </c>
      <c r="B2565" s="58">
        <v>47689016898</v>
      </c>
      <c r="C2565" s="63"/>
      <c r="D2565" s="60"/>
      <c r="E2565" s="9"/>
      <c r="F2565" s="25"/>
      <c r="G2565" s="61"/>
      <c r="H2565" s="9"/>
      <c r="I2565" s="8"/>
      <c r="J2565" s="8"/>
      <c r="K2565" s="8"/>
      <c r="L2565" s="8"/>
      <c r="M2565" s="8"/>
    </row>
    <row r="2566" spans="1:13">
      <c r="A2566" s="62" t="s">
        <v>3642</v>
      </c>
      <c r="B2566" s="58">
        <v>99070260697</v>
      </c>
      <c r="C2566" s="63"/>
      <c r="D2566" s="60"/>
      <c r="E2566" s="9">
        <v>1489</v>
      </c>
      <c r="F2566" s="25">
        <v>43038</v>
      </c>
      <c r="G2566" s="61" t="s">
        <v>13</v>
      </c>
      <c r="H2566" s="9"/>
      <c r="I2566" s="8"/>
      <c r="J2566" s="8"/>
      <c r="K2566" s="8"/>
      <c r="L2566" s="9" t="s">
        <v>160</v>
      </c>
      <c r="M2566" s="8"/>
    </row>
    <row r="2567" spans="1:13">
      <c r="A2567" s="62" t="s">
        <v>3643</v>
      </c>
      <c r="B2567" s="58">
        <v>93532571404</v>
      </c>
      <c r="C2567" s="63"/>
      <c r="D2567" s="60"/>
      <c r="E2567" s="9">
        <v>292</v>
      </c>
      <c r="F2567" s="25">
        <v>43168</v>
      </c>
      <c r="G2567" s="9" t="s">
        <v>13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62" t="s">
        <v>3644</v>
      </c>
      <c r="B2568" s="58">
        <v>28040254892</v>
      </c>
      <c r="C2568" s="63" t="s">
        <v>3645</v>
      </c>
      <c r="D2568" s="60">
        <v>27414145808</v>
      </c>
      <c r="E2568" s="9">
        <v>810</v>
      </c>
      <c r="F2568" s="25">
        <v>42915</v>
      </c>
      <c r="G2568" s="61" t="s">
        <v>13</v>
      </c>
      <c r="H2568" s="25">
        <v>42921</v>
      </c>
      <c r="I2568" s="8"/>
      <c r="J2568" s="8"/>
      <c r="K2568" s="8"/>
      <c r="L2568" s="9" t="s">
        <v>138</v>
      </c>
      <c r="M2568" s="8"/>
    </row>
    <row r="2569" spans="1:13">
      <c r="A2569" s="62" t="s">
        <v>3646</v>
      </c>
      <c r="B2569" s="58">
        <v>22684269807</v>
      </c>
      <c r="C2569" s="63"/>
      <c r="D2569" s="60"/>
      <c r="E2569" s="9">
        <v>292</v>
      </c>
      <c r="F2569" s="25">
        <v>43168</v>
      </c>
      <c r="G2569" s="61" t="s">
        <v>13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3647</v>
      </c>
      <c r="B2570" s="58">
        <v>19585439859</v>
      </c>
      <c r="C2570" s="63" t="s">
        <v>3648</v>
      </c>
      <c r="D2570" s="60">
        <v>3196522466</v>
      </c>
      <c r="E2570" s="9">
        <v>262</v>
      </c>
      <c r="F2570" s="25">
        <v>43160</v>
      </c>
      <c r="G2570" s="61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62" t="s">
        <v>3649</v>
      </c>
      <c r="B2571" s="58">
        <v>22619353823</v>
      </c>
      <c r="C2571" s="63"/>
      <c r="D2571" s="60"/>
      <c r="E2571" s="9">
        <v>292</v>
      </c>
      <c r="F2571" s="25">
        <v>43168</v>
      </c>
      <c r="G2571" s="61" t="s">
        <v>13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7" t="s">
        <v>3650</v>
      </c>
      <c r="B2572" s="58">
        <v>33167057831</v>
      </c>
      <c r="C2572" s="18" t="s">
        <v>129</v>
      </c>
      <c r="D2572" s="60"/>
      <c r="E2572" s="9"/>
      <c r="F2572" s="25"/>
      <c r="G2572" s="61"/>
      <c r="H2572" s="9"/>
      <c r="I2572" s="8"/>
      <c r="J2572" s="8"/>
      <c r="K2572" s="8"/>
      <c r="L2572" s="8"/>
      <c r="M2572" s="8"/>
    </row>
    <row r="2573" spans="1:13">
      <c r="A2573" s="15" t="s">
        <v>3651</v>
      </c>
      <c r="B2573" s="58">
        <v>66910528891</v>
      </c>
      <c r="C2573" s="63"/>
      <c r="D2573" s="60"/>
      <c r="E2573" s="9">
        <v>229</v>
      </c>
      <c r="F2573" s="25">
        <v>43151</v>
      </c>
      <c r="G2573" s="61" t="s">
        <v>13</v>
      </c>
      <c r="H2573" s="9"/>
      <c r="I2573" s="8"/>
      <c r="J2573" s="8"/>
      <c r="K2573" s="8"/>
      <c r="L2573" s="9">
        <v>232</v>
      </c>
      <c r="M2573" s="8"/>
    </row>
    <row r="2574" spans="1:13">
      <c r="A2574" s="62" t="s">
        <v>3652</v>
      </c>
      <c r="B2574" s="58">
        <v>30182272800</v>
      </c>
      <c r="C2574" s="63"/>
      <c r="D2574" s="60"/>
      <c r="E2574" s="9">
        <v>292</v>
      </c>
      <c r="F2574" s="25">
        <v>43168</v>
      </c>
      <c r="G2574" s="61" t="s">
        <v>13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3653</v>
      </c>
      <c r="B2575" s="58">
        <v>41360953841</v>
      </c>
      <c r="C2575" s="63" t="s">
        <v>3654</v>
      </c>
      <c r="D2575" s="60">
        <v>39212484859</v>
      </c>
      <c r="E2575" s="9">
        <v>117</v>
      </c>
      <c r="F2575" s="25">
        <v>43117</v>
      </c>
      <c r="G2575" s="61" t="s">
        <v>13</v>
      </c>
      <c r="H2575" s="25">
        <v>43151</v>
      </c>
      <c r="I2575" s="8"/>
      <c r="J2575" s="8"/>
      <c r="K2575" s="8"/>
      <c r="L2575" s="9" t="s">
        <v>170</v>
      </c>
      <c r="M2575" s="8"/>
    </row>
    <row r="2576" spans="1:13">
      <c r="A2576" s="15" t="s">
        <v>3655</v>
      </c>
      <c r="B2576" s="58">
        <v>5630332589</v>
      </c>
      <c r="C2576" s="63"/>
      <c r="D2576" s="60"/>
      <c r="E2576" s="9">
        <v>229</v>
      </c>
      <c r="F2576" s="25">
        <v>43151</v>
      </c>
      <c r="G2576" s="61" t="s">
        <v>13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3656</v>
      </c>
      <c r="B2577" s="58">
        <v>17025966800</v>
      </c>
      <c r="C2577" s="63"/>
      <c r="D2577" s="60"/>
      <c r="E2577" s="9">
        <v>262</v>
      </c>
      <c r="F2577" s="25">
        <v>43160</v>
      </c>
      <c r="G2577" s="61" t="s">
        <v>13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3657</v>
      </c>
      <c r="B2578" s="58">
        <v>28517747860</v>
      </c>
      <c r="C2578" s="59"/>
      <c r="D2578" s="60"/>
      <c r="E2578" s="9">
        <v>1422</v>
      </c>
      <c r="F2578" s="25">
        <v>43018</v>
      </c>
      <c r="G2578" s="61" t="s">
        <v>13</v>
      </c>
      <c r="H2578" s="25">
        <v>43027</v>
      </c>
      <c r="I2578" s="8"/>
      <c r="J2578" s="8"/>
      <c r="K2578" s="8"/>
      <c r="L2578" s="8"/>
      <c r="M2578" s="8"/>
    </row>
    <row r="2579" spans="1:13">
      <c r="A2579" s="27" t="s">
        <v>3658</v>
      </c>
      <c r="B2579" s="58"/>
      <c r="C2579" s="27" t="s">
        <v>129</v>
      </c>
      <c r="D2579" s="60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62" t="s">
        <v>3659</v>
      </c>
      <c r="B2580" s="58">
        <v>32306211825</v>
      </c>
      <c r="C2580" s="68"/>
      <c r="D2580" s="60"/>
      <c r="E2580" s="9"/>
      <c r="F2580" s="25"/>
      <c r="G2580" s="61"/>
      <c r="H2580" s="9"/>
      <c r="I2580" s="8"/>
      <c r="J2580" s="8"/>
      <c r="K2580" s="8"/>
      <c r="L2580" s="8"/>
      <c r="M2580" s="8"/>
    </row>
    <row r="2581" spans="1:13">
      <c r="A2581" s="14" t="s">
        <v>3660</v>
      </c>
      <c r="B2581" s="58">
        <v>23789003840</v>
      </c>
      <c r="C2581" s="63"/>
      <c r="D2581" s="60"/>
      <c r="E2581" s="9">
        <v>262</v>
      </c>
      <c r="F2581" s="25">
        <v>43160</v>
      </c>
      <c r="G2581" s="61" t="s">
        <v>13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63" t="s">
        <v>3661</v>
      </c>
      <c r="B2582" s="58">
        <v>39407601889</v>
      </c>
      <c r="C2582" s="63" t="s">
        <v>3662</v>
      </c>
      <c r="D2582" s="60">
        <v>40422265829</v>
      </c>
      <c r="E2582" s="9"/>
      <c r="F2582" s="25"/>
      <c r="G2582" s="61"/>
      <c r="H2582" s="9"/>
      <c r="I2582" s="8"/>
      <c r="J2582" s="8"/>
      <c r="K2582" s="8"/>
      <c r="L2582" s="8"/>
      <c r="M2582" s="8"/>
    </row>
    <row r="2583" spans="1:13">
      <c r="A2583" s="63" t="s">
        <v>3663</v>
      </c>
      <c r="B2583" s="58">
        <v>39775104874</v>
      </c>
      <c r="C2583" s="63"/>
      <c r="D2583" s="60"/>
      <c r="E2583" s="9">
        <v>292</v>
      </c>
      <c r="F2583" s="25">
        <v>43168</v>
      </c>
      <c r="G2583" s="9" t="s">
        <v>13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3664</v>
      </c>
      <c r="B2584" s="58"/>
      <c r="C2584" s="63"/>
      <c r="D2584" s="60"/>
      <c r="E2584" s="9"/>
      <c r="F2584" s="25"/>
      <c r="G2584" s="61"/>
      <c r="H2584" s="9"/>
      <c r="I2584" s="8"/>
      <c r="J2584" s="8"/>
      <c r="K2584" s="8"/>
      <c r="L2584" s="8"/>
      <c r="M2584" s="8"/>
    </row>
    <row r="2585" spans="1:13">
      <c r="A2585" s="62" t="s">
        <v>3665</v>
      </c>
      <c r="B2585" s="58">
        <v>33205428854</v>
      </c>
      <c r="C2585" s="63"/>
      <c r="D2585" s="60"/>
      <c r="E2585" s="9">
        <v>810</v>
      </c>
      <c r="F2585" s="25">
        <v>42915</v>
      </c>
      <c r="G2585" s="61" t="s">
        <v>13</v>
      </c>
      <c r="H2585" s="25">
        <v>42921</v>
      </c>
      <c r="I2585" s="8"/>
      <c r="J2585" s="8"/>
      <c r="K2585" s="8"/>
      <c r="L2585" s="9" t="s">
        <v>138</v>
      </c>
      <c r="M2585" s="8"/>
    </row>
    <row r="2586" spans="1:13">
      <c r="A2586" s="62" t="s">
        <v>3666</v>
      </c>
      <c r="B2586" s="58">
        <v>40831453826</v>
      </c>
      <c r="C2586" s="63" t="s">
        <v>3667</v>
      </c>
      <c r="D2586" s="60">
        <v>41787837858</v>
      </c>
      <c r="E2586" s="9">
        <v>1214</v>
      </c>
      <c r="F2586" s="25">
        <v>42989</v>
      </c>
      <c r="G2586" s="61" t="s">
        <v>13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3668</v>
      </c>
      <c r="B2587" s="58">
        <v>23043868811</v>
      </c>
      <c r="C2587" s="18" t="s">
        <v>3669</v>
      </c>
      <c r="D2587" s="60">
        <v>22369654864</v>
      </c>
      <c r="E2587" s="9"/>
      <c r="F2587" s="25"/>
      <c r="G2587" s="61"/>
      <c r="H2587" s="9"/>
      <c r="I2587" s="8"/>
      <c r="J2587" s="8"/>
      <c r="K2587" s="8"/>
      <c r="L2587" s="8"/>
      <c r="M2587" s="8"/>
    </row>
    <row r="2588" spans="1:13">
      <c r="A2588" s="62" t="s">
        <v>3670</v>
      </c>
      <c r="B2588" s="58">
        <v>65167910404</v>
      </c>
      <c r="C2588" s="63"/>
      <c r="D2588" s="60"/>
      <c r="E2588" s="9">
        <v>262</v>
      </c>
      <c r="F2588" s="25">
        <v>43160</v>
      </c>
      <c r="G2588" s="61" t="s">
        <v>13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3671</v>
      </c>
      <c r="B2589" s="58">
        <v>1152059343</v>
      </c>
      <c r="C2589" s="63"/>
      <c r="D2589" s="60"/>
      <c r="E2589" s="9">
        <v>1824</v>
      </c>
      <c r="F2589" s="25">
        <v>43091</v>
      </c>
      <c r="G2589" s="61" t="s">
        <v>13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62" t="s">
        <v>3672</v>
      </c>
      <c r="B2590" s="58">
        <v>11739082850</v>
      </c>
      <c r="C2590" s="63" t="s">
        <v>3673</v>
      </c>
      <c r="D2590" s="60">
        <v>22128922844</v>
      </c>
      <c r="E2590" s="9"/>
      <c r="F2590" s="25"/>
      <c r="G2590" s="61"/>
      <c r="H2590" s="9"/>
      <c r="I2590" s="8"/>
      <c r="J2590" s="8"/>
      <c r="K2590" s="8"/>
      <c r="L2590" s="8"/>
      <c r="M2590" s="8"/>
    </row>
    <row r="2591" spans="1:13">
      <c r="A2591" s="62" t="s">
        <v>3674</v>
      </c>
      <c r="B2591" s="58">
        <v>46290680587</v>
      </c>
      <c r="C2591" s="63"/>
      <c r="D2591" s="60"/>
      <c r="E2591" s="9">
        <v>262</v>
      </c>
      <c r="F2591" s="25">
        <v>43160</v>
      </c>
      <c r="G2591" s="61" t="s">
        <v>13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62" t="s">
        <v>3675</v>
      </c>
      <c r="B2592" s="58">
        <v>46261249091</v>
      </c>
      <c r="C2592" s="63"/>
      <c r="D2592" s="60"/>
      <c r="E2592" s="9">
        <v>1422</v>
      </c>
      <c r="F2592" s="25">
        <v>43018</v>
      </c>
      <c r="G2592" s="61" t="s">
        <v>13</v>
      </c>
      <c r="H2592" s="25">
        <v>43027</v>
      </c>
      <c r="I2592" s="8"/>
      <c r="J2592" s="8"/>
      <c r="K2592" s="8"/>
      <c r="L2592" s="8"/>
      <c r="M2592" s="8"/>
    </row>
    <row r="2593" spans="1:13">
      <c r="A2593" s="62" t="s">
        <v>3676</v>
      </c>
      <c r="B2593" s="58">
        <v>55261035520</v>
      </c>
      <c r="C2593" s="63"/>
      <c r="D2593" s="60"/>
      <c r="E2593" s="9">
        <v>262</v>
      </c>
      <c r="F2593" s="25">
        <v>43160</v>
      </c>
      <c r="G2593" s="61" t="s">
        <v>13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62" t="s">
        <v>3677</v>
      </c>
      <c r="B2594" s="58">
        <v>36782552809</v>
      </c>
      <c r="C2594" s="63" t="s">
        <v>3678</v>
      </c>
      <c r="D2594" s="60">
        <v>679244840</v>
      </c>
      <c r="E2594" s="9"/>
      <c r="F2594" s="25"/>
      <c r="G2594" s="61"/>
      <c r="H2594" s="9"/>
      <c r="I2594" s="8"/>
      <c r="J2594" s="8"/>
      <c r="K2594" s="8"/>
      <c r="L2594" s="8"/>
      <c r="M2594" s="8"/>
    </row>
    <row r="2595" spans="1:13">
      <c r="A2595" s="18" t="s">
        <v>3679</v>
      </c>
      <c r="B2595" s="58">
        <v>9138827808</v>
      </c>
      <c r="C2595" s="18"/>
      <c r="D2595" s="60"/>
      <c r="E2595" s="9"/>
      <c r="F2595" s="25"/>
      <c r="G2595" s="61"/>
      <c r="H2595" s="9"/>
      <c r="I2595" s="8"/>
      <c r="J2595" s="8"/>
      <c r="K2595" s="8"/>
      <c r="L2595" s="8"/>
      <c r="M2595" s="8"/>
    </row>
    <row r="2596" spans="1:13">
      <c r="A2596" s="62" t="s">
        <v>3680</v>
      </c>
      <c r="B2596" s="58">
        <v>14688424809</v>
      </c>
      <c r="C2596" s="63"/>
      <c r="D2596" s="60"/>
      <c r="E2596" s="9">
        <v>1106</v>
      </c>
      <c r="F2596" s="25">
        <v>42965</v>
      </c>
      <c r="G2596" s="61" t="s">
        <v>13</v>
      </c>
      <c r="H2596" s="25">
        <v>42978</v>
      </c>
      <c r="I2596" s="8"/>
      <c r="J2596" s="8"/>
      <c r="K2596" s="8"/>
      <c r="L2596" s="8"/>
      <c r="M2596" s="8"/>
    </row>
    <row r="2597" spans="1:13">
      <c r="A2597" s="27" t="s">
        <v>3681</v>
      </c>
      <c r="B2597" s="58">
        <v>28249902874</v>
      </c>
      <c r="C2597" s="27" t="s">
        <v>3682</v>
      </c>
      <c r="D2597" s="60">
        <v>37445197591</v>
      </c>
      <c r="E2597" s="9"/>
      <c r="F2597" s="25"/>
      <c r="G2597" s="61"/>
      <c r="H2597" s="9"/>
      <c r="I2597" s="8"/>
      <c r="J2597" s="8"/>
      <c r="K2597" s="8"/>
      <c r="L2597" s="8"/>
      <c r="M2597" s="8"/>
    </row>
    <row r="2598" spans="1:13">
      <c r="A2598" s="62" t="s">
        <v>3683</v>
      </c>
      <c r="B2598" s="58">
        <v>36169238836</v>
      </c>
      <c r="C2598" s="68" t="s">
        <v>3684</v>
      </c>
      <c r="D2598" s="60">
        <v>36872184817</v>
      </c>
      <c r="E2598" s="9"/>
      <c r="F2598" s="25"/>
      <c r="G2598" s="61"/>
      <c r="H2598" s="9"/>
      <c r="I2598" s="8"/>
      <c r="J2598" s="8"/>
      <c r="K2598" s="8"/>
      <c r="L2598" s="8"/>
      <c r="M2598" s="8"/>
    </row>
    <row r="2599" spans="1:13">
      <c r="A2599" s="16" t="s">
        <v>3685</v>
      </c>
      <c r="B2599" s="58">
        <v>30706797817</v>
      </c>
      <c r="C2599" s="63"/>
      <c r="D2599" s="60"/>
      <c r="E2599" s="9">
        <v>292</v>
      </c>
      <c r="F2599" s="25">
        <v>43168</v>
      </c>
      <c r="G2599" s="61" t="s">
        <v>13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7" t="s">
        <v>3686</v>
      </c>
      <c r="B2600" s="58">
        <v>30886267870</v>
      </c>
      <c r="C2600" s="27" t="s">
        <v>3687</v>
      </c>
      <c r="D2600" s="60">
        <v>26305863830</v>
      </c>
      <c r="E2600" s="9"/>
      <c r="F2600" s="25"/>
      <c r="G2600" s="61"/>
      <c r="H2600" s="9"/>
      <c r="I2600" s="8"/>
      <c r="J2600" s="8"/>
      <c r="K2600" s="8"/>
      <c r="L2600" s="8"/>
      <c r="M2600" s="8"/>
    </row>
    <row r="2601" spans="1:13">
      <c r="A2601" s="27" t="s">
        <v>3688</v>
      </c>
      <c r="B2601" s="58"/>
      <c r="C2601" s="27" t="s">
        <v>3689</v>
      </c>
      <c r="D2601" s="60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62" t="s">
        <v>3690</v>
      </c>
      <c r="B2602" s="58">
        <v>26107569847</v>
      </c>
      <c r="C2602" s="68" t="s">
        <v>3691</v>
      </c>
      <c r="D2602" s="60">
        <v>28988681835</v>
      </c>
      <c r="E2602" s="9"/>
      <c r="F2602" s="25"/>
      <c r="G2602" s="61"/>
      <c r="H2602" s="9"/>
      <c r="I2602" s="8"/>
      <c r="J2602" s="8"/>
      <c r="K2602" s="8"/>
      <c r="L2602" s="8"/>
      <c r="M2602" s="8"/>
    </row>
    <row r="2603" spans="1:13">
      <c r="A2603" s="62" t="s">
        <v>3692</v>
      </c>
      <c r="B2603" s="58">
        <v>55691668587</v>
      </c>
      <c r="C2603" s="59"/>
      <c r="D2603" s="60"/>
      <c r="E2603" s="9">
        <v>1128</v>
      </c>
      <c r="F2603" s="25">
        <v>42972</v>
      </c>
      <c r="G2603" s="61" t="s">
        <v>13</v>
      </c>
      <c r="H2603" s="25">
        <v>42979</v>
      </c>
      <c r="I2603" s="8"/>
      <c r="J2603" s="8"/>
      <c r="K2603" s="8"/>
      <c r="L2603" s="8"/>
      <c r="M2603" s="8"/>
    </row>
    <row r="2604" spans="1:13">
      <c r="A2604" s="62" t="s">
        <v>3693</v>
      </c>
      <c r="B2604" s="58">
        <v>13516251875</v>
      </c>
      <c r="C2604" s="59" t="s">
        <v>3694</v>
      </c>
      <c r="D2604" s="60">
        <v>10146756851</v>
      </c>
      <c r="E2604" s="9">
        <v>1214</v>
      </c>
      <c r="F2604" s="25">
        <v>42989</v>
      </c>
      <c r="G2604" s="61" t="s">
        <v>13</v>
      </c>
      <c r="H2604" s="25">
        <v>43000</v>
      </c>
      <c r="I2604" s="8"/>
      <c r="J2604" s="8"/>
      <c r="K2604" s="8"/>
      <c r="L2604" s="8"/>
      <c r="M2604" s="8"/>
    </row>
    <row r="2605" spans="1:13">
      <c r="A2605" s="63" t="s">
        <v>3695</v>
      </c>
      <c r="B2605" s="58">
        <v>3597715486</v>
      </c>
      <c r="C2605" s="63" t="s">
        <v>3696</v>
      </c>
      <c r="D2605" s="60">
        <v>25316261828</v>
      </c>
      <c r="E2605" s="9"/>
      <c r="F2605" s="25"/>
      <c r="G2605" s="61"/>
      <c r="H2605" s="9"/>
      <c r="I2605" s="8"/>
      <c r="J2605" s="8"/>
      <c r="K2605" s="8"/>
      <c r="L2605" s="8"/>
      <c r="M2605" s="8"/>
    </row>
    <row r="2606" spans="1:13">
      <c r="A2606" s="13" t="s">
        <v>3697</v>
      </c>
      <c r="B2606" s="58">
        <v>1563161532</v>
      </c>
      <c r="C2606" s="59" t="s">
        <v>3698</v>
      </c>
      <c r="D2606" s="60">
        <v>92557732591</v>
      </c>
      <c r="E2606" s="9">
        <v>1128</v>
      </c>
      <c r="F2606" s="25">
        <v>42972</v>
      </c>
      <c r="G2606" s="61" t="s">
        <v>13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3699</v>
      </c>
      <c r="B2607" s="58">
        <v>32672017808</v>
      </c>
      <c r="C2607" s="18"/>
      <c r="D2607" s="60"/>
      <c r="E2607" s="9"/>
      <c r="F2607" s="25"/>
      <c r="G2607" s="61"/>
      <c r="H2607" s="9"/>
      <c r="I2607" s="8"/>
      <c r="J2607" s="8"/>
      <c r="K2607" s="8"/>
      <c r="L2607" s="8"/>
      <c r="M2607" s="8"/>
    </row>
    <row r="2608" spans="1:13">
      <c r="A2608" s="62" t="s">
        <v>3700</v>
      </c>
      <c r="B2608" s="58">
        <v>31914362861</v>
      </c>
      <c r="C2608" s="63" t="s">
        <v>3701</v>
      </c>
      <c r="D2608" s="60">
        <v>45704864449</v>
      </c>
      <c r="E2608" s="9">
        <v>563</v>
      </c>
      <c r="F2608" s="25">
        <v>43217</v>
      </c>
      <c r="G2608" s="61"/>
      <c r="H2608" s="25">
        <v>43234</v>
      </c>
      <c r="I2608" s="8"/>
      <c r="J2608" s="8"/>
      <c r="K2608" s="8"/>
      <c r="L2608" s="9" t="s">
        <v>299</v>
      </c>
      <c r="M2608" s="8"/>
    </row>
    <row r="2609" spans="1:13">
      <c r="A2609" s="18" t="s">
        <v>3702</v>
      </c>
      <c r="B2609" s="58">
        <v>43488290808</v>
      </c>
      <c r="C2609" s="18"/>
      <c r="D2609" s="60"/>
      <c r="E2609" s="9"/>
      <c r="F2609" s="25"/>
      <c r="G2609" s="61"/>
      <c r="H2609" s="9"/>
      <c r="I2609" s="8"/>
      <c r="J2609" s="8"/>
      <c r="K2609" s="8"/>
      <c r="L2609" s="8"/>
      <c r="M2609" s="8"/>
    </row>
    <row r="2610" spans="1:13">
      <c r="A2610" s="62" t="s">
        <v>3703</v>
      </c>
      <c r="B2610" s="58">
        <v>35218693855</v>
      </c>
      <c r="C2610" s="63" t="s">
        <v>3704</v>
      </c>
      <c r="D2610" s="60">
        <v>14889952810</v>
      </c>
      <c r="E2610" s="9">
        <v>262</v>
      </c>
      <c r="F2610" s="25">
        <v>43160</v>
      </c>
      <c r="G2610" s="61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62" t="s">
        <v>3705</v>
      </c>
      <c r="B2611" s="58">
        <v>30947166874</v>
      </c>
      <c r="C2611" s="63" t="s">
        <v>3706</v>
      </c>
      <c r="D2611" s="60">
        <v>1304805506</v>
      </c>
      <c r="E2611" s="9">
        <v>1241</v>
      </c>
      <c r="F2611" s="25">
        <v>42992</v>
      </c>
      <c r="G2611" s="61" t="s">
        <v>13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3707</v>
      </c>
      <c r="B2612" s="58">
        <v>32928932836</v>
      </c>
      <c r="C2612" s="18"/>
      <c r="D2612" s="60"/>
      <c r="E2612" s="9"/>
      <c r="F2612" s="25"/>
      <c r="G2612" s="61"/>
      <c r="H2612" s="9"/>
      <c r="I2612" s="8"/>
      <c r="J2612" s="8"/>
      <c r="K2612" s="8"/>
      <c r="L2612" s="8"/>
      <c r="M2612" s="8"/>
    </row>
    <row r="2613" spans="1:13">
      <c r="A2613" s="15" t="s">
        <v>3708</v>
      </c>
      <c r="B2613" s="58">
        <v>3632265593</v>
      </c>
      <c r="C2613" s="63" t="s">
        <v>3709</v>
      </c>
      <c r="D2613" s="60">
        <v>52449734449</v>
      </c>
      <c r="E2613" s="9"/>
      <c r="F2613" s="25"/>
      <c r="G2613" s="61"/>
      <c r="H2613" s="9"/>
      <c r="I2613" s="8"/>
      <c r="J2613" s="8"/>
      <c r="K2613" s="8"/>
      <c r="L2613" s="8"/>
      <c r="M2613" s="8"/>
    </row>
    <row r="2614" spans="1:13">
      <c r="A2614" s="62" t="s">
        <v>3710</v>
      </c>
      <c r="B2614" s="58">
        <v>9500687801</v>
      </c>
      <c r="C2614" s="68" t="s">
        <v>3711</v>
      </c>
      <c r="D2614" s="60">
        <v>4713108839</v>
      </c>
      <c r="E2614" s="9">
        <v>563</v>
      </c>
      <c r="F2614" s="25">
        <v>43217</v>
      </c>
      <c r="G2614" s="61"/>
      <c r="H2614" s="25">
        <v>43234</v>
      </c>
      <c r="I2614" s="8"/>
      <c r="J2614" s="8"/>
      <c r="K2614" s="8"/>
      <c r="L2614" s="9" t="s">
        <v>299</v>
      </c>
      <c r="M2614" s="8"/>
    </row>
    <row r="2615" spans="1:13">
      <c r="A2615" s="62" t="s">
        <v>3712</v>
      </c>
      <c r="B2615" s="58">
        <v>78808405400</v>
      </c>
      <c r="C2615" s="63" t="s">
        <v>3713</v>
      </c>
      <c r="D2615" s="60">
        <v>6840084400</v>
      </c>
      <c r="E2615" s="9">
        <v>1824</v>
      </c>
      <c r="F2615" s="25">
        <v>43091</v>
      </c>
      <c r="G2615" s="61" t="s">
        <v>13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3714</v>
      </c>
      <c r="B2616" s="58">
        <v>36104667821</v>
      </c>
      <c r="C2616" s="63"/>
      <c r="D2616" s="60"/>
      <c r="E2616" s="9">
        <v>229</v>
      </c>
      <c r="F2616" s="25">
        <v>43151</v>
      </c>
      <c r="G2616" s="61" t="s">
        <v>13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3715</v>
      </c>
      <c r="B2617" s="58">
        <v>21632630885</v>
      </c>
      <c r="C2617" s="63"/>
      <c r="D2617" s="60"/>
      <c r="E2617" s="9">
        <v>443</v>
      </c>
      <c r="F2617" s="25">
        <v>43188</v>
      </c>
      <c r="G2617" s="61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3716</v>
      </c>
      <c r="B2618" s="58">
        <v>37500289820</v>
      </c>
      <c r="C2618" s="59" t="s">
        <v>3717</v>
      </c>
      <c r="D2618" s="60">
        <v>26607571867</v>
      </c>
      <c r="E2618" s="9">
        <v>1350</v>
      </c>
      <c r="F2618" s="25">
        <v>43006</v>
      </c>
      <c r="G2618" s="61" t="s">
        <v>13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3718</v>
      </c>
      <c r="B2619" s="58">
        <v>4335257546</v>
      </c>
      <c r="C2619" s="18"/>
      <c r="D2619" s="60"/>
      <c r="E2619" s="9"/>
      <c r="F2619" s="25"/>
      <c r="G2619" s="61"/>
      <c r="H2619" s="9"/>
      <c r="I2619" s="8"/>
      <c r="J2619" s="8"/>
      <c r="K2619" s="8"/>
      <c r="L2619" s="8"/>
      <c r="M2619" s="8"/>
    </row>
    <row r="2620" spans="1:13">
      <c r="A2620" s="13" t="s">
        <v>3719</v>
      </c>
      <c r="B2620" s="58">
        <v>31616397829</v>
      </c>
      <c r="C2620" s="59"/>
      <c r="D2620" s="60"/>
      <c r="E2620" s="9">
        <v>1267</v>
      </c>
      <c r="F2620" s="25">
        <v>42998</v>
      </c>
      <c r="G2620" s="61" t="s">
        <v>13</v>
      </c>
      <c r="H2620" s="25">
        <v>43000</v>
      </c>
      <c r="I2620" s="8"/>
      <c r="J2620" s="8"/>
      <c r="K2620" s="8"/>
      <c r="L2620" s="8"/>
      <c r="M2620" s="8"/>
    </row>
    <row r="2621" spans="1:13">
      <c r="A2621" s="62" t="s">
        <v>3720</v>
      </c>
      <c r="B2621" s="58">
        <v>11148167870</v>
      </c>
      <c r="C2621" s="68"/>
      <c r="D2621" s="60"/>
      <c r="E2621" s="9"/>
      <c r="F2621" s="25"/>
      <c r="G2621" s="61"/>
      <c r="H2621" s="9"/>
      <c r="I2621" s="8"/>
      <c r="J2621" s="8"/>
      <c r="K2621" s="8"/>
      <c r="L2621" s="8"/>
      <c r="M2621" s="8"/>
    </row>
    <row r="2622" spans="1:13">
      <c r="A2622" s="15" t="s">
        <v>3721</v>
      </c>
      <c r="B2622" s="58">
        <v>28688137803</v>
      </c>
      <c r="C2622" s="63"/>
      <c r="D2622" s="60"/>
      <c r="E2622" s="9">
        <v>229</v>
      </c>
      <c r="F2622" s="25">
        <v>43151</v>
      </c>
      <c r="G2622" s="61" t="s">
        <v>13</v>
      </c>
      <c r="H2622" s="9"/>
      <c r="I2622" s="8"/>
      <c r="J2622" s="8"/>
      <c r="K2622" s="8"/>
      <c r="L2622" s="9">
        <v>232</v>
      </c>
      <c r="M2622" s="8"/>
    </row>
    <row r="2623" spans="1:13">
      <c r="A2623" s="62" t="s">
        <v>3722</v>
      </c>
      <c r="B2623" s="58">
        <v>8192130800</v>
      </c>
      <c r="C2623" s="63" t="s">
        <v>3723</v>
      </c>
      <c r="D2623" s="60">
        <v>816363854</v>
      </c>
      <c r="E2623" s="9"/>
      <c r="F2623" s="25"/>
      <c r="G2623" s="61"/>
      <c r="H2623" s="9"/>
      <c r="I2623" s="8"/>
      <c r="J2623" s="8"/>
      <c r="K2623" s="8"/>
      <c r="L2623" s="8"/>
      <c r="M2623" s="8"/>
    </row>
    <row r="2624" spans="1:13">
      <c r="A2624" s="18" t="s">
        <v>3724</v>
      </c>
      <c r="B2624" s="58">
        <v>26853070879</v>
      </c>
      <c r="C2624" s="18" t="s">
        <v>3725</v>
      </c>
      <c r="D2624" s="60">
        <v>8578114876</v>
      </c>
      <c r="E2624" s="9"/>
      <c r="F2624" s="25"/>
      <c r="G2624" s="61"/>
      <c r="H2624" s="9"/>
      <c r="I2624" s="8"/>
      <c r="J2624" s="8"/>
      <c r="K2624" s="8"/>
      <c r="L2624" s="8"/>
      <c r="M2624" s="8"/>
    </row>
    <row r="2625" spans="1:13">
      <c r="A2625" s="13" t="s">
        <v>3726</v>
      </c>
      <c r="B2625" s="58">
        <v>4632449822</v>
      </c>
      <c r="C2625" s="63"/>
      <c r="D2625" s="60"/>
      <c r="E2625" s="9">
        <v>1417</v>
      </c>
      <c r="F2625" s="25">
        <v>43017</v>
      </c>
      <c r="G2625" s="61" t="s">
        <v>13</v>
      </c>
      <c r="H2625" s="25">
        <v>43027</v>
      </c>
      <c r="I2625" s="8"/>
      <c r="J2625" s="8"/>
      <c r="K2625" s="8"/>
      <c r="L2625" s="9" t="s">
        <v>253</v>
      </c>
      <c r="M2625" s="8"/>
    </row>
    <row r="2626" spans="1:13">
      <c r="A2626" s="13" t="s">
        <v>3727</v>
      </c>
      <c r="B2626" s="58">
        <v>27440063864</v>
      </c>
      <c r="C2626" s="59" t="s">
        <v>3728</v>
      </c>
      <c r="D2626" s="60">
        <v>66533287400</v>
      </c>
      <c r="E2626" s="9">
        <v>1241</v>
      </c>
      <c r="F2626" s="25">
        <v>42992</v>
      </c>
      <c r="G2626" s="61" t="s">
        <v>13</v>
      </c>
      <c r="H2626" s="25">
        <v>42998</v>
      </c>
      <c r="I2626" s="8"/>
      <c r="J2626" s="8"/>
      <c r="K2626" s="8"/>
      <c r="L2626" s="8"/>
      <c r="M2626" s="8"/>
    </row>
    <row r="2627" spans="1:13">
      <c r="A2627" s="62" t="s">
        <v>3729</v>
      </c>
      <c r="B2627" s="58">
        <v>32362879852</v>
      </c>
      <c r="C2627" s="63" t="s">
        <v>3730</v>
      </c>
      <c r="D2627" s="60">
        <v>12658677553</v>
      </c>
      <c r="E2627" s="9">
        <v>563</v>
      </c>
      <c r="F2627" s="25">
        <v>43217</v>
      </c>
      <c r="G2627" s="61"/>
      <c r="H2627" s="25">
        <v>43234</v>
      </c>
      <c r="I2627" s="8"/>
      <c r="J2627" s="8"/>
      <c r="K2627" s="8"/>
      <c r="L2627" s="9" t="s">
        <v>299</v>
      </c>
      <c r="M2627" s="8"/>
    </row>
    <row r="2628" spans="1:13">
      <c r="A2628" s="15" t="s">
        <v>3731</v>
      </c>
      <c r="B2628" s="58">
        <v>28146002811</v>
      </c>
      <c r="C2628" s="63"/>
      <c r="D2628" s="60"/>
      <c r="E2628" s="9">
        <v>292</v>
      </c>
      <c r="F2628" s="25">
        <v>43168</v>
      </c>
      <c r="G2628" s="61" t="s">
        <v>13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62" t="s">
        <v>3732</v>
      </c>
      <c r="B2629" s="58">
        <v>37904123843</v>
      </c>
      <c r="C2629" s="63" t="s">
        <v>3733</v>
      </c>
      <c r="D2629" s="60">
        <v>16565739897</v>
      </c>
      <c r="E2629" s="9">
        <v>292</v>
      </c>
      <c r="F2629" s="25">
        <v>43168</v>
      </c>
      <c r="G2629" s="61" t="s">
        <v>13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62" t="s">
        <v>3734</v>
      </c>
      <c r="B2630" s="58">
        <v>30775860883</v>
      </c>
      <c r="C2630" s="63" t="s">
        <v>3735</v>
      </c>
      <c r="D2630" s="60">
        <v>34227894808</v>
      </c>
      <c r="E2630" s="9">
        <v>1359</v>
      </c>
      <c r="F2630" s="25">
        <v>43006</v>
      </c>
      <c r="G2630" s="61" t="s">
        <v>13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3736</v>
      </c>
      <c r="B2631" s="58">
        <v>37788814857</v>
      </c>
      <c r="C2631" s="63"/>
      <c r="D2631" s="60"/>
      <c r="E2631" s="9">
        <v>1752</v>
      </c>
      <c r="F2631" s="25">
        <v>43051</v>
      </c>
      <c r="G2631" s="74" t="s">
        <v>13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3737</v>
      </c>
      <c r="B2632" s="58">
        <v>29829509877</v>
      </c>
      <c r="C2632" s="63"/>
      <c r="D2632" s="60"/>
      <c r="E2632" s="9">
        <v>229</v>
      </c>
      <c r="F2632" s="25">
        <v>43151</v>
      </c>
      <c r="G2632" s="61" t="s">
        <v>13</v>
      </c>
      <c r="H2632" s="9"/>
      <c r="I2632" s="8"/>
      <c r="J2632" s="8"/>
      <c r="K2632" s="8"/>
      <c r="L2632" s="9">
        <v>232</v>
      </c>
      <c r="M2632" s="8"/>
    </row>
    <row r="2633" spans="1:13">
      <c r="A2633" s="62" t="s">
        <v>3738</v>
      </c>
      <c r="B2633" s="58">
        <v>4666033807</v>
      </c>
      <c r="C2633" s="63"/>
      <c r="D2633" s="60"/>
      <c r="E2633" s="9">
        <v>1570</v>
      </c>
      <c r="F2633" s="25">
        <v>43055</v>
      </c>
      <c r="G2633" s="9" t="s">
        <v>13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62" t="s">
        <v>3739</v>
      </c>
      <c r="B2634" s="58">
        <v>16700832845</v>
      </c>
      <c r="C2634" s="63"/>
      <c r="D2634" s="60"/>
      <c r="E2634" s="9">
        <v>1752</v>
      </c>
      <c r="F2634" s="25">
        <v>43051</v>
      </c>
      <c r="G2634" s="61" t="s">
        <v>13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62" t="s">
        <v>3740</v>
      </c>
      <c r="B2635" s="58">
        <v>29287401802</v>
      </c>
      <c r="C2635" s="63" t="s">
        <v>3741</v>
      </c>
      <c r="D2635" s="60">
        <v>29511449893</v>
      </c>
      <c r="E2635" s="9"/>
      <c r="F2635" s="25"/>
      <c r="G2635" s="61"/>
      <c r="H2635" s="9"/>
      <c r="I2635" s="8"/>
      <c r="J2635" s="8"/>
      <c r="K2635" s="8"/>
      <c r="L2635" s="8"/>
      <c r="M2635" s="8"/>
    </row>
    <row r="2636" spans="1:13">
      <c r="A2636" s="15" t="s">
        <v>3619</v>
      </c>
      <c r="B2636" s="58">
        <v>64495957520</v>
      </c>
      <c r="C2636" s="63"/>
      <c r="D2636" s="60"/>
      <c r="E2636" s="9">
        <v>117</v>
      </c>
      <c r="F2636" s="25">
        <v>43117</v>
      </c>
      <c r="G2636" s="61" t="s">
        <v>13</v>
      </c>
      <c r="H2636" s="25">
        <v>43151</v>
      </c>
      <c r="I2636" s="8"/>
      <c r="J2636" s="8"/>
      <c r="K2636" s="8"/>
      <c r="L2636" s="9" t="s">
        <v>170</v>
      </c>
      <c r="M2636" s="8"/>
    </row>
    <row r="2637" spans="1:13">
      <c r="A2637" s="62" t="s">
        <v>3742</v>
      </c>
      <c r="B2637" s="58">
        <v>24852369844</v>
      </c>
      <c r="C2637" s="63"/>
      <c r="D2637" s="60"/>
      <c r="E2637" s="9"/>
      <c r="F2637" s="25"/>
      <c r="G2637" s="61"/>
      <c r="H2637" s="9"/>
      <c r="I2637" s="8"/>
      <c r="J2637" s="8"/>
      <c r="K2637" s="8"/>
      <c r="L2637" s="8"/>
      <c r="M2637" s="8"/>
    </row>
    <row r="2638" spans="1:13">
      <c r="A2638" s="28" t="s">
        <v>3743</v>
      </c>
      <c r="B2638" s="58">
        <v>36051425837</v>
      </c>
      <c r="C2638" s="68" t="s">
        <v>3744</v>
      </c>
      <c r="D2638" s="60">
        <v>33369796848</v>
      </c>
      <c r="E2638" s="9"/>
      <c r="F2638" s="25"/>
      <c r="G2638" s="61"/>
      <c r="H2638" s="9"/>
      <c r="I2638" s="8"/>
      <c r="J2638" s="8"/>
      <c r="K2638" s="8"/>
      <c r="L2638" s="8"/>
      <c r="M2638" s="8"/>
    </row>
    <row r="2639" spans="1:13">
      <c r="A2639" s="63" t="s">
        <v>3745</v>
      </c>
      <c r="B2639" s="58">
        <v>59784598515</v>
      </c>
      <c r="C2639" s="63"/>
      <c r="D2639" s="60"/>
      <c r="E2639" s="9">
        <v>1752</v>
      </c>
      <c r="F2639" s="25">
        <v>43051</v>
      </c>
      <c r="G2639" s="61" t="s">
        <v>13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62" t="s">
        <v>3746</v>
      </c>
      <c r="B2640" s="58">
        <v>23362506836</v>
      </c>
      <c r="C2640" s="63"/>
      <c r="D2640" s="60"/>
      <c r="E2640" s="9">
        <v>563</v>
      </c>
      <c r="F2640" s="25">
        <v>43217</v>
      </c>
      <c r="G2640" s="61"/>
      <c r="H2640" s="25">
        <v>43234</v>
      </c>
      <c r="I2640" s="8"/>
      <c r="J2640" s="8"/>
      <c r="K2640" s="8"/>
      <c r="L2640" s="9" t="s">
        <v>299</v>
      </c>
      <c r="M2640" s="8"/>
    </row>
    <row r="2641" spans="1:13">
      <c r="A2641" s="63" t="s">
        <v>3747</v>
      </c>
      <c r="B2641" s="58">
        <v>99219395720</v>
      </c>
      <c r="C2641" s="63"/>
      <c r="D2641" s="60"/>
      <c r="E2641" s="9"/>
      <c r="F2641" s="25"/>
      <c r="G2641" s="61"/>
      <c r="H2641" s="9"/>
      <c r="I2641" s="8"/>
      <c r="J2641" s="8"/>
      <c r="K2641" s="8"/>
      <c r="L2641" s="8"/>
      <c r="M2641" s="8"/>
    </row>
    <row r="2642" spans="1:13">
      <c r="A2642" s="62" t="s">
        <v>3748</v>
      </c>
      <c r="B2642" s="58">
        <v>33698017873</v>
      </c>
      <c r="C2642" s="63"/>
      <c r="D2642" s="60"/>
      <c r="E2642" s="9">
        <v>1106</v>
      </c>
      <c r="F2642" s="25">
        <v>42965</v>
      </c>
      <c r="G2642" s="61" t="s">
        <v>13</v>
      </c>
      <c r="H2642" s="25">
        <v>42978</v>
      </c>
      <c r="I2642" s="8"/>
      <c r="J2642" s="8"/>
      <c r="K2642" s="8"/>
      <c r="L2642" s="8"/>
      <c r="M2642" s="8"/>
    </row>
    <row r="2643" spans="1:13">
      <c r="A2643" s="62" t="s">
        <v>3749</v>
      </c>
      <c r="B2643" s="58">
        <v>3212055375</v>
      </c>
      <c r="C2643" s="68" t="s">
        <v>3750</v>
      </c>
      <c r="D2643" s="60">
        <v>94071918349</v>
      </c>
      <c r="E2643" s="9"/>
      <c r="F2643" s="25"/>
      <c r="G2643" s="61"/>
      <c r="H2643" s="9"/>
      <c r="I2643" s="8"/>
      <c r="J2643" s="8"/>
      <c r="K2643" s="8"/>
      <c r="L2643" s="8"/>
      <c r="M2643" s="8"/>
    </row>
    <row r="2644" spans="1:13">
      <c r="A2644" s="15" t="s">
        <v>3751</v>
      </c>
      <c r="B2644" s="58">
        <v>38221892866</v>
      </c>
      <c r="C2644" s="63"/>
      <c r="D2644" s="60"/>
      <c r="E2644" s="9">
        <v>229</v>
      </c>
      <c r="F2644" s="25">
        <v>43151</v>
      </c>
      <c r="G2644" s="61" t="s">
        <v>13</v>
      </c>
      <c r="H2644" s="9"/>
      <c r="I2644" s="8"/>
      <c r="J2644" s="8"/>
      <c r="K2644" s="8"/>
      <c r="L2644" s="9">
        <v>232</v>
      </c>
      <c r="M2644" s="8"/>
    </row>
    <row r="2645" spans="1:13">
      <c r="A2645" s="62" t="s">
        <v>3752</v>
      </c>
      <c r="B2645" s="58">
        <v>16420076846</v>
      </c>
      <c r="C2645" s="63"/>
      <c r="D2645" s="60"/>
      <c r="E2645" s="9">
        <v>1359</v>
      </c>
      <c r="F2645" s="25">
        <v>43006</v>
      </c>
      <c r="G2645" s="61" t="s">
        <v>13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3753</v>
      </c>
      <c r="B2646" s="58">
        <v>11452168890</v>
      </c>
      <c r="C2646" s="63" t="s">
        <v>3754</v>
      </c>
      <c r="D2646" s="60">
        <v>25927807852</v>
      </c>
      <c r="E2646" s="9">
        <v>527</v>
      </c>
      <c r="F2646" s="25">
        <v>43210</v>
      </c>
      <c r="G2646" s="61"/>
      <c r="H2646" s="9"/>
      <c r="I2646" s="8"/>
      <c r="J2646" s="8"/>
      <c r="K2646" s="8"/>
      <c r="L2646" s="9">
        <v>528</v>
      </c>
      <c r="M2646" s="8"/>
    </row>
    <row r="2647" spans="1:13">
      <c r="A2647" s="62" t="s">
        <v>3755</v>
      </c>
      <c r="B2647" s="58">
        <v>41079665854</v>
      </c>
      <c r="C2647" s="63"/>
      <c r="D2647" s="60"/>
      <c r="E2647" s="9"/>
      <c r="F2647" s="25"/>
      <c r="G2647" s="61"/>
      <c r="H2647" s="9"/>
      <c r="I2647" s="8"/>
      <c r="J2647" s="8"/>
      <c r="K2647" s="8"/>
      <c r="L2647" s="8"/>
      <c r="M2647" s="8"/>
    </row>
    <row r="2648" spans="1:13">
      <c r="A2648" s="64" t="s">
        <v>3756</v>
      </c>
      <c r="B2648" s="58">
        <v>31856157865</v>
      </c>
      <c r="C2648" s="63" t="s">
        <v>3757</v>
      </c>
      <c r="D2648" s="60">
        <v>94552967568</v>
      </c>
      <c r="E2648" s="9">
        <v>810</v>
      </c>
      <c r="F2648" s="25">
        <v>42915</v>
      </c>
      <c r="G2648" s="61" t="s">
        <v>13</v>
      </c>
      <c r="H2648" s="25">
        <v>42921</v>
      </c>
      <c r="I2648" s="8"/>
      <c r="J2648" s="8"/>
      <c r="K2648" s="8"/>
      <c r="L2648" s="9" t="s">
        <v>138</v>
      </c>
      <c r="M2648" s="8"/>
    </row>
    <row r="2649" spans="1:13">
      <c r="A2649" s="62" t="s">
        <v>3758</v>
      </c>
      <c r="B2649" s="58">
        <v>46589719845</v>
      </c>
      <c r="C2649" s="63"/>
      <c r="D2649" s="60"/>
      <c r="E2649" s="9">
        <v>262</v>
      </c>
      <c r="F2649" s="25">
        <v>43160</v>
      </c>
      <c r="G2649" s="61" t="s">
        <v>13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3759</v>
      </c>
      <c r="B2650" s="58">
        <v>37478827810</v>
      </c>
      <c r="C2650" s="63" t="s">
        <v>3760</v>
      </c>
      <c r="D2650" s="60">
        <v>37591131842</v>
      </c>
      <c r="E2650" s="9">
        <v>292</v>
      </c>
      <c r="F2650" s="25">
        <v>43168</v>
      </c>
      <c r="G2650" s="61" t="s">
        <v>13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62" t="s">
        <v>3761</v>
      </c>
      <c r="B2651" s="58">
        <v>95285334420</v>
      </c>
      <c r="C2651" s="63"/>
      <c r="D2651" s="60"/>
      <c r="E2651" s="9">
        <v>1214</v>
      </c>
      <c r="F2651" s="25">
        <v>42989</v>
      </c>
      <c r="G2651" s="61" t="s">
        <v>13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3762</v>
      </c>
      <c r="B2652" s="58">
        <v>23465596870</v>
      </c>
      <c r="C2652" s="63" t="s">
        <v>3763</v>
      </c>
      <c r="D2652" s="60">
        <v>23522451848</v>
      </c>
      <c r="E2652" s="9">
        <v>292</v>
      </c>
      <c r="F2652" s="25">
        <v>43168</v>
      </c>
      <c r="G2652" s="61" t="s">
        <v>13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62" t="s">
        <v>3764</v>
      </c>
      <c r="B2653" s="58">
        <v>10047946814</v>
      </c>
      <c r="C2653" s="68"/>
      <c r="D2653" s="60"/>
      <c r="E2653" s="9">
        <v>563</v>
      </c>
      <c r="F2653" s="25">
        <v>43217</v>
      </c>
      <c r="G2653" s="61"/>
      <c r="H2653" s="25">
        <v>43234</v>
      </c>
      <c r="I2653" s="8"/>
      <c r="J2653" s="8"/>
      <c r="K2653" s="8"/>
      <c r="L2653" s="9" t="s">
        <v>299</v>
      </c>
      <c r="M2653" s="8"/>
    </row>
    <row r="2654" spans="1:13">
      <c r="A2654" s="64" t="s">
        <v>3765</v>
      </c>
      <c r="B2654" s="58">
        <v>34274784835</v>
      </c>
      <c r="C2654" s="63" t="s">
        <v>3766</v>
      </c>
      <c r="D2654" s="60">
        <v>19379885890</v>
      </c>
      <c r="E2654" s="9">
        <v>810</v>
      </c>
      <c r="F2654" s="25">
        <v>42915</v>
      </c>
      <c r="G2654" s="61" t="s">
        <v>13</v>
      </c>
      <c r="H2654" s="25">
        <v>42921</v>
      </c>
      <c r="I2654" s="8"/>
      <c r="J2654" s="8"/>
      <c r="K2654" s="8"/>
      <c r="L2654" s="9" t="s">
        <v>138</v>
      </c>
      <c r="M2654" s="8"/>
    </row>
    <row r="2655" spans="1:13">
      <c r="A2655" s="62" t="s">
        <v>3767</v>
      </c>
      <c r="B2655" s="58">
        <v>31120987814</v>
      </c>
      <c r="C2655" s="63"/>
      <c r="D2655" s="60"/>
      <c r="E2655" s="9">
        <v>810</v>
      </c>
      <c r="F2655" s="25">
        <v>42915</v>
      </c>
      <c r="G2655" s="61" t="s">
        <v>13</v>
      </c>
      <c r="H2655" s="25">
        <v>42921</v>
      </c>
      <c r="I2655" s="8"/>
      <c r="J2655" s="8"/>
      <c r="K2655" s="8"/>
      <c r="L2655" s="9" t="s">
        <v>138</v>
      </c>
      <c r="M2655" s="8"/>
    </row>
    <row r="2656" spans="1:13">
      <c r="A2656" s="62" t="s">
        <v>3768</v>
      </c>
      <c r="B2656" s="58">
        <v>14529532879</v>
      </c>
      <c r="C2656" s="63"/>
      <c r="D2656" s="60"/>
      <c r="E2656" s="9">
        <v>810</v>
      </c>
      <c r="F2656" s="25">
        <v>42915</v>
      </c>
      <c r="G2656" s="61" t="s">
        <v>13</v>
      </c>
      <c r="H2656" s="25">
        <v>42921</v>
      </c>
      <c r="I2656" s="8"/>
      <c r="J2656" s="8"/>
      <c r="K2656" s="8"/>
      <c r="L2656" s="9" t="s">
        <v>138</v>
      </c>
      <c r="M2656" s="8"/>
    </row>
    <row r="2657" spans="1:13">
      <c r="A2657" s="62" t="s">
        <v>3769</v>
      </c>
      <c r="B2657" s="58">
        <v>17790512803</v>
      </c>
      <c r="C2657" s="63"/>
      <c r="D2657" s="60"/>
      <c r="E2657" s="9">
        <v>117</v>
      </c>
      <c r="F2657" s="25">
        <v>43117</v>
      </c>
      <c r="G2657" s="61" t="s">
        <v>13</v>
      </c>
      <c r="H2657" s="25">
        <v>43151</v>
      </c>
      <c r="I2657" s="8"/>
      <c r="J2657" s="8"/>
      <c r="K2657" s="8"/>
      <c r="L2657" s="9" t="s">
        <v>170</v>
      </c>
      <c r="M2657" s="8"/>
    </row>
    <row r="2658" spans="1:13">
      <c r="A2658" s="62" t="s">
        <v>3770</v>
      </c>
      <c r="B2658" s="58">
        <v>41491764856</v>
      </c>
      <c r="C2658" s="63" t="s">
        <v>3771</v>
      </c>
      <c r="D2658" s="60">
        <v>91076447520</v>
      </c>
      <c r="E2658" s="9">
        <v>292</v>
      </c>
      <c r="F2658" s="25">
        <v>43168</v>
      </c>
      <c r="G2658" s="61" t="s">
        <v>13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62" t="s">
        <v>3772</v>
      </c>
      <c r="B2659" s="58">
        <v>94035229504</v>
      </c>
      <c r="C2659" s="63"/>
      <c r="D2659" s="60"/>
      <c r="E2659" s="9">
        <v>1570</v>
      </c>
      <c r="F2659" s="25">
        <v>43055</v>
      </c>
      <c r="G2659" s="61" t="s">
        <v>13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3773</v>
      </c>
      <c r="B2660" s="58">
        <v>32962624820</v>
      </c>
      <c r="C2660" s="63" t="s">
        <v>3774</v>
      </c>
      <c r="D2660" s="60">
        <v>3430918871</v>
      </c>
      <c r="E2660" s="9"/>
      <c r="F2660" s="25"/>
      <c r="G2660" s="61" t="s">
        <v>13</v>
      </c>
      <c r="H2660" s="9"/>
      <c r="I2660" s="8"/>
      <c r="J2660" s="8"/>
      <c r="K2660" s="8"/>
      <c r="L2660" s="8"/>
      <c r="M2660" s="8"/>
    </row>
    <row r="2661" spans="1:13">
      <c r="A2661" s="62" t="s">
        <v>3775</v>
      </c>
      <c r="B2661" s="58">
        <v>11962374840</v>
      </c>
      <c r="C2661" s="63"/>
      <c r="D2661" s="60"/>
      <c r="E2661" s="9">
        <v>1350</v>
      </c>
      <c r="F2661" s="25">
        <v>43006</v>
      </c>
      <c r="G2661" s="61" t="s">
        <v>20</v>
      </c>
      <c r="H2661" s="25">
        <v>43011</v>
      </c>
      <c r="I2661" s="8"/>
      <c r="J2661" s="8"/>
      <c r="K2661" s="8"/>
      <c r="L2661" s="8"/>
      <c r="M2661" s="8"/>
    </row>
    <row r="2662" spans="1:13">
      <c r="A2662" s="62" t="s">
        <v>3776</v>
      </c>
      <c r="B2662" s="58">
        <v>32777590320</v>
      </c>
      <c r="C2662" s="63"/>
      <c r="D2662" s="60"/>
      <c r="E2662" s="9"/>
      <c r="F2662" s="25"/>
      <c r="G2662" s="61"/>
      <c r="H2662" s="9"/>
      <c r="I2662" s="8"/>
      <c r="J2662" s="8"/>
      <c r="K2662" s="8"/>
      <c r="L2662" s="8"/>
      <c r="M2662" s="8"/>
    </row>
    <row r="2663" spans="1:13">
      <c r="A2663" s="18" t="s">
        <v>3777</v>
      </c>
      <c r="B2663" s="58">
        <v>65961404587</v>
      </c>
      <c r="C2663" s="18"/>
      <c r="D2663" s="60"/>
      <c r="E2663" s="9"/>
      <c r="F2663" s="25"/>
      <c r="G2663" s="61"/>
      <c r="H2663" s="9"/>
      <c r="I2663" s="8"/>
      <c r="J2663" s="8"/>
      <c r="K2663" s="8"/>
      <c r="L2663" s="8"/>
      <c r="M2663" s="8"/>
    </row>
    <row r="2664" spans="1:13">
      <c r="A2664" s="62" t="s">
        <v>3778</v>
      </c>
      <c r="B2664" s="58" t="s">
        <v>3779</v>
      </c>
      <c r="C2664" s="64"/>
      <c r="D2664" s="60"/>
      <c r="E2664" s="9"/>
      <c r="F2664" s="25"/>
      <c r="G2664" s="61"/>
      <c r="H2664" s="9"/>
      <c r="I2664" s="8"/>
      <c r="J2664" s="8"/>
      <c r="K2664" s="8"/>
      <c r="L2664" s="8"/>
      <c r="M2664" s="8"/>
    </row>
    <row r="2665" spans="1:13">
      <c r="A2665" s="62" t="s">
        <v>3780</v>
      </c>
      <c r="B2665" s="58">
        <v>12713435846</v>
      </c>
      <c r="C2665" s="63"/>
      <c r="D2665" s="60"/>
      <c r="E2665" s="9">
        <v>1422</v>
      </c>
      <c r="F2665" s="25">
        <v>43018</v>
      </c>
      <c r="G2665" s="61" t="s">
        <v>13</v>
      </c>
      <c r="H2665" s="25">
        <v>43027</v>
      </c>
      <c r="I2665" s="8"/>
      <c r="J2665" s="8"/>
      <c r="K2665" s="8"/>
      <c r="L2665" s="8"/>
      <c r="M2665" s="8"/>
    </row>
    <row r="2666" spans="1:13">
      <c r="A2666" s="27" t="s">
        <v>3781</v>
      </c>
      <c r="B2666" s="58">
        <v>99048957753</v>
      </c>
      <c r="C2666" s="27" t="s">
        <v>3782</v>
      </c>
      <c r="D2666" s="60">
        <v>14788838800</v>
      </c>
      <c r="E2666" s="9"/>
      <c r="F2666" s="25"/>
      <c r="G2666" s="61"/>
      <c r="H2666" s="9"/>
      <c r="I2666" s="8"/>
      <c r="J2666" s="8"/>
      <c r="K2666" s="8"/>
      <c r="L2666" s="8"/>
      <c r="M2666" s="8"/>
    </row>
    <row r="2667" spans="1:13">
      <c r="A2667" s="62" t="s">
        <v>3783</v>
      </c>
      <c r="B2667" s="58">
        <v>98859579872</v>
      </c>
      <c r="C2667" s="63"/>
      <c r="D2667" s="60"/>
      <c r="E2667" s="9"/>
      <c r="F2667" s="25"/>
      <c r="G2667" s="61"/>
      <c r="H2667" s="9"/>
      <c r="I2667" s="8"/>
      <c r="J2667" s="8"/>
      <c r="K2667" s="8"/>
      <c r="L2667" s="8"/>
      <c r="M2667" s="8"/>
    </row>
    <row r="2668" spans="1:13">
      <c r="A2668" s="62" t="s">
        <v>3784</v>
      </c>
      <c r="B2668" s="58">
        <v>11234152851</v>
      </c>
      <c r="C2668" s="63" t="s">
        <v>3785</v>
      </c>
      <c r="D2668" s="60">
        <v>11353668886</v>
      </c>
      <c r="E2668" s="9">
        <v>117</v>
      </c>
      <c r="F2668" s="25">
        <v>43117</v>
      </c>
      <c r="G2668" s="61" t="s">
        <v>13</v>
      </c>
      <c r="H2668" s="25">
        <v>43151</v>
      </c>
      <c r="I2668" s="8"/>
      <c r="J2668" s="8"/>
      <c r="K2668" s="8"/>
      <c r="L2668" s="9" t="s">
        <v>170</v>
      </c>
      <c r="M2668" s="8"/>
    </row>
    <row r="2669" spans="1:13">
      <c r="A2669" s="14" t="s">
        <v>3786</v>
      </c>
      <c r="B2669" s="58">
        <v>34926605848</v>
      </c>
      <c r="C2669" s="63"/>
      <c r="D2669" s="60"/>
      <c r="E2669" s="9"/>
      <c r="F2669" s="25"/>
      <c r="G2669" s="61"/>
      <c r="H2669" s="9"/>
      <c r="I2669" s="8"/>
      <c r="J2669" s="8"/>
      <c r="K2669" s="8"/>
      <c r="L2669" s="8"/>
      <c r="M2669" s="8"/>
    </row>
    <row r="2670" spans="1:13">
      <c r="A2670" s="27" t="s">
        <v>3787</v>
      </c>
      <c r="B2670" s="58">
        <v>39109326812</v>
      </c>
      <c r="C2670" s="27" t="s">
        <v>3788</v>
      </c>
      <c r="D2670" s="60">
        <v>34926211807</v>
      </c>
      <c r="E2670" s="9"/>
      <c r="F2670" s="25"/>
      <c r="G2670" s="61"/>
      <c r="H2670" s="9"/>
      <c r="I2670" s="8"/>
      <c r="J2670" s="8"/>
      <c r="K2670" s="8"/>
      <c r="L2670" s="8"/>
      <c r="M2670" s="8"/>
    </row>
    <row r="2671" spans="1:13">
      <c r="A2671" s="62" t="s">
        <v>3789</v>
      </c>
      <c r="B2671" s="58">
        <v>36108176822</v>
      </c>
      <c r="C2671" s="63"/>
      <c r="D2671" s="60"/>
      <c r="E2671" s="9">
        <v>810</v>
      </c>
      <c r="F2671" s="25">
        <v>42915</v>
      </c>
      <c r="G2671" s="61" t="s">
        <v>13</v>
      </c>
      <c r="H2671" s="25">
        <v>42921</v>
      </c>
      <c r="I2671" s="8"/>
      <c r="J2671" s="8"/>
      <c r="K2671" s="8"/>
      <c r="L2671" s="9" t="s">
        <v>138</v>
      </c>
      <c r="M2671" s="8"/>
    </row>
    <row r="2672" spans="1:13">
      <c r="A2672" s="62" t="s">
        <v>3790</v>
      </c>
      <c r="B2672" s="58">
        <v>33211970819</v>
      </c>
      <c r="C2672" s="63" t="s">
        <v>3791</v>
      </c>
      <c r="D2672" s="60">
        <v>22546816802</v>
      </c>
      <c r="E2672" s="9">
        <v>810</v>
      </c>
      <c r="F2672" s="25">
        <v>42915</v>
      </c>
      <c r="G2672" s="61" t="s">
        <v>13</v>
      </c>
      <c r="H2672" s="25">
        <v>42921</v>
      </c>
      <c r="I2672" s="8"/>
      <c r="J2672" s="8"/>
      <c r="K2672" s="8"/>
      <c r="L2672" s="9" t="s">
        <v>138</v>
      </c>
      <c r="M2672" s="8"/>
    </row>
    <row r="2673" spans="1:13">
      <c r="A2673" s="62" t="s">
        <v>3792</v>
      </c>
      <c r="B2673" s="58">
        <v>15717180870</v>
      </c>
      <c r="C2673" s="63"/>
      <c r="D2673" s="60"/>
      <c r="E2673" s="9">
        <v>262</v>
      </c>
      <c r="F2673" s="25">
        <v>43160</v>
      </c>
      <c r="G2673" s="9" t="s">
        <v>13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7" t="s">
        <v>3793</v>
      </c>
      <c r="B2674" s="58">
        <v>45170442890</v>
      </c>
      <c r="C2674" s="18" t="s">
        <v>129</v>
      </c>
      <c r="D2674" s="60"/>
      <c r="E2674" s="9"/>
      <c r="F2674" s="25"/>
      <c r="G2674" s="61"/>
      <c r="H2674" s="9"/>
      <c r="I2674" s="8"/>
      <c r="J2674" s="8"/>
      <c r="K2674" s="8"/>
      <c r="L2674" s="8"/>
      <c r="M2674" s="8"/>
    </row>
    <row r="2675" spans="1:13">
      <c r="A2675" s="15" t="s">
        <v>3794</v>
      </c>
      <c r="B2675" s="58">
        <v>51188770837</v>
      </c>
      <c r="C2675" s="63"/>
      <c r="D2675" s="60"/>
      <c r="E2675" s="9">
        <v>229</v>
      </c>
      <c r="F2675" s="25">
        <v>43151</v>
      </c>
      <c r="G2675" s="61" t="s">
        <v>13</v>
      </c>
      <c r="H2675" s="9"/>
      <c r="I2675" s="8"/>
      <c r="J2675" s="8"/>
      <c r="K2675" s="8"/>
      <c r="L2675" s="9">
        <v>232</v>
      </c>
      <c r="M2675" s="8"/>
    </row>
    <row r="2676" spans="1:13">
      <c r="A2676" s="62" t="s">
        <v>3795</v>
      </c>
      <c r="B2676" s="58">
        <v>37024041803</v>
      </c>
      <c r="C2676" s="63"/>
      <c r="D2676" s="60"/>
      <c r="E2676" s="9">
        <v>1267</v>
      </c>
      <c r="F2676" s="25">
        <v>42998</v>
      </c>
      <c r="G2676" s="61" t="s">
        <v>13</v>
      </c>
      <c r="H2676" s="25">
        <v>43000</v>
      </c>
      <c r="I2676" s="8"/>
      <c r="J2676" s="8"/>
      <c r="K2676" s="8"/>
      <c r="L2676" s="8"/>
      <c r="M2676" s="8"/>
    </row>
    <row r="2677" spans="1:13">
      <c r="A2677" s="62" t="s">
        <v>3796</v>
      </c>
      <c r="B2677" s="58"/>
      <c r="C2677" s="62" t="s">
        <v>3797</v>
      </c>
      <c r="D2677" s="60"/>
      <c r="E2677" s="9"/>
      <c r="F2677" s="25"/>
      <c r="G2677" s="61"/>
      <c r="H2677" s="9"/>
      <c r="I2677" s="8"/>
      <c r="J2677" s="8"/>
      <c r="K2677" s="8"/>
      <c r="L2677" s="8"/>
      <c r="M2677" s="8"/>
    </row>
    <row r="2678" spans="1:13">
      <c r="A2678" s="62" t="s">
        <v>3798</v>
      </c>
      <c r="B2678" s="58">
        <v>35365241843</v>
      </c>
      <c r="C2678" s="63"/>
      <c r="D2678" s="60"/>
      <c r="E2678" s="9"/>
      <c r="F2678" s="25"/>
      <c r="G2678" s="61"/>
      <c r="H2678" s="9"/>
      <c r="I2678" s="8"/>
      <c r="J2678" s="8"/>
      <c r="K2678" s="8"/>
      <c r="L2678" s="8"/>
      <c r="M2678" s="8"/>
    </row>
    <row r="2679" spans="1:13">
      <c r="A2679" s="27" t="s">
        <v>3799</v>
      </c>
      <c r="B2679" s="58"/>
      <c r="C2679" s="27" t="s">
        <v>129</v>
      </c>
      <c r="D2679" s="60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3800</v>
      </c>
      <c r="B2680" s="58">
        <v>1846996490</v>
      </c>
      <c r="C2680" s="63" t="s">
        <v>3801</v>
      </c>
      <c r="D2680" s="60">
        <v>8864435808</v>
      </c>
      <c r="E2680" s="9"/>
      <c r="F2680" s="25"/>
      <c r="G2680" s="61"/>
      <c r="H2680" s="9"/>
      <c r="I2680" s="8"/>
      <c r="J2680" s="8"/>
      <c r="K2680" s="8"/>
      <c r="L2680" s="8"/>
      <c r="M2680" s="8"/>
    </row>
    <row r="2681" spans="1:13">
      <c r="A2681" s="62" t="s">
        <v>3802</v>
      </c>
      <c r="B2681" s="58">
        <v>27996678804</v>
      </c>
      <c r="C2681" s="63"/>
      <c r="D2681" s="60"/>
      <c r="E2681" s="9">
        <v>1628</v>
      </c>
      <c r="F2681" s="25">
        <v>43077</v>
      </c>
      <c r="G2681" s="61" t="s">
        <v>13</v>
      </c>
      <c r="H2681" s="25">
        <v>43080</v>
      </c>
      <c r="I2681" s="8"/>
      <c r="J2681" s="8"/>
      <c r="K2681" s="8"/>
      <c r="L2681" s="8"/>
      <c r="M2681" s="8"/>
    </row>
    <row r="2682" spans="1:13">
      <c r="A2682" s="62" t="s">
        <v>3803</v>
      </c>
      <c r="B2682" s="58">
        <v>27509843863</v>
      </c>
      <c r="C2682" s="63"/>
      <c r="D2682" s="60"/>
      <c r="E2682" s="9">
        <v>292</v>
      </c>
      <c r="F2682" s="25">
        <v>43168</v>
      </c>
      <c r="G2682" s="9" t="s">
        <v>13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62" t="s">
        <v>3804</v>
      </c>
      <c r="B2683" s="58">
        <v>32329221800</v>
      </c>
      <c r="C2683" s="63"/>
      <c r="D2683" s="60"/>
      <c r="E2683" s="9">
        <v>1417</v>
      </c>
      <c r="F2683" s="25">
        <v>43017</v>
      </c>
      <c r="G2683" s="61" t="s">
        <v>13</v>
      </c>
      <c r="H2683" s="25">
        <v>43027</v>
      </c>
      <c r="I2683" s="8"/>
      <c r="J2683" s="8"/>
      <c r="K2683" s="8"/>
      <c r="L2683" s="9" t="s">
        <v>253</v>
      </c>
      <c r="M2683" s="8"/>
    </row>
    <row r="2684" spans="1:13">
      <c r="A2684" s="13" t="s">
        <v>3805</v>
      </c>
      <c r="B2684" s="58">
        <v>29203944877</v>
      </c>
      <c r="C2684" s="59"/>
      <c r="D2684" s="60"/>
      <c r="E2684" s="9">
        <v>1128</v>
      </c>
      <c r="F2684" s="25">
        <v>42972</v>
      </c>
      <c r="G2684" s="61" t="s">
        <v>13</v>
      </c>
      <c r="H2684" s="25">
        <v>42979</v>
      </c>
      <c r="I2684" s="8"/>
      <c r="J2684" s="8"/>
      <c r="K2684" s="8"/>
      <c r="L2684" s="8"/>
      <c r="M2684" s="8"/>
    </row>
    <row r="2685" spans="1:13">
      <c r="A2685" s="27" t="s">
        <v>3806</v>
      </c>
      <c r="B2685" s="58"/>
      <c r="C2685" s="27" t="s">
        <v>129</v>
      </c>
      <c r="D2685" s="60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62" t="s">
        <v>3807</v>
      </c>
      <c r="B2686" s="58">
        <v>33374721842</v>
      </c>
      <c r="C2686" s="63"/>
      <c r="D2686" s="60"/>
      <c r="E2686" s="9">
        <v>292</v>
      </c>
      <c r="F2686" s="25">
        <v>43168</v>
      </c>
      <c r="G2686" s="9" t="s">
        <v>13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63" t="s">
        <v>3808</v>
      </c>
      <c r="B2687" s="58">
        <v>18033634871</v>
      </c>
      <c r="C2687" s="63" t="s">
        <v>3809</v>
      </c>
      <c r="D2687" s="60">
        <v>4507492823</v>
      </c>
      <c r="E2687" s="9"/>
      <c r="F2687" s="25"/>
      <c r="G2687" s="61"/>
      <c r="H2687" s="9"/>
      <c r="I2687" s="8"/>
      <c r="J2687" s="8"/>
      <c r="K2687" s="8"/>
      <c r="L2687" s="8"/>
      <c r="M2687" s="8"/>
    </row>
    <row r="2688" spans="1:13">
      <c r="A2688" s="62" t="s">
        <v>3810</v>
      </c>
      <c r="B2688" s="58">
        <v>17309351843</v>
      </c>
      <c r="C2688" s="63"/>
      <c r="D2688" s="60"/>
      <c r="E2688" s="9"/>
      <c r="F2688" s="25"/>
      <c r="G2688" s="61"/>
      <c r="H2688" s="9"/>
      <c r="I2688" s="8"/>
      <c r="J2688" s="8"/>
      <c r="K2688" s="8"/>
      <c r="L2688" s="8"/>
      <c r="M2688" s="8"/>
    </row>
    <row r="2689" spans="1:13">
      <c r="A2689" s="87" t="s">
        <v>3811</v>
      </c>
      <c r="B2689" s="58">
        <v>16155105839</v>
      </c>
      <c r="C2689" s="63" t="s">
        <v>3812</v>
      </c>
      <c r="D2689" s="60">
        <v>53581717468</v>
      </c>
      <c r="E2689" s="9">
        <v>1359</v>
      </c>
      <c r="F2689" s="25">
        <v>43006</v>
      </c>
      <c r="G2689" s="61" t="s">
        <v>13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3813</v>
      </c>
      <c r="B2690" s="58">
        <v>33244692877</v>
      </c>
      <c r="C2690" s="63" t="s">
        <v>3814</v>
      </c>
      <c r="D2690" s="60">
        <v>7582246802</v>
      </c>
      <c r="E2690" s="9">
        <v>1417</v>
      </c>
      <c r="F2690" s="25">
        <v>43017</v>
      </c>
      <c r="G2690" s="61" t="s">
        <v>13</v>
      </c>
      <c r="H2690" s="25">
        <v>43027</v>
      </c>
      <c r="I2690" s="8"/>
      <c r="J2690" s="8"/>
      <c r="K2690" s="8"/>
      <c r="L2690" s="9" t="s">
        <v>253</v>
      </c>
      <c r="M2690" s="8"/>
    </row>
    <row r="2691" spans="1:13">
      <c r="A2691" s="62" t="s">
        <v>3815</v>
      </c>
      <c r="B2691" s="58">
        <v>26334556894</v>
      </c>
      <c r="C2691" s="63"/>
      <c r="D2691" s="60"/>
      <c r="E2691" s="9"/>
      <c r="F2691" s="25"/>
      <c r="G2691" s="61"/>
      <c r="H2691" s="9"/>
      <c r="I2691" s="8"/>
      <c r="J2691" s="8"/>
      <c r="K2691" s="8"/>
      <c r="L2691" s="8"/>
      <c r="M2691" s="8"/>
    </row>
    <row r="2692" spans="1:13">
      <c r="A2692" s="62" t="s">
        <v>3816</v>
      </c>
      <c r="B2692" s="58">
        <v>23369422832</v>
      </c>
      <c r="C2692" s="63"/>
      <c r="D2692" s="60"/>
      <c r="E2692" s="9"/>
      <c r="F2692" s="25"/>
      <c r="G2692" s="61"/>
      <c r="H2692" s="9"/>
      <c r="I2692" s="8"/>
      <c r="J2692" s="8"/>
      <c r="K2692" s="8"/>
      <c r="L2692" s="8"/>
      <c r="M2692" s="8"/>
    </row>
    <row r="2693" spans="1:13">
      <c r="A2693" s="62" t="s">
        <v>3817</v>
      </c>
      <c r="B2693" s="58"/>
      <c r="C2693" s="63"/>
      <c r="D2693" s="60"/>
      <c r="E2693" s="9"/>
      <c r="F2693" s="25"/>
      <c r="G2693" s="61"/>
      <c r="H2693" s="9"/>
      <c r="I2693" s="8"/>
      <c r="J2693" s="8"/>
      <c r="K2693" s="8"/>
      <c r="L2693" s="8"/>
      <c r="M2693" s="8"/>
    </row>
    <row r="2694" spans="1:13">
      <c r="A2694" s="62" t="s">
        <v>3818</v>
      </c>
      <c r="B2694" s="58">
        <v>28406679832</v>
      </c>
      <c r="C2694" s="63"/>
      <c r="D2694" s="60"/>
      <c r="E2694" s="9"/>
      <c r="F2694" s="25"/>
      <c r="G2694" s="61"/>
      <c r="H2694" s="9"/>
      <c r="I2694" s="8"/>
      <c r="J2694" s="8"/>
      <c r="K2694" s="8"/>
      <c r="L2694" s="8"/>
      <c r="M2694" s="8"/>
    </row>
    <row r="2695" spans="1:13">
      <c r="A2695" s="64" t="s">
        <v>3819</v>
      </c>
      <c r="B2695" s="58">
        <v>8715634795</v>
      </c>
      <c r="C2695" s="63" t="s">
        <v>3820</v>
      </c>
      <c r="D2695" s="60">
        <v>30386378827</v>
      </c>
      <c r="E2695" s="9">
        <v>1106</v>
      </c>
      <c r="F2695" s="25">
        <v>42965</v>
      </c>
      <c r="G2695" s="61" t="s">
        <v>13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3821</v>
      </c>
      <c r="B2696" s="58">
        <v>27007595839</v>
      </c>
      <c r="C2696" s="59"/>
      <c r="D2696" s="60"/>
      <c r="E2696" s="9">
        <v>1214</v>
      </c>
      <c r="F2696" s="25">
        <v>42989</v>
      </c>
      <c r="G2696" s="61" t="s">
        <v>13</v>
      </c>
      <c r="H2696" s="25">
        <v>43000</v>
      </c>
      <c r="I2696" s="8"/>
      <c r="J2696" s="8"/>
      <c r="K2696" s="8"/>
      <c r="L2696" s="8"/>
      <c r="M2696" s="8"/>
    </row>
    <row r="2697" spans="1:13">
      <c r="A2697" s="62" t="s">
        <v>3822</v>
      </c>
      <c r="B2697" s="58">
        <v>22697753842</v>
      </c>
      <c r="C2697" s="63"/>
      <c r="D2697" s="60"/>
      <c r="E2697" s="9">
        <v>1350</v>
      </c>
      <c r="F2697" s="25">
        <v>43006</v>
      </c>
      <c r="G2697" s="61" t="s">
        <v>13</v>
      </c>
      <c r="H2697" s="25">
        <v>43011</v>
      </c>
      <c r="I2697" s="8"/>
      <c r="J2697" s="8"/>
      <c r="K2697" s="8"/>
      <c r="L2697" s="8"/>
      <c r="M2697" s="8"/>
    </row>
    <row r="2698" spans="1:13">
      <c r="A2698" s="62" t="s">
        <v>3823</v>
      </c>
      <c r="B2698" s="58">
        <v>28419447862</v>
      </c>
      <c r="C2698" s="63"/>
      <c r="D2698" s="60"/>
      <c r="E2698" s="9"/>
      <c r="F2698" s="25"/>
      <c r="G2698" s="61"/>
      <c r="H2698" s="9"/>
      <c r="I2698" s="8"/>
      <c r="J2698" s="8"/>
      <c r="K2698" s="8"/>
      <c r="L2698" s="8"/>
      <c r="M2698" s="8"/>
    </row>
    <row r="2699" spans="1:13">
      <c r="A2699" s="15" t="s">
        <v>3824</v>
      </c>
      <c r="B2699" s="58">
        <v>85941933517</v>
      </c>
      <c r="C2699" s="63" t="s">
        <v>3825</v>
      </c>
      <c r="D2699" s="60">
        <v>7045108125</v>
      </c>
      <c r="E2699" s="9"/>
      <c r="F2699" s="25"/>
      <c r="G2699" s="61"/>
      <c r="H2699" s="9"/>
      <c r="I2699" s="8"/>
      <c r="J2699" s="8"/>
      <c r="K2699" s="8"/>
      <c r="L2699" s="8"/>
      <c r="M2699" s="8"/>
    </row>
    <row r="2700" spans="1:13">
      <c r="A2700" s="62" t="s">
        <v>3826</v>
      </c>
      <c r="B2700" s="58">
        <v>89531850500</v>
      </c>
      <c r="C2700" s="63"/>
      <c r="D2700" s="60"/>
      <c r="E2700" s="9">
        <v>485</v>
      </c>
      <c r="F2700" s="25">
        <v>43196</v>
      </c>
      <c r="G2700" s="61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62" t="s">
        <v>3827</v>
      </c>
      <c r="B2701" s="58">
        <v>28230933898</v>
      </c>
      <c r="C2701" s="63"/>
      <c r="D2701" s="60"/>
      <c r="E2701" s="9"/>
      <c r="F2701" s="25"/>
      <c r="G2701" s="61"/>
      <c r="H2701" s="9"/>
      <c r="I2701" s="8"/>
      <c r="J2701" s="8"/>
      <c r="K2701" s="8"/>
      <c r="L2701" s="8"/>
      <c r="M2701" s="8"/>
    </row>
    <row r="2702" spans="1:13">
      <c r="A2702" s="27" t="s">
        <v>3828</v>
      </c>
      <c r="B2702" s="58"/>
      <c r="C2702" s="18" t="s">
        <v>129</v>
      </c>
      <c r="D2702" s="60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3829</v>
      </c>
      <c r="B2703" s="58">
        <v>39766945845</v>
      </c>
      <c r="C2703" s="63" t="s">
        <v>3830</v>
      </c>
      <c r="D2703" s="60">
        <v>4497515621</v>
      </c>
      <c r="E2703" s="9">
        <v>262</v>
      </c>
      <c r="F2703" s="25">
        <v>43160</v>
      </c>
      <c r="G2703" s="61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3831</v>
      </c>
      <c r="B2704" s="58">
        <v>95398112520</v>
      </c>
      <c r="C2704" s="63"/>
      <c r="D2704" s="60"/>
      <c r="E2704" s="9">
        <v>262</v>
      </c>
      <c r="F2704" s="25">
        <v>43160</v>
      </c>
      <c r="G2704" s="61" t="s">
        <v>13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3832</v>
      </c>
      <c r="B2705" s="58">
        <v>16374846826</v>
      </c>
      <c r="C2705" s="63" t="s">
        <v>3833</v>
      </c>
      <c r="D2705" s="60">
        <v>38606593320</v>
      </c>
      <c r="E2705" s="9">
        <v>262</v>
      </c>
      <c r="F2705" s="25">
        <v>43160</v>
      </c>
      <c r="G2705" s="61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62" t="s">
        <v>3834</v>
      </c>
      <c r="B2706" s="58">
        <v>1856821897</v>
      </c>
      <c r="C2706" s="63"/>
      <c r="D2706" s="60"/>
      <c r="E2706" s="9"/>
      <c r="F2706" s="25"/>
      <c r="G2706" s="61"/>
      <c r="H2706" s="9"/>
      <c r="I2706" s="8"/>
      <c r="J2706" s="8"/>
      <c r="K2706" s="8"/>
      <c r="L2706" s="8"/>
      <c r="M2706" s="8"/>
    </row>
    <row r="2707" spans="1:13">
      <c r="A2707" s="15" t="s">
        <v>3835</v>
      </c>
      <c r="B2707" s="58">
        <v>93785780630</v>
      </c>
      <c r="C2707" s="63"/>
      <c r="D2707" s="60"/>
      <c r="E2707" s="9">
        <v>292</v>
      </c>
      <c r="F2707" s="25">
        <v>43168</v>
      </c>
      <c r="G2707" s="61" t="s">
        <v>13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62" t="s">
        <v>3836</v>
      </c>
      <c r="B2708" s="58">
        <v>29475815805</v>
      </c>
      <c r="C2708" s="63"/>
      <c r="D2708" s="60"/>
      <c r="E2708" s="9">
        <v>1555</v>
      </c>
      <c r="F2708" s="25">
        <v>43049</v>
      </c>
      <c r="G2708" s="61" t="s">
        <v>13</v>
      </c>
      <c r="H2708" s="9"/>
      <c r="I2708" s="8"/>
      <c r="J2708" s="8"/>
      <c r="K2708" s="8"/>
      <c r="L2708" s="9" t="s">
        <v>398</v>
      </c>
      <c r="M2708" s="8"/>
    </row>
    <row r="2709" spans="1:13">
      <c r="A2709" s="62" t="s">
        <v>3837</v>
      </c>
      <c r="B2709" s="58">
        <v>32897500867</v>
      </c>
      <c r="C2709" s="63"/>
      <c r="D2709" s="60"/>
      <c r="E2709" s="9">
        <v>292</v>
      </c>
      <c r="F2709" s="25">
        <v>43168</v>
      </c>
      <c r="G2709" s="61" t="s">
        <v>13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62" t="s">
        <v>3838</v>
      </c>
      <c r="B2710" s="58">
        <v>14337129898</v>
      </c>
      <c r="C2710" s="68" t="s">
        <v>3839</v>
      </c>
      <c r="D2710" s="60">
        <v>4016271606</v>
      </c>
      <c r="E2710" s="9"/>
      <c r="F2710" s="25"/>
      <c r="G2710" s="61"/>
      <c r="H2710" s="9"/>
      <c r="I2710" s="8"/>
      <c r="J2710" s="8"/>
      <c r="K2710" s="8"/>
      <c r="L2710" s="8"/>
      <c r="M2710" s="8"/>
    </row>
    <row r="2711" spans="1:13">
      <c r="A2711" s="13" t="s">
        <v>3840</v>
      </c>
      <c r="B2711" s="58">
        <v>32287555846</v>
      </c>
      <c r="C2711" s="59"/>
      <c r="D2711" s="60"/>
      <c r="E2711" s="9">
        <v>1128</v>
      </c>
      <c r="F2711" s="25">
        <v>42972</v>
      </c>
      <c r="G2711" s="61" t="s">
        <v>13</v>
      </c>
      <c r="H2711" s="25">
        <v>42979</v>
      </c>
      <c r="I2711" s="8"/>
      <c r="J2711" s="8"/>
      <c r="K2711" s="8"/>
      <c r="L2711" s="8"/>
      <c r="M2711" s="8"/>
    </row>
    <row r="2712" spans="1:13">
      <c r="A2712" s="62" t="s">
        <v>3841</v>
      </c>
      <c r="B2712" s="58">
        <v>37793218825</v>
      </c>
      <c r="C2712" s="63"/>
      <c r="D2712" s="60"/>
      <c r="E2712" s="9">
        <v>262</v>
      </c>
      <c r="F2712" s="25">
        <v>43160</v>
      </c>
      <c r="G2712" s="61" t="s">
        <v>13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62" t="s">
        <v>3842</v>
      </c>
      <c r="B2713" s="58">
        <v>36804287827</v>
      </c>
      <c r="C2713" s="63"/>
      <c r="D2713" s="60"/>
      <c r="E2713" s="9"/>
      <c r="F2713" s="25"/>
      <c r="G2713" s="61"/>
      <c r="H2713" s="9"/>
      <c r="I2713" s="8"/>
      <c r="J2713" s="8"/>
      <c r="K2713" s="8"/>
      <c r="L2713" s="8"/>
      <c r="M2713" s="8"/>
    </row>
    <row r="2714" spans="1:13">
      <c r="A2714" s="62" t="s">
        <v>3843</v>
      </c>
      <c r="B2714" s="58">
        <v>69308152415</v>
      </c>
      <c r="C2714" s="63"/>
      <c r="D2714" s="60"/>
      <c r="E2714" s="9"/>
      <c r="F2714" s="25"/>
      <c r="G2714" s="61"/>
      <c r="H2714" s="9"/>
      <c r="I2714" s="8"/>
      <c r="J2714" s="8"/>
      <c r="K2714" s="8"/>
      <c r="L2714" s="8"/>
      <c r="M2714" s="8"/>
    </row>
    <row r="2715" spans="1:13">
      <c r="A2715" s="62" t="s">
        <v>3844</v>
      </c>
      <c r="B2715" s="58">
        <v>64152375434</v>
      </c>
      <c r="C2715" s="63"/>
      <c r="D2715" s="60"/>
      <c r="E2715" s="9">
        <v>1267</v>
      </c>
      <c r="F2715" s="25">
        <v>42998</v>
      </c>
      <c r="G2715" s="61" t="s">
        <v>13</v>
      </c>
      <c r="H2715" s="25">
        <v>43000</v>
      </c>
      <c r="I2715" s="8"/>
      <c r="J2715" s="8"/>
      <c r="K2715" s="8"/>
      <c r="L2715" s="8"/>
      <c r="M2715" s="8"/>
    </row>
    <row r="2716" spans="1:13">
      <c r="A2716" s="62" t="s">
        <v>3845</v>
      </c>
      <c r="B2716" s="58">
        <v>44013455846</v>
      </c>
      <c r="C2716" s="64"/>
      <c r="D2716" s="60"/>
      <c r="E2716" s="9">
        <v>573</v>
      </c>
      <c r="F2716" s="25">
        <v>43224</v>
      </c>
      <c r="G2716" s="61"/>
      <c r="H2716" s="9"/>
      <c r="I2716" s="8"/>
      <c r="J2716" s="8"/>
      <c r="K2716" s="8"/>
      <c r="L2716" s="8"/>
      <c r="M2716" s="8"/>
    </row>
    <row r="2717" spans="1:13">
      <c r="A2717" s="62" t="s">
        <v>3846</v>
      </c>
      <c r="B2717" s="58">
        <v>44712669349</v>
      </c>
      <c r="C2717" s="63"/>
      <c r="D2717" s="60"/>
      <c r="E2717" s="9"/>
      <c r="F2717" s="25"/>
      <c r="G2717" s="61"/>
      <c r="H2717" s="9"/>
      <c r="I2717" s="8"/>
      <c r="J2717" s="8"/>
      <c r="K2717" s="8"/>
      <c r="L2717" s="8"/>
      <c r="M2717" s="8"/>
    </row>
    <row r="2718" spans="1:13">
      <c r="A2718" s="13" t="s">
        <v>3847</v>
      </c>
      <c r="B2718" s="58">
        <v>53615859804</v>
      </c>
      <c r="C2718" s="63"/>
      <c r="D2718" s="60"/>
      <c r="E2718" s="9">
        <v>1752</v>
      </c>
      <c r="F2718" s="25">
        <v>43051</v>
      </c>
      <c r="G2718" s="61" t="s">
        <v>28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62" t="s">
        <v>3848</v>
      </c>
      <c r="B2719" s="58">
        <v>12521312835</v>
      </c>
      <c r="C2719" s="63"/>
      <c r="D2719" s="60"/>
      <c r="E2719" s="9">
        <v>85</v>
      </c>
      <c r="F2719" s="25">
        <v>43109</v>
      </c>
      <c r="G2719" s="61" t="s">
        <v>13</v>
      </c>
      <c r="H2719" s="25">
        <v>43151</v>
      </c>
      <c r="I2719" s="8"/>
      <c r="J2719" s="8"/>
      <c r="K2719" s="8"/>
      <c r="L2719" s="8"/>
      <c r="M2719" s="8"/>
    </row>
    <row r="2720" spans="1:13">
      <c r="A2720" s="62" t="s">
        <v>3849</v>
      </c>
      <c r="B2720" s="58">
        <v>38482003844</v>
      </c>
      <c r="C2720" s="63" t="s">
        <v>3850</v>
      </c>
      <c r="D2720" s="60">
        <v>34337869840</v>
      </c>
      <c r="E2720" s="9">
        <v>117</v>
      </c>
      <c r="F2720" s="25">
        <v>43117</v>
      </c>
      <c r="G2720" s="61" t="s">
        <v>13</v>
      </c>
      <c r="H2720" s="25">
        <v>43151</v>
      </c>
      <c r="I2720" s="8"/>
      <c r="J2720" s="8"/>
      <c r="K2720" s="8"/>
      <c r="L2720" s="9" t="s">
        <v>170</v>
      </c>
      <c r="M2720" s="8"/>
    </row>
    <row r="2721" spans="1:13">
      <c r="A2721" s="62" t="s">
        <v>3851</v>
      </c>
      <c r="B2721" s="58">
        <v>30880201886</v>
      </c>
      <c r="C2721" s="63"/>
      <c r="D2721" s="60"/>
      <c r="E2721" s="9"/>
      <c r="F2721" s="25"/>
      <c r="G2721" s="61"/>
      <c r="H2721" s="9"/>
      <c r="I2721" s="8"/>
      <c r="J2721" s="8"/>
      <c r="K2721" s="8"/>
      <c r="L2721" s="8"/>
      <c r="M2721" s="8"/>
    </row>
    <row r="2722" spans="1:13">
      <c r="A2722" s="14" t="s">
        <v>3852</v>
      </c>
      <c r="B2722" s="58">
        <v>33079736818</v>
      </c>
      <c r="C2722" s="63" t="s">
        <v>3853</v>
      </c>
      <c r="D2722" s="60">
        <v>35642667807</v>
      </c>
      <c r="E2722" s="9">
        <v>262</v>
      </c>
      <c r="F2722" s="25">
        <v>43160</v>
      </c>
      <c r="G2722" s="61" t="s">
        <v>13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3854</v>
      </c>
      <c r="B2723" s="58">
        <v>22630792897</v>
      </c>
      <c r="C2723" s="63"/>
      <c r="D2723" s="60"/>
      <c r="E2723" s="9"/>
      <c r="F2723" s="25"/>
      <c r="G2723" s="61"/>
      <c r="H2723" s="9"/>
      <c r="I2723" s="8"/>
      <c r="J2723" s="8"/>
      <c r="K2723" s="8"/>
      <c r="L2723" s="8"/>
      <c r="M2723" s="8"/>
    </row>
    <row r="2724" spans="1:13">
      <c r="A2724" s="62" t="s">
        <v>3855</v>
      </c>
      <c r="B2724" s="58">
        <v>31620090813</v>
      </c>
      <c r="C2724" s="63" t="s">
        <v>3856</v>
      </c>
      <c r="D2724" s="60">
        <v>29977379823</v>
      </c>
      <c r="E2724" s="9"/>
      <c r="F2724" s="25"/>
      <c r="G2724" s="61"/>
      <c r="H2724" s="9"/>
      <c r="I2724" s="8"/>
      <c r="J2724" s="8"/>
      <c r="K2724" s="8"/>
      <c r="L2724" s="8"/>
      <c r="M2724" s="8"/>
    </row>
    <row r="2725" spans="1:13">
      <c r="A2725" s="62" t="s">
        <v>3857</v>
      </c>
      <c r="B2725" s="58">
        <v>39621579805</v>
      </c>
      <c r="C2725" s="68" t="s">
        <v>3858</v>
      </c>
      <c r="D2725" s="60">
        <v>32395887811</v>
      </c>
      <c r="E2725" s="9"/>
      <c r="F2725" s="25"/>
      <c r="G2725" s="61"/>
      <c r="H2725" s="9"/>
      <c r="I2725" s="8"/>
      <c r="J2725" s="8"/>
      <c r="K2725" s="8"/>
      <c r="L2725" s="8"/>
      <c r="M2725" s="8"/>
    </row>
    <row r="2726" spans="1:13">
      <c r="A2726" s="15" t="s">
        <v>3859</v>
      </c>
      <c r="B2726" s="58">
        <v>221267328</v>
      </c>
      <c r="C2726" s="63" t="s">
        <v>3860</v>
      </c>
      <c r="D2726" s="60">
        <v>98610830306</v>
      </c>
      <c r="E2726" s="9">
        <v>85</v>
      </c>
      <c r="F2726" s="25">
        <v>43109</v>
      </c>
      <c r="G2726" s="61" t="s">
        <v>13</v>
      </c>
      <c r="H2726" s="25">
        <v>43151</v>
      </c>
      <c r="I2726" s="8"/>
      <c r="J2726" s="8"/>
      <c r="K2726" s="8"/>
      <c r="L2726" s="8"/>
      <c r="M2726" s="8"/>
    </row>
    <row r="2727" spans="1:13">
      <c r="A2727" s="62" t="s">
        <v>3861</v>
      </c>
      <c r="B2727" s="58">
        <v>35706262888</v>
      </c>
      <c r="C2727" s="62" t="s">
        <v>3862</v>
      </c>
      <c r="D2727" s="60">
        <v>28992397836</v>
      </c>
      <c r="E2727" s="9">
        <v>292</v>
      </c>
      <c r="F2727" s="25">
        <v>43168</v>
      </c>
      <c r="G2727" s="9" t="s">
        <v>13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62" t="s">
        <v>3863</v>
      </c>
      <c r="B2728" s="58">
        <v>57260133520</v>
      </c>
      <c r="C2728" s="63"/>
      <c r="D2728" s="60"/>
      <c r="E2728" s="9">
        <v>810</v>
      </c>
      <c r="F2728" s="25">
        <v>42915</v>
      </c>
      <c r="G2728" s="61" t="s">
        <v>13</v>
      </c>
      <c r="H2728" s="25">
        <v>42921</v>
      </c>
      <c r="I2728" s="8"/>
      <c r="J2728" s="8"/>
      <c r="K2728" s="8"/>
      <c r="L2728" s="9" t="s">
        <v>138</v>
      </c>
      <c r="M2728" s="8"/>
    </row>
    <row r="2729" spans="1:13">
      <c r="A2729" s="62" t="s">
        <v>3864</v>
      </c>
      <c r="B2729" s="58">
        <v>25105431804</v>
      </c>
      <c r="C2729" s="63"/>
      <c r="D2729" s="60"/>
      <c r="E2729" s="9">
        <v>1350</v>
      </c>
      <c r="F2729" s="25">
        <v>43006</v>
      </c>
      <c r="G2729" s="61" t="s">
        <v>13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3865</v>
      </c>
      <c r="B2730" s="58">
        <v>98729586534</v>
      </c>
      <c r="C2730" s="63"/>
      <c r="D2730" s="60"/>
      <c r="E2730" s="9">
        <v>573</v>
      </c>
      <c r="F2730" s="25">
        <v>43224</v>
      </c>
      <c r="G2730" s="61"/>
      <c r="H2730" s="9"/>
      <c r="I2730" s="8"/>
      <c r="J2730" s="8"/>
      <c r="K2730" s="8"/>
      <c r="L2730" s="8"/>
      <c r="M2730" s="8"/>
    </row>
    <row r="2731" spans="1:13">
      <c r="A2731" s="15" t="s">
        <v>3866</v>
      </c>
      <c r="B2731" s="58">
        <v>25376099806</v>
      </c>
      <c r="C2731" s="63"/>
      <c r="D2731" s="60"/>
      <c r="E2731" s="9">
        <v>262</v>
      </c>
      <c r="F2731" s="25">
        <v>43160</v>
      </c>
      <c r="G2731" s="61" t="s">
        <v>13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62" t="s">
        <v>3867</v>
      </c>
      <c r="B2732" s="58">
        <v>41958754803</v>
      </c>
      <c r="C2732" s="63"/>
      <c r="D2732" s="60"/>
      <c r="E2732" s="9"/>
      <c r="F2732" s="25"/>
      <c r="G2732" s="61"/>
      <c r="H2732" s="9"/>
      <c r="I2732" s="8"/>
      <c r="J2732" s="8"/>
      <c r="K2732" s="8"/>
      <c r="L2732" s="8"/>
      <c r="M2732" s="8"/>
    </row>
    <row r="2733" spans="1:13">
      <c r="A2733" s="18" t="s">
        <v>3868</v>
      </c>
      <c r="B2733" s="58">
        <v>8644680838</v>
      </c>
      <c r="C2733" s="18"/>
      <c r="D2733" s="60"/>
      <c r="E2733" s="9"/>
      <c r="F2733" s="25"/>
      <c r="G2733" s="61"/>
      <c r="H2733" s="9"/>
      <c r="I2733" s="8"/>
      <c r="J2733" s="8"/>
      <c r="K2733" s="8"/>
      <c r="L2733" s="8"/>
      <c r="M2733" s="8"/>
    </row>
    <row r="2734" spans="1:13">
      <c r="A2734" s="30" t="s">
        <v>3869</v>
      </c>
      <c r="B2734" s="58">
        <v>34393827880</v>
      </c>
      <c r="C2734" s="63" t="s">
        <v>3870</v>
      </c>
      <c r="D2734" s="60">
        <v>32655308840</v>
      </c>
      <c r="E2734" s="9"/>
      <c r="F2734" s="25"/>
      <c r="G2734" s="61"/>
      <c r="H2734" s="9"/>
      <c r="I2734" s="8"/>
      <c r="J2734" s="8"/>
      <c r="K2734" s="8"/>
      <c r="L2734" s="8"/>
      <c r="M2734" s="8"/>
    </row>
    <row r="2735" spans="1:13">
      <c r="A2735" s="62" t="s">
        <v>3871</v>
      </c>
      <c r="B2735" s="58">
        <v>78717574315</v>
      </c>
      <c r="C2735" s="63"/>
      <c r="D2735" s="60"/>
      <c r="E2735" s="9"/>
      <c r="F2735" s="25"/>
      <c r="G2735" s="61"/>
      <c r="H2735" s="9"/>
      <c r="I2735" s="8"/>
      <c r="J2735" s="8"/>
      <c r="K2735" s="8"/>
      <c r="L2735" s="8"/>
      <c r="M2735" s="8"/>
    </row>
    <row r="2736" spans="1:13">
      <c r="A2736" s="62" t="s">
        <v>3872</v>
      </c>
      <c r="B2736" s="58">
        <v>35679630826</v>
      </c>
      <c r="C2736" s="63" t="s">
        <v>3873</v>
      </c>
      <c r="D2736" s="60">
        <v>34083542861</v>
      </c>
      <c r="E2736" s="9">
        <v>1752</v>
      </c>
      <c r="F2736" s="25">
        <v>43051</v>
      </c>
      <c r="G2736" s="61" t="s">
        <v>13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3874</v>
      </c>
      <c r="B2737" s="58">
        <v>34949006800</v>
      </c>
      <c r="C2737" s="18" t="s">
        <v>3875</v>
      </c>
      <c r="D2737" s="60">
        <v>27568068897</v>
      </c>
      <c r="E2737" s="9"/>
      <c r="F2737" s="25"/>
      <c r="G2737" s="61"/>
      <c r="H2737" s="9"/>
      <c r="I2737" s="8"/>
      <c r="J2737" s="8"/>
      <c r="K2737" s="8"/>
      <c r="L2737" s="8"/>
      <c r="M2737" s="8"/>
    </row>
    <row r="2738" spans="1:13">
      <c r="A2738" s="15" t="s">
        <v>3876</v>
      </c>
      <c r="B2738" s="58">
        <v>1157524559</v>
      </c>
      <c r="C2738" s="63" t="s">
        <v>3877</v>
      </c>
      <c r="D2738" s="60">
        <v>1436524512</v>
      </c>
      <c r="E2738" s="9">
        <v>117</v>
      </c>
      <c r="F2738" s="25">
        <v>43117</v>
      </c>
      <c r="G2738" s="61" t="s">
        <v>20</v>
      </c>
      <c r="H2738" s="25">
        <v>43151</v>
      </c>
      <c r="I2738" s="8"/>
      <c r="J2738" s="8"/>
      <c r="K2738" s="8"/>
      <c r="L2738" s="9" t="s">
        <v>170</v>
      </c>
      <c r="M2738" s="8"/>
    </row>
    <row r="2739" spans="1:13">
      <c r="A2739" s="62" t="s">
        <v>3878</v>
      </c>
      <c r="B2739" s="58">
        <v>16488023896</v>
      </c>
      <c r="C2739" s="63"/>
      <c r="D2739" s="60"/>
      <c r="E2739" s="9">
        <v>292</v>
      </c>
      <c r="F2739" s="25">
        <v>43168</v>
      </c>
      <c r="G2739" s="61" t="s">
        <v>13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62" t="s">
        <v>3879</v>
      </c>
      <c r="B2740" s="58">
        <v>23540857885</v>
      </c>
      <c r="C2740" s="63"/>
      <c r="D2740" s="60"/>
      <c r="E2740" s="9">
        <v>1241</v>
      </c>
      <c r="F2740" s="25">
        <v>42992</v>
      </c>
      <c r="G2740" s="61" t="s">
        <v>13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3880</v>
      </c>
      <c r="B2741" s="58">
        <v>46700374391</v>
      </c>
      <c r="C2741" s="63"/>
      <c r="D2741" s="60"/>
      <c r="E2741" s="9">
        <v>262</v>
      </c>
      <c r="F2741" s="25">
        <v>43160</v>
      </c>
      <c r="G2741" s="61" t="s">
        <v>13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7" t="s">
        <v>3881</v>
      </c>
      <c r="B2742" s="58">
        <v>21686263830</v>
      </c>
      <c r="C2742" s="27" t="s">
        <v>3882</v>
      </c>
      <c r="D2742" s="60">
        <v>13577537809</v>
      </c>
      <c r="E2742" s="9"/>
      <c r="F2742" s="25"/>
      <c r="G2742" s="61"/>
      <c r="H2742" s="9"/>
      <c r="I2742" s="8"/>
      <c r="J2742" s="8"/>
      <c r="K2742" s="8"/>
      <c r="L2742" s="8"/>
      <c r="M2742" s="8"/>
    </row>
    <row r="2743" spans="1:13">
      <c r="A2743" s="18" t="s">
        <v>3883</v>
      </c>
      <c r="B2743" s="58">
        <v>22497995800</v>
      </c>
      <c r="C2743" s="18" t="s">
        <v>3884</v>
      </c>
      <c r="D2743" s="60">
        <v>37991860850</v>
      </c>
      <c r="E2743" s="9"/>
      <c r="F2743" s="25"/>
      <c r="G2743" s="61"/>
      <c r="H2743" s="9"/>
      <c r="I2743" s="8"/>
      <c r="J2743" s="8"/>
      <c r="K2743" s="8"/>
      <c r="L2743" s="8"/>
      <c r="M2743" s="8"/>
    </row>
    <row r="2744" spans="1:13">
      <c r="A2744" s="15" t="s">
        <v>3885</v>
      </c>
      <c r="B2744" s="58">
        <v>40856820830</v>
      </c>
      <c r="C2744" s="63"/>
      <c r="D2744" s="60"/>
      <c r="E2744" s="9">
        <v>229</v>
      </c>
      <c r="F2744" s="25">
        <v>43151</v>
      </c>
      <c r="G2744" s="61" t="s">
        <v>13</v>
      </c>
      <c r="H2744" s="9"/>
      <c r="I2744" s="8"/>
      <c r="J2744" s="8"/>
      <c r="K2744" s="8"/>
      <c r="L2744" s="9">
        <v>232</v>
      </c>
      <c r="M2744" s="8"/>
    </row>
    <row r="2745" spans="1:13">
      <c r="A2745" s="27" t="s">
        <v>3886</v>
      </c>
      <c r="B2745" s="58">
        <v>30637750888</v>
      </c>
      <c r="C2745" s="27"/>
      <c r="D2745" s="60"/>
      <c r="E2745" s="9"/>
      <c r="F2745" s="25"/>
      <c r="G2745" s="61"/>
      <c r="H2745" s="9"/>
      <c r="I2745" s="8"/>
      <c r="J2745" s="8"/>
      <c r="K2745" s="8"/>
      <c r="L2745" s="8"/>
      <c r="M2745" s="8"/>
    </row>
    <row r="2746" spans="1:13">
      <c r="A2746" s="62" t="s">
        <v>3887</v>
      </c>
      <c r="B2746" s="58">
        <v>40291692877</v>
      </c>
      <c r="C2746" s="63" t="s">
        <v>3888</v>
      </c>
      <c r="D2746" s="60">
        <v>1566073367</v>
      </c>
      <c r="E2746" s="9">
        <v>810</v>
      </c>
      <c r="F2746" s="25">
        <v>42915</v>
      </c>
      <c r="G2746" s="61" t="s">
        <v>13</v>
      </c>
      <c r="H2746" s="25">
        <v>42921</v>
      </c>
      <c r="I2746" s="8"/>
      <c r="J2746" s="8"/>
      <c r="K2746" s="8"/>
      <c r="L2746" s="9" t="s">
        <v>138</v>
      </c>
      <c r="M2746" s="8"/>
    </row>
    <row r="2747" spans="1:13">
      <c r="A2747" s="63" t="s">
        <v>3889</v>
      </c>
      <c r="B2747" s="58">
        <v>11767064896</v>
      </c>
      <c r="C2747" s="63" t="s">
        <v>3890</v>
      </c>
      <c r="D2747" s="60">
        <v>7473492829</v>
      </c>
      <c r="E2747" s="9"/>
      <c r="F2747" s="25"/>
      <c r="G2747" s="61"/>
      <c r="H2747" s="9"/>
      <c r="I2747" s="8"/>
      <c r="J2747" s="8"/>
      <c r="K2747" s="8"/>
      <c r="L2747" s="8"/>
      <c r="M2747" s="8"/>
    </row>
    <row r="2748" spans="1:13">
      <c r="A2748" s="13" t="s">
        <v>3891</v>
      </c>
      <c r="B2748" s="58">
        <v>28793949880</v>
      </c>
      <c r="C2748" s="59"/>
      <c r="D2748" s="60"/>
      <c r="E2748" s="9">
        <v>1128</v>
      </c>
      <c r="F2748" s="25">
        <v>42972</v>
      </c>
      <c r="G2748" s="61" t="s">
        <v>13</v>
      </c>
      <c r="H2748" s="25">
        <v>42979</v>
      </c>
      <c r="I2748" s="8"/>
      <c r="J2748" s="8"/>
      <c r="K2748" s="8"/>
      <c r="L2748" s="8"/>
      <c r="M2748" s="8"/>
    </row>
    <row r="2749" spans="1:13">
      <c r="A2749" s="62" t="s">
        <v>3892</v>
      </c>
      <c r="B2749" s="58">
        <v>49009893391</v>
      </c>
      <c r="C2749" s="63" t="s">
        <v>3893</v>
      </c>
      <c r="D2749" s="60">
        <v>37349813368</v>
      </c>
      <c r="E2749" s="9">
        <v>292</v>
      </c>
      <c r="F2749" s="25">
        <v>43168</v>
      </c>
      <c r="G2749" s="61" t="s">
        <v>13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3894</v>
      </c>
      <c r="B2750" s="58">
        <v>92361587572</v>
      </c>
      <c r="C2750" s="63" t="s">
        <v>3895</v>
      </c>
      <c r="D2750" s="60">
        <v>26270097886</v>
      </c>
      <c r="E2750" s="9"/>
      <c r="F2750" s="25"/>
      <c r="G2750" s="61"/>
      <c r="H2750" s="9"/>
      <c r="I2750" s="8"/>
      <c r="J2750" s="8"/>
      <c r="K2750" s="8"/>
      <c r="L2750" s="8"/>
      <c r="M2750" s="8"/>
    </row>
    <row r="2751" spans="1:13">
      <c r="A2751" s="62" t="s">
        <v>3896</v>
      </c>
      <c r="B2751" s="58">
        <v>17487435890</v>
      </c>
      <c r="C2751" s="63" t="s">
        <v>3897</v>
      </c>
      <c r="D2751" s="60">
        <v>2388809312</v>
      </c>
      <c r="E2751" s="9"/>
      <c r="F2751" s="25"/>
      <c r="G2751" s="61"/>
      <c r="H2751" s="9"/>
      <c r="I2751" s="8"/>
      <c r="J2751" s="8"/>
      <c r="K2751" s="8"/>
      <c r="L2751" s="8"/>
      <c r="M2751" s="8"/>
    </row>
    <row r="2752" spans="1:13">
      <c r="A2752" s="62" t="s">
        <v>3898</v>
      </c>
      <c r="B2752" s="58">
        <v>26377102844</v>
      </c>
      <c r="C2752" s="63"/>
      <c r="D2752" s="60"/>
      <c r="E2752" s="9">
        <v>292</v>
      </c>
      <c r="F2752" s="25">
        <v>43168</v>
      </c>
      <c r="G2752" s="61" t="s">
        <v>13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3899</v>
      </c>
      <c r="B2753" s="58">
        <v>86815121615</v>
      </c>
      <c r="C2753" s="63" t="s">
        <v>3900</v>
      </c>
      <c r="D2753" s="60">
        <v>12711690881</v>
      </c>
      <c r="E2753" s="9"/>
      <c r="F2753" s="25"/>
      <c r="G2753" s="61"/>
      <c r="H2753" s="9"/>
      <c r="I2753" s="8"/>
      <c r="J2753" s="8"/>
      <c r="K2753" s="8"/>
      <c r="L2753" s="8"/>
      <c r="M2753" s="8"/>
    </row>
    <row r="2754" spans="1:13">
      <c r="A2754" s="14" t="s">
        <v>3901</v>
      </c>
      <c r="B2754" s="58">
        <v>25711316800</v>
      </c>
      <c r="C2754" s="63"/>
      <c r="D2754" s="60"/>
      <c r="E2754" s="9"/>
      <c r="F2754" s="25"/>
      <c r="G2754" s="61"/>
      <c r="H2754" s="9"/>
      <c r="I2754" s="8"/>
      <c r="J2754" s="8"/>
      <c r="K2754" s="8"/>
      <c r="L2754" s="8"/>
      <c r="M2754" s="8"/>
    </row>
    <row r="2755" spans="1:13">
      <c r="A2755" s="18" t="s">
        <v>3902</v>
      </c>
      <c r="B2755" s="58">
        <v>25793953850</v>
      </c>
      <c r="C2755" s="18"/>
      <c r="D2755" s="60"/>
      <c r="E2755" s="9"/>
      <c r="F2755" s="25"/>
      <c r="G2755" s="61"/>
      <c r="H2755" s="9"/>
      <c r="I2755" s="8"/>
      <c r="J2755" s="8"/>
      <c r="K2755" s="8"/>
      <c r="L2755" s="8"/>
      <c r="M2755" s="8"/>
    </row>
    <row r="2756" spans="1:13">
      <c r="A2756" s="62" t="s">
        <v>3903</v>
      </c>
      <c r="B2756" s="58">
        <v>22625355824</v>
      </c>
      <c r="C2756" s="63"/>
      <c r="D2756" s="60"/>
      <c r="E2756" s="9">
        <v>810</v>
      </c>
      <c r="F2756" s="25">
        <v>42915</v>
      </c>
      <c r="G2756" s="61" t="s">
        <v>13</v>
      </c>
      <c r="H2756" s="25">
        <v>42921</v>
      </c>
      <c r="I2756" s="8"/>
      <c r="J2756" s="8"/>
      <c r="K2756" s="8"/>
      <c r="L2756" s="9" t="s">
        <v>138</v>
      </c>
      <c r="M2756" s="8"/>
    </row>
    <row r="2757" spans="1:13">
      <c r="A2757" s="63" t="s">
        <v>3904</v>
      </c>
      <c r="B2757" s="58">
        <v>25261161800</v>
      </c>
      <c r="C2757" s="63" t="s">
        <v>3905</v>
      </c>
      <c r="D2757" s="60">
        <v>11384693866</v>
      </c>
      <c r="E2757" s="9"/>
      <c r="F2757" s="25"/>
      <c r="G2757" s="61"/>
      <c r="H2757" s="9"/>
      <c r="I2757" s="8"/>
      <c r="J2757" s="8"/>
      <c r="K2757" s="8"/>
      <c r="L2757" s="8"/>
      <c r="M2757" s="8"/>
    </row>
    <row r="2758" spans="1:13">
      <c r="A2758" s="15" t="s">
        <v>3906</v>
      </c>
      <c r="B2758" s="58">
        <v>41710847840</v>
      </c>
      <c r="C2758" s="63"/>
      <c r="D2758" s="60"/>
      <c r="E2758" s="9">
        <v>117</v>
      </c>
      <c r="F2758" s="25">
        <v>43117</v>
      </c>
      <c r="G2758" s="61" t="s">
        <v>13</v>
      </c>
      <c r="H2758" s="25">
        <v>43151</v>
      </c>
      <c r="I2758" s="8"/>
      <c r="J2758" s="8"/>
      <c r="K2758" s="8"/>
      <c r="L2758" s="9" t="s">
        <v>170</v>
      </c>
      <c r="M2758" s="8"/>
    </row>
    <row r="2759" spans="1:13">
      <c r="A2759" s="62" t="s">
        <v>3907</v>
      </c>
      <c r="B2759" s="58">
        <v>36882893829</v>
      </c>
      <c r="C2759" s="63"/>
      <c r="D2759" s="60"/>
      <c r="E2759" s="9">
        <v>1128</v>
      </c>
      <c r="F2759" s="25">
        <v>42972</v>
      </c>
      <c r="G2759" s="61" t="s">
        <v>13</v>
      </c>
      <c r="H2759" s="25">
        <v>42979</v>
      </c>
      <c r="I2759" s="8"/>
      <c r="J2759" s="8"/>
      <c r="K2759" s="8"/>
      <c r="L2759" s="8"/>
      <c r="M2759" s="8"/>
    </row>
    <row r="2760" spans="1:13">
      <c r="A2760" s="62" t="s">
        <v>3908</v>
      </c>
      <c r="B2760" s="58">
        <v>28664626880</v>
      </c>
      <c r="C2760" s="63"/>
      <c r="D2760" s="60"/>
      <c r="E2760" s="9"/>
      <c r="F2760" s="25"/>
      <c r="G2760" s="61"/>
      <c r="H2760" s="9"/>
      <c r="I2760" s="8"/>
      <c r="J2760" s="8"/>
      <c r="K2760" s="8"/>
      <c r="L2760" s="8"/>
      <c r="M2760" s="8"/>
    </row>
    <row r="2761" spans="1:13">
      <c r="A2761" s="15" t="s">
        <v>3909</v>
      </c>
      <c r="B2761" s="58">
        <v>22638604879</v>
      </c>
      <c r="C2761" s="63" t="s">
        <v>3910</v>
      </c>
      <c r="D2761" s="60">
        <v>26693523838</v>
      </c>
      <c r="E2761" s="9"/>
      <c r="F2761" s="25"/>
      <c r="G2761" s="61"/>
      <c r="H2761" s="9"/>
      <c r="I2761" s="8"/>
      <c r="J2761" s="8"/>
      <c r="K2761" s="8"/>
      <c r="L2761" s="8"/>
      <c r="M2761" s="8"/>
    </row>
    <row r="2762" spans="1:13">
      <c r="A2762" s="19" t="s">
        <v>3911</v>
      </c>
      <c r="B2762" s="58" t="s">
        <v>3912</v>
      </c>
      <c r="C2762" s="18" t="s">
        <v>3913</v>
      </c>
      <c r="D2762" s="60">
        <v>29976188862</v>
      </c>
      <c r="E2762" s="9"/>
      <c r="F2762" s="25"/>
      <c r="G2762" s="61"/>
      <c r="H2762" s="9"/>
      <c r="I2762" s="8"/>
      <c r="J2762" s="8"/>
      <c r="K2762" s="8"/>
      <c r="L2762" s="8"/>
      <c r="M2762" s="8"/>
    </row>
    <row r="2763" spans="1:13">
      <c r="A2763" s="62" t="s">
        <v>3914</v>
      </c>
      <c r="B2763" s="58">
        <v>21858442885</v>
      </c>
      <c r="C2763" s="63"/>
      <c r="D2763" s="60"/>
      <c r="E2763" s="9">
        <v>443</v>
      </c>
      <c r="F2763" s="25">
        <v>43188</v>
      </c>
      <c r="G2763" s="61"/>
      <c r="H2763" s="25">
        <v>43192</v>
      </c>
      <c r="I2763" s="8"/>
      <c r="J2763" s="8"/>
      <c r="K2763" s="8"/>
      <c r="L2763" s="8"/>
      <c r="M2763" s="8"/>
    </row>
    <row r="2764" spans="1:13">
      <c r="A2764" s="64" t="s">
        <v>3915</v>
      </c>
      <c r="B2764" s="58">
        <v>32880462886</v>
      </c>
      <c r="C2764" s="63" t="s">
        <v>3916</v>
      </c>
      <c r="D2764" s="60">
        <v>30845711806</v>
      </c>
      <c r="E2764" s="9">
        <v>810</v>
      </c>
      <c r="F2764" s="25">
        <v>42915</v>
      </c>
      <c r="G2764" s="61" t="s">
        <v>13</v>
      </c>
      <c r="H2764" s="25">
        <v>42921</v>
      </c>
      <c r="I2764" s="8"/>
      <c r="J2764" s="8"/>
      <c r="K2764" s="8"/>
      <c r="L2764" s="9" t="s">
        <v>138</v>
      </c>
      <c r="M2764" s="8"/>
    </row>
    <row r="2765" spans="1:13">
      <c r="A2765" s="27" t="s">
        <v>3917</v>
      </c>
      <c r="B2765" s="58">
        <v>31228758883</v>
      </c>
      <c r="C2765" s="27" t="s">
        <v>3918</v>
      </c>
      <c r="D2765" s="60">
        <v>31474664857</v>
      </c>
      <c r="E2765" s="9"/>
      <c r="F2765" s="25"/>
      <c r="G2765" s="61"/>
      <c r="H2765" s="9"/>
      <c r="I2765" s="8"/>
      <c r="J2765" s="8"/>
      <c r="K2765" s="8"/>
      <c r="L2765" s="8"/>
      <c r="M2765" s="8"/>
    </row>
    <row r="2766" spans="1:13">
      <c r="A2766" s="62" t="s">
        <v>3919</v>
      </c>
      <c r="B2766" s="58">
        <v>40443218846</v>
      </c>
      <c r="C2766" s="79" t="s">
        <v>3920</v>
      </c>
      <c r="D2766" s="60">
        <v>1891760599</v>
      </c>
      <c r="E2766" s="9"/>
      <c r="F2766" s="25"/>
      <c r="G2766" s="61"/>
      <c r="H2766" s="9"/>
      <c r="I2766" s="8"/>
      <c r="J2766" s="8"/>
      <c r="K2766" s="8"/>
      <c r="L2766" s="8"/>
      <c r="M2766" s="8"/>
    </row>
    <row r="2767" spans="1:13">
      <c r="A2767" s="14" t="s">
        <v>3921</v>
      </c>
      <c r="B2767" s="58">
        <v>39655589862</v>
      </c>
      <c r="C2767" s="63"/>
      <c r="D2767" s="60"/>
      <c r="E2767" s="9">
        <v>1752</v>
      </c>
      <c r="F2767" s="25">
        <v>43051</v>
      </c>
      <c r="G2767" s="74" t="s">
        <v>13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62" t="s">
        <v>3922</v>
      </c>
      <c r="B2768" s="58">
        <v>66227895415</v>
      </c>
      <c r="C2768" s="63"/>
      <c r="D2768" s="60"/>
      <c r="E2768" s="9">
        <v>292</v>
      </c>
      <c r="F2768" s="25">
        <v>43168</v>
      </c>
      <c r="G2768" s="61" t="s">
        <v>20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7" t="s">
        <v>3923</v>
      </c>
      <c r="B2769" s="58"/>
      <c r="C2769" s="27" t="s">
        <v>3924</v>
      </c>
      <c r="D2769" s="60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62" t="s">
        <v>3925</v>
      </c>
      <c r="B2770" s="58">
        <v>34462426860</v>
      </c>
      <c r="C2770" s="63" t="s">
        <v>3926</v>
      </c>
      <c r="D2770" s="60">
        <v>42694193854</v>
      </c>
      <c r="E2770" s="9">
        <v>563</v>
      </c>
      <c r="F2770" s="25">
        <v>43217</v>
      </c>
      <c r="G2770" s="61"/>
      <c r="H2770" s="25">
        <v>43234</v>
      </c>
      <c r="I2770" s="8"/>
      <c r="J2770" s="8"/>
      <c r="K2770" s="8"/>
      <c r="L2770" s="9" t="s">
        <v>299</v>
      </c>
      <c r="M2770" s="8"/>
    </row>
    <row r="2771" spans="1:13">
      <c r="A2771" s="15" t="s">
        <v>3927</v>
      </c>
      <c r="B2771" s="58">
        <v>37080495865</v>
      </c>
      <c r="C2771" s="63"/>
      <c r="D2771" s="60"/>
      <c r="E2771" s="9">
        <v>262</v>
      </c>
      <c r="F2771" s="25">
        <v>43160</v>
      </c>
      <c r="G2771" s="61" t="s">
        <v>13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62" t="s">
        <v>3928</v>
      </c>
      <c r="B2772" s="58">
        <v>39600488827</v>
      </c>
      <c r="C2772" s="63" t="s">
        <v>3929</v>
      </c>
      <c r="D2772" s="60">
        <v>34795746885</v>
      </c>
      <c r="E2772" s="9">
        <v>292</v>
      </c>
      <c r="F2772" s="25">
        <v>43168</v>
      </c>
      <c r="G2772" s="61" t="s">
        <v>13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62" t="s">
        <v>3930</v>
      </c>
      <c r="B2773" s="58">
        <v>38168297830</v>
      </c>
      <c r="C2773" s="63"/>
      <c r="D2773" s="60"/>
      <c r="E2773" s="9">
        <v>527</v>
      </c>
      <c r="F2773" s="25">
        <v>43210</v>
      </c>
      <c r="G2773" s="61"/>
      <c r="H2773" s="9"/>
      <c r="I2773" s="8"/>
      <c r="J2773" s="8"/>
      <c r="K2773" s="8"/>
      <c r="L2773" s="9">
        <v>528</v>
      </c>
      <c r="M2773" s="8"/>
    </row>
    <row r="2774" spans="1:13">
      <c r="A2774" s="62" t="s">
        <v>3931</v>
      </c>
      <c r="B2774" s="58">
        <v>28518826861</v>
      </c>
      <c r="C2774" s="63"/>
      <c r="D2774" s="60"/>
      <c r="E2774" s="9">
        <v>810</v>
      </c>
      <c r="F2774" s="25">
        <v>42915</v>
      </c>
      <c r="G2774" s="61" t="s">
        <v>28</v>
      </c>
      <c r="H2774" s="25">
        <v>42921</v>
      </c>
      <c r="I2774" s="8"/>
      <c r="J2774" s="8"/>
      <c r="K2774" s="8"/>
      <c r="L2774" s="9" t="s">
        <v>138</v>
      </c>
      <c r="M2774" s="8"/>
    </row>
    <row r="2775" spans="1:13">
      <c r="A2775" s="62" t="s">
        <v>3932</v>
      </c>
      <c r="B2775" s="58">
        <v>32768872822</v>
      </c>
      <c r="C2775" s="63" t="s">
        <v>3933</v>
      </c>
      <c r="D2775" s="60">
        <v>35447305888</v>
      </c>
      <c r="E2775" s="9"/>
      <c r="F2775" s="25"/>
      <c r="G2775" s="61"/>
      <c r="H2775" s="9"/>
      <c r="I2775" s="8"/>
      <c r="J2775" s="8"/>
      <c r="K2775" s="8"/>
      <c r="L2775" s="8"/>
      <c r="M2775" s="8"/>
    </row>
    <row r="2776" spans="1:13">
      <c r="A2776" s="62" t="s">
        <v>3934</v>
      </c>
      <c r="B2776" s="58">
        <v>9671869866</v>
      </c>
      <c r="C2776" s="63"/>
      <c r="D2776" s="60"/>
      <c r="E2776" s="9">
        <v>292</v>
      </c>
      <c r="F2776" s="25">
        <v>43168</v>
      </c>
      <c r="G2776" s="9" t="s">
        <v>13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62" t="s">
        <v>3935</v>
      </c>
      <c r="B2777" s="58">
        <v>85942588104</v>
      </c>
      <c r="C2777" s="79" t="s">
        <v>3936</v>
      </c>
      <c r="D2777" s="60">
        <v>33938715871</v>
      </c>
      <c r="E2777" s="9"/>
      <c r="F2777" s="25"/>
      <c r="G2777" s="88"/>
      <c r="H2777" s="9"/>
      <c r="I2777" s="8"/>
      <c r="J2777" s="8"/>
      <c r="K2777" s="8"/>
      <c r="L2777" s="8"/>
      <c r="M2777" s="8"/>
    </row>
    <row r="2778" spans="1:13">
      <c r="A2778" s="27" t="s">
        <v>3937</v>
      </c>
      <c r="B2778" s="58"/>
      <c r="C2778" s="27" t="s">
        <v>129</v>
      </c>
      <c r="D2778" s="60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62" t="s">
        <v>3938</v>
      </c>
      <c r="B2779" s="58">
        <v>9552611806</v>
      </c>
      <c r="C2779" s="63"/>
      <c r="D2779" s="60"/>
      <c r="E2779" s="9">
        <v>292</v>
      </c>
      <c r="F2779" s="25">
        <v>43168</v>
      </c>
      <c r="G2779" s="9" t="s">
        <v>13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3939</v>
      </c>
      <c r="B2780" s="58">
        <v>27876586449</v>
      </c>
      <c r="C2780" s="59"/>
      <c r="D2780" s="60"/>
      <c r="E2780" s="9">
        <v>1128</v>
      </c>
      <c r="F2780" s="25">
        <v>42972</v>
      </c>
      <c r="G2780" s="61" t="s">
        <v>13</v>
      </c>
      <c r="H2780" s="25">
        <v>42979</v>
      </c>
      <c r="I2780" s="8"/>
      <c r="J2780" s="8"/>
      <c r="K2780" s="8"/>
      <c r="L2780" s="8"/>
      <c r="M2780" s="8"/>
    </row>
    <row r="2781" spans="1:13">
      <c r="A2781" s="62" t="s">
        <v>3940</v>
      </c>
      <c r="B2781" s="58">
        <v>14337004840</v>
      </c>
      <c r="C2781" s="63"/>
      <c r="D2781" s="60"/>
      <c r="E2781" s="9"/>
      <c r="F2781" s="25"/>
      <c r="G2781" s="61"/>
      <c r="H2781" s="9"/>
      <c r="I2781" s="8"/>
      <c r="J2781" s="8"/>
      <c r="K2781" s="8"/>
      <c r="L2781" s="8"/>
      <c r="M2781" s="8"/>
    </row>
    <row r="2782" spans="1:13">
      <c r="A2782" s="18" t="s">
        <v>3941</v>
      </c>
      <c r="B2782" s="58">
        <v>16505587837</v>
      </c>
      <c r="C2782" s="18"/>
      <c r="D2782" s="60"/>
      <c r="E2782" s="9"/>
      <c r="F2782" s="25"/>
      <c r="G2782" s="61"/>
      <c r="H2782" s="9"/>
      <c r="I2782" s="8"/>
      <c r="J2782" s="8"/>
      <c r="K2782" s="8"/>
      <c r="L2782" s="8"/>
      <c r="M2782" s="8"/>
    </row>
    <row r="2783" spans="1:13">
      <c r="A2783" s="13" t="s">
        <v>3942</v>
      </c>
      <c r="B2783" s="58">
        <v>14271059870</v>
      </c>
      <c r="C2783" s="59"/>
      <c r="D2783" s="60"/>
      <c r="E2783" s="9">
        <v>1128</v>
      </c>
      <c r="F2783" s="25">
        <v>42972</v>
      </c>
      <c r="G2783" s="61" t="s">
        <v>13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3943</v>
      </c>
      <c r="B2784" s="58">
        <v>14249756890</v>
      </c>
      <c r="C2784" s="59"/>
      <c r="D2784" s="60"/>
      <c r="E2784" s="9">
        <v>1241</v>
      </c>
      <c r="F2784" s="25">
        <v>42992</v>
      </c>
      <c r="G2784" s="61" t="s">
        <v>13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3944</v>
      </c>
      <c r="B2785" s="58">
        <v>30834349876</v>
      </c>
      <c r="C2785" s="63" t="s">
        <v>3945</v>
      </c>
      <c r="D2785" s="60">
        <v>58355561520</v>
      </c>
      <c r="E2785" s="9">
        <v>262</v>
      </c>
      <c r="F2785" s="25">
        <v>43160</v>
      </c>
      <c r="G2785" s="61" t="s">
        <v>13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3946</v>
      </c>
      <c r="B2786" s="58">
        <v>32293775836</v>
      </c>
      <c r="C2786" s="63"/>
      <c r="D2786" s="60"/>
      <c r="E2786" s="9">
        <v>262</v>
      </c>
      <c r="F2786" s="25">
        <v>43160</v>
      </c>
      <c r="G2786" s="61" t="s">
        <v>13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62" t="s">
        <v>3947</v>
      </c>
      <c r="B2787" s="58">
        <v>25812751897</v>
      </c>
      <c r="C2787" s="63"/>
      <c r="D2787" s="60"/>
      <c r="E2787" s="9">
        <v>262</v>
      </c>
      <c r="F2787" s="25">
        <v>43160</v>
      </c>
      <c r="G2787" s="61" t="s">
        <v>20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62" t="s">
        <v>3948</v>
      </c>
      <c r="B2788" s="58">
        <v>22682142818</v>
      </c>
      <c r="C2788" s="63" t="s">
        <v>2748</v>
      </c>
      <c r="D2788" s="60">
        <v>22853401847</v>
      </c>
      <c r="E2788" s="9">
        <v>117</v>
      </c>
      <c r="F2788" s="25">
        <v>43117</v>
      </c>
      <c r="G2788" s="61" t="s">
        <v>13</v>
      </c>
      <c r="H2788" s="25">
        <v>43151</v>
      </c>
      <c r="I2788" s="8"/>
      <c r="J2788" s="8"/>
      <c r="K2788" s="8"/>
      <c r="L2788" s="9" t="s">
        <v>170</v>
      </c>
      <c r="M2788" s="8"/>
    </row>
    <row r="2789" spans="1:13">
      <c r="A2789" s="62" t="s">
        <v>3949</v>
      </c>
      <c r="B2789" s="58">
        <v>32700235886</v>
      </c>
      <c r="C2789" s="63" t="s">
        <v>3950</v>
      </c>
      <c r="D2789" s="60">
        <v>30542314886</v>
      </c>
      <c r="E2789" s="9">
        <v>292</v>
      </c>
      <c r="F2789" s="25">
        <v>43168</v>
      </c>
      <c r="G2789" s="61" t="s">
        <v>13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62" t="s">
        <v>3951</v>
      </c>
      <c r="B2790" s="58">
        <v>22543578838</v>
      </c>
      <c r="C2790" s="79"/>
      <c r="D2790" s="60"/>
      <c r="E2790" s="9"/>
      <c r="F2790" s="25"/>
      <c r="G2790" s="61"/>
      <c r="H2790" s="9"/>
      <c r="I2790" s="8"/>
      <c r="J2790" s="8"/>
      <c r="K2790" s="8"/>
      <c r="L2790" s="8"/>
      <c r="M2790" s="8"/>
    </row>
    <row r="2791" spans="1:13">
      <c r="A2791" s="62" t="s">
        <v>3952</v>
      </c>
      <c r="B2791" s="58">
        <v>12487731877</v>
      </c>
      <c r="C2791" s="63" t="s">
        <v>3953</v>
      </c>
      <c r="D2791" s="60">
        <v>61089869487</v>
      </c>
      <c r="E2791" s="9"/>
      <c r="F2791" s="25"/>
      <c r="G2791" s="61"/>
      <c r="H2791" s="9"/>
      <c r="I2791" s="8"/>
      <c r="J2791" s="8"/>
      <c r="K2791" s="8"/>
      <c r="L2791" s="8"/>
      <c r="M2791" s="8"/>
    </row>
    <row r="2792" spans="1:13">
      <c r="A2792" s="62" t="s">
        <v>3954</v>
      </c>
      <c r="B2792" s="58" t="s">
        <v>3955</v>
      </c>
      <c r="C2792" s="79" t="s">
        <v>3956</v>
      </c>
      <c r="D2792" s="60" t="s">
        <v>3957</v>
      </c>
      <c r="E2792" s="9"/>
      <c r="F2792" s="25"/>
      <c r="G2792" s="61"/>
      <c r="H2792" s="9"/>
      <c r="I2792" s="8"/>
      <c r="J2792" s="8"/>
      <c r="K2792" s="8"/>
      <c r="L2792" s="8"/>
      <c r="M2792" s="8"/>
    </row>
    <row r="2793" spans="1:13">
      <c r="A2793" s="62" t="s">
        <v>3958</v>
      </c>
      <c r="B2793" s="58">
        <v>42346617830</v>
      </c>
      <c r="C2793" s="63"/>
      <c r="D2793" s="60"/>
      <c r="E2793" s="9">
        <v>1267</v>
      </c>
      <c r="F2793" s="25">
        <v>42998</v>
      </c>
      <c r="G2793" s="61" t="s">
        <v>13</v>
      </c>
      <c r="H2793" s="25">
        <v>43000</v>
      </c>
      <c r="I2793" s="8"/>
      <c r="J2793" s="8"/>
      <c r="K2793" s="8"/>
      <c r="L2793" s="8"/>
      <c r="M2793" s="8"/>
    </row>
    <row r="2794" spans="1:13">
      <c r="A2794" s="62" t="s">
        <v>3959</v>
      </c>
      <c r="B2794" s="58">
        <v>35705436840</v>
      </c>
      <c r="C2794" s="79" t="s">
        <v>3960</v>
      </c>
      <c r="D2794" s="60">
        <v>42956816870</v>
      </c>
      <c r="E2794" s="9"/>
      <c r="F2794" s="25"/>
      <c r="G2794" s="61"/>
      <c r="H2794" s="9"/>
      <c r="I2794" s="8"/>
      <c r="J2794" s="8"/>
      <c r="K2794" s="8"/>
      <c r="L2794" s="8"/>
      <c r="M2794" s="8"/>
    </row>
    <row r="2795" spans="1:13">
      <c r="A2795" s="64" t="s">
        <v>3961</v>
      </c>
      <c r="B2795" s="58">
        <v>42565032854</v>
      </c>
      <c r="C2795" s="63"/>
      <c r="D2795" s="60"/>
      <c r="E2795" s="9">
        <v>608</v>
      </c>
      <c r="F2795" s="25">
        <v>43012</v>
      </c>
      <c r="G2795" s="61" t="s">
        <v>28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3962</v>
      </c>
      <c r="B2796" s="58">
        <v>34086913801</v>
      </c>
      <c r="C2796" s="63" t="s">
        <v>3963</v>
      </c>
      <c r="D2796" s="60">
        <v>31013050800</v>
      </c>
      <c r="E2796" s="9">
        <v>229</v>
      </c>
      <c r="F2796" s="25">
        <v>43151</v>
      </c>
      <c r="G2796" s="61" t="s">
        <v>13</v>
      </c>
      <c r="H2796" s="9"/>
      <c r="I2796" s="8"/>
      <c r="J2796" s="8"/>
      <c r="K2796" s="8"/>
      <c r="L2796" s="9">
        <v>232</v>
      </c>
      <c r="M2796" s="8"/>
    </row>
    <row r="2797" spans="1:13">
      <c r="A2797" s="62" t="s">
        <v>3964</v>
      </c>
      <c r="B2797" s="58">
        <v>14047707805</v>
      </c>
      <c r="C2797" s="59"/>
      <c r="D2797" s="60"/>
      <c r="E2797" s="9">
        <v>1128</v>
      </c>
      <c r="F2797" s="25">
        <v>42972</v>
      </c>
      <c r="G2797" s="61" t="s">
        <v>13</v>
      </c>
      <c r="H2797" s="25">
        <v>42979</v>
      </c>
      <c r="I2797" s="8"/>
      <c r="J2797" s="8"/>
      <c r="K2797" s="8"/>
      <c r="L2797" s="8"/>
      <c r="M2797" s="8"/>
    </row>
    <row r="2798" spans="1:13">
      <c r="A2798" s="62" t="s">
        <v>3965</v>
      </c>
      <c r="B2798" s="58">
        <v>24648996828</v>
      </c>
      <c r="C2798" s="63" t="s">
        <v>3966</v>
      </c>
      <c r="D2798" s="60">
        <v>13622241896</v>
      </c>
      <c r="E2798" s="9">
        <v>262</v>
      </c>
      <c r="F2798" s="25">
        <v>43160</v>
      </c>
      <c r="G2798" s="61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64" t="s">
        <v>3967</v>
      </c>
      <c r="B2799" s="58">
        <v>87445824472</v>
      </c>
      <c r="C2799" s="63" t="s">
        <v>3968</v>
      </c>
      <c r="D2799" s="60">
        <v>30439764874</v>
      </c>
      <c r="E2799" s="9">
        <v>1417</v>
      </c>
      <c r="F2799" s="25">
        <v>43017</v>
      </c>
      <c r="G2799" s="61" t="s">
        <v>13</v>
      </c>
      <c r="H2799" s="25">
        <v>43027</v>
      </c>
      <c r="I2799" s="8"/>
      <c r="J2799" s="8"/>
      <c r="K2799" s="8"/>
      <c r="L2799" s="9" t="s">
        <v>253</v>
      </c>
      <c r="M2799" s="8"/>
    </row>
    <row r="2800" spans="1:13">
      <c r="A2800" s="62" t="s">
        <v>3969</v>
      </c>
      <c r="B2800" s="58">
        <v>25630230840</v>
      </c>
      <c r="C2800" s="68" t="s">
        <v>3970</v>
      </c>
      <c r="D2800" s="60">
        <v>74349325549</v>
      </c>
      <c r="E2800" s="9">
        <v>563</v>
      </c>
      <c r="F2800" s="25">
        <v>43217</v>
      </c>
      <c r="G2800" s="61"/>
      <c r="H2800" s="25">
        <v>43234</v>
      </c>
      <c r="I2800" s="8"/>
      <c r="J2800" s="8"/>
      <c r="K2800" s="8"/>
      <c r="L2800" s="9" t="s">
        <v>299</v>
      </c>
      <c r="M2800" s="8"/>
    </row>
    <row r="2801" spans="1:13">
      <c r="A2801" s="62" t="s">
        <v>3971</v>
      </c>
      <c r="B2801" s="58">
        <v>66136822334</v>
      </c>
      <c r="C2801" s="63"/>
      <c r="D2801" s="60"/>
      <c r="E2801" s="9">
        <v>292</v>
      </c>
      <c r="F2801" s="25">
        <v>43168</v>
      </c>
      <c r="G2801" s="9" t="s">
        <v>13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62" t="s">
        <v>3972</v>
      </c>
      <c r="B2802" s="58">
        <v>24929716861</v>
      </c>
      <c r="C2802" s="63"/>
      <c r="D2802" s="60"/>
      <c r="E2802" s="9">
        <v>1417</v>
      </c>
      <c r="F2802" s="25">
        <v>43017</v>
      </c>
      <c r="G2802" s="61" t="s">
        <v>13</v>
      </c>
      <c r="H2802" s="25">
        <v>43027</v>
      </c>
      <c r="I2802" s="8"/>
      <c r="J2802" s="8"/>
      <c r="K2802" s="8"/>
      <c r="L2802" s="9" t="s">
        <v>253</v>
      </c>
      <c r="M2802" s="8"/>
    </row>
    <row r="2803" spans="1:13">
      <c r="A2803" s="62" t="s">
        <v>3973</v>
      </c>
      <c r="B2803" s="58">
        <v>16700974801</v>
      </c>
      <c r="C2803" s="63"/>
      <c r="D2803" s="60"/>
      <c r="E2803" s="9"/>
      <c r="F2803" s="25"/>
      <c r="G2803" s="61"/>
      <c r="H2803" s="9"/>
      <c r="I2803" s="8"/>
      <c r="J2803" s="8"/>
      <c r="K2803" s="8"/>
      <c r="L2803" s="8"/>
      <c r="M2803" s="8"/>
    </row>
    <row r="2804" spans="1:13">
      <c r="A2804" s="64" t="s">
        <v>3974</v>
      </c>
      <c r="B2804" s="58">
        <v>17128618830</v>
      </c>
      <c r="C2804" s="63" t="s">
        <v>3975</v>
      </c>
      <c r="D2804" s="60">
        <v>69305315534</v>
      </c>
      <c r="E2804" s="9">
        <v>810</v>
      </c>
      <c r="F2804" s="25">
        <v>42915</v>
      </c>
      <c r="G2804" s="61" t="s">
        <v>20</v>
      </c>
      <c r="H2804" s="25">
        <v>42921</v>
      </c>
      <c r="I2804" s="8"/>
      <c r="J2804" s="8"/>
      <c r="K2804" s="8"/>
      <c r="L2804" s="9" t="s">
        <v>138</v>
      </c>
      <c r="M2804" s="8"/>
    </row>
    <row r="2805" spans="1:13">
      <c r="A2805" s="62" t="s">
        <v>3976</v>
      </c>
      <c r="B2805" s="58">
        <v>18855161857</v>
      </c>
      <c r="C2805" s="63"/>
      <c r="D2805" s="60"/>
      <c r="E2805" s="9">
        <v>443</v>
      </c>
      <c r="F2805" s="25">
        <v>43188</v>
      </c>
      <c r="G2805" s="61"/>
      <c r="H2805" s="25">
        <v>43192</v>
      </c>
      <c r="I2805" s="8"/>
      <c r="J2805" s="8"/>
      <c r="K2805" s="8"/>
      <c r="L2805" s="8"/>
      <c r="M2805" s="8"/>
    </row>
    <row r="2806" spans="1:13">
      <c r="A2806" s="62" t="s">
        <v>3977</v>
      </c>
      <c r="B2806" s="58">
        <v>23535106800</v>
      </c>
      <c r="C2806" s="63"/>
      <c r="D2806" s="60"/>
      <c r="E2806" s="9"/>
      <c r="F2806" s="25"/>
      <c r="G2806" s="61"/>
      <c r="H2806" s="9"/>
      <c r="I2806" s="8"/>
      <c r="J2806" s="8"/>
      <c r="K2806" s="8"/>
      <c r="L2806" s="8"/>
      <c r="M2806" s="8"/>
    </row>
    <row r="2807" spans="1:13">
      <c r="A2807" s="18" t="s">
        <v>3978</v>
      </c>
      <c r="B2807" s="58">
        <v>29675655801</v>
      </c>
      <c r="C2807" s="18"/>
      <c r="D2807" s="60"/>
      <c r="E2807" s="9"/>
      <c r="F2807" s="25"/>
      <c r="G2807" s="61"/>
      <c r="H2807" s="9"/>
      <c r="I2807" s="8"/>
      <c r="J2807" s="8"/>
      <c r="K2807" s="8"/>
      <c r="L2807" s="8"/>
      <c r="M2807" s="8"/>
    </row>
    <row r="2808" spans="1:13">
      <c r="A2808" s="27" t="s">
        <v>3979</v>
      </c>
      <c r="B2808" s="58">
        <v>79572421468</v>
      </c>
      <c r="C2808" s="27" t="s">
        <v>3980</v>
      </c>
      <c r="D2808" s="60">
        <v>1296794881</v>
      </c>
      <c r="E2808" s="9"/>
      <c r="F2808" s="25"/>
      <c r="G2808" s="61"/>
      <c r="H2808" s="9"/>
      <c r="I2808" s="8"/>
      <c r="J2808" s="8"/>
      <c r="K2808" s="8"/>
      <c r="L2808" s="8"/>
      <c r="M2808" s="8"/>
    </row>
    <row r="2809" spans="1:13">
      <c r="A2809" s="62" t="s">
        <v>3981</v>
      </c>
      <c r="B2809" s="58">
        <v>20539510874</v>
      </c>
      <c r="C2809" s="63"/>
      <c r="D2809" s="60"/>
      <c r="E2809" s="9">
        <v>1824</v>
      </c>
      <c r="F2809" s="25">
        <v>43091</v>
      </c>
      <c r="G2809" s="61" t="s">
        <v>13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62" t="s">
        <v>3982</v>
      </c>
      <c r="B2810" s="58">
        <v>41523062894</v>
      </c>
      <c r="C2810" s="63"/>
      <c r="D2810" s="60"/>
      <c r="E2810" s="9"/>
      <c r="F2810" s="25"/>
      <c r="G2810" s="61"/>
      <c r="H2810" s="9"/>
      <c r="I2810" s="8"/>
      <c r="J2810" s="8"/>
      <c r="K2810" s="8"/>
      <c r="L2810" s="8"/>
      <c r="M2810" s="8"/>
    </row>
    <row r="2811" spans="1:13">
      <c r="A2811" s="62" t="s">
        <v>3983</v>
      </c>
      <c r="B2811" s="58">
        <v>44518427866</v>
      </c>
      <c r="C2811" s="63" t="s">
        <v>3984</v>
      </c>
      <c r="D2811" s="60">
        <v>41975923880</v>
      </c>
      <c r="E2811" s="9">
        <v>527</v>
      </c>
      <c r="F2811" s="25">
        <v>43210</v>
      </c>
      <c r="G2811" s="61"/>
      <c r="H2811" s="9"/>
      <c r="I2811" s="8"/>
      <c r="J2811" s="8"/>
      <c r="K2811" s="8"/>
      <c r="L2811" s="9">
        <v>528</v>
      </c>
      <c r="M2811" s="8"/>
    </row>
    <row r="2812" spans="1:13">
      <c r="A2812" s="62" t="s">
        <v>3985</v>
      </c>
      <c r="B2812" s="58">
        <v>35625515840</v>
      </c>
      <c r="C2812" s="63" t="s">
        <v>3986</v>
      </c>
      <c r="D2812" s="60">
        <v>27806916890</v>
      </c>
      <c r="E2812" s="9"/>
      <c r="F2812" s="25"/>
      <c r="G2812" s="61"/>
      <c r="H2812" s="9"/>
      <c r="I2812" s="8"/>
      <c r="J2812" s="8"/>
      <c r="K2812" s="8"/>
      <c r="L2812" s="8"/>
      <c r="M2812" s="8"/>
    </row>
    <row r="2813" spans="1:13">
      <c r="A2813" s="15" t="s">
        <v>3987</v>
      </c>
      <c r="B2813" s="58">
        <v>5479152416</v>
      </c>
      <c r="C2813" s="63"/>
      <c r="D2813" s="60"/>
      <c r="E2813" s="9"/>
      <c r="F2813" s="25"/>
      <c r="G2813" s="61"/>
      <c r="H2813" s="9"/>
      <c r="I2813" s="8"/>
      <c r="J2813" s="8"/>
      <c r="K2813" s="8"/>
      <c r="L2813" s="8"/>
      <c r="M2813" s="8"/>
    </row>
    <row r="2814" spans="1:13">
      <c r="A2814" s="62" t="s">
        <v>3988</v>
      </c>
      <c r="B2814" s="58">
        <v>45168053831</v>
      </c>
      <c r="C2814" s="68"/>
      <c r="D2814" s="60"/>
      <c r="E2814" s="9">
        <v>563</v>
      </c>
      <c r="F2814" s="25">
        <v>43217</v>
      </c>
      <c r="G2814" s="61"/>
      <c r="H2814" s="25">
        <v>43234</v>
      </c>
      <c r="I2814" s="8"/>
      <c r="J2814" s="8"/>
      <c r="K2814" s="8"/>
      <c r="L2814" s="9" t="s">
        <v>299</v>
      </c>
      <c r="M2814" s="8"/>
    </row>
    <row r="2815" spans="1:13">
      <c r="A2815" s="18" t="s">
        <v>3989</v>
      </c>
      <c r="B2815" s="58">
        <v>43302796811</v>
      </c>
      <c r="C2815" s="18"/>
      <c r="D2815" s="60"/>
      <c r="E2815" s="9"/>
      <c r="F2815" s="25"/>
      <c r="G2815" s="61"/>
      <c r="H2815" s="9"/>
      <c r="I2815" s="8"/>
      <c r="J2815" s="8"/>
      <c r="K2815" s="8"/>
      <c r="L2815" s="8"/>
      <c r="M2815" s="8"/>
    </row>
    <row r="2816" spans="1:13">
      <c r="A2816" s="62" t="s">
        <v>3990</v>
      </c>
      <c r="B2816" s="58">
        <v>40663707803</v>
      </c>
      <c r="C2816" s="63" t="s">
        <v>3991</v>
      </c>
      <c r="D2816" s="60">
        <v>35138540807</v>
      </c>
      <c r="E2816" s="9">
        <v>262</v>
      </c>
      <c r="F2816" s="25">
        <v>43160</v>
      </c>
      <c r="G2816" s="61" t="s">
        <v>13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62" t="s">
        <v>3992</v>
      </c>
      <c r="B2817" s="58">
        <v>41285779878</v>
      </c>
      <c r="C2817" s="63"/>
      <c r="D2817" s="60"/>
      <c r="E2817" s="9"/>
      <c r="F2817" s="25"/>
      <c r="G2817" s="61"/>
      <c r="H2817" s="9"/>
      <c r="I2817" s="8"/>
      <c r="J2817" s="8"/>
      <c r="K2817" s="8"/>
      <c r="L2817" s="8"/>
      <c r="M2817" s="8"/>
    </row>
    <row r="2818" spans="1:13">
      <c r="A2818" s="62" t="s">
        <v>3993</v>
      </c>
      <c r="B2818" s="58">
        <v>35656192873</v>
      </c>
      <c r="C2818" s="63"/>
      <c r="D2818" s="60"/>
      <c r="E2818" s="9"/>
      <c r="F2818" s="25"/>
      <c r="G2818" s="61"/>
      <c r="H2818" s="9"/>
      <c r="I2818" s="8"/>
      <c r="J2818" s="8"/>
      <c r="K2818" s="8"/>
      <c r="L2818" s="8"/>
      <c r="M2818" s="8"/>
    </row>
    <row r="2819" spans="1:13">
      <c r="A2819" s="13" t="s">
        <v>3994</v>
      </c>
      <c r="B2819" s="58">
        <v>23432370857</v>
      </c>
      <c r="C2819" s="59"/>
      <c r="D2819" s="60"/>
      <c r="E2819" s="9">
        <v>1752</v>
      </c>
      <c r="F2819" s="25">
        <v>43051</v>
      </c>
      <c r="G2819" s="61" t="s">
        <v>13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62" t="s">
        <v>3995</v>
      </c>
      <c r="B2820" s="58">
        <v>22656035899</v>
      </c>
      <c r="C2820" s="63"/>
      <c r="D2820" s="60"/>
      <c r="E2820" s="9">
        <v>262</v>
      </c>
      <c r="F2820" s="25">
        <v>43160</v>
      </c>
      <c r="G2820" s="61" t="s">
        <v>13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7" t="s">
        <v>3996</v>
      </c>
      <c r="B2821" s="58"/>
      <c r="C2821" s="27" t="s">
        <v>3997</v>
      </c>
      <c r="D2821" s="60"/>
      <c r="E2821" s="9"/>
      <c r="F2821" s="25"/>
      <c r="G2821" s="61"/>
      <c r="H2821" s="9"/>
      <c r="I2821" s="8"/>
      <c r="J2821" s="8"/>
      <c r="K2821" s="8"/>
      <c r="L2821" s="8"/>
      <c r="M2821" s="8"/>
    </row>
    <row r="2822" spans="1:13">
      <c r="A2822" s="62" t="s">
        <v>3998</v>
      </c>
      <c r="B2822" s="58">
        <v>40874659850</v>
      </c>
      <c r="C2822" s="68" t="s">
        <v>3999</v>
      </c>
      <c r="D2822" s="60">
        <v>37206739873</v>
      </c>
      <c r="E2822" s="9">
        <v>563</v>
      </c>
      <c r="F2822" s="25">
        <v>43217</v>
      </c>
      <c r="G2822" s="61"/>
      <c r="H2822" s="25">
        <v>43234</v>
      </c>
      <c r="I2822" s="8"/>
      <c r="J2822" s="8"/>
      <c r="K2822" s="8"/>
      <c r="L2822" s="9" t="s">
        <v>299</v>
      </c>
      <c r="M2822" s="8"/>
    </row>
    <row r="2823" spans="1:13">
      <c r="A2823" s="27" t="s">
        <v>4000</v>
      </c>
      <c r="B2823" s="58"/>
      <c r="C2823" s="27" t="s">
        <v>4001</v>
      </c>
      <c r="D2823" s="60"/>
      <c r="E2823" s="9"/>
      <c r="F2823" s="25"/>
      <c r="G2823" s="61"/>
      <c r="H2823" s="9"/>
      <c r="I2823" s="8"/>
      <c r="J2823" s="8"/>
      <c r="K2823" s="8"/>
      <c r="L2823" s="8"/>
      <c r="M2823" s="8"/>
    </row>
    <row r="2824" spans="1:13">
      <c r="A2824" s="62" t="s">
        <v>4002</v>
      </c>
      <c r="B2824" s="58">
        <v>37028047814</v>
      </c>
      <c r="C2824" s="63" t="s">
        <v>4003</v>
      </c>
      <c r="D2824" s="60">
        <v>34812554896</v>
      </c>
      <c r="E2824" s="9">
        <v>1824</v>
      </c>
      <c r="F2824" s="25">
        <v>43091</v>
      </c>
      <c r="G2824" s="61" t="s">
        <v>13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4004</v>
      </c>
      <c r="B2825" s="58">
        <v>10774591650</v>
      </c>
      <c r="C2825" s="63" t="s">
        <v>4005</v>
      </c>
      <c r="D2825" s="60">
        <v>33230795822</v>
      </c>
      <c r="E2825" s="9">
        <v>292</v>
      </c>
      <c r="F2825" s="25">
        <v>43168</v>
      </c>
      <c r="G2825" s="61" t="s">
        <v>13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63" t="s">
        <v>4006</v>
      </c>
      <c r="B2826" s="58">
        <v>39001319882</v>
      </c>
      <c r="C2826" s="63"/>
      <c r="D2826" s="60"/>
      <c r="E2826" s="9">
        <v>292</v>
      </c>
      <c r="F2826" s="25">
        <v>43168</v>
      </c>
      <c r="G2826" s="9" t="s">
        <v>13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4007</v>
      </c>
      <c r="B2827" s="58">
        <v>42779099810</v>
      </c>
      <c r="C2827" s="18" t="s">
        <v>4008</v>
      </c>
      <c r="D2827" s="60">
        <v>41316117839</v>
      </c>
      <c r="E2827" s="9"/>
      <c r="F2827" s="25"/>
      <c r="G2827" s="61"/>
      <c r="H2827" s="9"/>
      <c r="I2827" s="8"/>
      <c r="J2827" s="8"/>
      <c r="K2827" s="8"/>
      <c r="L2827" s="8"/>
      <c r="M2827" s="8"/>
    </row>
    <row r="2828" spans="1:13">
      <c r="A2828" s="27" t="s">
        <v>4009</v>
      </c>
      <c r="B2828" s="58">
        <v>50748310835</v>
      </c>
      <c r="C2828" s="18" t="s">
        <v>4010</v>
      </c>
      <c r="D2828" s="60">
        <v>37628955894</v>
      </c>
      <c r="E2828" s="9"/>
      <c r="F2828" s="25"/>
      <c r="G2828" s="61"/>
      <c r="H2828" s="9"/>
      <c r="I2828" s="8"/>
      <c r="J2828" s="8"/>
      <c r="K2828" s="8"/>
      <c r="L2828" s="8"/>
      <c r="M2828" s="8"/>
    </row>
    <row r="2829" spans="1:13">
      <c r="A2829" s="62" t="s">
        <v>4011</v>
      </c>
      <c r="B2829" s="58">
        <v>42651266850</v>
      </c>
      <c r="C2829" s="63" t="s">
        <v>4012</v>
      </c>
      <c r="D2829" s="60">
        <v>3580715429</v>
      </c>
      <c r="E2829" s="9">
        <v>1350</v>
      </c>
      <c r="F2829" s="25">
        <v>43006</v>
      </c>
      <c r="G2829" s="61" t="s">
        <v>13</v>
      </c>
      <c r="H2829" s="25">
        <v>43011</v>
      </c>
      <c r="I2829" s="8"/>
      <c r="J2829" s="8"/>
      <c r="K2829" s="8"/>
      <c r="L2829" s="8"/>
      <c r="M2829" s="8"/>
    </row>
    <row r="2830" spans="1:13">
      <c r="A2830" s="62" t="s">
        <v>4013</v>
      </c>
      <c r="B2830" s="58">
        <v>36474824808</v>
      </c>
      <c r="C2830" s="63" t="s">
        <v>4014</v>
      </c>
      <c r="D2830" s="60">
        <v>34800902819</v>
      </c>
      <c r="E2830" s="9"/>
      <c r="F2830" s="25"/>
      <c r="G2830" s="61"/>
      <c r="H2830" s="9"/>
      <c r="I2830" s="8"/>
      <c r="J2830" s="8"/>
      <c r="K2830" s="8"/>
      <c r="L2830" s="8"/>
      <c r="M2830" s="8"/>
    </row>
    <row r="2831" spans="1:13">
      <c r="A2831" s="15" t="s">
        <v>4015</v>
      </c>
      <c r="B2831" s="58">
        <v>39137452894</v>
      </c>
      <c r="C2831" s="63"/>
      <c r="D2831" s="60"/>
      <c r="E2831" s="9">
        <v>573</v>
      </c>
      <c r="F2831" s="25">
        <v>43224</v>
      </c>
      <c r="G2831" s="61"/>
      <c r="H2831" s="9"/>
      <c r="I2831" s="8"/>
      <c r="J2831" s="8"/>
      <c r="K2831" s="8"/>
      <c r="L2831" s="8"/>
      <c r="M2831" s="8"/>
    </row>
    <row r="2832" spans="1:13">
      <c r="A2832" s="64" t="s">
        <v>4016</v>
      </c>
      <c r="B2832" s="58">
        <v>22034628845</v>
      </c>
      <c r="C2832" s="63" t="s">
        <v>4017</v>
      </c>
      <c r="D2832" s="60">
        <v>26990288515</v>
      </c>
      <c r="E2832" s="9">
        <v>1555</v>
      </c>
      <c r="F2832" s="25">
        <v>43049</v>
      </c>
      <c r="G2832" s="61" t="s">
        <v>13</v>
      </c>
      <c r="H2832" s="9"/>
      <c r="I2832" s="8"/>
      <c r="J2832" s="8"/>
      <c r="K2832" s="8"/>
      <c r="L2832" s="9" t="s">
        <v>398</v>
      </c>
      <c r="M2832" s="8"/>
    </row>
    <row r="2833" spans="1:13">
      <c r="A2833" s="62" t="s">
        <v>4018</v>
      </c>
      <c r="B2833" s="58">
        <v>15317360846</v>
      </c>
      <c r="C2833" s="63"/>
      <c r="D2833" s="60"/>
      <c r="E2833" s="9"/>
      <c r="F2833" s="25"/>
      <c r="G2833" s="61"/>
      <c r="H2833" s="9"/>
      <c r="I2833" s="8"/>
      <c r="J2833" s="8"/>
      <c r="K2833" s="8"/>
      <c r="L2833" s="8"/>
      <c r="M2833" s="8"/>
    </row>
    <row r="2834" spans="1:13">
      <c r="A2834" s="62" t="s">
        <v>4019</v>
      </c>
      <c r="B2834" s="58">
        <v>10782475876</v>
      </c>
      <c r="C2834" s="63" t="s">
        <v>4020</v>
      </c>
      <c r="D2834" s="60">
        <v>616947895</v>
      </c>
      <c r="E2834" s="9">
        <v>1214</v>
      </c>
      <c r="F2834" s="25">
        <v>42989</v>
      </c>
      <c r="G2834" s="61" t="s">
        <v>13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4021</v>
      </c>
      <c r="B2835" s="58">
        <v>27242504864</v>
      </c>
      <c r="C2835" s="59"/>
      <c r="D2835" s="60"/>
      <c r="E2835" s="9">
        <v>262</v>
      </c>
      <c r="F2835" s="25">
        <v>43160</v>
      </c>
      <c r="G2835" s="61" t="s">
        <v>13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7" t="s">
        <v>4022</v>
      </c>
      <c r="B2836" s="58"/>
      <c r="C2836" s="18" t="s">
        <v>129</v>
      </c>
      <c r="D2836" s="60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64" t="s">
        <v>4023</v>
      </c>
      <c r="B2837" s="58">
        <v>42151049809</v>
      </c>
      <c r="C2837" s="59" t="s">
        <v>4024</v>
      </c>
      <c r="D2837" s="60">
        <v>60593342534</v>
      </c>
      <c r="E2837" s="9"/>
      <c r="F2837" s="25"/>
      <c r="G2837" s="61"/>
      <c r="H2837" s="9"/>
      <c r="I2837" s="8"/>
      <c r="J2837" s="8"/>
      <c r="K2837" s="8"/>
      <c r="L2837" s="8"/>
      <c r="M2837" s="8"/>
    </row>
    <row r="2838" spans="1:13">
      <c r="A2838" s="18" t="s">
        <v>4025</v>
      </c>
      <c r="B2838" s="58">
        <v>38785656828</v>
      </c>
      <c r="C2838" s="18" t="s">
        <v>4026</v>
      </c>
      <c r="D2838" s="60">
        <v>22008218830</v>
      </c>
      <c r="E2838" s="9"/>
      <c r="F2838" s="25"/>
      <c r="G2838" s="61"/>
      <c r="H2838" s="9"/>
      <c r="I2838" s="8"/>
      <c r="J2838" s="8"/>
      <c r="K2838" s="8"/>
      <c r="L2838" s="8"/>
      <c r="M2838" s="8"/>
    </row>
    <row r="2839" spans="1:13">
      <c r="A2839" s="62" t="s">
        <v>4027</v>
      </c>
      <c r="B2839" s="58">
        <v>34176131837</v>
      </c>
      <c r="C2839" s="63"/>
      <c r="D2839" s="60"/>
      <c r="E2839" s="9"/>
      <c r="F2839" s="25"/>
      <c r="G2839" s="61"/>
      <c r="H2839" s="9"/>
      <c r="I2839" s="8"/>
      <c r="J2839" s="8"/>
      <c r="K2839" s="8"/>
      <c r="L2839" s="8"/>
      <c r="M2839" s="8"/>
    </row>
    <row r="2840" spans="1:13">
      <c r="A2840" s="14" t="s">
        <v>4028</v>
      </c>
      <c r="B2840" s="58">
        <v>33715638800</v>
      </c>
      <c r="C2840" s="63"/>
      <c r="D2840" s="60"/>
      <c r="E2840" s="9">
        <v>262</v>
      </c>
      <c r="F2840" s="25">
        <v>43160</v>
      </c>
      <c r="G2840" s="61" t="s">
        <v>13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62" t="s">
        <v>4029</v>
      </c>
      <c r="B2841" s="58">
        <v>22815009854</v>
      </c>
      <c r="C2841" s="68" t="s">
        <v>4030</v>
      </c>
      <c r="D2841" s="60">
        <v>36421019846</v>
      </c>
      <c r="E2841" s="9"/>
      <c r="F2841" s="25"/>
      <c r="G2841" s="61"/>
      <c r="H2841" s="9"/>
      <c r="I2841" s="8"/>
      <c r="J2841" s="8"/>
      <c r="K2841" s="8"/>
      <c r="L2841" s="8"/>
      <c r="M2841" s="8"/>
    </row>
    <row r="2842" spans="1:13">
      <c r="A2842" s="62" t="s">
        <v>4031</v>
      </c>
      <c r="B2842" s="58">
        <v>22669281800</v>
      </c>
      <c r="C2842" s="63"/>
      <c r="D2842" s="60"/>
      <c r="E2842" s="9">
        <v>1214</v>
      </c>
      <c r="F2842" s="25">
        <v>42989</v>
      </c>
      <c r="G2842" s="61" t="s">
        <v>20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4032</v>
      </c>
      <c r="B2843" s="58">
        <v>40744151864</v>
      </c>
      <c r="C2843" s="18"/>
      <c r="D2843" s="60"/>
      <c r="E2843" s="9"/>
      <c r="F2843" s="25"/>
      <c r="G2843" s="61"/>
      <c r="H2843" s="9"/>
      <c r="I2843" s="8"/>
      <c r="J2843" s="8"/>
      <c r="K2843" s="8"/>
      <c r="L2843" s="8"/>
      <c r="M2843" s="8"/>
    </row>
    <row r="2844" spans="1:13">
      <c r="A2844" s="14" t="s">
        <v>4033</v>
      </c>
      <c r="B2844" s="58">
        <v>40506629813</v>
      </c>
      <c r="C2844" s="63" t="s">
        <v>4034</v>
      </c>
      <c r="D2844" s="60">
        <v>32485329800</v>
      </c>
      <c r="E2844" s="9">
        <v>262</v>
      </c>
      <c r="F2844" s="25">
        <v>43160</v>
      </c>
      <c r="G2844" s="61" t="s">
        <v>13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4035</v>
      </c>
      <c r="B2845" s="58">
        <v>31504729897</v>
      </c>
      <c r="C2845" s="59" t="s">
        <v>4036</v>
      </c>
      <c r="D2845" s="60">
        <v>24816878840</v>
      </c>
      <c r="E2845" s="9">
        <v>1214</v>
      </c>
      <c r="F2845" s="25">
        <v>42989</v>
      </c>
      <c r="G2845" s="61" t="s">
        <v>13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4037</v>
      </c>
      <c r="B2846" s="58">
        <v>33995497845</v>
      </c>
      <c r="C2846" s="59"/>
      <c r="D2846" s="60"/>
      <c r="E2846" s="9">
        <v>1128</v>
      </c>
      <c r="F2846" s="25">
        <v>42972</v>
      </c>
      <c r="G2846" s="61" t="s">
        <v>13</v>
      </c>
      <c r="H2846" s="25">
        <v>42979</v>
      </c>
      <c r="I2846" s="8"/>
      <c r="J2846" s="8"/>
      <c r="K2846" s="8"/>
      <c r="L2846" s="8"/>
      <c r="M2846" s="8"/>
    </row>
    <row r="2847" spans="1:13">
      <c r="A2847" s="62" t="s">
        <v>4038</v>
      </c>
      <c r="B2847" s="58">
        <v>12925287700</v>
      </c>
      <c r="C2847" s="63" t="s">
        <v>4039</v>
      </c>
      <c r="D2847" s="60">
        <v>37253983807</v>
      </c>
      <c r="E2847" s="9">
        <v>1752</v>
      </c>
      <c r="F2847" s="25">
        <v>43051</v>
      </c>
      <c r="G2847" s="61" t="s">
        <v>13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62" t="s">
        <v>4040</v>
      </c>
      <c r="B2848" s="58">
        <v>33532179830</v>
      </c>
      <c r="C2848" s="63"/>
      <c r="D2848" s="60"/>
      <c r="E2848" s="9">
        <v>563</v>
      </c>
      <c r="F2848" s="25">
        <v>43217</v>
      </c>
      <c r="G2848" s="61"/>
      <c r="H2848" s="25">
        <v>43234</v>
      </c>
      <c r="I2848" s="8"/>
      <c r="J2848" s="8"/>
      <c r="K2848" s="8"/>
      <c r="L2848" s="9" t="s">
        <v>299</v>
      </c>
      <c r="M2848" s="8"/>
    </row>
    <row r="2849" spans="1:13">
      <c r="A2849" s="62" t="s">
        <v>4041</v>
      </c>
      <c r="B2849" s="58">
        <v>5720828869</v>
      </c>
      <c r="C2849" s="63"/>
      <c r="D2849" s="60"/>
      <c r="E2849" s="9">
        <v>1214</v>
      </c>
      <c r="F2849" s="25">
        <v>42989</v>
      </c>
      <c r="G2849" s="61" t="s">
        <v>13</v>
      </c>
      <c r="H2849" s="25">
        <v>43000</v>
      </c>
      <c r="I2849" s="8"/>
      <c r="J2849" s="8"/>
      <c r="K2849" s="8"/>
      <c r="L2849" s="8"/>
      <c r="M2849" s="8"/>
    </row>
    <row r="2850" spans="1:13">
      <c r="A2850" s="62" t="s">
        <v>4042</v>
      </c>
      <c r="B2850" s="58">
        <v>4525791802</v>
      </c>
      <c r="C2850" s="63"/>
      <c r="D2850" s="60"/>
      <c r="E2850" s="9">
        <v>1214</v>
      </c>
      <c r="F2850" s="25">
        <v>42989</v>
      </c>
      <c r="G2850" s="61" t="s">
        <v>13</v>
      </c>
      <c r="H2850" s="25">
        <v>43000</v>
      </c>
      <c r="I2850" s="8"/>
      <c r="J2850" s="8"/>
      <c r="K2850" s="8"/>
      <c r="L2850" s="8"/>
      <c r="M2850" s="8"/>
    </row>
    <row r="2851" spans="1:13">
      <c r="A2851" s="62" t="s">
        <v>4043</v>
      </c>
      <c r="B2851" s="58">
        <v>26735743873</v>
      </c>
      <c r="C2851" s="63" t="s">
        <v>4044</v>
      </c>
      <c r="D2851" s="60">
        <v>14913845810</v>
      </c>
      <c r="E2851" s="9">
        <v>1214</v>
      </c>
      <c r="F2851" s="25">
        <v>42989</v>
      </c>
      <c r="G2851" s="61" t="s">
        <v>20</v>
      </c>
      <c r="H2851" s="25">
        <v>43000</v>
      </c>
      <c r="I2851" s="8"/>
      <c r="J2851" s="8"/>
      <c r="K2851" s="8"/>
      <c r="L2851" s="8"/>
      <c r="M2851" s="8"/>
    </row>
    <row r="2852" spans="1:13">
      <c r="A2852" s="62" t="s">
        <v>4045</v>
      </c>
      <c r="B2852" s="58">
        <v>25935315840</v>
      </c>
      <c r="C2852" s="63"/>
      <c r="D2852" s="60"/>
      <c r="E2852" s="9">
        <v>1214</v>
      </c>
      <c r="F2852" s="25">
        <v>42989</v>
      </c>
      <c r="G2852" s="61" t="s">
        <v>13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4046</v>
      </c>
      <c r="B2853" s="58">
        <v>5105815874</v>
      </c>
      <c r="C2853" s="59"/>
      <c r="D2853" s="60"/>
      <c r="E2853" s="9">
        <v>1241</v>
      </c>
      <c r="F2853" s="25">
        <v>42992</v>
      </c>
      <c r="G2853" s="61" t="s">
        <v>13</v>
      </c>
      <c r="H2853" s="25">
        <v>42998</v>
      </c>
      <c r="I2853" s="8"/>
      <c r="J2853" s="8"/>
      <c r="K2853" s="8"/>
      <c r="L2853" s="8"/>
      <c r="M2853" s="8"/>
    </row>
    <row r="2854" spans="1:13">
      <c r="A2854" s="27" t="s">
        <v>4047</v>
      </c>
      <c r="B2854" s="58">
        <v>26193222863</v>
      </c>
      <c r="C2854" s="18" t="s">
        <v>4048</v>
      </c>
      <c r="D2854" s="60">
        <v>27321039854</v>
      </c>
      <c r="E2854" s="9"/>
      <c r="F2854" s="25"/>
      <c r="G2854" s="61"/>
      <c r="H2854" s="9"/>
      <c r="I2854" s="8"/>
      <c r="J2854" s="8"/>
      <c r="K2854" s="8"/>
      <c r="L2854" s="8"/>
      <c r="M2854" s="8"/>
    </row>
    <row r="2855" spans="1:13">
      <c r="A2855" s="62" t="s">
        <v>4049</v>
      </c>
      <c r="B2855" s="58">
        <v>1398933180</v>
      </c>
      <c r="C2855" s="63"/>
      <c r="D2855" s="60"/>
      <c r="E2855" s="9"/>
      <c r="F2855" s="25"/>
      <c r="G2855" s="61"/>
      <c r="H2855" s="9"/>
      <c r="I2855" s="8"/>
      <c r="J2855" s="8"/>
      <c r="K2855" s="8"/>
      <c r="L2855" s="8"/>
      <c r="M2855" s="8"/>
    </row>
    <row r="2856" spans="1:13">
      <c r="A2856" s="62" t="s">
        <v>4050</v>
      </c>
      <c r="B2856" s="58">
        <v>3381508890</v>
      </c>
      <c r="C2856" s="63" t="s">
        <v>4051</v>
      </c>
      <c r="D2856" s="60">
        <v>4243488886</v>
      </c>
      <c r="E2856" s="9">
        <v>563</v>
      </c>
      <c r="F2856" s="25">
        <v>43217</v>
      </c>
      <c r="G2856" s="61"/>
      <c r="H2856" s="25">
        <v>43234</v>
      </c>
      <c r="I2856" s="8"/>
      <c r="J2856" s="8"/>
      <c r="K2856" s="8"/>
      <c r="L2856" s="9" t="s">
        <v>299</v>
      </c>
      <c r="M2856" s="8"/>
    </row>
    <row r="2857" spans="1:13">
      <c r="A2857" s="15" t="s">
        <v>4052</v>
      </c>
      <c r="B2857" s="58">
        <v>12474920870</v>
      </c>
      <c r="C2857" s="63"/>
      <c r="D2857" s="60"/>
      <c r="E2857" s="9">
        <v>229</v>
      </c>
      <c r="F2857" s="25">
        <v>43151</v>
      </c>
      <c r="G2857" s="61" t="s">
        <v>13</v>
      </c>
      <c r="H2857" s="9"/>
      <c r="I2857" s="8"/>
      <c r="J2857" s="8"/>
      <c r="K2857" s="8"/>
      <c r="L2857" s="9">
        <v>232</v>
      </c>
      <c r="M2857" s="8"/>
    </row>
    <row r="2858" spans="1:13">
      <c r="A2858" s="62" t="s">
        <v>4053</v>
      </c>
      <c r="B2858" s="58">
        <v>24602245838</v>
      </c>
      <c r="C2858" s="63"/>
      <c r="D2858" s="60"/>
      <c r="E2858" s="9">
        <v>262</v>
      </c>
      <c r="F2858" s="25">
        <v>43160</v>
      </c>
      <c r="G2858" s="61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62" t="s">
        <v>4054</v>
      </c>
      <c r="B2859" s="58">
        <v>11507771843</v>
      </c>
      <c r="C2859" s="63" t="s">
        <v>4055</v>
      </c>
      <c r="D2859" s="60">
        <v>6898979876</v>
      </c>
      <c r="E2859" s="9">
        <v>292</v>
      </c>
      <c r="F2859" s="25">
        <v>43168</v>
      </c>
      <c r="G2859" s="61" t="s">
        <v>13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4056</v>
      </c>
      <c r="B2860" s="58">
        <v>80024319520</v>
      </c>
      <c r="C2860" s="63"/>
      <c r="D2860" s="60"/>
      <c r="E2860" s="9">
        <v>85</v>
      </c>
      <c r="F2860" s="25">
        <v>43109</v>
      </c>
      <c r="G2860" s="61" t="s">
        <v>13</v>
      </c>
      <c r="H2860" s="25">
        <v>43151</v>
      </c>
      <c r="I2860" s="8"/>
      <c r="J2860" s="8"/>
      <c r="K2860" s="8"/>
      <c r="L2860" s="8"/>
      <c r="M2860" s="8"/>
    </row>
    <row r="2861" spans="1:13">
      <c r="A2861" s="62" t="s">
        <v>4057</v>
      </c>
      <c r="B2861" s="58">
        <v>42597970850</v>
      </c>
      <c r="C2861" s="63" t="s">
        <v>4058</v>
      </c>
      <c r="D2861" s="60">
        <v>35938405882</v>
      </c>
      <c r="E2861" s="9">
        <v>443</v>
      </c>
      <c r="F2861" s="25">
        <v>43188</v>
      </c>
      <c r="G2861" s="61"/>
      <c r="H2861" s="25">
        <v>43192</v>
      </c>
      <c r="I2861" s="8"/>
      <c r="J2861" s="8"/>
      <c r="K2861" s="8"/>
      <c r="L2861" s="8"/>
      <c r="M2861" s="8"/>
    </row>
    <row r="2862" spans="1:13">
      <c r="A2862" s="62" t="s">
        <v>4059</v>
      </c>
      <c r="B2862" s="58">
        <v>36573181867</v>
      </c>
      <c r="C2862" s="63"/>
      <c r="D2862" s="60"/>
      <c r="E2862" s="9"/>
      <c r="F2862" s="25"/>
      <c r="G2862" s="61"/>
      <c r="H2862" s="9"/>
      <c r="I2862" s="8"/>
      <c r="J2862" s="8"/>
      <c r="K2862" s="8"/>
      <c r="L2862" s="8"/>
      <c r="M2862" s="8"/>
    </row>
    <row r="2863" spans="1:13">
      <c r="A2863" s="27" t="s">
        <v>4060</v>
      </c>
      <c r="B2863" s="58"/>
      <c r="C2863" s="27" t="s">
        <v>4061</v>
      </c>
      <c r="D2863" s="60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4062</v>
      </c>
      <c r="B2864" s="58">
        <v>41687673888</v>
      </c>
      <c r="C2864" s="63"/>
      <c r="D2864" s="60"/>
      <c r="E2864" s="9">
        <v>229</v>
      </c>
      <c r="F2864" s="25">
        <v>43151</v>
      </c>
      <c r="G2864" s="61" t="s">
        <v>13</v>
      </c>
      <c r="H2864" s="9"/>
      <c r="I2864" s="8"/>
      <c r="J2864" s="8"/>
      <c r="K2864" s="8"/>
      <c r="L2864" s="9">
        <v>232</v>
      </c>
      <c r="M2864" s="8"/>
    </row>
    <row r="2865" spans="1:13">
      <c r="A2865" s="62" t="s">
        <v>4063</v>
      </c>
      <c r="B2865" s="58">
        <v>48081983805</v>
      </c>
      <c r="C2865" s="68" t="s">
        <v>4064</v>
      </c>
      <c r="D2865" s="60">
        <v>46307294884</v>
      </c>
      <c r="E2865" s="9"/>
      <c r="F2865" s="25"/>
      <c r="G2865" s="61"/>
      <c r="H2865" s="9"/>
      <c r="I2865" s="8"/>
      <c r="J2865" s="8"/>
      <c r="K2865" s="8"/>
      <c r="L2865" s="8"/>
      <c r="M2865" s="8"/>
    </row>
    <row r="2866" spans="1:13">
      <c r="A2866" s="62" t="s">
        <v>4065</v>
      </c>
      <c r="B2866" s="58">
        <v>43249836826</v>
      </c>
      <c r="C2866" s="63" t="s">
        <v>4066</v>
      </c>
      <c r="D2866" s="60">
        <v>41128623854</v>
      </c>
      <c r="E2866" s="9">
        <v>262</v>
      </c>
      <c r="F2866" s="25">
        <v>43160</v>
      </c>
      <c r="G2866" s="61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62" t="s">
        <v>4067</v>
      </c>
      <c r="B2867" s="58">
        <v>43628139856</v>
      </c>
      <c r="C2867" s="63"/>
      <c r="D2867" s="60"/>
      <c r="E2867" s="9">
        <v>1570</v>
      </c>
      <c r="F2867" s="25">
        <v>43077</v>
      </c>
      <c r="G2867" s="61" t="s">
        <v>13</v>
      </c>
      <c r="H2867" s="25">
        <v>43080</v>
      </c>
      <c r="I2867" s="8"/>
      <c r="J2867" s="8"/>
      <c r="K2867" s="8"/>
      <c r="L2867" s="8"/>
      <c r="M2867" s="8"/>
    </row>
    <row r="2868" spans="1:13">
      <c r="A2868" s="62" t="s">
        <v>4068</v>
      </c>
      <c r="B2868" s="58">
        <v>48474391806</v>
      </c>
      <c r="C2868" s="63"/>
      <c r="D2868" s="60"/>
      <c r="E2868" s="9">
        <v>262</v>
      </c>
      <c r="F2868" s="25">
        <v>43160</v>
      </c>
      <c r="G2868" s="61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63" t="s">
        <v>4069</v>
      </c>
      <c r="B2869" s="58">
        <v>11894872681</v>
      </c>
      <c r="C2869" s="63" t="s">
        <v>4070</v>
      </c>
      <c r="D2869" s="60">
        <v>38569239858</v>
      </c>
      <c r="E2869" s="9">
        <v>292</v>
      </c>
      <c r="F2869" s="25">
        <v>43168</v>
      </c>
      <c r="G2869" s="61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62" t="s">
        <v>4071</v>
      </c>
      <c r="B2870" s="58">
        <v>40155044885</v>
      </c>
      <c r="C2870" s="63" t="s">
        <v>4072</v>
      </c>
      <c r="D2870" s="60">
        <v>34935837888</v>
      </c>
      <c r="E2870" s="9">
        <v>292</v>
      </c>
      <c r="F2870" s="25">
        <v>43168</v>
      </c>
      <c r="G2870" s="9" t="s">
        <v>13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64" t="s">
        <v>4073</v>
      </c>
      <c r="B2871" s="58">
        <v>35165262898</v>
      </c>
      <c r="C2871" s="59" t="s">
        <v>4074</v>
      </c>
      <c r="D2871" s="60">
        <v>34112749805</v>
      </c>
      <c r="E2871" s="9">
        <v>1241</v>
      </c>
      <c r="F2871" s="25">
        <v>42992</v>
      </c>
      <c r="G2871" s="61" t="s">
        <v>13</v>
      </c>
      <c r="H2871" s="25">
        <v>42998</v>
      </c>
      <c r="I2871" s="8"/>
      <c r="J2871" s="8"/>
      <c r="K2871" s="8"/>
      <c r="L2871" s="8"/>
      <c r="M2871" s="8"/>
    </row>
    <row r="2872" spans="1:13">
      <c r="A2872" s="62" t="s">
        <v>4075</v>
      </c>
      <c r="B2872" s="58">
        <v>37000833866</v>
      </c>
      <c r="C2872" s="63"/>
      <c r="D2872" s="60"/>
      <c r="E2872" s="9">
        <v>117</v>
      </c>
      <c r="F2872" s="25">
        <v>43117</v>
      </c>
      <c r="G2872" s="61" t="s">
        <v>13</v>
      </c>
      <c r="H2872" s="25">
        <v>43151</v>
      </c>
      <c r="I2872" s="8"/>
      <c r="J2872" s="8"/>
      <c r="K2872" s="8"/>
      <c r="L2872" s="9" t="s">
        <v>170</v>
      </c>
      <c r="M2872" s="8"/>
    </row>
    <row r="2873" spans="1:13">
      <c r="A2873" s="63" t="s">
        <v>4076</v>
      </c>
      <c r="B2873" s="58">
        <v>38211152894</v>
      </c>
      <c r="C2873" s="63"/>
      <c r="D2873" s="60"/>
      <c r="E2873" s="9"/>
      <c r="F2873" s="25"/>
      <c r="G2873" s="61"/>
      <c r="H2873" s="9"/>
      <c r="I2873" s="8"/>
      <c r="J2873" s="8"/>
      <c r="K2873" s="8"/>
      <c r="L2873" s="8"/>
      <c r="M2873" s="8"/>
    </row>
    <row r="2874" spans="1:13">
      <c r="A2874" s="62" t="s">
        <v>4077</v>
      </c>
      <c r="B2874" s="58">
        <v>32280648830</v>
      </c>
      <c r="C2874" s="63"/>
      <c r="D2874" s="60"/>
      <c r="E2874" s="9">
        <v>292</v>
      </c>
      <c r="F2874" s="25">
        <v>43168</v>
      </c>
      <c r="G2874" s="61" t="s">
        <v>13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4078</v>
      </c>
      <c r="B2875" s="58">
        <v>47127932875</v>
      </c>
      <c r="C2875" s="63"/>
      <c r="D2875" s="60"/>
      <c r="E2875" s="9">
        <v>1752</v>
      </c>
      <c r="F2875" s="25">
        <v>43051</v>
      </c>
      <c r="G2875" s="61" t="s">
        <v>13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4079</v>
      </c>
      <c r="B2876" s="58">
        <v>36213127810</v>
      </c>
      <c r="C2876" s="63"/>
      <c r="D2876" s="60"/>
      <c r="E2876" s="9">
        <v>85</v>
      </c>
      <c r="F2876" s="25">
        <v>43109</v>
      </c>
      <c r="G2876" s="61" t="s">
        <v>13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4080</v>
      </c>
      <c r="B2877" s="58">
        <v>40770970885</v>
      </c>
      <c r="C2877" s="63" t="s">
        <v>4081</v>
      </c>
      <c r="D2877" s="60">
        <v>43652847890</v>
      </c>
      <c r="E2877" s="9">
        <v>117</v>
      </c>
      <c r="F2877" s="25">
        <v>43117</v>
      </c>
      <c r="G2877" s="61" t="s">
        <v>13</v>
      </c>
      <c r="H2877" s="25">
        <v>43151</v>
      </c>
      <c r="I2877" s="8"/>
      <c r="J2877" s="8"/>
      <c r="K2877" s="8"/>
      <c r="L2877" s="9" t="s">
        <v>170</v>
      </c>
      <c r="M2877" s="8"/>
    </row>
    <row r="2878" spans="1:13">
      <c r="A2878" s="27" t="s">
        <v>4082</v>
      </c>
      <c r="B2878" s="58"/>
      <c r="C2878" s="18" t="s">
        <v>129</v>
      </c>
      <c r="D2878" s="60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7" t="s">
        <v>4083</v>
      </c>
      <c r="B2879" s="58">
        <v>38462624800</v>
      </c>
      <c r="C2879" s="18" t="s">
        <v>129</v>
      </c>
      <c r="D2879" s="60"/>
      <c r="E2879" s="9"/>
      <c r="F2879" s="25"/>
      <c r="G2879" s="61"/>
      <c r="H2879" s="9"/>
      <c r="I2879" s="8"/>
      <c r="J2879" s="8"/>
      <c r="K2879" s="8"/>
      <c r="L2879" s="8"/>
      <c r="M2879" s="8"/>
    </row>
    <row r="2880" spans="1:13">
      <c r="A2880" s="62" t="s">
        <v>4084</v>
      </c>
      <c r="B2880" s="58">
        <v>30942876890</v>
      </c>
      <c r="C2880" s="63" t="s">
        <v>4085</v>
      </c>
      <c r="D2880" s="60">
        <v>1657015521</v>
      </c>
      <c r="E2880" s="9">
        <v>573</v>
      </c>
      <c r="F2880" s="25">
        <v>43224</v>
      </c>
      <c r="G2880" s="61"/>
      <c r="H2880" s="9"/>
      <c r="I2880" s="8"/>
      <c r="J2880" s="8"/>
      <c r="K2880" s="8"/>
      <c r="L2880" s="8"/>
      <c r="M2880" s="8"/>
    </row>
    <row r="2881" spans="1:13">
      <c r="A2881" s="15" t="s">
        <v>4086</v>
      </c>
      <c r="B2881" s="58">
        <v>34602309836</v>
      </c>
      <c r="C2881" s="63"/>
      <c r="D2881" s="60"/>
      <c r="E2881" s="9">
        <v>229</v>
      </c>
      <c r="F2881" s="25">
        <v>43151</v>
      </c>
      <c r="G2881" s="61" t="s">
        <v>13</v>
      </c>
      <c r="H2881" s="9"/>
      <c r="I2881" s="8"/>
      <c r="J2881" s="8"/>
      <c r="K2881" s="8"/>
      <c r="L2881" s="9">
        <v>232</v>
      </c>
      <c r="M2881" s="8"/>
    </row>
    <row r="2882" spans="1:13">
      <c r="A2882" s="62" t="s">
        <v>4087</v>
      </c>
      <c r="B2882" s="58">
        <v>28146615821</v>
      </c>
      <c r="C2882" s="63"/>
      <c r="D2882" s="60"/>
      <c r="E2882" s="9">
        <v>1570</v>
      </c>
      <c r="F2882" s="25">
        <v>43055</v>
      </c>
      <c r="G2882" s="9" t="s">
        <v>13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4088</v>
      </c>
      <c r="B2883" s="58">
        <v>43027371827</v>
      </c>
      <c r="C2883" s="63"/>
      <c r="D2883" s="60"/>
      <c r="E2883" s="9">
        <v>85</v>
      </c>
      <c r="F2883" s="25">
        <v>43109</v>
      </c>
      <c r="G2883" s="61" t="s">
        <v>13</v>
      </c>
      <c r="H2883" s="25">
        <v>43151</v>
      </c>
      <c r="I2883" s="8"/>
      <c r="J2883" s="8"/>
      <c r="K2883" s="8"/>
      <c r="L2883" s="8"/>
      <c r="M2883" s="8"/>
    </row>
    <row r="2884" spans="1:13">
      <c r="A2884" s="63" t="s">
        <v>4089</v>
      </c>
      <c r="B2884" s="58">
        <v>7104134832</v>
      </c>
      <c r="C2884" s="63"/>
      <c r="D2884" s="60"/>
      <c r="E2884" s="9"/>
      <c r="F2884" s="25"/>
      <c r="G2884" s="61"/>
      <c r="H2884" s="9"/>
      <c r="I2884" s="8"/>
      <c r="J2884" s="8"/>
      <c r="K2884" s="8"/>
      <c r="L2884" s="8"/>
      <c r="M2884" s="8"/>
    </row>
    <row r="2885" spans="1:13">
      <c r="A2885" s="62" t="s">
        <v>4090</v>
      </c>
      <c r="B2885" s="58">
        <v>26468301572</v>
      </c>
      <c r="C2885" s="63"/>
      <c r="D2885" s="60"/>
      <c r="E2885" s="9">
        <v>292</v>
      </c>
      <c r="F2885" s="25">
        <v>43168</v>
      </c>
      <c r="G2885" s="61" t="s">
        <v>13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62" t="s">
        <v>4091</v>
      </c>
      <c r="B2886" s="58">
        <v>28965520819</v>
      </c>
      <c r="C2886" s="63" t="s">
        <v>4092</v>
      </c>
      <c r="D2886" s="60">
        <v>8432372447</v>
      </c>
      <c r="E2886" s="9">
        <v>1824</v>
      </c>
      <c r="F2886" s="25">
        <v>43091</v>
      </c>
      <c r="G2886" s="61" t="s">
        <v>20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62" t="s">
        <v>4093</v>
      </c>
      <c r="B2887" s="58">
        <v>2264797819</v>
      </c>
      <c r="C2887" s="63"/>
      <c r="D2887" s="60"/>
      <c r="E2887" s="9"/>
      <c r="F2887" s="25"/>
      <c r="G2887" s="61"/>
      <c r="H2887" s="9"/>
      <c r="I2887" s="8"/>
      <c r="J2887" s="8"/>
      <c r="K2887" s="8"/>
      <c r="L2887" s="8"/>
      <c r="M2887" s="8"/>
    </row>
    <row r="2888" spans="1:13">
      <c r="A2888" s="62" t="s">
        <v>4094</v>
      </c>
      <c r="B2888" s="58">
        <v>13616640881</v>
      </c>
      <c r="C2888" s="68"/>
      <c r="D2888" s="60"/>
      <c r="E2888" s="9">
        <v>563</v>
      </c>
      <c r="F2888" s="25">
        <v>43217</v>
      </c>
      <c r="G2888" s="61"/>
      <c r="H2888" s="25">
        <v>43234</v>
      </c>
      <c r="I2888" s="8"/>
      <c r="J2888" s="8"/>
      <c r="K2888" s="8"/>
      <c r="L2888" s="9" t="s">
        <v>299</v>
      </c>
      <c r="M2888" s="8"/>
    </row>
    <row r="2889" spans="1:13">
      <c r="A2889" s="62" t="s">
        <v>4095</v>
      </c>
      <c r="B2889" s="58">
        <v>31336065818</v>
      </c>
      <c r="C2889" s="63" t="s">
        <v>4096</v>
      </c>
      <c r="D2889" s="60">
        <v>43264481804</v>
      </c>
      <c r="E2889" s="9">
        <v>1214</v>
      </c>
      <c r="F2889" s="25">
        <v>42989</v>
      </c>
      <c r="G2889" s="61" t="s">
        <v>13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4097</v>
      </c>
      <c r="B2890" s="58">
        <v>29416232807</v>
      </c>
      <c r="C2890" s="63"/>
      <c r="D2890" s="60"/>
      <c r="E2890" s="9"/>
      <c r="F2890" s="25"/>
      <c r="G2890" s="61"/>
      <c r="H2890" s="9"/>
      <c r="I2890" s="8"/>
      <c r="J2890" s="8"/>
      <c r="K2890" s="8"/>
      <c r="L2890" s="8"/>
      <c r="M2890" s="8"/>
    </row>
    <row r="2891" spans="1:13">
      <c r="A2891" s="62" t="s">
        <v>4098</v>
      </c>
      <c r="B2891" s="58">
        <v>64878856491</v>
      </c>
      <c r="C2891" s="63"/>
      <c r="D2891" s="60"/>
      <c r="E2891" s="9">
        <v>262</v>
      </c>
      <c r="F2891" s="25">
        <v>43160</v>
      </c>
      <c r="G2891" s="61" t="s">
        <v>13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4099</v>
      </c>
      <c r="B2892" s="58">
        <v>88589790100</v>
      </c>
      <c r="C2892" s="63"/>
      <c r="D2892" s="60"/>
      <c r="E2892" s="9">
        <v>229</v>
      </c>
      <c r="F2892" s="25">
        <v>43151</v>
      </c>
      <c r="G2892" s="61" t="s">
        <v>13</v>
      </c>
      <c r="H2892" s="9"/>
      <c r="I2892" s="8"/>
      <c r="J2892" s="8"/>
      <c r="K2892" s="8"/>
      <c r="L2892" s="9">
        <v>232</v>
      </c>
      <c r="M2892" s="8"/>
    </row>
    <row r="2893" spans="1:13">
      <c r="A2893" s="62" t="s">
        <v>4100</v>
      </c>
      <c r="B2893" s="58">
        <v>23589275898</v>
      </c>
      <c r="C2893" s="63"/>
      <c r="D2893" s="60"/>
      <c r="E2893" s="9">
        <v>1439</v>
      </c>
      <c r="F2893" s="25">
        <v>43025</v>
      </c>
      <c r="G2893" s="61" t="s">
        <v>13</v>
      </c>
      <c r="H2893" s="25">
        <v>43027</v>
      </c>
      <c r="I2893" s="8"/>
      <c r="J2893" s="8"/>
      <c r="K2893" s="8"/>
      <c r="L2893" s="9" t="s">
        <v>502</v>
      </c>
      <c r="M2893" s="8"/>
    </row>
    <row r="2894" spans="1:13">
      <c r="A2894" s="15" t="s">
        <v>4101</v>
      </c>
      <c r="B2894" s="58">
        <v>2655794494</v>
      </c>
      <c r="C2894" s="63" t="s">
        <v>4102</v>
      </c>
      <c r="D2894" s="60">
        <v>96385081591</v>
      </c>
      <c r="E2894" s="9">
        <v>117</v>
      </c>
      <c r="F2894" s="25">
        <v>43117</v>
      </c>
      <c r="G2894" s="61" t="s">
        <v>13</v>
      </c>
      <c r="H2894" s="25">
        <v>43151</v>
      </c>
      <c r="I2894" s="8"/>
      <c r="J2894" s="8"/>
      <c r="K2894" s="8"/>
      <c r="L2894" s="9" t="s">
        <v>170</v>
      </c>
      <c r="M2894" s="8"/>
    </row>
    <row r="2895" spans="1:13">
      <c r="A2895" s="62" t="s">
        <v>4103</v>
      </c>
      <c r="B2895" s="58">
        <v>38212628850</v>
      </c>
      <c r="C2895" s="63"/>
      <c r="D2895" s="60"/>
      <c r="E2895" s="9">
        <v>1422</v>
      </c>
      <c r="F2895" s="25">
        <v>43018</v>
      </c>
      <c r="G2895" s="61" t="s">
        <v>13</v>
      </c>
      <c r="H2895" s="25">
        <v>43027</v>
      </c>
      <c r="I2895" s="8"/>
      <c r="J2895" s="8"/>
      <c r="K2895" s="8"/>
      <c r="L2895" s="8"/>
      <c r="M2895" s="8"/>
    </row>
    <row r="2896" spans="1:13">
      <c r="A2896" s="62" t="s">
        <v>4104</v>
      </c>
      <c r="B2896" s="58">
        <v>6898125826</v>
      </c>
      <c r="C2896" s="63"/>
      <c r="D2896" s="60"/>
      <c r="E2896" s="9">
        <v>1106</v>
      </c>
      <c r="F2896" s="25">
        <v>42965</v>
      </c>
      <c r="G2896" s="61" t="s">
        <v>13</v>
      </c>
      <c r="H2896" s="25">
        <v>42978</v>
      </c>
      <c r="I2896" s="8"/>
      <c r="J2896" s="8"/>
      <c r="K2896" s="8"/>
      <c r="L2896" s="8"/>
      <c r="M2896" s="8"/>
    </row>
    <row r="2897" spans="1:13">
      <c r="A2897" s="62" t="s">
        <v>4105</v>
      </c>
      <c r="B2897" s="58">
        <v>15520459860</v>
      </c>
      <c r="C2897" s="63"/>
      <c r="D2897" s="60"/>
      <c r="E2897" s="9">
        <v>1489</v>
      </c>
      <c r="F2897" s="25">
        <v>43038</v>
      </c>
      <c r="G2897" s="61" t="s">
        <v>13</v>
      </c>
      <c r="H2897" s="9"/>
      <c r="I2897" s="9">
        <v>229</v>
      </c>
      <c r="J2897" s="25">
        <v>43151</v>
      </c>
      <c r="K2897" s="25">
        <v>43158</v>
      </c>
      <c r="L2897" s="9" t="s">
        <v>160</v>
      </c>
      <c r="M2897" s="25"/>
    </row>
    <row r="2898" spans="1:13">
      <c r="A2898" s="62" t="s">
        <v>4106</v>
      </c>
      <c r="B2898" s="58">
        <v>38085002809</v>
      </c>
      <c r="C2898" s="63" t="s">
        <v>4107</v>
      </c>
      <c r="D2898" s="60">
        <v>27620884882</v>
      </c>
      <c r="E2898" s="9"/>
      <c r="F2898" s="25"/>
      <c r="G2898" s="61"/>
      <c r="H2898" s="9"/>
      <c r="I2898" s="8"/>
      <c r="J2898" s="8"/>
      <c r="K2898" s="8"/>
      <c r="L2898" s="8"/>
      <c r="M2898" s="8"/>
    </row>
    <row r="2899" spans="1:13">
      <c r="A2899" s="62" t="s">
        <v>4108</v>
      </c>
      <c r="B2899" s="58">
        <v>67998755415</v>
      </c>
      <c r="C2899" s="63"/>
      <c r="D2899" s="60"/>
      <c r="E2899" s="9">
        <v>1214</v>
      </c>
      <c r="F2899" s="25">
        <v>42989</v>
      </c>
      <c r="G2899" s="61" t="s">
        <v>13</v>
      </c>
      <c r="H2899" s="25">
        <v>43000</v>
      </c>
      <c r="I2899" s="8"/>
      <c r="J2899" s="8"/>
      <c r="K2899" s="8"/>
      <c r="L2899" s="8"/>
      <c r="M2899" s="8"/>
    </row>
    <row r="2900" spans="1:13">
      <c r="A2900" s="62" t="s">
        <v>4109</v>
      </c>
      <c r="B2900" s="58">
        <v>23357346877</v>
      </c>
      <c r="C2900" s="63" t="s">
        <v>4110</v>
      </c>
      <c r="D2900" s="60">
        <v>39917830880</v>
      </c>
      <c r="E2900" s="9">
        <v>1555</v>
      </c>
      <c r="F2900" s="25">
        <v>43049</v>
      </c>
      <c r="G2900" s="61" t="s">
        <v>13</v>
      </c>
      <c r="H2900" s="9"/>
      <c r="I2900" s="8"/>
      <c r="J2900" s="8"/>
      <c r="K2900" s="8"/>
      <c r="L2900" s="9" t="s">
        <v>398</v>
      </c>
      <c r="M2900" s="8"/>
    </row>
    <row r="2901" spans="1:13">
      <c r="A2901" s="62" t="s">
        <v>4111</v>
      </c>
      <c r="B2901" s="58">
        <v>25491965898</v>
      </c>
      <c r="C2901" s="63"/>
      <c r="D2901" s="60"/>
      <c r="E2901" s="9"/>
      <c r="F2901" s="25"/>
      <c r="G2901" s="61"/>
      <c r="H2901" s="9"/>
      <c r="I2901" s="8"/>
      <c r="J2901" s="8"/>
      <c r="K2901" s="8"/>
      <c r="L2901" s="8"/>
      <c r="M2901" s="8"/>
    </row>
    <row r="2902" spans="1:13">
      <c r="A2902" s="62" t="s">
        <v>4112</v>
      </c>
      <c r="B2902" s="58">
        <v>31365966844</v>
      </c>
      <c r="C2902" s="63"/>
      <c r="D2902" s="60"/>
      <c r="E2902" s="9">
        <v>292</v>
      </c>
      <c r="F2902" s="25">
        <v>43168</v>
      </c>
      <c r="G2902" s="61" t="s">
        <v>13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62" t="s">
        <v>4113</v>
      </c>
      <c r="B2903" s="58">
        <v>33733642805</v>
      </c>
      <c r="C2903" s="63" t="s">
        <v>4114</v>
      </c>
      <c r="D2903" s="60">
        <v>1860087590</v>
      </c>
      <c r="E2903" s="9">
        <v>85</v>
      </c>
      <c r="F2903" s="25">
        <v>43109</v>
      </c>
      <c r="G2903" s="61" t="s">
        <v>13</v>
      </c>
      <c r="H2903" s="25">
        <v>43151</v>
      </c>
      <c r="I2903" s="8"/>
      <c r="J2903" s="8"/>
      <c r="K2903" s="8"/>
      <c r="L2903" s="8"/>
      <c r="M2903" s="8"/>
    </row>
    <row r="2904" spans="1:13">
      <c r="A2904" s="62" t="s">
        <v>4115</v>
      </c>
      <c r="B2904" s="58">
        <v>40426860870</v>
      </c>
      <c r="C2904" s="63"/>
      <c r="D2904" s="60"/>
      <c r="E2904" s="9">
        <v>1106</v>
      </c>
      <c r="F2904" s="25">
        <v>42965</v>
      </c>
      <c r="G2904" s="61" t="s">
        <v>13</v>
      </c>
      <c r="H2904" s="25">
        <v>42978</v>
      </c>
      <c r="I2904" s="8"/>
      <c r="J2904" s="8"/>
      <c r="K2904" s="8"/>
      <c r="L2904" s="8"/>
      <c r="M2904" s="8"/>
    </row>
    <row r="2905" spans="1:13">
      <c r="A2905" s="62" t="s">
        <v>4116</v>
      </c>
      <c r="B2905" s="58">
        <v>5387678802</v>
      </c>
      <c r="C2905" s="63" t="s">
        <v>4117</v>
      </c>
      <c r="D2905" s="60">
        <v>24035160822</v>
      </c>
      <c r="E2905" s="9"/>
      <c r="F2905" s="25"/>
      <c r="G2905" s="61"/>
      <c r="H2905" s="9"/>
      <c r="I2905" s="8"/>
      <c r="J2905" s="8"/>
      <c r="K2905" s="8"/>
      <c r="L2905" s="8"/>
      <c r="M2905" s="8"/>
    </row>
    <row r="2906" spans="1:13">
      <c r="A2906" s="62" t="s">
        <v>4118</v>
      </c>
      <c r="B2906" s="58">
        <v>11428779817</v>
      </c>
      <c r="C2906" s="63"/>
      <c r="D2906" s="60"/>
      <c r="E2906" s="9">
        <v>1350</v>
      </c>
      <c r="F2906" s="25">
        <v>43006</v>
      </c>
      <c r="G2906" s="61" t="s">
        <v>13</v>
      </c>
      <c r="H2906" s="25">
        <v>43011</v>
      </c>
      <c r="I2906" s="8"/>
      <c r="J2906" s="8"/>
      <c r="K2906" s="8"/>
      <c r="L2906" s="8"/>
      <c r="M2906" s="8"/>
    </row>
    <row r="2907" spans="1:13">
      <c r="A2907" s="63" t="s">
        <v>4119</v>
      </c>
      <c r="B2907" s="58">
        <v>41173451846</v>
      </c>
      <c r="C2907" s="63" t="s">
        <v>4120</v>
      </c>
      <c r="D2907" s="60">
        <v>38772076852</v>
      </c>
      <c r="E2907" s="9"/>
      <c r="F2907" s="25"/>
      <c r="G2907" s="61"/>
      <c r="H2907" s="9"/>
      <c r="I2907" s="8"/>
      <c r="J2907" s="8"/>
      <c r="K2907" s="8"/>
      <c r="L2907" s="8"/>
      <c r="M2907" s="8"/>
    </row>
    <row r="2908" spans="1:13">
      <c r="A2908" s="19" t="s">
        <v>4121</v>
      </c>
      <c r="B2908" s="58">
        <v>36432395801</v>
      </c>
      <c r="C2908" s="68" t="s">
        <v>4122</v>
      </c>
      <c r="D2908" s="58">
        <v>94959390549</v>
      </c>
      <c r="E2908" s="9"/>
      <c r="F2908" s="25"/>
      <c r="G2908" s="61"/>
      <c r="H2908" s="9"/>
      <c r="I2908" s="8"/>
      <c r="J2908" s="8"/>
      <c r="K2908" s="8"/>
      <c r="L2908" s="8"/>
      <c r="M2908" s="8"/>
    </row>
    <row r="2909" spans="1:13">
      <c r="A2909" s="62" t="s">
        <v>4123</v>
      </c>
      <c r="B2909" s="58">
        <v>14272488856</v>
      </c>
      <c r="C2909" s="63"/>
      <c r="D2909" s="60"/>
      <c r="E2909" s="9">
        <v>573</v>
      </c>
      <c r="F2909" s="25">
        <v>43224</v>
      </c>
      <c r="G2909" s="61"/>
      <c r="H2909" s="9"/>
      <c r="I2909" s="8"/>
      <c r="J2909" s="8"/>
      <c r="K2909" s="8"/>
      <c r="L2909" s="8"/>
      <c r="M2909" s="8"/>
    </row>
    <row r="2910" spans="1:13">
      <c r="A2910" s="62" t="s">
        <v>4124</v>
      </c>
      <c r="B2910" s="58">
        <v>28196011890</v>
      </c>
      <c r="C2910" s="63" t="s">
        <v>4125</v>
      </c>
      <c r="D2910" s="60">
        <v>73582980553</v>
      </c>
      <c r="E2910" s="9">
        <v>1262</v>
      </c>
      <c r="F2910" s="25">
        <v>42997</v>
      </c>
      <c r="G2910" s="61" t="s">
        <v>13</v>
      </c>
      <c r="H2910" s="25">
        <v>43000</v>
      </c>
      <c r="I2910" s="8"/>
      <c r="J2910" s="8"/>
      <c r="K2910" s="8"/>
      <c r="L2910" s="8"/>
      <c r="M2910" s="8"/>
    </row>
    <row r="2911" spans="1:13">
      <c r="A2911" s="62" t="s">
        <v>4126</v>
      </c>
      <c r="B2911" s="58">
        <v>8710545409</v>
      </c>
      <c r="C2911" s="63" t="s">
        <v>4127</v>
      </c>
      <c r="D2911" s="60">
        <v>39137257846</v>
      </c>
      <c r="E2911" s="9"/>
      <c r="F2911" s="25"/>
      <c r="G2911" s="61"/>
      <c r="H2911" s="9"/>
      <c r="I2911" s="8"/>
      <c r="J2911" s="8"/>
      <c r="K2911" s="8"/>
      <c r="L2911" s="8"/>
      <c r="M2911" s="8"/>
    </row>
    <row r="2912" spans="1:13">
      <c r="A2912" s="62" t="s">
        <v>4128</v>
      </c>
      <c r="B2912" s="58">
        <v>6826115816</v>
      </c>
      <c r="C2912" s="63"/>
      <c r="D2912" s="60"/>
      <c r="E2912" s="9"/>
      <c r="F2912" s="25"/>
      <c r="G2912" s="61"/>
      <c r="H2912" s="9"/>
      <c r="I2912" s="8"/>
      <c r="J2912" s="8"/>
      <c r="K2912" s="8"/>
      <c r="L2912" s="8"/>
      <c r="M2912" s="8"/>
    </row>
    <row r="2913" spans="1:13">
      <c r="A2913" s="62" t="s">
        <v>4129</v>
      </c>
      <c r="B2913" s="58">
        <v>27279265880</v>
      </c>
      <c r="C2913" s="68" t="s">
        <v>4130</v>
      </c>
      <c r="D2913" s="60">
        <v>63886073572</v>
      </c>
      <c r="E2913" s="9"/>
      <c r="F2913" s="25"/>
      <c r="G2913" s="61"/>
      <c r="H2913" s="9"/>
      <c r="I2913" s="8"/>
      <c r="J2913" s="8"/>
      <c r="K2913" s="8"/>
      <c r="L2913" s="8"/>
      <c r="M2913" s="8"/>
    </row>
    <row r="2914" spans="1:13">
      <c r="A2914" s="27" t="s">
        <v>4131</v>
      </c>
      <c r="B2914" s="58">
        <v>2973007844</v>
      </c>
      <c r="C2914" s="18" t="s">
        <v>129</v>
      </c>
      <c r="D2914" s="60"/>
      <c r="E2914" s="9"/>
      <c r="F2914" s="25"/>
      <c r="G2914" s="61"/>
      <c r="H2914" s="9"/>
      <c r="I2914" s="8"/>
      <c r="J2914" s="8"/>
      <c r="K2914" s="8"/>
      <c r="L2914" s="8"/>
      <c r="M2914" s="8"/>
    </row>
    <row r="2915" spans="1:13">
      <c r="A2915" s="62" t="s">
        <v>4132</v>
      </c>
      <c r="B2915" s="58">
        <v>20636195813</v>
      </c>
      <c r="C2915" s="63"/>
      <c r="D2915" s="60"/>
      <c r="E2915" s="9"/>
      <c r="F2915" s="25"/>
      <c r="G2915" s="61"/>
      <c r="H2915" s="9"/>
      <c r="I2915" s="8"/>
      <c r="J2915" s="8"/>
      <c r="K2915" s="8"/>
      <c r="L2915" s="8"/>
      <c r="M2915" s="8"/>
    </row>
    <row r="2916" spans="1:13">
      <c r="A2916" s="15" t="s">
        <v>4133</v>
      </c>
      <c r="B2916" s="58">
        <v>63168421553</v>
      </c>
      <c r="C2916" s="63"/>
      <c r="D2916" s="60"/>
      <c r="E2916" s="9">
        <v>229</v>
      </c>
      <c r="F2916" s="25">
        <v>43151</v>
      </c>
      <c r="G2916" s="61" t="s">
        <v>13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4134</v>
      </c>
      <c r="B2917" s="58">
        <v>97080756391</v>
      </c>
      <c r="C2917" s="59" t="s">
        <v>4135</v>
      </c>
      <c r="D2917" s="60">
        <v>78464463391</v>
      </c>
      <c r="E2917" s="9">
        <v>1343</v>
      </c>
      <c r="F2917" s="25">
        <v>43004</v>
      </c>
      <c r="G2917" s="61" t="s">
        <v>13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4136</v>
      </c>
      <c r="B2918" s="58">
        <v>38027796814</v>
      </c>
      <c r="C2918" s="63"/>
      <c r="D2918" s="60"/>
      <c r="E2918" s="9">
        <v>443</v>
      </c>
      <c r="F2918" s="25">
        <v>43188</v>
      </c>
      <c r="G2918" s="61"/>
      <c r="H2918" s="25">
        <v>43192</v>
      </c>
      <c r="I2918" s="8"/>
      <c r="J2918" s="8"/>
      <c r="K2918" s="8"/>
      <c r="L2918" s="8"/>
      <c r="M2918" s="8"/>
    </row>
    <row r="2919" spans="1:13">
      <c r="A2919" s="27" t="s">
        <v>4137</v>
      </c>
      <c r="B2919" s="58">
        <v>542688778</v>
      </c>
      <c r="C2919" s="18" t="s">
        <v>129</v>
      </c>
      <c r="D2919" s="60"/>
      <c r="E2919" s="9"/>
      <c r="F2919" s="25"/>
      <c r="G2919" s="61"/>
      <c r="H2919" s="9"/>
      <c r="I2919" s="8"/>
      <c r="J2919" s="8"/>
      <c r="K2919" s="8"/>
      <c r="L2919" s="8"/>
      <c r="M2919" s="8"/>
    </row>
    <row r="2920" spans="1:13">
      <c r="A2920" s="62" t="s">
        <v>4138</v>
      </c>
      <c r="B2920" s="58">
        <v>6814675846</v>
      </c>
      <c r="C2920" s="68"/>
      <c r="D2920" s="60"/>
      <c r="E2920" s="9"/>
      <c r="F2920" s="25"/>
      <c r="G2920" s="61"/>
      <c r="H2920" s="9"/>
      <c r="I2920" s="8"/>
      <c r="J2920" s="8"/>
      <c r="K2920" s="8"/>
      <c r="L2920" s="8"/>
      <c r="M2920" s="8"/>
    </row>
    <row r="2921" spans="1:13">
      <c r="A2921" s="62" t="s">
        <v>4139</v>
      </c>
      <c r="B2921" s="58">
        <v>19521938854</v>
      </c>
      <c r="C2921" s="63" t="s">
        <v>4140</v>
      </c>
      <c r="D2921" s="60">
        <v>16398980506</v>
      </c>
      <c r="E2921" s="9">
        <v>1214</v>
      </c>
      <c r="F2921" s="25">
        <v>42989</v>
      </c>
      <c r="G2921" s="61" t="s">
        <v>13</v>
      </c>
      <c r="H2921" s="25">
        <v>43000</v>
      </c>
      <c r="I2921" s="8"/>
      <c r="J2921" s="8"/>
      <c r="K2921" s="8"/>
      <c r="L2921" s="8"/>
      <c r="M2921" s="8"/>
    </row>
    <row r="2922" spans="1:13">
      <c r="A2922" s="62" t="s">
        <v>4141</v>
      </c>
      <c r="B2922" s="58">
        <v>22970050838</v>
      </c>
      <c r="C2922" s="63"/>
      <c r="D2922" s="60"/>
      <c r="E2922" s="9"/>
      <c r="F2922" s="25"/>
      <c r="G2922" s="61"/>
      <c r="H2922" s="9"/>
      <c r="I2922" s="8"/>
      <c r="J2922" s="8"/>
      <c r="K2922" s="8"/>
      <c r="L2922" s="8"/>
      <c r="M2922" s="8"/>
    </row>
    <row r="2923" spans="1:13">
      <c r="A2923" s="14" t="s">
        <v>4142</v>
      </c>
      <c r="B2923" s="58">
        <v>26307121840</v>
      </c>
      <c r="C2923" s="63"/>
      <c r="D2923" s="60"/>
      <c r="E2923" s="9">
        <v>262</v>
      </c>
      <c r="F2923" s="25">
        <v>43160</v>
      </c>
      <c r="G2923" s="61" t="s">
        <v>13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62" t="s">
        <v>4143</v>
      </c>
      <c r="B2924" s="58">
        <v>300564546</v>
      </c>
      <c r="C2924" s="63"/>
      <c r="D2924" s="60"/>
      <c r="E2924" s="9">
        <v>1106</v>
      </c>
      <c r="F2924" s="25">
        <v>42965</v>
      </c>
      <c r="G2924" s="61" t="s">
        <v>13</v>
      </c>
      <c r="H2924" s="25">
        <v>42978</v>
      </c>
      <c r="I2924" s="8"/>
      <c r="J2924" s="8"/>
      <c r="K2924" s="8"/>
      <c r="L2924" s="8"/>
      <c r="M2924" s="8"/>
    </row>
    <row r="2925" spans="1:13">
      <c r="A2925" s="62" t="s">
        <v>4144</v>
      </c>
      <c r="B2925" s="58">
        <v>81710763272</v>
      </c>
      <c r="C2925" s="68" t="s">
        <v>4145</v>
      </c>
      <c r="D2925" s="60">
        <v>36354836809</v>
      </c>
      <c r="E2925" s="9"/>
      <c r="F2925" s="25"/>
      <c r="G2925" s="61"/>
      <c r="H2925" s="9"/>
      <c r="I2925" s="8"/>
      <c r="J2925" s="8"/>
      <c r="K2925" s="8"/>
      <c r="L2925" s="8"/>
      <c r="M2925" s="8"/>
    </row>
    <row r="2926" spans="1:13">
      <c r="A2926" s="62" t="s">
        <v>4146</v>
      </c>
      <c r="B2926" s="58">
        <v>1095911511</v>
      </c>
      <c r="C2926" s="63"/>
      <c r="D2926" s="60"/>
      <c r="E2926" s="9">
        <v>1214</v>
      </c>
      <c r="F2926" s="25">
        <v>42989</v>
      </c>
      <c r="G2926" s="61" t="s">
        <v>13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4147</v>
      </c>
      <c r="B2927" s="58">
        <v>35453812850</v>
      </c>
      <c r="C2927" s="18" t="s">
        <v>4148</v>
      </c>
      <c r="D2927" s="60">
        <v>27351961867</v>
      </c>
      <c r="E2927" s="9"/>
      <c r="F2927" s="25"/>
      <c r="G2927" s="61"/>
      <c r="H2927" s="9"/>
      <c r="I2927" s="8"/>
      <c r="J2927" s="8"/>
      <c r="K2927" s="8"/>
      <c r="L2927" s="8"/>
      <c r="M2927" s="8"/>
    </row>
    <row r="2928" spans="1:13">
      <c r="A2928" s="63" t="s">
        <v>4149</v>
      </c>
      <c r="B2928" s="58">
        <v>26836941808</v>
      </c>
      <c r="C2928" s="63"/>
      <c r="D2928" s="60"/>
      <c r="E2928" s="9"/>
      <c r="F2928" s="25"/>
      <c r="G2928" s="61"/>
      <c r="H2928" s="9"/>
      <c r="I2928" s="8"/>
      <c r="J2928" s="8"/>
      <c r="K2928" s="8"/>
      <c r="L2928" s="8"/>
      <c r="M2928" s="8"/>
    </row>
    <row r="2929" spans="1:13">
      <c r="A2929" s="62" t="s">
        <v>4150</v>
      </c>
      <c r="B2929" s="58">
        <v>22665008807</v>
      </c>
      <c r="C2929" s="63" t="s">
        <v>4151</v>
      </c>
      <c r="D2929" s="60">
        <v>35575903800</v>
      </c>
      <c r="E2929" s="9">
        <v>262</v>
      </c>
      <c r="F2929" s="25">
        <v>43160</v>
      </c>
      <c r="G2929" s="9" t="s">
        <v>13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4152</v>
      </c>
      <c r="B2930" s="58">
        <v>38657793873</v>
      </c>
      <c r="C2930" s="59"/>
      <c r="D2930" s="60"/>
      <c r="E2930" s="9">
        <v>1359</v>
      </c>
      <c r="F2930" s="25">
        <v>43006</v>
      </c>
      <c r="G2930" s="61" t="s">
        <v>13</v>
      </c>
      <c r="H2930" s="25">
        <v>43011</v>
      </c>
      <c r="I2930" s="8"/>
      <c r="J2930" s="8"/>
      <c r="K2930" s="8"/>
      <c r="L2930" s="8"/>
      <c r="M2930" s="8"/>
    </row>
    <row r="2931" spans="1:13">
      <c r="A2931" s="62" t="s">
        <v>4153</v>
      </c>
      <c r="B2931" s="58">
        <v>41032382830</v>
      </c>
      <c r="C2931" s="63"/>
      <c r="D2931" s="60"/>
      <c r="E2931" s="9">
        <v>573</v>
      </c>
      <c r="F2931" s="25">
        <v>43224</v>
      </c>
      <c r="G2931" s="61"/>
      <c r="H2931" s="9"/>
      <c r="I2931" s="8"/>
      <c r="J2931" s="8"/>
      <c r="K2931" s="8"/>
      <c r="L2931" s="8"/>
      <c r="M2931" s="8"/>
    </row>
    <row r="2932" spans="1:13">
      <c r="A2932" s="63" t="s">
        <v>4154</v>
      </c>
      <c r="B2932" s="58">
        <v>60615920357</v>
      </c>
      <c r="C2932" s="63" t="s">
        <v>4155</v>
      </c>
      <c r="D2932" s="60">
        <v>4818511358</v>
      </c>
      <c r="E2932" s="9">
        <v>292</v>
      </c>
      <c r="F2932" s="25">
        <v>43168</v>
      </c>
      <c r="G2932" s="9" t="s">
        <v>13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62" t="s">
        <v>4156</v>
      </c>
      <c r="B2933" s="58">
        <v>22353439888</v>
      </c>
      <c r="C2933" s="63"/>
      <c r="D2933" s="60"/>
      <c r="E2933" s="9">
        <v>262</v>
      </c>
      <c r="F2933" s="25">
        <v>43160</v>
      </c>
      <c r="G2933" s="61" t="s">
        <v>13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62" t="s">
        <v>4157</v>
      </c>
      <c r="B2934" s="58">
        <v>31633338851</v>
      </c>
      <c r="C2934" s="63" t="s">
        <v>4158</v>
      </c>
      <c r="D2934" s="60">
        <v>42441481835</v>
      </c>
      <c r="E2934" s="9">
        <v>563</v>
      </c>
      <c r="F2934" s="25">
        <v>43217</v>
      </c>
      <c r="G2934" s="61"/>
      <c r="H2934" s="25">
        <v>43234</v>
      </c>
      <c r="I2934" s="8"/>
      <c r="J2934" s="8"/>
      <c r="K2934" s="8"/>
      <c r="L2934" s="9" t="s">
        <v>299</v>
      </c>
      <c r="M2934" s="8"/>
    </row>
    <row r="2935" spans="1:13">
      <c r="A2935" s="62" t="s">
        <v>4159</v>
      </c>
      <c r="B2935" s="58">
        <v>42518509801</v>
      </c>
      <c r="C2935" s="63" t="s">
        <v>4160</v>
      </c>
      <c r="D2935" s="60">
        <v>36320707844</v>
      </c>
      <c r="E2935" s="9">
        <v>1752</v>
      </c>
      <c r="F2935" s="25">
        <v>43051</v>
      </c>
      <c r="G2935" s="61" t="s">
        <v>28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62" t="s">
        <v>4161</v>
      </c>
      <c r="B2936" s="58">
        <v>22958464806</v>
      </c>
      <c r="C2936" s="63" t="s">
        <v>4162</v>
      </c>
      <c r="D2936" s="60">
        <v>13499554852</v>
      </c>
      <c r="E2936" s="9"/>
      <c r="F2936" s="25"/>
      <c r="G2936" s="61"/>
      <c r="H2936" s="9"/>
      <c r="I2936" s="8"/>
      <c r="J2936" s="8"/>
      <c r="K2936" s="8"/>
      <c r="L2936" s="8"/>
      <c r="M2936" s="8"/>
    </row>
    <row r="2937" spans="1:13">
      <c r="A2937" s="13" t="s">
        <v>4163</v>
      </c>
      <c r="B2937" s="58">
        <v>31152044850</v>
      </c>
      <c r="C2937" s="63" t="s">
        <v>4164</v>
      </c>
      <c r="D2937" s="60">
        <v>31152043889</v>
      </c>
      <c r="E2937" s="9">
        <v>1128</v>
      </c>
      <c r="F2937" s="25">
        <v>42972</v>
      </c>
      <c r="G2937" s="61" t="s">
        <v>13</v>
      </c>
      <c r="H2937" s="25">
        <v>42979</v>
      </c>
      <c r="I2937" s="8"/>
      <c r="J2937" s="8"/>
      <c r="K2937" s="8"/>
      <c r="L2937" s="8"/>
      <c r="M2937" s="8"/>
    </row>
    <row r="2938" spans="1:13">
      <c r="A2938" s="62" t="s">
        <v>4165</v>
      </c>
      <c r="B2938" s="58">
        <v>33608896813</v>
      </c>
      <c r="C2938" s="63"/>
      <c r="D2938" s="60"/>
      <c r="E2938" s="9">
        <v>292</v>
      </c>
      <c r="F2938" s="25">
        <v>43168</v>
      </c>
      <c r="G2938" s="61" t="s">
        <v>13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0" t="s">
        <v>4166</v>
      </c>
      <c r="B2939" s="71">
        <v>35805723859</v>
      </c>
      <c r="C2939" s="72" t="s">
        <v>4167</v>
      </c>
      <c r="D2939" s="73">
        <v>12726161855</v>
      </c>
      <c r="E2939" s="45">
        <v>1824</v>
      </c>
      <c r="F2939" s="46">
        <v>43091</v>
      </c>
      <c r="G2939" s="74" t="s">
        <v>20</v>
      </c>
      <c r="H2939" s="46">
        <v>43097</v>
      </c>
      <c r="I2939" s="47"/>
      <c r="J2939" s="47"/>
      <c r="K2939" s="47"/>
      <c r="L2939" s="9">
        <v>1828</v>
      </c>
      <c r="M2939" s="47"/>
    </row>
    <row r="2940" spans="1:13">
      <c r="A2940" s="14" t="s">
        <v>4168</v>
      </c>
      <c r="B2940" s="58">
        <v>53387955820</v>
      </c>
      <c r="C2940" s="63"/>
      <c r="D2940" s="60"/>
      <c r="E2940" s="9">
        <v>262</v>
      </c>
      <c r="F2940" s="25">
        <v>43160</v>
      </c>
      <c r="G2940" s="61" t="s">
        <v>13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4169</v>
      </c>
      <c r="B2941" s="58">
        <v>7358002431</v>
      </c>
      <c r="C2941" s="63" t="s">
        <v>4170</v>
      </c>
      <c r="D2941" s="60">
        <v>11491307684</v>
      </c>
      <c r="E2941" s="9"/>
      <c r="F2941" s="25"/>
      <c r="G2941" s="61"/>
      <c r="H2941" s="9"/>
      <c r="I2941" s="8"/>
      <c r="J2941" s="8"/>
      <c r="K2941" s="8"/>
      <c r="L2941" s="8"/>
      <c r="M2941" s="8"/>
    </row>
    <row r="2942" spans="1:13">
      <c r="A2942" s="62" t="s">
        <v>4171</v>
      </c>
      <c r="B2942" s="58">
        <v>23154529888</v>
      </c>
      <c r="C2942" s="63"/>
      <c r="D2942" s="60"/>
      <c r="E2942" s="9">
        <v>1106</v>
      </c>
      <c r="F2942" s="25">
        <v>42965</v>
      </c>
      <c r="G2942" s="61" t="s">
        <v>13</v>
      </c>
      <c r="H2942" s="25">
        <v>42978</v>
      </c>
      <c r="I2942" s="8"/>
      <c r="J2942" s="8"/>
      <c r="K2942" s="8"/>
      <c r="L2942" s="8"/>
      <c r="M2942" s="8"/>
    </row>
    <row r="2943" spans="1:13">
      <c r="A2943" s="62" t="s">
        <v>4172</v>
      </c>
      <c r="B2943" s="58">
        <v>43354497807</v>
      </c>
      <c r="C2943" s="63" t="s">
        <v>4173</v>
      </c>
      <c r="D2943" s="60">
        <v>40802896855</v>
      </c>
      <c r="E2943" s="9">
        <v>1214</v>
      </c>
      <c r="F2943" s="25">
        <v>42989</v>
      </c>
      <c r="G2943" s="61" t="s">
        <v>13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4174</v>
      </c>
      <c r="B2944" s="58">
        <v>43586522800</v>
      </c>
      <c r="C2944" s="59" t="s">
        <v>4175</v>
      </c>
      <c r="D2944" s="60">
        <v>43586522800</v>
      </c>
      <c r="E2944" s="9">
        <v>1128</v>
      </c>
      <c r="F2944" s="25">
        <v>42972</v>
      </c>
      <c r="G2944" s="61" t="s">
        <v>13</v>
      </c>
      <c r="H2944" s="25">
        <v>42979</v>
      </c>
      <c r="I2944" s="8"/>
      <c r="J2944" s="8"/>
      <c r="K2944" s="8"/>
      <c r="L2944" s="8"/>
      <c r="M2944" s="8"/>
    </row>
    <row r="2945" spans="1:13">
      <c r="A2945" s="62" t="s">
        <v>4176</v>
      </c>
      <c r="B2945" s="58">
        <v>17447067865</v>
      </c>
      <c r="C2945" s="63" t="s">
        <v>4177</v>
      </c>
      <c r="D2945" s="60">
        <v>34629773851</v>
      </c>
      <c r="E2945" s="9">
        <v>443</v>
      </c>
      <c r="F2945" s="25">
        <v>43188</v>
      </c>
      <c r="G2945" s="61"/>
      <c r="H2945" s="25">
        <v>43192</v>
      </c>
      <c r="I2945" s="8"/>
      <c r="J2945" s="8"/>
      <c r="K2945" s="8"/>
      <c r="L2945" s="8"/>
      <c r="M2945" s="8"/>
    </row>
    <row r="2946" spans="1:13">
      <c r="A2946" s="62" t="s">
        <v>4178</v>
      </c>
      <c r="B2946" s="58">
        <v>3568560542</v>
      </c>
      <c r="C2946" s="63" t="s">
        <v>4179</v>
      </c>
      <c r="D2946" s="60">
        <v>4078587500</v>
      </c>
      <c r="E2946" s="9">
        <v>1106</v>
      </c>
      <c r="F2946" s="25">
        <v>42965</v>
      </c>
      <c r="G2946" s="61" t="s">
        <v>13</v>
      </c>
      <c r="H2946" s="25">
        <v>42978</v>
      </c>
      <c r="I2946" s="8"/>
      <c r="J2946" s="8"/>
      <c r="K2946" s="8"/>
      <c r="L2946" s="8"/>
      <c r="M2946" s="8"/>
    </row>
    <row r="2947" spans="1:13">
      <c r="A2947" s="62" t="s">
        <v>4180</v>
      </c>
      <c r="B2947" s="58">
        <v>12729952837</v>
      </c>
      <c r="C2947" s="64"/>
      <c r="D2947" s="60"/>
      <c r="E2947" s="9">
        <v>573</v>
      </c>
      <c r="F2947" s="25">
        <v>43224</v>
      </c>
      <c r="G2947" s="61"/>
      <c r="H2947" s="9"/>
      <c r="I2947" s="8"/>
      <c r="J2947" s="8"/>
      <c r="K2947" s="8"/>
      <c r="L2947" s="8"/>
      <c r="M2947" s="8"/>
    </row>
    <row r="2948" spans="1:13">
      <c r="A2948" s="14" t="s">
        <v>4181</v>
      </c>
      <c r="B2948" s="58">
        <v>29122711856</v>
      </c>
      <c r="C2948" s="63"/>
      <c r="D2948" s="60"/>
      <c r="E2948" s="9">
        <v>527</v>
      </c>
      <c r="F2948" s="25">
        <v>43210</v>
      </c>
      <c r="G2948" s="61"/>
      <c r="H2948" s="9"/>
      <c r="I2948" s="8"/>
      <c r="J2948" s="8"/>
      <c r="K2948" s="8"/>
      <c r="L2948" s="9">
        <v>528</v>
      </c>
      <c r="M2948" s="8"/>
    </row>
    <row r="2949" spans="1:13">
      <c r="A2949" s="62" t="s">
        <v>4182</v>
      </c>
      <c r="B2949" s="58">
        <v>17621509805</v>
      </c>
      <c r="C2949" s="63"/>
      <c r="D2949" s="60"/>
      <c r="E2949" s="9">
        <v>117</v>
      </c>
      <c r="F2949" s="25">
        <v>43117</v>
      </c>
      <c r="G2949" s="61"/>
      <c r="H2949" s="25">
        <v>43151</v>
      </c>
      <c r="I2949" s="8"/>
      <c r="J2949" s="8"/>
      <c r="K2949" s="8"/>
      <c r="L2949" s="9" t="s">
        <v>170</v>
      </c>
      <c r="M2949" s="8"/>
    </row>
    <row r="2950" spans="1:13">
      <c r="A2950" s="62" t="s">
        <v>4183</v>
      </c>
      <c r="B2950" s="58">
        <v>42008783804</v>
      </c>
      <c r="C2950" s="63"/>
      <c r="D2950" s="60"/>
      <c r="E2950" s="9">
        <v>1214</v>
      </c>
      <c r="F2950" s="25">
        <v>42989</v>
      </c>
      <c r="G2950" s="61" t="s">
        <v>13</v>
      </c>
      <c r="H2950" s="25">
        <v>43000</v>
      </c>
      <c r="I2950" s="8"/>
      <c r="J2950" s="8"/>
      <c r="K2950" s="8"/>
      <c r="L2950" s="8"/>
      <c r="M2950" s="8"/>
    </row>
    <row r="2951" spans="1:13">
      <c r="A2951" s="62" t="s">
        <v>4184</v>
      </c>
      <c r="B2951" s="58">
        <v>28666465840</v>
      </c>
      <c r="C2951" s="63"/>
      <c r="D2951" s="60"/>
      <c r="E2951" s="9">
        <v>1106</v>
      </c>
      <c r="F2951" s="25">
        <v>42965</v>
      </c>
      <c r="G2951" s="61" t="s">
        <v>13</v>
      </c>
      <c r="H2951" s="25">
        <v>42978</v>
      </c>
      <c r="I2951" s="8"/>
      <c r="J2951" s="8"/>
      <c r="K2951" s="8"/>
      <c r="L2951" s="8"/>
      <c r="M2951" s="8"/>
    </row>
    <row r="2952" spans="1:13">
      <c r="A2952" s="27" t="s">
        <v>4185</v>
      </c>
      <c r="B2952" s="58"/>
      <c r="C2952" s="27" t="s">
        <v>4186</v>
      </c>
      <c r="D2952" s="60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4187</v>
      </c>
      <c r="B2953" s="58">
        <v>1326462857</v>
      </c>
      <c r="C2953" s="63" t="s">
        <v>4188</v>
      </c>
      <c r="D2953" s="60">
        <v>4906141838</v>
      </c>
      <c r="E2953" s="9">
        <v>229</v>
      </c>
      <c r="F2953" s="25">
        <v>43151</v>
      </c>
      <c r="G2953" s="61" t="s">
        <v>13</v>
      </c>
      <c r="H2953" s="9"/>
      <c r="I2953" s="8"/>
      <c r="J2953" s="8"/>
      <c r="K2953" s="8"/>
      <c r="L2953" s="9">
        <v>232</v>
      </c>
      <c r="M2953" s="8"/>
    </row>
    <row r="2954" spans="1:13">
      <c r="A2954" s="27" t="s">
        <v>4189</v>
      </c>
      <c r="B2954" s="58">
        <v>7722903428</v>
      </c>
      <c r="C2954" s="27" t="s">
        <v>4190</v>
      </c>
      <c r="D2954" s="60">
        <v>4796211527</v>
      </c>
      <c r="E2954" s="9"/>
      <c r="F2954" s="25"/>
      <c r="G2954" s="61"/>
      <c r="H2954" s="9"/>
      <c r="I2954" s="8"/>
      <c r="J2954" s="8"/>
      <c r="K2954" s="8"/>
      <c r="L2954" s="8"/>
      <c r="M2954" s="8"/>
    </row>
    <row r="2955" spans="1:13">
      <c r="A2955" s="62" t="s">
        <v>4191</v>
      </c>
      <c r="B2955" s="58">
        <v>13239796899</v>
      </c>
      <c r="C2955" s="63"/>
      <c r="D2955" s="60"/>
      <c r="E2955" s="9"/>
      <c r="F2955" s="25"/>
      <c r="G2955" s="61"/>
      <c r="H2955" s="9"/>
      <c r="I2955" s="8"/>
      <c r="J2955" s="8"/>
      <c r="K2955" s="8"/>
      <c r="L2955" s="8"/>
      <c r="M2955" s="8"/>
    </row>
    <row r="2956" spans="1:13">
      <c r="A2956" s="62" t="s">
        <v>4192</v>
      </c>
      <c r="B2956" s="58">
        <v>37794411874</v>
      </c>
      <c r="C2956" s="63" t="s">
        <v>4193</v>
      </c>
      <c r="D2956" s="60">
        <v>13827421420</v>
      </c>
      <c r="E2956" s="9">
        <v>262</v>
      </c>
      <c r="F2956" s="25">
        <v>43160</v>
      </c>
      <c r="G2956" s="61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4194</v>
      </c>
      <c r="B2957" s="58">
        <v>15796080865</v>
      </c>
      <c r="C2957" s="63"/>
      <c r="D2957" s="60"/>
      <c r="E2957" s="9"/>
      <c r="F2957" s="25"/>
      <c r="G2957" s="61"/>
      <c r="H2957" s="9"/>
      <c r="I2957" s="8"/>
      <c r="J2957" s="8"/>
      <c r="K2957" s="8"/>
      <c r="L2957" s="8"/>
      <c r="M2957" s="8"/>
    </row>
    <row r="2958" spans="1:13">
      <c r="A2958" s="62" t="s">
        <v>4195</v>
      </c>
      <c r="B2958" s="58">
        <v>34093287856</v>
      </c>
      <c r="C2958" s="59" t="s">
        <v>4196</v>
      </c>
      <c r="D2958" s="60">
        <v>1517221536</v>
      </c>
      <c r="E2958" s="9">
        <v>1489</v>
      </c>
      <c r="F2958" s="25"/>
      <c r="G2958" s="61" t="s">
        <v>13</v>
      </c>
      <c r="H2958" s="9"/>
      <c r="I2958" s="8"/>
      <c r="J2958" s="8"/>
      <c r="K2958" s="8"/>
      <c r="L2958" s="9" t="s">
        <v>160</v>
      </c>
      <c r="M2958" s="8"/>
    </row>
    <row r="2959" spans="1:13">
      <c r="A2959" s="62" t="s">
        <v>4197</v>
      </c>
      <c r="B2959" s="58">
        <v>29289559845</v>
      </c>
      <c r="C2959" s="63" t="s">
        <v>4198</v>
      </c>
      <c r="D2959" s="60">
        <v>25585724827</v>
      </c>
      <c r="E2959" s="9">
        <v>1752</v>
      </c>
      <c r="F2959" s="25">
        <v>43051</v>
      </c>
      <c r="G2959" s="61" t="s">
        <v>13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7" t="s">
        <v>4199</v>
      </c>
      <c r="B2960" s="58"/>
      <c r="C2960" s="27" t="s">
        <v>4200</v>
      </c>
      <c r="D2960" s="60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4201</v>
      </c>
      <c r="B2961" s="58">
        <v>17804578806</v>
      </c>
      <c r="C2961" s="63"/>
      <c r="D2961" s="60"/>
      <c r="E2961" s="9"/>
      <c r="F2961" s="25"/>
      <c r="G2961" s="61"/>
      <c r="H2961" s="9"/>
      <c r="I2961" s="8"/>
      <c r="J2961" s="8"/>
      <c r="K2961" s="8"/>
      <c r="L2961" s="8"/>
      <c r="M2961" s="8"/>
    </row>
    <row r="2962" spans="1:13">
      <c r="A2962" s="18" t="s">
        <v>4202</v>
      </c>
      <c r="B2962" s="58">
        <v>8625208860</v>
      </c>
      <c r="C2962" s="18"/>
      <c r="D2962" s="60"/>
      <c r="E2962" s="9"/>
      <c r="F2962" s="25"/>
      <c r="G2962" s="61"/>
      <c r="H2962" s="9"/>
      <c r="I2962" s="8"/>
      <c r="J2962" s="8"/>
      <c r="K2962" s="8"/>
      <c r="L2962" s="8"/>
      <c r="M2962" s="8"/>
    </row>
    <row r="2963" spans="1:13">
      <c r="A2963" s="62" t="s">
        <v>4203</v>
      </c>
      <c r="B2963" s="58">
        <v>14757050852</v>
      </c>
      <c r="C2963" s="63"/>
      <c r="D2963" s="60"/>
      <c r="E2963" s="9">
        <v>485</v>
      </c>
      <c r="F2963" s="25">
        <v>43196</v>
      </c>
      <c r="G2963" s="61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63" t="s">
        <v>4204</v>
      </c>
      <c r="B2964" s="58">
        <v>24724589833</v>
      </c>
      <c r="C2964" s="63"/>
      <c r="D2964" s="60"/>
      <c r="E2964" s="9"/>
      <c r="F2964" s="25"/>
      <c r="G2964" s="61"/>
      <c r="H2964" s="9"/>
      <c r="I2964" s="8"/>
      <c r="J2964" s="8"/>
      <c r="K2964" s="8"/>
      <c r="L2964" s="8"/>
      <c r="M2964" s="8"/>
    </row>
    <row r="2965" spans="1:13">
      <c r="A2965" s="14" t="s">
        <v>4205</v>
      </c>
      <c r="B2965" s="58">
        <v>29226299889</v>
      </c>
      <c r="C2965" s="63"/>
      <c r="D2965" s="60"/>
      <c r="E2965" s="9">
        <v>262</v>
      </c>
      <c r="F2965" s="25">
        <v>43160</v>
      </c>
      <c r="G2965" s="61" t="s">
        <v>13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4206</v>
      </c>
      <c r="B2966" s="58">
        <v>32368859802</v>
      </c>
      <c r="C2966" s="59" t="s">
        <v>4207</v>
      </c>
      <c r="D2966" s="60">
        <v>28517056876</v>
      </c>
      <c r="E2966" s="9">
        <v>1343</v>
      </c>
      <c r="F2966" s="25">
        <v>43004</v>
      </c>
      <c r="G2966" s="61" t="s">
        <v>13</v>
      </c>
      <c r="H2966" s="25">
        <v>43011</v>
      </c>
      <c r="I2966" s="8"/>
      <c r="J2966" s="8"/>
      <c r="K2966" s="8"/>
      <c r="L2966" s="8"/>
      <c r="M2966" s="8"/>
    </row>
    <row r="2967" spans="1:13">
      <c r="A2967" s="63" t="s">
        <v>4208</v>
      </c>
      <c r="B2967" s="58">
        <v>35104711803</v>
      </c>
      <c r="C2967" s="63" t="s">
        <v>4209</v>
      </c>
      <c r="D2967" s="60">
        <v>34881906844</v>
      </c>
      <c r="E2967" s="9">
        <v>292</v>
      </c>
      <c r="F2967" s="25">
        <v>43168</v>
      </c>
      <c r="G2967" s="9" t="s">
        <v>13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7" t="s">
        <v>4210</v>
      </c>
      <c r="B2968" s="58">
        <v>23093033802</v>
      </c>
      <c r="C2968" s="27" t="s">
        <v>4211</v>
      </c>
      <c r="D2968" s="60">
        <v>23828837824</v>
      </c>
      <c r="E2968" s="9"/>
      <c r="F2968" s="25"/>
      <c r="G2968" s="61"/>
      <c r="H2968" s="9"/>
      <c r="I2968" s="8"/>
      <c r="J2968" s="8"/>
      <c r="K2968" s="8"/>
      <c r="L2968" s="8"/>
      <c r="M2968" s="8"/>
    </row>
    <row r="2969" spans="1:13">
      <c r="A2969" s="64" t="s">
        <v>4212</v>
      </c>
      <c r="B2969" s="58">
        <v>92605494420</v>
      </c>
      <c r="C2969" s="63" t="s">
        <v>4213</v>
      </c>
      <c r="D2969" s="60">
        <v>37622834866</v>
      </c>
      <c r="E2969" s="9">
        <v>608</v>
      </c>
      <c r="F2969" s="25">
        <v>43012</v>
      </c>
      <c r="G2969" s="61" t="s">
        <v>13</v>
      </c>
      <c r="H2969" s="25">
        <v>43024</v>
      </c>
      <c r="I2969" s="8"/>
      <c r="J2969" s="8"/>
      <c r="K2969" s="8"/>
      <c r="L2969" s="8"/>
      <c r="M2969" s="8"/>
    </row>
    <row r="2970" spans="1:13">
      <c r="A2970" s="62" t="s">
        <v>4214</v>
      </c>
      <c r="B2970" s="58">
        <v>27646989843</v>
      </c>
      <c r="C2970" s="63" t="s">
        <v>4215</v>
      </c>
      <c r="D2970" s="60">
        <v>269739793</v>
      </c>
      <c r="E2970" s="9"/>
      <c r="F2970" s="25"/>
      <c r="G2970" s="61"/>
      <c r="H2970" s="9"/>
      <c r="I2970" s="8"/>
      <c r="J2970" s="8"/>
      <c r="K2970" s="8"/>
      <c r="L2970" s="8"/>
      <c r="M2970" s="8"/>
    </row>
    <row r="2971" spans="1:13">
      <c r="A2971" s="62" t="s">
        <v>4216</v>
      </c>
      <c r="B2971" s="58">
        <v>33572449855</v>
      </c>
      <c r="C2971" s="63"/>
      <c r="D2971" s="60"/>
      <c r="E2971" s="9">
        <v>292</v>
      </c>
      <c r="F2971" s="25">
        <v>43168</v>
      </c>
      <c r="G2971" s="61" t="s">
        <v>13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7" t="s">
        <v>4217</v>
      </c>
      <c r="B2972" s="58">
        <v>29312608860</v>
      </c>
      <c r="C2972" s="27" t="s">
        <v>4218</v>
      </c>
      <c r="D2972" s="60">
        <v>42189748372</v>
      </c>
      <c r="E2972" s="9"/>
      <c r="F2972" s="25"/>
      <c r="G2972" s="61"/>
      <c r="H2972" s="9"/>
      <c r="I2972" s="8"/>
      <c r="J2972" s="8"/>
      <c r="K2972" s="8"/>
      <c r="L2972" s="8"/>
      <c r="M2972" s="8"/>
    </row>
    <row r="2973" spans="1:13">
      <c r="A2973" s="27" t="s">
        <v>4219</v>
      </c>
      <c r="B2973" s="58"/>
      <c r="C2973" s="27" t="s">
        <v>4220</v>
      </c>
      <c r="D2973" s="60"/>
      <c r="E2973" s="9"/>
      <c r="F2973" s="25"/>
      <c r="G2973" s="61"/>
      <c r="H2973" s="9"/>
      <c r="I2973" s="8"/>
      <c r="J2973" s="8"/>
      <c r="K2973" s="8"/>
      <c r="L2973" s="8"/>
      <c r="M2973" s="8"/>
    </row>
    <row r="2974" spans="1:13">
      <c r="A2974" s="62" t="s">
        <v>4221</v>
      </c>
      <c r="B2974" s="58">
        <v>73427489434</v>
      </c>
      <c r="C2974" s="63"/>
      <c r="D2974" s="60"/>
      <c r="E2974" s="9">
        <v>1824</v>
      </c>
      <c r="F2974" s="25">
        <v>43091</v>
      </c>
      <c r="G2974" s="61" t="s">
        <v>13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62" t="s">
        <v>4222</v>
      </c>
      <c r="B2975" s="58">
        <v>42291334808</v>
      </c>
      <c r="C2975" s="63"/>
      <c r="D2975" s="60"/>
      <c r="E2975" s="9"/>
      <c r="F2975" s="25"/>
      <c r="G2975" s="61"/>
      <c r="H2975" s="9"/>
      <c r="I2975" s="8"/>
      <c r="J2975" s="8"/>
      <c r="K2975" s="8"/>
      <c r="L2975" s="8"/>
      <c r="M2975" s="8"/>
    </row>
    <row r="2976" spans="1:13">
      <c r="A2976" s="15" t="s">
        <v>4223</v>
      </c>
      <c r="B2976" s="58">
        <v>42448150826</v>
      </c>
      <c r="C2976" s="63"/>
      <c r="D2976" s="60"/>
      <c r="E2976" s="9"/>
      <c r="F2976" s="25"/>
      <c r="G2976" s="61"/>
      <c r="H2976" s="9"/>
      <c r="I2976" s="8"/>
      <c r="J2976" s="8"/>
      <c r="K2976" s="8"/>
      <c r="L2976" s="8"/>
      <c r="M2976" s="8"/>
    </row>
    <row r="2977" spans="1:13">
      <c r="A2977" s="62" t="s">
        <v>4224</v>
      </c>
      <c r="B2977" s="58">
        <v>26129970838</v>
      </c>
      <c r="C2977" s="68"/>
      <c r="D2977" s="60"/>
      <c r="E2977" s="9"/>
      <c r="F2977" s="25"/>
      <c r="G2977" s="61"/>
      <c r="H2977" s="9"/>
      <c r="I2977" s="8"/>
      <c r="J2977" s="8"/>
      <c r="K2977" s="8"/>
      <c r="L2977" s="8"/>
      <c r="M2977" s="8"/>
    </row>
    <row r="2978" spans="1:13">
      <c r="A2978" s="62" t="s">
        <v>4225</v>
      </c>
      <c r="B2978" s="58">
        <v>13345290510</v>
      </c>
      <c r="C2978" s="68"/>
      <c r="D2978" s="60"/>
      <c r="E2978" s="9"/>
      <c r="F2978" s="25"/>
      <c r="G2978" s="61"/>
      <c r="H2978" s="9"/>
      <c r="I2978" s="8"/>
      <c r="J2978" s="8"/>
      <c r="K2978" s="8"/>
      <c r="L2978" s="8"/>
      <c r="M2978" s="8"/>
    </row>
    <row r="2979" spans="1:13">
      <c r="A2979" s="62" t="s">
        <v>4226</v>
      </c>
      <c r="B2979" s="58">
        <v>17486829894</v>
      </c>
      <c r="C2979" s="63"/>
      <c r="D2979" s="60"/>
      <c r="E2979" s="9"/>
      <c r="F2979" s="25"/>
      <c r="G2979" s="61"/>
      <c r="H2979" s="9"/>
      <c r="I2979" s="8"/>
      <c r="J2979" s="8"/>
      <c r="K2979" s="8"/>
      <c r="L2979" s="8"/>
      <c r="M2979" s="8"/>
    </row>
    <row r="2980" spans="1:13">
      <c r="A2980" s="62" t="s">
        <v>4227</v>
      </c>
      <c r="B2980" s="58">
        <v>47917531864</v>
      </c>
      <c r="C2980" s="63"/>
      <c r="D2980" s="60"/>
      <c r="E2980" s="9">
        <v>292</v>
      </c>
      <c r="F2980" s="25">
        <v>43168</v>
      </c>
      <c r="G2980" s="61" t="s">
        <v>13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62" t="s">
        <v>4228</v>
      </c>
      <c r="B2981" s="58">
        <v>28905805809</v>
      </c>
      <c r="C2981" s="63"/>
      <c r="D2981" s="60"/>
      <c r="E2981" s="9">
        <v>292</v>
      </c>
      <c r="F2981" s="25">
        <v>43168</v>
      </c>
      <c r="G2981" s="9" t="s">
        <v>13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4229</v>
      </c>
      <c r="B2982" s="58">
        <v>13562151810</v>
      </c>
      <c r="C2982" s="63" t="s">
        <v>4230</v>
      </c>
      <c r="D2982" s="60">
        <v>47393076772</v>
      </c>
      <c r="E2982" s="9">
        <v>292</v>
      </c>
      <c r="F2982" s="25">
        <v>43168</v>
      </c>
      <c r="G2982" s="61" t="s">
        <v>20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4231</v>
      </c>
      <c r="B2983" s="58">
        <v>10488541832</v>
      </c>
      <c r="C2983" s="63" t="s">
        <v>4232</v>
      </c>
      <c r="D2983" s="60">
        <v>8437233860</v>
      </c>
      <c r="E2983" s="9">
        <v>229</v>
      </c>
      <c r="F2983" s="25">
        <v>43151</v>
      </c>
      <c r="G2983" s="61" t="s">
        <v>13</v>
      </c>
      <c r="H2983" s="9"/>
      <c r="I2983" s="8"/>
      <c r="J2983" s="8"/>
      <c r="K2983" s="8"/>
      <c r="L2983" s="9">
        <v>232</v>
      </c>
      <c r="M2983" s="8"/>
    </row>
    <row r="2984" spans="1:13">
      <c r="A2984" s="27" t="s">
        <v>4233</v>
      </c>
      <c r="B2984" s="58">
        <v>52291168894</v>
      </c>
      <c r="C2984" s="27" t="s">
        <v>129</v>
      </c>
      <c r="D2984" s="60"/>
      <c r="E2984" s="9"/>
      <c r="F2984" s="25"/>
      <c r="G2984" s="61"/>
      <c r="H2984" s="9"/>
      <c r="I2984" s="8"/>
      <c r="J2984" s="8"/>
      <c r="K2984" s="8"/>
      <c r="L2984" s="8"/>
      <c r="M2984" s="8"/>
    </row>
    <row r="2985" spans="1:13">
      <c r="A2985" s="62" t="s">
        <v>4234</v>
      </c>
      <c r="B2985" s="58">
        <v>32455945855</v>
      </c>
      <c r="C2985" s="68" t="s">
        <v>4235</v>
      </c>
      <c r="D2985" s="60">
        <v>27999500860</v>
      </c>
      <c r="E2985" s="9"/>
      <c r="F2985" s="25"/>
      <c r="G2985" s="61"/>
      <c r="H2985" s="9"/>
      <c r="I2985" s="8"/>
      <c r="J2985" s="8"/>
      <c r="K2985" s="8"/>
      <c r="L2985" s="8"/>
      <c r="M2985" s="8"/>
    </row>
    <row r="2986" spans="1:13">
      <c r="A2986" s="62" t="s">
        <v>4236</v>
      </c>
      <c r="B2986" s="58">
        <v>7127228663</v>
      </c>
      <c r="C2986" s="63" t="s">
        <v>4237</v>
      </c>
      <c r="D2986" s="60">
        <v>18053058833</v>
      </c>
      <c r="E2986" s="9">
        <v>1628</v>
      </c>
      <c r="F2986" s="25">
        <v>43077</v>
      </c>
      <c r="G2986" s="61" t="s">
        <v>13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4238</v>
      </c>
      <c r="B2987" s="58">
        <v>37583850835</v>
      </c>
      <c r="C2987" s="63"/>
      <c r="D2987" s="60"/>
      <c r="E2987" s="9">
        <v>262</v>
      </c>
      <c r="F2987" s="25">
        <v>43160</v>
      </c>
      <c r="G2987" s="61" t="s">
        <v>13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62" t="s">
        <v>4239</v>
      </c>
      <c r="B2988" s="58">
        <v>32318059888</v>
      </c>
      <c r="C2988" s="59" t="s">
        <v>4240</v>
      </c>
      <c r="D2988" s="60">
        <v>38564888807</v>
      </c>
      <c r="E2988" s="9">
        <v>1128</v>
      </c>
      <c r="F2988" s="25">
        <v>42972</v>
      </c>
      <c r="G2988" s="61" t="s">
        <v>13</v>
      </c>
      <c r="H2988" s="25">
        <v>42979</v>
      </c>
      <c r="I2988" s="8"/>
      <c r="J2988" s="8"/>
      <c r="K2988" s="8"/>
      <c r="L2988" s="8"/>
      <c r="M2988" s="8"/>
    </row>
    <row r="2989" spans="1:13">
      <c r="A2989" s="62" t="s">
        <v>4241</v>
      </c>
      <c r="B2989" s="58">
        <v>37055826829</v>
      </c>
      <c r="C2989" s="59"/>
      <c r="D2989" s="60"/>
      <c r="E2989" s="9"/>
      <c r="F2989" s="25"/>
      <c r="G2989" s="61"/>
      <c r="H2989" s="9"/>
      <c r="I2989" s="8"/>
      <c r="J2989" s="8"/>
      <c r="K2989" s="8"/>
      <c r="L2989" s="8"/>
      <c r="M2989" s="8"/>
    </row>
    <row r="2990" spans="1:13">
      <c r="A2990" s="15" t="s">
        <v>4242</v>
      </c>
      <c r="B2990" s="58">
        <v>35005474862</v>
      </c>
      <c r="C2990" s="63"/>
      <c r="D2990" s="60"/>
      <c r="E2990" s="9">
        <v>229</v>
      </c>
      <c r="F2990" s="25">
        <v>43151</v>
      </c>
      <c r="G2990" s="61" t="s">
        <v>13</v>
      </c>
      <c r="H2990" s="9"/>
      <c r="I2990" s="8"/>
      <c r="J2990" s="8"/>
      <c r="K2990" s="8"/>
      <c r="L2990" s="9">
        <v>232</v>
      </c>
      <c r="M2990" s="8"/>
    </row>
    <row r="2991" spans="1:13">
      <c r="A2991" s="62" t="s">
        <v>4243</v>
      </c>
      <c r="B2991" s="58">
        <v>35043932899</v>
      </c>
      <c r="C2991" s="63"/>
      <c r="D2991" s="60"/>
      <c r="E2991" s="9">
        <v>1241</v>
      </c>
      <c r="F2991" s="25">
        <v>42992</v>
      </c>
      <c r="G2991" s="61" t="s">
        <v>13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4244</v>
      </c>
      <c r="B2992" s="58">
        <v>37915656805</v>
      </c>
      <c r="C2992" s="63"/>
      <c r="D2992" s="60"/>
      <c r="E2992" s="9">
        <v>1350</v>
      </c>
      <c r="F2992" s="25">
        <v>43006</v>
      </c>
      <c r="G2992" s="61" t="s">
        <v>13</v>
      </c>
      <c r="H2992" s="25">
        <v>43011</v>
      </c>
      <c r="I2992" s="8"/>
      <c r="J2992" s="8"/>
      <c r="K2992" s="8"/>
      <c r="L2992" s="8"/>
      <c r="M2992" s="8"/>
    </row>
    <row r="2993" spans="1:13">
      <c r="A2993" s="63" t="s">
        <v>4245</v>
      </c>
      <c r="B2993" s="58">
        <v>45255799866</v>
      </c>
      <c r="C2993" s="63" t="s">
        <v>4246</v>
      </c>
      <c r="D2993" s="60">
        <v>41679681850</v>
      </c>
      <c r="E2993" s="9"/>
      <c r="F2993" s="25"/>
      <c r="G2993" s="61"/>
      <c r="H2993" s="9"/>
      <c r="I2993" s="8"/>
      <c r="J2993" s="8"/>
      <c r="K2993" s="8"/>
      <c r="L2993" s="8"/>
      <c r="M2993" s="8"/>
    </row>
    <row r="2994" spans="1:13">
      <c r="A2994" s="62" t="s">
        <v>4247</v>
      </c>
      <c r="B2994" s="58">
        <v>31808398807</v>
      </c>
      <c r="C2994" s="63"/>
      <c r="D2994" s="60"/>
      <c r="E2994" s="9">
        <v>1824</v>
      </c>
      <c r="F2994" s="25">
        <v>43091</v>
      </c>
      <c r="G2994" s="61" t="s">
        <v>13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63" t="s">
        <v>4248</v>
      </c>
      <c r="B2995" s="58">
        <v>37570860829</v>
      </c>
      <c r="C2995" s="63" t="s">
        <v>4249</v>
      </c>
      <c r="D2995" s="60">
        <v>19529409826</v>
      </c>
      <c r="E2995" s="9">
        <v>292</v>
      </c>
      <c r="F2995" s="25">
        <v>43168</v>
      </c>
      <c r="G2995" s="61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4250</v>
      </c>
      <c r="B2996" s="58">
        <v>22340616875</v>
      </c>
      <c r="C2996" s="59"/>
      <c r="D2996" s="60"/>
      <c r="E2996" s="9">
        <v>1128</v>
      </c>
      <c r="F2996" s="25">
        <v>42972</v>
      </c>
      <c r="G2996" s="61" t="s">
        <v>13</v>
      </c>
      <c r="H2996" s="25">
        <v>42979</v>
      </c>
      <c r="I2996" s="8"/>
      <c r="J2996" s="8"/>
      <c r="K2996" s="8"/>
      <c r="L2996" s="8"/>
      <c r="M2996" s="8"/>
    </row>
    <row r="2997" spans="1:13">
      <c r="A2997" s="62" t="s">
        <v>4251</v>
      </c>
      <c r="B2997" s="58">
        <v>41397558814</v>
      </c>
      <c r="C2997" s="63"/>
      <c r="D2997" s="60"/>
      <c r="E2997" s="9"/>
      <c r="F2997" s="25"/>
      <c r="G2997" s="61"/>
      <c r="H2997" s="9"/>
      <c r="I2997" s="8"/>
      <c r="J2997" s="8"/>
      <c r="K2997" s="8"/>
      <c r="L2997" s="8"/>
      <c r="M2997" s="8"/>
    </row>
    <row r="2998" spans="1:13">
      <c r="A2998" s="18" t="s">
        <v>4252</v>
      </c>
      <c r="B2998" s="58">
        <v>25712620847</v>
      </c>
      <c r="C2998" s="18" t="s">
        <v>4253</v>
      </c>
      <c r="D2998" s="60">
        <v>11577952855</v>
      </c>
      <c r="E2998" s="9"/>
      <c r="F2998" s="25"/>
      <c r="G2998" s="61"/>
      <c r="H2998" s="9"/>
      <c r="I2998" s="8"/>
      <c r="J2998" s="8"/>
      <c r="K2998" s="8"/>
      <c r="L2998" s="8"/>
      <c r="M2998" s="8"/>
    </row>
    <row r="2999" spans="1:13">
      <c r="A2999" s="62" t="s">
        <v>4254</v>
      </c>
      <c r="B2999" s="58">
        <v>36200448809</v>
      </c>
      <c r="C2999" s="68"/>
      <c r="D2999" s="60"/>
      <c r="E2999" s="9">
        <v>563</v>
      </c>
      <c r="F2999" s="25">
        <v>43217</v>
      </c>
      <c r="G2999" s="61"/>
      <c r="H2999" s="25">
        <v>43234</v>
      </c>
      <c r="I2999" s="8"/>
      <c r="J2999" s="8"/>
      <c r="K2999" s="8"/>
      <c r="L2999" s="9" t="s">
        <v>299</v>
      </c>
      <c r="M2999" s="8"/>
    </row>
    <row r="3000" spans="1:13">
      <c r="A3000" s="63" t="s">
        <v>4255</v>
      </c>
      <c r="B3000" s="58">
        <v>40000949809</v>
      </c>
      <c r="C3000" s="63" t="s">
        <v>4256</v>
      </c>
      <c r="D3000" s="60">
        <v>37870797855</v>
      </c>
      <c r="E3000" s="9">
        <v>563</v>
      </c>
      <c r="F3000" s="25">
        <v>43217</v>
      </c>
      <c r="G3000" s="61"/>
      <c r="H3000" s="25">
        <v>43234</v>
      </c>
      <c r="I3000" s="8"/>
      <c r="J3000" s="8"/>
      <c r="K3000" s="8"/>
      <c r="L3000" s="9" t="s">
        <v>299</v>
      </c>
      <c r="M3000" s="8"/>
    </row>
    <row r="3001" spans="1:13">
      <c r="A3001" s="62" t="s">
        <v>4257</v>
      </c>
      <c r="B3001" s="58">
        <v>31051889839</v>
      </c>
      <c r="C3001" s="63"/>
      <c r="D3001" s="60"/>
      <c r="E3001" s="9"/>
      <c r="F3001" s="25"/>
      <c r="G3001" s="61"/>
      <c r="H3001" s="9"/>
      <c r="I3001" s="8"/>
      <c r="J3001" s="8"/>
      <c r="K3001" s="8"/>
      <c r="L3001" s="8"/>
      <c r="M3001" s="8"/>
    </row>
    <row r="3002" spans="1:13">
      <c r="A3002" s="62" t="s">
        <v>4258</v>
      </c>
      <c r="B3002" s="58">
        <v>22305123825</v>
      </c>
      <c r="C3002" s="63"/>
      <c r="D3002" s="60"/>
      <c r="E3002" s="9">
        <v>443</v>
      </c>
      <c r="F3002" s="25">
        <v>43188</v>
      </c>
      <c r="G3002" s="61"/>
      <c r="H3002" s="25">
        <v>43192</v>
      </c>
      <c r="I3002" s="8"/>
      <c r="J3002" s="8"/>
      <c r="K3002" s="8"/>
      <c r="L3002" s="8"/>
      <c r="M3002" s="8"/>
    </row>
    <row r="3003" spans="1:13">
      <c r="A3003" s="62" t="s">
        <v>4259</v>
      </c>
      <c r="B3003" s="58">
        <v>25731827893</v>
      </c>
      <c r="C3003" s="63"/>
      <c r="D3003" s="60"/>
      <c r="E3003" s="9"/>
      <c r="F3003" s="25"/>
      <c r="G3003" s="61"/>
      <c r="H3003" s="9"/>
      <c r="I3003" s="8"/>
      <c r="J3003" s="8"/>
      <c r="K3003" s="8"/>
      <c r="L3003" s="8"/>
      <c r="M3003" s="8"/>
    </row>
    <row r="3004" spans="1:13">
      <c r="A3004" s="27" t="s">
        <v>4260</v>
      </c>
      <c r="B3004" s="58"/>
      <c r="C3004" s="27" t="s">
        <v>129</v>
      </c>
      <c r="D3004" s="60"/>
      <c r="E3004" s="9"/>
      <c r="F3004" s="25"/>
      <c r="G3004" s="61"/>
      <c r="H3004" s="9"/>
      <c r="I3004" s="8"/>
      <c r="J3004" s="8"/>
      <c r="K3004" s="8"/>
      <c r="L3004" s="8"/>
      <c r="M3004" s="8"/>
    </row>
    <row r="3005" spans="1:13">
      <c r="A3005" s="62" t="s">
        <v>4261</v>
      </c>
      <c r="B3005" s="58">
        <v>4804195823</v>
      </c>
      <c r="C3005" s="63"/>
      <c r="D3005" s="60"/>
      <c r="E3005" s="9">
        <v>1752</v>
      </c>
      <c r="F3005" s="25">
        <v>43051</v>
      </c>
      <c r="G3005" s="74" t="s">
        <v>13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4262</v>
      </c>
      <c r="B3006" s="58">
        <v>20815840500</v>
      </c>
      <c r="C3006" s="63"/>
      <c r="D3006" s="60"/>
      <c r="E3006" s="9"/>
      <c r="F3006" s="25"/>
      <c r="G3006" s="61"/>
      <c r="H3006" s="9"/>
      <c r="I3006" s="8"/>
      <c r="J3006" s="8"/>
      <c r="K3006" s="8"/>
      <c r="L3006" s="8"/>
      <c r="M3006" s="8"/>
    </row>
    <row r="3007" spans="1:13">
      <c r="A3007" s="62" t="s">
        <v>4263</v>
      </c>
      <c r="B3007" s="58">
        <v>13517396893</v>
      </c>
      <c r="C3007" s="63" t="s">
        <v>4264</v>
      </c>
      <c r="D3007" s="60">
        <v>61574252453</v>
      </c>
      <c r="E3007" s="9">
        <v>262</v>
      </c>
      <c r="F3007" s="25">
        <v>43160</v>
      </c>
      <c r="G3007" s="61" t="s">
        <v>20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62" t="s">
        <v>4265</v>
      </c>
      <c r="B3008" s="58">
        <v>31851990810</v>
      </c>
      <c r="C3008" s="59"/>
      <c r="D3008" s="60"/>
      <c r="E3008" s="9">
        <v>1128</v>
      </c>
      <c r="F3008" s="25">
        <v>42972</v>
      </c>
      <c r="G3008" s="61" t="s">
        <v>13</v>
      </c>
      <c r="H3008" s="25">
        <v>42979</v>
      </c>
      <c r="I3008" s="8"/>
      <c r="J3008" s="8"/>
      <c r="K3008" s="8"/>
      <c r="L3008" s="8"/>
      <c r="M3008" s="8"/>
    </row>
    <row r="3009" spans="1:13">
      <c r="A3009" s="27" t="s">
        <v>4266</v>
      </c>
      <c r="B3009" s="58"/>
      <c r="C3009" s="27" t="s">
        <v>4267</v>
      </c>
      <c r="D3009" s="60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4268</v>
      </c>
      <c r="B3010" s="58">
        <v>43238179837</v>
      </c>
      <c r="C3010" s="63"/>
      <c r="D3010" s="60"/>
      <c r="E3010" s="9">
        <v>85</v>
      </c>
      <c r="F3010" s="25">
        <v>43109</v>
      </c>
      <c r="G3010" s="61" t="s">
        <v>13</v>
      </c>
      <c r="H3010" s="25">
        <v>43151</v>
      </c>
      <c r="I3010" s="8"/>
      <c r="J3010" s="8"/>
      <c r="K3010" s="8"/>
      <c r="L3010" s="8"/>
      <c r="M3010" s="8"/>
    </row>
    <row r="3011" spans="1:13">
      <c r="A3011" s="62" t="s">
        <v>4269</v>
      </c>
      <c r="B3011" s="58">
        <v>372312519</v>
      </c>
      <c r="C3011" s="59"/>
      <c r="D3011" s="60"/>
      <c r="E3011" s="9">
        <v>1241</v>
      </c>
      <c r="F3011" s="25">
        <v>42992</v>
      </c>
      <c r="G3011" s="61" t="s">
        <v>13</v>
      </c>
      <c r="H3011" s="25">
        <v>42998</v>
      </c>
      <c r="I3011" s="8"/>
      <c r="J3011" s="8"/>
      <c r="K3011" s="8"/>
      <c r="L3011" s="8"/>
      <c r="M3011" s="8"/>
    </row>
    <row r="3012" spans="1:13">
      <c r="A3012" s="62" t="s">
        <v>4270</v>
      </c>
      <c r="B3012" s="58">
        <v>4609966654</v>
      </c>
      <c r="C3012" s="63" t="s">
        <v>4271</v>
      </c>
      <c r="D3012" s="60">
        <v>28402756867</v>
      </c>
      <c r="E3012" s="9">
        <v>292</v>
      </c>
      <c r="F3012" s="25">
        <v>43168</v>
      </c>
      <c r="G3012" s="61" t="s">
        <v>13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4272</v>
      </c>
      <c r="B3013" s="58">
        <v>3480463401</v>
      </c>
      <c r="C3013" s="63"/>
      <c r="D3013" s="60"/>
      <c r="E3013" s="9">
        <v>229</v>
      </c>
      <c r="F3013" s="25">
        <v>43151</v>
      </c>
      <c r="G3013" s="61" t="s">
        <v>13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4273</v>
      </c>
      <c r="B3014" s="58">
        <v>37763674822</v>
      </c>
      <c r="C3014" s="63"/>
      <c r="D3014" s="60"/>
      <c r="E3014" s="9">
        <v>85</v>
      </c>
      <c r="F3014" s="25">
        <v>43109</v>
      </c>
      <c r="G3014" s="61" t="s">
        <v>13</v>
      </c>
      <c r="H3014" s="25">
        <v>43151</v>
      </c>
      <c r="I3014" s="8"/>
      <c r="J3014" s="8"/>
      <c r="K3014" s="8"/>
      <c r="L3014" s="8"/>
      <c r="M3014" s="8"/>
    </row>
    <row r="3015" spans="1:13">
      <c r="A3015" s="62" t="s">
        <v>4274</v>
      </c>
      <c r="B3015" s="58">
        <v>36829911826</v>
      </c>
      <c r="C3015" s="63"/>
      <c r="D3015" s="60"/>
      <c r="E3015" s="9"/>
      <c r="F3015" s="25"/>
      <c r="G3015" s="61"/>
      <c r="H3015" s="9"/>
      <c r="I3015" s="8"/>
      <c r="J3015" s="8"/>
      <c r="K3015" s="8"/>
      <c r="L3015" s="8"/>
      <c r="M3015" s="8"/>
    </row>
    <row r="3016" spans="1:13">
      <c r="A3016" s="62" t="s">
        <v>4275</v>
      </c>
      <c r="B3016" s="58">
        <v>38556797890</v>
      </c>
      <c r="C3016" s="59"/>
      <c r="D3016" s="60"/>
      <c r="E3016" s="9">
        <v>1214</v>
      </c>
      <c r="F3016" s="25">
        <v>42989</v>
      </c>
      <c r="G3016" s="61" t="s">
        <v>13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4276</v>
      </c>
      <c r="B3017" s="58"/>
      <c r="C3017" s="18"/>
      <c r="D3017" s="60"/>
      <c r="E3017" s="9"/>
      <c r="F3017" s="25"/>
      <c r="G3017" s="61"/>
      <c r="H3017" s="9"/>
      <c r="I3017" s="8"/>
      <c r="J3017" s="8"/>
      <c r="K3017" s="8"/>
      <c r="L3017" s="8"/>
      <c r="M3017" s="8"/>
    </row>
    <row r="3018" spans="1:13">
      <c r="A3018" s="27" t="s">
        <v>4276</v>
      </c>
      <c r="B3018" s="58"/>
      <c r="C3018" s="18" t="s">
        <v>129</v>
      </c>
      <c r="D3018" s="60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7" t="s">
        <v>4277</v>
      </c>
      <c r="B3019" s="58"/>
      <c r="C3019" s="27" t="s">
        <v>129</v>
      </c>
      <c r="D3019" s="60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4278</v>
      </c>
      <c r="B3020" s="58">
        <v>40882575880</v>
      </c>
      <c r="C3020" s="63" t="s">
        <v>4279</v>
      </c>
      <c r="D3020" s="60">
        <v>39163987848</v>
      </c>
      <c r="E3020" s="9">
        <v>292</v>
      </c>
      <c r="F3020" s="25">
        <v>43168</v>
      </c>
      <c r="G3020" s="61" t="s">
        <v>13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7" t="s">
        <v>4280</v>
      </c>
      <c r="B3021" s="58"/>
      <c r="C3021" s="27" t="s">
        <v>129</v>
      </c>
      <c r="D3021" s="60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62" t="s">
        <v>4281</v>
      </c>
      <c r="B3022" s="58">
        <v>46121067845</v>
      </c>
      <c r="C3022" s="63"/>
      <c r="D3022" s="60"/>
      <c r="E3022" s="9">
        <v>527</v>
      </c>
      <c r="F3022" s="25">
        <v>43210</v>
      </c>
      <c r="G3022" s="61"/>
      <c r="H3022" s="9"/>
      <c r="I3022" s="8"/>
      <c r="J3022" s="8"/>
      <c r="K3022" s="8"/>
      <c r="L3022" s="9">
        <v>528</v>
      </c>
      <c r="M3022" s="8"/>
    </row>
    <row r="3023" spans="1:13">
      <c r="A3023" s="62" t="s">
        <v>4282</v>
      </c>
      <c r="B3023" s="58">
        <v>34795476802</v>
      </c>
      <c r="C3023" s="63"/>
      <c r="D3023" s="60"/>
      <c r="E3023" s="9">
        <v>262</v>
      </c>
      <c r="F3023" s="25">
        <v>43160</v>
      </c>
      <c r="G3023" s="9" t="s">
        <v>13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4283</v>
      </c>
      <c r="B3024" s="58">
        <v>32883243859</v>
      </c>
      <c r="C3024" s="18"/>
      <c r="D3024" s="60"/>
      <c r="E3024" s="9"/>
      <c r="F3024" s="25"/>
      <c r="G3024" s="61"/>
      <c r="H3024" s="9"/>
      <c r="I3024" s="8"/>
      <c r="J3024" s="8"/>
      <c r="K3024" s="8"/>
      <c r="L3024" s="8"/>
      <c r="M3024" s="8"/>
    </row>
    <row r="3025" spans="1:13">
      <c r="A3025" s="27" t="s">
        <v>4284</v>
      </c>
      <c r="B3025" s="58">
        <v>37157144840</v>
      </c>
      <c r="C3025" s="8"/>
      <c r="D3025" s="60"/>
      <c r="E3025" s="9"/>
      <c r="F3025" s="25"/>
      <c r="G3025" s="61"/>
      <c r="H3025" s="9"/>
      <c r="I3025" s="8"/>
      <c r="J3025" s="8"/>
      <c r="K3025" s="8"/>
      <c r="L3025" s="8"/>
      <c r="M3025" s="8"/>
    </row>
    <row r="3026" spans="1:13">
      <c r="A3026" s="62" t="s">
        <v>4285</v>
      </c>
      <c r="B3026" s="58">
        <v>70665570422</v>
      </c>
      <c r="C3026" s="63"/>
      <c r="D3026" s="60"/>
      <c r="E3026" s="9"/>
      <c r="F3026" s="25"/>
      <c r="G3026" s="61"/>
      <c r="H3026" s="9"/>
      <c r="I3026" s="8"/>
      <c r="J3026" s="8"/>
      <c r="K3026" s="8"/>
      <c r="L3026" s="8"/>
      <c r="M3026" s="8"/>
    </row>
    <row r="3027" spans="1:13">
      <c r="A3027" s="62" t="s">
        <v>4286</v>
      </c>
      <c r="B3027" s="58">
        <v>14778389883</v>
      </c>
      <c r="C3027" s="63"/>
      <c r="D3027" s="60"/>
      <c r="E3027" s="9">
        <v>292</v>
      </c>
      <c r="F3027" s="25">
        <v>43168</v>
      </c>
      <c r="G3027" s="61" t="s">
        <v>13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63" t="s">
        <v>4287</v>
      </c>
      <c r="B3028" s="58">
        <v>32911776810</v>
      </c>
      <c r="C3028" s="63"/>
      <c r="D3028" s="60"/>
      <c r="E3028" s="9"/>
      <c r="F3028" s="25"/>
      <c r="G3028" s="61"/>
      <c r="H3028" s="9"/>
      <c r="I3028" s="8"/>
      <c r="J3028" s="8"/>
      <c r="K3028" s="8"/>
      <c r="L3028" s="8"/>
      <c r="M3028" s="8"/>
    </row>
    <row r="3029" spans="1:13">
      <c r="A3029" s="87" t="s">
        <v>4288</v>
      </c>
      <c r="B3029" s="58">
        <v>20647149877</v>
      </c>
      <c r="C3029" s="63"/>
      <c r="D3029" s="60"/>
      <c r="E3029" s="9"/>
      <c r="F3029" s="25"/>
      <c r="G3029" s="61"/>
      <c r="H3029" s="9"/>
      <c r="I3029" s="8"/>
      <c r="J3029" s="8"/>
      <c r="K3029" s="8"/>
      <c r="L3029" s="8"/>
      <c r="M3029" s="8"/>
    </row>
    <row r="3030" spans="1:13">
      <c r="A3030" s="27" t="s">
        <v>4289</v>
      </c>
      <c r="B3030" s="58"/>
      <c r="C3030" s="27" t="s">
        <v>129</v>
      </c>
      <c r="D3030" s="60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62" t="s">
        <v>4290</v>
      </c>
      <c r="B3031" s="58">
        <v>44374068856</v>
      </c>
      <c r="C3031" s="63" t="s">
        <v>4291</v>
      </c>
      <c r="D3031" s="60">
        <v>34698741823</v>
      </c>
      <c r="E3031" s="9">
        <v>1489</v>
      </c>
      <c r="F3031" s="25">
        <v>43038</v>
      </c>
      <c r="G3031" s="61" t="s">
        <v>13</v>
      </c>
      <c r="H3031" s="9"/>
      <c r="I3031" s="8"/>
      <c r="J3031" s="8"/>
      <c r="K3031" s="8"/>
      <c r="L3031" s="9" t="s">
        <v>160</v>
      </c>
      <c r="M3031" s="8"/>
    </row>
    <row r="3032" spans="1:13">
      <c r="A3032" s="62" t="s">
        <v>4292</v>
      </c>
      <c r="B3032" s="58">
        <v>35986951875</v>
      </c>
      <c r="C3032" s="63"/>
      <c r="D3032" s="60"/>
      <c r="E3032" s="9"/>
      <c r="F3032" s="25"/>
      <c r="G3032" s="61"/>
      <c r="H3032" s="9"/>
      <c r="I3032" s="8"/>
      <c r="J3032" s="8"/>
      <c r="K3032" s="8"/>
      <c r="L3032" s="8"/>
      <c r="M3032" s="8"/>
    </row>
    <row r="3033" spans="1:13">
      <c r="A3033" s="63" t="s">
        <v>4293</v>
      </c>
      <c r="B3033" s="58">
        <v>13206564808</v>
      </c>
      <c r="C3033" s="63"/>
      <c r="D3033" s="60"/>
      <c r="E3033" s="9">
        <v>563</v>
      </c>
      <c r="F3033" s="25">
        <v>43217</v>
      </c>
      <c r="G3033" s="61"/>
      <c r="H3033" s="25">
        <v>43234</v>
      </c>
      <c r="I3033" s="8"/>
      <c r="J3033" s="8"/>
      <c r="K3033" s="8"/>
      <c r="L3033" s="9" t="s">
        <v>299</v>
      </c>
      <c r="M3033" s="8"/>
    </row>
    <row r="3034" spans="1:13">
      <c r="A3034" s="62" t="s">
        <v>4294</v>
      </c>
      <c r="B3034" s="58">
        <v>365999806</v>
      </c>
      <c r="C3034" s="63"/>
      <c r="D3034" s="60"/>
      <c r="E3034" s="9"/>
      <c r="F3034" s="25"/>
      <c r="G3034" s="61"/>
      <c r="H3034" s="9"/>
      <c r="I3034" s="8"/>
      <c r="J3034" s="8"/>
      <c r="K3034" s="8"/>
      <c r="L3034" s="8"/>
      <c r="M3034" s="8"/>
    </row>
    <row r="3035" spans="1:13">
      <c r="A3035" s="62" t="s">
        <v>4295</v>
      </c>
      <c r="B3035" s="58">
        <v>36464924818</v>
      </c>
      <c r="C3035" s="63"/>
      <c r="D3035" s="60"/>
      <c r="E3035" s="9">
        <v>1451</v>
      </c>
      <c r="F3035" s="25">
        <v>43027</v>
      </c>
      <c r="G3035" s="61" t="s">
        <v>13</v>
      </c>
      <c r="H3035" s="9"/>
      <c r="I3035" s="8"/>
      <c r="J3035" s="8"/>
      <c r="K3035" s="8"/>
      <c r="L3035" s="8"/>
      <c r="M3035" s="8"/>
    </row>
    <row r="3036" spans="1:13">
      <c r="A3036" s="15" t="s">
        <v>4296</v>
      </c>
      <c r="B3036" s="58">
        <v>46812344869</v>
      </c>
      <c r="C3036" s="63" t="s">
        <v>4297</v>
      </c>
      <c r="D3036" s="60">
        <v>45505959814</v>
      </c>
      <c r="E3036" s="9"/>
      <c r="F3036" s="25"/>
      <c r="G3036" s="61"/>
      <c r="H3036" s="9"/>
      <c r="I3036" s="8"/>
      <c r="J3036" s="8"/>
      <c r="K3036" s="8"/>
      <c r="L3036" s="8"/>
      <c r="M3036" s="8"/>
    </row>
    <row r="3037" spans="1:13">
      <c r="A3037" s="62" t="s">
        <v>4298</v>
      </c>
      <c r="B3037" s="58">
        <v>25155708877</v>
      </c>
      <c r="C3037" s="63"/>
      <c r="D3037" s="60"/>
      <c r="E3037" s="9">
        <v>1214</v>
      </c>
      <c r="F3037" s="25">
        <v>42989</v>
      </c>
      <c r="G3037" s="61" t="s">
        <v>13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4299</v>
      </c>
      <c r="B3038" s="58">
        <v>70659834634</v>
      </c>
      <c r="C3038" s="59" t="s">
        <v>4300</v>
      </c>
      <c r="D3038" s="60">
        <v>70558795404</v>
      </c>
      <c r="E3038" s="9">
        <v>1267</v>
      </c>
      <c r="F3038" s="25">
        <v>42998</v>
      </c>
      <c r="G3038" s="61" t="s">
        <v>13</v>
      </c>
      <c r="H3038" s="25">
        <v>43000</v>
      </c>
      <c r="I3038" s="8"/>
      <c r="J3038" s="8"/>
      <c r="K3038" s="8"/>
      <c r="L3038" s="8"/>
      <c r="M3038" s="8"/>
    </row>
    <row r="3039" spans="1:13">
      <c r="A3039" s="62" t="s">
        <v>4301</v>
      </c>
      <c r="B3039" s="58"/>
      <c r="C3039" s="63" t="s">
        <v>4302</v>
      </c>
      <c r="D3039" s="60"/>
      <c r="E3039" s="9"/>
      <c r="F3039" s="25"/>
      <c r="G3039" s="61"/>
      <c r="H3039" s="9"/>
      <c r="I3039" s="8"/>
      <c r="J3039" s="8"/>
      <c r="K3039" s="8"/>
      <c r="L3039" s="8"/>
      <c r="M3039" s="8"/>
    </row>
    <row r="3040" spans="1:13">
      <c r="A3040" s="62" t="s">
        <v>4303</v>
      </c>
      <c r="B3040" s="58">
        <v>9754470413</v>
      </c>
      <c r="C3040" s="63"/>
      <c r="D3040" s="60"/>
      <c r="E3040" s="9">
        <v>1106</v>
      </c>
      <c r="F3040" s="25">
        <v>42965</v>
      </c>
      <c r="G3040" s="61" t="s">
        <v>13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4304</v>
      </c>
      <c r="B3041" s="58">
        <v>3867219630</v>
      </c>
      <c r="C3041" s="63" t="s">
        <v>4305</v>
      </c>
      <c r="D3041" s="60">
        <v>4268294503</v>
      </c>
      <c r="E3041" s="9">
        <v>1824</v>
      </c>
      <c r="F3041" s="25">
        <v>43091</v>
      </c>
      <c r="G3041" s="61" t="s">
        <v>13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62" t="s">
        <v>4306</v>
      </c>
      <c r="B3042" s="58">
        <v>27084341870</v>
      </c>
      <c r="C3042" s="63" t="s">
        <v>323</v>
      </c>
      <c r="D3042" s="60">
        <v>70639957315</v>
      </c>
      <c r="E3042" s="9">
        <v>1214</v>
      </c>
      <c r="F3042" s="25">
        <v>42989</v>
      </c>
      <c r="G3042" s="61" t="s">
        <v>20</v>
      </c>
      <c r="H3042" s="25">
        <v>43000</v>
      </c>
      <c r="I3042" s="8"/>
      <c r="J3042" s="8"/>
      <c r="K3042" s="8"/>
      <c r="L3042" s="8"/>
      <c r="M3042" s="8"/>
    </row>
    <row r="3043" spans="1:13">
      <c r="A3043" s="62" t="s">
        <v>4307</v>
      </c>
      <c r="B3043" s="58">
        <v>29697189870</v>
      </c>
      <c r="C3043" s="63" t="s">
        <v>4308</v>
      </c>
      <c r="D3043" s="60">
        <v>29854895807</v>
      </c>
      <c r="E3043" s="9"/>
      <c r="F3043" s="25"/>
      <c r="G3043" s="61"/>
      <c r="H3043" s="9"/>
      <c r="I3043" s="8"/>
      <c r="J3043" s="8"/>
      <c r="K3043" s="8"/>
      <c r="L3043" s="8"/>
      <c r="M3043" s="8"/>
    </row>
    <row r="3044" spans="1:13">
      <c r="A3044" s="62" t="s">
        <v>4309</v>
      </c>
      <c r="B3044" s="58">
        <v>73433993572</v>
      </c>
      <c r="C3044" s="63"/>
      <c r="D3044" s="60"/>
      <c r="E3044" s="9">
        <v>1267</v>
      </c>
      <c r="F3044" s="25">
        <v>42998</v>
      </c>
      <c r="G3044" s="61" t="s">
        <v>13</v>
      </c>
      <c r="H3044" s="25">
        <v>43000</v>
      </c>
      <c r="I3044" s="8"/>
      <c r="J3044" s="8"/>
      <c r="K3044" s="8"/>
      <c r="L3044" s="8"/>
      <c r="M3044" s="8"/>
    </row>
    <row r="3045" spans="1:13">
      <c r="A3045" s="27" t="s">
        <v>4310</v>
      </c>
      <c r="B3045" s="58">
        <v>4055380810</v>
      </c>
      <c r="C3045" s="27" t="s">
        <v>129</v>
      </c>
      <c r="D3045" s="60"/>
      <c r="E3045" s="9"/>
      <c r="F3045" s="25"/>
      <c r="G3045" s="61"/>
      <c r="H3045" s="9"/>
      <c r="I3045" s="8"/>
      <c r="J3045" s="8"/>
      <c r="K3045" s="8"/>
      <c r="L3045" s="8"/>
      <c r="M3045" s="8"/>
    </row>
    <row r="3046" spans="1:13">
      <c r="A3046" s="62" t="s">
        <v>4311</v>
      </c>
      <c r="B3046" s="58">
        <v>9333141839</v>
      </c>
      <c r="C3046" s="63"/>
      <c r="D3046" s="60"/>
      <c r="E3046" s="9">
        <v>1417</v>
      </c>
      <c r="F3046" s="25">
        <v>43017</v>
      </c>
      <c r="G3046" s="61" t="s">
        <v>13</v>
      </c>
      <c r="H3046" s="25">
        <v>43027</v>
      </c>
      <c r="I3046" s="8"/>
      <c r="J3046" s="8"/>
      <c r="K3046" s="8"/>
      <c r="L3046" s="9" t="s">
        <v>253</v>
      </c>
      <c r="M3046" s="8"/>
    </row>
    <row r="3047" spans="1:13">
      <c r="A3047" s="16" t="s">
        <v>4312</v>
      </c>
      <c r="B3047" s="58">
        <v>1518942563</v>
      </c>
      <c r="C3047" s="63"/>
      <c r="D3047" s="60"/>
      <c r="E3047" s="9"/>
      <c r="F3047" s="25"/>
      <c r="G3047" s="61"/>
      <c r="H3047" s="9"/>
      <c r="I3047" s="8"/>
      <c r="J3047" s="8"/>
      <c r="K3047" s="8"/>
      <c r="L3047" s="8"/>
      <c r="M3047" s="8"/>
    </row>
    <row r="3048" spans="1:13">
      <c r="A3048" s="62" t="s">
        <v>4313</v>
      </c>
      <c r="B3048" s="58">
        <v>99038862504</v>
      </c>
      <c r="C3048" s="63" t="s">
        <v>4314</v>
      </c>
      <c r="D3048" s="60">
        <v>38297049841</v>
      </c>
      <c r="E3048" s="9">
        <v>527</v>
      </c>
      <c r="F3048" s="25">
        <v>43210</v>
      </c>
      <c r="G3048" s="61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4315</v>
      </c>
      <c r="B3049" s="58">
        <v>27073784881</v>
      </c>
      <c r="C3049" s="59"/>
      <c r="D3049" s="60"/>
      <c r="E3049" s="9">
        <v>1128</v>
      </c>
      <c r="F3049" s="25">
        <v>42972</v>
      </c>
      <c r="G3049" s="61" t="s">
        <v>13</v>
      </c>
      <c r="H3049" s="25">
        <v>42979</v>
      </c>
      <c r="I3049" s="8"/>
      <c r="J3049" s="8"/>
      <c r="K3049" s="8"/>
      <c r="L3049" s="8"/>
      <c r="M3049" s="8"/>
    </row>
    <row r="3050" spans="1:13">
      <c r="A3050" s="62" t="s">
        <v>4316</v>
      </c>
      <c r="B3050" s="58">
        <v>33489457803</v>
      </c>
      <c r="C3050" s="63"/>
      <c r="D3050" s="60"/>
      <c r="E3050" s="9">
        <v>1752</v>
      </c>
      <c r="F3050" s="25">
        <v>43051</v>
      </c>
      <c r="G3050" s="61" t="s">
        <v>13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62" t="s">
        <v>4317</v>
      </c>
      <c r="B3051" s="58">
        <v>22505123888</v>
      </c>
      <c r="C3051" s="63" t="s">
        <v>4318</v>
      </c>
      <c r="D3051" s="60">
        <v>39819234808</v>
      </c>
      <c r="E3051" s="9">
        <v>1752</v>
      </c>
      <c r="F3051" s="25">
        <v>43051</v>
      </c>
      <c r="G3051" s="61" t="s">
        <v>13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7" t="s">
        <v>4319</v>
      </c>
      <c r="B3052" s="58"/>
      <c r="C3052" s="27" t="s">
        <v>129</v>
      </c>
      <c r="D3052" s="60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4320</v>
      </c>
      <c r="B3053" s="58">
        <v>3572647894</v>
      </c>
      <c r="C3053" s="18"/>
      <c r="D3053" s="60"/>
      <c r="E3053" s="9"/>
      <c r="F3053" s="25"/>
      <c r="G3053" s="61"/>
      <c r="H3053" s="9"/>
      <c r="I3053" s="8"/>
      <c r="J3053" s="8"/>
      <c r="K3053" s="8"/>
      <c r="L3053" s="8"/>
      <c r="M3053" s="8"/>
    </row>
    <row r="3054" spans="1:13">
      <c r="A3054" s="64" t="s">
        <v>4321</v>
      </c>
      <c r="B3054" s="58">
        <v>34850143890</v>
      </c>
      <c r="C3054" s="63" t="s">
        <v>4322</v>
      </c>
      <c r="D3054" s="60">
        <v>86049305404</v>
      </c>
      <c r="E3054" s="9"/>
      <c r="F3054" s="25"/>
      <c r="G3054" s="61"/>
      <c r="H3054" s="9"/>
      <c r="I3054" s="8"/>
      <c r="J3054" s="8"/>
      <c r="K3054" s="8"/>
      <c r="L3054" s="8"/>
      <c r="M3054" s="8"/>
    </row>
    <row r="3055" spans="1:13">
      <c r="A3055" s="14" t="s">
        <v>4323</v>
      </c>
      <c r="B3055" s="58">
        <v>13288861828</v>
      </c>
      <c r="C3055" s="63"/>
      <c r="D3055" s="60"/>
      <c r="E3055" s="9">
        <v>292</v>
      </c>
      <c r="F3055" s="25">
        <v>43168</v>
      </c>
      <c r="G3055" s="61" t="s">
        <v>13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62" t="s">
        <v>4324</v>
      </c>
      <c r="B3056" s="58">
        <v>17852199879</v>
      </c>
      <c r="C3056" s="63" t="s">
        <v>4325</v>
      </c>
      <c r="D3056" s="60">
        <v>15255063827</v>
      </c>
      <c r="E3056" s="9">
        <v>1128</v>
      </c>
      <c r="F3056" s="25">
        <v>42972</v>
      </c>
      <c r="G3056" s="61" t="s">
        <v>13</v>
      </c>
      <c r="H3056" s="25">
        <v>42979</v>
      </c>
      <c r="I3056" s="8"/>
      <c r="J3056" s="8"/>
      <c r="K3056" s="8"/>
      <c r="L3056" s="8"/>
      <c r="M3056" s="8"/>
    </row>
    <row r="3057" spans="1:13">
      <c r="A3057" s="62" t="s">
        <v>4326</v>
      </c>
      <c r="B3057" s="58">
        <v>95108912315</v>
      </c>
      <c r="C3057" s="63"/>
      <c r="D3057" s="60"/>
      <c r="E3057" s="9">
        <v>1350</v>
      </c>
      <c r="F3057" s="25">
        <v>43006</v>
      </c>
      <c r="G3057" s="61" t="s">
        <v>13</v>
      </c>
      <c r="H3057" s="25">
        <v>43011</v>
      </c>
      <c r="I3057" s="8"/>
      <c r="J3057" s="8"/>
      <c r="K3057" s="8"/>
      <c r="L3057" s="8"/>
      <c r="M3057" s="8"/>
    </row>
    <row r="3058" spans="1:13">
      <c r="A3058" s="63" t="s">
        <v>4327</v>
      </c>
      <c r="B3058" s="58">
        <v>12691650898</v>
      </c>
      <c r="C3058" s="63"/>
      <c r="D3058" s="60"/>
      <c r="E3058" s="9"/>
      <c r="F3058" s="25"/>
      <c r="G3058" s="61"/>
      <c r="H3058" s="9"/>
      <c r="I3058" s="8"/>
      <c r="J3058" s="8"/>
      <c r="K3058" s="8"/>
      <c r="L3058" s="8"/>
      <c r="M3058" s="8"/>
    </row>
    <row r="3059" spans="1:13">
      <c r="A3059" s="62" t="s">
        <v>4328</v>
      </c>
      <c r="B3059" s="58">
        <v>9096104870</v>
      </c>
      <c r="C3059" s="63"/>
      <c r="D3059" s="60"/>
      <c r="E3059" s="9">
        <v>1128</v>
      </c>
      <c r="F3059" s="25">
        <v>42972</v>
      </c>
      <c r="G3059" s="61" t="s">
        <v>13</v>
      </c>
      <c r="H3059" s="25">
        <v>42979</v>
      </c>
      <c r="I3059" s="8"/>
      <c r="J3059" s="8"/>
      <c r="K3059" s="8"/>
      <c r="L3059" s="8"/>
      <c r="M3059" s="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97" priority="5" stopIfTrue="1"/>
  </conditionalFormatting>
  <conditionalFormatting sqref="A3:A128">
    <cfRule type="duplicateValues" dxfId="296" priority="4" stopIfTrue="1"/>
  </conditionalFormatting>
  <conditionalFormatting sqref="A3:A626">
    <cfRule type="duplicateValues" dxfId="295" priority="1" stopIfTrue="1"/>
  </conditionalFormatting>
  <conditionalFormatting sqref="B2684">
    <cfRule type="duplicateValues" dxfId="294" priority="3" stopIfTrue="1"/>
  </conditionalFormatting>
  <conditionalFormatting sqref="C689">
    <cfRule type="duplicateValues" dxfId="293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DH8066"/>
  <sheetViews>
    <sheetView showGridLines="0" tabSelected="1" zoomScale="85" zoomScaleNormal="85" workbookViewId="0">
      <pane xSplit="6" ySplit="4" topLeftCell="AI161" activePane="bottomRight" state="frozen"/>
      <selection pane="bottomRight" activeCell="AJ5358" sqref="AJ5358"/>
      <selection pane="bottomLeft" activeCell="A5" sqref="A5"/>
      <selection pane="topRight" activeCell="G1" sqref="G1"/>
    </sheetView>
  </sheetViews>
  <sheetFormatPr defaultColWidth="9.140625" defaultRowHeight="30" customHeight="1"/>
  <cols>
    <col min="1" max="1" width="10.42578125" style="160" bestFit="1" customWidth="1"/>
    <col min="2" max="2" width="17.5703125" style="161" bestFit="1" customWidth="1"/>
    <col min="3" max="3" width="33.140625" style="161" bestFit="1" customWidth="1"/>
    <col min="4" max="4" width="12.5703125" style="161" bestFit="1" customWidth="1"/>
    <col min="5" max="5" width="21.140625" style="161" bestFit="1" customWidth="1"/>
    <col min="6" max="6" width="17.28515625" style="162" bestFit="1" customWidth="1"/>
    <col min="7" max="7" width="27.85546875" style="161" customWidth="1"/>
    <col min="8" max="8" width="21.42578125" style="161" customWidth="1"/>
    <col min="9" max="9" width="38.85546875" style="163" customWidth="1"/>
    <col min="10" max="10" width="77" style="164" bestFit="1" customWidth="1"/>
    <col min="11" max="11" width="22" style="165" bestFit="1" customWidth="1"/>
    <col min="12" max="12" width="19" style="165" customWidth="1"/>
    <col min="13" max="13" width="38.140625" style="161" bestFit="1" customWidth="1"/>
    <col min="14" max="14" width="44.5703125" style="161" bestFit="1" customWidth="1"/>
    <col min="15" max="15" width="32.85546875" style="166" bestFit="1" customWidth="1"/>
    <col min="16" max="16" width="29.5703125" style="166" bestFit="1" customWidth="1"/>
    <col min="17" max="17" width="45.5703125" style="166" bestFit="1" customWidth="1"/>
    <col min="18" max="18" width="44.85546875" style="166" bestFit="1" customWidth="1"/>
    <col min="19" max="19" width="34.28515625" style="166" bestFit="1" customWidth="1"/>
    <col min="20" max="20" width="29" style="166" bestFit="1" customWidth="1"/>
    <col min="21" max="21" width="31.5703125" style="166" bestFit="1" customWidth="1"/>
    <col min="22" max="22" width="34.140625" style="166" bestFit="1" customWidth="1"/>
    <col min="23" max="23" width="34.7109375" style="305" bestFit="1" customWidth="1"/>
    <col min="24" max="24" width="21.42578125" style="166" bestFit="1" customWidth="1"/>
    <col min="25" max="25" width="25.5703125" style="306" bestFit="1" customWidth="1"/>
    <col min="26" max="26" width="106.140625" style="161" bestFit="1" customWidth="1"/>
    <col min="27" max="27" width="77" style="167" bestFit="1" customWidth="1"/>
    <col min="28" max="28" width="22" style="165" bestFit="1" customWidth="1"/>
    <col min="29" max="29" width="18.42578125" style="165" bestFit="1" customWidth="1"/>
    <col min="30" max="30" width="42" style="163" bestFit="1" customWidth="1"/>
    <col min="31" max="31" width="37.42578125" style="161" bestFit="1" customWidth="1"/>
    <col min="32" max="32" width="28.85546875" style="309" bestFit="1" customWidth="1"/>
    <col min="33" max="33" width="31.7109375" style="309" bestFit="1" customWidth="1"/>
    <col min="34" max="34" width="23.7109375" style="161" bestFit="1" customWidth="1"/>
    <col min="35" max="35" width="38.42578125" style="161" bestFit="1" customWidth="1"/>
    <col min="36" max="36" width="34.5703125" style="161" bestFit="1" customWidth="1"/>
    <col min="37" max="39" width="35.5703125" style="161" customWidth="1"/>
    <col min="40" max="40" width="33.28515625" style="161" customWidth="1"/>
    <col min="41" max="41" width="27.5703125" style="161" customWidth="1"/>
    <col min="42" max="42" width="27.85546875" style="161" bestFit="1" customWidth="1"/>
    <col min="43" max="43" width="27.85546875" style="161" customWidth="1"/>
    <col min="44" max="44" width="53.5703125" style="310" customWidth="1"/>
    <col min="45" max="45" width="38.5703125" style="161" bestFit="1" customWidth="1"/>
    <col min="46" max="46" width="104.5703125" style="161" bestFit="1" customWidth="1"/>
    <col min="47" max="47" width="28.42578125" style="165" bestFit="1" customWidth="1"/>
    <col min="48" max="48" width="44.85546875" style="161" bestFit="1" customWidth="1"/>
    <col min="49" max="49" width="22.28515625" style="161" bestFit="1" customWidth="1"/>
    <col min="50" max="50" width="42.7109375" style="161" bestFit="1" customWidth="1"/>
    <col min="51" max="51" width="35.5703125" style="161" bestFit="1" customWidth="1"/>
    <col min="52" max="52" width="25" style="161" bestFit="1" customWidth="1"/>
    <col min="53" max="53" width="58.140625" style="161" customWidth="1"/>
    <col min="54" max="54" width="46.85546875" style="161" bestFit="1" customWidth="1"/>
    <col min="55" max="55" width="34.7109375" style="161" bestFit="1" customWidth="1"/>
    <col min="56" max="56" width="36.5703125" style="166" bestFit="1" customWidth="1"/>
    <col min="57" max="57" width="34.7109375" style="306" bestFit="1" customWidth="1"/>
    <col min="58" max="58" width="37.85546875" style="307" bestFit="1" customWidth="1"/>
    <col min="59" max="59" width="15.42578125" style="307" bestFit="1" customWidth="1"/>
    <col min="60" max="60" width="21" style="307" bestFit="1" customWidth="1"/>
    <col min="61" max="61" width="33.42578125" style="161" bestFit="1" customWidth="1"/>
    <col min="62" max="62" width="23" style="161" bestFit="1" customWidth="1"/>
    <col min="63" max="63" width="29" style="161" bestFit="1" customWidth="1"/>
    <col min="64" max="64" width="23" style="169" bestFit="1" customWidth="1"/>
    <col min="65" max="65" width="29.85546875" style="169" bestFit="1" customWidth="1"/>
    <col min="66" max="66" width="46.5703125" style="161" bestFit="1" customWidth="1"/>
    <col min="67" max="67" width="35.5703125" style="161" bestFit="1" customWidth="1"/>
    <col min="68" max="68" width="28.140625" style="161" bestFit="1" customWidth="1"/>
    <col min="69" max="69" width="46.85546875" style="161" bestFit="1" customWidth="1"/>
    <col min="70" max="70" width="41.140625" style="161" bestFit="1" customWidth="1"/>
    <col min="71" max="112" width="9.140625" style="161" bestFit="1" customWidth="1"/>
    <col min="113" max="16384" width="9.140625" style="161"/>
  </cols>
  <sheetData>
    <row r="1" spans="1:112" ht="20.100000000000001" customHeight="1">
      <c r="W1" s="161"/>
      <c r="Y1" s="166"/>
      <c r="AF1" s="168"/>
      <c r="AG1" s="168"/>
      <c r="AH1" s="160"/>
      <c r="AJ1" s="160"/>
      <c r="AK1" s="334"/>
      <c r="AL1" s="334"/>
      <c r="AM1" s="334"/>
      <c r="AN1" s="334"/>
      <c r="AO1" s="334"/>
      <c r="AP1" s="334"/>
      <c r="AQ1" s="334"/>
      <c r="AR1" s="334"/>
      <c r="AS1" s="160"/>
      <c r="BE1" s="166"/>
      <c r="BF1" s="161"/>
      <c r="BG1" s="161"/>
      <c r="BH1" s="161"/>
    </row>
    <row r="2" spans="1:112" ht="20.100000000000001" customHeight="1">
      <c r="W2" s="161"/>
      <c r="Y2" s="166"/>
      <c r="AF2" s="170"/>
      <c r="AG2" s="170"/>
      <c r="AH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BE2" s="166"/>
      <c r="BF2" s="161"/>
      <c r="BG2" s="161"/>
      <c r="BH2" s="161"/>
    </row>
    <row r="3" spans="1:112" s="176" customFormat="1" ht="30" customHeight="1">
      <c r="A3" s="329" t="s">
        <v>4329</v>
      </c>
      <c r="B3" s="330"/>
      <c r="C3" s="330"/>
      <c r="D3" s="330"/>
      <c r="E3" s="330"/>
      <c r="F3" s="330"/>
      <c r="G3" s="330"/>
      <c r="H3" s="330"/>
      <c r="I3" s="330"/>
      <c r="J3" s="331"/>
      <c r="K3" s="330"/>
      <c r="L3" s="330"/>
      <c r="M3" s="330"/>
      <c r="N3" s="330"/>
      <c r="O3" s="325" t="s">
        <v>4330</v>
      </c>
      <c r="P3" s="325"/>
      <c r="Q3" s="325"/>
      <c r="R3" s="325"/>
      <c r="S3" s="325"/>
      <c r="T3" s="326"/>
      <c r="U3" s="325"/>
      <c r="V3" s="325"/>
      <c r="W3" s="327"/>
      <c r="X3" s="326"/>
      <c r="Y3" s="325"/>
      <c r="Z3" s="328"/>
      <c r="AA3" s="171" t="s">
        <v>4331</v>
      </c>
      <c r="AB3" s="171"/>
      <c r="AC3" s="171"/>
      <c r="AD3" s="171"/>
      <c r="AE3" s="171"/>
      <c r="AF3" s="172"/>
      <c r="AG3" s="172"/>
      <c r="AH3" s="173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4"/>
      <c r="AV3" s="174"/>
      <c r="AW3" s="171"/>
      <c r="AX3" s="171"/>
      <c r="AY3" s="171"/>
      <c r="AZ3" s="171"/>
      <c r="BA3" s="171"/>
      <c r="BB3" s="171"/>
      <c r="BC3" s="171"/>
      <c r="BD3" s="175"/>
      <c r="BE3" s="175"/>
      <c r="BF3" s="171"/>
      <c r="BG3" s="332" t="s">
        <v>4332</v>
      </c>
      <c r="BH3" s="333"/>
      <c r="BI3" s="323"/>
      <c r="BJ3" s="324"/>
      <c r="BK3" s="324"/>
      <c r="BL3" s="324"/>
      <c r="BM3" s="324"/>
      <c r="BN3" s="324"/>
      <c r="BO3" s="324"/>
      <c r="BP3" s="324"/>
      <c r="BQ3" s="324"/>
      <c r="BR3" s="324"/>
    </row>
    <row r="4" spans="1:112" s="165" customFormat="1" ht="38.25" customHeight="1">
      <c r="A4" s="177" t="s">
        <v>4333</v>
      </c>
      <c r="B4" s="178" t="s">
        <v>4334</v>
      </c>
      <c r="C4" s="178" t="s">
        <v>4335</v>
      </c>
      <c r="D4" s="178" t="s">
        <v>4336</v>
      </c>
      <c r="E4" s="178" t="s">
        <v>4337</v>
      </c>
      <c r="F4" s="179" t="s">
        <v>4338</v>
      </c>
      <c r="G4" s="178" t="s">
        <v>4339</v>
      </c>
      <c r="H4" s="178" t="s">
        <v>4340</v>
      </c>
      <c r="I4" s="178" t="s">
        <v>4341</v>
      </c>
      <c r="J4" s="180" t="s">
        <v>102</v>
      </c>
      <c r="K4" s="180" t="s">
        <v>4342</v>
      </c>
      <c r="L4" s="180" t="s">
        <v>103</v>
      </c>
      <c r="M4" s="180" t="s">
        <v>4343</v>
      </c>
      <c r="N4" s="180" t="s">
        <v>4344</v>
      </c>
      <c r="O4" s="181" t="s">
        <v>4345</v>
      </c>
      <c r="P4" s="181" t="s">
        <v>4346</v>
      </c>
      <c r="Q4" s="181" t="s">
        <v>4347</v>
      </c>
      <c r="R4" s="181" t="s">
        <v>4348</v>
      </c>
      <c r="S4" s="181" t="s">
        <v>4349</v>
      </c>
      <c r="T4" s="181" t="s">
        <v>4350</v>
      </c>
      <c r="U4" s="181" t="s">
        <v>4351</v>
      </c>
      <c r="V4" s="181" t="s">
        <v>4352</v>
      </c>
      <c r="W4" s="182" t="s">
        <v>4353</v>
      </c>
      <c r="X4" s="181" t="s">
        <v>4354</v>
      </c>
      <c r="Y4" s="181" t="s">
        <v>4355</v>
      </c>
      <c r="Z4" s="183" t="s">
        <v>4356</v>
      </c>
      <c r="AA4" s="184" t="s">
        <v>4357</v>
      </c>
      <c r="AB4" s="184" t="s">
        <v>4342</v>
      </c>
      <c r="AC4" s="184" t="s">
        <v>103</v>
      </c>
      <c r="AD4" s="185" t="s">
        <v>4358</v>
      </c>
      <c r="AE4" s="184" t="s">
        <v>4359</v>
      </c>
      <c r="AF4" s="186" t="s">
        <v>4360</v>
      </c>
      <c r="AG4" s="186" t="s">
        <v>4361</v>
      </c>
      <c r="AH4" s="187" t="s">
        <v>4362</v>
      </c>
      <c r="AI4" s="185" t="s">
        <v>4363</v>
      </c>
      <c r="AJ4" s="185" t="s">
        <v>4364</v>
      </c>
      <c r="AK4" s="185" t="s">
        <v>4365</v>
      </c>
      <c r="AL4" s="185" t="s">
        <v>4366</v>
      </c>
      <c r="AM4" s="185" t="s">
        <v>4367</v>
      </c>
      <c r="AN4" s="185" t="s">
        <v>4368</v>
      </c>
      <c r="AO4" s="185" t="s">
        <v>4369</v>
      </c>
      <c r="AP4" s="185" t="s">
        <v>4370</v>
      </c>
      <c r="AQ4" s="188" t="s">
        <v>4371</v>
      </c>
      <c r="AR4" s="185" t="s">
        <v>4372</v>
      </c>
      <c r="AS4" s="185" t="s">
        <v>4373</v>
      </c>
      <c r="AT4" s="184" t="s">
        <v>4374</v>
      </c>
      <c r="AU4" s="184" t="s">
        <v>4375</v>
      </c>
      <c r="AV4" s="184" t="s">
        <v>4348</v>
      </c>
      <c r="AW4" s="184" t="s">
        <v>4376</v>
      </c>
      <c r="AX4" s="184" t="s">
        <v>4377</v>
      </c>
      <c r="AY4" s="184" t="s">
        <v>4378</v>
      </c>
      <c r="AZ4" s="184" t="s">
        <v>4379</v>
      </c>
      <c r="BA4" s="184" t="s">
        <v>4380</v>
      </c>
      <c r="BB4" s="184" t="s">
        <v>4381</v>
      </c>
      <c r="BC4" s="184" t="s">
        <v>4353</v>
      </c>
      <c r="BD4" s="189" t="s">
        <v>4382</v>
      </c>
      <c r="BE4" s="189" t="s">
        <v>4383</v>
      </c>
      <c r="BF4" s="190" t="s">
        <v>4384</v>
      </c>
      <c r="BG4" s="191" t="s">
        <v>4385</v>
      </c>
      <c r="BH4" s="191" t="s">
        <v>4386</v>
      </c>
      <c r="BI4" s="192" t="s">
        <v>4387</v>
      </c>
      <c r="BJ4" s="192" t="s">
        <v>4388</v>
      </c>
      <c r="BK4" s="192" t="s">
        <v>4389</v>
      </c>
      <c r="BL4" s="193" t="s">
        <v>4390</v>
      </c>
      <c r="BM4" s="194" t="s">
        <v>4391</v>
      </c>
      <c r="BN4" s="195" t="s">
        <v>4392</v>
      </c>
      <c r="BO4" s="192" t="s">
        <v>4378</v>
      </c>
      <c r="BP4" s="195" t="s">
        <v>4393</v>
      </c>
      <c r="BQ4" s="192" t="s">
        <v>4394</v>
      </c>
      <c r="BR4" s="196" t="s">
        <v>4395</v>
      </c>
    </row>
    <row r="5" spans="1:112" s="213" customFormat="1" ht="27" hidden="1" customHeight="1">
      <c r="A5" s="197">
        <v>1</v>
      </c>
      <c r="B5" s="197" t="s">
        <v>4396</v>
      </c>
      <c r="C5" s="197" t="s">
        <v>4397</v>
      </c>
      <c r="D5" s="197">
        <v>1</v>
      </c>
      <c r="E5" s="197" t="s">
        <v>4398</v>
      </c>
      <c r="F5" s="198" t="s">
        <v>4399</v>
      </c>
      <c r="G5" s="197" t="s">
        <v>4400</v>
      </c>
      <c r="H5" s="197" t="s">
        <v>4401</v>
      </c>
      <c r="I5" s="199" t="s">
        <v>4402</v>
      </c>
      <c r="J5" s="200" t="s">
        <v>4403</v>
      </c>
      <c r="K5" s="198" t="s">
        <v>4398</v>
      </c>
      <c r="L5" s="198" t="s">
        <v>4404</v>
      </c>
      <c r="M5" s="197" t="s">
        <v>4405</v>
      </c>
      <c r="N5" s="197" t="s">
        <v>4406</v>
      </c>
      <c r="O5" s="202">
        <v>45986</v>
      </c>
      <c r="P5" s="203" t="s">
        <v>4407</v>
      </c>
      <c r="Q5" s="203">
        <v>45985</v>
      </c>
      <c r="R5" s="203">
        <v>45986</v>
      </c>
      <c r="S5" s="203">
        <v>45987</v>
      </c>
      <c r="T5" s="203">
        <v>45992</v>
      </c>
      <c r="U5" s="203" t="s">
        <v>4408</v>
      </c>
      <c r="V5" s="203" t="s">
        <v>4408</v>
      </c>
      <c r="W5" s="202">
        <v>45999</v>
      </c>
      <c r="X5" s="202">
        <v>46000</v>
      </c>
      <c r="Y5" s="202">
        <v>46017</v>
      </c>
      <c r="Z5" s="197"/>
      <c r="AA5" s="200" t="s">
        <v>4403</v>
      </c>
      <c r="AB5" s="200" t="s">
        <v>4398</v>
      </c>
      <c r="AC5" s="200" t="s">
        <v>4404</v>
      </c>
      <c r="AD5" s="204" t="s">
        <v>4402</v>
      </c>
      <c r="AE5" s="204" t="s">
        <v>4405</v>
      </c>
      <c r="AF5" s="205" t="s">
        <v>4409</v>
      </c>
      <c r="AG5" s="205" t="s">
        <v>4409</v>
      </c>
      <c r="AH5" s="204" t="s">
        <v>4410</v>
      </c>
      <c r="AI5" s="198" t="s">
        <v>4411</v>
      </c>
      <c r="AJ5" s="197"/>
      <c r="AK5" s="313">
        <v>45979</v>
      </c>
      <c r="AL5" s="313">
        <v>45979</v>
      </c>
      <c r="AM5" s="313">
        <v>45979</v>
      </c>
      <c r="AN5" s="313">
        <v>45979</v>
      </c>
      <c r="AO5" s="313">
        <v>45979</v>
      </c>
      <c r="AP5" s="313">
        <v>45979</v>
      </c>
      <c r="AQ5" s="314"/>
      <c r="AR5" s="315" t="str">
        <f t="shared" ref="AR5" si="0">IF(AQ5="SIM","AGUARDANDO CORREÇÃO",IF(AP5&lt;&gt;"","FINALIZADO",IF(AO5&lt;&gt;"","AGUARDANDO ENVIO DTS",IF(AN5&lt;&gt;"","AGUARDANDO ASSINATURA GAB",IF(AM5&lt;&gt;"","AGUARDANDO ASSINATURA CTS",IF(AL5&lt;&gt;"","AGUARDANDO ENVIO ASSINATURA CTS",IF(AK5&lt;&gt;"","AGUARDANDO CONFERÊNCIA","")))))))</f>
        <v>FINALIZADO</v>
      </c>
      <c r="AS5" s="197"/>
      <c r="AT5" s="197"/>
      <c r="AU5" s="206"/>
      <c r="AV5" s="197"/>
      <c r="AW5" s="197"/>
      <c r="AX5" s="207"/>
      <c r="AY5" s="197"/>
      <c r="AZ5" s="201"/>
      <c r="BA5" s="197"/>
      <c r="BB5" s="197"/>
      <c r="BC5" s="201"/>
      <c r="BD5" s="208"/>
      <c r="BE5" s="209">
        <v>46017</v>
      </c>
      <c r="BF5" s="197" t="s">
        <v>4412</v>
      </c>
      <c r="BG5" s="210"/>
      <c r="BH5" s="321" t="str">
        <f t="shared" ref="BH5" si="1">IFERROR(IF(BD5-KI5=0,"",BD5-AK5),"")</f>
        <v/>
      </c>
      <c r="BI5" s="98" t="str">
        <f t="shared" ref="BI5" si="2">IF(AND(AH5&lt;&gt;"SIM",AH5="UH"),"AA","INDENIZAÇÃO")</f>
        <v>AA</v>
      </c>
      <c r="BJ5" s="98" t="str">
        <f t="shared" ref="BJ5" si="3">IF(AND(BD5&lt;&gt;"AGUARDANDO",BD5&lt;&gt;"",N5="AUXÍLIO ALUGUEL ATÉ INDENIZAÇÃO"),"SIM","NÃO")</f>
        <v>NÃO</v>
      </c>
      <c r="BK5" s="211"/>
      <c r="BL5" s="211"/>
      <c r="BM5" s="211"/>
      <c r="BN5" s="211"/>
      <c r="BO5" s="211"/>
      <c r="BP5" s="211"/>
      <c r="BQ5" s="211"/>
      <c r="BR5" s="212"/>
    </row>
    <row r="6" spans="1:112" s="223" customFormat="1" ht="27" customHeight="1">
      <c r="A6" s="207">
        <v>2</v>
      </c>
      <c r="B6" s="197" t="s">
        <v>4396</v>
      </c>
      <c r="C6" s="207" t="s">
        <v>4413</v>
      </c>
      <c r="D6" s="207">
        <v>1</v>
      </c>
      <c r="E6" s="250" t="s">
        <v>4398</v>
      </c>
      <c r="F6" s="214" t="s">
        <v>4399</v>
      </c>
      <c r="G6" s="207" t="s">
        <v>4400</v>
      </c>
      <c r="H6" s="207" t="s">
        <v>4401</v>
      </c>
      <c r="I6" s="207" t="s">
        <v>4414</v>
      </c>
      <c r="J6" s="215" t="s">
        <v>4415</v>
      </c>
      <c r="K6" s="215" t="s">
        <v>4398</v>
      </c>
      <c r="L6" s="215" t="s">
        <v>4416</v>
      </c>
      <c r="M6" s="197" t="s">
        <v>4405</v>
      </c>
      <c r="N6" s="207" t="s">
        <v>4406</v>
      </c>
      <c r="O6" s="202" t="s">
        <v>4417</v>
      </c>
      <c r="P6" s="202" t="s">
        <v>4407</v>
      </c>
      <c r="Q6" s="202"/>
      <c r="R6" s="202"/>
      <c r="S6" s="202"/>
      <c r="T6" s="202"/>
      <c r="U6" s="202"/>
      <c r="V6" s="202"/>
      <c r="W6" s="202"/>
      <c r="X6" s="202"/>
      <c r="Y6" s="202"/>
      <c r="Z6" s="216"/>
      <c r="AA6" s="215" t="s">
        <v>4418</v>
      </c>
      <c r="AB6" s="215" t="s">
        <v>4419</v>
      </c>
      <c r="AC6" s="215" t="s">
        <v>4420</v>
      </c>
      <c r="AD6" s="217" t="s">
        <v>4421</v>
      </c>
      <c r="AE6" s="207" t="s">
        <v>4405</v>
      </c>
      <c r="AF6" s="218">
        <v>62160.58</v>
      </c>
      <c r="AG6" s="218">
        <v>62160.58</v>
      </c>
      <c r="AH6" s="207" t="s">
        <v>4422</v>
      </c>
      <c r="AI6" s="214" t="s">
        <v>4411</v>
      </c>
      <c r="AJ6" s="207">
        <v>160375813</v>
      </c>
      <c r="AK6" s="316">
        <v>46080</v>
      </c>
      <c r="AL6" s="316">
        <v>46080</v>
      </c>
      <c r="AM6" s="316">
        <v>46080</v>
      </c>
      <c r="AN6" s="316">
        <v>46080</v>
      </c>
      <c r="AO6" s="316">
        <v>46080</v>
      </c>
      <c r="AP6" s="316">
        <v>46080</v>
      </c>
      <c r="AQ6" s="314"/>
      <c r="AR6" s="315" t="str">
        <f t="shared" ref="AR6:AR69" si="4">IF(AQ6="SIM","AGUARDANDO CORREÇÃO",IF(AP6&lt;&gt;"","FINALIZADO",IF(AO6&lt;&gt;"","AGUARDANDO ENVIO DTS",IF(AN6&lt;&gt;"","AGUARDANDO ASSINATURA GAB",IF(AM6&lt;&gt;"","AGUARDANDO ASSINATURA CTS",IF(AL6&lt;&gt;"","AGUARDANDO ENVIO ASSINATURA CTS",IF(AK6&lt;&gt;"","AGUARDANDO CONFERÊNCIA","")))))))</f>
        <v>FINALIZADO</v>
      </c>
      <c r="AS6" s="207" t="s">
        <v>4423</v>
      </c>
      <c r="AT6" s="219"/>
      <c r="AU6" s="220" t="s">
        <v>4424</v>
      </c>
      <c r="AV6" s="219" t="s">
        <v>4425</v>
      </c>
      <c r="AW6" s="219" t="s">
        <v>4425</v>
      </c>
      <c r="AX6" s="257" t="s">
        <v>4426</v>
      </c>
      <c r="AY6" s="257"/>
      <c r="AZ6" s="257"/>
      <c r="BA6" s="257"/>
      <c r="BB6" s="257"/>
      <c r="BC6" s="257"/>
      <c r="BD6" s="226"/>
      <c r="BE6" s="226"/>
      <c r="BF6" s="228" t="s">
        <v>4400</v>
      </c>
      <c r="BG6" s="219"/>
      <c r="BH6" s="321" t="str">
        <f t="shared" ref="BH6:BH69" si="5">IFERROR(IF(BD6-KI6=0,"",BD6-AK6),"")</f>
        <v/>
      </c>
      <c r="BI6" s="98" t="str">
        <f t="shared" ref="BI6:BI69" si="6">IF(AND(AH6&lt;&gt;"SIM",AH6="UH"),"AA","INDENIZAÇÃO")</f>
        <v>INDENIZAÇÃO</v>
      </c>
      <c r="BJ6" s="98" t="str">
        <f t="shared" ref="BJ6:BJ69" si="7">IF(AND(BD6&lt;&gt;"AGUARDANDO",BD6&lt;&gt;"",N6="AUXÍLIO ALUGUEL ATÉ INDENIZAÇÃO"),"SIM","NÃO")</f>
        <v>NÃO</v>
      </c>
      <c r="BK6" s="219"/>
      <c r="BL6" s="221"/>
      <c r="BM6" s="221"/>
      <c r="BN6" s="219"/>
      <c r="BO6" s="219"/>
      <c r="BP6" s="219"/>
      <c r="BQ6" s="219"/>
      <c r="BR6" s="222"/>
    </row>
    <row r="7" spans="1:112" s="223" customFormat="1" ht="27" hidden="1" customHeight="1">
      <c r="A7" s="207">
        <v>3</v>
      </c>
      <c r="B7" s="197" t="s">
        <v>4396</v>
      </c>
      <c r="C7" s="207" t="s">
        <v>4427</v>
      </c>
      <c r="D7" s="207">
        <v>1</v>
      </c>
      <c r="E7" s="207" t="s">
        <v>4398</v>
      </c>
      <c r="F7" s="214" t="s">
        <v>4399</v>
      </c>
      <c r="G7" s="207" t="s">
        <v>4400</v>
      </c>
      <c r="H7" s="207" t="s">
        <v>4428</v>
      </c>
      <c r="I7" s="163" t="s">
        <v>4421</v>
      </c>
      <c r="J7" s="215" t="s">
        <v>4429</v>
      </c>
      <c r="K7" s="214" t="s">
        <v>4430</v>
      </c>
      <c r="L7" s="214" t="s">
        <v>4431</v>
      </c>
      <c r="M7" s="197" t="s">
        <v>4405</v>
      </c>
      <c r="N7" s="207" t="s">
        <v>4432</v>
      </c>
      <c r="O7" s="202" t="s">
        <v>4409</v>
      </c>
      <c r="P7" s="202" t="s">
        <v>4409</v>
      </c>
      <c r="Q7" s="202" t="s">
        <v>4409</v>
      </c>
      <c r="R7" s="202" t="s">
        <v>4409</v>
      </c>
      <c r="S7" s="202" t="s">
        <v>4409</v>
      </c>
      <c r="T7" s="202" t="s">
        <v>4409</v>
      </c>
      <c r="U7" s="202" t="s">
        <v>4409</v>
      </c>
      <c r="V7" s="202" t="s">
        <v>4409</v>
      </c>
      <c r="W7" s="202" t="s">
        <v>4409</v>
      </c>
      <c r="X7" s="202" t="s">
        <v>4409</v>
      </c>
      <c r="Y7" s="202"/>
      <c r="Z7" s="202"/>
      <c r="AA7" s="224" t="s">
        <v>4429</v>
      </c>
      <c r="AB7" s="214" t="s">
        <v>4430</v>
      </c>
      <c r="AC7" s="214" t="s">
        <v>4431</v>
      </c>
      <c r="AD7" s="217" t="s">
        <v>4421</v>
      </c>
      <c r="AE7" s="207" t="s">
        <v>4405</v>
      </c>
      <c r="AF7" s="218">
        <v>54401.18</v>
      </c>
      <c r="AG7" s="218">
        <v>60000</v>
      </c>
      <c r="AH7" s="207" t="s">
        <v>4433</v>
      </c>
      <c r="AI7" s="214" t="s">
        <v>4411</v>
      </c>
      <c r="AJ7" s="207">
        <v>147744665</v>
      </c>
      <c r="AK7" s="316">
        <v>45988</v>
      </c>
      <c r="AL7" s="316">
        <v>45988</v>
      </c>
      <c r="AM7" s="316">
        <v>45988</v>
      </c>
      <c r="AN7" s="316">
        <v>45988</v>
      </c>
      <c r="AO7" s="316">
        <v>45988</v>
      </c>
      <c r="AP7" s="316">
        <v>45988</v>
      </c>
      <c r="AQ7" s="314"/>
      <c r="AR7" s="315" t="str">
        <f t="shared" si="4"/>
        <v>FINALIZADO</v>
      </c>
      <c r="AS7" s="207" t="s">
        <v>4423</v>
      </c>
      <c r="AT7" s="207"/>
      <c r="AU7" s="220" t="s">
        <v>4434</v>
      </c>
      <c r="AV7" s="207" t="s">
        <v>4425</v>
      </c>
      <c r="AW7" s="207" t="s">
        <v>4425</v>
      </c>
      <c r="AX7" s="207" t="s">
        <v>4425</v>
      </c>
      <c r="AY7" s="207" t="s">
        <v>4425</v>
      </c>
      <c r="AZ7" s="203">
        <v>46024</v>
      </c>
      <c r="BA7" s="207" t="s">
        <v>4425</v>
      </c>
      <c r="BB7" s="207" t="s">
        <v>4425</v>
      </c>
      <c r="BC7" s="208">
        <v>46038</v>
      </c>
      <c r="BD7" s="226">
        <v>46038</v>
      </c>
      <c r="BE7" s="227" t="s">
        <v>4435</v>
      </c>
      <c r="BF7" s="228" t="s">
        <v>4436</v>
      </c>
      <c r="BG7" s="229" t="s">
        <v>4425</v>
      </c>
      <c r="BH7" s="321">
        <f t="shared" si="5"/>
        <v>50</v>
      </c>
      <c r="BI7" s="98" t="str">
        <f t="shared" si="6"/>
        <v>INDENIZAÇÃO</v>
      </c>
      <c r="BJ7" s="98" t="str">
        <f t="shared" si="7"/>
        <v>NÃO</v>
      </c>
      <c r="BK7" s="230" t="s">
        <v>4437</v>
      </c>
      <c r="BL7" s="230" t="s">
        <v>4437</v>
      </c>
      <c r="BM7" s="230" t="s">
        <v>4437</v>
      </c>
      <c r="BN7" s="207" t="s">
        <v>4425</v>
      </c>
      <c r="BO7" s="207" t="s">
        <v>4425</v>
      </c>
      <c r="BP7" s="203">
        <v>46128</v>
      </c>
      <c r="BQ7" s="207" t="s">
        <v>4425</v>
      </c>
      <c r="BR7" s="231" t="s">
        <v>4435</v>
      </c>
      <c r="BS7" s="213"/>
      <c r="BT7" s="213"/>
      <c r="BU7" s="213"/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213"/>
      <c r="DA7" s="213"/>
      <c r="DB7" s="213"/>
      <c r="DC7" s="213"/>
      <c r="DD7" s="213"/>
      <c r="DE7" s="213"/>
      <c r="DF7" s="213"/>
      <c r="DG7" s="213"/>
      <c r="DH7" s="213"/>
    </row>
    <row r="8" spans="1:112" s="223" customFormat="1" ht="27" customHeight="1">
      <c r="A8" s="207">
        <v>4</v>
      </c>
      <c r="B8" s="197" t="s">
        <v>4396</v>
      </c>
      <c r="C8" s="207" t="s">
        <v>4413</v>
      </c>
      <c r="D8" s="207">
        <v>1</v>
      </c>
      <c r="E8" s="207" t="s">
        <v>4398</v>
      </c>
      <c r="F8" s="214" t="s">
        <v>4438</v>
      </c>
      <c r="G8" s="207" t="s">
        <v>4400</v>
      </c>
      <c r="H8" s="207" t="s">
        <v>4401</v>
      </c>
      <c r="I8" s="207" t="s">
        <v>4402</v>
      </c>
      <c r="J8" s="215" t="s">
        <v>4439</v>
      </c>
      <c r="K8" s="215" t="s">
        <v>4440</v>
      </c>
      <c r="L8" s="215" t="s">
        <v>4441</v>
      </c>
      <c r="M8" s="197" t="s">
        <v>4405</v>
      </c>
      <c r="N8" s="197" t="s">
        <v>4442</v>
      </c>
      <c r="O8" s="202"/>
      <c r="P8" s="202" t="s">
        <v>4409</v>
      </c>
      <c r="Q8" s="202" t="s">
        <v>4409</v>
      </c>
      <c r="R8" s="202" t="s">
        <v>4409</v>
      </c>
      <c r="S8" s="202" t="s">
        <v>4409</v>
      </c>
      <c r="T8" s="202" t="s">
        <v>4409</v>
      </c>
      <c r="U8" s="202" t="s">
        <v>4409</v>
      </c>
      <c r="V8" s="202" t="s">
        <v>4409</v>
      </c>
      <c r="W8" s="202" t="s">
        <v>4409</v>
      </c>
      <c r="X8" s="202" t="s">
        <v>4409</v>
      </c>
      <c r="Y8" s="202"/>
      <c r="Z8" s="219"/>
      <c r="AA8" s="215" t="s">
        <v>4439</v>
      </c>
      <c r="AB8" s="215" t="s">
        <v>4440</v>
      </c>
      <c r="AC8" s="215" t="s">
        <v>4441</v>
      </c>
      <c r="AD8" s="207" t="s">
        <v>4402</v>
      </c>
      <c r="AE8" s="207" t="s">
        <v>4405</v>
      </c>
      <c r="AF8" s="218">
        <v>91776.57</v>
      </c>
      <c r="AG8" s="218">
        <v>91776.57</v>
      </c>
      <c r="AH8" s="207" t="s">
        <v>4422</v>
      </c>
      <c r="AI8" s="214" t="s">
        <v>4411</v>
      </c>
      <c r="AJ8" s="207">
        <v>153000357</v>
      </c>
      <c r="AK8" s="316">
        <v>46112</v>
      </c>
      <c r="AL8" s="316">
        <v>46112</v>
      </c>
      <c r="AM8" s="316">
        <v>46112</v>
      </c>
      <c r="AN8" s="316">
        <v>46112</v>
      </c>
      <c r="AO8" s="316">
        <v>46112</v>
      </c>
      <c r="AP8" s="316">
        <v>46112</v>
      </c>
      <c r="AQ8" s="314"/>
      <c r="AR8" s="315" t="str">
        <f t="shared" si="4"/>
        <v>FINALIZADO</v>
      </c>
      <c r="AS8" s="207" t="s">
        <v>4423</v>
      </c>
      <c r="AT8" s="207"/>
      <c r="AU8" s="220" t="s">
        <v>4443</v>
      </c>
      <c r="AV8" s="207" t="s">
        <v>4425</v>
      </c>
      <c r="AW8" s="207" t="s">
        <v>4425</v>
      </c>
      <c r="AX8" s="207" t="s">
        <v>4425</v>
      </c>
      <c r="AY8" s="207" t="s">
        <v>4425</v>
      </c>
      <c r="AZ8" s="202">
        <v>46189</v>
      </c>
      <c r="BA8" s="207" t="s">
        <v>4425</v>
      </c>
      <c r="BB8" s="207" t="s">
        <v>4425</v>
      </c>
      <c r="BC8" s="202">
        <v>46196</v>
      </c>
      <c r="BD8" s="227">
        <v>46196</v>
      </c>
      <c r="BE8" s="227" t="s">
        <v>4435</v>
      </c>
      <c r="BF8" s="228" t="s">
        <v>4436</v>
      </c>
      <c r="BG8" s="219" t="s">
        <v>4425</v>
      </c>
      <c r="BH8" s="321">
        <f t="shared" si="5"/>
        <v>84</v>
      </c>
      <c r="BI8" s="98" t="str">
        <f t="shared" si="6"/>
        <v>INDENIZAÇÃO</v>
      </c>
      <c r="BJ8" s="98" t="str">
        <f t="shared" si="7"/>
        <v>NÃO</v>
      </c>
      <c r="BK8" s="219" t="s">
        <v>4437</v>
      </c>
      <c r="BL8" s="219" t="s">
        <v>4437</v>
      </c>
      <c r="BM8" s="219" t="s">
        <v>4437</v>
      </c>
      <c r="BN8" s="207" t="s">
        <v>4425</v>
      </c>
      <c r="BO8" s="207" t="s">
        <v>4425</v>
      </c>
      <c r="BP8" s="202">
        <v>46224</v>
      </c>
      <c r="BQ8" s="207" t="s">
        <v>4425</v>
      </c>
      <c r="BR8" s="232" t="s">
        <v>4435</v>
      </c>
    </row>
    <row r="9" spans="1:112" s="223" customFormat="1" ht="27" customHeight="1">
      <c r="A9" s="197">
        <v>5</v>
      </c>
      <c r="B9" s="197" t="s">
        <v>4396</v>
      </c>
      <c r="C9" s="207" t="s">
        <v>4413</v>
      </c>
      <c r="D9" s="207">
        <v>1</v>
      </c>
      <c r="E9" s="207" t="s">
        <v>4398</v>
      </c>
      <c r="F9" s="214" t="s">
        <v>4444</v>
      </c>
      <c r="G9" s="207" t="s">
        <v>4400</v>
      </c>
      <c r="H9" s="207" t="s">
        <v>4401</v>
      </c>
      <c r="I9" s="163" t="s">
        <v>4421</v>
      </c>
      <c r="J9" s="215" t="s">
        <v>4445</v>
      </c>
      <c r="K9" s="215" t="s">
        <v>4440</v>
      </c>
      <c r="L9" s="215" t="s">
        <v>4446</v>
      </c>
      <c r="M9" s="197"/>
      <c r="N9" s="197"/>
      <c r="O9" s="202" t="s">
        <v>4409</v>
      </c>
      <c r="P9" s="202" t="s">
        <v>4409</v>
      </c>
      <c r="Q9" s="202" t="s">
        <v>4409</v>
      </c>
      <c r="R9" s="202" t="s">
        <v>4409</v>
      </c>
      <c r="S9" s="202" t="s">
        <v>4409</v>
      </c>
      <c r="T9" s="202" t="s">
        <v>4409</v>
      </c>
      <c r="U9" s="202" t="s">
        <v>4409</v>
      </c>
      <c r="V9" s="202" t="s">
        <v>4409</v>
      </c>
      <c r="W9" s="202" t="s">
        <v>4409</v>
      </c>
      <c r="X9" s="202" t="s">
        <v>4409</v>
      </c>
      <c r="Y9" s="202"/>
      <c r="Z9" s="219"/>
      <c r="AA9" s="215" t="s">
        <v>4445</v>
      </c>
      <c r="AB9" s="215" t="s">
        <v>4440</v>
      </c>
      <c r="AC9" s="215" t="s">
        <v>4446</v>
      </c>
      <c r="AD9" s="217" t="s">
        <v>4421</v>
      </c>
      <c r="AE9" s="207" t="s">
        <v>4405</v>
      </c>
      <c r="AF9" s="218">
        <v>93714.3</v>
      </c>
      <c r="AG9" s="218">
        <v>93714.3</v>
      </c>
      <c r="AH9" s="207" t="s">
        <v>4433</v>
      </c>
      <c r="AI9" s="214" t="s">
        <v>4411</v>
      </c>
      <c r="AJ9" s="207">
        <v>161384436</v>
      </c>
      <c r="AK9" s="316">
        <v>46258</v>
      </c>
      <c r="AL9" s="316">
        <v>46258</v>
      </c>
      <c r="AM9" s="316">
        <v>46258</v>
      </c>
      <c r="AN9" s="316">
        <v>46258</v>
      </c>
      <c r="AO9" s="316"/>
      <c r="AP9" s="316"/>
      <c r="AQ9" s="314"/>
      <c r="AR9" s="315" t="str">
        <f t="shared" si="4"/>
        <v>AGUARDANDO ASSINATURA GAB</v>
      </c>
      <c r="AS9" s="207" t="s">
        <v>4447</v>
      </c>
      <c r="AT9" s="207"/>
      <c r="AU9" s="220"/>
      <c r="AV9" s="207"/>
      <c r="AW9" s="207"/>
      <c r="AX9" s="207"/>
      <c r="AY9" s="207"/>
      <c r="AZ9" s="202"/>
      <c r="BA9" s="207"/>
      <c r="BB9" s="207"/>
      <c r="BC9" s="202"/>
      <c r="BD9" s="227"/>
      <c r="BE9" s="227"/>
      <c r="BF9" s="228"/>
      <c r="BG9" s="219"/>
      <c r="BH9" s="321" t="str">
        <f t="shared" si="5"/>
        <v/>
      </c>
      <c r="BI9" s="98" t="str">
        <f t="shared" si="6"/>
        <v>INDENIZAÇÃO</v>
      </c>
      <c r="BJ9" s="98" t="str">
        <f t="shared" si="7"/>
        <v>NÃO</v>
      </c>
      <c r="BK9" s="219"/>
      <c r="BL9" s="219"/>
      <c r="BM9" s="219"/>
      <c r="BN9" s="207"/>
      <c r="BO9" s="207"/>
      <c r="BP9" s="202"/>
      <c r="BQ9" s="207"/>
      <c r="BR9" s="232"/>
    </row>
    <row r="10" spans="1:112" s="223" customFormat="1" ht="27" hidden="1" customHeight="1">
      <c r="A10" s="197">
        <v>6</v>
      </c>
      <c r="B10" s="197" t="s">
        <v>4396</v>
      </c>
      <c r="C10" s="207" t="s">
        <v>4397</v>
      </c>
      <c r="D10" s="207">
        <v>1</v>
      </c>
      <c r="E10" s="207" t="s">
        <v>4398</v>
      </c>
      <c r="F10" s="214" t="s">
        <v>4448</v>
      </c>
      <c r="G10" s="207" t="s">
        <v>4400</v>
      </c>
      <c r="H10" s="207" t="s">
        <v>4449</v>
      </c>
      <c r="I10" s="163" t="s">
        <v>4421</v>
      </c>
      <c r="J10" s="215" t="s">
        <v>4450</v>
      </c>
      <c r="K10" s="215" t="s">
        <v>4451</v>
      </c>
      <c r="L10" s="215" t="s">
        <v>4452</v>
      </c>
      <c r="M10" s="197" t="s">
        <v>4405</v>
      </c>
      <c r="N10" s="207" t="s">
        <v>4442</v>
      </c>
      <c r="O10" s="202" t="s">
        <v>4409</v>
      </c>
      <c r="P10" s="202" t="s">
        <v>4409</v>
      </c>
      <c r="Q10" s="202" t="s">
        <v>4409</v>
      </c>
      <c r="R10" s="202" t="s">
        <v>4409</v>
      </c>
      <c r="S10" s="202" t="s">
        <v>4409</v>
      </c>
      <c r="T10" s="202" t="s">
        <v>4409</v>
      </c>
      <c r="U10" s="202" t="s">
        <v>4409</v>
      </c>
      <c r="V10" s="202" t="s">
        <v>4409</v>
      </c>
      <c r="W10" s="202" t="s">
        <v>4409</v>
      </c>
      <c r="X10" s="202" t="s">
        <v>4409</v>
      </c>
      <c r="Y10" s="202"/>
      <c r="Z10" s="202"/>
      <c r="AA10" s="215" t="s">
        <v>4450</v>
      </c>
      <c r="AB10" s="215" t="s">
        <v>4451</v>
      </c>
      <c r="AC10" s="215" t="s">
        <v>4452</v>
      </c>
      <c r="AD10" s="233" t="s">
        <v>4421</v>
      </c>
      <c r="AE10" s="219" t="s">
        <v>4405</v>
      </c>
      <c r="AF10" s="218"/>
      <c r="AG10" s="218"/>
      <c r="AH10" s="207"/>
      <c r="AI10" s="214" t="s">
        <v>4411</v>
      </c>
      <c r="AJ10" s="207"/>
      <c r="AK10" s="316">
        <v>46037</v>
      </c>
      <c r="AL10" s="316">
        <v>46037</v>
      </c>
      <c r="AM10" s="316">
        <v>46037</v>
      </c>
      <c r="AN10" s="316">
        <v>46037</v>
      </c>
      <c r="AO10" s="316">
        <v>46037</v>
      </c>
      <c r="AP10" s="316">
        <v>46037</v>
      </c>
      <c r="AQ10" s="314"/>
      <c r="AR10" s="315" t="str">
        <f t="shared" si="4"/>
        <v>FINALIZADO</v>
      </c>
      <c r="AS10" s="207"/>
      <c r="AT10" s="219"/>
      <c r="AU10" s="220"/>
      <c r="AV10" s="219"/>
      <c r="AW10" s="219"/>
      <c r="AX10" s="219"/>
      <c r="AY10" s="219"/>
      <c r="AZ10" s="219"/>
      <c r="BA10" s="219"/>
      <c r="BB10" s="219"/>
      <c r="BC10" s="219"/>
      <c r="BD10" s="208"/>
      <c r="BE10" s="203"/>
      <c r="BF10" s="219"/>
      <c r="BG10" s="219"/>
      <c r="BH10" s="321" t="str">
        <f t="shared" si="5"/>
        <v/>
      </c>
      <c r="BI10" s="98" t="str">
        <f t="shared" si="6"/>
        <v>INDENIZAÇÃO</v>
      </c>
      <c r="BJ10" s="98" t="str">
        <f t="shared" si="7"/>
        <v>NÃO</v>
      </c>
      <c r="BK10" s="219"/>
      <c r="BL10" s="221"/>
      <c r="BM10" s="221"/>
      <c r="BN10" s="219"/>
      <c r="BO10" s="219"/>
      <c r="BP10" s="219"/>
      <c r="BQ10" s="219"/>
      <c r="BR10" s="222"/>
    </row>
    <row r="11" spans="1:112" s="223" customFormat="1" ht="27" hidden="1" customHeight="1">
      <c r="A11" s="207">
        <v>7</v>
      </c>
      <c r="B11" s="197" t="s">
        <v>4396</v>
      </c>
      <c r="C11" s="207" t="s">
        <v>4453</v>
      </c>
      <c r="D11" s="207">
        <v>1</v>
      </c>
      <c r="E11" s="207" t="s">
        <v>4398</v>
      </c>
      <c r="F11" s="214" t="s">
        <v>4448</v>
      </c>
      <c r="G11" s="207" t="s">
        <v>4400</v>
      </c>
      <c r="H11" s="207" t="s">
        <v>4401</v>
      </c>
      <c r="I11" s="217" t="s">
        <v>4402</v>
      </c>
      <c r="J11" s="215" t="s">
        <v>4454</v>
      </c>
      <c r="K11" s="214" t="s">
        <v>4455</v>
      </c>
      <c r="L11" s="214" t="s">
        <v>4456</v>
      </c>
      <c r="M11" s="197" t="s">
        <v>4405</v>
      </c>
      <c r="N11" s="197" t="s">
        <v>4406</v>
      </c>
      <c r="O11" s="202">
        <v>45986</v>
      </c>
      <c r="P11" s="203" t="s">
        <v>4407</v>
      </c>
      <c r="Q11" s="203">
        <v>45985</v>
      </c>
      <c r="R11" s="203">
        <v>45986</v>
      </c>
      <c r="S11" s="203">
        <v>45987</v>
      </c>
      <c r="T11" s="203">
        <v>45992</v>
      </c>
      <c r="U11" s="202" t="s">
        <v>4408</v>
      </c>
      <c r="V11" s="202" t="s">
        <v>4408</v>
      </c>
      <c r="W11" s="202">
        <v>45999</v>
      </c>
      <c r="X11" s="202">
        <v>46000</v>
      </c>
      <c r="Y11" s="202">
        <v>46017</v>
      </c>
      <c r="Z11" s="207"/>
      <c r="AA11" s="215" t="s">
        <v>4454</v>
      </c>
      <c r="AB11" s="215" t="s">
        <v>4455</v>
      </c>
      <c r="AC11" s="215" t="s">
        <v>4456</v>
      </c>
      <c r="AD11" s="204" t="s">
        <v>4402</v>
      </c>
      <c r="AE11" s="204" t="s">
        <v>4405</v>
      </c>
      <c r="AF11" s="205" t="s">
        <v>4409</v>
      </c>
      <c r="AG11" s="205" t="s">
        <v>4409</v>
      </c>
      <c r="AH11" s="204" t="s">
        <v>4410</v>
      </c>
      <c r="AI11" s="214" t="s">
        <v>4411</v>
      </c>
      <c r="AJ11" s="207"/>
      <c r="AK11" s="316">
        <v>45979</v>
      </c>
      <c r="AL11" s="316">
        <v>45979</v>
      </c>
      <c r="AM11" s="316">
        <v>45979</v>
      </c>
      <c r="AN11" s="316">
        <v>45979</v>
      </c>
      <c r="AO11" s="316">
        <v>45979</v>
      </c>
      <c r="AP11" s="316">
        <v>45979</v>
      </c>
      <c r="AQ11" s="314"/>
      <c r="AR11" s="315" t="str">
        <f t="shared" si="4"/>
        <v>FINALIZADO</v>
      </c>
      <c r="AS11" s="207"/>
      <c r="AT11" s="207"/>
      <c r="AU11" s="220"/>
      <c r="AV11" s="197"/>
      <c r="AW11" s="207"/>
      <c r="AX11" s="207"/>
      <c r="AY11" s="207"/>
      <c r="AZ11" s="202"/>
      <c r="BA11" s="207"/>
      <c r="BB11" s="207"/>
      <c r="BC11" s="202"/>
      <c r="BD11" s="208"/>
      <c r="BE11" s="209">
        <v>46017</v>
      </c>
      <c r="BF11" s="197" t="s">
        <v>4412</v>
      </c>
      <c r="BG11" s="229"/>
      <c r="BH11" s="321" t="str">
        <f t="shared" si="5"/>
        <v/>
      </c>
      <c r="BI11" s="98" t="str">
        <f t="shared" si="6"/>
        <v>AA</v>
      </c>
      <c r="BJ11" s="98" t="str">
        <f t="shared" si="7"/>
        <v>NÃO</v>
      </c>
      <c r="BK11" s="230"/>
      <c r="BL11" s="230"/>
      <c r="BM11" s="230"/>
      <c r="BN11" s="230"/>
      <c r="BO11" s="230"/>
      <c r="BP11" s="230"/>
      <c r="BQ11" s="230"/>
      <c r="BR11" s="234"/>
    </row>
    <row r="12" spans="1:112" s="223" customFormat="1" ht="27" hidden="1" customHeight="1">
      <c r="A12" s="207">
        <v>8</v>
      </c>
      <c r="B12" s="197" t="s">
        <v>4396</v>
      </c>
      <c r="C12" s="207" t="s">
        <v>4427</v>
      </c>
      <c r="D12" s="207">
        <v>1</v>
      </c>
      <c r="E12" s="207" t="s">
        <v>4398</v>
      </c>
      <c r="F12" s="214" t="s">
        <v>4448</v>
      </c>
      <c r="G12" s="207" t="s">
        <v>4400</v>
      </c>
      <c r="H12" s="207" t="s">
        <v>4401</v>
      </c>
      <c r="I12" s="217" t="s">
        <v>4402</v>
      </c>
      <c r="J12" s="215" t="s">
        <v>4457</v>
      </c>
      <c r="K12" s="214" t="s">
        <v>4398</v>
      </c>
      <c r="L12" s="214" t="s">
        <v>4458</v>
      </c>
      <c r="M12" s="197" t="s">
        <v>4405</v>
      </c>
      <c r="N12" s="207" t="s">
        <v>4442</v>
      </c>
      <c r="O12" s="202" t="s">
        <v>4409</v>
      </c>
      <c r="P12" s="202" t="s">
        <v>4409</v>
      </c>
      <c r="Q12" s="202" t="s">
        <v>4409</v>
      </c>
      <c r="R12" s="202" t="s">
        <v>4409</v>
      </c>
      <c r="S12" s="202" t="s">
        <v>4409</v>
      </c>
      <c r="T12" s="202" t="s">
        <v>4409</v>
      </c>
      <c r="U12" s="202" t="s">
        <v>4409</v>
      </c>
      <c r="V12" s="202" t="s">
        <v>4409</v>
      </c>
      <c r="W12" s="202" t="s">
        <v>4409</v>
      </c>
      <c r="X12" s="202" t="s">
        <v>4409</v>
      </c>
      <c r="Y12" s="202"/>
      <c r="Z12" s="207"/>
      <c r="AA12" s="215" t="s">
        <v>4457</v>
      </c>
      <c r="AB12" s="214" t="s">
        <v>4398</v>
      </c>
      <c r="AC12" s="214" t="s">
        <v>4458</v>
      </c>
      <c r="AD12" s="204" t="s">
        <v>4402</v>
      </c>
      <c r="AE12" s="204" t="s">
        <v>4405</v>
      </c>
      <c r="AF12" s="218">
        <v>20634.240000000002</v>
      </c>
      <c r="AG12" s="218">
        <f>AF12+30000</f>
        <v>50634.240000000005</v>
      </c>
      <c r="AH12" s="207" t="s">
        <v>4433</v>
      </c>
      <c r="AI12" s="214" t="s">
        <v>4411</v>
      </c>
      <c r="AJ12" s="207">
        <v>147744826</v>
      </c>
      <c r="AK12" s="316">
        <v>46001</v>
      </c>
      <c r="AL12" s="316">
        <v>46001</v>
      </c>
      <c r="AM12" s="316">
        <v>46001</v>
      </c>
      <c r="AN12" s="316">
        <v>46001</v>
      </c>
      <c r="AO12" s="316">
        <v>46001</v>
      </c>
      <c r="AP12" s="316">
        <v>46001</v>
      </c>
      <c r="AQ12" s="314"/>
      <c r="AR12" s="315" t="str">
        <f t="shared" si="4"/>
        <v>FINALIZADO</v>
      </c>
      <c r="AS12" s="207" t="s">
        <v>4423</v>
      </c>
      <c r="AT12" s="207"/>
      <c r="AU12" s="220" t="s">
        <v>4459</v>
      </c>
      <c r="AV12" s="207" t="s">
        <v>4425</v>
      </c>
      <c r="AW12" s="207" t="s">
        <v>4425</v>
      </c>
      <c r="AX12" s="207" t="s">
        <v>4425</v>
      </c>
      <c r="AY12" s="207" t="s">
        <v>4425</v>
      </c>
      <c r="AZ12" s="203">
        <v>46024</v>
      </c>
      <c r="BA12" s="207" t="s">
        <v>4425</v>
      </c>
      <c r="BB12" s="207" t="s">
        <v>4425</v>
      </c>
      <c r="BC12" s="208">
        <v>46037</v>
      </c>
      <c r="BD12" s="226">
        <v>46037</v>
      </c>
      <c r="BE12" s="227" t="s">
        <v>4435</v>
      </c>
      <c r="BF12" s="228" t="s">
        <v>4436</v>
      </c>
      <c r="BG12" s="229" t="s">
        <v>4425</v>
      </c>
      <c r="BH12" s="321">
        <f t="shared" si="5"/>
        <v>36</v>
      </c>
      <c r="BI12" s="98" t="str">
        <f t="shared" si="6"/>
        <v>INDENIZAÇÃO</v>
      </c>
      <c r="BJ12" s="98" t="str">
        <f t="shared" si="7"/>
        <v>NÃO</v>
      </c>
      <c r="BK12" s="230" t="s">
        <v>4437</v>
      </c>
      <c r="BL12" s="230" t="s">
        <v>4437</v>
      </c>
      <c r="BM12" s="230" t="s">
        <v>4437</v>
      </c>
      <c r="BN12" s="207" t="s">
        <v>4425</v>
      </c>
      <c r="BO12" s="207" t="s">
        <v>4425</v>
      </c>
      <c r="BP12" s="203">
        <v>46128</v>
      </c>
      <c r="BQ12" s="207" t="s">
        <v>4425</v>
      </c>
      <c r="BR12" s="231" t="s">
        <v>4435</v>
      </c>
    </row>
    <row r="13" spans="1:112" s="223" customFormat="1" ht="27" hidden="1" customHeight="1">
      <c r="A13" s="207">
        <v>9</v>
      </c>
      <c r="B13" s="197" t="s">
        <v>4396</v>
      </c>
      <c r="C13" s="207" t="s">
        <v>4453</v>
      </c>
      <c r="D13" s="207">
        <v>1</v>
      </c>
      <c r="E13" s="207" t="s">
        <v>4398</v>
      </c>
      <c r="F13" s="214" t="s">
        <v>4460</v>
      </c>
      <c r="G13" s="207" t="s">
        <v>4400</v>
      </c>
      <c r="H13" s="207" t="s">
        <v>4401</v>
      </c>
      <c r="I13" s="217" t="s">
        <v>4402</v>
      </c>
      <c r="J13" s="215" t="s">
        <v>4461</v>
      </c>
      <c r="K13" s="215" t="s">
        <v>4462</v>
      </c>
      <c r="L13" s="215" t="s">
        <v>4463</v>
      </c>
      <c r="M13" s="197" t="s">
        <v>4405</v>
      </c>
      <c r="N13" s="207" t="s">
        <v>4406</v>
      </c>
      <c r="O13" s="203">
        <v>46044</v>
      </c>
      <c r="P13" s="203" t="s">
        <v>4407</v>
      </c>
      <c r="Q13" s="203">
        <v>46043</v>
      </c>
      <c r="R13" s="203">
        <v>46044</v>
      </c>
      <c r="S13" s="203">
        <v>46045</v>
      </c>
      <c r="T13" s="203">
        <v>46155</v>
      </c>
      <c r="U13" s="202" t="s">
        <v>4408</v>
      </c>
      <c r="V13" s="202" t="s">
        <v>4408</v>
      </c>
      <c r="W13" s="202">
        <v>46055</v>
      </c>
      <c r="X13" s="202">
        <v>46063</v>
      </c>
      <c r="Y13" s="202">
        <v>46017</v>
      </c>
      <c r="Z13" s="207"/>
      <c r="AA13" s="215" t="s">
        <v>4461</v>
      </c>
      <c r="AB13" s="215" t="s">
        <v>4462</v>
      </c>
      <c r="AC13" s="215" t="s">
        <v>4463</v>
      </c>
      <c r="AD13" s="204" t="s">
        <v>4402</v>
      </c>
      <c r="AE13" s="204" t="s">
        <v>4405</v>
      </c>
      <c r="AF13" s="205" t="s">
        <v>4409</v>
      </c>
      <c r="AG13" s="205" t="s">
        <v>4409</v>
      </c>
      <c r="AH13" s="204" t="s">
        <v>4410</v>
      </c>
      <c r="AI13" s="214" t="s">
        <v>4411</v>
      </c>
      <c r="AJ13" s="207"/>
      <c r="AK13" s="316">
        <v>46041</v>
      </c>
      <c r="AL13" s="316">
        <v>46041</v>
      </c>
      <c r="AM13" s="316">
        <v>46041</v>
      </c>
      <c r="AN13" s="316">
        <v>46041</v>
      </c>
      <c r="AO13" s="316">
        <v>46041</v>
      </c>
      <c r="AP13" s="316">
        <v>46041</v>
      </c>
      <c r="AQ13" s="314"/>
      <c r="AR13" s="315" t="str">
        <f t="shared" si="4"/>
        <v>FINALIZADO</v>
      </c>
      <c r="AS13" s="207"/>
      <c r="AT13" s="207"/>
      <c r="AU13" s="220"/>
      <c r="AV13" s="207"/>
      <c r="AW13" s="207"/>
      <c r="AX13" s="207"/>
      <c r="AY13" s="207"/>
      <c r="AZ13" s="202"/>
      <c r="BA13" s="207"/>
      <c r="BB13" s="207"/>
      <c r="BC13" s="202"/>
      <c r="BD13" s="208"/>
      <c r="BE13" s="209">
        <v>46017</v>
      </c>
      <c r="BF13" s="197" t="s">
        <v>4412</v>
      </c>
      <c r="BG13" s="229"/>
      <c r="BH13" s="321" t="str">
        <f t="shared" si="5"/>
        <v/>
      </c>
      <c r="BI13" s="98" t="str">
        <f t="shared" si="6"/>
        <v>AA</v>
      </c>
      <c r="BJ13" s="98" t="str">
        <f t="shared" si="7"/>
        <v>NÃO</v>
      </c>
      <c r="BK13" s="230"/>
      <c r="BL13" s="230"/>
      <c r="BM13" s="230"/>
      <c r="BN13" s="230"/>
      <c r="BO13" s="230"/>
      <c r="BP13" s="230"/>
      <c r="BQ13" s="230"/>
      <c r="BR13" s="234"/>
    </row>
    <row r="14" spans="1:112" s="223" customFormat="1" ht="27" hidden="1" customHeight="1">
      <c r="A14" s="197">
        <v>10</v>
      </c>
      <c r="B14" s="197" t="s">
        <v>4396</v>
      </c>
      <c r="C14" s="207" t="s">
        <v>4427</v>
      </c>
      <c r="D14" s="207">
        <v>1</v>
      </c>
      <c r="E14" s="207" t="s">
        <v>4398</v>
      </c>
      <c r="F14" s="214" t="s">
        <v>4460</v>
      </c>
      <c r="G14" s="207" t="s">
        <v>4400</v>
      </c>
      <c r="H14" s="207" t="s">
        <v>4401</v>
      </c>
      <c r="I14" s="217" t="s">
        <v>4402</v>
      </c>
      <c r="J14" s="215" t="s">
        <v>4464</v>
      </c>
      <c r="K14" s="214" t="s">
        <v>4398</v>
      </c>
      <c r="L14" s="214" t="s">
        <v>4465</v>
      </c>
      <c r="M14" s="197" t="s">
        <v>4405</v>
      </c>
      <c r="N14" s="197" t="s">
        <v>4406</v>
      </c>
      <c r="O14" s="202">
        <v>46084</v>
      </c>
      <c r="P14" s="202" t="s">
        <v>4407</v>
      </c>
      <c r="Q14" s="202">
        <v>46083</v>
      </c>
      <c r="R14" s="203">
        <v>46084</v>
      </c>
      <c r="S14" s="203">
        <v>46087</v>
      </c>
      <c r="T14" s="203">
        <v>46090</v>
      </c>
      <c r="U14" s="202" t="s">
        <v>4408</v>
      </c>
      <c r="V14" s="202" t="s">
        <v>4408</v>
      </c>
      <c r="W14" s="202">
        <v>46101</v>
      </c>
      <c r="X14" s="202">
        <v>46101</v>
      </c>
      <c r="Y14" s="202"/>
      <c r="Z14" s="207"/>
      <c r="AA14" s="215" t="s">
        <v>4464</v>
      </c>
      <c r="AB14" s="214" t="s">
        <v>4398</v>
      </c>
      <c r="AC14" s="214" t="s">
        <v>4465</v>
      </c>
      <c r="AD14" s="207" t="s">
        <v>4402</v>
      </c>
      <c r="AE14" s="207" t="s">
        <v>4405</v>
      </c>
      <c r="AF14" s="218" t="s">
        <v>4409</v>
      </c>
      <c r="AG14" s="218" t="s">
        <v>4409</v>
      </c>
      <c r="AH14" s="207" t="s">
        <v>4410</v>
      </c>
      <c r="AI14" s="214" t="s">
        <v>4411</v>
      </c>
      <c r="AJ14" s="207"/>
      <c r="AK14" s="316">
        <v>46084</v>
      </c>
      <c r="AL14" s="316">
        <v>46084</v>
      </c>
      <c r="AM14" s="316">
        <v>46084</v>
      </c>
      <c r="AN14" s="316">
        <v>46084</v>
      </c>
      <c r="AO14" s="316">
        <v>46084</v>
      </c>
      <c r="AP14" s="316">
        <v>46084</v>
      </c>
      <c r="AQ14" s="314"/>
      <c r="AR14" s="315" t="str">
        <f t="shared" si="4"/>
        <v>FINALIZADO</v>
      </c>
      <c r="AS14" s="207"/>
      <c r="AT14" s="207"/>
      <c r="AU14" s="220"/>
      <c r="AV14" s="207"/>
      <c r="AW14" s="207"/>
      <c r="AX14" s="207"/>
      <c r="AY14" s="207"/>
      <c r="AZ14" s="202"/>
      <c r="BA14" s="207"/>
      <c r="BB14" s="207"/>
      <c r="BC14" s="202"/>
      <c r="BD14" s="208"/>
      <c r="BE14" s="202"/>
      <c r="BF14" s="207"/>
      <c r="BG14" s="229"/>
      <c r="BH14" s="321" t="str">
        <f t="shared" si="5"/>
        <v/>
      </c>
      <c r="BI14" s="98" t="str">
        <f t="shared" si="6"/>
        <v>AA</v>
      </c>
      <c r="BJ14" s="98" t="str">
        <f t="shared" si="7"/>
        <v>NÃO</v>
      </c>
      <c r="BK14" s="230"/>
      <c r="BL14" s="230"/>
      <c r="BM14" s="230"/>
      <c r="BN14" s="230"/>
      <c r="BO14" s="230"/>
      <c r="BP14" s="230"/>
      <c r="BQ14" s="230"/>
      <c r="BR14" s="234"/>
    </row>
    <row r="15" spans="1:112" s="223" customFormat="1" ht="27" hidden="1" customHeight="1">
      <c r="A15" s="197">
        <v>11</v>
      </c>
      <c r="B15" s="197" t="s">
        <v>4396</v>
      </c>
      <c r="C15" s="207" t="s">
        <v>4427</v>
      </c>
      <c r="D15" s="207">
        <v>1</v>
      </c>
      <c r="E15" s="250" t="s">
        <v>4398</v>
      </c>
      <c r="F15" s="214" t="s">
        <v>4466</v>
      </c>
      <c r="G15" s="207" t="s">
        <v>4400</v>
      </c>
      <c r="H15" s="207" t="s">
        <v>4401</v>
      </c>
      <c r="I15" s="217" t="s">
        <v>4402</v>
      </c>
      <c r="J15" s="215" t="s">
        <v>4467</v>
      </c>
      <c r="K15" s="214" t="s">
        <v>4468</v>
      </c>
      <c r="L15" s="214" t="s">
        <v>4469</v>
      </c>
      <c r="M15" s="197" t="s">
        <v>4405</v>
      </c>
      <c r="N15" s="197" t="s">
        <v>4442</v>
      </c>
      <c r="O15" s="202" t="s">
        <v>4409</v>
      </c>
      <c r="P15" s="202" t="s">
        <v>4409</v>
      </c>
      <c r="Q15" s="202" t="s">
        <v>4409</v>
      </c>
      <c r="R15" s="202" t="s">
        <v>4409</v>
      </c>
      <c r="S15" s="202" t="s">
        <v>4409</v>
      </c>
      <c r="T15" s="202" t="s">
        <v>4409</v>
      </c>
      <c r="U15" s="202" t="s">
        <v>4409</v>
      </c>
      <c r="V15" s="202" t="s">
        <v>4409</v>
      </c>
      <c r="W15" s="202" t="s">
        <v>4409</v>
      </c>
      <c r="X15" s="202" t="s">
        <v>4409</v>
      </c>
      <c r="Y15" s="202"/>
      <c r="Z15" s="207"/>
      <c r="AA15" s="215" t="s">
        <v>4467</v>
      </c>
      <c r="AB15" s="214" t="s">
        <v>4468</v>
      </c>
      <c r="AC15" s="214" t="s">
        <v>4469</v>
      </c>
      <c r="AD15" s="207" t="s">
        <v>4402</v>
      </c>
      <c r="AE15" s="207" t="s">
        <v>4405</v>
      </c>
      <c r="AF15" s="218">
        <v>20185.43</v>
      </c>
      <c r="AG15" s="218">
        <f>AF15+30000</f>
        <v>50185.43</v>
      </c>
      <c r="AH15" s="207" t="s">
        <v>4433</v>
      </c>
      <c r="AI15" s="214" t="s">
        <v>4411</v>
      </c>
      <c r="AJ15" s="207">
        <v>149592865</v>
      </c>
      <c r="AK15" s="316">
        <v>46059</v>
      </c>
      <c r="AL15" s="316">
        <v>46059</v>
      </c>
      <c r="AM15" s="316">
        <v>46059</v>
      </c>
      <c r="AN15" s="316">
        <v>46059</v>
      </c>
      <c r="AO15" s="316"/>
      <c r="AP15" s="316"/>
      <c r="AQ15" s="314"/>
      <c r="AR15" s="315" t="str">
        <f t="shared" si="4"/>
        <v>AGUARDANDO ASSINATURA GAB</v>
      </c>
      <c r="AS15" s="207"/>
      <c r="AT15" s="207"/>
      <c r="AU15" s="220"/>
      <c r="AV15" s="207"/>
      <c r="AW15" s="207"/>
      <c r="AX15" s="207"/>
      <c r="AY15" s="207"/>
      <c r="AZ15" s="202"/>
      <c r="BA15" s="207"/>
      <c r="BB15" s="207"/>
      <c r="BC15" s="202"/>
      <c r="BD15" s="208"/>
      <c r="BE15" s="202"/>
      <c r="BF15" s="207"/>
      <c r="BG15" s="229"/>
      <c r="BH15" s="321" t="str">
        <f t="shared" si="5"/>
        <v/>
      </c>
      <c r="BI15" s="98" t="str">
        <f t="shared" si="6"/>
        <v>INDENIZAÇÃO</v>
      </c>
      <c r="BJ15" s="98" t="str">
        <f t="shared" si="7"/>
        <v>NÃO</v>
      </c>
      <c r="BK15" s="230"/>
      <c r="BL15" s="230"/>
      <c r="BM15" s="230"/>
      <c r="BN15" s="230"/>
      <c r="BO15" s="230"/>
      <c r="BP15" s="230"/>
      <c r="BQ15" s="230"/>
      <c r="BR15" s="234"/>
    </row>
    <row r="16" spans="1:112" s="223" customFormat="1" ht="27" hidden="1" customHeight="1">
      <c r="A16" s="207">
        <v>12</v>
      </c>
      <c r="B16" s="197" t="s">
        <v>4396</v>
      </c>
      <c r="C16" s="207" t="s">
        <v>4427</v>
      </c>
      <c r="D16" s="207">
        <v>1</v>
      </c>
      <c r="E16" s="207" t="s">
        <v>4398</v>
      </c>
      <c r="F16" s="214" t="s">
        <v>4470</v>
      </c>
      <c r="G16" s="207" t="s">
        <v>4400</v>
      </c>
      <c r="H16" s="207" t="s">
        <v>4401</v>
      </c>
      <c r="I16" s="217" t="s">
        <v>4402</v>
      </c>
      <c r="J16" s="215" t="s">
        <v>4471</v>
      </c>
      <c r="K16" s="214" t="s">
        <v>4472</v>
      </c>
      <c r="L16" s="214" t="s">
        <v>4473</v>
      </c>
      <c r="M16" s="197" t="s">
        <v>4405</v>
      </c>
      <c r="N16" s="197" t="s">
        <v>4406</v>
      </c>
      <c r="O16" s="202">
        <v>45986</v>
      </c>
      <c r="P16" s="203" t="s">
        <v>4407</v>
      </c>
      <c r="Q16" s="203">
        <v>45985</v>
      </c>
      <c r="R16" s="203">
        <v>45986</v>
      </c>
      <c r="S16" s="203">
        <v>45987</v>
      </c>
      <c r="T16" s="203">
        <v>45992</v>
      </c>
      <c r="U16" s="202" t="s">
        <v>4408</v>
      </c>
      <c r="V16" s="202" t="s">
        <v>4408</v>
      </c>
      <c r="W16" s="202">
        <v>45999</v>
      </c>
      <c r="X16" s="202">
        <v>46009</v>
      </c>
      <c r="Y16" s="202"/>
      <c r="Z16" s="207"/>
      <c r="AA16" s="215" t="s">
        <v>4471</v>
      </c>
      <c r="AB16" s="214" t="s">
        <v>4472</v>
      </c>
      <c r="AC16" s="214" t="s">
        <v>4473</v>
      </c>
      <c r="AD16" s="217" t="s">
        <v>4402</v>
      </c>
      <c r="AE16" s="207" t="s">
        <v>4405</v>
      </c>
      <c r="AF16" s="218" t="s">
        <v>4409</v>
      </c>
      <c r="AG16" s="218" t="s">
        <v>4409</v>
      </c>
      <c r="AH16" s="207" t="s">
        <v>4410</v>
      </c>
      <c r="AI16" s="214" t="s">
        <v>4411</v>
      </c>
      <c r="AJ16" s="207"/>
      <c r="AK16" s="316">
        <v>45980</v>
      </c>
      <c r="AL16" s="316">
        <v>45980</v>
      </c>
      <c r="AM16" s="316">
        <v>45980</v>
      </c>
      <c r="AN16" s="316">
        <v>45980</v>
      </c>
      <c r="AO16" s="316">
        <v>45980</v>
      </c>
      <c r="AP16" s="316">
        <v>45980</v>
      </c>
      <c r="AQ16" s="314"/>
      <c r="AR16" s="315" t="str">
        <f t="shared" si="4"/>
        <v>FINALIZADO</v>
      </c>
      <c r="AS16" s="207"/>
      <c r="AT16" s="207"/>
      <c r="AU16" s="220"/>
      <c r="AV16" s="207"/>
      <c r="AW16" s="207"/>
      <c r="AX16" s="207"/>
      <c r="AY16" s="207"/>
      <c r="AZ16" s="202"/>
      <c r="BA16" s="207"/>
      <c r="BB16" s="207"/>
      <c r="BC16" s="202"/>
      <c r="BD16" s="208"/>
      <c r="BE16" s="202"/>
      <c r="BF16" s="207"/>
      <c r="BG16" s="229"/>
      <c r="BH16" s="321" t="str">
        <f t="shared" si="5"/>
        <v/>
      </c>
      <c r="BI16" s="98" t="str">
        <f t="shared" si="6"/>
        <v>AA</v>
      </c>
      <c r="BJ16" s="98" t="str">
        <f t="shared" si="7"/>
        <v>NÃO</v>
      </c>
      <c r="BK16" s="230"/>
      <c r="BL16" s="230"/>
      <c r="BM16" s="230"/>
      <c r="BN16" s="230"/>
      <c r="BO16" s="230"/>
      <c r="BP16" s="230"/>
      <c r="BQ16" s="230"/>
      <c r="BR16" s="234"/>
    </row>
    <row r="17" spans="1:112" s="223" customFormat="1" ht="27" hidden="1" customHeight="1">
      <c r="A17" s="207">
        <v>13</v>
      </c>
      <c r="B17" s="197" t="s">
        <v>4396</v>
      </c>
      <c r="C17" s="207" t="s">
        <v>4427</v>
      </c>
      <c r="D17" s="207">
        <v>1</v>
      </c>
      <c r="E17" s="207" t="s">
        <v>4398</v>
      </c>
      <c r="F17" s="214" t="s">
        <v>4474</v>
      </c>
      <c r="G17" s="207" t="s">
        <v>4400</v>
      </c>
      <c r="H17" s="207" t="s">
        <v>4401</v>
      </c>
      <c r="I17" s="217" t="s">
        <v>4402</v>
      </c>
      <c r="J17" s="215" t="s">
        <v>4475</v>
      </c>
      <c r="K17" s="214" t="s">
        <v>4476</v>
      </c>
      <c r="L17" s="214" t="s">
        <v>4477</v>
      </c>
      <c r="M17" s="197" t="s">
        <v>4405</v>
      </c>
      <c r="N17" s="197" t="s">
        <v>4442</v>
      </c>
      <c r="O17" s="202" t="s">
        <v>4409</v>
      </c>
      <c r="P17" s="202" t="s">
        <v>4409</v>
      </c>
      <c r="Q17" s="202" t="s">
        <v>4409</v>
      </c>
      <c r="R17" s="202" t="s">
        <v>4409</v>
      </c>
      <c r="S17" s="202" t="s">
        <v>4409</v>
      </c>
      <c r="T17" s="202" t="s">
        <v>4409</v>
      </c>
      <c r="U17" s="202" t="s">
        <v>4409</v>
      </c>
      <c r="V17" s="202" t="s">
        <v>4409</v>
      </c>
      <c r="W17" s="202" t="s">
        <v>4409</v>
      </c>
      <c r="X17" s="202" t="s">
        <v>4409</v>
      </c>
      <c r="Y17" s="202"/>
      <c r="Z17" s="207"/>
      <c r="AA17" s="215" t="s">
        <v>4475</v>
      </c>
      <c r="AB17" s="214" t="s">
        <v>4476</v>
      </c>
      <c r="AC17" s="214" t="s">
        <v>4477</v>
      </c>
      <c r="AD17" s="207" t="s">
        <v>4402</v>
      </c>
      <c r="AE17" s="207" t="s">
        <v>4405</v>
      </c>
      <c r="AF17" s="218">
        <v>30184.77</v>
      </c>
      <c r="AG17" s="218">
        <v>60000</v>
      </c>
      <c r="AH17" s="207" t="s">
        <v>4422</v>
      </c>
      <c r="AI17" s="214" t="s">
        <v>4411</v>
      </c>
      <c r="AJ17" s="207">
        <v>154259974</v>
      </c>
      <c r="AK17" s="316">
        <v>46086</v>
      </c>
      <c r="AL17" s="316">
        <v>46086</v>
      </c>
      <c r="AM17" s="316">
        <v>46086</v>
      </c>
      <c r="AN17" s="316">
        <v>46086</v>
      </c>
      <c r="AO17" s="316">
        <v>46086</v>
      </c>
      <c r="AP17" s="316">
        <v>46086</v>
      </c>
      <c r="AQ17" s="314"/>
      <c r="AR17" s="315" t="str">
        <f t="shared" si="4"/>
        <v>FINALIZADO</v>
      </c>
      <c r="AS17" s="207" t="s">
        <v>4423</v>
      </c>
      <c r="AT17" s="207"/>
      <c r="AU17" s="220" t="s">
        <v>4478</v>
      </c>
      <c r="AV17" s="207" t="s">
        <v>4425</v>
      </c>
      <c r="AW17" s="207" t="s">
        <v>4425</v>
      </c>
      <c r="AX17" s="207" t="s">
        <v>4425</v>
      </c>
      <c r="AY17" s="207" t="s">
        <v>4425</v>
      </c>
      <c r="AZ17" s="202">
        <v>46174</v>
      </c>
      <c r="BA17" s="207" t="s">
        <v>4425</v>
      </c>
      <c r="BB17" s="207" t="s">
        <v>4425</v>
      </c>
      <c r="BC17" s="202">
        <v>46182</v>
      </c>
      <c r="BD17" s="227">
        <v>46182</v>
      </c>
      <c r="BE17" s="235" t="s">
        <v>4435</v>
      </c>
      <c r="BF17" s="236" t="s">
        <v>4436</v>
      </c>
      <c r="BG17" s="237" t="s">
        <v>4425</v>
      </c>
      <c r="BH17" s="321">
        <f t="shared" si="5"/>
        <v>96</v>
      </c>
      <c r="BI17" s="98" t="str">
        <f t="shared" si="6"/>
        <v>INDENIZAÇÃO</v>
      </c>
      <c r="BJ17" s="98" t="str">
        <f t="shared" si="7"/>
        <v>NÃO</v>
      </c>
      <c r="BK17" s="238" t="s">
        <v>4437</v>
      </c>
      <c r="BL17" s="238" t="s">
        <v>4437</v>
      </c>
      <c r="BM17" s="238" t="s">
        <v>4437</v>
      </c>
      <c r="BN17" s="207" t="s">
        <v>4425</v>
      </c>
      <c r="BO17" s="207" t="s">
        <v>4425</v>
      </c>
      <c r="BP17" s="202">
        <v>46224</v>
      </c>
      <c r="BQ17" s="207" t="s">
        <v>4425</v>
      </c>
      <c r="BR17" s="232" t="s">
        <v>4435</v>
      </c>
    </row>
    <row r="18" spans="1:112" s="223" customFormat="1" ht="27" hidden="1" customHeight="1">
      <c r="A18" s="207">
        <v>14</v>
      </c>
      <c r="B18" s="197" t="s">
        <v>4396</v>
      </c>
      <c r="C18" s="207" t="s">
        <v>4427</v>
      </c>
      <c r="D18" s="207">
        <v>1</v>
      </c>
      <c r="E18" s="207" t="s">
        <v>4398</v>
      </c>
      <c r="F18" s="214" t="s">
        <v>4479</v>
      </c>
      <c r="G18" s="207" t="s">
        <v>4400</v>
      </c>
      <c r="H18" s="207" t="s">
        <v>4401</v>
      </c>
      <c r="I18" s="217" t="s">
        <v>4402</v>
      </c>
      <c r="J18" s="215" t="s">
        <v>4480</v>
      </c>
      <c r="K18" s="214" t="s">
        <v>4481</v>
      </c>
      <c r="L18" s="214" t="s">
        <v>4482</v>
      </c>
      <c r="M18" s="197" t="s">
        <v>4405</v>
      </c>
      <c r="N18" s="207" t="s">
        <v>4406</v>
      </c>
      <c r="O18" s="202">
        <v>46002</v>
      </c>
      <c r="P18" s="202" t="s">
        <v>4407</v>
      </c>
      <c r="Q18" s="202">
        <v>45999</v>
      </c>
      <c r="R18" s="202">
        <v>46006</v>
      </c>
      <c r="S18" s="202">
        <v>46006</v>
      </c>
      <c r="T18" s="202">
        <v>46009</v>
      </c>
      <c r="U18" s="202" t="s">
        <v>4408</v>
      </c>
      <c r="V18" s="202" t="s">
        <v>4408</v>
      </c>
      <c r="W18" s="202">
        <v>46014</v>
      </c>
      <c r="X18" s="202">
        <v>46017</v>
      </c>
      <c r="Y18" s="202"/>
      <c r="Z18" s="207"/>
      <c r="AA18" s="215" t="s">
        <v>4480</v>
      </c>
      <c r="AB18" s="214" t="s">
        <v>4481</v>
      </c>
      <c r="AC18" s="214" t="s">
        <v>4482</v>
      </c>
      <c r="AD18" s="217" t="s">
        <v>4402</v>
      </c>
      <c r="AE18" s="207" t="s">
        <v>4405</v>
      </c>
      <c r="AF18" s="218" t="s">
        <v>4409</v>
      </c>
      <c r="AG18" s="218" t="s">
        <v>4409</v>
      </c>
      <c r="AH18" s="207" t="s">
        <v>4410</v>
      </c>
      <c r="AI18" s="214" t="s">
        <v>4411</v>
      </c>
      <c r="AJ18" s="207"/>
      <c r="AK18" s="316">
        <v>45988</v>
      </c>
      <c r="AL18" s="316">
        <v>45988</v>
      </c>
      <c r="AM18" s="316">
        <v>45988</v>
      </c>
      <c r="AN18" s="316">
        <v>45988</v>
      </c>
      <c r="AO18" s="316">
        <v>45988</v>
      </c>
      <c r="AP18" s="316">
        <v>45988</v>
      </c>
      <c r="AQ18" s="314"/>
      <c r="AR18" s="315" t="str">
        <f t="shared" si="4"/>
        <v>FINALIZADO</v>
      </c>
      <c r="AS18" s="207"/>
      <c r="AT18" s="207"/>
      <c r="AU18" s="220"/>
      <c r="AV18" s="207"/>
      <c r="AW18" s="207"/>
      <c r="AX18" s="207"/>
      <c r="AY18" s="207"/>
      <c r="AZ18" s="202"/>
      <c r="BA18" s="207"/>
      <c r="BB18" s="207"/>
      <c r="BC18" s="202"/>
      <c r="BD18" s="208"/>
      <c r="BE18" s="202"/>
      <c r="BF18" s="207"/>
      <c r="BG18" s="229"/>
      <c r="BH18" s="321" t="str">
        <f t="shared" si="5"/>
        <v/>
      </c>
      <c r="BI18" s="98" t="str">
        <f t="shared" si="6"/>
        <v>AA</v>
      </c>
      <c r="BJ18" s="98" t="str">
        <f t="shared" si="7"/>
        <v>NÃO</v>
      </c>
      <c r="BK18" s="230"/>
      <c r="BL18" s="230"/>
      <c r="BM18" s="230"/>
      <c r="BN18" s="230"/>
      <c r="BO18" s="230"/>
      <c r="BP18" s="230"/>
      <c r="BQ18" s="230"/>
      <c r="BR18" s="234"/>
    </row>
    <row r="19" spans="1:112" s="223" customFormat="1" ht="27" hidden="1" customHeight="1">
      <c r="A19" s="197">
        <v>15</v>
      </c>
      <c r="B19" s="197" t="s">
        <v>4396</v>
      </c>
      <c r="C19" s="207" t="s">
        <v>4427</v>
      </c>
      <c r="D19" s="207">
        <v>1</v>
      </c>
      <c r="E19" s="207" t="s">
        <v>4398</v>
      </c>
      <c r="F19" s="214" t="s">
        <v>4483</v>
      </c>
      <c r="G19" s="207" t="s">
        <v>4484</v>
      </c>
      <c r="H19" s="207" t="s">
        <v>4401</v>
      </c>
      <c r="I19" s="217" t="s">
        <v>4402</v>
      </c>
      <c r="J19" s="215" t="s">
        <v>4485</v>
      </c>
      <c r="K19" s="214" t="s">
        <v>4398</v>
      </c>
      <c r="L19" s="214" t="s">
        <v>4486</v>
      </c>
      <c r="M19" s="197" t="s">
        <v>4405</v>
      </c>
      <c r="N19" s="197" t="s">
        <v>4442</v>
      </c>
      <c r="O19" s="202" t="s">
        <v>4409</v>
      </c>
      <c r="P19" s="202" t="s">
        <v>4409</v>
      </c>
      <c r="Q19" s="202" t="s">
        <v>4409</v>
      </c>
      <c r="R19" s="202" t="s">
        <v>4409</v>
      </c>
      <c r="S19" s="202" t="s">
        <v>4409</v>
      </c>
      <c r="T19" s="202" t="s">
        <v>4409</v>
      </c>
      <c r="U19" s="202" t="s">
        <v>4409</v>
      </c>
      <c r="V19" s="202" t="s">
        <v>4409</v>
      </c>
      <c r="W19" s="202" t="s">
        <v>4409</v>
      </c>
      <c r="X19" s="202" t="s">
        <v>4409</v>
      </c>
      <c r="Y19" s="202"/>
      <c r="Z19" s="207"/>
      <c r="AA19" s="215" t="s">
        <v>4487</v>
      </c>
      <c r="AB19" s="215" t="s">
        <v>4488</v>
      </c>
      <c r="AC19" s="215" t="s">
        <v>4489</v>
      </c>
      <c r="AD19" s="217" t="s">
        <v>4421</v>
      </c>
      <c r="AE19" s="207" t="s">
        <v>4405</v>
      </c>
      <c r="AF19" s="218">
        <v>20634.240000000002</v>
      </c>
      <c r="AG19" s="218">
        <f>AF19+30000</f>
        <v>50634.240000000005</v>
      </c>
      <c r="AH19" s="207" t="s">
        <v>4433</v>
      </c>
      <c r="AI19" s="214" t="s">
        <v>4411</v>
      </c>
      <c r="AJ19" s="207">
        <v>147744898</v>
      </c>
      <c r="AK19" s="316">
        <v>46045</v>
      </c>
      <c r="AL19" s="316">
        <v>46045</v>
      </c>
      <c r="AM19" s="316">
        <v>46045</v>
      </c>
      <c r="AN19" s="316">
        <v>46045</v>
      </c>
      <c r="AO19" s="316">
        <v>46045</v>
      </c>
      <c r="AP19" s="316">
        <v>46045</v>
      </c>
      <c r="AQ19" s="314"/>
      <c r="AR19" s="315" t="str">
        <f t="shared" si="4"/>
        <v>FINALIZADO</v>
      </c>
      <c r="AS19" s="207" t="s">
        <v>4423</v>
      </c>
      <c r="AT19" s="207"/>
      <c r="AU19" s="220" t="s">
        <v>4490</v>
      </c>
      <c r="AV19" s="197" t="s">
        <v>4425</v>
      </c>
      <c r="AW19" s="207" t="s">
        <v>4425</v>
      </c>
      <c r="AX19" s="207" t="s">
        <v>4425</v>
      </c>
      <c r="AY19" s="207" t="s">
        <v>4425</v>
      </c>
      <c r="AZ19" s="202">
        <v>46071</v>
      </c>
      <c r="BA19" s="219" t="s">
        <v>4425</v>
      </c>
      <c r="BB19" s="219" t="s">
        <v>4425</v>
      </c>
      <c r="BC19" s="239">
        <v>46093</v>
      </c>
      <c r="BD19" s="227">
        <v>46093</v>
      </c>
      <c r="BE19" s="227" t="s">
        <v>4435</v>
      </c>
      <c r="BF19" s="228" t="s">
        <v>4436</v>
      </c>
      <c r="BG19" s="229" t="s">
        <v>4425</v>
      </c>
      <c r="BH19" s="321">
        <f t="shared" si="5"/>
        <v>48</v>
      </c>
      <c r="BI19" s="98" t="str">
        <f t="shared" si="6"/>
        <v>INDENIZAÇÃO</v>
      </c>
      <c r="BJ19" s="98" t="str">
        <f t="shared" si="7"/>
        <v>NÃO</v>
      </c>
      <c r="BK19" s="230" t="s">
        <v>4437</v>
      </c>
      <c r="BL19" s="230" t="s">
        <v>4437</v>
      </c>
      <c r="BM19" s="230" t="s">
        <v>4437</v>
      </c>
      <c r="BN19" s="207" t="s">
        <v>4425</v>
      </c>
      <c r="BO19" s="207" t="s">
        <v>4425</v>
      </c>
      <c r="BP19" s="203">
        <v>46128</v>
      </c>
      <c r="BQ19" s="207" t="s">
        <v>4425</v>
      </c>
      <c r="BR19" s="231" t="s">
        <v>4435</v>
      </c>
      <c r="BS19" s="240"/>
      <c r="BT19" s="240"/>
      <c r="BU19" s="240"/>
      <c r="BV19" s="240"/>
    </row>
    <row r="20" spans="1:112" s="223" customFormat="1" ht="27" hidden="1" customHeight="1">
      <c r="A20" s="197">
        <v>16</v>
      </c>
      <c r="B20" s="197" t="s">
        <v>4396</v>
      </c>
      <c r="C20" s="207" t="s">
        <v>4427</v>
      </c>
      <c r="D20" s="207">
        <v>1</v>
      </c>
      <c r="E20" s="207" t="s">
        <v>4398</v>
      </c>
      <c r="F20" s="214" t="s">
        <v>4491</v>
      </c>
      <c r="G20" s="207" t="s">
        <v>4400</v>
      </c>
      <c r="H20" s="207" t="s">
        <v>4401</v>
      </c>
      <c r="I20" s="217" t="s">
        <v>4402</v>
      </c>
      <c r="J20" s="215" t="s">
        <v>4492</v>
      </c>
      <c r="K20" s="214" t="s">
        <v>4493</v>
      </c>
      <c r="L20" s="214" t="s">
        <v>4494</v>
      </c>
      <c r="M20" s="197" t="s">
        <v>4405</v>
      </c>
      <c r="N20" s="197" t="s">
        <v>4442</v>
      </c>
      <c r="O20" s="202" t="s">
        <v>4409</v>
      </c>
      <c r="P20" s="202" t="s">
        <v>4409</v>
      </c>
      <c r="Q20" s="202" t="s">
        <v>4409</v>
      </c>
      <c r="R20" s="202" t="s">
        <v>4409</v>
      </c>
      <c r="S20" s="202" t="s">
        <v>4409</v>
      </c>
      <c r="T20" s="202" t="s">
        <v>4409</v>
      </c>
      <c r="U20" s="202" t="s">
        <v>4409</v>
      </c>
      <c r="V20" s="202" t="s">
        <v>4409</v>
      </c>
      <c r="W20" s="202" t="s">
        <v>4409</v>
      </c>
      <c r="X20" s="202" t="s">
        <v>4409</v>
      </c>
      <c r="Y20" s="202"/>
      <c r="Z20" s="202"/>
      <c r="AA20" s="215" t="s">
        <v>4492</v>
      </c>
      <c r="AB20" s="214" t="s">
        <v>4493</v>
      </c>
      <c r="AC20" s="214" t="s">
        <v>4494</v>
      </c>
      <c r="AD20" s="207" t="s">
        <v>4402</v>
      </c>
      <c r="AE20" s="207" t="s">
        <v>4495</v>
      </c>
      <c r="AF20" s="218">
        <v>17173.63</v>
      </c>
      <c r="AG20" s="218">
        <v>47173.63</v>
      </c>
      <c r="AH20" s="207" t="s">
        <v>4433</v>
      </c>
      <c r="AI20" s="214" t="s">
        <v>4411</v>
      </c>
      <c r="AJ20" s="207">
        <v>149594350</v>
      </c>
      <c r="AK20" s="316">
        <v>46099</v>
      </c>
      <c r="AL20" s="316">
        <v>46099</v>
      </c>
      <c r="AM20" s="316">
        <v>46099</v>
      </c>
      <c r="AN20" s="316">
        <v>46099</v>
      </c>
      <c r="AO20" s="316">
        <v>46099</v>
      </c>
      <c r="AP20" s="316">
        <v>46099</v>
      </c>
      <c r="AQ20" s="314"/>
      <c r="AR20" s="315" t="str">
        <f t="shared" si="4"/>
        <v>FINALIZADO</v>
      </c>
      <c r="AS20" s="207" t="s">
        <v>4423</v>
      </c>
      <c r="AT20" s="207"/>
      <c r="AU20" s="220" t="s">
        <v>4496</v>
      </c>
      <c r="AV20" s="197" t="s">
        <v>4425</v>
      </c>
      <c r="AW20" s="207" t="s">
        <v>4425</v>
      </c>
      <c r="AX20" s="207" t="s">
        <v>4425</v>
      </c>
      <c r="AY20" s="197" t="s">
        <v>4425</v>
      </c>
      <c r="AZ20" s="202">
        <v>46153</v>
      </c>
      <c r="BA20" s="197" t="s">
        <v>4425</v>
      </c>
      <c r="BB20" s="197" t="s">
        <v>4425</v>
      </c>
      <c r="BC20" s="202">
        <v>46157</v>
      </c>
      <c r="BD20" s="227">
        <v>46157</v>
      </c>
      <c r="BE20" s="227" t="s">
        <v>4435</v>
      </c>
      <c r="BF20" s="228" t="s">
        <v>4436</v>
      </c>
      <c r="BG20" s="229" t="s">
        <v>4425</v>
      </c>
      <c r="BH20" s="321">
        <f t="shared" si="5"/>
        <v>58</v>
      </c>
      <c r="BI20" s="98" t="str">
        <f t="shared" si="6"/>
        <v>INDENIZAÇÃO</v>
      </c>
      <c r="BJ20" s="98" t="str">
        <f t="shared" si="7"/>
        <v>NÃO</v>
      </c>
      <c r="BK20" s="230" t="s">
        <v>4437</v>
      </c>
      <c r="BL20" s="230" t="s">
        <v>4437</v>
      </c>
      <c r="BM20" s="230" t="s">
        <v>4437</v>
      </c>
      <c r="BN20" s="219" t="s">
        <v>4425</v>
      </c>
      <c r="BO20" s="219" t="s">
        <v>4425</v>
      </c>
      <c r="BP20" s="202">
        <v>46195</v>
      </c>
      <c r="BQ20" s="219" t="s">
        <v>4425</v>
      </c>
      <c r="BR20" s="232" t="s">
        <v>4435</v>
      </c>
    </row>
    <row r="21" spans="1:112" s="223" customFormat="1" ht="27" hidden="1" customHeight="1">
      <c r="A21" s="207">
        <v>17</v>
      </c>
      <c r="B21" s="197" t="s">
        <v>4396</v>
      </c>
      <c r="C21" s="207" t="s">
        <v>4427</v>
      </c>
      <c r="D21" s="207">
        <v>1</v>
      </c>
      <c r="E21" s="207" t="s">
        <v>4398</v>
      </c>
      <c r="F21" s="214" t="s">
        <v>4497</v>
      </c>
      <c r="G21" s="207" t="s">
        <v>4400</v>
      </c>
      <c r="H21" s="207" t="s">
        <v>4401</v>
      </c>
      <c r="I21" s="163" t="s">
        <v>4421</v>
      </c>
      <c r="J21" s="215" t="s">
        <v>4498</v>
      </c>
      <c r="K21" s="214" t="s">
        <v>4499</v>
      </c>
      <c r="L21" s="214" t="s">
        <v>4500</v>
      </c>
      <c r="M21" s="197" t="s">
        <v>4405</v>
      </c>
      <c r="N21" s="207" t="s">
        <v>4442</v>
      </c>
      <c r="O21" s="202" t="s">
        <v>4409</v>
      </c>
      <c r="P21" s="202" t="s">
        <v>4409</v>
      </c>
      <c r="Q21" s="202" t="s">
        <v>4409</v>
      </c>
      <c r="R21" s="202" t="s">
        <v>4409</v>
      </c>
      <c r="S21" s="202" t="s">
        <v>4409</v>
      </c>
      <c r="T21" s="202" t="s">
        <v>4409</v>
      </c>
      <c r="U21" s="202" t="s">
        <v>4409</v>
      </c>
      <c r="V21" s="202" t="s">
        <v>4409</v>
      </c>
      <c r="W21" s="202" t="s">
        <v>4409</v>
      </c>
      <c r="X21" s="202" t="s">
        <v>4409</v>
      </c>
      <c r="Y21" s="202"/>
      <c r="Z21" s="202"/>
      <c r="AA21" s="215" t="s">
        <v>4498</v>
      </c>
      <c r="AB21" s="214" t="s">
        <v>4499</v>
      </c>
      <c r="AC21" s="214" t="s">
        <v>4500</v>
      </c>
      <c r="AD21" s="233" t="s">
        <v>4402</v>
      </c>
      <c r="AE21" s="207" t="s">
        <v>4405</v>
      </c>
      <c r="AF21" s="218">
        <v>34404.25</v>
      </c>
      <c r="AG21" s="218">
        <v>60000</v>
      </c>
      <c r="AH21" s="207" t="s">
        <v>4433</v>
      </c>
      <c r="AI21" s="214" t="s">
        <v>4411</v>
      </c>
      <c r="AJ21" s="207">
        <v>147744978</v>
      </c>
      <c r="AK21" s="316">
        <v>46001</v>
      </c>
      <c r="AL21" s="316">
        <v>46001</v>
      </c>
      <c r="AM21" s="316">
        <v>46001</v>
      </c>
      <c r="AN21" s="316">
        <v>46001</v>
      </c>
      <c r="AO21" s="316">
        <v>46001</v>
      </c>
      <c r="AP21" s="316">
        <v>46001</v>
      </c>
      <c r="AQ21" s="314"/>
      <c r="AR21" s="315" t="str">
        <f t="shared" si="4"/>
        <v>FINALIZADO</v>
      </c>
      <c r="AS21" s="207" t="s">
        <v>4423</v>
      </c>
      <c r="AT21" s="207"/>
      <c r="AU21" s="220" t="s">
        <v>4501</v>
      </c>
      <c r="AV21" s="207" t="s">
        <v>4425</v>
      </c>
      <c r="AW21" s="207" t="s">
        <v>4425</v>
      </c>
      <c r="AX21" s="207" t="s">
        <v>4425</v>
      </c>
      <c r="AY21" s="207" t="s">
        <v>4425</v>
      </c>
      <c r="AZ21" s="203">
        <v>46024</v>
      </c>
      <c r="BA21" s="207" t="s">
        <v>4425</v>
      </c>
      <c r="BB21" s="207" t="s">
        <v>4425</v>
      </c>
      <c r="BC21" s="208">
        <v>46037</v>
      </c>
      <c r="BD21" s="226">
        <v>46037</v>
      </c>
      <c r="BE21" s="227" t="s">
        <v>4435</v>
      </c>
      <c r="BF21" s="228" t="s">
        <v>4436</v>
      </c>
      <c r="BG21" s="229" t="s">
        <v>4425</v>
      </c>
      <c r="BH21" s="321">
        <f t="shared" si="5"/>
        <v>36</v>
      </c>
      <c r="BI21" s="98" t="str">
        <f t="shared" si="6"/>
        <v>INDENIZAÇÃO</v>
      </c>
      <c r="BJ21" s="98" t="str">
        <f t="shared" si="7"/>
        <v>NÃO</v>
      </c>
      <c r="BK21" s="230" t="s">
        <v>4437</v>
      </c>
      <c r="BL21" s="230" t="s">
        <v>4437</v>
      </c>
      <c r="BM21" s="230" t="s">
        <v>4437</v>
      </c>
      <c r="BN21" s="207" t="s">
        <v>4425</v>
      </c>
      <c r="BO21" s="207" t="s">
        <v>4425</v>
      </c>
      <c r="BP21" s="203">
        <v>46128</v>
      </c>
      <c r="BQ21" s="207" t="s">
        <v>4425</v>
      </c>
      <c r="BR21" s="231" t="s">
        <v>4435</v>
      </c>
    </row>
    <row r="22" spans="1:112" s="223" customFormat="1" ht="27" hidden="1" customHeight="1">
      <c r="A22" s="207">
        <v>18</v>
      </c>
      <c r="B22" s="197" t="s">
        <v>4396</v>
      </c>
      <c r="C22" s="207" t="s">
        <v>4397</v>
      </c>
      <c r="D22" s="207">
        <v>1</v>
      </c>
      <c r="E22" s="207" t="s">
        <v>4398</v>
      </c>
      <c r="F22" s="214" t="s">
        <v>4502</v>
      </c>
      <c r="G22" s="207" t="s">
        <v>4400</v>
      </c>
      <c r="H22" s="207" t="s">
        <v>4449</v>
      </c>
      <c r="I22" s="163" t="s">
        <v>4421</v>
      </c>
      <c r="J22" s="215" t="s">
        <v>4503</v>
      </c>
      <c r="K22" s="215" t="s">
        <v>4504</v>
      </c>
      <c r="L22" s="215" t="s">
        <v>4505</v>
      </c>
      <c r="M22" s="197" t="s">
        <v>4405</v>
      </c>
      <c r="N22" s="207" t="s">
        <v>4442</v>
      </c>
      <c r="O22" s="202" t="s">
        <v>4409</v>
      </c>
      <c r="P22" s="202" t="s">
        <v>4409</v>
      </c>
      <c r="Q22" s="202" t="s">
        <v>4409</v>
      </c>
      <c r="R22" s="202" t="s">
        <v>4409</v>
      </c>
      <c r="S22" s="202" t="s">
        <v>4409</v>
      </c>
      <c r="T22" s="202" t="s">
        <v>4409</v>
      </c>
      <c r="U22" s="202" t="s">
        <v>4409</v>
      </c>
      <c r="V22" s="202" t="s">
        <v>4409</v>
      </c>
      <c r="W22" s="202" t="s">
        <v>4409</v>
      </c>
      <c r="X22" s="202" t="s">
        <v>4409</v>
      </c>
      <c r="Y22" s="202"/>
      <c r="Z22" s="202"/>
      <c r="AA22" s="215"/>
      <c r="AB22" s="215"/>
      <c r="AC22" s="215"/>
      <c r="AD22" s="233"/>
      <c r="AE22" s="207"/>
      <c r="AF22" s="218"/>
      <c r="AG22" s="218"/>
      <c r="AH22" s="207"/>
      <c r="AI22" s="214" t="s">
        <v>4411</v>
      </c>
      <c r="AJ22" s="207"/>
      <c r="AK22" s="316">
        <v>46037</v>
      </c>
      <c r="AL22" s="316">
        <v>46037</v>
      </c>
      <c r="AM22" s="316">
        <v>46037</v>
      </c>
      <c r="AN22" s="316">
        <v>46037</v>
      </c>
      <c r="AO22" s="316">
        <v>46037</v>
      </c>
      <c r="AP22" s="316">
        <v>46037</v>
      </c>
      <c r="AQ22" s="314"/>
      <c r="AR22" s="315" t="str">
        <f t="shared" si="4"/>
        <v>FINALIZADO</v>
      </c>
      <c r="AS22" s="207"/>
      <c r="AT22" s="219"/>
      <c r="AU22" s="220"/>
      <c r="AV22" s="219"/>
      <c r="AW22" s="219"/>
      <c r="AX22" s="219"/>
      <c r="AY22" s="219"/>
      <c r="AZ22" s="219"/>
      <c r="BA22" s="219"/>
      <c r="BB22" s="219"/>
      <c r="BC22" s="219"/>
      <c r="BD22" s="208"/>
      <c r="BE22" s="203"/>
      <c r="BF22" s="219"/>
      <c r="BG22" s="219"/>
      <c r="BH22" s="321" t="str">
        <f t="shared" si="5"/>
        <v/>
      </c>
      <c r="BI22" s="98" t="str">
        <f t="shared" si="6"/>
        <v>INDENIZAÇÃO</v>
      </c>
      <c r="BJ22" s="98" t="str">
        <f t="shared" si="7"/>
        <v>NÃO</v>
      </c>
      <c r="BK22" s="219"/>
      <c r="BL22" s="221"/>
      <c r="BM22" s="221"/>
      <c r="BN22" s="219"/>
      <c r="BO22" s="219"/>
      <c r="BP22" s="219"/>
      <c r="BQ22" s="219"/>
      <c r="BR22" s="222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61"/>
      <c r="CV22" s="161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  <c r="DH22" s="161"/>
    </row>
    <row r="23" spans="1:112" s="223" customFormat="1" ht="27" hidden="1" customHeight="1">
      <c r="A23" s="207">
        <v>19</v>
      </c>
      <c r="B23" s="197" t="s">
        <v>4396</v>
      </c>
      <c r="C23" s="207" t="s">
        <v>4427</v>
      </c>
      <c r="D23" s="207">
        <v>1</v>
      </c>
      <c r="E23" s="207" t="s">
        <v>4398</v>
      </c>
      <c r="F23" s="214" t="s">
        <v>4502</v>
      </c>
      <c r="G23" s="207" t="s">
        <v>4400</v>
      </c>
      <c r="H23" s="207" t="s">
        <v>4401</v>
      </c>
      <c r="I23" s="217" t="s">
        <v>4402</v>
      </c>
      <c r="J23" s="215" t="s">
        <v>4506</v>
      </c>
      <c r="K23" s="215" t="s">
        <v>4507</v>
      </c>
      <c r="L23" s="215" t="s">
        <v>4508</v>
      </c>
      <c r="M23" s="197" t="s">
        <v>4405</v>
      </c>
      <c r="N23" s="207" t="s">
        <v>4406</v>
      </c>
      <c r="O23" s="202">
        <v>46106</v>
      </c>
      <c r="P23" s="202" t="s">
        <v>4407</v>
      </c>
      <c r="Q23" s="202">
        <v>46106</v>
      </c>
      <c r="R23" s="202">
        <v>46107</v>
      </c>
      <c r="S23" s="202">
        <v>46111</v>
      </c>
      <c r="T23" s="202">
        <v>46087</v>
      </c>
      <c r="U23" s="202" t="s">
        <v>4408</v>
      </c>
      <c r="V23" s="202" t="s">
        <v>4408</v>
      </c>
      <c r="W23" s="202">
        <v>46132</v>
      </c>
      <c r="X23" s="203">
        <v>46129</v>
      </c>
      <c r="Y23" s="203"/>
      <c r="Z23" s="219"/>
      <c r="AA23" s="215" t="s">
        <v>4506</v>
      </c>
      <c r="AB23" s="215" t="s">
        <v>4507</v>
      </c>
      <c r="AC23" s="215" t="s">
        <v>4508</v>
      </c>
      <c r="AD23" s="233" t="s">
        <v>4402</v>
      </c>
      <c r="AE23" s="219" t="s">
        <v>4405</v>
      </c>
      <c r="AF23" s="218" t="s">
        <v>4409</v>
      </c>
      <c r="AG23" s="218" t="s">
        <v>4409</v>
      </c>
      <c r="AH23" s="207" t="s">
        <v>4410</v>
      </c>
      <c r="AI23" s="214" t="s">
        <v>4411</v>
      </c>
      <c r="AJ23" s="207"/>
      <c r="AK23" s="316">
        <v>46001</v>
      </c>
      <c r="AL23" s="316">
        <v>46001</v>
      </c>
      <c r="AM23" s="316">
        <v>46001</v>
      </c>
      <c r="AN23" s="316">
        <v>46001</v>
      </c>
      <c r="AO23" s="316">
        <v>46001</v>
      </c>
      <c r="AP23" s="316">
        <v>46001</v>
      </c>
      <c r="AQ23" s="314"/>
      <c r="AR23" s="315" t="str">
        <f t="shared" si="4"/>
        <v>FINALIZADO</v>
      </c>
      <c r="AS23" s="207"/>
      <c r="AT23" s="219"/>
      <c r="AU23" s="220"/>
      <c r="AV23" s="219"/>
      <c r="AW23" s="219"/>
      <c r="AX23" s="219"/>
      <c r="AY23" s="219"/>
      <c r="AZ23" s="219"/>
      <c r="BA23" s="219"/>
      <c r="BB23" s="219"/>
      <c r="BC23" s="219"/>
      <c r="BD23" s="208"/>
      <c r="BE23" s="203"/>
      <c r="BF23" s="219"/>
      <c r="BG23" s="219"/>
      <c r="BH23" s="321" t="str">
        <f t="shared" si="5"/>
        <v/>
      </c>
      <c r="BI23" s="98" t="str">
        <f t="shared" si="6"/>
        <v>AA</v>
      </c>
      <c r="BJ23" s="98" t="str">
        <f t="shared" si="7"/>
        <v>NÃO</v>
      </c>
      <c r="BK23" s="219"/>
      <c r="BL23" s="221"/>
      <c r="BM23" s="221"/>
      <c r="BN23" s="219"/>
      <c r="BO23" s="219"/>
      <c r="BP23" s="219"/>
      <c r="BQ23" s="219"/>
      <c r="BR23" s="222"/>
    </row>
    <row r="24" spans="1:112" s="223" customFormat="1" ht="27" hidden="1" customHeight="1">
      <c r="A24" s="197">
        <v>20</v>
      </c>
      <c r="B24" s="197" t="s">
        <v>4396</v>
      </c>
      <c r="C24" s="207" t="s">
        <v>4453</v>
      </c>
      <c r="D24" s="207">
        <v>1</v>
      </c>
      <c r="E24" s="207" t="s">
        <v>4398</v>
      </c>
      <c r="F24" s="214" t="s">
        <v>4502</v>
      </c>
      <c r="G24" s="207" t="s">
        <v>4400</v>
      </c>
      <c r="H24" s="207" t="s">
        <v>4401</v>
      </c>
      <c r="I24" s="217" t="s">
        <v>4402</v>
      </c>
      <c r="J24" s="215" t="s">
        <v>4509</v>
      </c>
      <c r="K24" s="214" t="s">
        <v>4510</v>
      </c>
      <c r="L24" s="214" t="s">
        <v>4511</v>
      </c>
      <c r="M24" s="197" t="s">
        <v>4405</v>
      </c>
      <c r="N24" s="207" t="s">
        <v>4406</v>
      </c>
      <c r="O24" s="202">
        <v>46002</v>
      </c>
      <c r="P24" s="202" t="s">
        <v>4407</v>
      </c>
      <c r="Q24" s="202">
        <v>45999</v>
      </c>
      <c r="R24" s="202">
        <v>46006</v>
      </c>
      <c r="S24" s="202">
        <v>46006</v>
      </c>
      <c r="T24" s="202">
        <v>46009</v>
      </c>
      <c r="U24" s="202" t="s">
        <v>4408</v>
      </c>
      <c r="V24" s="202" t="s">
        <v>4408</v>
      </c>
      <c r="W24" s="202">
        <v>46014</v>
      </c>
      <c r="X24" s="202">
        <v>46017</v>
      </c>
      <c r="Y24" s="202">
        <v>46017</v>
      </c>
      <c r="Z24" s="207"/>
      <c r="AA24" s="215" t="s">
        <v>4509</v>
      </c>
      <c r="AB24" s="215" t="s">
        <v>4510</v>
      </c>
      <c r="AC24" s="215" t="s">
        <v>4511</v>
      </c>
      <c r="AD24" s="204" t="s">
        <v>4402</v>
      </c>
      <c r="AE24" s="204" t="s">
        <v>4405</v>
      </c>
      <c r="AF24" s="205" t="s">
        <v>4409</v>
      </c>
      <c r="AG24" s="205" t="s">
        <v>4409</v>
      </c>
      <c r="AH24" s="207" t="s">
        <v>4410</v>
      </c>
      <c r="AI24" s="214" t="s">
        <v>4411</v>
      </c>
      <c r="AJ24" s="207"/>
      <c r="AK24" s="316">
        <v>45996</v>
      </c>
      <c r="AL24" s="316">
        <v>45996</v>
      </c>
      <c r="AM24" s="316">
        <v>45996</v>
      </c>
      <c r="AN24" s="316">
        <v>45996</v>
      </c>
      <c r="AO24" s="316">
        <v>45996</v>
      </c>
      <c r="AP24" s="316">
        <v>45996</v>
      </c>
      <c r="AQ24" s="314"/>
      <c r="AR24" s="315" t="str">
        <f t="shared" si="4"/>
        <v>FINALIZADO</v>
      </c>
      <c r="AS24" s="207"/>
      <c r="AT24" s="207"/>
      <c r="AU24" s="220"/>
      <c r="AV24" s="207"/>
      <c r="AW24" s="207"/>
      <c r="AX24" s="219"/>
      <c r="AY24" s="207"/>
      <c r="AZ24" s="202"/>
      <c r="BA24" s="207"/>
      <c r="BB24" s="207"/>
      <c r="BC24" s="202"/>
      <c r="BD24" s="208"/>
      <c r="BE24" s="209">
        <v>46017</v>
      </c>
      <c r="BF24" s="197" t="s">
        <v>4412</v>
      </c>
      <c r="BG24" s="229"/>
      <c r="BH24" s="321" t="str">
        <f t="shared" si="5"/>
        <v/>
      </c>
      <c r="BI24" s="98" t="str">
        <f t="shared" si="6"/>
        <v>AA</v>
      </c>
      <c r="BJ24" s="98" t="str">
        <f t="shared" si="7"/>
        <v>NÃO</v>
      </c>
      <c r="BK24" s="230"/>
      <c r="BL24" s="230"/>
      <c r="BM24" s="230"/>
      <c r="BN24" s="230"/>
      <c r="BO24" s="230"/>
      <c r="BP24" s="230"/>
      <c r="BQ24" s="230"/>
      <c r="BR24" s="234"/>
    </row>
    <row r="25" spans="1:112" s="223" customFormat="1" ht="27" hidden="1" customHeight="1">
      <c r="A25" s="197">
        <v>21</v>
      </c>
      <c r="B25" s="197" t="s">
        <v>4396</v>
      </c>
      <c r="C25" s="207" t="s">
        <v>4453</v>
      </c>
      <c r="D25" s="207">
        <v>1</v>
      </c>
      <c r="E25" s="207" t="s">
        <v>4398</v>
      </c>
      <c r="F25" s="214" t="s">
        <v>4512</v>
      </c>
      <c r="G25" s="207" t="s">
        <v>4400</v>
      </c>
      <c r="H25" s="207" t="s">
        <v>4401</v>
      </c>
      <c r="I25" s="217" t="s">
        <v>4402</v>
      </c>
      <c r="J25" s="215" t="s">
        <v>4513</v>
      </c>
      <c r="K25" s="214" t="s">
        <v>4514</v>
      </c>
      <c r="L25" s="214" t="s">
        <v>4515</v>
      </c>
      <c r="M25" s="197" t="s">
        <v>4405</v>
      </c>
      <c r="N25" s="207" t="s">
        <v>4406</v>
      </c>
      <c r="O25" s="202">
        <v>45986</v>
      </c>
      <c r="P25" s="203" t="s">
        <v>4407</v>
      </c>
      <c r="Q25" s="203">
        <v>45985</v>
      </c>
      <c r="R25" s="203">
        <v>45986</v>
      </c>
      <c r="S25" s="203">
        <v>45987</v>
      </c>
      <c r="T25" s="203">
        <v>45992</v>
      </c>
      <c r="U25" s="202" t="s">
        <v>4408</v>
      </c>
      <c r="V25" s="202" t="s">
        <v>4408</v>
      </c>
      <c r="W25" s="202">
        <v>45999</v>
      </c>
      <c r="X25" s="202">
        <v>46000</v>
      </c>
      <c r="Y25" s="202">
        <v>46017</v>
      </c>
      <c r="Z25" s="207"/>
      <c r="AA25" s="215" t="s">
        <v>4513</v>
      </c>
      <c r="AB25" s="215" t="s">
        <v>4514</v>
      </c>
      <c r="AC25" s="215" t="s">
        <v>4515</v>
      </c>
      <c r="AD25" s="241" t="s">
        <v>4402</v>
      </c>
      <c r="AE25" s="241" t="s">
        <v>4405</v>
      </c>
      <c r="AF25" s="242" t="s">
        <v>4409</v>
      </c>
      <c r="AG25" s="242" t="s">
        <v>4409</v>
      </c>
      <c r="AH25" s="241" t="s">
        <v>4410</v>
      </c>
      <c r="AI25" s="214" t="s">
        <v>4411</v>
      </c>
      <c r="AJ25" s="207"/>
      <c r="AK25" s="316">
        <v>45979</v>
      </c>
      <c r="AL25" s="316">
        <v>45979</v>
      </c>
      <c r="AM25" s="316">
        <v>45979</v>
      </c>
      <c r="AN25" s="316">
        <v>45979</v>
      </c>
      <c r="AO25" s="316">
        <v>45979</v>
      </c>
      <c r="AP25" s="316">
        <v>45979</v>
      </c>
      <c r="AQ25" s="314"/>
      <c r="AR25" s="315" t="str">
        <f t="shared" si="4"/>
        <v>FINALIZADO</v>
      </c>
      <c r="AS25" s="207"/>
      <c r="AT25" s="207"/>
      <c r="AU25" s="220"/>
      <c r="AV25" s="197"/>
      <c r="AW25" s="207"/>
      <c r="AX25" s="207"/>
      <c r="AY25" s="207"/>
      <c r="AZ25" s="202"/>
      <c r="BA25" s="207"/>
      <c r="BB25" s="207"/>
      <c r="BC25" s="202"/>
      <c r="BD25" s="208"/>
      <c r="BE25" s="239">
        <v>46017</v>
      </c>
      <c r="BF25" s="207" t="s">
        <v>4412</v>
      </c>
      <c r="BG25" s="229"/>
      <c r="BH25" s="321" t="str">
        <f t="shared" si="5"/>
        <v/>
      </c>
      <c r="BI25" s="98" t="str">
        <f t="shared" si="6"/>
        <v>AA</v>
      </c>
      <c r="BJ25" s="98" t="str">
        <f t="shared" si="7"/>
        <v>NÃO</v>
      </c>
      <c r="BK25" s="230"/>
      <c r="BL25" s="230"/>
      <c r="BM25" s="230"/>
      <c r="BN25" s="230"/>
      <c r="BO25" s="230"/>
      <c r="BP25" s="230"/>
      <c r="BQ25" s="230"/>
      <c r="BR25" s="234"/>
    </row>
    <row r="26" spans="1:112" s="223" customFormat="1" ht="27" hidden="1" customHeight="1">
      <c r="A26" s="207">
        <v>22</v>
      </c>
      <c r="B26" s="197" t="s">
        <v>4396</v>
      </c>
      <c r="C26" s="207" t="s">
        <v>4427</v>
      </c>
      <c r="D26" s="207">
        <v>1</v>
      </c>
      <c r="E26" s="207" t="s">
        <v>4398</v>
      </c>
      <c r="F26" s="214" t="s">
        <v>4512</v>
      </c>
      <c r="G26" s="207" t="s">
        <v>4400</v>
      </c>
      <c r="H26" s="207" t="s">
        <v>4401</v>
      </c>
      <c r="I26" s="217" t="s">
        <v>4402</v>
      </c>
      <c r="J26" s="215" t="s">
        <v>4516</v>
      </c>
      <c r="K26" s="214" t="s">
        <v>4517</v>
      </c>
      <c r="L26" s="214" t="s">
        <v>4518</v>
      </c>
      <c r="M26" s="197" t="s">
        <v>4405</v>
      </c>
      <c r="N26" s="207" t="s">
        <v>4442</v>
      </c>
      <c r="O26" s="202" t="s">
        <v>4409</v>
      </c>
      <c r="P26" s="202" t="s">
        <v>4409</v>
      </c>
      <c r="Q26" s="202" t="s">
        <v>4409</v>
      </c>
      <c r="R26" s="202" t="s">
        <v>4409</v>
      </c>
      <c r="S26" s="202" t="s">
        <v>4409</v>
      </c>
      <c r="T26" s="202" t="s">
        <v>4409</v>
      </c>
      <c r="U26" s="202" t="s">
        <v>4409</v>
      </c>
      <c r="V26" s="202" t="s">
        <v>4409</v>
      </c>
      <c r="W26" s="202" t="s">
        <v>4409</v>
      </c>
      <c r="X26" s="202" t="s">
        <v>4409</v>
      </c>
      <c r="Y26" s="202"/>
      <c r="Z26" s="207"/>
      <c r="AA26" s="215" t="s">
        <v>4516</v>
      </c>
      <c r="AB26" s="214" t="s">
        <v>4517</v>
      </c>
      <c r="AC26" s="214" t="s">
        <v>4518</v>
      </c>
      <c r="AD26" s="197" t="s">
        <v>4402</v>
      </c>
      <c r="AE26" s="197" t="s">
        <v>4405</v>
      </c>
      <c r="AF26" s="243">
        <v>30397.82</v>
      </c>
      <c r="AG26" s="243">
        <v>60000</v>
      </c>
      <c r="AH26" s="197" t="s">
        <v>4433</v>
      </c>
      <c r="AI26" s="214" t="s">
        <v>4411</v>
      </c>
      <c r="AJ26" s="207">
        <v>146670420</v>
      </c>
      <c r="AK26" s="316">
        <v>45995</v>
      </c>
      <c r="AL26" s="316">
        <v>45995</v>
      </c>
      <c r="AM26" s="316">
        <v>45995</v>
      </c>
      <c r="AN26" s="316">
        <v>45995</v>
      </c>
      <c r="AO26" s="316">
        <v>45995</v>
      </c>
      <c r="AP26" s="316">
        <v>45995</v>
      </c>
      <c r="AQ26" s="314"/>
      <c r="AR26" s="315" t="str">
        <f t="shared" si="4"/>
        <v>FINALIZADO</v>
      </c>
      <c r="AS26" s="207" t="s">
        <v>4423</v>
      </c>
      <c r="AT26" s="207"/>
      <c r="AU26" s="220" t="s">
        <v>4519</v>
      </c>
      <c r="AV26" s="207" t="s">
        <v>4425</v>
      </c>
      <c r="AW26" s="207" t="s">
        <v>4425</v>
      </c>
      <c r="AX26" s="207" t="s">
        <v>4425</v>
      </c>
      <c r="AY26" s="207" t="s">
        <v>4425</v>
      </c>
      <c r="AZ26" s="203">
        <v>46024</v>
      </c>
      <c r="BA26" s="207" t="s">
        <v>4425</v>
      </c>
      <c r="BB26" s="207" t="s">
        <v>4425</v>
      </c>
      <c r="BC26" s="208">
        <v>46038</v>
      </c>
      <c r="BD26" s="226">
        <v>46038</v>
      </c>
      <c r="BE26" s="244" t="s">
        <v>4435</v>
      </c>
      <c r="BF26" s="245" t="s">
        <v>4436</v>
      </c>
      <c r="BG26" s="229" t="s">
        <v>4425</v>
      </c>
      <c r="BH26" s="321">
        <f t="shared" si="5"/>
        <v>43</v>
      </c>
      <c r="BI26" s="98" t="str">
        <f t="shared" si="6"/>
        <v>INDENIZAÇÃO</v>
      </c>
      <c r="BJ26" s="98" t="str">
        <f t="shared" si="7"/>
        <v>NÃO</v>
      </c>
      <c r="BK26" s="230" t="s">
        <v>4437</v>
      </c>
      <c r="BL26" s="230" t="s">
        <v>4437</v>
      </c>
      <c r="BM26" s="230" t="s">
        <v>4437</v>
      </c>
      <c r="BN26" s="207" t="s">
        <v>4425</v>
      </c>
      <c r="BO26" s="207" t="s">
        <v>4425</v>
      </c>
      <c r="BP26" s="203">
        <v>46128</v>
      </c>
      <c r="BQ26" s="207" t="s">
        <v>4425</v>
      </c>
      <c r="BR26" s="231" t="s">
        <v>4435</v>
      </c>
    </row>
    <row r="27" spans="1:112" s="223" customFormat="1" ht="27" hidden="1" customHeight="1">
      <c r="A27" s="207">
        <v>23</v>
      </c>
      <c r="B27" s="197" t="s">
        <v>4396</v>
      </c>
      <c r="C27" s="207" t="s">
        <v>4397</v>
      </c>
      <c r="D27" s="207">
        <v>1</v>
      </c>
      <c r="E27" s="207" t="s">
        <v>4398</v>
      </c>
      <c r="F27" s="214" t="s">
        <v>4520</v>
      </c>
      <c r="G27" s="207" t="s">
        <v>4400</v>
      </c>
      <c r="H27" s="207" t="s">
        <v>4401</v>
      </c>
      <c r="I27" s="217" t="s">
        <v>4402</v>
      </c>
      <c r="J27" s="215" t="s">
        <v>4521</v>
      </c>
      <c r="K27" s="215" t="s">
        <v>4522</v>
      </c>
      <c r="L27" s="215" t="s">
        <v>4523</v>
      </c>
      <c r="M27" s="197" t="s">
        <v>4405</v>
      </c>
      <c r="N27" s="207" t="s">
        <v>4406</v>
      </c>
      <c r="O27" s="203">
        <v>46058</v>
      </c>
      <c r="P27" s="203" t="s">
        <v>4407</v>
      </c>
      <c r="Q27" s="203">
        <v>46058</v>
      </c>
      <c r="R27" s="203">
        <v>46058</v>
      </c>
      <c r="S27" s="203">
        <v>46059</v>
      </c>
      <c r="T27" s="203">
        <v>46063</v>
      </c>
      <c r="U27" s="203" t="s">
        <v>4408</v>
      </c>
      <c r="V27" s="203" t="s">
        <v>4408</v>
      </c>
      <c r="W27" s="203">
        <v>46073</v>
      </c>
      <c r="X27" s="203">
        <v>46104</v>
      </c>
      <c r="Y27" s="203"/>
      <c r="Z27" s="219"/>
      <c r="AA27" s="215" t="s">
        <v>4521</v>
      </c>
      <c r="AB27" s="215" t="s">
        <v>4522</v>
      </c>
      <c r="AC27" s="215" t="s">
        <v>4523</v>
      </c>
      <c r="AD27" s="233" t="s">
        <v>4402</v>
      </c>
      <c r="AE27" s="219" t="s">
        <v>4405</v>
      </c>
      <c r="AF27" s="218" t="s">
        <v>4409</v>
      </c>
      <c r="AG27" s="218" t="s">
        <v>4409</v>
      </c>
      <c r="AH27" s="207" t="s">
        <v>4410</v>
      </c>
      <c r="AI27" s="214" t="s">
        <v>4411</v>
      </c>
      <c r="AJ27" s="207"/>
      <c r="AK27" s="316">
        <v>46050</v>
      </c>
      <c r="AL27" s="316">
        <v>46050</v>
      </c>
      <c r="AM27" s="316">
        <v>46050</v>
      </c>
      <c r="AN27" s="316">
        <v>46050</v>
      </c>
      <c r="AO27" s="316">
        <v>46050</v>
      </c>
      <c r="AP27" s="316">
        <v>46050</v>
      </c>
      <c r="AQ27" s="314"/>
      <c r="AR27" s="315" t="str">
        <f t="shared" si="4"/>
        <v>FINALIZADO</v>
      </c>
      <c r="AS27" s="207"/>
      <c r="AT27" s="219"/>
      <c r="AU27" s="220"/>
      <c r="AV27" s="219"/>
      <c r="AW27" s="219"/>
      <c r="AX27" s="219"/>
      <c r="AY27" s="219"/>
      <c r="AZ27" s="219"/>
      <c r="BA27" s="219"/>
      <c r="BB27" s="219"/>
      <c r="BC27" s="219"/>
      <c r="BD27" s="208"/>
      <c r="BE27" s="203"/>
      <c r="BF27" s="219"/>
      <c r="BG27" s="219"/>
      <c r="BH27" s="321" t="str">
        <f t="shared" si="5"/>
        <v/>
      </c>
      <c r="BI27" s="98" t="str">
        <f t="shared" si="6"/>
        <v>AA</v>
      </c>
      <c r="BJ27" s="98" t="str">
        <f t="shared" si="7"/>
        <v>NÃO</v>
      </c>
      <c r="BK27" s="219"/>
      <c r="BL27" s="221"/>
      <c r="BM27" s="221"/>
      <c r="BN27" s="219"/>
      <c r="BO27" s="219"/>
      <c r="BP27" s="219"/>
      <c r="BQ27" s="219"/>
      <c r="BR27" s="222"/>
    </row>
    <row r="28" spans="1:112" s="223" customFormat="1" ht="27" hidden="1" customHeight="1">
      <c r="A28" s="207">
        <v>24</v>
      </c>
      <c r="B28" s="197" t="s">
        <v>4396</v>
      </c>
      <c r="C28" s="207" t="s">
        <v>4397</v>
      </c>
      <c r="D28" s="207">
        <v>1</v>
      </c>
      <c r="E28" s="207" t="s">
        <v>4398</v>
      </c>
      <c r="F28" s="214" t="s">
        <v>4524</v>
      </c>
      <c r="G28" s="207" t="s">
        <v>4400</v>
      </c>
      <c r="H28" s="207" t="s">
        <v>4401</v>
      </c>
      <c r="I28" s="217" t="s">
        <v>4402</v>
      </c>
      <c r="J28" s="215" t="s">
        <v>4525</v>
      </c>
      <c r="K28" s="215" t="s">
        <v>4526</v>
      </c>
      <c r="L28" s="215" t="s">
        <v>4527</v>
      </c>
      <c r="M28" s="197" t="s">
        <v>4405</v>
      </c>
      <c r="N28" s="207" t="s">
        <v>4406</v>
      </c>
      <c r="O28" s="203">
        <v>46044</v>
      </c>
      <c r="P28" s="203" t="s">
        <v>4407</v>
      </c>
      <c r="Q28" s="203">
        <v>46043</v>
      </c>
      <c r="R28" s="203">
        <v>46044</v>
      </c>
      <c r="S28" s="203">
        <v>46045</v>
      </c>
      <c r="T28" s="203">
        <v>46155</v>
      </c>
      <c r="U28" s="203" t="s">
        <v>4408</v>
      </c>
      <c r="V28" s="202" t="s">
        <v>4408</v>
      </c>
      <c r="W28" s="202">
        <v>46055</v>
      </c>
      <c r="X28" s="203">
        <v>46056</v>
      </c>
      <c r="Y28" s="203"/>
      <c r="Z28" s="219"/>
      <c r="AA28" s="215" t="s">
        <v>4525</v>
      </c>
      <c r="AB28" s="215" t="s">
        <v>4526</v>
      </c>
      <c r="AC28" s="215" t="s">
        <v>4527</v>
      </c>
      <c r="AD28" s="233" t="s">
        <v>4402</v>
      </c>
      <c r="AE28" s="219" t="s">
        <v>4405</v>
      </c>
      <c r="AF28" s="218" t="s">
        <v>4409</v>
      </c>
      <c r="AG28" s="218" t="s">
        <v>4409</v>
      </c>
      <c r="AH28" s="207" t="s">
        <v>4410</v>
      </c>
      <c r="AI28" s="214" t="s">
        <v>4411</v>
      </c>
      <c r="AJ28" s="207"/>
      <c r="AK28" s="316">
        <v>46037</v>
      </c>
      <c r="AL28" s="316">
        <v>46037</v>
      </c>
      <c r="AM28" s="316">
        <v>46037</v>
      </c>
      <c r="AN28" s="316">
        <v>46037</v>
      </c>
      <c r="AO28" s="316">
        <v>46037</v>
      </c>
      <c r="AP28" s="316">
        <v>46037</v>
      </c>
      <c r="AQ28" s="314"/>
      <c r="AR28" s="315" t="str">
        <f t="shared" si="4"/>
        <v>FINALIZADO</v>
      </c>
      <c r="AS28" s="207"/>
      <c r="AT28" s="219"/>
      <c r="AU28" s="220"/>
      <c r="AV28" s="219"/>
      <c r="AW28" s="219"/>
      <c r="AX28" s="219"/>
      <c r="AY28" s="219"/>
      <c r="AZ28" s="219"/>
      <c r="BA28" s="219"/>
      <c r="BB28" s="219"/>
      <c r="BC28" s="219"/>
      <c r="BD28" s="208"/>
      <c r="BE28" s="203"/>
      <c r="BF28" s="219"/>
      <c r="BG28" s="219"/>
      <c r="BH28" s="321" t="str">
        <f t="shared" si="5"/>
        <v/>
      </c>
      <c r="BI28" s="98" t="str">
        <f t="shared" si="6"/>
        <v>AA</v>
      </c>
      <c r="BJ28" s="98" t="str">
        <f t="shared" si="7"/>
        <v>NÃO</v>
      </c>
      <c r="BK28" s="219"/>
      <c r="BL28" s="221"/>
      <c r="BM28" s="221"/>
      <c r="BN28" s="219"/>
      <c r="BO28" s="219"/>
      <c r="BP28" s="219"/>
      <c r="BQ28" s="219"/>
      <c r="BR28" s="222"/>
    </row>
    <row r="29" spans="1:112" s="223" customFormat="1" ht="27" hidden="1" customHeight="1">
      <c r="A29" s="197">
        <v>25</v>
      </c>
      <c r="B29" s="197" t="s">
        <v>4396</v>
      </c>
      <c r="C29" s="207" t="s">
        <v>4453</v>
      </c>
      <c r="D29" s="207">
        <v>1</v>
      </c>
      <c r="E29" s="207" t="s">
        <v>4398</v>
      </c>
      <c r="F29" s="214" t="s">
        <v>4524</v>
      </c>
      <c r="G29" s="207" t="s">
        <v>4400</v>
      </c>
      <c r="H29" s="207" t="s">
        <v>4401</v>
      </c>
      <c r="I29" s="217" t="s">
        <v>4402</v>
      </c>
      <c r="J29" s="242" t="s">
        <v>4528</v>
      </c>
      <c r="K29" s="246" t="s">
        <v>4529</v>
      </c>
      <c r="L29" s="246" t="s">
        <v>4530</v>
      </c>
      <c r="M29" s="197" t="s">
        <v>4405</v>
      </c>
      <c r="N29" s="207" t="s">
        <v>4406</v>
      </c>
      <c r="O29" s="202">
        <v>46002</v>
      </c>
      <c r="P29" s="202" t="s">
        <v>4407</v>
      </c>
      <c r="Q29" s="202">
        <v>45999</v>
      </c>
      <c r="R29" s="202">
        <v>46006</v>
      </c>
      <c r="S29" s="202">
        <v>46006</v>
      </c>
      <c r="T29" s="202">
        <v>46009</v>
      </c>
      <c r="U29" s="202" t="s">
        <v>4408</v>
      </c>
      <c r="V29" s="202" t="s">
        <v>4408</v>
      </c>
      <c r="W29" s="202">
        <v>46014</v>
      </c>
      <c r="X29" s="202">
        <v>46017</v>
      </c>
      <c r="Y29" s="202">
        <v>46017</v>
      </c>
      <c r="Z29" s="207"/>
      <c r="AA29" s="242" t="s">
        <v>4528</v>
      </c>
      <c r="AB29" s="215" t="s">
        <v>4529</v>
      </c>
      <c r="AC29" s="215" t="s">
        <v>4530</v>
      </c>
      <c r="AD29" s="204" t="s">
        <v>4402</v>
      </c>
      <c r="AE29" s="204" t="s">
        <v>4405</v>
      </c>
      <c r="AF29" s="205" t="s">
        <v>4409</v>
      </c>
      <c r="AG29" s="205" t="s">
        <v>4409</v>
      </c>
      <c r="AH29" s="204" t="s">
        <v>4410</v>
      </c>
      <c r="AI29" s="214" t="s">
        <v>4411</v>
      </c>
      <c r="AJ29" s="207"/>
      <c r="AK29" s="316">
        <v>45996</v>
      </c>
      <c r="AL29" s="316">
        <v>45996</v>
      </c>
      <c r="AM29" s="316">
        <v>45996</v>
      </c>
      <c r="AN29" s="316">
        <v>45996</v>
      </c>
      <c r="AO29" s="316">
        <v>45996</v>
      </c>
      <c r="AP29" s="316">
        <v>45996</v>
      </c>
      <c r="AQ29" s="314"/>
      <c r="AR29" s="315" t="str">
        <f t="shared" si="4"/>
        <v>FINALIZADO</v>
      </c>
      <c r="AS29" s="207"/>
      <c r="AT29" s="207"/>
      <c r="AU29" s="220"/>
      <c r="AV29" s="197"/>
      <c r="AW29" s="207"/>
      <c r="AX29" s="207"/>
      <c r="AY29" s="207"/>
      <c r="AZ29" s="202"/>
      <c r="BA29" s="207"/>
      <c r="BB29" s="207"/>
      <c r="BC29" s="202"/>
      <c r="BD29" s="208"/>
      <c r="BE29" s="209">
        <v>46017</v>
      </c>
      <c r="BF29" s="197" t="s">
        <v>4412</v>
      </c>
      <c r="BG29" s="229"/>
      <c r="BH29" s="321" t="str">
        <f t="shared" si="5"/>
        <v/>
      </c>
      <c r="BI29" s="98" t="str">
        <f t="shared" si="6"/>
        <v>AA</v>
      </c>
      <c r="BJ29" s="98" t="str">
        <f t="shared" si="7"/>
        <v>NÃO</v>
      </c>
      <c r="BK29" s="230"/>
      <c r="BL29" s="230"/>
      <c r="BM29" s="230"/>
      <c r="BN29" s="230"/>
      <c r="BO29" s="230"/>
      <c r="BP29" s="230"/>
      <c r="BQ29" s="230"/>
      <c r="BR29" s="234"/>
    </row>
    <row r="30" spans="1:112" s="223" customFormat="1" ht="27" hidden="1" customHeight="1">
      <c r="A30" s="197">
        <v>26</v>
      </c>
      <c r="B30" s="197" t="s">
        <v>4396</v>
      </c>
      <c r="C30" s="207" t="s">
        <v>4427</v>
      </c>
      <c r="D30" s="207">
        <v>1</v>
      </c>
      <c r="E30" s="207" t="s">
        <v>4398</v>
      </c>
      <c r="F30" s="214" t="s">
        <v>4524</v>
      </c>
      <c r="G30" s="207" t="s">
        <v>4400</v>
      </c>
      <c r="H30" s="207" t="s">
        <v>4401</v>
      </c>
      <c r="I30" s="217" t="s">
        <v>4402</v>
      </c>
      <c r="J30" s="215" t="s">
        <v>4531</v>
      </c>
      <c r="K30" s="214" t="s">
        <v>4532</v>
      </c>
      <c r="L30" s="214" t="s">
        <v>4533</v>
      </c>
      <c r="M30" s="197" t="s">
        <v>4405</v>
      </c>
      <c r="N30" s="207" t="s">
        <v>4442</v>
      </c>
      <c r="O30" s="202" t="s">
        <v>4409</v>
      </c>
      <c r="P30" s="202" t="s">
        <v>4409</v>
      </c>
      <c r="Q30" s="202" t="s">
        <v>4409</v>
      </c>
      <c r="R30" s="202" t="s">
        <v>4409</v>
      </c>
      <c r="S30" s="202" t="s">
        <v>4409</v>
      </c>
      <c r="T30" s="202" t="s">
        <v>4409</v>
      </c>
      <c r="U30" s="202" t="s">
        <v>4409</v>
      </c>
      <c r="V30" s="202" t="s">
        <v>4409</v>
      </c>
      <c r="W30" s="202" t="s">
        <v>4409</v>
      </c>
      <c r="X30" s="202" t="s">
        <v>4409</v>
      </c>
      <c r="Y30" s="202"/>
      <c r="Z30" s="207"/>
      <c r="AA30" s="215" t="s">
        <v>4531</v>
      </c>
      <c r="AB30" s="214" t="s">
        <v>4532</v>
      </c>
      <c r="AC30" s="214" t="s">
        <v>4533</v>
      </c>
      <c r="AD30" s="207" t="s">
        <v>4402</v>
      </c>
      <c r="AE30" s="207" t="s">
        <v>4405</v>
      </c>
      <c r="AF30" s="218">
        <v>96282.33</v>
      </c>
      <c r="AG30" s="218">
        <v>96282.33</v>
      </c>
      <c r="AH30" s="207" t="s">
        <v>4433</v>
      </c>
      <c r="AI30" s="214" t="s">
        <v>4411</v>
      </c>
      <c r="AJ30" s="207">
        <v>146654114</v>
      </c>
      <c r="AK30" s="316">
        <v>46038</v>
      </c>
      <c r="AL30" s="316">
        <v>46038</v>
      </c>
      <c r="AM30" s="316">
        <v>46038</v>
      </c>
      <c r="AN30" s="316">
        <v>46038</v>
      </c>
      <c r="AO30" s="316">
        <v>46038</v>
      </c>
      <c r="AP30" s="316">
        <v>46038</v>
      </c>
      <c r="AQ30" s="314"/>
      <c r="AR30" s="315" t="str">
        <f t="shared" si="4"/>
        <v>FINALIZADO</v>
      </c>
      <c r="AS30" s="207" t="s">
        <v>4423</v>
      </c>
      <c r="AT30" s="247"/>
      <c r="AU30" s="220" t="s">
        <v>4534</v>
      </c>
      <c r="AV30" s="207" t="s">
        <v>4425</v>
      </c>
      <c r="AW30" s="207" t="s">
        <v>4425</v>
      </c>
      <c r="AX30" s="207" t="s">
        <v>4425</v>
      </c>
      <c r="AY30" s="207" t="s">
        <v>4425</v>
      </c>
      <c r="AZ30" s="202">
        <v>46085</v>
      </c>
      <c r="BA30" s="207" t="s">
        <v>4425</v>
      </c>
      <c r="BB30" s="219" t="s">
        <v>4425</v>
      </c>
      <c r="BC30" s="239">
        <v>46092</v>
      </c>
      <c r="BD30" s="226">
        <v>46092</v>
      </c>
      <c r="BE30" s="227" t="s">
        <v>4435</v>
      </c>
      <c r="BF30" s="228" t="s">
        <v>4436</v>
      </c>
      <c r="BG30" s="229" t="s">
        <v>4425</v>
      </c>
      <c r="BH30" s="321">
        <f t="shared" si="5"/>
        <v>54</v>
      </c>
      <c r="BI30" s="98" t="str">
        <f t="shared" si="6"/>
        <v>INDENIZAÇÃO</v>
      </c>
      <c r="BJ30" s="98" t="str">
        <f t="shared" si="7"/>
        <v>NÃO</v>
      </c>
      <c r="BK30" s="230" t="s">
        <v>4437</v>
      </c>
      <c r="BL30" s="230" t="s">
        <v>4437</v>
      </c>
      <c r="BM30" s="230" t="s">
        <v>4437</v>
      </c>
      <c r="BN30" s="207" t="s">
        <v>4425</v>
      </c>
      <c r="BO30" s="207" t="s">
        <v>4425</v>
      </c>
      <c r="BP30" s="203">
        <v>46128</v>
      </c>
      <c r="BQ30" s="207" t="s">
        <v>4425</v>
      </c>
      <c r="BR30" s="231" t="s">
        <v>4435</v>
      </c>
    </row>
    <row r="31" spans="1:112" s="223" customFormat="1" ht="27" hidden="1" customHeight="1">
      <c r="A31" s="207">
        <v>27</v>
      </c>
      <c r="B31" s="197" t="s">
        <v>4396</v>
      </c>
      <c r="C31" s="207" t="s">
        <v>4397</v>
      </c>
      <c r="D31" s="207">
        <v>1</v>
      </c>
      <c r="E31" s="207" t="s">
        <v>4398</v>
      </c>
      <c r="F31" s="214" t="s">
        <v>4535</v>
      </c>
      <c r="G31" s="207" t="s">
        <v>4400</v>
      </c>
      <c r="H31" s="207" t="s">
        <v>4536</v>
      </c>
      <c r="I31" s="217" t="s">
        <v>4536</v>
      </c>
      <c r="J31" s="215" t="s">
        <v>4537</v>
      </c>
      <c r="K31" s="215" t="s">
        <v>4538</v>
      </c>
      <c r="L31" s="215" t="s">
        <v>4539</v>
      </c>
      <c r="M31" s="197" t="s">
        <v>4405</v>
      </c>
      <c r="N31" s="207" t="s">
        <v>4406</v>
      </c>
      <c r="O31" s="203">
        <v>46044</v>
      </c>
      <c r="P31" s="203" t="s">
        <v>4407</v>
      </c>
      <c r="Q31" s="203">
        <v>46043</v>
      </c>
      <c r="R31" s="203">
        <v>46044</v>
      </c>
      <c r="S31" s="203">
        <v>46045</v>
      </c>
      <c r="T31" s="203">
        <v>46155</v>
      </c>
      <c r="U31" s="202" t="s">
        <v>4408</v>
      </c>
      <c r="V31" s="202" t="s">
        <v>4408</v>
      </c>
      <c r="W31" s="202">
        <v>46055</v>
      </c>
      <c r="X31" s="203">
        <v>46063</v>
      </c>
      <c r="Y31" s="203"/>
      <c r="Z31" s="219"/>
      <c r="AA31" s="215" t="s">
        <v>4537</v>
      </c>
      <c r="AB31" s="215" t="s">
        <v>4538</v>
      </c>
      <c r="AC31" s="215" t="s">
        <v>4539</v>
      </c>
      <c r="AD31" s="233" t="s">
        <v>4402</v>
      </c>
      <c r="AE31" s="219" t="s">
        <v>4405</v>
      </c>
      <c r="AF31" s="218" t="s">
        <v>4409</v>
      </c>
      <c r="AG31" s="218" t="s">
        <v>4409</v>
      </c>
      <c r="AH31" s="207" t="s">
        <v>4410</v>
      </c>
      <c r="AI31" s="214" t="s">
        <v>4411</v>
      </c>
      <c r="AJ31" s="207"/>
      <c r="AK31" s="316">
        <v>46038</v>
      </c>
      <c r="AL31" s="316">
        <v>46038</v>
      </c>
      <c r="AM31" s="316">
        <v>46038</v>
      </c>
      <c r="AN31" s="316">
        <v>46038</v>
      </c>
      <c r="AO31" s="316">
        <v>46038</v>
      </c>
      <c r="AP31" s="316">
        <v>46038</v>
      </c>
      <c r="AQ31" s="314"/>
      <c r="AR31" s="315" t="str">
        <f t="shared" si="4"/>
        <v>FINALIZADO</v>
      </c>
      <c r="AS31" s="207"/>
      <c r="AT31" s="219"/>
      <c r="AU31" s="220"/>
      <c r="AV31" s="219"/>
      <c r="AW31" s="219"/>
      <c r="AX31" s="219"/>
      <c r="AY31" s="219"/>
      <c r="AZ31" s="219"/>
      <c r="BA31" s="219"/>
      <c r="BB31" s="219"/>
      <c r="BC31" s="219"/>
      <c r="BD31" s="208"/>
      <c r="BE31" s="203"/>
      <c r="BF31" s="219"/>
      <c r="BG31" s="219"/>
      <c r="BH31" s="321" t="str">
        <f t="shared" si="5"/>
        <v/>
      </c>
      <c r="BI31" s="98" t="str">
        <f t="shared" si="6"/>
        <v>AA</v>
      </c>
      <c r="BJ31" s="98" t="str">
        <f t="shared" si="7"/>
        <v>NÃO</v>
      </c>
      <c r="BK31" s="219"/>
      <c r="BL31" s="221"/>
      <c r="BM31" s="221"/>
      <c r="BN31" s="219"/>
      <c r="BO31" s="219"/>
      <c r="BP31" s="219"/>
      <c r="BQ31" s="219"/>
      <c r="BR31" s="222"/>
      <c r="BS31" s="240"/>
      <c r="BT31" s="240"/>
      <c r="BU31" s="240"/>
      <c r="BV31" s="240"/>
    </row>
    <row r="32" spans="1:112" s="223" customFormat="1" ht="27" hidden="1" customHeight="1">
      <c r="A32" s="207">
        <v>28</v>
      </c>
      <c r="B32" s="197" t="s">
        <v>4396</v>
      </c>
      <c r="C32" s="207" t="s">
        <v>4397</v>
      </c>
      <c r="D32" s="207">
        <v>1</v>
      </c>
      <c r="E32" s="207" t="s">
        <v>4398</v>
      </c>
      <c r="F32" s="214" t="s">
        <v>4540</v>
      </c>
      <c r="G32" s="207" t="s">
        <v>4400</v>
      </c>
      <c r="H32" s="207" t="s">
        <v>4401</v>
      </c>
      <c r="I32" s="217" t="s">
        <v>4402</v>
      </c>
      <c r="J32" s="215" t="s">
        <v>4541</v>
      </c>
      <c r="K32" s="215" t="s">
        <v>4542</v>
      </c>
      <c r="L32" s="215" t="s">
        <v>4543</v>
      </c>
      <c r="M32" s="197" t="s">
        <v>4405</v>
      </c>
      <c r="N32" s="207" t="s">
        <v>4406</v>
      </c>
      <c r="O32" s="203">
        <v>46044</v>
      </c>
      <c r="P32" s="203" t="s">
        <v>4407</v>
      </c>
      <c r="Q32" s="203">
        <v>46043</v>
      </c>
      <c r="R32" s="203">
        <v>46044</v>
      </c>
      <c r="S32" s="203">
        <v>46045</v>
      </c>
      <c r="T32" s="203">
        <v>46155</v>
      </c>
      <c r="U32" s="202" t="s">
        <v>4408</v>
      </c>
      <c r="V32" s="202" t="s">
        <v>4408</v>
      </c>
      <c r="W32" s="202">
        <v>46055</v>
      </c>
      <c r="X32" s="203">
        <v>46056</v>
      </c>
      <c r="Y32" s="203"/>
      <c r="Z32" s="219"/>
      <c r="AA32" s="215" t="s">
        <v>4541</v>
      </c>
      <c r="AB32" s="215" t="s">
        <v>4542</v>
      </c>
      <c r="AC32" s="215" t="s">
        <v>4543</v>
      </c>
      <c r="AD32" s="233" t="s">
        <v>4402</v>
      </c>
      <c r="AE32" s="219" t="s">
        <v>4405</v>
      </c>
      <c r="AF32" s="218" t="s">
        <v>4409</v>
      </c>
      <c r="AG32" s="218" t="s">
        <v>4409</v>
      </c>
      <c r="AH32" s="207" t="s">
        <v>4410</v>
      </c>
      <c r="AI32" s="214" t="s">
        <v>4411</v>
      </c>
      <c r="AJ32" s="207"/>
      <c r="AK32" s="316">
        <v>46037</v>
      </c>
      <c r="AL32" s="316">
        <v>46037</v>
      </c>
      <c r="AM32" s="316">
        <v>46037</v>
      </c>
      <c r="AN32" s="316">
        <v>46037</v>
      </c>
      <c r="AO32" s="316">
        <v>46037</v>
      </c>
      <c r="AP32" s="316">
        <v>46037</v>
      </c>
      <c r="AQ32" s="314"/>
      <c r="AR32" s="315" t="str">
        <f t="shared" si="4"/>
        <v>FINALIZADO</v>
      </c>
      <c r="AS32" s="207"/>
      <c r="AT32" s="219"/>
      <c r="AU32" s="220"/>
      <c r="AV32" s="219"/>
      <c r="AW32" s="219"/>
      <c r="AX32" s="219"/>
      <c r="AY32" s="219"/>
      <c r="AZ32" s="219"/>
      <c r="BA32" s="219"/>
      <c r="BB32" s="219"/>
      <c r="BC32" s="219"/>
      <c r="BD32" s="208"/>
      <c r="BE32" s="203"/>
      <c r="BF32" s="219"/>
      <c r="BG32" s="219"/>
      <c r="BH32" s="321" t="str">
        <f t="shared" si="5"/>
        <v/>
      </c>
      <c r="BI32" s="98" t="str">
        <f t="shared" si="6"/>
        <v>AA</v>
      </c>
      <c r="BJ32" s="98" t="str">
        <f t="shared" si="7"/>
        <v>NÃO</v>
      </c>
      <c r="BK32" s="219"/>
      <c r="BL32" s="221"/>
      <c r="BM32" s="221"/>
      <c r="BN32" s="219"/>
      <c r="BO32" s="219"/>
      <c r="BP32" s="219"/>
      <c r="BQ32" s="219"/>
      <c r="BR32" s="222"/>
    </row>
    <row r="33" spans="1:74" s="223" customFormat="1" ht="27" hidden="1" customHeight="1">
      <c r="A33" s="207">
        <v>29</v>
      </c>
      <c r="B33" s="197" t="s">
        <v>4396</v>
      </c>
      <c r="C33" s="207" t="s">
        <v>4453</v>
      </c>
      <c r="D33" s="207">
        <v>1</v>
      </c>
      <c r="E33" s="207" t="s">
        <v>4398</v>
      </c>
      <c r="F33" s="214" t="s">
        <v>4544</v>
      </c>
      <c r="G33" s="219" t="s">
        <v>4545</v>
      </c>
      <c r="H33" s="207" t="s">
        <v>4546</v>
      </c>
      <c r="I33" s="233" t="s">
        <v>4421</v>
      </c>
      <c r="J33" s="242" t="s">
        <v>4547</v>
      </c>
      <c r="K33" s="246" t="s">
        <v>4548</v>
      </c>
      <c r="L33" s="246" t="s">
        <v>4549</v>
      </c>
      <c r="M33" s="197" t="s">
        <v>4405</v>
      </c>
      <c r="N33" s="207" t="s">
        <v>4550</v>
      </c>
      <c r="O33" s="202" t="s">
        <v>4409</v>
      </c>
      <c r="P33" s="202" t="s">
        <v>4409</v>
      </c>
      <c r="Q33" s="202" t="s">
        <v>4409</v>
      </c>
      <c r="R33" s="202" t="s">
        <v>4409</v>
      </c>
      <c r="S33" s="202" t="s">
        <v>4409</v>
      </c>
      <c r="T33" s="202" t="s">
        <v>4409</v>
      </c>
      <c r="U33" s="202" t="s">
        <v>4409</v>
      </c>
      <c r="V33" s="202" t="s">
        <v>4409</v>
      </c>
      <c r="W33" s="202" t="s">
        <v>4409</v>
      </c>
      <c r="X33" s="202" t="s">
        <v>4409</v>
      </c>
      <c r="Y33" s="202"/>
      <c r="Z33" s="202"/>
      <c r="AA33" s="242" t="s">
        <v>4547</v>
      </c>
      <c r="AB33" s="215" t="s">
        <v>4398</v>
      </c>
      <c r="AC33" s="246" t="s">
        <v>4549</v>
      </c>
      <c r="AD33" s="241" t="s">
        <v>4402</v>
      </c>
      <c r="AE33" s="202" t="s">
        <v>4405</v>
      </c>
      <c r="AF33" s="248" t="s">
        <v>4437</v>
      </c>
      <c r="AG33" s="248" t="s">
        <v>4437</v>
      </c>
      <c r="AH33" s="202" t="s">
        <v>4437</v>
      </c>
      <c r="AI33" s="214" t="s">
        <v>4411</v>
      </c>
      <c r="AJ33" s="207"/>
      <c r="AK33" s="316">
        <v>46050</v>
      </c>
      <c r="AL33" s="316">
        <v>46050</v>
      </c>
      <c r="AM33" s="316">
        <v>46050</v>
      </c>
      <c r="AN33" s="316">
        <v>46050</v>
      </c>
      <c r="AO33" s="316">
        <v>46050</v>
      </c>
      <c r="AP33" s="316">
        <v>46050</v>
      </c>
      <c r="AQ33" s="314"/>
      <c r="AR33" s="315" t="str">
        <f t="shared" si="4"/>
        <v>FINALIZADO</v>
      </c>
      <c r="AS33" s="207"/>
      <c r="AT33" s="207"/>
      <c r="AU33" s="220"/>
      <c r="AV33" s="245"/>
      <c r="AW33" s="228"/>
      <c r="AX33" s="228"/>
      <c r="AY33" s="228"/>
      <c r="AZ33" s="227"/>
      <c r="BA33" s="228"/>
      <c r="BB33" s="228"/>
      <c r="BC33" s="228"/>
      <c r="BD33" s="208"/>
      <c r="BE33" s="239">
        <v>46017</v>
      </c>
      <c r="BF33" s="207" t="s">
        <v>4412</v>
      </c>
      <c r="BG33" s="229"/>
      <c r="BH33" s="321" t="str">
        <f t="shared" si="5"/>
        <v/>
      </c>
      <c r="BI33" s="98" t="str">
        <f t="shared" si="6"/>
        <v>INDENIZAÇÃO</v>
      </c>
      <c r="BJ33" s="98" t="str">
        <f t="shared" si="7"/>
        <v>NÃO</v>
      </c>
      <c r="BK33" s="230"/>
      <c r="BL33" s="230"/>
      <c r="BM33" s="230"/>
      <c r="BN33" s="230"/>
      <c r="BO33" s="230"/>
      <c r="BP33" s="230"/>
      <c r="BQ33" s="230"/>
      <c r="BR33" s="234"/>
    </row>
    <row r="34" spans="1:74" s="223" customFormat="1" ht="27" hidden="1" customHeight="1">
      <c r="A34" s="197">
        <v>30</v>
      </c>
      <c r="B34" s="197" t="s">
        <v>4396</v>
      </c>
      <c r="C34" s="207" t="s">
        <v>4427</v>
      </c>
      <c r="D34" s="207">
        <v>1</v>
      </c>
      <c r="E34" s="207" t="s">
        <v>4398</v>
      </c>
      <c r="F34" s="214" t="s">
        <v>4544</v>
      </c>
      <c r="G34" s="160" t="s">
        <v>4400</v>
      </c>
      <c r="H34" s="207" t="s">
        <v>4401</v>
      </c>
      <c r="I34" s="249" t="s">
        <v>4402</v>
      </c>
      <c r="J34" s="242" t="s">
        <v>4551</v>
      </c>
      <c r="K34" s="246" t="s">
        <v>4552</v>
      </c>
      <c r="L34" s="246" t="s">
        <v>4553</v>
      </c>
      <c r="M34" s="197" t="s">
        <v>4405</v>
      </c>
      <c r="N34" s="207" t="s">
        <v>4442</v>
      </c>
      <c r="O34" s="202" t="s">
        <v>4409</v>
      </c>
      <c r="P34" s="202" t="s">
        <v>4409</v>
      </c>
      <c r="Q34" s="202" t="s">
        <v>4409</v>
      </c>
      <c r="R34" s="202" t="s">
        <v>4409</v>
      </c>
      <c r="S34" s="202" t="s">
        <v>4409</v>
      </c>
      <c r="T34" s="202" t="s">
        <v>4409</v>
      </c>
      <c r="U34" s="202" t="s">
        <v>4409</v>
      </c>
      <c r="V34" s="202" t="s">
        <v>4409</v>
      </c>
      <c r="W34" s="202" t="s">
        <v>4409</v>
      </c>
      <c r="X34" s="202" t="s">
        <v>4409</v>
      </c>
      <c r="Y34" s="202"/>
      <c r="Z34" s="207"/>
      <c r="AA34" s="242" t="s">
        <v>4551</v>
      </c>
      <c r="AB34" s="246" t="s">
        <v>4552</v>
      </c>
      <c r="AC34" s="246" t="s">
        <v>4553</v>
      </c>
      <c r="AD34" s="207" t="s">
        <v>4402</v>
      </c>
      <c r="AE34" s="207" t="s">
        <v>4405</v>
      </c>
      <c r="AF34" s="218">
        <v>69121.22</v>
      </c>
      <c r="AG34" s="218">
        <v>69121.22</v>
      </c>
      <c r="AH34" s="207" t="s">
        <v>4433</v>
      </c>
      <c r="AI34" s="214" t="s">
        <v>4411</v>
      </c>
      <c r="AJ34" s="207">
        <v>147746233</v>
      </c>
      <c r="AK34" s="316">
        <v>46020</v>
      </c>
      <c r="AL34" s="316">
        <v>46020</v>
      </c>
      <c r="AM34" s="316">
        <v>46020</v>
      </c>
      <c r="AN34" s="316">
        <v>46020</v>
      </c>
      <c r="AO34" s="316">
        <v>46020</v>
      </c>
      <c r="AP34" s="316">
        <v>46020</v>
      </c>
      <c r="AQ34" s="314"/>
      <c r="AR34" s="315" t="str">
        <f t="shared" si="4"/>
        <v>FINALIZADO</v>
      </c>
      <c r="AS34" s="207" t="s">
        <v>4423</v>
      </c>
      <c r="AT34" s="207"/>
      <c r="AU34" s="220" t="s">
        <v>4554</v>
      </c>
      <c r="AV34" s="207" t="s">
        <v>4425</v>
      </c>
      <c r="AW34" s="207" t="s">
        <v>4425</v>
      </c>
      <c r="AX34" s="207" t="s">
        <v>4425</v>
      </c>
      <c r="AY34" s="207" t="s">
        <v>4425</v>
      </c>
      <c r="AZ34" s="202">
        <v>46062</v>
      </c>
      <c r="BA34" s="207" t="s">
        <v>4425</v>
      </c>
      <c r="BB34" s="207" t="s">
        <v>4425</v>
      </c>
      <c r="BC34" s="239">
        <v>46066</v>
      </c>
      <c r="BD34" s="226">
        <v>46092</v>
      </c>
      <c r="BE34" s="227" t="s">
        <v>4435</v>
      </c>
      <c r="BF34" s="228" t="s">
        <v>4436</v>
      </c>
      <c r="BG34" s="229" t="s">
        <v>4425</v>
      </c>
      <c r="BH34" s="321">
        <f t="shared" si="5"/>
        <v>72</v>
      </c>
      <c r="BI34" s="98" t="str">
        <f t="shared" si="6"/>
        <v>INDENIZAÇÃO</v>
      </c>
      <c r="BJ34" s="98" t="str">
        <f t="shared" si="7"/>
        <v>NÃO</v>
      </c>
      <c r="BK34" s="230" t="s">
        <v>4437</v>
      </c>
      <c r="BL34" s="230" t="s">
        <v>4437</v>
      </c>
      <c r="BM34" s="230" t="s">
        <v>4437</v>
      </c>
      <c r="BN34" s="207" t="s">
        <v>4425</v>
      </c>
      <c r="BO34" s="207" t="s">
        <v>4425</v>
      </c>
      <c r="BP34" s="203">
        <v>46128</v>
      </c>
      <c r="BQ34" s="207" t="s">
        <v>4425</v>
      </c>
      <c r="BR34" s="231" t="s">
        <v>4435</v>
      </c>
    </row>
    <row r="35" spans="1:74" s="223" customFormat="1" ht="27" hidden="1" customHeight="1">
      <c r="A35" s="197">
        <v>31</v>
      </c>
      <c r="B35" s="197" t="s">
        <v>4396</v>
      </c>
      <c r="C35" s="207" t="s">
        <v>4397</v>
      </c>
      <c r="D35" s="207">
        <v>1</v>
      </c>
      <c r="E35" s="207" t="s">
        <v>4398</v>
      </c>
      <c r="F35" s="214" t="s">
        <v>4544</v>
      </c>
      <c r="G35" s="207" t="s">
        <v>4400</v>
      </c>
      <c r="H35" s="207" t="s">
        <v>4401</v>
      </c>
      <c r="I35" s="217" t="s">
        <v>4402</v>
      </c>
      <c r="J35" s="215" t="s">
        <v>4555</v>
      </c>
      <c r="K35" s="215" t="s">
        <v>4556</v>
      </c>
      <c r="L35" s="215" t="s">
        <v>4557</v>
      </c>
      <c r="M35" s="197" t="s">
        <v>4405</v>
      </c>
      <c r="N35" s="207" t="s">
        <v>4442</v>
      </c>
      <c r="O35" s="202" t="s">
        <v>4409</v>
      </c>
      <c r="P35" s="202" t="s">
        <v>4409</v>
      </c>
      <c r="Q35" s="202" t="s">
        <v>4409</v>
      </c>
      <c r="R35" s="202" t="s">
        <v>4409</v>
      </c>
      <c r="S35" s="202" t="s">
        <v>4409</v>
      </c>
      <c r="T35" s="202" t="s">
        <v>4409</v>
      </c>
      <c r="U35" s="202" t="s">
        <v>4409</v>
      </c>
      <c r="V35" s="202" t="s">
        <v>4409</v>
      </c>
      <c r="W35" s="202" t="s">
        <v>4409</v>
      </c>
      <c r="X35" s="202" t="s">
        <v>4409</v>
      </c>
      <c r="Y35" s="202"/>
      <c r="Z35" s="219"/>
      <c r="AA35" s="215" t="s">
        <v>4555</v>
      </c>
      <c r="AB35" s="215" t="s">
        <v>4556</v>
      </c>
      <c r="AC35" s="215" t="s">
        <v>4557</v>
      </c>
      <c r="AD35" s="197" t="s">
        <v>4402</v>
      </c>
      <c r="AE35" s="207" t="s">
        <v>4405</v>
      </c>
      <c r="AF35" s="218">
        <v>2613.3200000000002</v>
      </c>
      <c r="AG35" s="218">
        <f>AF35+30000</f>
        <v>32613.32</v>
      </c>
      <c r="AH35" s="207" t="s">
        <v>4433</v>
      </c>
      <c r="AI35" s="214" t="s">
        <v>4411</v>
      </c>
      <c r="AJ35" s="207">
        <v>147746233</v>
      </c>
      <c r="AK35" s="316">
        <v>46079</v>
      </c>
      <c r="AL35" s="316">
        <v>46079</v>
      </c>
      <c r="AM35" s="316">
        <v>46079</v>
      </c>
      <c r="AN35" s="316">
        <v>46079</v>
      </c>
      <c r="AO35" s="316">
        <v>46079</v>
      </c>
      <c r="AP35" s="316">
        <v>46079</v>
      </c>
      <c r="AQ35" s="314"/>
      <c r="AR35" s="315" t="str">
        <f t="shared" si="4"/>
        <v>FINALIZADO</v>
      </c>
      <c r="AS35" s="207" t="s">
        <v>4423</v>
      </c>
      <c r="AT35" s="219"/>
      <c r="AU35" s="220" t="s">
        <v>4558</v>
      </c>
      <c r="AV35" s="250" t="s">
        <v>4425</v>
      </c>
      <c r="AW35" s="250" t="s">
        <v>4425</v>
      </c>
      <c r="AX35" s="250" t="s">
        <v>4425</v>
      </c>
      <c r="AY35" s="250" t="s">
        <v>4425</v>
      </c>
      <c r="AZ35" s="202">
        <v>46140</v>
      </c>
      <c r="BA35" s="250" t="s">
        <v>4425</v>
      </c>
      <c r="BB35" s="207" t="s">
        <v>4425</v>
      </c>
      <c r="BC35" s="202">
        <v>46161</v>
      </c>
      <c r="BD35" s="227">
        <v>46161</v>
      </c>
      <c r="BE35" s="228" t="s">
        <v>4435</v>
      </c>
      <c r="BF35" s="228" t="s">
        <v>4436</v>
      </c>
      <c r="BG35" s="219" t="s">
        <v>4425</v>
      </c>
      <c r="BH35" s="321">
        <f t="shared" si="5"/>
        <v>82</v>
      </c>
      <c r="BI35" s="98" t="str">
        <f t="shared" si="6"/>
        <v>INDENIZAÇÃO</v>
      </c>
      <c r="BJ35" s="98" t="str">
        <f t="shared" si="7"/>
        <v>NÃO</v>
      </c>
      <c r="BK35" s="219" t="s">
        <v>4437</v>
      </c>
      <c r="BL35" s="219" t="s">
        <v>4437</v>
      </c>
      <c r="BM35" s="219" t="s">
        <v>4437</v>
      </c>
      <c r="BN35" s="219" t="s">
        <v>4425</v>
      </c>
      <c r="BO35" s="219" t="s">
        <v>4425</v>
      </c>
      <c r="BP35" s="202">
        <v>46195</v>
      </c>
      <c r="BQ35" s="219" t="s">
        <v>4425</v>
      </c>
      <c r="BR35" s="232" t="s">
        <v>4435</v>
      </c>
    </row>
    <row r="36" spans="1:74" s="223" customFormat="1" ht="27" hidden="1" customHeight="1">
      <c r="A36" s="207">
        <v>32</v>
      </c>
      <c r="B36" s="197" t="s">
        <v>4396</v>
      </c>
      <c r="C36" s="207" t="s">
        <v>4427</v>
      </c>
      <c r="D36" s="207">
        <v>1</v>
      </c>
      <c r="E36" s="207" t="s">
        <v>4398</v>
      </c>
      <c r="F36" s="214" t="s">
        <v>4559</v>
      </c>
      <c r="G36" s="207" t="s">
        <v>4400</v>
      </c>
      <c r="H36" s="207" t="s">
        <v>4428</v>
      </c>
      <c r="I36" s="233" t="s">
        <v>4421</v>
      </c>
      <c r="J36" s="215" t="s">
        <v>4560</v>
      </c>
      <c r="K36" s="214" t="s">
        <v>4561</v>
      </c>
      <c r="L36" s="214" t="s">
        <v>4562</v>
      </c>
      <c r="M36" s="197" t="s">
        <v>4405</v>
      </c>
      <c r="N36" s="207" t="s">
        <v>4442</v>
      </c>
      <c r="O36" s="202" t="s">
        <v>4409</v>
      </c>
      <c r="P36" s="202" t="s">
        <v>4409</v>
      </c>
      <c r="Q36" s="202" t="s">
        <v>4409</v>
      </c>
      <c r="R36" s="202" t="s">
        <v>4409</v>
      </c>
      <c r="S36" s="202" t="s">
        <v>4409</v>
      </c>
      <c r="T36" s="202" t="s">
        <v>4409</v>
      </c>
      <c r="U36" s="202" t="s">
        <v>4409</v>
      </c>
      <c r="V36" s="202" t="s">
        <v>4409</v>
      </c>
      <c r="W36" s="202" t="s">
        <v>4409</v>
      </c>
      <c r="X36" s="202" t="s">
        <v>4409</v>
      </c>
      <c r="Y36" s="202"/>
      <c r="Z36" s="202"/>
      <c r="AA36" s="215" t="s">
        <v>4563</v>
      </c>
      <c r="AB36" s="215" t="s">
        <v>4564</v>
      </c>
      <c r="AC36" s="215" t="s">
        <v>4565</v>
      </c>
      <c r="AD36" s="233" t="s">
        <v>4421</v>
      </c>
      <c r="AE36" s="207" t="s">
        <v>4405</v>
      </c>
      <c r="AF36" s="218">
        <v>58762.46</v>
      </c>
      <c r="AG36" s="218">
        <v>60000</v>
      </c>
      <c r="AH36" s="207" t="s">
        <v>4433</v>
      </c>
      <c r="AI36" s="214" t="s">
        <v>4411</v>
      </c>
      <c r="AJ36" s="207">
        <v>147746279</v>
      </c>
      <c r="AK36" s="316">
        <v>46020</v>
      </c>
      <c r="AL36" s="316">
        <v>46020</v>
      </c>
      <c r="AM36" s="316">
        <v>46020</v>
      </c>
      <c r="AN36" s="316">
        <v>46020</v>
      </c>
      <c r="AO36" s="316">
        <v>46020</v>
      </c>
      <c r="AP36" s="316">
        <v>46020</v>
      </c>
      <c r="AQ36" s="314"/>
      <c r="AR36" s="315" t="str">
        <f t="shared" si="4"/>
        <v>FINALIZADO</v>
      </c>
      <c r="AS36" s="207" t="s">
        <v>4423</v>
      </c>
      <c r="AT36" s="207"/>
      <c r="AU36" s="220" t="s">
        <v>4566</v>
      </c>
      <c r="AV36" s="197" t="s">
        <v>4425</v>
      </c>
      <c r="AW36" s="207" t="s">
        <v>4425</v>
      </c>
      <c r="AX36" s="207" t="s">
        <v>4425</v>
      </c>
      <c r="AY36" s="207" t="s">
        <v>4425</v>
      </c>
      <c r="AZ36" s="202">
        <v>46085</v>
      </c>
      <c r="BA36" s="207" t="s">
        <v>4425</v>
      </c>
      <c r="BB36" s="219" t="s">
        <v>4425</v>
      </c>
      <c r="BC36" s="239">
        <v>46092</v>
      </c>
      <c r="BD36" s="226">
        <v>46092</v>
      </c>
      <c r="BE36" s="227" t="s">
        <v>4435</v>
      </c>
      <c r="BF36" s="228" t="s">
        <v>4436</v>
      </c>
      <c r="BG36" s="229" t="s">
        <v>4425</v>
      </c>
      <c r="BH36" s="321">
        <f t="shared" si="5"/>
        <v>72</v>
      </c>
      <c r="BI36" s="98" t="str">
        <f t="shared" si="6"/>
        <v>INDENIZAÇÃO</v>
      </c>
      <c r="BJ36" s="98" t="str">
        <f t="shared" si="7"/>
        <v>NÃO</v>
      </c>
      <c r="BK36" s="230" t="s">
        <v>4437</v>
      </c>
      <c r="BL36" s="230" t="s">
        <v>4437</v>
      </c>
      <c r="BM36" s="230" t="s">
        <v>4437</v>
      </c>
      <c r="BN36" s="207" t="s">
        <v>4425</v>
      </c>
      <c r="BO36" s="207" t="s">
        <v>4425</v>
      </c>
      <c r="BP36" s="203">
        <v>46128</v>
      </c>
      <c r="BQ36" s="207" t="s">
        <v>4425</v>
      </c>
      <c r="BR36" s="231" t="s">
        <v>4435</v>
      </c>
      <c r="BS36" s="240"/>
      <c r="BT36" s="240"/>
      <c r="BU36" s="240"/>
      <c r="BV36" s="240"/>
    </row>
    <row r="37" spans="1:74" s="223" customFormat="1" ht="27" hidden="1" customHeight="1">
      <c r="A37" s="207">
        <v>33</v>
      </c>
      <c r="B37" s="197" t="s">
        <v>4396</v>
      </c>
      <c r="C37" s="207" t="s">
        <v>4397</v>
      </c>
      <c r="D37" s="207">
        <v>1</v>
      </c>
      <c r="E37" s="207" t="s">
        <v>4398</v>
      </c>
      <c r="F37" s="214" t="s">
        <v>4567</v>
      </c>
      <c r="G37" s="207" t="s">
        <v>4400</v>
      </c>
      <c r="H37" s="207" t="s">
        <v>4401</v>
      </c>
      <c r="I37" s="249" t="s">
        <v>4402</v>
      </c>
      <c r="J37" s="215" t="s">
        <v>4568</v>
      </c>
      <c r="K37" s="215" t="s">
        <v>4398</v>
      </c>
      <c r="L37" s="215" t="s">
        <v>4569</v>
      </c>
      <c r="M37" s="197" t="s">
        <v>4405</v>
      </c>
      <c r="N37" s="207" t="s">
        <v>4406</v>
      </c>
      <c r="O37" s="203">
        <v>46044</v>
      </c>
      <c r="P37" s="203" t="s">
        <v>4407</v>
      </c>
      <c r="Q37" s="203">
        <v>46043</v>
      </c>
      <c r="R37" s="203">
        <v>46044</v>
      </c>
      <c r="S37" s="203">
        <v>46045</v>
      </c>
      <c r="T37" s="203">
        <v>46155</v>
      </c>
      <c r="U37" s="202" t="s">
        <v>4408</v>
      </c>
      <c r="V37" s="202" t="s">
        <v>4408</v>
      </c>
      <c r="W37" s="202">
        <v>46055</v>
      </c>
      <c r="X37" s="203">
        <v>46056</v>
      </c>
      <c r="Y37" s="203"/>
      <c r="Z37" s="219"/>
      <c r="AA37" s="215" t="s">
        <v>4568</v>
      </c>
      <c r="AB37" s="215" t="s">
        <v>4398</v>
      </c>
      <c r="AC37" s="215" t="s">
        <v>4569</v>
      </c>
      <c r="AD37" s="233" t="s">
        <v>4402</v>
      </c>
      <c r="AE37" s="219" t="s">
        <v>4405</v>
      </c>
      <c r="AF37" s="218" t="s">
        <v>4409</v>
      </c>
      <c r="AG37" s="218" t="s">
        <v>4409</v>
      </c>
      <c r="AH37" s="207" t="s">
        <v>4410</v>
      </c>
      <c r="AI37" s="214" t="s">
        <v>4411</v>
      </c>
      <c r="AJ37" s="207"/>
      <c r="AK37" s="316">
        <v>46037</v>
      </c>
      <c r="AL37" s="316">
        <v>46037</v>
      </c>
      <c r="AM37" s="316">
        <v>46037</v>
      </c>
      <c r="AN37" s="316">
        <v>46037</v>
      </c>
      <c r="AO37" s="316">
        <v>46037</v>
      </c>
      <c r="AP37" s="316">
        <v>46037</v>
      </c>
      <c r="AQ37" s="314"/>
      <c r="AR37" s="315" t="str">
        <f t="shared" si="4"/>
        <v>FINALIZADO</v>
      </c>
      <c r="AS37" s="207" t="s">
        <v>4570</v>
      </c>
      <c r="AT37" s="219"/>
      <c r="AU37" s="220"/>
      <c r="AV37" s="219"/>
      <c r="AW37" s="219"/>
      <c r="AX37" s="219"/>
      <c r="AY37" s="219"/>
      <c r="AZ37" s="219"/>
      <c r="BA37" s="219"/>
      <c r="BB37" s="219"/>
      <c r="BC37" s="219"/>
      <c r="BD37" s="208"/>
      <c r="BE37" s="203"/>
      <c r="BF37" s="219"/>
      <c r="BG37" s="219"/>
      <c r="BH37" s="321" t="str">
        <f t="shared" si="5"/>
        <v/>
      </c>
      <c r="BI37" s="98" t="str">
        <f t="shared" si="6"/>
        <v>AA</v>
      </c>
      <c r="BJ37" s="98" t="str">
        <f t="shared" si="7"/>
        <v>NÃO</v>
      </c>
      <c r="BK37" s="219"/>
      <c r="BL37" s="221"/>
      <c r="BM37" s="221"/>
      <c r="BN37" s="219"/>
      <c r="BO37" s="219"/>
      <c r="BP37" s="219"/>
      <c r="BQ37" s="219"/>
      <c r="BR37" s="222"/>
      <c r="BS37" s="240"/>
      <c r="BT37" s="240"/>
      <c r="BU37" s="240"/>
      <c r="BV37" s="240"/>
    </row>
    <row r="38" spans="1:74" s="223" customFormat="1" ht="27" hidden="1" customHeight="1">
      <c r="A38" s="207">
        <v>34</v>
      </c>
      <c r="B38" s="197" t="s">
        <v>4396</v>
      </c>
      <c r="C38" s="207" t="s">
        <v>4453</v>
      </c>
      <c r="D38" s="207">
        <v>1</v>
      </c>
      <c r="E38" s="207" t="s">
        <v>4398</v>
      </c>
      <c r="F38" s="214" t="s">
        <v>4567</v>
      </c>
      <c r="G38" s="207" t="s">
        <v>4400</v>
      </c>
      <c r="H38" s="207" t="s">
        <v>4401</v>
      </c>
      <c r="I38" s="217" t="s">
        <v>4402</v>
      </c>
      <c r="J38" s="242" t="s">
        <v>4571</v>
      </c>
      <c r="K38" s="214" t="s">
        <v>4572</v>
      </c>
      <c r="L38" s="214" t="s">
        <v>4573</v>
      </c>
      <c r="M38" s="197" t="s">
        <v>4405</v>
      </c>
      <c r="N38" s="207" t="s">
        <v>4406</v>
      </c>
      <c r="O38" s="202">
        <v>45986</v>
      </c>
      <c r="P38" s="203" t="s">
        <v>4407</v>
      </c>
      <c r="Q38" s="203">
        <v>45985</v>
      </c>
      <c r="R38" s="203">
        <v>45986</v>
      </c>
      <c r="S38" s="203">
        <v>45987</v>
      </c>
      <c r="T38" s="203">
        <v>45992</v>
      </c>
      <c r="U38" s="202" t="s">
        <v>4408</v>
      </c>
      <c r="V38" s="202" t="s">
        <v>4408</v>
      </c>
      <c r="W38" s="202">
        <v>45999</v>
      </c>
      <c r="X38" s="202">
        <v>46000</v>
      </c>
      <c r="Y38" s="202">
        <v>46017</v>
      </c>
      <c r="Z38" s="207"/>
      <c r="AA38" s="242" t="s">
        <v>4571</v>
      </c>
      <c r="AB38" s="215" t="s">
        <v>4572</v>
      </c>
      <c r="AC38" s="215" t="s">
        <v>4573</v>
      </c>
      <c r="AD38" s="241" t="s">
        <v>4402</v>
      </c>
      <c r="AE38" s="241" t="s">
        <v>4405</v>
      </c>
      <c r="AF38" s="242" t="s">
        <v>4409</v>
      </c>
      <c r="AG38" s="242" t="s">
        <v>4409</v>
      </c>
      <c r="AH38" s="241" t="s">
        <v>4410</v>
      </c>
      <c r="AI38" s="214" t="s">
        <v>4411</v>
      </c>
      <c r="AJ38" s="207"/>
      <c r="AK38" s="316">
        <v>45979</v>
      </c>
      <c r="AL38" s="316">
        <v>45979</v>
      </c>
      <c r="AM38" s="316">
        <v>45979</v>
      </c>
      <c r="AN38" s="316">
        <v>45979</v>
      </c>
      <c r="AO38" s="316">
        <v>45979</v>
      </c>
      <c r="AP38" s="316">
        <v>45979</v>
      </c>
      <c r="AQ38" s="314"/>
      <c r="AR38" s="315" t="str">
        <f t="shared" si="4"/>
        <v>FINALIZADO</v>
      </c>
      <c r="AS38" s="207"/>
      <c r="AT38" s="207"/>
      <c r="AU38" s="220"/>
      <c r="AV38" s="197"/>
      <c r="AW38" s="207"/>
      <c r="AX38" s="207"/>
      <c r="AY38" s="207"/>
      <c r="AZ38" s="202"/>
      <c r="BA38" s="207"/>
      <c r="BB38" s="207"/>
      <c r="BC38" s="202"/>
      <c r="BD38" s="208"/>
      <c r="BE38" s="239">
        <v>46017</v>
      </c>
      <c r="BF38" s="207" t="s">
        <v>4412</v>
      </c>
      <c r="BG38" s="229"/>
      <c r="BH38" s="321" t="str">
        <f t="shared" si="5"/>
        <v/>
      </c>
      <c r="BI38" s="98" t="str">
        <f t="shared" si="6"/>
        <v>AA</v>
      </c>
      <c r="BJ38" s="98" t="str">
        <f t="shared" si="7"/>
        <v>NÃO</v>
      </c>
      <c r="BK38" s="230"/>
      <c r="BL38" s="230"/>
      <c r="BM38" s="230"/>
      <c r="BN38" s="230"/>
      <c r="BO38" s="230"/>
      <c r="BP38" s="230"/>
      <c r="BQ38" s="230"/>
      <c r="BR38" s="234"/>
    </row>
    <row r="39" spans="1:74" s="223" customFormat="1" ht="27" hidden="1" customHeight="1">
      <c r="A39" s="197">
        <v>35</v>
      </c>
      <c r="B39" s="197" t="s">
        <v>4396</v>
      </c>
      <c r="C39" s="207" t="s">
        <v>4427</v>
      </c>
      <c r="D39" s="207">
        <v>1</v>
      </c>
      <c r="E39" s="207" t="s">
        <v>4398</v>
      </c>
      <c r="F39" s="214" t="s">
        <v>4567</v>
      </c>
      <c r="G39" s="207" t="s">
        <v>4400</v>
      </c>
      <c r="H39" s="207" t="s">
        <v>4401</v>
      </c>
      <c r="I39" s="217" t="s">
        <v>4402</v>
      </c>
      <c r="J39" s="215" t="s">
        <v>4574</v>
      </c>
      <c r="K39" s="214" t="s">
        <v>4575</v>
      </c>
      <c r="L39" s="214" t="s">
        <v>4576</v>
      </c>
      <c r="M39" s="197" t="s">
        <v>4405</v>
      </c>
      <c r="N39" s="207" t="s">
        <v>4442</v>
      </c>
      <c r="O39" s="202" t="s">
        <v>4409</v>
      </c>
      <c r="P39" s="202" t="s">
        <v>4409</v>
      </c>
      <c r="Q39" s="202" t="s">
        <v>4409</v>
      </c>
      <c r="R39" s="202" t="s">
        <v>4409</v>
      </c>
      <c r="S39" s="202" t="s">
        <v>4409</v>
      </c>
      <c r="T39" s="202" t="s">
        <v>4409</v>
      </c>
      <c r="U39" s="202" t="s">
        <v>4409</v>
      </c>
      <c r="V39" s="202" t="s">
        <v>4409</v>
      </c>
      <c r="W39" s="202" t="s">
        <v>4409</v>
      </c>
      <c r="X39" s="202" t="s">
        <v>4409</v>
      </c>
      <c r="Y39" s="202"/>
      <c r="Z39" s="207"/>
      <c r="AA39" s="215" t="s">
        <v>4574</v>
      </c>
      <c r="AB39" s="214" t="s">
        <v>4575</v>
      </c>
      <c r="AC39" s="214" t="s">
        <v>4576</v>
      </c>
      <c r="AD39" s="197" t="s">
        <v>4402</v>
      </c>
      <c r="AE39" s="197" t="s">
        <v>4405</v>
      </c>
      <c r="AF39" s="243">
        <v>32549.34</v>
      </c>
      <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>46045</v>
      </c>
      <c r="AL39" s="316">
        <v>46045</v>
      </c>
      <c r="AM39" s="316">
        <v>46045</v>
      </c>
      <c r="AN39" s="316">
        <v>46045</v>
      </c>
      <c r="AO39" s="316">
        <v>46045</v>
      </c>
      <c r="AP39" s="316">
        <v>46045</v>
      </c>
      <c r="AQ39" s="314"/>
      <c r="AR39" s="315" t="str">
        <f t="shared" si="4"/>
        <v>FINALIZADO</v>
      </c>
      <c r="AS39" s="207" t="s">
        <v>4423</v>
      </c>
      <c r="AT39" s="207"/>
      <c r="AU39" s="220" t="s">
        <v>4577</v>
      </c>
      <c r="AV39" s="207" t="s">
        <v>4425</v>
      </c>
      <c r="AW39" s="207" t="s">
        <v>4425</v>
      </c>
      <c r="AX39" s="207" t="s">
        <v>4425</v>
      </c>
      <c r="AY39" s="207" t="s">
        <v>4425</v>
      </c>
      <c r="AZ39" s="202">
        <v>46085</v>
      </c>
      <c r="BA39" s="207" t="s">
        <v>4425</v>
      </c>
      <c r="BB39" s="219" t="s">
        <v>4425</v>
      </c>
      <c r="BC39" s="239">
        <v>46092</v>
      </c>
      <c r="BD39" s="226">
        <v>46092</v>
      </c>
      <c r="BE39" s="244" t="s">
        <v>4435</v>
      </c>
      <c r="BF39" s="245" t="s">
        <v>4436</v>
      </c>
      <c r="BG39" s="229" t="s">
        <v>4425</v>
      </c>
      <c r="BH39" s="321">
        <f t="shared" si="5"/>
        <v>47</v>
      </c>
      <c r="BI39" s="98" t="str">
        <f t="shared" si="6"/>
        <v>INDENIZAÇÃO</v>
      </c>
      <c r="BJ39" s="98" t="str">
        <f t="shared" si="7"/>
        <v>NÃO</v>
      </c>
      <c r="BK39" s="230" t="s">
        <v>4437</v>
      </c>
      <c r="BL39" s="230" t="s">
        <v>4437</v>
      </c>
      <c r="BM39" s="230" t="s">
        <v>4437</v>
      </c>
      <c r="BN39" s="207" t="s">
        <v>4425</v>
      </c>
      <c r="BO39" s="207" t="s">
        <v>4425</v>
      </c>
      <c r="BP39" s="203">
        <v>46128</v>
      </c>
      <c r="BQ39" s="207" t="s">
        <v>4425</v>
      </c>
      <c r="BR39" s="231" t="s">
        <v>4435</v>
      </c>
    </row>
    <row r="40" spans="1:74" s="223" customFormat="1" ht="27" hidden="1" customHeight="1">
      <c r="A40" s="197">
        <v>36</v>
      </c>
      <c r="B40" s="197" t="s">
        <v>4396</v>
      </c>
      <c r="C40" s="207" t="s">
        <v>4453</v>
      </c>
      <c r="D40" s="207">
        <v>1</v>
      </c>
      <c r="E40" s="207" t="s">
        <v>4398</v>
      </c>
      <c r="F40" s="214" t="s">
        <v>4578</v>
      </c>
      <c r="G40" s="207" t="s">
        <v>4400</v>
      </c>
      <c r="H40" s="207" t="s">
        <v>4401</v>
      </c>
      <c r="I40" s="217" t="s">
        <v>4402</v>
      </c>
      <c r="J40" s="215" t="s">
        <v>4579</v>
      </c>
      <c r="K40" s="214" t="s">
        <v>4580</v>
      </c>
      <c r="L40" s="214" t="s">
        <v>4581</v>
      </c>
      <c r="M40" s="197" t="s">
        <v>4405</v>
      </c>
      <c r="N40" s="207" t="s">
        <v>4406</v>
      </c>
      <c r="O40" s="202">
        <v>45986</v>
      </c>
      <c r="P40" s="203" t="s">
        <v>4407</v>
      </c>
      <c r="Q40" s="203">
        <v>45985</v>
      </c>
      <c r="R40" s="203">
        <v>45986</v>
      </c>
      <c r="S40" s="203">
        <v>45987</v>
      </c>
      <c r="T40" s="203">
        <v>45992</v>
      </c>
      <c r="U40" s="202" t="s">
        <v>4408</v>
      </c>
      <c r="V40" s="202" t="s">
        <v>4408</v>
      </c>
      <c r="W40" s="202">
        <v>45999</v>
      </c>
      <c r="X40" s="202">
        <v>46000</v>
      </c>
      <c r="Y40" s="202">
        <v>46017</v>
      </c>
      <c r="Z40" s="207"/>
      <c r="AA40" s="215" t="s">
        <v>4579</v>
      </c>
      <c r="AB40" s="215" t="s">
        <v>4582</v>
      </c>
      <c r="AC40" s="215" t="s">
        <v>4581</v>
      </c>
      <c r="AD40" s="241" t="s">
        <v>4402</v>
      </c>
      <c r="AE40" s="241" t="s">
        <v>4405</v>
      </c>
      <c r="AF40" s="242" t="s">
        <v>4409</v>
      </c>
      <c r="AG40" s="242" t="s">
        <v>4409</v>
      </c>
      <c r="AH40" s="241" t="s">
        <v>4410</v>
      </c>
      <c r="AI40" s="214" t="s">
        <v>4411</v>
      </c>
      <c r="AJ40" s="207"/>
      <c r="AK40" s="316">
        <v>45979</v>
      </c>
      <c r="AL40" s="316">
        <v>45979</v>
      </c>
      <c r="AM40" s="316">
        <v>45979</v>
      </c>
      <c r="AN40" s="316">
        <v>45979</v>
      </c>
      <c r="AO40" s="316">
        <v>45979</v>
      </c>
      <c r="AP40" s="316">
        <v>45979</v>
      </c>
      <c r="AQ40" s="314"/>
      <c r="AR40" s="315" t="str">
        <f t="shared" si="4"/>
        <v>FINALIZADO</v>
      </c>
      <c r="AS40" s="207"/>
      <c r="AT40" s="207"/>
      <c r="AU40" s="220"/>
      <c r="AV40" s="207"/>
      <c r="AW40" s="207"/>
      <c r="AX40" s="207"/>
      <c r="AY40" s="207"/>
      <c r="AZ40" s="202"/>
      <c r="BA40" s="207"/>
      <c r="BB40" s="207"/>
      <c r="BC40" s="202"/>
      <c r="BD40" s="208"/>
      <c r="BE40" s="239">
        <v>46017</v>
      </c>
      <c r="BF40" s="207" t="s">
        <v>4412</v>
      </c>
      <c r="BG40" s="229"/>
      <c r="BH40" s="321" t="str">
        <f t="shared" si="5"/>
        <v/>
      </c>
      <c r="BI40" s="98" t="str">
        <f t="shared" si="6"/>
        <v>AA</v>
      </c>
      <c r="BJ40" s="98" t="str">
        <f t="shared" si="7"/>
        <v>NÃO</v>
      </c>
      <c r="BK40" s="230"/>
      <c r="BL40" s="230"/>
      <c r="BM40" s="230"/>
      <c r="BN40" s="230"/>
      <c r="BO40" s="230"/>
      <c r="BP40" s="230"/>
      <c r="BQ40" s="230"/>
      <c r="BR40" s="234"/>
      <c r="BS40" s="240"/>
      <c r="BT40" s="240"/>
      <c r="BU40" s="240"/>
      <c r="BV40" s="240"/>
    </row>
    <row r="41" spans="1:74" s="223" customFormat="1" ht="27" hidden="1" customHeight="1">
      <c r="A41" s="207">
        <v>37</v>
      </c>
      <c r="B41" s="197" t="s">
        <v>4396</v>
      </c>
      <c r="C41" s="207" t="s">
        <v>4427</v>
      </c>
      <c r="D41" s="207">
        <v>1</v>
      </c>
      <c r="E41" s="207" t="s">
        <v>4398</v>
      </c>
      <c r="F41" s="214" t="s">
        <v>4578</v>
      </c>
      <c r="G41" s="207" t="s">
        <v>4400</v>
      </c>
      <c r="H41" s="207" t="s">
        <v>4583</v>
      </c>
      <c r="I41" s="217" t="s">
        <v>4402</v>
      </c>
      <c r="J41" s="215" t="s">
        <v>4584</v>
      </c>
      <c r="K41" s="214" t="s">
        <v>4585</v>
      </c>
      <c r="L41" s="214" t="s">
        <v>4586</v>
      </c>
      <c r="M41" s="197" t="s">
        <v>4405</v>
      </c>
      <c r="N41" s="207" t="s">
        <v>4442</v>
      </c>
      <c r="O41" s="202" t="s">
        <v>4409</v>
      </c>
      <c r="P41" s="202" t="s">
        <v>4409</v>
      </c>
      <c r="Q41" s="202" t="s">
        <v>4409</v>
      </c>
      <c r="R41" s="202" t="s">
        <v>4409</v>
      </c>
      <c r="S41" s="202" t="s">
        <v>4409</v>
      </c>
      <c r="T41" s="202" t="s">
        <v>4409</v>
      </c>
      <c r="U41" s="202" t="s">
        <v>4409</v>
      </c>
      <c r="V41" s="202" t="s">
        <v>4409</v>
      </c>
      <c r="W41" s="202" t="s">
        <v>4409</v>
      </c>
      <c r="X41" s="202" t="s">
        <v>4409</v>
      </c>
      <c r="Y41" s="202"/>
      <c r="Z41" s="207"/>
      <c r="AA41" s="215" t="s">
        <v>4584</v>
      </c>
      <c r="AB41" s="214" t="s">
        <v>4585</v>
      </c>
      <c r="AC41" s="214" t="s">
        <v>4586</v>
      </c>
      <c r="AD41" s="197" t="s">
        <v>4402</v>
      </c>
      <c r="AE41" s="197" t="s">
        <v>4405</v>
      </c>
      <c r="AF41" s="243">
        <v>47592.04</v>
      </c>
      <c r="AG41" s="243">
        <v>60000</v>
      </c>
      <c r="AH41" s="197" t="s">
        <v>4433</v>
      </c>
      <c r="AI41" s="214" t="s">
        <v>4411</v>
      </c>
      <c r="AJ41" s="207">
        <v>147747048</v>
      </c>
      <c r="AK41" s="316">
        <v>46045</v>
      </c>
      <c r="AL41" s="316">
        <v>46045</v>
      </c>
      <c r="AM41" s="316">
        <v>46045</v>
      </c>
      <c r="AN41" s="316">
        <v>46045</v>
      </c>
      <c r="AO41" s="316">
        <v>46045</v>
      </c>
      <c r="AP41" s="316">
        <v>46045</v>
      </c>
      <c r="AQ41" s="314"/>
      <c r="AR41" s="315" t="str">
        <f t="shared" si="4"/>
        <v>FINALIZADO</v>
      </c>
      <c r="AS41" s="207" t="s">
        <v>4423</v>
      </c>
      <c r="AT41" s="207"/>
      <c r="AU41" s="220" t="s">
        <v>4587</v>
      </c>
      <c r="AV41" s="197" t="s">
        <v>4425</v>
      </c>
      <c r="AW41" s="207" t="s">
        <v>4425</v>
      </c>
      <c r="AX41" s="207" t="s">
        <v>4425</v>
      </c>
      <c r="AY41" s="207" t="s">
        <v>4425</v>
      </c>
      <c r="AZ41" s="202">
        <v>46085</v>
      </c>
      <c r="BA41" s="207" t="s">
        <v>4425</v>
      </c>
      <c r="BB41" s="219" t="s">
        <v>4425</v>
      </c>
      <c r="BC41" s="239">
        <v>46092</v>
      </c>
      <c r="BD41" s="226">
        <v>46092</v>
      </c>
      <c r="BE41" s="244" t="s">
        <v>4435</v>
      </c>
      <c r="BF41" s="245" t="s">
        <v>4436</v>
      </c>
      <c r="BG41" s="229" t="s">
        <v>4425</v>
      </c>
      <c r="BH41" s="321">
        <f t="shared" si="5"/>
        <v>47</v>
      </c>
      <c r="BI41" s="98" t="str">
        <f t="shared" si="6"/>
        <v>INDENIZAÇÃO</v>
      </c>
      <c r="BJ41" s="98" t="str">
        <f t="shared" si="7"/>
        <v>NÃO</v>
      </c>
      <c r="BK41" s="230" t="s">
        <v>4437</v>
      </c>
      <c r="BL41" s="230" t="s">
        <v>4437</v>
      </c>
      <c r="BM41" s="230" t="s">
        <v>4437</v>
      </c>
      <c r="BN41" s="207" t="s">
        <v>4425</v>
      </c>
      <c r="BO41" s="207" t="s">
        <v>4425</v>
      </c>
      <c r="BP41" s="203">
        <v>46128</v>
      </c>
      <c r="BQ41" s="207" t="s">
        <v>4425</v>
      </c>
      <c r="BR41" s="231" t="s">
        <v>4435</v>
      </c>
    </row>
    <row r="42" spans="1:74" s="223" customFormat="1" ht="27" hidden="1" customHeight="1">
      <c r="A42" s="207">
        <v>38</v>
      </c>
      <c r="B42" s="197" t="s">
        <v>4396</v>
      </c>
      <c r="C42" s="207" t="s">
        <v>4397</v>
      </c>
      <c r="D42" s="207">
        <v>1</v>
      </c>
      <c r="E42" s="207" t="s">
        <v>4398</v>
      </c>
      <c r="F42" s="214" t="s">
        <v>4578</v>
      </c>
      <c r="G42" s="207" t="s">
        <v>4400</v>
      </c>
      <c r="H42" s="207" t="s">
        <v>4401</v>
      </c>
      <c r="I42" s="217" t="s">
        <v>4402</v>
      </c>
      <c r="J42" s="215" t="s">
        <v>4588</v>
      </c>
      <c r="K42" s="215" t="s">
        <v>4589</v>
      </c>
      <c r="L42" s="215" t="s">
        <v>4590</v>
      </c>
      <c r="M42" s="197" t="s">
        <v>4405</v>
      </c>
      <c r="N42" s="207" t="s">
        <v>4442</v>
      </c>
      <c r="O42" s="202" t="s">
        <v>4409</v>
      </c>
      <c r="P42" s="202" t="s">
        <v>4409</v>
      </c>
      <c r="Q42" s="202" t="s">
        <v>4409</v>
      </c>
      <c r="R42" s="202" t="s">
        <v>4409</v>
      </c>
      <c r="S42" s="202" t="s">
        <v>4409</v>
      </c>
      <c r="T42" s="202" t="s">
        <v>4409</v>
      </c>
      <c r="U42" s="202" t="s">
        <v>4409</v>
      </c>
      <c r="V42" s="202" t="s">
        <v>4409</v>
      </c>
      <c r="W42" s="202" t="s">
        <v>4409</v>
      </c>
      <c r="X42" s="202" t="s">
        <v>4409</v>
      </c>
      <c r="Y42" s="202"/>
      <c r="Z42" s="251"/>
      <c r="AA42" s="215" t="s">
        <v>4588</v>
      </c>
      <c r="AB42" s="215" t="s">
        <v>4589</v>
      </c>
      <c r="AC42" s="215" t="s">
        <v>4590</v>
      </c>
      <c r="AD42" s="207" t="s">
        <v>4402</v>
      </c>
      <c r="AE42" s="207" t="s">
        <v>4405</v>
      </c>
      <c r="AF42" s="218">
        <v>24189.38</v>
      </c>
      <c r="AG42" s="218">
        <v>54189.38</v>
      </c>
      <c r="AH42" s="207" t="s">
        <v>4433</v>
      </c>
      <c r="AI42" s="214" t="s">
        <v>4411</v>
      </c>
      <c r="AJ42" s="207">
        <v>150957778</v>
      </c>
      <c r="AK42" s="316">
        <v>46093</v>
      </c>
      <c r="AL42" s="316">
        <v>46093</v>
      </c>
      <c r="AM42" s="316">
        <v>46093</v>
      </c>
      <c r="AN42" s="316">
        <v>46093</v>
      </c>
      <c r="AO42" s="316">
        <v>46093</v>
      </c>
      <c r="AP42" s="316">
        <v>46093</v>
      </c>
      <c r="AQ42" s="314"/>
      <c r="AR42" s="315" t="str">
        <f t="shared" si="4"/>
        <v>FINALIZADO</v>
      </c>
      <c r="AS42" s="207" t="s">
        <v>4423</v>
      </c>
      <c r="AT42" s="219"/>
      <c r="AU42" s="220" t="s">
        <v>4591</v>
      </c>
      <c r="AV42" s="207" t="s">
        <v>4425</v>
      </c>
      <c r="AW42" s="207" t="s">
        <v>4425</v>
      </c>
      <c r="AX42" s="207" t="s">
        <v>4425</v>
      </c>
      <c r="AY42" s="207" t="s">
        <v>4425</v>
      </c>
      <c r="AZ42" s="202">
        <v>46128</v>
      </c>
      <c r="BA42" s="207" t="s">
        <v>4425</v>
      </c>
      <c r="BB42" s="207" t="s">
        <v>4425</v>
      </c>
      <c r="BC42" s="202">
        <v>46136</v>
      </c>
      <c r="BD42" s="227">
        <v>46136</v>
      </c>
      <c r="BE42" s="227" t="s">
        <v>4435</v>
      </c>
      <c r="BF42" s="228" t="s">
        <v>4436</v>
      </c>
      <c r="BG42" s="229" t="s">
        <v>4425</v>
      </c>
      <c r="BH42" s="321">
        <f t="shared" si="5"/>
        <v>43</v>
      </c>
      <c r="BI42" s="98" t="str">
        <f t="shared" si="6"/>
        <v>INDENIZAÇÃO</v>
      </c>
      <c r="BJ42" s="98" t="str">
        <f t="shared" si="7"/>
        <v>NÃO</v>
      </c>
      <c r="BK42" s="219" t="s">
        <v>4437</v>
      </c>
      <c r="BL42" s="219" t="s">
        <v>4437</v>
      </c>
      <c r="BM42" s="219" t="s">
        <v>4437</v>
      </c>
      <c r="BN42" s="219" t="s">
        <v>4425</v>
      </c>
      <c r="BO42" s="219" t="s">
        <v>4425</v>
      </c>
      <c r="BP42" s="202">
        <v>46195</v>
      </c>
      <c r="BQ42" s="219" t="s">
        <v>4425</v>
      </c>
      <c r="BR42" s="232" t="s">
        <v>4435</v>
      </c>
    </row>
    <row r="43" spans="1:74" s="223" customFormat="1" ht="27" hidden="1" customHeight="1">
      <c r="A43" s="207">
        <v>39</v>
      </c>
      <c r="B43" s="197" t="s">
        <v>4396</v>
      </c>
      <c r="C43" s="207" t="s">
        <v>4453</v>
      </c>
      <c r="D43" s="207">
        <v>1</v>
      </c>
      <c r="E43" s="207" t="s">
        <v>4398</v>
      </c>
      <c r="F43" s="214" t="s">
        <v>4592</v>
      </c>
      <c r="G43" s="207" t="s">
        <v>4400</v>
      </c>
      <c r="H43" s="207" t="s">
        <v>4401</v>
      </c>
      <c r="I43" s="217" t="s">
        <v>4402</v>
      </c>
      <c r="J43" s="215" t="s">
        <v>4593</v>
      </c>
      <c r="K43" s="214" t="s">
        <v>4594</v>
      </c>
      <c r="L43" s="214" t="s">
        <v>4595</v>
      </c>
      <c r="M43" s="197" t="s">
        <v>4405</v>
      </c>
      <c r="N43" s="207" t="s">
        <v>4406</v>
      </c>
      <c r="O43" s="202">
        <v>45986</v>
      </c>
      <c r="P43" s="230" t="s">
        <v>4407</v>
      </c>
      <c r="Q43" s="202">
        <v>45985</v>
      </c>
      <c r="R43" s="202">
        <v>45986</v>
      </c>
      <c r="S43" s="202">
        <v>45987</v>
      </c>
      <c r="T43" s="202">
        <v>45992</v>
      </c>
      <c r="U43" s="230" t="s">
        <v>4408</v>
      </c>
      <c r="V43" s="230" t="s">
        <v>4408</v>
      </c>
      <c r="W43" s="202">
        <v>45999</v>
      </c>
      <c r="X43" s="202">
        <v>46000</v>
      </c>
      <c r="Y43" s="202">
        <v>46017</v>
      </c>
      <c r="Z43" s="207"/>
      <c r="AA43" s="215" t="s">
        <v>4593</v>
      </c>
      <c r="AB43" s="215" t="s">
        <v>4594</v>
      </c>
      <c r="AC43" s="215" t="s">
        <v>4595</v>
      </c>
      <c r="AD43" s="241" t="s">
        <v>4402</v>
      </c>
      <c r="AE43" s="241" t="s">
        <v>4405</v>
      </c>
      <c r="AF43" s="242" t="s">
        <v>4409</v>
      </c>
      <c r="AG43" s="242" t="s">
        <v>4409</v>
      </c>
      <c r="AH43" s="241" t="s">
        <v>4410</v>
      </c>
      <c r="AI43" s="214" t="s">
        <v>4411</v>
      </c>
      <c r="AJ43" s="207"/>
      <c r="AK43" s="316">
        <v>45979</v>
      </c>
      <c r="AL43" s="316">
        <v>45979</v>
      </c>
      <c r="AM43" s="316">
        <v>45979</v>
      </c>
      <c r="AN43" s="316">
        <v>45979</v>
      </c>
      <c r="AO43" s="316">
        <v>45979</v>
      </c>
      <c r="AP43" s="316">
        <v>45979</v>
      </c>
      <c r="AQ43" s="314"/>
      <c r="AR43" s="315" t="str">
        <f t="shared" si="4"/>
        <v>FINALIZADO</v>
      </c>
      <c r="AS43" s="207"/>
      <c r="AT43" s="207"/>
      <c r="AU43" s="220"/>
      <c r="AV43" s="197"/>
      <c r="AW43" s="207"/>
      <c r="AX43" s="207"/>
      <c r="AY43" s="207"/>
      <c r="AZ43" s="202"/>
      <c r="BA43" s="207"/>
      <c r="BB43" s="207"/>
      <c r="BC43" s="202"/>
      <c r="BD43" s="208"/>
      <c r="BE43" s="239">
        <v>46017</v>
      </c>
      <c r="BF43" s="207" t="s">
        <v>4412</v>
      </c>
      <c r="BG43" s="229"/>
      <c r="BH43" s="321" t="str">
        <f t="shared" si="5"/>
        <v/>
      </c>
      <c r="BI43" s="98" t="str">
        <f t="shared" si="6"/>
        <v>AA</v>
      </c>
      <c r="BJ43" s="98" t="str">
        <f t="shared" si="7"/>
        <v>NÃO</v>
      </c>
      <c r="BK43" s="230"/>
      <c r="BL43" s="230"/>
      <c r="BM43" s="230"/>
      <c r="BN43" s="230"/>
      <c r="BO43" s="230"/>
      <c r="BP43" s="230"/>
      <c r="BQ43" s="230"/>
      <c r="BR43" s="234"/>
    </row>
    <row r="44" spans="1:74" s="223" customFormat="1" ht="27" hidden="1" customHeight="1">
      <c r="A44" s="197">
        <v>40</v>
      </c>
      <c r="B44" s="197" t="s">
        <v>4396</v>
      </c>
      <c r="C44" s="207" t="s">
        <v>4397</v>
      </c>
      <c r="D44" s="207">
        <v>1</v>
      </c>
      <c r="E44" s="207" t="s">
        <v>4398</v>
      </c>
      <c r="F44" s="214" t="s">
        <v>4592</v>
      </c>
      <c r="G44" s="207" t="s">
        <v>4400</v>
      </c>
      <c r="H44" s="207" t="s">
        <v>4583</v>
      </c>
      <c r="I44" s="217" t="s">
        <v>4402</v>
      </c>
      <c r="J44" s="215" t="s">
        <v>4596</v>
      </c>
      <c r="K44" s="215" t="s">
        <v>4597</v>
      </c>
      <c r="L44" s="215" t="s">
        <v>4598</v>
      </c>
      <c r="M44" s="197" t="s">
        <v>4405</v>
      </c>
      <c r="N44" s="207" t="s">
        <v>4442</v>
      </c>
      <c r="O44" s="202" t="s">
        <v>4409</v>
      </c>
      <c r="P44" s="202" t="s">
        <v>4409</v>
      </c>
      <c r="Q44" s="202" t="s">
        <v>4409</v>
      </c>
      <c r="R44" s="202" t="s">
        <v>4409</v>
      </c>
      <c r="S44" s="202" t="s">
        <v>4409</v>
      </c>
      <c r="T44" s="202" t="s">
        <v>4409</v>
      </c>
      <c r="U44" s="202" t="s">
        <v>4409</v>
      </c>
      <c r="V44" s="202" t="s">
        <v>4409</v>
      </c>
      <c r="W44" s="202" t="s">
        <v>4409</v>
      </c>
      <c r="X44" s="202" t="s">
        <v>4409</v>
      </c>
      <c r="Y44" s="202"/>
      <c r="Z44" s="219"/>
      <c r="AA44" s="215" t="s">
        <v>4596</v>
      </c>
      <c r="AB44" s="215" t="s">
        <v>4597</v>
      </c>
      <c r="AC44" s="215" t="s">
        <v>4598</v>
      </c>
      <c r="AD44" s="197" t="s">
        <v>4402</v>
      </c>
      <c r="AE44" s="197" t="s">
        <v>4405</v>
      </c>
      <c r="AF44" s="243">
        <v>69809.19</v>
      </c>
      <c r="AG44" s="243">
        <v>69809.19</v>
      </c>
      <c r="AH44" s="197" t="s">
        <v>4433</v>
      </c>
      <c r="AI44" s="214" t="s">
        <v>4411</v>
      </c>
      <c r="AJ44" s="207">
        <v>150958177</v>
      </c>
      <c r="AK44" s="316">
        <v>46079</v>
      </c>
      <c r="AL44" s="316">
        <v>46079</v>
      </c>
      <c r="AM44" s="316">
        <v>46079</v>
      </c>
      <c r="AN44" s="316">
        <v>46079</v>
      </c>
      <c r="AO44" s="316">
        <v>46079</v>
      </c>
      <c r="AP44" s="316">
        <v>46079</v>
      </c>
      <c r="AQ44" s="314"/>
      <c r="AR44" s="315" t="str">
        <f t="shared" si="4"/>
        <v>FINALIZADO</v>
      </c>
      <c r="AS44" s="207" t="s">
        <v>4423</v>
      </c>
      <c r="AT44" s="219"/>
      <c r="AU44" s="220" t="s">
        <v>4599</v>
      </c>
      <c r="AV44" s="207" t="s">
        <v>4425</v>
      </c>
      <c r="AW44" s="207" t="s">
        <v>4425</v>
      </c>
      <c r="AX44" s="207" t="s">
        <v>4425</v>
      </c>
      <c r="AY44" s="207" t="s">
        <v>4425</v>
      </c>
      <c r="AZ44" s="202">
        <v>46118</v>
      </c>
      <c r="BA44" s="207" t="s">
        <v>4425</v>
      </c>
      <c r="BB44" s="207" t="s">
        <v>4425</v>
      </c>
      <c r="BC44" s="202">
        <v>46122</v>
      </c>
      <c r="BD44" s="227">
        <v>46122</v>
      </c>
      <c r="BE44" s="244" t="s">
        <v>4435</v>
      </c>
      <c r="BF44" s="245" t="s">
        <v>4436</v>
      </c>
      <c r="BG44" s="229" t="s">
        <v>4425</v>
      </c>
      <c r="BH44" s="321">
        <f t="shared" si="5"/>
        <v>43</v>
      </c>
      <c r="BI44" s="98" t="str">
        <f t="shared" si="6"/>
        <v>INDENIZAÇÃO</v>
      </c>
      <c r="BJ44" s="98" t="str">
        <f t="shared" si="7"/>
        <v>NÃO</v>
      </c>
      <c r="BK44" s="219" t="s">
        <v>4437</v>
      </c>
      <c r="BL44" s="219" t="s">
        <v>4437</v>
      </c>
      <c r="BM44" s="219" t="s">
        <v>4437</v>
      </c>
      <c r="BN44" s="219" t="s">
        <v>4425</v>
      </c>
      <c r="BO44" s="219" t="s">
        <v>4425</v>
      </c>
      <c r="BP44" s="202">
        <v>46195</v>
      </c>
      <c r="BQ44" s="219" t="s">
        <v>4425</v>
      </c>
      <c r="BR44" s="232" t="s">
        <v>4435</v>
      </c>
    </row>
    <row r="45" spans="1:74" s="223" customFormat="1" ht="27" hidden="1" customHeight="1">
      <c r="A45" s="197">
        <v>41</v>
      </c>
      <c r="B45" s="197" t="s">
        <v>4396</v>
      </c>
      <c r="C45" s="207" t="s">
        <v>4427</v>
      </c>
      <c r="D45" s="207">
        <v>1</v>
      </c>
      <c r="E45" s="207" t="s">
        <v>4398</v>
      </c>
      <c r="F45" s="214" t="s">
        <v>4592</v>
      </c>
      <c r="G45" s="207" t="s">
        <v>4400</v>
      </c>
      <c r="H45" s="207" t="s">
        <v>4401</v>
      </c>
      <c r="I45" s="217" t="s">
        <v>4402</v>
      </c>
      <c r="J45" s="215" t="s">
        <v>4600</v>
      </c>
      <c r="K45" s="214" t="s">
        <v>4601</v>
      </c>
      <c r="L45" s="214" t="s">
        <v>4602</v>
      </c>
      <c r="M45" s="197" t="s">
        <v>4405</v>
      </c>
      <c r="N45" s="207" t="s">
        <v>4442</v>
      </c>
      <c r="O45" s="202" t="s">
        <v>4409</v>
      </c>
      <c r="P45" s="202" t="s">
        <v>4409</v>
      </c>
      <c r="Q45" s="202" t="s">
        <v>4409</v>
      </c>
      <c r="R45" s="202" t="s">
        <v>4409</v>
      </c>
      <c r="S45" s="202" t="s">
        <v>4409</v>
      </c>
      <c r="T45" s="202" t="s">
        <v>4409</v>
      </c>
      <c r="U45" s="202" t="s">
        <v>4409</v>
      </c>
      <c r="V45" s="202" t="s">
        <v>4409</v>
      </c>
      <c r="W45" s="202" t="s">
        <v>4409</v>
      </c>
      <c r="X45" s="202" t="s">
        <v>4409</v>
      </c>
      <c r="Y45" s="202"/>
      <c r="Z45" s="207"/>
      <c r="AA45" s="215" t="s">
        <v>4600</v>
      </c>
      <c r="AB45" s="214" t="s">
        <v>4601</v>
      </c>
      <c r="AC45" s="214" t="s">
        <v>4602</v>
      </c>
      <c r="AD45" s="207" t="s">
        <v>4402</v>
      </c>
      <c r="AE45" s="207" t="s">
        <v>4405</v>
      </c>
      <c r="AF45" s="218">
        <v>38389.07</v>
      </c>
      <c r="AG45" s="218">
        <v>60000</v>
      </c>
      <c r="AH45" s="207" t="s">
        <v>4433</v>
      </c>
      <c r="AI45" s="214" t="s">
        <v>4411</v>
      </c>
      <c r="AJ45" s="207">
        <v>147747118</v>
      </c>
      <c r="AK45" s="316">
        <v>46065</v>
      </c>
      <c r="AL45" s="316">
        <v>46065</v>
      </c>
      <c r="AM45" s="316">
        <v>46065</v>
      </c>
      <c r="AN45" s="316">
        <v>46065</v>
      </c>
      <c r="AO45" s="316">
        <v>46065</v>
      </c>
      <c r="AP45" s="316">
        <v>46065</v>
      </c>
      <c r="AQ45" s="314"/>
      <c r="AR45" s="315" t="str">
        <f t="shared" si="4"/>
        <v>FINALIZADO</v>
      </c>
      <c r="AS45" s="207" t="s">
        <v>4423</v>
      </c>
      <c r="AT45" s="217"/>
      <c r="AU45" s="220" t="s">
        <v>4603</v>
      </c>
      <c r="AV45" s="219" t="s">
        <v>4425</v>
      </c>
      <c r="AW45" s="161" t="s">
        <v>4425</v>
      </c>
      <c r="AX45" s="207" t="s">
        <v>4425</v>
      </c>
      <c r="AY45" s="197" t="s">
        <v>4425</v>
      </c>
      <c r="AZ45" s="202">
        <v>46153</v>
      </c>
      <c r="BA45" s="197" t="s">
        <v>4425</v>
      </c>
      <c r="BB45" s="207" t="s">
        <v>4425</v>
      </c>
      <c r="BC45" s="202">
        <v>46157</v>
      </c>
      <c r="BD45" s="227">
        <v>46157</v>
      </c>
      <c r="BE45" s="227" t="s">
        <v>4435</v>
      </c>
      <c r="BF45" s="228" t="s">
        <v>4436</v>
      </c>
      <c r="BG45" s="229" t="s">
        <v>4425</v>
      </c>
      <c r="BH45" s="321">
        <f t="shared" si="5"/>
        <v>92</v>
      </c>
      <c r="BI45" s="98" t="str">
        <f t="shared" si="6"/>
        <v>INDENIZAÇÃO</v>
      </c>
      <c r="BJ45" s="98" t="str">
        <f t="shared" si="7"/>
        <v>NÃO</v>
      </c>
      <c r="BK45" s="230" t="s">
        <v>4437</v>
      </c>
      <c r="BL45" s="230" t="s">
        <v>4437</v>
      </c>
      <c r="BM45" s="230" t="s">
        <v>4437</v>
      </c>
      <c r="BN45" s="219" t="s">
        <v>4425</v>
      </c>
      <c r="BO45" s="219" t="s">
        <v>4425</v>
      </c>
      <c r="BP45" s="202">
        <v>46195</v>
      </c>
      <c r="BQ45" s="219" t="s">
        <v>4425</v>
      </c>
      <c r="BR45" s="232" t="s">
        <v>4435</v>
      </c>
    </row>
    <row r="46" spans="1:74" s="223" customFormat="1" ht="27" hidden="1" customHeight="1">
      <c r="A46" s="207">
        <v>42</v>
      </c>
      <c r="B46" s="197" t="s">
        <v>4396</v>
      </c>
      <c r="C46" s="207" t="s">
        <v>4453</v>
      </c>
      <c r="D46" s="207">
        <v>1</v>
      </c>
      <c r="E46" s="207" t="s">
        <v>4398</v>
      </c>
      <c r="F46" s="214" t="s">
        <v>4604</v>
      </c>
      <c r="G46" s="207" t="s">
        <v>4400</v>
      </c>
      <c r="H46" s="207" t="s">
        <v>4401</v>
      </c>
      <c r="I46" s="217" t="s">
        <v>4402</v>
      </c>
      <c r="J46" s="215" t="s">
        <v>4605</v>
      </c>
      <c r="K46" s="214" t="s">
        <v>4606</v>
      </c>
      <c r="L46" s="214" t="s">
        <v>4607</v>
      </c>
      <c r="M46" s="197" t="s">
        <v>4405</v>
      </c>
      <c r="N46" s="207" t="s">
        <v>4406</v>
      </c>
      <c r="O46" s="202">
        <v>45986</v>
      </c>
      <c r="P46" s="230" t="s">
        <v>4407</v>
      </c>
      <c r="Q46" s="202">
        <v>45985</v>
      </c>
      <c r="R46" s="202">
        <v>45986</v>
      </c>
      <c r="S46" s="202">
        <v>45987</v>
      </c>
      <c r="T46" s="202">
        <v>45992</v>
      </c>
      <c r="U46" s="230" t="s">
        <v>4408</v>
      </c>
      <c r="V46" s="230" t="s">
        <v>4408</v>
      </c>
      <c r="W46" s="202">
        <v>45999</v>
      </c>
      <c r="X46" s="202">
        <v>46000</v>
      </c>
      <c r="Y46" s="202">
        <v>46017</v>
      </c>
      <c r="Z46" s="230"/>
      <c r="AA46" s="215" t="s">
        <v>4605</v>
      </c>
      <c r="AB46" s="214" t="s">
        <v>4607</v>
      </c>
      <c r="AC46" s="215" t="s">
        <v>4608</v>
      </c>
      <c r="AD46" s="241" t="s">
        <v>4402</v>
      </c>
      <c r="AE46" s="241" t="s">
        <v>4405</v>
      </c>
      <c r="AF46" s="242" t="s">
        <v>4409</v>
      </c>
      <c r="AG46" s="242" t="s">
        <v>4409</v>
      </c>
      <c r="AH46" s="241" t="s">
        <v>4410</v>
      </c>
      <c r="AI46" s="214" t="s">
        <v>4411</v>
      </c>
      <c r="AJ46" s="207"/>
      <c r="AK46" s="316">
        <v>45979</v>
      </c>
      <c r="AL46" s="316">
        <v>45979</v>
      </c>
      <c r="AM46" s="316">
        <v>45979</v>
      </c>
      <c r="AN46" s="316">
        <v>45979</v>
      </c>
      <c r="AO46" s="316">
        <v>45979</v>
      </c>
      <c r="AP46" s="316">
        <v>45979</v>
      </c>
      <c r="AQ46" s="314"/>
      <c r="AR46" s="315" t="str">
        <f t="shared" si="4"/>
        <v>FINALIZADO</v>
      </c>
      <c r="AS46" s="207"/>
      <c r="AT46" s="230"/>
      <c r="AU46" s="220"/>
      <c r="AV46" s="230"/>
      <c r="AW46" s="230"/>
      <c r="AX46" s="230"/>
      <c r="AY46" s="230"/>
      <c r="AZ46" s="230"/>
      <c r="BA46" s="230"/>
      <c r="BB46" s="230"/>
      <c r="BC46" s="230"/>
      <c r="BD46" s="208"/>
      <c r="BE46" s="239">
        <v>46017</v>
      </c>
      <c r="BF46" s="207" t="s">
        <v>4412</v>
      </c>
      <c r="BG46" s="229"/>
      <c r="BH46" s="321" t="str">
        <f t="shared" si="5"/>
        <v/>
      </c>
      <c r="BI46" s="98" t="str">
        <f t="shared" si="6"/>
        <v>AA</v>
      </c>
      <c r="BJ46" s="98" t="str">
        <f t="shared" si="7"/>
        <v>NÃO</v>
      </c>
      <c r="BK46" s="230"/>
      <c r="BL46" s="230"/>
      <c r="BM46" s="230"/>
      <c r="BN46" s="230"/>
      <c r="BO46" s="230"/>
      <c r="BP46" s="230"/>
      <c r="BQ46" s="230"/>
      <c r="BR46" s="234"/>
    </row>
    <row r="47" spans="1:74" s="223" customFormat="1" ht="27" hidden="1" customHeight="1">
      <c r="A47" s="207">
        <v>43</v>
      </c>
      <c r="B47" s="197" t="s">
        <v>4396</v>
      </c>
      <c r="C47" s="207" t="s">
        <v>4453</v>
      </c>
      <c r="D47" s="207">
        <v>1</v>
      </c>
      <c r="E47" s="207" t="s">
        <v>4398</v>
      </c>
      <c r="F47" s="214" t="s">
        <v>4609</v>
      </c>
      <c r="G47" s="207" t="s">
        <v>4400</v>
      </c>
      <c r="H47" s="207" t="s">
        <v>4401</v>
      </c>
      <c r="I47" s="217" t="s">
        <v>4402</v>
      </c>
      <c r="J47" s="215" t="s">
        <v>4610</v>
      </c>
      <c r="K47" s="215" t="s">
        <v>4398</v>
      </c>
      <c r="L47" s="214" t="s">
        <v>4611</v>
      </c>
      <c r="M47" s="197" t="s">
        <v>4405</v>
      </c>
      <c r="N47" s="207" t="s">
        <v>4406</v>
      </c>
      <c r="O47" s="202">
        <v>45986</v>
      </c>
      <c r="P47" s="203" t="s">
        <v>4407</v>
      </c>
      <c r="Q47" s="203">
        <v>45985</v>
      </c>
      <c r="R47" s="203">
        <v>45986</v>
      </c>
      <c r="S47" s="203">
        <v>45987</v>
      </c>
      <c r="T47" s="203">
        <v>45992</v>
      </c>
      <c r="U47" s="202" t="s">
        <v>4408</v>
      </c>
      <c r="V47" s="202" t="s">
        <v>4408</v>
      </c>
      <c r="W47" s="202">
        <v>45999</v>
      </c>
      <c r="X47" s="202">
        <v>46000</v>
      </c>
      <c r="Y47" s="202">
        <v>46017</v>
      </c>
      <c r="Z47" s="207"/>
      <c r="AA47" s="215" t="s">
        <v>4610</v>
      </c>
      <c r="AB47" s="215" t="s">
        <v>4612</v>
      </c>
      <c r="AC47" s="215" t="s">
        <v>4611</v>
      </c>
      <c r="AD47" s="204" t="s">
        <v>4402</v>
      </c>
      <c r="AE47" s="204" t="s">
        <v>4405</v>
      </c>
      <c r="AF47" s="205" t="s">
        <v>4409</v>
      </c>
      <c r="AG47" s="205" t="s">
        <v>4409</v>
      </c>
      <c r="AH47" s="204" t="s">
        <v>4410</v>
      </c>
      <c r="AI47" s="214" t="s">
        <v>4411</v>
      </c>
      <c r="AJ47" s="207"/>
      <c r="AK47" s="316">
        <v>45979</v>
      </c>
      <c r="AL47" s="316">
        <v>45979</v>
      </c>
      <c r="AM47" s="316">
        <v>45979</v>
      </c>
      <c r="AN47" s="316">
        <v>45979</v>
      </c>
      <c r="AO47" s="316">
        <v>45979</v>
      </c>
      <c r="AP47" s="316">
        <v>45979</v>
      </c>
      <c r="AQ47" s="314"/>
      <c r="AR47" s="315" t="str">
        <f t="shared" si="4"/>
        <v>FINALIZADO</v>
      </c>
      <c r="AS47" s="207"/>
      <c r="AT47" s="207"/>
      <c r="AU47" s="220"/>
      <c r="AV47" s="207"/>
      <c r="AW47" s="207"/>
      <c r="AX47" s="207"/>
      <c r="AY47" s="207"/>
      <c r="AZ47" s="202"/>
      <c r="BA47" s="207"/>
      <c r="BB47" s="207"/>
      <c r="BC47" s="202"/>
      <c r="BD47" s="208"/>
      <c r="BE47" s="209">
        <v>46017</v>
      </c>
      <c r="BF47" s="197" t="s">
        <v>4412</v>
      </c>
      <c r="BG47" s="229"/>
      <c r="BH47" s="321" t="str">
        <f t="shared" si="5"/>
        <v/>
      </c>
      <c r="BI47" s="98" t="str">
        <f t="shared" si="6"/>
        <v>AA</v>
      </c>
      <c r="BJ47" s="98" t="str">
        <f t="shared" si="7"/>
        <v>NÃO</v>
      </c>
      <c r="BK47" s="230"/>
      <c r="BL47" s="230"/>
      <c r="BM47" s="230"/>
      <c r="BN47" s="230"/>
      <c r="BO47" s="230"/>
      <c r="BP47" s="230"/>
      <c r="BQ47" s="230"/>
      <c r="BR47" s="234"/>
    </row>
    <row r="48" spans="1:74" s="223" customFormat="1" ht="27" hidden="1" customHeight="1">
      <c r="A48" s="207">
        <v>44</v>
      </c>
      <c r="B48" s="197" t="s">
        <v>4396</v>
      </c>
      <c r="C48" s="207" t="s">
        <v>4453</v>
      </c>
      <c r="D48" s="207">
        <v>1</v>
      </c>
      <c r="E48" s="207" t="s">
        <v>4398</v>
      </c>
      <c r="F48" s="214" t="s">
        <v>4613</v>
      </c>
      <c r="G48" s="207" t="s">
        <v>4400</v>
      </c>
      <c r="H48" s="207" t="s">
        <v>4401</v>
      </c>
      <c r="I48" s="217" t="s">
        <v>4402</v>
      </c>
      <c r="J48" s="215" t="s">
        <v>4614</v>
      </c>
      <c r="K48" s="214" t="s">
        <v>4440</v>
      </c>
      <c r="L48" s="214" t="s">
        <v>4615</v>
      </c>
      <c r="M48" s="197" t="s">
        <v>4405</v>
      </c>
      <c r="N48" s="207" t="s">
        <v>4406</v>
      </c>
      <c r="O48" s="202">
        <v>46002</v>
      </c>
      <c r="P48" s="202" t="s">
        <v>4407</v>
      </c>
      <c r="Q48" s="202">
        <v>45999</v>
      </c>
      <c r="R48" s="202">
        <v>46006</v>
      </c>
      <c r="S48" s="202">
        <v>46006</v>
      </c>
      <c r="T48" s="202">
        <v>46009</v>
      </c>
      <c r="U48" s="202" t="s">
        <v>4408</v>
      </c>
      <c r="V48" s="202" t="s">
        <v>4408</v>
      </c>
      <c r="W48" s="202">
        <v>46014</v>
      </c>
      <c r="X48" s="202">
        <v>46000</v>
      </c>
      <c r="Y48" s="202">
        <v>46017</v>
      </c>
      <c r="Z48" s="207"/>
      <c r="AA48" s="215" t="s">
        <v>4614</v>
      </c>
      <c r="AB48" s="214" t="s">
        <v>4440</v>
      </c>
      <c r="AC48" s="214" t="s">
        <v>4615</v>
      </c>
      <c r="AD48" s="204" t="s">
        <v>4402</v>
      </c>
      <c r="AE48" s="204" t="s">
        <v>4405</v>
      </c>
      <c r="AF48" s="205" t="s">
        <v>4409</v>
      </c>
      <c r="AG48" s="205" t="s">
        <v>4409</v>
      </c>
      <c r="AH48" s="204" t="s">
        <v>4410</v>
      </c>
      <c r="AI48" s="214" t="s">
        <v>4411</v>
      </c>
      <c r="AJ48" s="207"/>
      <c r="AK48" s="316">
        <v>45996</v>
      </c>
      <c r="AL48" s="316">
        <v>45996</v>
      </c>
      <c r="AM48" s="316">
        <v>45996</v>
      </c>
      <c r="AN48" s="316">
        <v>45996</v>
      </c>
      <c r="AO48" s="316">
        <v>45996</v>
      </c>
      <c r="AP48" s="316">
        <v>45996</v>
      </c>
      <c r="AQ48" s="314"/>
      <c r="AR48" s="315" t="str">
        <f t="shared" si="4"/>
        <v>FINALIZADO</v>
      </c>
      <c r="AS48" s="207"/>
      <c r="AT48" s="207"/>
      <c r="AU48" s="220"/>
      <c r="AV48" s="207"/>
      <c r="AW48" s="207"/>
      <c r="AX48" s="207"/>
      <c r="AY48" s="207"/>
      <c r="AZ48" s="202"/>
      <c r="BA48" s="207"/>
      <c r="BB48" s="207"/>
      <c r="BC48" s="202"/>
      <c r="BD48" s="208"/>
      <c r="BE48" s="209">
        <v>46017</v>
      </c>
      <c r="BF48" s="197" t="s">
        <v>4412</v>
      </c>
      <c r="BG48" s="229"/>
      <c r="BH48" s="321" t="str">
        <f t="shared" si="5"/>
        <v/>
      </c>
      <c r="BI48" s="98" t="str">
        <f t="shared" si="6"/>
        <v>AA</v>
      </c>
      <c r="BJ48" s="98" t="str">
        <f t="shared" si="7"/>
        <v>NÃO</v>
      </c>
      <c r="BK48" s="230"/>
      <c r="BL48" s="230"/>
      <c r="BM48" s="230"/>
      <c r="BN48" s="230"/>
      <c r="BO48" s="230"/>
      <c r="BP48" s="230"/>
      <c r="BQ48" s="230"/>
      <c r="BR48" s="234"/>
    </row>
    <row r="49" spans="1:70" s="223" customFormat="1" ht="27" hidden="1" customHeight="1">
      <c r="A49" s="197">
        <v>45</v>
      </c>
      <c r="B49" s="197" t="s">
        <v>4396</v>
      </c>
      <c r="C49" s="207" t="s">
        <v>4397</v>
      </c>
      <c r="D49" s="207">
        <v>1</v>
      </c>
      <c r="E49" s="207" t="s">
        <v>4398</v>
      </c>
      <c r="F49" s="214" t="s">
        <v>4613</v>
      </c>
      <c r="G49" s="207" t="s">
        <v>4400</v>
      </c>
      <c r="H49" s="207" t="s">
        <v>4401</v>
      </c>
      <c r="I49" s="217" t="s">
        <v>4402</v>
      </c>
      <c r="J49" s="215" t="s">
        <v>4616</v>
      </c>
      <c r="K49" s="215" t="s">
        <v>4617</v>
      </c>
      <c r="L49" s="215" t="s">
        <v>4618</v>
      </c>
      <c r="M49" s="197" t="s">
        <v>4405</v>
      </c>
      <c r="N49" s="207" t="s">
        <v>4442</v>
      </c>
      <c r="O49" s="202" t="s">
        <v>4409</v>
      </c>
      <c r="P49" s="202" t="s">
        <v>4409</v>
      </c>
      <c r="Q49" s="202" t="s">
        <v>4409</v>
      </c>
      <c r="R49" s="202" t="s">
        <v>4409</v>
      </c>
      <c r="S49" s="202" t="s">
        <v>4409</v>
      </c>
      <c r="T49" s="202" t="s">
        <v>4409</v>
      </c>
      <c r="U49" s="202" t="s">
        <v>4409</v>
      </c>
      <c r="V49" s="202" t="s">
        <v>4409</v>
      </c>
      <c r="W49" s="202" t="s">
        <v>4409</v>
      </c>
      <c r="X49" s="202" t="s">
        <v>4409</v>
      </c>
      <c r="Y49" s="202"/>
      <c r="Z49" s="219"/>
      <c r="AA49" s="215" t="s">
        <v>4616</v>
      </c>
      <c r="AB49" s="215" t="s">
        <v>4617</v>
      </c>
      <c r="AC49" s="215" t="s">
        <v>4618</v>
      </c>
      <c r="AD49" s="197" t="s">
        <v>4402</v>
      </c>
      <c r="AE49" s="197" t="s">
        <v>4405</v>
      </c>
      <c r="AF49" s="218">
        <v>35792.870000000003</v>
      </c>
      <c r="AG49" s="218">
        <v>60000</v>
      </c>
      <c r="AH49" s="207" t="s">
        <v>4422</v>
      </c>
      <c r="AI49" s="214" t="s">
        <v>4411</v>
      </c>
      <c r="AJ49" s="207">
        <v>150958274</v>
      </c>
      <c r="AK49" s="316">
        <v>46086</v>
      </c>
      <c r="AL49" s="316">
        <v>46086</v>
      </c>
      <c r="AM49" s="316">
        <v>46086</v>
      </c>
      <c r="AN49" s="316">
        <v>46086</v>
      </c>
      <c r="AO49" s="316">
        <v>46086</v>
      </c>
      <c r="AP49" s="316">
        <v>46086</v>
      </c>
      <c r="AQ49" s="314"/>
      <c r="AR49" s="315" t="str">
        <f t="shared" si="4"/>
        <v>FINALIZADO</v>
      </c>
      <c r="AS49" s="207" t="s">
        <v>4423</v>
      </c>
      <c r="AT49" s="219"/>
      <c r="AU49" s="220" t="s">
        <v>4619</v>
      </c>
      <c r="AV49" s="207" t="s">
        <v>4425</v>
      </c>
      <c r="AW49" s="207" t="s">
        <v>4425</v>
      </c>
      <c r="AX49" s="207" t="s">
        <v>4425</v>
      </c>
      <c r="AY49" s="207" t="s">
        <v>4425</v>
      </c>
      <c r="AZ49" s="202">
        <v>46128</v>
      </c>
      <c r="BA49" s="207" t="s">
        <v>4425</v>
      </c>
      <c r="BB49" s="207" t="s">
        <v>4425</v>
      </c>
      <c r="BC49" s="202">
        <v>46139</v>
      </c>
      <c r="BD49" s="227">
        <v>46139</v>
      </c>
      <c r="BE49" s="244" t="s">
        <v>4435</v>
      </c>
      <c r="BF49" s="245" t="s">
        <v>4436</v>
      </c>
      <c r="BG49" s="229" t="s">
        <v>4425</v>
      </c>
      <c r="BH49" s="321">
        <f t="shared" si="5"/>
        <v>53</v>
      </c>
      <c r="BI49" s="98" t="str">
        <f t="shared" si="6"/>
        <v>INDENIZAÇÃO</v>
      </c>
      <c r="BJ49" s="98" t="str">
        <f t="shared" si="7"/>
        <v>NÃO</v>
      </c>
      <c r="BK49" s="219" t="s">
        <v>4437</v>
      </c>
      <c r="BL49" s="219" t="s">
        <v>4437</v>
      </c>
      <c r="BM49" s="219" t="s">
        <v>4437</v>
      </c>
      <c r="BN49" s="219" t="s">
        <v>4425</v>
      </c>
      <c r="BO49" s="219" t="s">
        <v>4425</v>
      </c>
      <c r="BP49" s="202">
        <v>46195</v>
      </c>
      <c r="BQ49" s="219" t="s">
        <v>4425</v>
      </c>
      <c r="BR49" s="232" t="s">
        <v>4435</v>
      </c>
    </row>
    <row r="50" spans="1:70" s="223" customFormat="1" ht="27" hidden="1" customHeight="1">
      <c r="A50" s="197">
        <v>46</v>
      </c>
      <c r="B50" s="197" t="s">
        <v>4396</v>
      </c>
      <c r="C50" s="207" t="s">
        <v>4397</v>
      </c>
      <c r="D50" s="207">
        <v>1</v>
      </c>
      <c r="E50" s="207" t="s">
        <v>4398</v>
      </c>
      <c r="F50" s="214" t="s">
        <v>4620</v>
      </c>
      <c r="G50" s="207" t="s">
        <v>4400</v>
      </c>
      <c r="H50" s="207" t="s">
        <v>4536</v>
      </c>
      <c r="I50" s="217" t="s">
        <v>4536</v>
      </c>
      <c r="J50" s="215" t="s">
        <v>4621</v>
      </c>
      <c r="K50" s="215" t="s">
        <v>4622</v>
      </c>
      <c r="L50" s="215" t="s">
        <v>4623</v>
      </c>
      <c r="M50" s="197" t="s">
        <v>4405</v>
      </c>
      <c r="N50" s="207" t="s">
        <v>4406</v>
      </c>
      <c r="O50" s="203">
        <v>46044</v>
      </c>
      <c r="P50" s="203" t="s">
        <v>4407</v>
      </c>
      <c r="Q50" s="203">
        <v>46043</v>
      </c>
      <c r="R50" s="203">
        <v>46044</v>
      </c>
      <c r="S50" s="203">
        <v>46045</v>
      </c>
      <c r="T50" s="203">
        <v>46155</v>
      </c>
      <c r="U50" s="202" t="s">
        <v>4408</v>
      </c>
      <c r="V50" s="202" t="s">
        <v>4408</v>
      </c>
      <c r="W50" s="202">
        <v>46055</v>
      </c>
      <c r="X50" s="203">
        <v>46078</v>
      </c>
      <c r="Y50" s="203"/>
      <c r="Z50" s="219"/>
      <c r="AA50" s="215" t="s">
        <v>4621</v>
      </c>
      <c r="AB50" s="215" t="s">
        <v>4622</v>
      </c>
      <c r="AC50" s="215" t="s">
        <v>4623</v>
      </c>
      <c r="AD50" s="233" t="s">
        <v>4402</v>
      </c>
      <c r="AE50" s="219" t="s">
        <v>4405</v>
      </c>
      <c r="AF50" s="218" t="s">
        <v>4409</v>
      </c>
      <c r="AG50" s="218" t="s">
        <v>4409</v>
      </c>
      <c r="AH50" s="207" t="s">
        <v>4410</v>
      </c>
      <c r="AI50" s="214" t="s">
        <v>4411</v>
      </c>
      <c r="AJ50" s="207"/>
      <c r="AK50" s="316">
        <v>46037</v>
      </c>
      <c r="AL50" s="316">
        <v>46037</v>
      </c>
      <c r="AM50" s="316">
        <v>46037</v>
      </c>
      <c r="AN50" s="316">
        <v>46037</v>
      </c>
      <c r="AO50" s="316">
        <v>46037</v>
      </c>
      <c r="AP50" s="316">
        <v>46037</v>
      </c>
      <c r="AQ50" s="314"/>
      <c r="AR50" s="315" t="str">
        <f t="shared" si="4"/>
        <v>FINALIZADO</v>
      </c>
      <c r="AS50" s="207"/>
      <c r="AT50" s="219"/>
      <c r="AU50" s="220"/>
      <c r="AV50" s="219"/>
      <c r="AW50" s="219"/>
      <c r="AX50" s="219"/>
      <c r="AY50" s="219"/>
      <c r="AZ50" s="219"/>
      <c r="BA50" s="219"/>
      <c r="BB50" s="219"/>
      <c r="BC50" s="219"/>
      <c r="BD50" s="208"/>
      <c r="BE50" s="203"/>
      <c r="BF50" s="219"/>
      <c r="BG50" s="219"/>
      <c r="BH50" s="321" t="str">
        <f t="shared" si="5"/>
        <v/>
      </c>
      <c r="BI50" s="98" t="str">
        <f t="shared" si="6"/>
        <v>AA</v>
      </c>
      <c r="BJ50" s="98" t="str">
        <f t="shared" si="7"/>
        <v>NÃO</v>
      </c>
      <c r="BK50" s="219"/>
      <c r="BL50" s="221"/>
      <c r="BM50" s="221"/>
      <c r="BN50" s="219"/>
      <c r="BO50" s="219"/>
      <c r="BP50" s="219"/>
      <c r="BQ50" s="219"/>
      <c r="BR50" s="222"/>
    </row>
    <row r="51" spans="1:70" s="223" customFormat="1" ht="27" hidden="1" customHeight="1">
      <c r="A51" s="207">
        <v>47</v>
      </c>
      <c r="B51" s="197" t="s">
        <v>4396</v>
      </c>
      <c r="C51" s="207" t="s">
        <v>4453</v>
      </c>
      <c r="D51" s="207">
        <v>1</v>
      </c>
      <c r="E51" s="207" t="s">
        <v>4398</v>
      </c>
      <c r="F51" s="214" t="s">
        <v>4624</v>
      </c>
      <c r="G51" s="207" t="s">
        <v>4400</v>
      </c>
      <c r="H51" s="207" t="s">
        <v>4401</v>
      </c>
      <c r="I51" s="217" t="s">
        <v>4402</v>
      </c>
      <c r="J51" s="215" t="s">
        <v>4625</v>
      </c>
      <c r="K51" s="214" t="s">
        <v>4626</v>
      </c>
      <c r="L51" s="214" t="s">
        <v>4627</v>
      </c>
      <c r="M51" s="197" t="s">
        <v>4405</v>
      </c>
      <c r="N51" s="207" t="s">
        <v>4406</v>
      </c>
      <c r="O51" s="202">
        <v>45986</v>
      </c>
      <c r="P51" s="203" t="s">
        <v>4407</v>
      </c>
      <c r="Q51" s="203">
        <v>45985</v>
      </c>
      <c r="R51" s="203">
        <v>45986</v>
      </c>
      <c r="S51" s="203">
        <v>45987</v>
      </c>
      <c r="T51" s="203">
        <v>45992</v>
      </c>
      <c r="U51" s="202" t="s">
        <v>4408</v>
      </c>
      <c r="V51" s="202" t="s">
        <v>4408</v>
      </c>
      <c r="W51" s="202">
        <v>45999</v>
      </c>
      <c r="X51" s="202">
        <v>46000</v>
      </c>
      <c r="Y51" s="202">
        <v>46017</v>
      </c>
      <c r="Z51" s="207"/>
      <c r="AA51" s="215" t="s">
        <v>4625</v>
      </c>
      <c r="AB51" s="215" t="s">
        <v>4626</v>
      </c>
      <c r="AC51" s="215" t="s">
        <v>4627</v>
      </c>
      <c r="AD51" s="241" t="s">
        <v>4402</v>
      </c>
      <c r="AE51" s="241" t="s">
        <v>4405</v>
      </c>
      <c r="AF51" s="242" t="s">
        <v>4409</v>
      </c>
      <c r="AG51" s="242" t="s">
        <v>4409</v>
      </c>
      <c r="AH51" s="241" t="s">
        <v>4410</v>
      </c>
      <c r="AI51" s="214" t="s">
        <v>4411</v>
      </c>
      <c r="AJ51" s="207"/>
      <c r="AK51" s="316">
        <v>45979</v>
      </c>
      <c r="AL51" s="316">
        <v>45979</v>
      </c>
      <c r="AM51" s="316">
        <v>45979</v>
      </c>
      <c r="AN51" s="316">
        <v>45979</v>
      </c>
      <c r="AO51" s="316">
        <v>45979</v>
      </c>
      <c r="AP51" s="316">
        <v>45979</v>
      </c>
      <c r="AQ51" s="314"/>
      <c r="AR51" s="315" t="str">
        <f t="shared" si="4"/>
        <v>FINALIZADO</v>
      </c>
      <c r="AS51" s="207"/>
      <c r="AT51" s="207"/>
      <c r="AU51" s="220"/>
      <c r="AV51" s="207"/>
      <c r="AW51" s="207"/>
      <c r="AX51" s="207"/>
      <c r="AY51" s="207"/>
      <c r="AZ51" s="202"/>
      <c r="BA51" s="207"/>
      <c r="BB51" s="207"/>
      <c r="BC51" s="202"/>
      <c r="BD51" s="208"/>
      <c r="BE51" s="239">
        <v>46017</v>
      </c>
      <c r="BF51" s="207" t="s">
        <v>4412</v>
      </c>
      <c r="BG51" s="229"/>
      <c r="BH51" s="321" t="str">
        <f t="shared" si="5"/>
        <v/>
      </c>
      <c r="BI51" s="98" t="str">
        <f t="shared" si="6"/>
        <v>AA</v>
      </c>
      <c r="BJ51" s="98" t="str">
        <f t="shared" si="7"/>
        <v>NÃO</v>
      </c>
      <c r="BK51" s="230"/>
      <c r="BL51" s="230"/>
      <c r="BM51" s="230"/>
      <c r="BN51" s="230"/>
      <c r="BO51" s="230"/>
      <c r="BP51" s="230"/>
      <c r="BQ51" s="230"/>
      <c r="BR51" s="234"/>
    </row>
    <row r="52" spans="1:70" s="223" customFormat="1" ht="27" hidden="1" customHeight="1">
      <c r="A52" s="207">
        <v>48</v>
      </c>
      <c r="B52" s="197" t="s">
        <v>4396</v>
      </c>
      <c r="C52" s="207" t="s">
        <v>4628</v>
      </c>
      <c r="D52" s="207">
        <v>1</v>
      </c>
      <c r="E52" s="207" t="s">
        <v>4398</v>
      </c>
      <c r="F52" s="214" t="s">
        <v>4624</v>
      </c>
      <c r="G52" s="207" t="s">
        <v>4546</v>
      </c>
      <c r="H52" s="207" t="s">
        <v>4546</v>
      </c>
      <c r="I52" s="233" t="s">
        <v>4421</v>
      </c>
      <c r="J52" s="215" t="s">
        <v>4629</v>
      </c>
      <c r="K52" s="215" t="s">
        <v>4630</v>
      </c>
      <c r="L52" s="215" t="s">
        <v>4631</v>
      </c>
      <c r="M52" s="197" t="s">
        <v>4405</v>
      </c>
      <c r="N52" s="207" t="s">
        <v>4442</v>
      </c>
      <c r="O52" s="202" t="s">
        <v>4409</v>
      </c>
      <c r="P52" s="202" t="s">
        <v>4409</v>
      </c>
      <c r="Q52" s="202" t="s">
        <v>4409</v>
      </c>
      <c r="R52" s="202" t="s">
        <v>4409</v>
      </c>
      <c r="S52" s="202" t="s">
        <v>4409</v>
      </c>
      <c r="T52" s="202" t="s">
        <v>4409</v>
      </c>
      <c r="U52" s="202" t="s">
        <v>4409</v>
      </c>
      <c r="V52" s="202" t="s">
        <v>4409</v>
      </c>
      <c r="W52" s="202" t="s">
        <v>4409</v>
      </c>
      <c r="X52" s="202" t="s">
        <v>4409</v>
      </c>
      <c r="Y52" s="202"/>
      <c r="Z52" s="202"/>
      <c r="AA52" s="215" t="s">
        <v>4632</v>
      </c>
      <c r="AB52" s="215" t="s">
        <v>4398</v>
      </c>
      <c r="AC52" s="215" t="s">
        <v>4633</v>
      </c>
      <c r="AD52" s="252" t="s">
        <v>4421</v>
      </c>
      <c r="AE52" s="197" t="s">
        <v>4405</v>
      </c>
      <c r="AF52" s="243">
        <v>1702.35</v>
      </c>
      <c r="AG52" s="243">
        <v>1702.35</v>
      </c>
      <c r="AH52" s="197" t="s">
        <v>4422</v>
      </c>
      <c r="AI52" s="214" t="s">
        <v>4411</v>
      </c>
      <c r="AJ52" s="207"/>
      <c r="AK52" s="316">
        <v>46090</v>
      </c>
      <c r="AL52" s="316">
        <v>46090</v>
      </c>
      <c r="AM52" s="316">
        <v>46090</v>
      </c>
      <c r="AN52" s="316">
        <v>46090</v>
      </c>
      <c r="AO52" s="316">
        <v>46090</v>
      </c>
      <c r="AP52" s="316">
        <v>46090</v>
      </c>
      <c r="AQ52" s="314"/>
      <c r="AR52" s="315" t="str">
        <f t="shared" si="4"/>
        <v>FINALIZADO</v>
      </c>
      <c r="AS52" s="207"/>
      <c r="AT52" s="219"/>
      <c r="AU52" s="220"/>
      <c r="AV52" s="219"/>
      <c r="AW52" s="219"/>
      <c r="AX52" s="219"/>
      <c r="AY52" s="219"/>
      <c r="AZ52" s="219"/>
      <c r="BA52" s="219"/>
      <c r="BB52" s="219"/>
      <c r="BC52" s="219"/>
      <c r="BD52" s="208"/>
      <c r="BE52" s="253"/>
      <c r="BF52" s="254"/>
      <c r="BG52" s="219"/>
      <c r="BH52" s="321" t="str">
        <f t="shared" si="5"/>
        <v/>
      </c>
      <c r="BI52" s="98" t="str">
        <f t="shared" si="6"/>
        <v>INDENIZAÇÃO</v>
      </c>
      <c r="BJ52" s="98" t="str">
        <f t="shared" si="7"/>
        <v>NÃO</v>
      </c>
      <c r="BK52" s="219"/>
      <c r="BL52" s="221"/>
      <c r="BM52" s="221"/>
      <c r="BN52" s="219"/>
      <c r="BO52" s="219"/>
      <c r="BP52" s="219"/>
      <c r="BQ52" s="219"/>
      <c r="BR52" s="222"/>
    </row>
    <row r="53" spans="1:70" s="223" customFormat="1" ht="27" hidden="1" customHeight="1">
      <c r="A53" s="207">
        <v>49</v>
      </c>
      <c r="B53" s="197" t="s">
        <v>4396</v>
      </c>
      <c r="C53" s="207" t="s">
        <v>4453</v>
      </c>
      <c r="D53" s="207">
        <v>1</v>
      </c>
      <c r="E53" s="207" t="s">
        <v>4398</v>
      </c>
      <c r="F53" s="214" t="s">
        <v>4634</v>
      </c>
      <c r="G53" s="207" t="s">
        <v>4400</v>
      </c>
      <c r="H53" s="207" t="s">
        <v>4401</v>
      </c>
      <c r="I53" s="249" t="s">
        <v>4402</v>
      </c>
      <c r="J53" s="242" t="s">
        <v>4635</v>
      </c>
      <c r="K53" s="214" t="s">
        <v>4636</v>
      </c>
      <c r="L53" s="214" t="s">
        <v>4637</v>
      </c>
      <c r="M53" s="197" t="s">
        <v>4405</v>
      </c>
      <c r="N53" s="207" t="s">
        <v>4406</v>
      </c>
      <c r="O53" s="202">
        <v>45986</v>
      </c>
      <c r="P53" s="203" t="s">
        <v>4407</v>
      </c>
      <c r="Q53" s="203">
        <v>45985</v>
      </c>
      <c r="R53" s="203">
        <v>45986</v>
      </c>
      <c r="S53" s="203">
        <v>45987</v>
      </c>
      <c r="T53" s="203">
        <v>45992</v>
      </c>
      <c r="U53" s="202" t="s">
        <v>4408</v>
      </c>
      <c r="V53" s="202" t="s">
        <v>4408</v>
      </c>
      <c r="W53" s="202">
        <v>45999</v>
      </c>
      <c r="X53" s="202">
        <v>46000</v>
      </c>
      <c r="Y53" s="202">
        <v>46017</v>
      </c>
      <c r="Z53" s="207"/>
      <c r="AA53" s="242" t="s">
        <v>4635</v>
      </c>
      <c r="AB53" s="215" t="s">
        <v>4636</v>
      </c>
      <c r="AC53" s="215" t="s">
        <v>4637</v>
      </c>
      <c r="AD53" s="241" t="s">
        <v>4402</v>
      </c>
      <c r="AE53" s="241" t="s">
        <v>4405</v>
      </c>
      <c r="AF53" s="242" t="s">
        <v>4409</v>
      </c>
      <c r="AG53" s="242" t="s">
        <v>4409</v>
      </c>
      <c r="AH53" s="241" t="s">
        <v>4410</v>
      </c>
      <c r="AI53" s="214" t="s">
        <v>4411</v>
      </c>
      <c r="AJ53" s="207"/>
      <c r="AK53" s="316">
        <v>45979</v>
      </c>
      <c r="AL53" s="316">
        <v>45979</v>
      </c>
      <c r="AM53" s="316">
        <v>45979</v>
      </c>
      <c r="AN53" s="316">
        <v>45979</v>
      </c>
      <c r="AO53" s="316">
        <v>45979</v>
      </c>
      <c r="AP53" s="316">
        <v>45979</v>
      </c>
      <c r="AQ53" s="314"/>
      <c r="AR53" s="315" t="str">
        <f t="shared" si="4"/>
        <v>FINALIZADO</v>
      </c>
      <c r="AS53" s="207"/>
      <c r="AT53" s="207"/>
      <c r="AU53" s="220"/>
      <c r="AV53" s="207"/>
      <c r="AW53" s="207"/>
      <c r="AX53" s="207"/>
      <c r="AY53" s="207"/>
      <c r="AZ53" s="202"/>
      <c r="BA53" s="207"/>
      <c r="BB53" s="207"/>
      <c r="BC53" s="202"/>
      <c r="BD53" s="208"/>
      <c r="BE53" s="239">
        <v>46017</v>
      </c>
      <c r="BF53" s="207" t="s">
        <v>4412</v>
      </c>
      <c r="BG53" s="229"/>
      <c r="BH53" s="321" t="str">
        <f t="shared" si="5"/>
        <v/>
      </c>
      <c r="BI53" s="98" t="str">
        <f t="shared" si="6"/>
        <v>AA</v>
      </c>
      <c r="BJ53" s="98" t="str">
        <f t="shared" si="7"/>
        <v>NÃO</v>
      </c>
      <c r="BK53" s="230"/>
      <c r="BL53" s="230"/>
      <c r="BM53" s="230"/>
      <c r="BN53" s="230"/>
      <c r="BO53" s="230"/>
      <c r="BP53" s="230"/>
      <c r="BQ53" s="230"/>
      <c r="BR53" s="234"/>
    </row>
    <row r="54" spans="1:70" s="223" customFormat="1" ht="27" hidden="1" customHeight="1">
      <c r="A54" s="197">
        <v>50</v>
      </c>
      <c r="B54" s="197" t="s">
        <v>4396</v>
      </c>
      <c r="C54" s="207" t="s">
        <v>4397</v>
      </c>
      <c r="D54" s="207">
        <v>1</v>
      </c>
      <c r="E54" s="207" t="s">
        <v>4398</v>
      </c>
      <c r="F54" s="214" t="s">
        <v>4634</v>
      </c>
      <c r="G54" s="207" t="s">
        <v>4400</v>
      </c>
      <c r="H54" s="207" t="s">
        <v>4401</v>
      </c>
      <c r="I54" s="217" t="s">
        <v>4402</v>
      </c>
      <c r="J54" s="215" t="s">
        <v>4638</v>
      </c>
      <c r="K54" s="215" t="s">
        <v>4639</v>
      </c>
      <c r="L54" s="215" t="s">
        <v>4640</v>
      </c>
      <c r="M54" s="197" t="s">
        <v>4405</v>
      </c>
      <c r="N54" s="207" t="s">
        <v>4406</v>
      </c>
      <c r="O54" s="203">
        <v>46058</v>
      </c>
      <c r="P54" s="203" t="s">
        <v>4407</v>
      </c>
      <c r="Q54" s="202">
        <v>46058</v>
      </c>
      <c r="R54" s="203">
        <v>46058</v>
      </c>
      <c r="S54" s="203">
        <v>46059</v>
      </c>
      <c r="T54" s="203">
        <v>46063</v>
      </c>
      <c r="U54" s="203" t="s">
        <v>4408</v>
      </c>
      <c r="V54" s="203" t="s">
        <v>4408</v>
      </c>
      <c r="W54" s="203">
        <v>46073</v>
      </c>
      <c r="X54" s="203">
        <v>46078</v>
      </c>
      <c r="Y54" s="203"/>
      <c r="Z54" s="219"/>
      <c r="AA54" s="215" t="s">
        <v>4638</v>
      </c>
      <c r="AB54" s="215" t="s">
        <v>4639</v>
      </c>
      <c r="AC54" s="215" t="s">
        <v>4640</v>
      </c>
      <c r="AD54" s="217" t="s">
        <v>4402</v>
      </c>
      <c r="AE54" s="207" t="s">
        <v>4405</v>
      </c>
      <c r="AF54" s="218" t="s">
        <v>4409</v>
      </c>
      <c r="AG54" s="218" t="s">
        <v>4409</v>
      </c>
      <c r="AH54" s="207" t="s">
        <v>4410</v>
      </c>
      <c r="AI54" s="214" t="s">
        <v>4411</v>
      </c>
      <c r="AJ54" s="207"/>
      <c r="AK54" s="316">
        <v>46064</v>
      </c>
      <c r="AL54" s="316">
        <v>46064</v>
      </c>
      <c r="AM54" s="316">
        <v>46064</v>
      </c>
      <c r="AN54" s="316">
        <v>46064</v>
      </c>
      <c r="AO54" s="316">
        <v>46064</v>
      </c>
      <c r="AP54" s="316">
        <v>46064</v>
      </c>
      <c r="AQ54" s="314"/>
      <c r="AR54" s="315" t="str">
        <f t="shared" si="4"/>
        <v>FINALIZADO</v>
      </c>
      <c r="AS54" s="207"/>
      <c r="AT54" s="219"/>
      <c r="AU54" s="220"/>
      <c r="AV54" s="219"/>
      <c r="AW54" s="219"/>
      <c r="AX54" s="219"/>
      <c r="AY54" s="219"/>
      <c r="AZ54" s="219"/>
      <c r="BA54" s="219"/>
      <c r="BB54" s="219"/>
      <c r="BC54" s="219"/>
      <c r="BD54" s="208"/>
      <c r="BE54" s="203"/>
      <c r="BF54" s="219"/>
      <c r="BG54" s="219"/>
      <c r="BH54" s="321" t="str">
        <f t="shared" si="5"/>
        <v/>
      </c>
      <c r="BI54" s="98" t="str">
        <f t="shared" si="6"/>
        <v>AA</v>
      </c>
      <c r="BJ54" s="98" t="str">
        <f t="shared" si="7"/>
        <v>NÃO</v>
      </c>
      <c r="BK54" s="219"/>
      <c r="BL54" s="221"/>
      <c r="BM54" s="221"/>
      <c r="BN54" s="219"/>
      <c r="BO54" s="219"/>
      <c r="BP54" s="219"/>
      <c r="BQ54" s="219"/>
      <c r="BR54" s="222"/>
    </row>
    <row r="55" spans="1:70" s="223" customFormat="1" ht="27" hidden="1" customHeight="1">
      <c r="A55" s="197">
        <v>51</v>
      </c>
      <c r="B55" s="197" t="s">
        <v>4396</v>
      </c>
      <c r="C55" s="207" t="s">
        <v>4453</v>
      </c>
      <c r="D55" s="207">
        <v>1</v>
      </c>
      <c r="E55" s="207" t="s">
        <v>4398</v>
      </c>
      <c r="F55" s="214" t="s">
        <v>4641</v>
      </c>
      <c r="G55" s="207" t="s">
        <v>4400</v>
      </c>
      <c r="H55" s="207" t="s">
        <v>4401</v>
      </c>
      <c r="I55" s="217" t="s">
        <v>4402</v>
      </c>
      <c r="J55" s="215" t="s">
        <v>4642</v>
      </c>
      <c r="K55" s="214" t="s">
        <v>4643</v>
      </c>
      <c r="L55" s="214" t="s">
        <v>4644</v>
      </c>
      <c r="M55" s="197" t="s">
        <v>4405</v>
      </c>
      <c r="N55" s="207" t="s">
        <v>4406</v>
      </c>
      <c r="O55" s="202">
        <v>45986</v>
      </c>
      <c r="P55" s="203" t="s">
        <v>4407</v>
      </c>
      <c r="Q55" s="203">
        <v>45985</v>
      </c>
      <c r="R55" s="203">
        <v>45986</v>
      </c>
      <c r="S55" s="203">
        <v>45987</v>
      </c>
      <c r="T55" s="203">
        <v>45992</v>
      </c>
      <c r="U55" s="203" t="s">
        <v>4408</v>
      </c>
      <c r="V55" s="203" t="s">
        <v>4408</v>
      </c>
      <c r="W55" s="202">
        <v>45999</v>
      </c>
      <c r="X55" s="202">
        <v>46000</v>
      </c>
      <c r="Y55" s="202">
        <v>46017</v>
      </c>
      <c r="Z55" s="207"/>
      <c r="AA55" s="215" t="s">
        <v>4642</v>
      </c>
      <c r="AB55" s="215" t="s">
        <v>4643</v>
      </c>
      <c r="AC55" s="215" t="s">
        <v>4644</v>
      </c>
      <c r="AD55" s="204" t="s">
        <v>4402</v>
      </c>
      <c r="AE55" s="204" t="s">
        <v>4405</v>
      </c>
      <c r="AF55" s="205" t="s">
        <v>4409</v>
      </c>
      <c r="AG55" s="205" t="s">
        <v>4409</v>
      </c>
      <c r="AH55" s="204" t="s">
        <v>4410</v>
      </c>
      <c r="AI55" s="214" t="s">
        <v>4411</v>
      </c>
      <c r="AJ55" s="207"/>
      <c r="AK55" s="316">
        <v>45979</v>
      </c>
      <c r="AL55" s="316">
        <v>45979</v>
      </c>
      <c r="AM55" s="316">
        <v>45979</v>
      </c>
      <c r="AN55" s="316">
        <v>45979</v>
      </c>
      <c r="AO55" s="316">
        <v>45979</v>
      </c>
      <c r="AP55" s="316">
        <v>45979</v>
      </c>
      <c r="AQ55" s="314"/>
      <c r="AR55" s="315" t="str">
        <f t="shared" si="4"/>
        <v>FINALIZADO</v>
      </c>
      <c r="AS55" s="207"/>
      <c r="AT55" s="207"/>
      <c r="AU55" s="220"/>
      <c r="AV55" s="207"/>
      <c r="AW55" s="207"/>
      <c r="AX55" s="207"/>
      <c r="AY55" s="207"/>
      <c r="AZ55" s="202"/>
      <c r="BA55" s="207"/>
      <c r="BB55" s="207"/>
      <c r="BC55" s="202"/>
      <c r="BD55" s="208"/>
      <c r="BE55" s="209">
        <v>46017</v>
      </c>
      <c r="BF55" s="197" t="s">
        <v>4412</v>
      </c>
      <c r="BG55" s="229"/>
      <c r="BH55" s="321" t="str">
        <f t="shared" si="5"/>
        <v/>
      </c>
      <c r="BI55" s="98" t="str">
        <f t="shared" si="6"/>
        <v>AA</v>
      </c>
      <c r="BJ55" s="98" t="str">
        <f t="shared" si="7"/>
        <v>NÃO</v>
      </c>
      <c r="BK55" s="230"/>
      <c r="BL55" s="230"/>
      <c r="BM55" s="230"/>
      <c r="BN55" s="230"/>
      <c r="BO55" s="230"/>
      <c r="BP55" s="230"/>
      <c r="BQ55" s="230"/>
      <c r="BR55" s="234"/>
    </row>
    <row r="56" spans="1:70" s="223" customFormat="1" ht="27" hidden="1" customHeight="1">
      <c r="A56" s="207">
        <v>52</v>
      </c>
      <c r="B56" s="197" t="s">
        <v>4396</v>
      </c>
      <c r="C56" s="207" t="s">
        <v>4453</v>
      </c>
      <c r="D56" s="207">
        <v>1</v>
      </c>
      <c r="E56" s="207" t="s">
        <v>4398</v>
      </c>
      <c r="F56" s="214" t="s">
        <v>4645</v>
      </c>
      <c r="G56" s="207" t="s">
        <v>4400</v>
      </c>
      <c r="H56" s="207" t="s">
        <v>4401</v>
      </c>
      <c r="I56" s="217" t="s">
        <v>4402</v>
      </c>
      <c r="J56" s="215" t="s">
        <v>4646</v>
      </c>
      <c r="K56" s="214" t="s">
        <v>4647</v>
      </c>
      <c r="L56" s="214" t="s">
        <v>4648</v>
      </c>
      <c r="M56" s="197" t="s">
        <v>4405</v>
      </c>
      <c r="N56" s="207" t="s">
        <v>4406</v>
      </c>
      <c r="O56" s="202">
        <v>45986</v>
      </c>
      <c r="P56" s="203" t="s">
        <v>4407</v>
      </c>
      <c r="Q56" s="203">
        <v>45985</v>
      </c>
      <c r="R56" s="203">
        <v>45986</v>
      </c>
      <c r="S56" s="203">
        <v>45987</v>
      </c>
      <c r="T56" s="203">
        <v>45992</v>
      </c>
      <c r="U56" s="202" t="s">
        <v>4408</v>
      </c>
      <c r="V56" s="202" t="s">
        <v>4408</v>
      </c>
      <c r="W56" s="202">
        <v>45999</v>
      </c>
      <c r="X56" s="202">
        <v>46000</v>
      </c>
      <c r="Y56" s="202">
        <v>46017</v>
      </c>
      <c r="Z56" s="207"/>
      <c r="AA56" s="215" t="s">
        <v>4646</v>
      </c>
      <c r="AB56" s="214" t="s">
        <v>4647</v>
      </c>
      <c r="AC56" s="214" t="s">
        <v>4648</v>
      </c>
      <c r="AD56" s="204" t="s">
        <v>4402</v>
      </c>
      <c r="AE56" s="204" t="s">
        <v>4405</v>
      </c>
      <c r="AF56" s="205" t="s">
        <v>4409</v>
      </c>
      <c r="AG56" s="205" t="s">
        <v>4409</v>
      </c>
      <c r="AH56" s="204" t="s">
        <v>4410</v>
      </c>
      <c r="AI56" s="214" t="s">
        <v>4411</v>
      </c>
      <c r="AJ56" s="207"/>
      <c r="AK56" s="316">
        <v>45979</v>
      </c>
      <c r="AL56" s="316">
        <v>45979</v>
      </c>
      <c r="AM56" s="316">
        <v>45979</v>
      </c>
      <c r="AN56" s="316">
        <v>45979</v>
      </c>
      <c r="AO56" s="316">
        <v>45979</v>
      </c>
      <c r="AP56" s="316">
        <v>45979</v>
      </c>
      <c r="AQ56" s="314"/>
      <c r="AR56" s="315" t="str">
        <f t="shared" si="4"/>
        <v>FINALIZADO</v>
      </c>
      <c r="AS56" s="207"/>
      <c r="AT56" s="207"/>
      <c r="AU56" s="220"/>
      <c r="AV56" s="207"/>
      <c r="AW56" s="207"/>
      <c r="AX56" s="207"/>
      <c r="AY56" s="207"/>
      <c r="AZ56" s="202"/>
      <c r="BA56" s="207"/>
      <c r="BB56" s="207"/>
      <c r="BC56" s="202"/>
      <c r="BD56" s="208"/>
      <c r="BE56" s="209">
        <v>46017</v>
      </c>
      <c r="BF56" s="197" t="s">
        <v>4412</v>
      </c>
      <c r="BG56" s="229"/>
      <c r="BH56" s="321" t="str">
        <f t="shared" si="5"/>
        <v/>
      </c>
      <c r="BI56" s="98" t="str">
        <f t="shared" si="6"/>
        <v>AA</v>
      </c>
      <c r="BJ56" s="98" t="str">
        <f t="shared" si="7"/>
        <v>NÃO</v>
      </c>
      <c r="BK56" s="230"/>
      <c r="BL56" s="230"/>
      <c r="BM56" s="230"/>
      <c r="BN56" s="230"/>
      <c r="BO56" s="230"/>
      <c r="BP56" s="230"/>
      <c r="BQ56" s="230"/>
      <c r="BR56" s="234"/>
    </row>
    <row r="57" spans="1:70" s="223" customFormat="1" ht="27" hidden="1" customHeight="1">
      <c r="A57" s="207">
        <v>53</v>
      </c>
      <c r="B57" s="197" t="s">
        <v>4396</v>
      </c>
      <c r="C57" s="207" t="s">
        <v>4397</v>
      </c>
      <c r="D57" s="207">
        <v>1</v>
      </c>
      <c r="E57" s="207" t="s">
        <v>4398</v>
      </c>
      <c r="F57" s="214" t="s">
        <v>4645</v>
      </c>
      <c r="G57" s="207" t="s">
        <v>4400</v>
      </c>
      <c r="H57" s="207" t="s">
        <v>4401</v>
      </c>
      <c r="I57" s="217" t="s">
        <v>4402</v>
      </c>
      <c r="J57" s="215" t="s">
        <v>4649</v>
      </c>
      <c r="K57" s="215" t="s">
        <v>4650</v>
      </c>
      <c r="L57" s="215" t="s">
        <v>4651</v>
      </c>
      <c r="M57" s="197" t="s">
        <v>4405</v>
      </c>
      <c r="N57" s="207" t="s">
        <v>4406</v>
      </c>
      <c r="O57" s="202">
        <v>46065</v>
      </c>
      <c r="P57" s="203" t="s">
        <v>4407</v>
      </c>
      <c r="Q57" s="202">
        <v>46072</v>
      </c>
      <c r="R57" s="203">
        <v>46072</v>
      </c>
      <c r="S57" s="203">
        <v>46080</v>
      </c>
      <c r="T57" s="202">
        <v>46083</v>
      </c>
      <c r="U57" s="202" t="s">
        <v>4408</v>
      </c>
      <c r="V57" s="202" t="s">
        <v>4408</v>
      </c>
      <c r="W57" s="203">
        <v>46055</v>
      </c>
      <c r="X57" s="203">
        <v>46091</v>
      </c>
      <c r="Y57" s="203"/>
      <c r="Z57" s="219"/>
      <c r="AA57" s="215" t="s">
        <v>4649</v>
      </c>
      <c r="AB57" s="215" t="s">
        <v>4650</v>
      </c>
      <c r="AC57" s="215" t="s">
        <v>4651</v>
      </c>
      <c r="AD57" s="199" t="s">
        <v>4402</v>
      </c>
      <c r="AE57" s="197" t="s">
        <v>4405</v>
      </c>
      <c r="AF57" s="243" t="s">
        <v>4409</v>
      </c>
      <c r="AG57" s="243" t="s">
        <v>4409</v>
      </c>
      <c r="AH57" s="197" t="s">
        <v>4410</v>
      </c>
      <c r="AI57" s="214" t="s">
        <v>4411</v>
      </c>
      <c r="AJ57" s="207"/>
      <c r="AK57" s="316">
        <v>46064</v>
      </c>
      <c r="AL57" s="316">
        <v>46064</v>
      </c>
      <c r="AM57" s="316">
        <v>46064</v>
      </c>
      <c r="AN57" s="316">
        <v>46064</v>
      </c>
      <c r="AO57" s="316">
        <v>46064</v>
      </c>
      <c r="AP57" s="316">
        <v>46064</v>
      </c>
      <c r="AQ57" s="314"/>
      <c r="AR57" s="315" t="str">
        <f t="shared" si="4"/>
        <v>FINALIZADO</v>
      </c>
      <c r="AS57" s="207"/>
      <c r="AT57" s="219"/>
      <c r="AU57" s="220"/>
      <c r="AV57" s="219"/>
      <c r="AW57" s="219"/>
      <c r="AX57" s="219"/>
      <c r="AY57" s="219"/>
      <c r="AZ57" s="219"/>
      <c r="BA57" s="219"/>
      <c r="BB57" s="219"/>
      <c r="BC57" s="219"/>
      <c r="BD57" s="208"/>
      <c r="BE57" s="253"/>
      <c r="BF57" s="254"/>
      <c r="BG57" s="219"/>
      <c r="BH57" s="321" t="str">
        <f t="shared" si="5"/>
        <v/>
      </c>
      <c r="BI57" s="98" t="str">
        <f t="shared" si="6"/>
        <v>AA</v>
      </c>
      <c r="BJ57" s="98" t="str">
        <f t="shared" si="7"/>
        <v>NÃO</v>
      </c>
      <c r="BK57" s="219"/>
      <c r="BL57" s="221"/>
      <c r="BM57" s="221"/>
      <c r="BN57" s="219"/>
      <c r="BO57" s="219"/>
      <c r="BP57" s="219"/>
      <c r="BQ57" s="219"/>
      <c r="BR57" s="222"/>
    </row>
    <row r="58" spans="1:70" s="223" customFormat="1" ht="27" hidden="1" customHeight="1">
      <c r="A58" s="207">
        <v>54</v>
      </c>
      <c r="B58" s="197" t="s">
        <v>4396</v>
      </c>
      <c r="C58" s="207" t="s">
        <v>4453</v>
      </c>
      <c r="D58" s="207">
        <v>1</v>
      </c>
      <c r="E58" s="207" t="s">
        <v>4398</v>
      </c>
      <c r="F58" s="214" t="s">
        <v>4652</v>
      </c>
      <c r="G58" s="207" t="s">
        <v>4400</v>
      </c>
      <c r="H58" s="207" t="s">
        <v>4401</v>
      </c>
      <c r="I58" s="217" t="s">
        <v>4402</v>
      </c>
      <c r="J58" s="242" t="s">
        <v>4653</v>
      </c>
      <c r="K58" s="214" t="s">
        <v>4654</v>
      </c>
      <c r="L58" s="214" t="s">
        <v>4655</v>
      </c>
      <c r="M58" s="197" t="s">
        <v>4405</v>
      </c>
      <c r="N58" s="207" t="s">
        <v>4406</v>
      </c>
      <c r="O58" s="202">
        <v>45986</v>
      </c>
      <c r="P58" s="203" t="s">
        <v>4407</v>
      </c>
      <c r="Q58" s="203">
        <v>45985</v>
      </c>
      <c r="R58" s="203">
        <v>45986</v>
      </c>
      <c r="S58" s="203">
        <v>45987</v>
      </c>
      <c r="T58" s="203">
        <v>45992</v>
      </c>
      <c r="U58" s="203" t="s">
        <v>4408</v>
      </c>
      <c r="V58" s="203" t="s">
        <v>4408</v>
      </c>
      <c r="W58" s="202">
        <v>45999</v>
      </c>
      <c r="X58" s="202">
        <v>46000</v>
      </c>
      <c r="Y58" s="202">
        <v>46017</v>
      </c>
      <c r="Z58" s="207"/>
      <c r="AA58" s="242" t="s">
        <v>4653</v>
      </c>
      <c r="AB58" s="215" t="s">
        <v>4654</v>
      </c>
      <c r="AC58" s="215" t="s">
        <v>4655</v>
      </c>
      <c r="AD58" s="241" t="s">
        <v>4402</v>
      </c>
      <c r="AE58" s="241" t="s">
        <v>4405</v>
      </c>
      <c r="AF58" s="242" t="s">
        <v>4409</v>
      </c>
      <c r="AG58" s="242" t="s">
        <v>4409</v>
      </c>
      <c r="AH58" s="241" t="s">
        <v>4410</v>
      </c>
      <c r="AI58" s="214" t="s">
        <v>4411</v>
      </c>
      <c r="AJ58" s="207"/>
      <c r="AK58" s="316">
        <v>45979</v>
      </c>
      <c r="AL58" s="316">
        <v>45979</v>
      </c>
      <c r="AM58" s="316">
        <v>45979</v>
      </c>
      <c r="AN58" s="316">
        <v>45979</v>
      </c>
      <c r="AO58" s="316">
        <v>45979</v>
      </c>
      <c r="AP58" s="316">
        <v>45979</v>
      </c>
      <c r="AQ58" s="314"/>
      <c r="AR58" s="315" t="str">
        <f t="shared" si="4"/>
        <v>FINALIZADO</v>
      </c>
      <c r="AS58" s="207"/>
      <c r="AT58" s="207"/>
      <c r="AU58" s="220"/>
      <c r="AV58" s="207"/>
      <c r="AW58" s="207"/>
      <c r="AX58" s="207"/>
      <c r="AY58" s="207"/>
      <c r="AZ58" s="202"/>
      <c r="BA58" s="207"/>
      <c r="BB58" s="207"/>
      <c r="BC58" s="202"/>
      <c r="BD58" s="208"/>
      <c r="BE58" s="239">
        <v>46017</v>
      </c>
      <c r="BF58" s="207" t="s">
        <v>4412</v>
      </c>
      <c r="BG58" s="229"/>
      <c r="BH58" s="321" t="str">
        <f t="shared" si="5"/>
        <v/>
      </c>
      <c r="BI58" s="98" t="str">
        <f t="shared" si="6"/>
        <v>AA</v>
      </c>
      <c r="BJ58" s="98" t="str">
        <f t="shared" si="7"/>
        <v>NÃO</v>
      </c>
      <c r="BK58" s="230"/>
      <c r="BL58" s="230"/>
      <c r="BM58" s="230"/>
      <c r="BN58" s="230"/>
      <c r="BO58" s="230"/>
      <c r="BP58" s="230"/>
      <c r="BQ58" s="230"/>
      <c r="BR58" s="234"/>
    </row>
    <row r="59" spans="1:70" s="223" customFormat="1" ht="27" hidden="1" customHeight="1">
      <c r="A59" s="197">
        <v>55</v>
      </c>
      <c r="B59" s="197" t="s">
        <v>4396</v>
      </c>
      <c r="C59" s="207" t="s">
        <v>4397</v>
      </c>
      <c r="D59" s="207">
        <v>1</v>
      </c>
      <c r="E59" s="207" t="s">
        <v>4398</v>
      </c>
      <c r="F59" s="214" t="s">
        <v>4652</v>
      </c>
      <c r="G59" s="207" t="s">
        <v>4400</v>
      </c>
      <c r="H59" s="207" t="s">
        <v>4401</v>
      </c>
      <c r="I59" s="217" t="s">
        <v>4402</v>
      </c>
      <c r="J59" s="215" t="s">
        <v>4656</v>
      </c>
      <c r="K59" s="215" t="s">
        <v>4657</v>
      </c>
      <c r="L59" s="215" t="s">
        <v>4658</v>
      </c>
      <c r="M59" s="197" t="s">
        <v>4405</v>
      </c>
      <c r="N59" s="207" t="s">
        <v>4406</v>
      </c>
      <c r="O59" s="203">
        <v>46044</v>
      </c>
      <c r="P59" s="203" t="s">
        <v>4407</v>
      </c>
      <c r="Q59" s="203">
        <v>46043</v>
      </c>
      <c r="R59" s="203">
        <v>46044</v>
      </c>
      <c r="S59" s="203">
        <v>46045</v>
      </c>
      <c r="T59" s="203">
        <v>46155</v>
      </c>
      <c r="U59" s="202" t="s">
        <v>4408</v>
      </c>
      <c r="V59" s="202" t="s">
        <v>4408</v>
      </c>
      <c r="W59" s="202">
        <v>46055</v>
      </c>
      <c r="X59" s="203">
        <v>46078</v>
      </c>
      <c r="Y59" s="203"/>
      <c r="Z59" s="219"/>
      <c r="AA59" s="215" t="s">
        <v>4656</v>
      </c>
      <c r="AB59" s="215" t="s">
        <v>4657</v>
      </c>
      <c r="AC59" s="215" t="s">
        <v>4658</v>
      </c>
      <c r="AD59" s="252" t="s">
        <v>4402</v>
      </c>
      <c r="AE59" s="254" t="s">
        <v>4405</v>
      </c>
      <c r="AF59" s="243" t="s">
        <v>4409</v>
      </c>
      <c r="AG59" s="243" t="s">
        <v>4409</v>
      </c>
      <c r="AH59" s="197" t="s">
        <v>4410</v>
      </c>
      <c r="AI59" s="214" t="s">
        <v>4411</v>
      </c>
      <c r="AJ59" s="207"/>
      <c r="AK59" s="316">
        <v>46037</v>
      </c>
      <c r="AL59" s="316">
        <v>46037</v>
      </c>
      <c r="AM59" s="316">
        <v>46037</v>
      </c>
      <c r="AN59" s="316">
        <v>46037</v>
      </c>
      <c r="AO59" s="316">
        <v>46037</v>
      </c>
      <c r="AP59" s="316">
        <v>46037</v>
      </c>
      <c r="AQ59" s="314"/>
      <c r="AR59" s="315" t="str">
        <f t="shared" si="4"/>
        <v>FINALIZADO</v>
      </c>
      <c r="AS59" s="207"/>
      <c r="AT59" s="219"/>
      <c r="AU59" s="220"/>
      <c r="AV59" s="219"/>
      <c r="AW59" s="219"/>
      <c r="AX59" s="219"/>
      <c r="AY59" s="219"/>
      <c r="AZ59" s="219"/>
      <c r="BA59" s="219"/>
      <c r="BB59" s="219"/>
      <c r="BC59" s="219"/>
      <c r="BD59" s="208"/>
      <c r="BE59" s="253"/>
      <c r="BF59" s="254"/>
      <c r="BG59" s="219"/>
      <c r="BH59" s="321" t="str">
        <f t="shared" si="5"/>
        <v/>
      </c>
      <c r="BI59" s="98" t="str">
        <f t="shared" si="6"/>
        <v>AA</v>
      </c>
      <c r="BJ59" s="98" t="str">
        <f t="shared" si="7"/>
        <v>NÃO</v>
      </c>
      <c r="BK59" s="219"/>
      <c r="BL59" s="221"/>
      <c r="BM59" s="221"/>
      <c r="BN59" s="219"/>
      <c r="BO59" s="219"/>
      <c r="BP59" s="219"/>
      <c r="BQ59" s="219"/>
      <c r="BR59" s="222"/>
    </row>
    <row r="60" spans="1:70" s="223" customFormat="1" ht="27" hidden="1" customHeight="1">
      <c r="A60" s="197">
        <v>56</v>
      </c>
      <c r="B60" s="197" t="s">
        <v>4396</v>
      </c>
      <c r="C60" s="207" t="s">
        <v>4453</v>
      </c>
      <c r="D60" s="207">
        <v>1</v>
      </c>
      <c r="E60" s="207" t="s">
        <v>4398</v>
      </c>
      <c r="F60" s="214" t="s">
        <v>4659</v>
      </c>
      <c r="G60" s="207" t="s">
        <v>4400</v>
      </c>
      <c r="H60" s="207" t="s">
        <v>4401</v>
      </c>
      <c r="I60" s="217" t="s">
        <v>4402</v>
      </c>
      <c r="J60" s="215" t="s">
        <v>4660</v>
      </c>
      <c r="K60" s="214" t="s">
        <v>4661</v>
      </c>
      <c r="L60" s="214" t="s">
        <v>4662</v>
      </c>
      <c r="M60" s="197" t="s">
        <v>4405</v>
      </c>
      <c r="N60" s="207" t="s">
        <v>4442</v>
      </c>
      <c r="O60" s="202" t="s">
        <v>4409</v>
      </c>
      <c r="P60" s="202" t="s">
        <v>4409</v>
      </c>
      <c r="Q60" s="202" t="s">
        <v>4409</v>
      </c>
      <c r="R60" s="202" t="s">
        <v>4409</v>
      </c>
      <c r="S60" s="202" t="s">
        <v>4409</v>
      </c>
      <c r="T60" s="202" t="s">
        <v>4409</v>
      </c>
      <c r="U60" s="202" t="s">
        <v>4409</v>
      </c>
      <c r="V60" s="202" t="s">
        <v>4409</v>
      </c>
      <c r="W60" s="202" t="s">
        <v>4409</v>
      </c>
      <c r="X60" s="202" t="s">
        <v>4409</v>
      </c>
      <c r="Y60" s="202"/>
      <c r="Z60" s="202"/>
      <c r="AA60" s="215" t="s">
        <v>4660</v>
      </c>
      <c r="AB60" s="255"/>
      <c r="AC60" s="214" t="s">
        <v>4662</v>
      </c>
      <c r="AD60" s="241" t="s">
        <v>4402</v>
      </c>
      <c r="AE60" s="241" t="s">
        <v>4405</v>
      </c>
      <c r="AF60" s="218">
        <v>28123.49</v>
      </c>
      <c r="AG60" s="218">
        <f>AF60+30000</f>
        <v>58123.490000000005</v>
      </c>
      <c r="AH60" s="207" t="s">
        <v>4433</v>
      </c>
      <c r="AI60" s="214" t="s">
        <v>4411</v>
      </c>
      <c r="AJ60" s="207">
        <v>146037757</v>
      </c>
      <c r="AK60" s="316">
        <v>45979</v>
      </c>
      <c r="AL60" s="316">
        <v>45979</v>
      </c>
      <c r="AM60" s="316">
        <v>45979</v>
      </c>
      <c r="AN60" s="316">
        <v>45979</v>
      </c>
      <c r="AO60" s="316">
        <v>45979</v>
      </c>
      <c r="AP60" s="316">
        <v>45979</v>
      </c>
      <c r="AQ60" s="314"/>
      <c r="AR60" s="315" t="str">
        <f t="shared" si="4"/>
        <v>FINALIZADO</v>
      </c>
      <c r="AS60" s="207" t="s">
        <v>4423</v>
      </c>
      <c r="AT60" s="207"/>
      <c r="AU60" s="220" t="s">
        <v>4663</v>
      </c>
      <c r="AV60" s="197" t="s">
        <v>4425</v>
      </c>
      <c r="AW60" s="207" t="s">
        <v>4425</v>
      </c>
      <c r="AX60" s="207" t="s">
        <v>4425</v>
      </c>
      <c r="AY60" s="207" t="s">
        <v>4425</v>
      </c>
      <c r="AZ60" s="202">
        <v>46008</v>
      </c>
      <c r="BA60" s="207" t="s">
        <v>4425</v>
      </c>
      <c r="BB60" s="207" t="s">
        <v>4425</v>
      </c>
      <c r="BC60" s="239">
        <v>46014</v>
      </c>
      <c r="BD60" s="227">
        <v>46014</v>
      </c>
      <c r="BE60" s="239">
        <v>46017</v>
      </c>
      <c r="BF60" s="207" t="s">
        <v>4412</v>
      </c>
      <c r="BG60" s="229" t="s">
        <v>4425</v>
      </c>
      <c r="BH60" s="321">
        <f t="shared" si="5"/>
        <v>35</v>
      </c>
      <c r="BI60" s="98" t="str">
        <f t="shared" si="6"/>
        <v>INDENIZAÇÃO</v>
      </c>
      <c r="BJ60" s="98" t="str">
        <f t="shared" si="7"/>
        <v>NÃO</v>
      </c>
      <c r="BK60" s="230" t="s">
        <v>4437</v>
      </c>
      <c r="BL60" s="230" t="s">
        <v>4437</v>
      </c>
      <c r="BM60" s="230" t="s">
        <v>4437</v>
      </c>
      <c r="BN60" s="207" t="s">
        <v>4425</v>
      </c>
      <c r="BO60" s="207" t="s">
        <v>4425</v>
      </c>
      <c r="BP60" s="203">
        <v>46128</v>
      </c>
      <c r="BQ60" s="207" t="s">
        <v>4425</v>
      </c>
      <c r="BR60" s="231" t="s">
        <v>4435</v>
      </c>
    </row>
    <row r="61" spans="1:70" s="223" customFormat="1" ht="27" hidden="1" customHeight="1">
      <c r="A61" s="207">
        <v>57</v>
      </c>
      <c r="B61" s="197" t="s">
        <v>4396</v>
      </c>
      <c r="C61" s="207" t="s">
        <v>4397</v>
      </c>
      <c r="D61" s="207">
        <v>1</v>
      </c>
      <c r="E61" s="207" t="s">
        <v>4398</v>
      </c>
      <c r="F61" s="214" t="s">
        <v>4659</v>
      </c>
      <c r="G61" s="207" t="s">
        <v>4400</v>
      </c>
      <c r="H61" s="207" t="s">
        <v>4401</v>
      </c>
      <c r="I61" s="217" t="s">
        <v>4402</v>
      </c>
      <c r="J61" s="215" t="s">
        <v>4664</v>
      </c>
      <c r="K61" s="215" t="s">
        <v>4665</v>
      </c>
      <c r="L61" s="215" t="s">
        <v>4666</v>
      </c>
      <c r="M61" s="197" t="s">
        <v>4405</v>
      </c>
      <c r="N61" s="207" t="s">
        <v>4406</v>
      </c>
      <c r="O61" s="203">
        <v>46058</v>
      </c>
      <c r="P61" s="203" t="s">
        <v>4407</v>
      </c>
      <c r="Q61" s="202">
        <v>46058</v>
      </c>
      <c r="R61" s="203">
        <v>46058</v>
      </c>
      <c r="S61" s="203">
        <v>46059</v>
      </c>
      <c r="T61" s="203">
        <v>46063</v>
      </c>
      <c r="U61" s="203" t="s">
        <v>4408</v>
      </c>
      <c r="V61" s="203" t="s">
        <v>4408</v>
      </c>
      <c r="W61" s="203">
        <v>46073</v>
      </c>
      <c r="X61" s="203">
        <v>46062</v>
      </c>
      <c r="Y61" s="203"/>
      <c r="Z61" s="219"/>
      <c r="AA61" s="215" t="s">
        <v>4664</v>
      </c>
      <c r="AB61" s="215" t="s">
        <v>4665</v>
      </c>
      <c r="AC61" s="215" t="s">
        <v>4666</v>
      </c>
      <c r="AD61" s="217" t="s">
        <v>4402</v>
      </c>
      <c r="AE61" s="207" t="s">
        <v>4405</v>
      </c>
      <c r="AF61" s="218" t="s">
        <v>4409</v>
      </c>
      <c r="AG61" s="218" t="s">
        <v>4409</v>
      </c>
      <c r="AH61" s="207" t="s">
        <v>4410</v>
      </c>
      <c r="AI61" s="214" t="s">
        <v>4411</v>
      </c>
      <c r="AJ61" s="207"/>
      <c r="AK61" s="316">
        <v>46064</v>
      </c>
      <c r="AL61" s="316">
        <v>46064</v>
      </c>
      <c r="AM61" s="316">
        <v>46064</v>
      </c>
      <c r="AN61" s="316">
        <v>46064</v>
      </c>
      <c r="AO61" s="316">
        <v>46064</v>
      </c>
      <c r="AP61" s="316">
        <v>46064</v>
      </c>
      <c r="AQ61" s="314"/>
      <c r="AR61" s="315" t="str">
        <f t="shared" si="4"/>
        <v>FINALIZADO</v>
      </c>
      <c r="AS61" s="207"/>
      <c r="AT61" s="219"/>
      <c r="AU61" s="220"/>
      <c r="AV61" s="219"/>
      <c r="AW61" s="219"/>
      <c r="AX61" s="219"/>
      <c r="AY61" s="219"/>
      <c r="AZ61" s="219"/>
      <c r="BA61" s="219"/>
      <c r="BB61" s="219"/>
      <c r="BC61" s="219"/>
      <c r="BD61" s="208"/>
      <c r="BE61" s="203"/>
      <c r="BF61" s="219"/>
      <c r="BG61" s="219"/>
      <c r="BH61" s="321" t="str">
        <f t="shared" si="5"/>
        <v/>
      </c>
      <c r="BI61" s="98" t="str">
        <f t="shared" si="6"/>
        <v>AA</v>
      </c>
      <c r="BJ61" s="98" t="str">
        <f t="shared" si="7"/>
        <v>NÃO</v>
      </c>
      <c r="BK61" s="219"/>
      <c r="BL61" s="221"/>
      <c r="BM61" s="221"/>
      <c r="BN61" s="219"/>
      <c r="BO61" s="219"/>
      <c r="BP61" s="219"/>
      <c r="BQ61" s="219"/>
      <c r="BR61" s="222"/>
    </row>
    <row r="62" spans="1:70" s="223" customFormat="1" ht="27" hidden="1" customHeight="1">
      <c r="A62" s="207">
        <v>58</v>
      </c>
      <c r="B62" s="197" t="s">
        <v>4396</v>
      </c>
      <c r="C62" s="207" t="s">
        <v>4453</v>
      </c>
      <c r="D62" s="207">
        <v>1</v>
      </c>
      <c r="E62" s="207" t="s">
        <v>4398</v>
      </c>
      <c r="F62" s="214" t="s">
        <v>4667</v>
      </c>
      <c r="G62" s="207" t="s">
        <v>4400</v>
      </c>
      <c r="H62" s="207" t="s">
        <v>4401</v>
      </c>
      <c r="I62" s="217" t="s">
        <v>4402</v>
      </c>
      <c r="J62" s="215" t="s">
        <v>4668</v>
      </c>
      <c r="K62" s="214" t="s">
        <v>4669</v>
      </c>
      <c r="L62" s="214" t="s">
        <v>4670</v>
      </c>
      <c r="M62" s="197" t="s">
        <v>4405</v>
      </c>
      <c r="N62" s="207" t="s">
        <v>4406</v>
      </c>
      <c r="O62" s="202">
        <v>45986</v>
      </c>
      <c r="P62" s="203" t="s">
        <v>4407</v>
      </c>
      <c r="Q62" s="203">
        <v>45985</v>
      </c>
      <c r="R62" s="203">
        <v>45986</v>
      </c>
      <c r="S62" s="203">
        <v>45987</v>
      </c>
      <c r="T62" s="203">
        <v>45992</v>
      </c>
      <c r="U62" s="202" t="s">
        <v>4408</v>
      </c>
      <c r="V62" s="202" t="s">
        <v>4408</v>
      </c>
      <c r="W62" s="202">
        <v>45999</v>
      </c>
      <c r="X62" s="202">
        <v>46115</v>
      </c>
      <c r="Y62" s="202">
        <v>46017</v>
      </c>
      <c r="Z62" s="207"/>
      <c r="AA62" s="215" t="s">
        <v>4668</v>
      </c>
      <c r="AB62" s="215" t="s">
        <v>4669</v>
      </c>
      <c r="AC62" s="215" t="s">
        <v>4670</v>
      </c>
      <c r="AD62" s="204" t="s">
        <v>4402</v>
      </c>
      <c r="AE62" s="204" t="s">
        <v>4405</v>
      </c>
      <c r="AF62" s="205" t="s">
        <v>4409</v>
      </c>
      <c r="AG62" s="205" t="s">
        <v>4409</v>
      </c>
      <c r="AH62" s="204" t="s">
        <v>4410</v>
      </c>
      <c r="AI62" s="214" t="s">
        <v>4411</v>
      </c>
      <c r="AJ62" s="207"/>
      <c r="AK62" s="316">
        <v>45979</v>
      </c>
      <c r="AL62" s="316">
        <v>45979</v>
      </c>
      <c r="AM62" s="316">
        <v>45979</v>
      </c>
      <c r="AN62" s="316">
        <v>45979</v>
      </c>
      <c r="AO62" s="316">
        <v>45979</v>
      </c>
      <c r="AP62" s="316">
        <v>45979</v>
      </c>
      <c r="AQ62" s="314"/>
      <c r="AR62" s="315" t="str">
        <f t="shared" si="4"/>
        <v>FINALIZADO</v>
      </c>
      <c r="AS62" s="207"/>
      <c r="AT62" s="207"/>
      <c r="AU62" s="220"/>
      <c r="AV62" s="207"/>
      <c r="AW62" s="207"/>
      <c r="AX62" s="207"/>
      <c r="AY62" s="207"/>
      <c r="AZ62" s="202"/>
      <c r="BA62" s="207"/>
      <c r="BB62" s="207"/>
      <c r="BC62" s="202"/>
      <c r="BD62" s="208"/>
      <c r="BE62" s="209">
        <v>46017</v>
      </c>
      <c r="BF62" s="197" t="s">
        <v>4412</v>
      </c>
      <c r="BG62" s="229"/>
      <c r="BH62" s="321" t="str">
        <f t="shared" si="5"/>
        <v/>
      </c>
      <c r="BI62" s="98" t="str">
        <f t="shared" si="6"/>
        <v>AA</v>
      </c>
      <c r="BJ62" s="98" t="str">
        <f t="shared" si="7"/>
        <v>NÃO</v>
      </c>
      <c r="BK62" s="230"/>
      <c r="BL62" s="230"/>
      <c r="BM62" s="230"/>
      <c r="BN62" s="230"/>
      <c r="BO62" s="230"/>
      <c r="BP62" s="230"/>
      <c r="BQ62" s="230"/>
      <c r="BR62" s="234"/>
    </row>
    <row r="63" spans="1:70" s="223" customFormat="1" ht="27" hidden="1" customHeight="1">
      <c r="A63" s="207">
        <v>59</v>
      </c>
      <c r="B63" s="197" t="s">
        <v>4396</v>
      </c>
      <c r="C63" s="207" t="s">
        <v>4397</v>
      </c>
      <c r="D63" s="207">
        <v>1</v>
      </c>
      <c r="E63" s="207" t="s">
        <v>4398</v>
      </c>
      <c r="F63" s="214" t="s">
        <v>4667</v>
      </c>
      <c r="G63" s="207" t="s">
        <v>4400</v>
      </c>
      <c r="H63" s="207" t="s">
        <v>4583</v>
      </c>
      <c r="I63" s="217" t="s">
        <v>4402</v>
      </c>
      <c r="J63" s="215" t="s">
        <v>4671</v>
      </c>
      <c r="K63" s="215" t="s">
        <v>4672</v>
      </c>
      <c r="L63" s="215" t="s">
        <v>4673</v>
      </c>
      <c r="M63" s="197" t="s">
        <v>4405</v>
      </c>
      <c r="N63" s="207" t="s">
        <v>4406</v>
      </c>
      <c r="O63" s="203">
        <v>46044</v>
      </c>
      <c r="P63" s="203" t="s">
        <v>4407</v>
      </c>
      <c r="Q63" s="203">
        <v>46043</v>
      </c>
      <c r="R63" s="203">
        <v>46044</v>
      </c>
      <c r="S63" s="203">
        <v>46045</v>
      </c>
      <c r="T63" s="203">
        <v>46155</v>
      </c>
      <c r="U63" s="203" t="s">
        <v>4408</v>
      </c>
      <c r="V63" s="202" t="s">
        <v>4408</v>
      </c>
      <c r="W63" s="202">
        <v>46055</v>
      </c>
      <c r="X63" s="203">
        <v>46062</v>
      </c>
      <c r="Y63" s="203"/>
      <c r="Z63" s="219"/>
      <c r="AA63" s="215" t="s">
        <v>4671</v>
      </c>
      <c r="AB63" s="215" t="s">
        <v>4672</v>
      </c>
      <c r="AC63" s="215" t="s">
        <v>4673</v>
      </c>
      <c r="AD63" s="252" t="s">
        <v>4402</v>
      </c>
      <c r="AE63" s="254" t="s">
        <v>4405</v>
      </c>
      <c r="AF63" s="243" t="s">
        <v>4409</v>
      </c>
      <c r="AG63" s="243" t="s">
        <v>4409</v>
      </c>
      <c r="AH63" s="197" t="s">
        <v>4410</v>
      </c>
      <c r="AI63" s="214" t="s">
        <v>4411</v>
      </c>
      <c r="AJ63" s="207"/>
      <c r="AK63" s="316">
        <v>46037</v>
      </c>
      <c r="AL63" s="316">
        <v>46037</v>
      </c>
      <c r="AM63" s="316">
        <v>46037</v>
      </c>
      <c r="AN63" s="316">
        <v>46037</v>
      </c>
      <c r="AO63" s="316">
        <v>46037</v>
      </c>
      <c r="AP63" s="316">
        <v>46037</v>
      </c>
      <c r="AQ63" s="314"/>
      <c r="AR63" s="315" t="str">
        <f t="shared" si="4"/>
        <v>FINALIZADO</v>
      </c>
      <c r="AS63" s="207"/>
      <c r="AT63" s="219"/>
      <c r="AU63" s="220"/>
      <c r="AV63" s="219"/>
      <c r="AW63" s="219"/>
      <c r="AX63" s="219"/>
      <c r="AY63" s="219"/>
      <c r="AZ63" s="219"/>
      <c r="BA63" s="219"/>
      <c r="BB63" s="219"/>
      <c r="BC63" s="219"/>
      <c r="BD63" s="208"/>
      <c r="BE63" s="253"/>
      <c r="BF63" s="254"/>
      <c r="BG63" s="219"/>
      <c r="BH63" s="321" t="str">
        <f t="shared" si="5"/>
        <v/>
      </c>
      <c r="BI63" s="98" t="str">
        <f t="shared" si="6"/>
        <v>AA</v>
      </c>
      <c r="BJ63" s="98" t="str">
        <f t="shared" si="7"/>
        <v>NÃO</v>
      </c>
      <c r="BK63" s="219"/>
      <c r="BL63" s="221"/>
      <c r="BM63" s="221"/>
      <c r="BN63" s="219"/>
      <c r="BO63" s="219"/>
      <c r="BP63" s="219"/>
      <c r="BQ63" s="219"/>
      <c r="BR63" s="222"/>
    </row>
    <row r="64" spans="1:70" s="223" customFormat="1" ht="27" hidden="1" customHeight="1">
      <c r="A64" s="197">
        <v>60</v>
      </c>
      <c r="B64" s="197" t="s">
        <v>4396</v>
      </c>
      <c r="C64" s="207" t="s">
        <v>4453</v>
      </c>
      <c r="D64" s="207">
        <v>1</v>
      </c>
      <c r="E64" s="207" t="s">
        <v>4398</v>
      </c>
      <c r="F64" s="214" t="s">
        <v>4674</v>
      </c>
      <c r="G64" s="207" t="s">
        <v>4400</v>
      </c>
      <c r="H64" s="207" t="s">
        <v>4401</v>
      </c>
      <c r="I64" s="217" t="s">
        <v>4402</v>
      </c>
      <c r="J64" s="215" t="s">
        <v>4675</v>
      </c>
      <c r="K64" s="214" t="s">
        <v>4676</v>
      </c>
      <c r="L64" s="214" t="s">
        <v>4677</v>
      </c>
      <c r="M64" s="197" t="s">
        <v>4405</v>
      </c>
      <c r="N64" s="207" t="s">
        <v>4406</v>
      </c>
      <c r="O64" s="202">
        <v>45986</v>
      </c>
      <c r="P64" s="203" t="s">
        <v>4407</v>
      </c>
      <c r="Q64" s="203">
        <v>45985</v>
      </c>
      <c r="R64" s="203">
        <v>45986</v>
      </c>
      <c r="S64" s="203">
        <v>45987</v>
      </c>
      <c r="T64" s="203">
        <v>45992</v>
      </c>
      <c r="U64" s="203" t="s">
        <v>4408</v>
      </c>
      <c r="V64" s="203" t="s">
        <v>4408</v>
      </c>
      <c r="W64" s="202">
        <v>45999</v>
      </c>
      <c r="X64" s="202">
        <v>46000</v>
      </c>
      <c r="Y64" s="202">
        <v>46017</v>
      </c>
      <c r="Z64" s="207"/>
      <c r="AA64" s="215" t="s">
        <v>4675</v>
      </c>
      <c r="AB64" s="215" t="s">
        <v>4676</v>
      </c>
      <c r="AC64" s="215" t="s">
        <v>4677</v>
      </c>
      <c r="AD64" s="241" t="s">
        <v>4402</v>
      </c>
      <c r="AE64" s="241" t="s">
        <v>4405</v>
      </c>
      <c r="AF64" s="242" t="s">
        <v>4409</v>
      </c>
      <c r="AG64" s="242" t="s">
        <v>4409</v>
      </c>
      <c r="AH64" s="241" t="s">
        <v>4410</v>
      </c>
      <c r="AI64" s="214" t="s">
        <v>4411</v>
      </c>
      <c r="AJ64" s="207"/>
      <c r="AK64" s="316">
        <v>45979</v>
      </c>
      <c r="AL64" s="316">
        <v>45979</v>
      </c>
      <c r="AM64" s="316">
        <v>45979</v>
      </c>
      <c r="AN64" s="316">
        <v>45979</v>
      </c>
      <c r="AO64" s="316">
        <v>45979</v>
      </c>
      <c r="AP64" s="316">
        <v>45979</v>
      </c>
      <c r="AQ64" s="314"/>
      <c r="AR64" s="315" t="str">
        <f t="shared" si="4"/>
        <v>FINALIZADO</v>
      </c>
      <c r="AS64" s="207"/>
      <c r="AT64" s="207"/>
      <c r="AU64" s="220"/>
      <c r="AV64" s="207"/>
      <c r="AW64" s="207"/>
      <c r="AX64" s="207"/>
      <c r="AY64" s="207"/>
      <c r="AZ64" s="202"/>
      <c r="BA64" s="207"/>
      <c r="BB64" s="207"/>
      <c r="BC64" s="202"/>
      <c r="BD64" s="208"/>
      <c r="BE64" s="239">
        <v>46017</v>
      </c>
      <c r="BF64" s="207" t="s">
        <v>4412</v>
      </c>
      <c r="BG64" s="229"/>
      <c r="BH64" s="321" t="str">
        <f t="shared" si="5"/>
        <v/>
      </c>
      <c r="BI64" s="98" t="str">
        <f t="shared" si="6"/>
        <v>AA</v>
      </c>
      <c r="BJ64" s="98" t="str">
        <f t="shared" si="7"/>
        <v>NÃO</v>
      </c>
      <c r="BK64" s="230"/>
      <c r="BL64" s="230"/>
      <c r="BM64" s="230"/>
      <c r="BN64" s="230"/>
      <c r="BO64" s="230"/>
      <c r="BP64" s="230"/>
      <c r="BQ64" s="230"/>
      <c r="BR64" s="234"/>
    </row>
    <row r="65" spans="1:112" s="223" customFormat="1" ht="27" hidden="1" customHeight="1">
      <c r="A65" s="197">
        <v>61</v>
      </c>
      <c r="B65" s="197" t="s">
        <v>4396</v>
      </c>
      <c r="C65" s="207" t="s">
        <v>4397</v>
      </c>
      <c r="D65" s="207">
        <v>1</v>
      </c>
      <c r="E65" s="207" t="s">
        <v>4398</v>
      </c>
      <c r="F65" s="214" t="s">
        <v>4674</v>
      </c>
      <c r="G65" s="207" t="s">
        <v>4546</v>
      </c>
      <c r="H65" s="207" t="s">
        <v>4546</v>
      </c>
      <c r="I65" s="233" t="s">
        <v>4421</v>
      </c>
      <c r="J65" s="215" t="s">
        <v>4678</v>
      </c>
      <c r="K65" s="215" t="s">
        <v>4398</v>
      </c>
      <c r="L65" s="215" t="s">
        <v>4679</v>
      </c>
      <c r="M65" s="197" t="s">
        <v>4405</v>
      </c>
      <c r="N65" s="207" t="s">
        <v>4442</v>
      </c>
      <c r="O65" s="202" t="s">
        <v>4409</v>
      </c>
      <c r="P65" s="202" t="s">
        <v>4409</v>
      </c>
      <c r="Q65" s="202" t="s">
        <v>4409</v>
      </c>
      <c r="R65" s="202" t="s">
        <v>4409</v>
      </c>
      <c r="S65" s="202" t="s">
        <v>4409</v>
      </c>
      <c r="T65" s="202" t="s">
        <v>4409</v>
      </c>
      <c r="U65" s="202" t="s">
        <v>4409</v>
      </c>
      <c r="V65" s="202" t="s">
        <v>4409</v>
      </c>
      <c r="W65" s="202" t="s">
        <v>4409</v>
      </c>
      <c r="X65" s="202" t="s">
        <v>4409</v>
      </c>
      <c r="Y65" s="202"/>
      <c r="Z65" s="202"/>
      <c r="AA65" s="215" t="s">
        <v>4678</v>
      </c>
      <c r="AB65" s="215" t="s">
        <v>4398</v>
      </c>
      <c r="AC65" s="215" t="s">
        <v>4679</v>
      </c>
      <c r="AD65" s="252" t="s">
        <v>4421</v>
      </c>
      <c r="AE65" s="197" t="s">
        <v>4405</v>
      </c>
      <c r="AF65" s="243">
        <v>2975.66</v>
      </c>
      <c r="AG65" s="243">
        <v>2975.66</v>
      </c>
      <c r="AH65" s="197" t="s">
        <v>4433</v>
      </c>
      <c r="AI65" s="220" t="s">
        <v>4411</v>
      </c>
      <c r="AJ65" s="207">
        <v>151538567</v>
      </c>
      <c r="AK65" s="316">
        <v>46086</v>
      </c>
      <c r="AL65" s="316">
        <v>46086</v>
      </c>
      <c r="AM65" s="316">
        <v>46086</v>
      </c>
      <c r="AN65" s="316">
        <v>46086</v>
      </c>
      <c r="AO65" s="316">
        <v>46086</v>
      </c>
      <c r="AP65" s="316">
        <v>46086</v>
      </c>
      <c r="AQ65" s="314"/>
      <c r="AR65" s="315" t="str">
        <f t="shared" si="4"/>
        <v>FINALIZADO</v>
      </c>
      <c r="AS65" s="207" t="s">
        <v>4423</v>
      </c>
      <c r="AT65" s="219"/>
      <c r="AU65" s="220" t="s">
        <v>4680</v>
      </c>
      <c r="AV65" s="207" t="s">
        <v>4425</v>
      </c>
      <c r="AW65" s="207" t="s">
        <v>4425</v>
      </c>
      <c r="AX65" s="207" t="s">
        <v>4425</v>
      </c>
      <c r="AY65" s="207" t="s">
        <v>4425</v>
      </c>
      <c r="AZ65" s="202">
        <v>46153</v>
      </c>
      <c r="BA65" s="207" t="s">
        <v>4425</v>
      </c>
      <c r="BB65" s="207" t="s">
        <v>4425</v>
      </c>
      <c r="BC65" s="202">
        <v>46157</v>
      </c>
      <c r="BD65" s="227">
        <v>46157</v>
      </c>
      <c r="BE65" s="228" t="s">
        <v>4435</v>
      </c>
      <c r="BF65" s="245" t="s">
        <v>4436</v>
      </c>
      <c r="BG65" s="219" t="s">
        <v>4425</v>
      </c>
      <c r="BH65" s="321">
        <f t="shared" si="5"/>
        <v>71</v>
      </c>
      <c r="BI65" s="98" t="str">
        <f t="shared" si="6"/>
        <v>INDENIZAÇÃO</v>
      </c>
      <c r="BJ65" s="98" t="str">
        <f t="shared" si="7"/>
        <v>NÃO</v>
      </c>
      <c r="BK65" s="219" t="s">
        <v>4437</v>
      </c>
      <c r="BL65" s="219" t="s">
        <v>4437</v>
      </c>
      <c r="BM65" s="219" t="s">
        <v>4437</v>
      </c>
      <c r="BN65" s="219" t="s">
        <v>4425</v>
      </c>
      <c r="BO65" s="219" t="s">
        <v>4425</v>
      </c>
      <c r="BP65" s="202">
        <v>46195</v>
      </c>
      <c r="BQ65" s="219" t="s">
        <v>4425</v>
      </c>
      <c r="BR65" s="232" t="s">
        <v>4435</v>
      </c>
    </row>
    <row r="66" spans="1:112" s="223" customFormat="1" ht="27" hidden="1" customHeight="1">
      <c r="A66" s="207">
        <v>62</v>
      </c>
      <c r="B66" s="197" t="s">
        <v>4396</v>
      </c>
      <c r="C66" s="207" t="s">
        <v>4453</v>
      </c>
      <c r="D66" s="207">
        <v>1</v>
      </c>
      <c r="E66" s="207" t="s">
        <v>4398</v>
      </c>
      <c r="F66" s="214" t="s">
        <v>4681</v>
      </c>
      <c r="G66" s="207" t="s">
        <v>4400</v>
      </c>
      <c r="H66" s="207" t="s">
        <v>4401</v>
      </c>
      <c r="I66" s="249" t="s">
        <v>4402</v>
      </c>
      <c r="J66" s="215" t="s">
        <v>4682</v>
      </c>
      <c r="K66" s="214" t="s">
        <v>4683</v>
      </c>
      <c r="L66" s="214" t="s">
        <v>4684</v>
      </c>
      <c r="M66" s="197" t="s">
        <v>4405</v>
      </c>
      <c r="N66" s="207" t="s">
        <v>4406</v>
      </c>
      <c r="O66" s="202">
        <v>46002</v>
      </c>
      <c r="P66" s="202" t="s">
        <v>4407</v>
      </c>
      <c r="Q66" s="202">
        <v>45999</v>
      </c>
      <c r="R66" s="202">
        <v>46006</v>
      </c>
      <c r="S66" s="202">
        <v>46006</v>
      </c>
      <c r="T66" s="202">
        <v>46009</v>
      </c>
      <c r="U66" s="202" t="s">
        <v>4408</v>
      </c>
      <c r="V66" s="202" t="s">
        <v>4408</v>
      </c>
      <c r="W66" s="202">
        <v>46014</v>
      </c>
      <c r="X66" s="202">
        <v>46000</v>
      </c>
      <c r="Y66" s="202">
        <v>46017</v>
      </c>
      <c r="Z66" s="207"/>
      <c r="AA66" s="215" t="s">
        <v>4682</v>
      </c>
      <c r="AB66" s="215" t="s">
        <v>4683</v>
      </c>
      <c r="AC66" s="215" t="s">
        <v>4684</v>
      </c>
      <c r="AD66" s="241" t="s">
        <v>4402</v>
      </c>
      <c r="AE66" s="241" t="s">
        <v>4405</v>
      </c>
      <c r="AF66" s="242" t="s">
        <v>4409</v>
      </c>
      <c r="AG66" s="242" t="s">
        <v>4409</v>
      </c>
      <c r="AH66" s="241" t="s">
        <v>4410</v>
      </c>
      <c r="AI66" s="214" t="s">
        <v>4411</v>
      </c>
      <c r="AJ66" s="207"/>
      <c r="AK66" s="316">
        <v>45979</v>
      </c>
      <c r="AL66" s="316">
        <v>45979</v>
      </c>
      <c r="AM66" s="316">
        <v>45979</v>
      </c>
      <c r="AN66" s="316">
        <v>45979</v>
      </c>
      <c r="AO66" s="316">
        <v>45979</v>
      </c>
      <c r="AP66" s="316">
        <v>45979</v>
      </c>
      <c r="AQ66" s="314"/>
      <c r="AR66" s="315" t="str">
        <f t="shared" si="4"/>
        <v>FINALIZADO</v>
      </c>
      <c r="AS66" s="207"/>
      <c r="AT66" s="207"/>
      <c r="AU66" s="220"/>
      <c r="AV66" s="207"/>
      <c r="AW66" s="207"/>
      <c r="AX66" s="207"/>
      <c r="AY66" s="197"/>
      <c r="AZ66" s="202"/>
      <c r="BA66" s="197"/>
      <c r="BB66" s="207"/>
      <c r="BC66" s="202"/>
      <c r="BD66" s="208"/>
      <c r="BE66" s="239">
        <v>46017</v>
      </c>
      <c r="BF66" s="207" t="s">
        <v>4412</v>
      </c>
      <c r="BG66" s="229"/>
      <c r="BH66" s="321" t="str">
        <f t="shared" si="5"/>
        <v/>
      </c>
      <c r="BI66" s="98" t="str">
        <f t="shared" si="6"/>
        <v>AA</v>
      </c>
      <c r="BJ66" s="98" t="str">
        <f t="shared" si="7"/>
        <v>NÃO</v>
      </c>
      <c r="BK66" s="230"/>
      <c r="BL66" s="230"/>
      <c r="BM66" s="230"/>
      <c r="BN66" s="230"/>
      <c r="BO66" s="230"/>
      <c r="BP66" s="230"/>
      <c r="BQ66" s="230"/>
      <c r="BR66" s="234"/>
    </row>
    <row r="67" spans="1:112" s="223" customFormat="1" ht="27" hidden="1" customHeight="1">
      <c r="A67" s="207">
        <v>63</v>
      </c>
      <c r="B67" s="197" t="s">
        <v>4396</v>
      </c>
      <c r="C67" s="207" t="s">
        <v>4453</v>
      </c>
      <c r="D67" s="207">
        <v>1</v>
      </c>
      <c r="E67" s="207" t="s">
        <v>4398</v>
      </c>
      <c r="F67" s="214" t="s">
        <v>4685</v>
      </c>
      <c r="G67" s="207" t="s">
        <v>4400</v>
      </c>
      <c r="H67" s="207" t="s">
        <v>4401</v>
      </c>
      <c r="I67" s="217" t="s">
        <v>4402</v>
      </c>
      <c r="J67" s="242" t="s">
        <v>4686</v>
      </c>
      <c r="K67" s="214" t="s">
        <v>4687</v>
      </c>
      <c r="L67" s="214" t="s">
        <v>4688</v>
      </c>
      <c r="M67" s="197" t="s">
        <v>4405</v>
      </c>
      <c r="N67" s="207" t="s">
        <v>4406</v>
      </c>
      <c r="O67" s="202">
        <v>45986</v>
      </c>
      <c r="P67" s="203" t="s">
        <v>4407</v>
      </c>
      <c r="Q67" s="203">
        <v>45985</v>
      </c>
      <c r="R67" s="203">
        <v>45986</v>
      </c>
      <c r="S67" s="203">
        <v>45987</v>
      </c>
      <c r="T67" s="203">
        <v>45992</v>
      </c>
      <c r="U67" s="202" t="s">
        <v>4408</v>
      </c>
      <c r="V67" s="202" t="s">
        <v>4408</v>
      </c>
      <c r="W67" s="202">
        <v>45999</v>
      </c>
      <c r="X67" s="202">
        <v>46000</v>
      </c>
      <c r="Y67" s="202">
        <v>46017</v>
      </c>
      <c r="Z67" s="207"/>
      <c r="AA67" s="242" t="s">
        <v>4686</v>
      </c>
      <c r="AB67" s="215" t="s">
        <v>4687</v>
      </c>
      <c r="AC67" s="215" t="s">
        <v>4688</v>
      </c>
      <c r="AD67" s="204" t="s">
        <v>4402</v>
      </c>
      <c r="AE67" s="204" t="s">
        <v>4405</v>
      </c>
      <c r="AF67" s="205" t="s">
        <v>4409</v>
      </c>
      <c r="AG67" s="205" t="s">
        <v>4409</v>
      </c>
      <c r="AH67" s="204" t="s">
        <v>4410</v>
      </c>
      <c r="AI67" s="214" t="s">
        <v>4411</v>
      </c>
      <c r="AJ67" s="207"/>
      <c r="AK67" s="316">
        <v>45979</v>
      </c>
      <c r="AL67" s="316">
        <v>45979</v>
      </c>
      <c r="AM67" s="316">
        <v>45979</v>
      </c>
      <c r="AN67" s="316">
        <v>45979</v>
      </c>
      <c r="AO67" s="316">
        <v>45979</v>
      </c>
      <c r="AP67" s="316">
        <v>45979</v>
      </c>
      <c r="AQ67" s="314"/>
      <c r="AR67" s="315" t="str">
        <f t="shared" si="4"/>
        <v>FINALIZADO</v>
      </c>
      <c r="AS67" s="207"/>
      <c r="AT67" s="207"/>
      <c r="AU67" s="220"/>
      <c r="AV67" s="207"/>
      <c r="AW67" s="207"/>
      <c r="AX67" s="207"/>
      <c r="AY67" s="207"/>
      <c r="AZ67" s="202"/>
      <c r="BA67" s="207"/>
      <c r="BB67" s="207"/>
      <c r="BC67" s="202"/>
      <c r="BD67" s="208"/>
      <c r="BE67" s="209">
        <v>46017</v>
      </c>
      <c r="BF67" s="197" t="s">
        <v>4412</v>
      </c>
      <c r="BG67" s="229"/>
      <c r="BH67" s="321" t="str">
        <f t="shared" si="5"/>
        <v/>
      </c>
      <c r="BI67" s="98" t="str">
        <f t="shared" si="6"/>
        <v>AA</v>
      </c>
      <c r="BJ67" s="98" t="str">
        <f t="shared" si="7"/>
        <v>NÃO</v>
      </c>
      <c r="BK67" s="230"/>
      <c r="BL67" s="230"/>
      <c r="BM67" s="230"/>
      <c r="BN67" s="230"/>
      <c r="BO67" s="230"/>
      <c r="BP67" s="230"/>
      <c r="BQ67" s="230"/>
      <c r="BR67" s="234"/>
    </row>
    <row r="68" spans="1:112" s="223" customFormat="1" ht="27" hidden="1" customHeight="1">
      <c r="A68" s="207">
        <v>64</v>
      </c>
      <c r="B68" s="197" t="s">
        <v>4396</v>
      </c>
      <c r="C68" s="207" t="s">
        <v>4453</v>
      </c>
      <c r="D68" s="207">
        <v>1</v>
      </c>
      <c r="E68" s="207" t="s">
        <v>4398</v>
      </c>
      <c r="F68" s="214" t="s">
        <v>4689</v>
      </c>
      <c r="G68" s="207" t="s">
        <v>4400</v>
      </c>
      <c r="H68" s="207" t="s">
        <v>4401</v>
      </c>
      <c r="I68" s="217" t="s">
        <v>4402</v>
      </c>
      <c r="J68" s="215" t="s">
        <v>4690</v>
      </c>
      <c r="K68" s="214" t="s">
        <v>4691</v>
      </c>
      <c r="L68" s="214" t="s">
        <v>4692</v>
      </c>
      <c r="M68" s="197" t="s">
        <v>4405</v>
      </c>
      <c r="N68" s="207" t="s">
        <v>4406</v>
      </c>
      <c r="O68" s="202">
        <v>45986</v>
      </c>
      <c r="P68" s="203" t="s">
        <v>4407</v>
      </c>
      <c r="Q68" s="203">
        <v>45985</v>
      </c>
      <c r="R68" s="203">
        <v>45986</v>
      </c>
      <c r="S68" s="203">
        <v>45987</v>
      </c>
      <c r="T68" s="203">
        <v>45992</v>
      </c>
      <c r="U68" s="202" t="s">
        <v>4408</v>
      </c>
      <c r="V68" s="202" t="s">
        <v>4408</v>
      </c>
      <c r="W68" s="202">
        <v>45999</v>
      </c>
      <c r="X68" s="202">
        <v>46000</v>
      </c>
      <c r="Y68" s="202">
        <v>46017</v>
      </c>
      <c r="Z68" s="207"/>
      <c r="AA68" s="215" t="s">
        <v>4690</v>
      </c>
      <c r="AB68" s="215" t="s">
        <v>4691</v>
      </c>
      <c r="AC68" s="215" t="s">
        <v>4692</v>
      </c>
      <c r="AD68" s="204" t="s">
        <v>4402</v>
      </c>
      <c r="AE68" s="204" t="s">
        <v>4405</v>
      </c>
      <c r="AF68" s="205" t="s">
        <v>4409</v>
      </c>
      <c r="AG68" s="205" t="s">
        <v>4409</v>
      </c>
      <c r="AH68" s="204" t="s">
        <v>4410</v>
      </c>
      <c r="AI68" s="214" t="s">
        <v>4411</v>
      </c>
      <c r="AJ68" s="207"/>
      <c r="AK68" s="316">
        <v>45979</v>
      </c>
      <c r="AL68" s="316">
        <v>45979</v>
      </c>
      <c r="AM68" s="316">
        <v>45979</v>
      </c>
      <c r="AN68" s="316">
        <v>45979</v>
      </c>
      <c r="AO68" s="316">
        <v>45979</v>
      </c>
      <c r="AP68" s="316">
        <v>45979</v>
      </c>
      <c r="AQ68" s="314"/>
      <c r="AR68" s="315" t="str">
        <f t="shared" si="4"/>
        <v>FINALIZADO</v>
      </c>
      <c r="AS68" s="207"/>
      <c r="AT68" s="207"/>
      <c r="AU68" s="220"/>
      <c r="AV68" s="207"/>
      <c r="AW68" s="207"/>
      <c r="AX68" s="207"/>
      <c r="AY68" s="207"/>
      <c r="AZ68" s="202"/>
      <c r="BA68" s="207"/>
      <c r="BB68" s="207"/>
      <c r="BC68" s="202"/>
      <c r="BD68" s="208"/>
      <c r="BE68" s="209">
        <v>46017</v>
      </c>
      <c r="BF68" s="197" t="s">
        <v>4412</v>
      </c>
      <c r="BG68" s="229"/>
      <c r="BH68" s="321" t="str">
        <f t="shared" si="5"/>
        <v/>
      </c>
      <c r="BI68" s="98" t="str">
        <f t="shared" si="6"/>
        <v>AA</v>
      </c>
      <c r="BJ68" s="98" t="str">
        <f t="shared" si="7"/>
        <v>NÃO</v>
      </c>
      <c r="BK68" s="230"/>
      <c r="BL68" s="230"/>
      <c r="BM68" s="230"/>
      <c r="BN68" s="230"/>
      <c r="BO68" s="230"/>
      <c r="BP68" s="230"/>
      <c r="BQ68" s="230"/>
      <c r="BR68" s="234"/>
    </row>
    <row r="69" spans="1:112" s="240" customFormat="1" ht="27" hidden="1" customHeight="1">
      <c r="A69" s="197">
        <v>65</v>
      </c>
      <c r="B69" s="197" t="s">
        <v>4396</v>
      </c>
      <c r="C69" s="207" t="s">
        <v>4453</v>
      </c>
      <c r="D69" s="207">
        <v>1</v>
      </c>
      <c r="E69" s="207" t="s">
        <v>4398</v>
      </c>
      <c r="F69" s="214" t="s">
        <v>4693</v>
      </c>
      <c r="G69" s="207" t="s">
        <v>4400</v>
      </c>
      <c r="H69" s="207" t="s">
        <v>4401</v>
      </c>
      <c r="I69" s="217" t="s">
        <v>4402</v>
      </c>
      <c r="J69" s="242" t="s">
        <v>2640</v>
      </c>
      <c r="K69" s="214" t="s">
        <v>4694</v>
      </c>
      <c r="L69" s="214" t="s">
        <v>4695</v>
      </c>
      <c r="M69" s="197" t="s">
        <v>4405</v>
      </c>
      <c r="N69" s="207" t="s">
        <v>4406</v>
      </c>
      <c r="O69" s="202">
        <v>45986</v>
      </c>
      <c r="P69" s="203" t="s">
        <v>4407</v>
      </c>
      <c r="Q69" s="203">
        <v>45985</v>
      </c>
      <c r="R69" s="203">
        <v>45986</v>
      </c>
      <c r="S69" s="203">
        <v>45987</v>
      </c>
      <c r="T69" s="203">
        <v>45992</v>
      </c>
      <c r="U69" s="202" t="s">
        <v>4408</v>
      </c>
      <c r="V69" s="202" t="s">
        <v>4408</v>
      </c>
      <c r="W69" s="202">
        <v>45999</v>
      </c>
      <c r="X69" s="202">
        <v>46000</v>
      </c>
      <c r="Y69" s="202">
        <v>46017</v>
      </c>
      <c r="Z69" s="207"/>
      <c r="AA69" s="242" t="s">
        <v>2640</v>
      </c>
      <c r="AB69" s="215" t="s">
        <v>4694</v>
      </c>
      <c r="AC69" s="215" t="s">
        <v>4695</v>
      </c>
      <c r="AD69" s="204" t="s">
        <v>4402</v>
      </c>
      <c r="AE69" s="204" t="s">
        <v>4405</v>
      </c>
      <c r="AF69" s="205" t="s">
        <v>4409</v>
      </c>
      <c r="AG69" s="205" t="s">
        <v>4409</v>
      </c>
      <c r="AH69" s="204" t="s">
        <v>4410</v>
      </c>
      <c r="AI69" s="214" t="s">
        <v>4411</v>
      </c>
      <c r="AJ69" s="207"/>
      <c r="AK69" s="316">
        <v>45979</v>
      </c>
      <c r="AL69" s="316">
        <v>45979</v>
      </c>
      <c r="AM69" s="316">
        <v>45979</v>
      </c>
      <c r="AN69" s="316">
        <v>45979</v>
      </c>
      <c r="AO69" s="316">
        <v>45979</v>
      </c>
      <c r="AP69" s="316">
        <v>45979</v>
      </c>
      <c r="AQ69" s="314"/>
      <c r="AR69" s="315" t="str">
        <f t="shared" si="4"/>
        <v>FINALIZADO</v>
      </c>
      <c r="AS69" s="207"/>
      <c r="AT69" s="207"/>
      <c r="AU69" s="220"/>
      <c r="AV69" s="207"/>
      <c r="AW69" s="207"/>
      <c r="AX69" s="207"/>
      <c r="AY69" s="207"/>
      <c r="AZ69" s="202"/>
      <c r="BA69" s="207"/>
      <c r="BB69" s="207"/>
      <c r="BC69" s="202"/>
      <c r="BD69" s="208"/>
      <c r="BE69" s="209">
        <v>46017</v>
      </c>
      <c r="BF69" s="197" t="s">
        <v>4412</v>
      </c>
      <c r="BG69" s="229"/>
      <c r="BH69" s="321" t="str">
        <f t="shared" si="5"/>
        <v/>
      </c>
      <c r="BI69" s="98" t="str">
        <f t="shared" si="6"/>
        <v>AA</v>
      </c>
      <c r="BJ69" s="98" t="str">
        <f t="shared" si="7"/>
        <v>NÃO</v>
      </c>
      <c r="BK69" s="230"/>
      <c r="BL69" s="230"/>
      <c r="BM69" s="230"/>
      <c r="BN69" s="230"/>
      <c r="BO69" s="230"/>
      <c r="BP69" s="230"/>
      <c r="BQ69" s="230"/>
      <c r="BR69" s="234"/>
      <c r="BS69" s="223"/>
      <c r="BT69" s="223"/>
      <c r="BU69" s="223"/>
      <c r="BV69" s="223"/>
      <c r="BW69" s="223"/>
      <c r="BX69" s="223"/>
      <c r="BY69" s="223"/>
      <c r="BZ69" s="223"/>
      <c r="CA69" s="223"/>
      <c r="CB69" s="223"/>
      <c r="CC69" s="223"/>
      <c r="CD69" s="223"/>
      <c r="CE69" s="223"/>
      <c r="CF69" s="223"/>
      <c r="CG69" s="223"/>
      <c r="CH69" s="223"/>
      <c r="CI69" s="223"/>
      <c r="CJ69" s="223"/>
      <c r="CK69" s="223"/>
      <c r="CL69" s="223"/>
      <c r="CM69" s="223"/>
      <c r="CN69" s="223"/>
      <c r="CO69" s="223"/>
      <c r="CP69" s="223"/>
      <c r="CQ69" s="223"/>
      <c r="CR69" s="223"/>
      <c r="CS69" s="223"/>
      <c r="CT69" s="223"/>
      <c r="CU69" s="223"/>
      <c r="CV69" s="223"/>
      <c r="CW69" s="223"/>
      <c r="CX69" s="223"/>
      <c r="CY69" s="223"/>
      <c r="CZ69" s="223"/>
      <c r="DA69" s="223"/>
      <c r="DB69" s="223"/>
      <c r="DC69" s="223"/>
      <c r="DD69" s="223"/>
      <c r="DE69" s="223"/>
      <c r="DF69" s="223"/>
      <c r="DG69" s="223"/>
      <c r="DH69" s="223"/>
    </row>
    <row r="70" spans="1:112" s="240" customFormat="1" ht="27" hidden="1" customHeight="1">
      <c r="A70" s="197">
        <v>66</v>
      </c>
      <c r="B70" s="197" t="s">
        <v>4396</v>
      </c>
      <c r="C70" s="207" t="s">
        <v>4453</v>
      </c>
      <c r="D70" s="207">
        <v>1</v>
      </c>
      <c r="E70" s="207" t="s">
        <v>4398</v>
      </c>
      <c r="F70" s="214" t="s">
        <v>4696</v>
      </c>
      <c r="G70" s="207" t="s">
        <v>4400</v>
      </c>
      <c r="H70" s="207" t="s">
        <v>4401</v>
      </c>
      <c r="I70" s="217" t="s">
        <v>4402</v>
      </c>
      <c r="J70" s="242" t="s">
        <v>4697</v>
      </c>
      <c r="K70" s="214" t="s">
        <v>4698</v>
      </c>
      <c r="L70" s="214" t="s">
        <v>4699</v>
      </c>
      <c r="M70" s="197" t="s">
        <v>4405</v>
      </c>
      <c r="N70" s="207" t="s">
        <v>4442</v>
      </c>
      <c r="O70" s="202" t="s">
        <v>4409</v>
      </c>
      <c r="P70" s="202" t="s">
        <v>4409</v>
      </c>
      <c r="Q70" s="202" t="s">
        <v>4409</v>
      </c>
      <c r="R70" s="202" t="s">
        <v>4409</v>
      </c>
      <c r="S70" s="202" t="s">
        <v>4409</v>
      </c>
      <c r="T70" s="202" t="s">
        <v>4409</v>
      </c>
      <c r="U70" s="202" t="s">
        <v>4409</v>
      </c>
      <c r="V70" s="202" t="s">
        <v>4409</v>
      </c>
      <c r="W70" s="202" t="s">
        <v>4409</v>
      </c>
      <c r="X70" s="202" t="s">
        <v>4409</v>
      </c>
      <c r="Y70" s="202"/>
      <c r="Z70" s="207"/>
      <c r="AA70" s="242" t="s">
        <v>4697</v>
      </c>
      <c r="AB70" s="214" t="s">
        <v>4698</v>
      </c>
      <c r="AC70" s="214" t="s">
        <v>4699</v>
      </c>
      <c r="AD70" s="204" t="s">
        <v>4402</v>
      </c>
      <c r="AE70" s="204" t="s">
        <v>4405</v>
      </c>
      <c r="AF70" s="243">
        <v>22200.14</v>
      </c>
      <c r="AG70" s="243">
        <f>AF70+30000</f>
        <v>52200.14</v>
      </c>
      <c r="AH70" s="197" t="s">
        <v>4433</v>
      </c>
      <c r="AI70" s="214" t="s">
        <v>4411</v>
      </c>
      <c r="AJ70" s="207">
        <v>146037864</v>
      </c>
      <c r="AK70" s="316">
        <v>46038</v>
      </c>
      <c r="AL70" s="316">
        <v>46038</v>
      </c>
      <c r="AM70" s="316">
        <v>46038</v>
      </c>
      <c r="AN70" s="316">
        <v>46038</v>
      </c>
      <c r="AO70" s="316">
        <v>46038</v>
      </c>
      <c r="AP70" s="316">
        <v>46038</v>
      </c>
      <c r="AQ70" s="314"/>
      <c r="AR70" s="315" t="str">
        <f t="shared" ref="AR70:AR133" si="8">IF(AQ70="SIM","AGUARDANDO CORREÇÃO",IF(AP70&lt;&gt;"","FINALIZADO",IF(AO70&lt;&gt;"","AGUARDANDO ENVIO DTS",IF(AN70&lt;&gt;"","AGUARDANDO ASSINATURA GAB",IF(AM70&lt;&gt;"","AGUARDANDO ASSINATURA CTS",IF(AL70&lt;&gt;"","AGUARDANDO ENVIO ASSINATURA CTS",IF(AK70&lt;&gt;"","AGUARDANDO CONFERÊNCIA","")))))))</f>
        <v>FINALIZADO</v>
      </c>
      <c r="AS70" s="207" t="s">
        <v>4423</v>
      </c>
      <c r="AT70" s="207"/>
      <c r="AU70" s="220" t="s">
        <v>4700</v>
      </c>
      <c r="AV70" s="197" t="s">
        <v>4425</v>
      </c>
      <c r="AW70" s="207" t="s">
        <v>4425</v>
      </c>
      <c r="AX70" s="207" t="s">
        <v>4425</v>
      </c>
      <c r="AY70" s="207" t="s">
        <v>4425</v>
      </c>
      <c r="AZ70" s="202">
        <v>46062</v>
      </c>
      <c r="BA70" s="207" t="s">
        <v>4425</v>
      </c>
      <c r="BB70" s="207" t="s">
        <v>4425</v>
      </c>
      <c r="BC70" s="239">
        <v>46066</v>
      </c>
      <c r="BD70" s="226">
        <v>46066</v>
      </c>
      <c r="BE70" s="209">
        <v>46017</v>
      </c>
      <c r="BF70" s="197" t="s">
        <v>4412</v>
      </c>
      <c r="BG70" s="229" t="s">
        <v>4425</v>
      </c>
      <c r="BH70" s="321">
        <f t="shared" ref="BH70:BH133" si="9">IFERROR(IF(BD70-KI70=0,"",BD70-AK70),"")</f>
        <v>28</v>
      </c>
      <c r="BI70" s="98" t="str">
        <f t="shared" ref="BI70:BI133" si="10">IF(AND(AH70&lt;&gt;"SIM",AH70="UH"),"AA","INDENIZAÇÃO")</f>
        <v>INDENIZAÇÃO</v>
      </c>
      <c r="BJ70" s="98" t="str">
        <f t="shared" ref="BJ70:BJ133" si="11">IF(AND(BD70&lt;&gt;"AGUARDANDO",BD70&lt;&gt;"",N70="AUXÍLIO ALUGUEL ATÉ INDENIZAÇÃO"),"SIM","NÃO")</f>
        <v>NÃO</v>
      </c>
      <c r="BK70" s="230" t="s">
        <v>4437</v>
      </c>
      <c r="BL70" s="230" t="s">
        <v>4437</v>
      </c>
      <c r="BM70" s="230" t="s">
        <v>4437</v>
      </c>
      <c r="BN70" s="207" t="s">
        <v>4425</v>
      </c>
      <c r="BO70" s="207" t="s">
        <v>4425</v>
      </c>
      <c r="BP70" s="203">
        <v>46128</v>
      </c>
      <c r="BQ70" s="207" t="s">
        <v>4425</v>
      </c>
      <c r="BR70" s="231" t="s">
        <v>4435</v>
      </c>
    </row>
    <row r="71" spans="1:112" s="240" customFormat="1" ht="27" hidden="1" customHeight="1">
      <c r="A71" s="207">
        <v>67</v>
      </c>
      <c r="B71" s="197" t="s">
        <v>4396</v>
      </c>
      <c r="C71" s="207" t="s">
        <v>4453</v>
      </c>
      <c r="D71" s="207">
        <v>1</v>
      </c>
      <c r="E71" s="207" t="s">
        <v>4440</v>
      </c>
      <c r="F71" s="214" t="s">
        <v>4701</v>
      </c>
      <c r="G71" s="207" t="s">
        <v>4400</v>
      </c>
      <c r="H71" s="207" t="s">
        <v>4401</v>
      </c>
      <c r="I71" s="217" t="s">
        <v>4402</v>
      </c>
      <c r="J71" s="215" t="s">
        <v>4702</v>
      </c>
      <c r="K71" s="214" t="s">
        <v>4703</v>
      </c>
      <c r="L71" s="214" t="s">
        <v>4704</v>
      </c>
      <c r="M71" s="197" t="s">
        <v>4405</v>
      </c>
      <c r="N71" s="207" t="s">
        <v>4406</v>
      </c>
      <c r="O71" s="202">
        <v>45986</v>
      </c>
      <c r="P71" s="203" t="s">
        <v>4407</v>
      </c>
      <c r="Q71" s="203">
        <v>45985</v>
      </c>
      <c r="R71" s="203">
        <v>45986</v>
      </c>
      <c r="S71" s="203">
        <v>45987</v>
      </c>
      <c r="T71" s="203">
        <v>45992</v>
      </c>
      <c r="U71" s="202" t="s">
        <v>4408</v>
      </c>
      <c r="V71" s="202" t="s">
        <v>4408</v>
      </c>
      <c r="W71" s="202">
        <v>45999</v>
      </c>
      <c r="X71" s="202">
        <v>46000</v>
      </c>
      <c r="Y71" s="202">
        <v>46017</v>
      </c>
      <c r="Z71" s="207"/>
      <c r="AA71" s="215" t="s">
        <v>4702</v>
      </c>
      <c r="AB71" s="215" t="s">
        <v>4703</v>
      </c>
      <c r="AC71" s="215" t="s">
        <v>4704</v>
      </c>
      <c r="AD71" s="204" t="s">
        <v>4402</v>
      </c>
      <c r="AE71" s="204" t="s">
        <v>4405</v>
      </c>
      <c r="AF71" s="242" t="s">
        <v>4409</v>
      </c>
      <c r="AG71" s="242" t="s">
        <v>4409</v>
      </c>
      <c r="AH71" s="241" t="s">
        <v>4410</v>
      </c>
      <c r="AI71" s="214" t="s">
        <v>4411</v>
      </c>
      <c r="AJ71" s="207"/>
      <c r="AK71" s="316">
        <v>45979</v>
      </c>
      <c r="AL71" s="316">
        <v>45979</v>
      </c>
      <c r="AM71" s="316">
        <v>45979</v>
      </c>
      <c r="AN71" s="316">
        <v>45979</v>
      </c>
      <c r="AO71" s="316">
        <v>45979</v>
      </c>
      <c r="AP71" s="316">
        <v>45979</v>
      </c>
      <c r="AQ71" s="314"/>
      <c r="AR71" s="315" t="str">
        <f t="shared" si="8"/>
        <v>FINALIZADO</v>
      </c>
      <c r="AS71" s="207"/>
      <c r="AT71" s="207"/>
      <c r="AU71" s="220"/>
      <c r="AV71" s="207"/>
      <c r="AW71" s="207"/>
      <c r="AX71" s="207"/>
      <c r="AY71" s="207"/>
      <c r="AZ71" s="202"/>
      <c r="BA71" s="207"/>
      <c r="BB71" s="207"/>
      <c r="BC71" s="202"/>
      <c r="BD71" s="208"/>
      <c r="BE71" s="209">
        <v>46017</v>
      </c>
      <c r="BF71" s="197" t="s">
        <v>4412</v>
      </c>
      <c r="BG71" s="229"/>
      <c r="BH71" s="321" t="str">
        <f t="shared" si="9"/>
        <v/>
      </c>
      <c r="BI71" s="98" t="str">
        <f t="shared" si="10"/>
        <v>AA</v>
      </c>
      <c r="BJ71" s="98" t="str">
        <f t="shared" si="11"/>
        <v>NÃO</v>
      </c>
      <c r="BK71" s="230"/>
      <c r="BL71" s="230"/>
      <c r="BM71" s="230"/>
      <c r="BN71" s="230"/>
      <c r="BO71" s="230"/>
      <c r="BP71" s="230"/>
      <c r="BQ71" s="230"/>
      <c r="BR71" s="234"/>
    </row>
    <row r="72" spans="1:112" s="240" customFormat="1" ht="27" hidden="1" customHeight="1">
      <c r="A72" s="207">
        <v>68</v>
      </c>
      <c r="B72" s="197" t="s">
        <v>4396</v>
      </c>
      <c r="C72" s="207" t="s">
        <v>4453</v>
      </c>
      <c r="D72" s="207">
        <v>1</v>
      </c>
      <c r="E72" s="207" t="s">
        <v>4440</v>
      </c>
      <c r="F72" s="214" t="s">
        <v>4705</v>
      </c>
      <c r="G72" s="207" t="s">
        <v>4400</v>
      </c>
      <c r="H72" s="207" t="s">
        <v>4401</v>
      </c>
      <c r="I72" s="217" t="s">
        <v>4402</v>
      </c>
      <c r="J72" s="215" t="s">
        <v>4706</v>
      </c>
      <c r="K72" s="214" t="s">
        <v>4707</v>
      </c>
      <c r="L72" s="214" t="s">
        <v>4708</v>
      </c>
      <c r="M72" s="197" t="s">
        <v>4405</v>
      </c>
      <c r="N72" s="207" t="s">
        <v>4406</v>
      </c>
      <c r="O72" s="202">
        <v>46002</v>
      </c>
      <c r="P72" s="202" t="s">
        <v>4407</v>
      </c>
      <c r="Q72" s="202">
        <v>45999</v>
      </c>
      <c r="R72" s="202">
        <v>46006</v>
      </c>
      <c r="S72" s="202">
        <v>46006</v>
      </c>
      <c r="T72" s="202">
        <v>46009</v>
      </c>
      <c r="U72" s="202" t="s">
        <v>4408</v>
      </c>
      <c r="V72" s="202" t="s">
        <v>4408</v>
      </c>
      <c r="W72" s="202">
        <v>46014</v>
      </c>
      <c r="X72" s="202">
        <v>46017</v>
      </c>
      <c r="Y72" s="202">
        <v>46017</v>
      </c>
      <c r="Z72" s="207"/>
      <c r="AA72" s="215" t="s">
        <v>4706</v>
      </c>
      <c r="AB72" s="214" t="s">
        <v>4707</v>
      </c>
      <c r="AC72" s="214" t="s">
        <v>4708</v>
      </c>
      <c r="AD72" s="204" t="s">
        <v>4402</v>
      </c>
      <c r="AE72" s="204" t="s">
        <v>4405</v>
      </c>
      <c r="AF72" s="205" t="s">
        <v>4409</v>
      </c>
      <c r="AG72" s="205" t="s">
        <v>4409</v>
      </c>
      <c r="AH72" s="204" t="s">
        <v>4410</v>
      </c>
      <c r="AI72" s="214" t="s">
        <v>4411</v>
      </c>
      <c r="AJ72" s="207"/>
      <c r="AK72" s="316">
        <v>45996</v>
      </c>
      <c r="AL72" s="316">
        <v>45996</v>
      </c>
      <c r="AM72" s="316">
        <v>45996</v>
      </c>
      <c r="AN72" s="316">
        <v>45996</v>
      </c>
      <c r="AO72" s="316">
        <v>45996</v>
      </c>
      <c r="AP72" s="316">
        <v>45996</v>
      </c>
      <c r="AQ72" s="314"/>
      <c r="AR72" s="315" t="str">
        <f t="shared" si="8"/>
        <v>FINALIZADO</v>
      </c>
      <c r="AS72" s="207"/>
      <c r="AT72" s="207"/>
      <c r="AU72" s="220"/>
      <c r="AV72" s="207"/>
      <c r="AW72" s="207"/>
      <c r="AX72" s="207"/>
      <c r="AY72" s="207"/>
      <c r="AZ72" s="202"/>
      <c r="BA72" s="207"/>
      <c r="BB72" s="207"/>
      <c r="BC72" s="202"/>
      <c r="BD72" s="208"/>
      <c r="BE72" s="209">
        <v>46017</v>
      </c>
      <c r="BF72" s="197" t="s">
        <v>4412</v>
      </c>
      <c r="BG72" s="229"/>
      <c r="BH72" s="321" t="str">
        <f t="shared" si="9"/>
        <v/>
      </c>
      <c r="BI72" s="98" t="str">
        <f t="shared" si="10"/>
        <v>AA</v>
      </c>
      <c r="BJ72" s="98" t="str">
        <f t="shared" si="11"/>
        <v>NÃO</v>
      </c>
      <c r="BK72" s="230"/>
      <c r="BL72" s="230"/>
      <c r="BM72" s="230"/>
      <c r="BN72" s="230"/>
      <c r="BO72" s="230"/>
      <c r="BP72" s="230"/>
      <c r="BQ72" s="230"/>
      <c r="BR72" s="234"/>
    </row>
    <row r="73" spans="1:112" s="240" customFormat="1" ht="27" hidden="1" customHeight="1">
      <c r="A73" s="207">
        <v>69</v>
      </c>
      <c r="B73" s="197" t="s">
        <v>4396</v>
      </c>
      <c r="C73" s="207" t="s">
        <v>4453</v>
      </c>
      <c r="D73" s="207">
        <v>1</v>
      </c>
      <c r="E73" s="207" t="s">
        <v>4398</v>
      </c>
      <c r="F73" s="214" t="s">
        <v>4709</v>
      </c>
      <c r="G73" s="207" t="s">
        <v>4400</v>
      </c>
      <c r="H73" s="207" t="s">
        <v>4401</v>
      </c>
      <c r="I73" s="217" t="s">
        <v>4402</v>
      </c>
      <c r="J73" s="215" t="s">
        <v>4710</v>
      </c>
      <c r="K73" s="214" t="s">
        <v>4711</v>
      </c>
      <c r="L73" s="214" t="s">
        <v>4712</v>
      </c>
      <c r="M73" s="197" t="s">
        <v>4405</v>
      </c>
      <c r="N73" s="217" t="s">
        <v>4406</v>
      </c>
      <c r="O73" s="202">
        <v>45986</v>
      </c>
      <c r="P73" s="203" t="s">
        <v>4407</v>
      </c>
      <c r="Q73" s="203">
        <v>45985</v>
      </c>
      <c r="R73" s="203">
        <v>45986</v>
      </c>
      <c r="S73" s="203">
        <v>45987</v>
      </c>
      <c r="T73" s="203">
        <v>45992</v>
      </c>
      <c r="U73" s="202" t="s">
        <v>4408</v>
      </c>
      <c r="V73" s="202" t="s">
        <v>4408</v>
      </c>
      <c r="W73" s="202">
        <v>45999</v>
      </c>
      <c r="X73" s="202">
        <v>46001</v>
      </c>
      <c r="Y73" s="202">
        <v>46017</v>
      </c>
      <c r="Z73" s="207"/>
      <c r="AA73" s="215" t="s">
        <v>4710</v>
      </c>
      <c r="AB73" s="215" t="s">
        <v>4711</v>
      </c>
      <c r="AC73" s="215" t="s">
        <v>4712</v>
      </c>
      <c r="AD73" s="204" t="s">
        <v>4402</v>
      </c>
      <c r="AE73" s="204" t="s">
        <v>4405</v>
      </c>
      <c r="AF73" s="205" t="s">
        <v>4409</v>
      </c>
      <c r="AG73" s="205" t="s">
        <v>4409</v>
      </c>
      <c r="AH73" s="204" t="s">
        <v>4410</v>
      </c>
      <c r="AI73" s="214" t="s">
        <v>4411</v>
      </c>
      <c r="AJ73" s="207"/>
      <c r="AK73" s="316">
        <v>45979</v>
      </c>
      <c r="AL73" s="316">
        <v>45979</v>
      </c>
      <c r="AM73" s="316">
        <v>45979</v>
      </c>
      <c r="AN73" s="316">
        <v>45979</v>
      </c>
      <c r="AO73" s="316">
        <v>45979</v>
      </c>
      <c r="AP73" s="316">
        <v>45979</v>
      </c>
      <c r="AQ73" s="314"/>
      <c r="AR73" s="315" t="str">
        <f t="shared" si="8"/>
        <v>FINALIZADO</v>
      </c>
      <c r="AS73" s="207"/>
      <c r="AT73" s="207"/>
      <c r="AU73" s="220"/>
      <c r="AV73" s="207"/>
      <c r="AW73" s="207"/>
      <c r="AX73" s="207"/>
      <c r="AY73" s="207"/>
      <c r="AZ73" s="202"/>
      <c r="BA73" s="207"/>
      <c r="BB73" s="207"/>
      <c r="BC73" s="202"/>
      <c r="BD73" s="208"/>
      <c r="BE73" s="209">
        <v>46017</v>
      </c>
      <c r="BF73" s="197" t="s">
        <v>4412</v>
      </c>
      <c r="BG73" s="229"/>
      <c r="BH73" s="321" t="str">
        <f t="shared" si="9"/>
        <v/>
      </c>
      <c r="BI73" s="98" t="str">
        <f t="shared" si="10"/>
        <v>AA</v>
      </c>
      <c r="BJ73" s="98" t="str">
        <f t="shared" si="11"/>
        <v>NÃO</v>
      </c>
      <c r="BK73" s="230"/>
      <c r="BL73" s="230"/>
      <c r="BM73" s="230"/>
      <c r="BN73" s="230"/>
      <c r="BO73" s="230"/>
      <c r="BP73" s="230"/>
      <c r="BQ73" s="230"/>
      <c r="BR73" s="234"/>
    </row>
    <row r="74" spans="1:112" s="240" customFormat="1" ht="27" hidden="1" customHeight="1">
      <c r="A74" s="197">
        <v>70</v>
      </c>
      <c r="B74" s="197" t="s">
        <v>4396</v>
      </c>
      <c r="C74" s="207" t="s">
        <v>4453</v>
      </c>
      <c r="D74" s="207">
        <v>1</v>
      </c>
      <c r="E74" s="207" t="s">
        <v>4398</v>
      </c>
      <c r="F74" s="214" t="s">
        <v>4713</v>
      </c>
      <c r="G74" s="207" t="s">
        <v>4400</v>
      </c>
      <c r="H74" s="207" t="s">
        <v>4401</v>
      </c>
      <c r="I74" s="217" t="s">
        <v>4402</v>
      </c>
      <c r="J74" s="215" t="s">
        <v>4714</v>
      </c>
      <c r="K74" s="214" t="s">
        <v>4715</v>
      </c>
      <c r="L74" s="214" t="s">
        <v>4716</v>
      </c>
      <c r="M74" s="197" t="s">
        <v>4405</v>
      </c>
      <c r="N74" s="207" t="s">
        <v>4406</v>
      </c>
      <c r="O74" s="202">
        <v>46002</v>
      </c>
      <c r="P74" s="202" t="s">
        <v>4407</v>
      </c>
      <c r="Q74" s="202">
        <v>45999</v>
      </c>
      <c r="R74" s="202">
        <v>46006</v>
      </c>
      <c r="S74" s="202">
        <v>46006</v>
      </c>
      <c r="T74" s="202">
        <v>46009</v>
      </c>
      <c r="U74" s="202" t="s">
        <v>4408</v>
      </c>
      <c r="V74" s="202" t="s">
        <v>4408</v>
      </c>
      <c r="W74" s="202">
        <v>46014</v>
      </c>
      <c r="X74" s="202">
        <v>46017</v>
      </c>
      <c r="Y74" s="202">
        <v>46017</v>
      </c>
      <c r="Z74" s="207"/>
      <c r="AA74" s="215" t="s">
        <v>4714</v>
      </c>
      <c r="AB74" s="215" t="s">
        <v>4715</v>
      </c>
      <c r="AC74" s="215" t="s">
        <v>4716</v>
      </c>
      <c r="AD74" s="204" t="s">
        <v>4402</v>
      </c>
      <c r="AE74" s="204" t="s">
        <v>4405</v>
      </c>
      <c r="AF74" s="205" t="s">
        <v>4409</v>
      </c>
      <c r="AG74" s="205" t="s">
        <v>4409</v>
      </c>
      <c r="AH74" s="204" t="s">
        <v>4410</v>
      </c>
      <c r="AI74" s="214" t="s">
        <v>4411</v>
      </c>
      <c r="AJ74" s="207"/>
      <c r="AK74" s="316">
        <v>45995</v>
      </c>
      <c r="AL74" s="316">
        <v>45995</v>
      </c>
      <c r="AM74" s="316">
        <v>45995</v>
      </c>
      <c r="AN74" s="316">
        <v>45995</v>
      </c>
      <c r="AO74" s="316">
        <v>45995</v>
      </c>
      <c r="AP74" s="316">
        <v>45995</v>
      </c>
      <c r="AQ74" s="314"/>
      <c r="AR74" s="315" t="str">
        <f t="shared" si="8"/>
        <v>FINALIZADO</v>
      </c>
      <c r="AS74" s="207"/>
      <c r="AT74" s="207"/>
      <c r="AU74" s="220"/>
      <c r="AV74" s="207"/>
      <c r="AW74" s="207"/>
      <c r="AX74" s="207"/>
      <c r="AY74" s="207"/>
      <c r="AZ74" s="202"/>
      <c r="BA74" s="207"/>
      <c r="BB74" s="207"/>
      <c r="BC74" s="202"/>
      <c r="BD74" s="208"/>
      <c r="BE74" s="209">
        <v>46017</v>
      </c>
      <c r="BF74" s="197" t="s">
        <v>4412</v>
      </c>
      <c r="BG74" s="229"/>
      <c r="BH74" s="321" t="str">
        <f t="shared" si="9"/>
        <v/>
      </c>
      <c r="BI74" s="98" t="str">
        <f t="shared" si="10"/>
        <v>AA</v>
      </c>
      <c r="BJ74" s="98" t="str">
        <f t="shared" si="11"/>
        <v>NÃO</v>
      </c>
      <c r="BK74" s="230"/>
      <c r="BL74" s="230"/>
      <c r="BM74" s="230"/>
      <c r="BN74" s="230"/>
      <c r="BO74" s="230"/>
      <c r="BP74" s="230"/>
      <c r="BQ74" s="230"/>
      <c r="BR74" s="234"/>
    </row>
    <row r="75" spans="1:112" s="240" customFormat="1" ht="27" hidden="1" customHeight="1">
      <c r="A75" s="197">
        <v>71</v>
      </c>
      <c r="B75" s="197" t="s">
        <v>4396</v>
      </c>
      <c r="C75" s="207" t="s">
        <v>4453</v>
      </c>
      <c r="D75" s="207">
        <v>1</v>
      </c>
      <c r="E75" s="207" t="s">
        <v>4398</v>
      </c>
      <c r="F75" s="214" t="s">
        <v>4717</v>
      </c>
      <c r="G75" s="207" t="s">
        <v>4400</v>
      </c>
      <c r="H75" s="207" t="s">
        <v>4401</v>
      </c>
      <c r="I75" s="217" t="s">
        <v>4402</v>
      </c>
      <c r="J75" s="215" t="s">
        <v>4718</v>
      </c>
      <c r="K75" s="214" t="s">
        <v>4719</v>
      </c>
      <c r="L75" s="214" t="s">
        <v>4720</v>
      </c>
      <c r="M75" s="197" t="s">
        <v>4405</v>
      </c>
      <c r="N75" s="207" t="s">
        <v>4406</v>
      </c>
      <c r="O75" s="203">
        <v>46031</v>
      </c>
      <c r="P75" s="202" t="s">
        <v>4407</v>
      </c>
      <c r="Q75" s="203">
        <v>46030</v>
      </c>
      <c r="R75" s="203">
        <v>46031</v>
      </c>
      <c r="S75" s="203">
        <v>46036</v>
      </c>
      <c r="T75" s="203">
        <v>46045</v>
      </c>
      <c r="U75" s="203" t="s">
        <v>4408</v>
      </c>
      <c r="V75" s="203" t="s">
        <v>4408</v>
      </c>
      <c r="W75" s="202">
        <v>46055</v>
      </c>
      <c r="X75" s="202">
        <v>46056</v>
      </c>
      <c r="Y75" s="202">
        <v>46017</v>
      </c>
      <c r="Z75" s="207"/>
      <c r="AA75" s="215" t="s">
        <v>4718</v>
      </c>
      <c r="AB75" s="215" t="s">
        <v>4719</v>
      </c>
      <c r="AC75" s="215" t="s">
        <v>4720</v>
      </c>
      <c r="AD75" s="204" t="s">
        <v>4402</v>
      </c>
      <c r="AE75" s="204" t="s">
        <v>4405</v>
      </c>
      <c r="AF75" s="242" t="s">
        <v>4409</v>
      </c>
      <c r="AG75" s="242" t="s">
        <v>4409</v>
      </c>
      <c r="AH75" s="241" t="s">
        <v>4410</v>
      </c>
      <c r="AI75" s="214" t="s">
        <v>4411</v>
      </c>
      <c r="AJ75" s="207"/>
      <c r="AK75" s="316">
        <v>45979</v>
      </c>
      <c r="AL75" s="316">
        <v>45979</v>
      </c>
      <c r="AM75" s="316">
        <v>45979</v>
      </c>
      <c r="AN75" s="316">
        <v>45979</v>
      </c>
      <c r="AO75" s="316">
        <v>45979</v>
      </c>
      <c r="AP75" s="316">
        <v>45979</v>
      </c>
      <c r="AQ75" s="314"/>
      <c r="AR75" s="315" t="str">
        <f t="shared" si="8"/>
        <v>FINALIZADO</v>
      </c>
      <c r="AS75" s="207"/>
      <c r="AT75" s="207"/>
      <c r="AU75" s="220"/>
      <c r="AV75" s="207"/>
      <c r="AW75" s="207"/>
      <c r="AX75" s="207"/>
      <c r="AY75" s="207"/>
      <c r="AZ75" s="202"/>
      <c r="BA75" s="207"/>
      <c r="BB75" s="207"/>
      <c r="BC75" s="202"/>
      <c r="BD75" s="208"/>
      <c r="BE75" s="209">
        <v>46017</v>
      </c>
      <c r="BF75" s="197" t="s">
        <v>4412</v>
      </c>
      <c r="BG75" s="229"/>
      <c r="BH75" s="321" t="str">
        <f t="shared" si="9"/>
        <v/>
      </c>
      <c r="BI75" s="98" t="str">
        <f t="shared" si="10"/>
        <v>AA</v>
      </c>
      <c r="BJ75" s="98" t="str">
        <f t="shared" si="11"/>
        <v>NÃO</v>
      </c>
      <c r="BK75" s="230"/>
      <c r="BL75" s="230"/>
      <c r="BM75" s="230"/>
      <c r="BN75" s="230"/>
      <c r="BO75" s="230"/>
      <c r="BP75" s="230"/>
      <c r="BQ75" s="230"/>
      <c r="BR75" s="234"/>
    </row>
    <row r="76" spans="1:112" s="240" customFormat="1" ht="27" hidden="1" customHeight="1">
      <c r="A76" s="207">
        <v>72</v>
      </c>
      <c r="B76" s="197" t="s">
        <v>4396</v>
      </c>
      <c r="C76" s="207" t="s">
        <v>4453</v>
      </c>
      <c r="D76" s="207">
        <v>1</v>
      </c>
      <c r="E76" s="207" t="s">
        <v>4398</v>
      </c>
      <c r="F76" s="214" t="s">
        <v>4721</v>
      </c>
      <c r="G76" s="207" t="s">
        <v>4400</v>
      </c>
      <c r="H76" s="207" t="s">
        <v>4401</v>
      </c>
      <c r="I76" s="217" t="s">
        <v>4402</v>
      </c>
      <c r="J76" s="215" t="s">
        <v>4722</v>
      </c>
      <c r="K76" s="214" t="s">
        <v>4723</v>
      </c>
      <c r="L76" s="214" t="s">
        <v>4724</v>
      </c>
      <c r="M76" s="197" t="s">
        <v>4405</v>
      </c>
      <c r="N76" s="207" t="s">
        <v>4442</v>
      </c>
      <c r="O76" s="202" t="s">
        <v>4409</v>
      </c>
      <c r="P76" s="202" t="s">
        <v>4409</v>
      </c>
      <c r="Q76" s="202" t="s">
        <v>4409</v>
      </c>
      <c r="R76" s="202" t="s">
        <v>4409</v>
      </c>
      <c r="S76" s="202" t="s">
        <v>4409</v>
      </c>
      <c r="T76" s="202" t="s">
        <v>4409</v>
      </c>
      <c r="U76" s="202" t="s">
        <v>4409</v>
      </c>
      <c r="V76" s="202" t="s">
        <v>4409</v>
      </c>
      <c r="W76" s="202" t="s">
        <v>4409</v>
      </c>
      <c r="X76" s="202" t="s">
        <v>4409</v>
      </c>
      <c r="Y76" s="202"/>
      <c r="Z76" s="207"/>
      <c r="AA76" s="215" t="s">
        <v>4722</v>
      </c>
      <c r="AB76" s="214" t="s">
        <v>4723</v>
      </c>
      <c r="AC76" s="214" t="s">
        <v>4724</v>
      </c>
      <c r="AD76" s="204" t="s">
        <v>4402</v>
      </c>
      <c r="AE76" s="204" t="s">
        <v>4405</v>
      </c>
      <c r="AF76" s="243">
        <v>29437.08</v>
      </c>
      <c r="AG76" s="243">
        <f>AF76+30000</f>
        <v>59437.08</v>
      </c>
      <c r="AH76" s="197" t="s">
        <v>4433</v>
      </c>
      <c r="AI76" s="214" t="s">
        <v>4411</v>
      </c>
      <c r="AJ76" s="207">
        <v>149594572</v>
      </c>
      <c r="AK76" s="316">
        <v>46045</v>
      </c>
      <c r="AL76" s="316">
        <v>46045</v>
      </c>
      <c r="AM76" s="316">
        <v>46045</v>
      </c>
      <c r="AN76" s="316">
        <v>46045</v>
      </c>
      <c r="AO76" s="316">
        <v>46045</v>
      </c>
      <c r="AP76" s="316">
        <v>46045</v>
      </c>
      <c r="AQ76" s="314"/>
      <c r="AR76" s="315" t="str">
        <f t="shared" si="8"/>
        <v>FINALIZADO</v>
      </c>
      <c r="AS76" s="207" t="s">
        <v>4423</v>
      </c>
      <c r="AT76" s="207"/>
      <c r="AU76" s="220" t="s">
        <v>4725</v>
      </c>
      <c r="AV76" s="197" t="s">
        <v>4425</v>
      </c>
      <c r="AW76" s="207" t="s">
        <v>4425</v>
      </c>
      <c r="AX76" s="207" t="s">
        <v>4425</v>
      </c>
      <c r="AY76" s="207" t="s">
        <v>4425</v>
      </c>
      <c r="AZ76" s="202">
        <v>46062</v>
      </c>
      <c r="BA76" s="207" t="s">
        <v>4425</v>
      </c>
      <c r="BB76" s="207" t="s">
        <v>4425</v>
      </c>
      <c r="BC76" s="239">
        <v>46066</v>
      </c>
      <c r="BD76" s="226">
        <v>46066</v>
      </c>
      <c r="BE76" s="209">
        <v>46017</v>
      </c>
      <c r="BF76" s="197" t="s">
        <v>4412</v>
      </c>
      <c r="BG76" s="229" t="s">
        <v>4425</v>
      </c>
      <c r="BH76" s="321">
        <f t="shared" si="9"/>
        <v>21</v>
      </c>
      <c r="BI76" s="98" t="str">
        <f t="shared" si="10"/>
        <v>INDENIZAÇÃO</v>
      </c>
      <c r="BJ76" s="98" t="str">
        <f t="shared" si="11"/>
        <v>NÃO</v>
      </c>
      <c r="BK76" s="230" t="s">
        <v>4437</v>
      </c>
      <c r="BL76" s="230" t="s">
        <v>4437</v>
      </c>
      <c r="BM76" s="230" t="s">
        <v>4437</v>
      </c>
      <c r="BN76" s="207" t="s">
        <v>4425</v>
      </c>
      <c r="BO76" s="207" t="s">
        <v>4425</v>
      </c>
      <c r="BP76" s="203">
        <v>46128</v>
      </c>
      <c r="BQ76" s="207" t="s">
        <v>4425</v>
      </c>
      <c r="BR76" s="231" t="s">
        <v>4435</v>
      </c>
    </row>
    <row r="77" spans="1:112" s="240" customFormat="1" ht="27" hidden="1" customHeight="1">
      <c r="A77" s="207">
        <v>73</v>
      </c>
      <c r="B77" s="197" t="s">
        <v>4396</v>
      </c>
      <c r="C77" s="207" t="s">
        <v>4453</v>
      </c>
      <c r="D77" s="207">
        <v>1</v>
      </c>
      <c r="E77" s="207" t="s">
        <v>4398</v>
      </c>
      <c r="F77" s="214" t="s">
        <v>4726</v>
      </c>
      <c r="G77" s="207" t="s">
        <v>4400</v>
      </c>
      <c r="H77" s="207" t="s">
        <v>4401</v>
      </c>
      <c r="I77" s="217" t="s">
        <v>4402</v>
      </c>
      <c r="J77" s="215" t="s">
        <v>4727</v>
      </c>
      <c r="K77" s="214" t="s">
        <v>4728</v>
      </c>
      <c r="L77" s="214" t="s">
        <v>4729</v>
      </c>
      <c r="M77" s="197" t="s">
        <v>4405</v>
      </c>
      <c r="N77" s="207" t="s">
        <v>4406</v>
      </c>
      <c r="O77" s="202">
        <v>45986</v>
      </c>
      <c r="P77" s="203" t="s">
        <v>4407</v>
      </c>
      <c r="Q77" s="203">
        <v>45985</v>
      </c>
      <c r="R77" s="203">
        <v>45986</v>
      </c>
      <c r="S77" s="203">
        <v>45987</v>
      </c>
      <c r="T77" s="203">
        <v>45992</v>
      </c>
      <c r="U77" s="202" t="s">
        <v>4408</v>
      </c>
      <c r="V77" s="202" t="s">
        <v>4408</v>
      </c>
      <c r="W77" s="202">
        <v>45999</v>
      </c>
      <c r="X77" s="202">
        <v>46000</v>
      </c>
      <c r="Y77" s="202">
        <v>46017</v>
      </c>
      <c r="Z77" s="207"/>
      <c r="AA77" s="215" t="s">
        <v>4727</v>
      </c>
      <c r="AB77" s="215" t="s">
        <v>4728</v>
      </c>
      <c r="AC77" s="215" t="s">
        <v>4729</v>
      </c>
      <c r="AD77" s="204" t="s">
        <v>4402</v>
      </c>
      <c r="AE77" s="204" t="s">
        <v>4405</v>
      </c>
      <c r="AF77" s="205" t="s">
        <v>4409</v>
      </c>
      <c r="AG77" s="205" t="s">
        <v>4409</v>
      </c>
      <c r="AH77" s="204" t="s">
        <v>4410</v>
      </c>
      <c r="AI77" s="214" t="s">
        <v>4411</v>
      </c>
      <c r="AJ77" s="207"/>
      <c r="AK77" s="316">
        <v>45979</v>
      </c>
      <c r="AL77" s="316">
        <v>45979</v>
      </c>
      <c r="AM77" s="316">
        <v>45979</v>
      </c>
      <c r="AN77" s="316">
        <v>45979</v>
      </c>
      <c r="AO77" s="316">
        <v>45979</v>
      </c>
      <c r="AP77" s="316">
        <v>45979</v>
      </c>
      <c r="AQ77" s="314"/>
      <c r="AR77" s="315" t="str">
        <f t="shared" si="8"/>
        <v>FINALIZADO</v>
      </c>
      <c r="AS77" s="207"/>
      <c r="AT77" s="207"/>
      <c r="AU77" s="220"/>
      <c r="AV77" s="207"/>
      <c r="AW77" s="207"/>
      <c r="AX77" s="207"/>
      <c r="AY77" s="207"/>
      <c r="AZ77" s="202"/>
      <c r="BA77" s="207"/>
      <c r="BB77" s="207"/>
      <c r="BC77" s="202"/>
      <c r="BD77" s="208"/>
      <c r="BE77" s="209">
        <v>46017</v>
      </c>
      <c r="BF77" s="197" t="s">
        <v>4412</v>
      </c>
      <c r="BG77" s="229"/>
      <c r="BH77" s="321" t="str">
        <f t="shared" si="9"/>
        <v/>
      </c>
      <c r="BI77" s="98" t="str">
        <f t="shared" si="10"/>
        <v>AA</v>
      </c>
      <c r="BJ77" s="98" t="str">
        <f t="shared" si="11"/>
        <v>NÃO</v>
      </c>
      <c r="BK77" s="230"/>
      <c r="BL77" s="230"/>
      <c r="BM77" s="230"/>
      <c r="BN77" s="230"/>
      <c r="BO77" s="230"/>
      <c r="BP77" s="230"/>
      <c r="BQ77" s="230"/>
      <c r="BR77" s="234"/>
    </row>
    <row r="78" spans="1:112" s="240" customFormat="1" ht="27" hidden="1" customHeight="1">
      <c r="A78" s="207">
        <v>74</v>
      </c>
      <c r="B78" s="197" t="s">
        <v>4396</v>
      </c>
      <c r="C78" s="207" t="s">
        <v>4453</v>
      </c>
      <c r="D78" s="207">
        <v>1</v>
      </c>
      <c r="E78" s="207" t="s">
        <v>4398</v>
      </c>
      <c r="F78" s="214" t="s">
        <v>4730</v>
      </c>
      <c r="G78" s="207" t="s">
        <v>4400</v>
      </c>
      <c r="H78" s="207" t="s">
        <v>4401</v>
      </c>
      <c r="I78" s="217" t="s">
        <v>4402</v>
      </c>
      <c r="J78" s="242" t="s">
        <v>4731</v>
      </c>
      <c r="K78" s="214" t="s">
        <v>4732</v>
      </c>
      <c r="L78" s="214" t="s">
        <v>4733</v>
      </c>
      <c r="M78" s="197" t="s">
        <v>4405</v>
      </c>
      <c r="N78" s="207" t="s">
        <v>4406</v>
      </c>
      <c r="O78" s="202">
        <v>45986</v>
      </c>
      <c r="P78" s="203" t="s">
        <v>4407</v>
      </c>
      <c r="Q78" s="203">
        <v>45985</v>
      </c>
      <c r="R78" s="203">
        <v>45986</v>
      </c>
      <c r="S78" s="203">
        <v>45987</v>
      </c>
      <c r="T78" s="203">
        <v>45992</v>
      </c>
      <c r="U78" s="202" t="s">
        <v>4408</v>
      </c>
      <c r="V78" s="202" t="s">
        <v>4408</v>
      </c>
      <c r="W78" s="202">
        <v>45999</v>
      </c>
      <c r="X78" s="202">
        <v>46000</v>
      </c>
      <c r="Y78" s="202">
        <v>46017</v>
      </c>
      <c r="Z78" s="207"/>
      <c r="AA78" s="242" t="s">
        <v>4731</v>
      </c>
      <c r="AB78" s="215" t="s">
        <v>4732</v>
      </c>
      <c r="AC78" s="215" t="s">
        <v>4733</v>
      </c>
      <c r="AD78" s="204" t="s">
        <v>4402</v>
      </c>
      <c r="AE78" s="204" t="s">
        <v>4405</v>
      </c>
      <c r="AF78" s="205" t="s">
        <v>4409</v>
      </c>
      <c r="AG78" s="205" t="s">
        <v>4409</v>
      </c>
      <c r="AH78" s="204" t="s">
        <v>4410</v>
      </c>
      <c r="AI78" s="214" t="s">
        <v>4411</v>
      </c>
      <c r="AJ78" s="207"/>
      <c r="AK78" s="316">
        <v>45979</v>
      </c>
      <c r="AL78" s="316">
        <v>45979</v>
      </c>
      <c r="AM78" s="316">
        <v>45979</v>
      </c>
      <c r="AN78" s="316">
        <v>45979</v>
      </c>
      <c r="AO78" s="316">
        <v>45979</v>
      </c>
      <c r="AP78" s="316">
        <v>45979</v>
      </c>
      <c r="AQ78" s="314"/>
      <c r="AR78" s="315" t="str">
        <f t="shared" si="8"/>
        <v>FINALIZADO</v>
      </c>
      <c r="AS78" s="207"/>
      <c r="AT78" s="207"/>
      <c r="AU78" s="220"/>
      <c r="AV78" s="207"/>
      <c r="AW78" s="207"/>
      <c r="AX78" s="207"/>
      <c r="AY78" s="207"/>
      <c r="AZ78" s="202"/>
      <c r="BA78" s="207"/>
      <c r="BB78" s="207"/>
      <c r="BC78" s="202"/>
      <c r="BD78" s="208"/>
      <c r="BE78" s="209">
        <v>46017</v>
      </c>
      <c r="BF78" s="197" t="s">
        <v>4412</v>
      </c>
      <c r="BG78" s="229"/>
      <c r="BH78" s="321" t="str">
        <f t="shared" si="9"/>
        <v/>
      </c>
      <c r="BI78" s="98" t="str">
        <f t="shared" si="10"/>
        <v>AA</v>
      </c>
      <c r="BJ78" s="98" t="str">
        <f t="shared" si="11"/>
        <v>NÃO</v>
      </c>
      <c r="BK78" s="230"/>
      <c r="BL78" s="230"/>
      <c r="BM78" s="230"/>
      <c r="BN78" s="230"/>
      <c r="BO78" s="230"/>
      <c r="BP78" s="230"/>
      <c r="BQ78" s="230"/>
      <c r="BR78" s="234"/>
    </row>
    <row r="79" spans="1:112" s="240" customFormat="1" ht="27" hidden="1" customHeight="1">
      <c r="A79" s="197">
        <v>75</v>
      </c>
      <c r="B79" s="197" t="s">
        <v>4396</v>
      </c>
      <c r="C79" s="207" t="s">
        <v>4453</v>
      </c>
      <c r="D79" s="207">
        <v>1</v>
      </c>
      <c r="E79" s="207" t="s">
        <v>4398</v>
      </c>
      <c r="F79" s="214" t="s">
        <v>4734</v>
      </c>
      <c r="G79" s="207" t="s">
        <v>4400</v>
      </c>
      <c r="H79" s="207" t="s">
        <v>4401</v>
      </c>
      <c r="I79" s="217" t="s">
        <v>4402</v>
      </c>
      <c r="J79" s="215" t="s">
        <v>4735</v>
      </c>
      <c r="K79" s="214" t="s">
        <v>4736</v>
      </c>
      <c r="L79" s="214" t="s">
        <v>4737</v>
      </c>
      <c r="M79" s="197" t="s">
        <v>4405</v>
      </c>
      <c r="N79" s="207" t="s">
        <v>4406</v>
      </c>
      <c r="O79" s="202">
        <v>46002</v>
      </c>
      <c r="P79" s="202" t="s">
        <v>4407</v>
      </c>
      <c r="Q79" s="202">
        <v>45999</v>
      </c>
      <c r="R79" s="202">
        <v>46006</v>
      </c>
      <c r="S79" s="202">
        <v>46006</v>
      </c>
      <c r="T79" s="202">
        <v>46009</v>
      </c>
      <c r="U79" s="202" t="s">
        <v>4408</v>
      </c>
      <c r="V79" s="202" t="s">
        <v>4408</v>
      </c>
      <c r="W79" s="202">
        <v>46014</v>
      </c>
      <c r="X79" s="202">
        <v>46017</v>
      </c>
      <c r="Y79" s="202">
        <v>46017</v>
      </c>
      <c r="Z79" s="207"/>
      <c r="AA79" s="215" t="s">
        <v>4735</v>
      </c>
      <c r="AB79" s="215" t="s">
        <v>4736</v>
      </c>
      <c r="AC79" s="215" t="s">
        <v>4737</v>
      </c>
      <c r="AD79" s="204" t="s">
        <v>4402</v>
      </c>
      <c r="AE79" s="204" t="s">
        <v>4405</v>
      </c>
      <c r="AF79" s="205" t="s">
        <v>4409</v>
      </c>
      <c r="AG79" s="205" t="s">
        <v>4409</v>
      </c>
      <c r="AH79" s="204" t="s">
        <v>4410</v>
      </c>
      <c r="AI79" s="214" t="s">
        <v>4411</v>
      </c>
      <c r="AJ79" s="207"/>
      <c r="AK79" s="316">
        <v>45996</v>
      </c>
      <c r="AL79" s="316">
        <v>45996</v>
      </c>
      <c r="AM79" s="316">
        <v>45996</v>
      </c>
      <c r="AN79" s="316">
        <v>45996</v>
      </c>
      <c r="AO79" s="316">
        <v>45996</v>
      </c>
      <c r="AP79" s="316">
        <v>45996</v>
      </c>
      <c r="AQ79" s="314"/>
      <c r="AR79" s="315" t="str">
        <f t="shared" si="8"/>
        <v>FINALIZADO</v>
      </c>
      <c r="AS79" s="207"/>
      <c r="AT79" s="207"/>
      <c r="AU79" s="220"/>
      <c r="AV79" s="207"/>
      <c r="AW79" s="207"/>
      <c r="AX79" s="207"/>
      <c r="AY79" s="207"/>
      <c r="AZ79" s="202"/>
      <c r="BA79" s="207"/>
      <c r="BB79" s="207"/>
      <c r="BC79" s="202"/>
      <c r="BD79" s="208"/>
      <c r="BE79" s="209">
        <v>46017</v>
      </c>
      <c r="BF79" s="197" t="s">
        <v>4412</v>
      </c>
      <c r="BG79" s="229"/>
      <c r="BH79" s="321" t="str">
        <f t="shared" si="9"/>
        <v/>
      </c>
      <c r="BI79" s="98" t="str">
        <f t="shared" si="10"/>
        <v>AA</v>
      </c>
      <c r="BJ79" s="98" t="str">
        <f t="shared" si="11"/>
        <v>NÃO</v>
      </c>
      <c r="BK79" s="230"/>
      <c r="BL79" s="230"/>
      <c r="BM79" s="230"/>
      <c r="BN79" s="230"/>
      <c r="BO79" s="230"/>
      <c r="BP79" s="230"/>
      <c r="BQ79" s="230"/>
      <c r="BR79" s="234"/>
    </row>
    <row r="80" spans="1:112" s="240" customFormat="1" ht="27" hidden="1" customHeight="1">
      <c r="A80" s="197">
        <v>76</v>
      </c>
      <c r="B80" s="197" t="s">
        <v>4396</v>
      </c>
      <c r="C80" s="207" t="s">
        <v>4453</v>
      </c>
      <c r="D80" s="207">
        <v>1</v>
      </c>
      <c r="E80" s="207" t="s">
        <v>4398</v>
      </c>
      <c r="F80" s="214" t="s">
        <v>4738</v>
      </c>
      <c r="G80" s="207" t="s">
        <v>4400</v>
      </c>
      <c r="H80" s="207" t="s">
        <v>4401</v>
      </c>
      <c r="I80" s="217" t="s">
        <v>4402</v>
      </c>
      <c r="J80" s="215" t="s">
        <v>4739</v>
      </c>
      <c r="K80" s="214" t="s">
        <v>4740</v>
      </c>
      <c r="L80" s="214" t="s">
        <v>4741</v>
      </c>
      <c r="M80" s="197" t="s">
        <v>4405</v>
      </c>
      <c r="N80" s="207" t="s">
        <v>4406</v>
      </c>
      <c r="O80" s="202">
        <v>45986</v>
      </c>
      <c r="P80" s="203" t="s">
        <v>4407</v>
      </c>
      <c r="Q80" s="203">
        <v>45985</v>
      </c>
      <c r="R80" s="203">
        <v>45986</v>
      </c>
      <c r="S80" s="203">
        <v>45987</v>
      </c>
      <c r="T80" s="203">
        <v>45992</v>
      </c>
      <c r="U80" s="202" t="s">
        <v>4408</v>
      </c>
      <c r="V80" s="202" t="s">
        <v>4408</v>
      </c>
      <c r="W80" s="202">
        <v>45999</v>
      </c>
      <c r="X80" s="202">
        <v>46001</v>
      </c>
      <c r="Y80" s="202">
        <v>46017</v>
      </c>
      <c r="Z80" s="207"/>
      <c r="AA80" s="215" t="s">
        <v>4739</v>
      </c>
      <c r="AB80" s="215" t="s">
        <v>4740</v>
      </c>
      <c r="AC80" s="215" t="s">
        <v>4741</v>
      </c>
      <c r="AD80" s="204" t="s">
        <v>4402</v>
      </c>
      <c r="AE80" s="204" t="s">
        <v>4405</v>
      </c>
      <c r="AF80" s="205" t="s">
        <v>4409</v>
      </c>
      <c r="AG80" s="205" t="s">
        <v>4409</v>
      </c>
      <c r="AH80" s="204" t="s">
        <v>4410</v>
      </c>
      <c r="AI80" s="214" t="s">
        <v>4411</v>
      </c>
      <c r="AJ80" s="207"/>
      <c r="AK80" s="316">
        <v>45979</v>
      </c>
      <c r="AL80" s="316">
        <v>45979</v>
      </c>
      <c r="AM80" s="316">
        <v>45979</v>
      </c>
      <c r="AN80" s="316">
        <v>45979</v>
      </c>
      <c r="AO80" s="316">
        <v>45979</v>
      </c>
      <c r="AP80" s="316">
        <v>45979</v>
      </c>
      <c r="AQ80" s="314"/>
      <c r="AR80" s="315" t="str">
        <f t="shared" si="8"/>
        <v>FINALIZADO</v>
      </c>
      <c r="AS80" s="207"/>
      <c r="AT80" s="207"/>
      <c r="AU80" s="220"/>
      <c r="AV80" s="207"/>
      <c r="AW80" s="207"/>
      <c r="AX80" s="207"/>
      <c r="AY80" s="207"/>
      <c r="AZ80" s="202"/>
      <c r="BA80" s="207"/>
      <c r="BB80" s="207"/>
      <c r="BC80" s="202"/>
      <c r="BD80" s="208"/>
      <c r="BE80" s="209">
        <v>46017</v>
      </c>
      <c r="BF80" s="197" t="s">
        <v>4412</v>
      </c>
      <c r="BG80" s="229"/>
      <c r="BH80" s="321" t="str">
        <f t="shared" si="9"/>
        <v/>
      </c>
      <c r="BI80" s="98" t="str">
        <f t="shared" si="10"/>
        <v>AA</v>
      </c>
      <c r="BJ80" s="98" t="str">
        <f t="shared" si="11"/>
        <v>NÃO</v>
      </c>
      <c r="BK80" s="230"/>
      <c r="BL80" s="230"/>
      <c r="BM80" s="230"/>
      <c r="BN80" s="230"/>
      <c r="BO80" s="230"/>
      <c r="BP80" s="230"/>
      <c r="BQ80" s="230"/>
      <c r="BR80" s="234"/>
    </row>
    <row r="81" spans="1:73" s="240" customFormat="1" ht="27" hidden="1" customHeight="1">
      <c r="A81" s="207">
        <v>77</v>
      </c>
      <c r="B81" s="197" t="s">
        <v>4396</v>
      </c>
      <c r="C81" s="207" t="s">
        <v>4453</v>
      </c>
      <c r="D81" s="207">
        <v>1</v>
      </c>
      <c r="E81" s="207" t="s">
        <v>4398</v>
      </c>
      <c r="F81" s="214" t="s">
        <v>4742</v>
      </c>
      <c r="G81" s="207" t="s">
        <v>4400</v>
      </c>
      <c r="H81" s="207" t="s">
        <v>4401</v>
      </c>
      <c r="I81" s="217" t="s">
        <v>4402</v>
      </c>
      <c r="J81" s="215" t="s">
        <v>4743</v>
      </c>
      <c r="K81" s="214" t="s">
        <v>4744</v>
      </c>
      <c r="L81" s="214" t="s">
        <v>4745</v>
      </c>
      <c r="M81" s="197" t="s">
        <v>4405</v>
      </c>
      <c r="N81" s="207" t="s">
        <v>4406</v>
      </c>
      <c r="O81" s="202">
        <v>45986</v>
      </c>
      <c r="P81" s="203" t="s">
        <v>4407</v>
      </c>
      <c r="Q81" s="203">
        <v>45985</v>
      </c>
      <c r="R81" s="203">
        <v>45986</v>
      </c>
      <c r="S81" s="203">
        <v>45987</v>
      </c>
      <c r="T81" s="203">
        <v>45992</v>
      </c>
      <c r="U81" s="202" t="s">
        <v>4408</v>
      </c>
      <c r="V81" s="202" t="s">
        <v>4408</v>
      </c>
      <c r="W81" s="202">
        <v>45999</v>
      </c>
      <c r="X81" s="202">
        <v>46000</v>
      </c>
      <c r="Y81" s="202">
        <v>46017</v>
      </c>
      <c r="Z81" s="207"/>
      <c r="AA81" s="215" t="s">
        <v>4743</v>
      </c>
      <c r="AB81" s="215" t="s">
        <v>4744</v>
      </c>
      <c r="AC81" s="215" t="s">
        <v>4745</v>
      </c>
      <c r="AD81" s="204" t="s">
        <v>4402</v>
      </c>
      <c r="AE81" s="204" t="s">
        <v>4405</v>
      </c>
      <c r="AF81" s="205" t="s">
        <v>4409</v>
      </c>
      <c r="AG81" s="205" t="s">
        <v>4409</v>
      </c>
      <c r="AH81" s="204" t="s">
        <v>4410</v>
      </c>
      <c r="AI81" s="214" t="s">
        <v>4411</v>
      </c>
      <c r="AJ81" s="207"/>
      <c r="AK81" s="316">
        <v>45979</v>
      </c>
      <c r="AL81" s="316">
        <v>45979</v>
      </c>
      <c r="AM81" s="316">
        <v>45979</v>
      </c>
      <c r="AN81" s="316">
        <v>45979</v>
      </c>
      <c r="AO81" s="316">
        <v>45979</v>
      </c>
      <c r="AP81" s="316">
        <v>45979</v>
      </c>
      <c r="AQ81" s="314"/>
      <c r="AR81" s="315" t="str">
        <f t="shared" si="8"/>
        <v>FINALIZADO</v>
      </c>
      <c r="AS81" s="207"/>
      <c r="AT81" s="207"/>
      <c r="AU81" s="220"/>
      <c r="AV81" s="207"/>
      <c r="AW81" s="207"/>
      <c r="AX81" s="207"/>
      <c r="AY81" s="207"/>
      <c r="AZ81" s="202"/>
      <c r="BA81" s="207"/>
      <c r="BB81" s="207"/>
      <c r="BC81" s="202"/>
      <c r="BD81" s="208"/>
      <c r="BE81" s="209">
        <v>46017</v>
      </c>
      <c r="BF81" s="197" t="s">
        <v>4412</v>
      </c>
      <c r="BG81" s="229"/>
      <c r="BH81" s="321" t="str">
        <f t="shared" si="9"/>
        <v/>
      </c>
      <c r="BI81" s="98" t="str">
        <f t="shared" si="10"/>
        <v>AA</v>
      </c>
      <c r="BJ81" s="98" t="str">
        <f t="shared" si="11"/>
        <v>NÃO</v>
      </c>
      <c r="BK81" s="230"/>
      <c r="BL81" s="230"/>
      <c r="BM81" s="230"/>
      <c r="BN81" s="230"/>
      <c r="BO81" s="230"/>
      <c r="BP81" s="230"/>
      <c r="BQ81" s="230"/>
      <c r="BR81" s="234"/>
    </row>
    <row r="82" spans="1:73" s="240" customFormat="1" ht="27" hidden="1" customHeight="1">
      <c r="A82" s="207">
        <v>78</v>
      </c>
      <c r="B82" s="197" t="s">
        <v>4396</v>
      </c>
      <c r="C82" s="207" t="s">
        <v>4453</v>
      </c>
      <c r="D82" s="207">
        <v>1</v>
      </c>
      <c r="E82" s="207" t="s">
        <v>4398</v>
      </c>
      <c r="F82" s="214" t="s">
        <v>4746</v>
      </c>
      <c r="G82" s="207" t="s">
        <v>4400</v>
      </c>
      <c r="H82" s="207" t="s">
        <v>4401</v>
      </c>
      <c r="I82" s="217" t="s">
        <v>4402</v>
      </c>
      <c r="J82" s="215" t="s">
        <v>4747</v>
      </c>
      <c r="K82" s="214" t="s">
        <v>4748</v>
      </c>
      <c r="L82" s="214" t="s">
        <v>4749</v>
      </c>
      <c r="M82" s="197" t="s">
        <v>4405</v>
      </c>
      <c r="N82" s="207" t="s">
        <v>4406</v>
      </c>
      <c r="O82" s="202">
        <v>45986</v>
      </c>
      <c r="P82" s="203" t="s">
        <v>4407</v>
      </c>
      <c r="Q82" s="203">
        <v>45985</v>
      </c>
      <c r="R82" s="203">
        <v>45986</v>
      </c>
      <c r="S82" s="203">
        <v>45987</v>
      </c>
      <c r="T82" s="203">
        <v>45992</v>
      </c>
      <c r="U82" s="202" t="s">
        <v>4408</v>
      </c>
      <c r="V82" s="202" t="s">
        <v>4408</v>
      </c>
      <c r="W82" s="202">
        <v>45999</v>
      </c>
      <c r="X82" s="202">
        <v>46000</v>
      </c>
      <c r="Y82" s="202">
        <v>46017</v>
      </c>
      <c r="Z82" s="207"/>
      <c r="AA82" s="215" t="s">
        <v>4747</v>
      </c>
      <c r="AB82" s="215" t="s">
        <v>4748</v>
      </c>
      <c r="AC82" s="215" t="s">
        <v>4749</v>
      </c>
      <c r="AD82" s="204" t="s">
        <v>4402</v>
      </c>
      <c r="AE82" s="204" t="s">
        <v>4405</v>
      </c>
      <c r="AF82" s="205" t="s">
        <v>4409</v>
      </c>
      <c r="AG82" s="205" t="s">
        <v>4409</v>
      </c>
      <c r="AH82" s="204" t="s">
        <v>4410</v>
      </c>
      <c r="AI82" s="214" t="s">
        <v>4411</v>
      </c>
      <c r="AJ82" s="207"/>
      <c r="AK82" s="316">
        <v>45979</v>
      </c>
      <c r="AL82" s="316">
        <v>45979</v>
      </c>
      <c r="AM82" s="316">
        <v>45979</v>
      </c>
      <c r="AN82" s="316">
        <v>45979</v>
      </c>
      <c r="AO82" s="316">
        <v>45979</v>
      </c>
      <c r="AP82" s="316">
        <v>45979</v>
      </c>
      <c r="AQ82" s="314"/>
      <c r="AR82" s="315" t="str">
        <f t="shared" si="8"/>
        <v>FINALIZADO</v>
      </c>
      <c r="AS82" s="207"/>
      <c r="AT82" s="207"/>
      <c r="AU82" s="220"/>
      <c r="AV82" s="207"/>
      <c r="AW82" s="207"/>
      <c r="AX82" s="207"/>
      <c r="AY82" s="207"/>
      <c r="AZ82" s="202"/>
      <c r="BA82" s="207"/>
      <c r="BB82" s="207"/>
      <c r="BC82" s="202"/>
      <c r="BD82" s="208"/>
      <c r="BE82" s="209">
        <v>46017</v>
      </c>
      <c r="BF82" s="197" t="s">
        <v>4412</v>
      </c>
      <c r="BG82" s="229"/>
      <c r="BH82" s="321" t="str">
        <f t="shared" si="9"/>
        <v/>
      </c>
      <c r="BI82" s="98" t="str">
        <f t="shared" si="10"/>
        <v>AA</v>
      </c>
      <c r="BJ82" s="98" t="str">
        <f t="shared" si="11"/>
        <v>NÃO</v>
      </c>
      <c r="BK82" s="230"/>
      <c r="BL82" s="230"/>
      <c r="BM82" s="230"/>
      <c r="BN82" s="230"/>
      <c r="BO82" s="230"/>
      <c r="BP82" s="230"/>
      <c r="BQ82" s="230"/>
      <c r="BR82" s="234"/>
    </row>
    <row r="83" spans="1:73" s="240" customFormat="1" ht="27" hidden="1" customHeight="1">
      <c r="A83" s="207">
        <v>79</v>
      </c>
      <c r="B83" s="197" t="s">
        <v>4396</v>
      </c>
      <c r="C83" s="207" t="s">
        <v>4453</v>
      </c>
      <c r="D83" s="207">
        <v>1</v>
      </c>
      <c r="E83" s="207" t="s">
        <v>4398</v>
      </c>
      <c r="F83" s="214" t="s">
        <v>4750</v>
      </c>
      <c r="G83" s="207" t="s">
        <v>4400</v>
      </c>
      <c r="H83" s="207" t="s">
        <v>4401</v>
      </c>
      <c r="I83" s="217" t="s">
        <v>4402</v>
      </c>
      <c r="J83" s="242" t="s">
        <v>4751</v>
      </c>
      <c r="K83" s="214" t="s">
        <v>4440</v>
      </c>
      <c r="L83" s="214" t="s">
        <v>4752</v>
      </c>
      <c r="M83" s="197" t="s">
        <v>4405</v>
      </c>
      <c r="N83" s="207" t="s">
        <v>4442</v>
      </c>
      <c r="O83" s="202" t="s">
        <v>4409</v>
      </c>
      <c r="P83" s="202" t="s">
        <v>4409</v>
      </c>
      <c r="Q83" s="202" t="s">
        <v>4409</v>
      </c>
      <c r="R83" s="202" t="s">
        <v>4409</v>
      </c>
      <c r="S83" s="202" t="s">
        <v>4409</v>
      </c>
      <c r="T83" s="202" t="s">
        <v>4409</v>
      </c>
      <c r="U83" s="202" t="s">
        <v>4409</v>
      </c>
      <c r="V83" s="202" t="s">
        <v>4409</v>
      </c>
      <c r="W83" s="202" t="s">
        <v>4409</v>
      </c>
      <c r="X83" s="202" t="s">
        <v>4409</v>
      </c>
      <c r="Y83" s="202"/>
      <c r="Z83" s="207"/>
      <c r="AA83" s="242" t="s">
        <v>4751</v>
      </c>
      <c r="AB83" s="214" t="s">
        <v>4398</v>
      </c>
      <c r="AC83" s="214" t="s">
        <v>4752</v>
      </c>
      <c r="AD83" s="204" t="s">
        <v>4402</v>
      </c>
      <c r="AE83" s="204" t="s">
        <v>4405</v>
      </c>
      <c r="AF83" s="243">
        <v>8992.4599999999991</v>
      </c>
      <c r="AG83" s="243">
        <f>AF83+30000</f>
        <v>38992.46</v>
      </c>
      <c r="AH83" s="197" t="s">
        <v>4433</v>
      </c>
      <c r="AI83" s="214" t="s">
        <v>4411</v>
      </c>
      <c r="AJ83" s="207">
        <v>146663098</v>
      </c>
      <c r="AK83" s="316">
        <v>45979</v>
      </c>
      <c r="AL83" s="316">
        <v>45979</v>
      </c>
      <c r="AM83" s="316">
        <v>45979</v>
      </c>
      <c r="AN83" s="316">
        <v>45979</v>
      </c>
      <c r="AO83" s="316">
        <v>45979</v>
      </c>
      <c r="AP83" s="316">
        <v>45979</v>
      </c>
      <c r="AQ83" s="314"/>
      <c r="AR83" s="315" t="str">
        <f t="shared" si="8"/>
        <v>FINALIZADO</v>
      </c>
      <c r="AS83" s="207" t="s">
        <v>4423</v>
      </c>
      <c r="AT83" s="207"/>
      <c r="AU83" s="220" t="s">
        <v>4753</v>
      </c>
      <c r="AV83" s="197" t="s">
        <v>4425</v>
      </c>
      <c r="AW83" s="207" t="s">
        <v>4425</v>
      </c>
      <c r="AX83" s="207" t="s">
        <v>4425</v>
      </c>
      <c r="AY83" s="207" t="s">
        <v>4425</v>
      </c>
      <c r="AZ83" s="202">
        <v>46008</v>
      </c>
      <c r="BA83" s="207" t="s">
        <v>4425</v>
      </c>
      <c r="BB83" s="207" t="s">
        <v>4425</v>
      </c>
      <c r="BC83" s="202">
        <v>46014</v>
      </c>
      <c r="BD83" s="227">
        <v>46014</v>
      </c>
      <c r="BE83" s="209">
        <v>46017</v>
      </c>
      <c r="BF83" s="197" t="s">
        <v>4412</v>
      </c>
      <c r="BG83" s="229" t="s">
        <v>4425</v>
      </c>
      <c r="BH83" s="321">
        <f t="shared" si="9"/>
        <v>35</v>
      </c>
      <c r="BI83" s="98" t="str">
        <f t="shared" si="10"/>
        <v>INDENIZAÇÃO</v>
      </c>
      <c r="BJ83" s="98" t="str">
        <f t="shared" si="11"/>
        <v>NÃO</v>
      </c>
      <c r="BK83" s="230" t="s">
        <v>4437</v>
      </c>
      <c r="BL83" s="230" t="s">
        <v>4437</v>
      </c>
      <c r="BM83" s="230" t="s">
        <v>4437</v>
      </c>
      <c r="BN83" s="207" t="s">
        <v>4425</v>
      </c>
      <c r="BO83" s="207" t="s">
        <v>4425</v>
      </c>
      <c r="BP83" s="203">
        <v>46128</v>
      </c>
      <c r="BQ83" s="207" t="s">
        <v>4425</v>
      </c>
      <c r="BR83" s="231" t="s">
        <v>4435</v>
      </c>
    </row>
    <row r="84" spans="1:73" s="240" customFormat="1" ht="27" hidden="1" customHeight="1">
      <c r="A84" s="197">
        <v>80</v>
      </c>
      <c r="B84" s="197" t="s">
        <v>4396</v>
      </c>
      <c r="C84" s="207" t="s">
        <v>4453</v>
      </c>
      <c r="D84" s="207">
        <v>1</v>
      </c>
      <c r="E84" s="207" t="s">
        <v>4398</v>
      </c>
      <c r="F84" s="214" t="s">
        <v>4754</v>
      </c>
      <c r="G84" s="207" t="s">
        <v>4400</v>
      </c>
      <c r="H84" s="207" t="s">
        <v>4401</v>
      </c>
      <c r="I84" s="217" t="s">
        <v>4414</v>
      </c>
      <c r="J84" s="215" t="s">
        <v>4755</v>
      </c>
      <c r="K84" s="215" t="s">
        <v>4756</v>
      </c>
      <c r="L84" s="215" t="s">
        <v>4757</v>
      </c>
      <c r="M84" s="197" t="s">
        <v>4405</v>
      </c>
      <c r="N84" s="207" t="s">
        <v>4406</v>
      </c>
      <c r="O84" s="202">
        <v>45986</v>
      </c>
      <c r="P84" s="203" t="s">
        <v>4407</v>
      </c>
      <c r="Q84" s="203">
        <v>45985</v>
      </c>
      <c r="R84" s="203">
        <v>45986</v>
      </c>
      <c r="S84" s="203">
        <v>45987</v>
      </c>
      <c r="T84" s="203">
        <v>45992</v>
      </c>
      <c r="U84" s="203" t="s">
        <v>4408</v>
      </c>
      <c r="V84" s="203" t="s">
        <v>4408</v>
      </c>
      <c r="W84" s="202">
        <v>45999</v>
      </c>
      <c r="X84" s="202">
        <v>46006</v>
      </c>
      <c r="Y84" s="202">
        <v>46017</v>
      </c>
      <c r="Z84" s="202"/>
      <c r="AA84" s="215" t="s">
        <v>4758</v>
      </c>
      <c r="AB84" s="214" t="s">
        <v>4759</v>
      </c>
      <c r="AC84" s="214" t="s">
        <v>4760</v>
      </c>
      <c r="AD84" s="199" t="s">
        <v>4421</v>
      </c>
      <c r="AE84" s="197" t="s">
        <v>4405</v>
      </c>
      <c r="AF84" s="218">
        <v>7579.04</v>
      </c>
      <c r="AG84" s="218">
        <v>7579.04</v>
      </c>
      <c r="AH84" s="207" t="s">
        <v>4433</v>
      </c>
      <c r="AI84" s="214" t="s">
        <v>4411</v>
      </c>
      <c r="AJ84" s="207">
        <v>146038241</v>
      </c>
      <c r="AK84" s="316">
        <v>45979</v>
      </c>
      <c r="AL84" s="316">
        <v>45979</v>
      </c>
      <c r="AM84" s="316">
        <v>45979</v>
      </c>
      <c r="AN84" s="316">
        <v>45979</v>
      </c>
      <c r="AO84" s="316">
        <v>45979</v>
      </c>
      <c r="AP84" s="316">
        <v>45979</v>
      </c>
      <c r="AQ84" s="314"/>
      <c r="AR84" s="315" t="str">
        <f t="shared" si="8"/>
        <v>FINALIZADO</v>
      </c>
      <c r="AS84" s="207" t="s">
        <v>4423</v>
      </c>
      <c r="AT84" s="207"/>
      <c r="AU84" s="220" t="s">
        <v>4761</v>
      </c>
      <c r="AV84" s="197" t="s">
        <v>4425</v>
      </c>
      <c r="AW84" s="207" t="s">
        <v>4425</v>
      </c>
      <c r="AX84" s="207" t="s">
        <v>4425</v>
      </c>
      <c r="AY84" s="207" t="s">
        <v>4425</v>
      </c>
      <c r="AZ84" s="202">
        <v>46056</v>
      </c>
      <c r="BA84" s="207" t="s">
        <v>4425</v>
      </c>
      <c r="BB84" s="207" t="s">
        <v>4425</v>
      </c>
      <c r="BC84" s="202">
        <v>46063</v>
      </c>
      <c r="BD84" s="227">
        <v>46063</v>
      </c>
      <c r="BE84" s="209">
        <v>46017</v>
      </c>
      <c r="BF84" s="197" t="s">
        <v>4762</v>
      </c>
      <c r="BG84" s="229" t="s">
        <v>4425</v>
      </c>
      <c r="BH84" s="321">
        <f t="shared" si="9"/>
        <v>84</v>
      </c>
      <c r="BI84" s="98" t="str">
        <f t="shared" si="10"/>
        <v>INDENIZAÇÃO</v>
      </c>
      <c r="BJ84" s="98" t="str">
        <f t="shared" si="11"/>
        <v>NÃO</v>
      </c>
      <c r="BK84" s="230" t="s">
        <v>4437</v>
      </c>
      <c r="BL84" s="230" t="s">
        <v>4437</v>
      </c>
      <c r="BM84" s="230" t="s">
        <v>4437</v>
      </c>
      <c r="BN84" s="207" t="s">
        <v>4425</v>
      </c>
      <c r="BO84" s="207" t="s">
        <v>4425</v>
      </c>
      <c r="BP84" s="202">
        <v>46182</v>
      </c>
      <c r="BQ84" s="207" t="s">
        <v>4425</v>
      </c>
      <c r="BR84" s="256" t="s">
        <v>4435</v>
      </c>
    </row>
    <row r="85" spans="1:73" s="240" customFormat="1" ht="27" hidden="1" customHeight="1">
      <c r="A85" s="197">
        <v>81</v>
      </c>
      <c r="B85" s="197" t="s">
        <v>4396</v>
      </c>
      <c r="C85" s="207" t="s">
        <v>4453</v>
      </c>
      <c r="D85" s="207">
        <v>1</v>
      </c>
      <c r="E85" s="207" t="s">
        <v>4398</v>
      </c>
      <c r="F85" s="214" t="s">
        <v>4763</v>
      </c>
      <c r="G85" s="207" t="s">
        <v>4400</v>
      </c>
      <c r="H85" s="207" t="s">
        <v>4401</v>
      </c>
      <c r="I85" s="217" t="s">
        <v>4402</v>
      </c>
      <c r="J85" s="242" t="s">
        <v>4764</v>
      </c>
      <c r="K85" s="215" t="s">
        <v>4398</v>
      </c>
      <c r="L85" s="214" t="s">
        <v>4765</v>
      </c>
      <c r="M85" s="197" t="s">
        <v>4405</v>
      </c>
      <c r="N85" s="207" t="s">
        <v>4442</v>
      </c>
      <c r="O85" s="202" t="s">
        <v>4409</v>
      </c>
      <c r="P85" s="202" t="s">
        <v>4409</v>
      </c>
      <c r="Q85" s="202" t="s">
        <v>4409</v>
      </c>
      <c r="R85" s="202" t="s">
        <v>4409</v>
      </c>
      <c r="S85" s="202" t="s">
        <v>4409</v>
      </c>
      <c r="T85" s="202" t="s">
        <v>4409</v>
      </c>
      <c r="U85" s="202" t="s">
        <v>4409</v>
      </c>
      <c r="V85" s="202" t="s">
        <v>4409</v>
      </c>
      <c r="W85" s="202" t="s">
        <v>4409</v>
      </c>
      <c r="X85" s="202" t="s">
        <v>4409</v>
      </c>
      <c r="Y85" s="202"/>
      <c r="Z85" s="207"/>
      <c r="AA85" s="242" t="s">
        <v>4764</v>
      </c>
      <c r="AB85" s="214" t="s">
        <v>4398</v>
      </c>
      <c r="AC85" s="214" t="s">
        <v>4765</v>
      </c>
      <c r="AD85" s="241" t="s">
        <v>4402</v>
      </c>
      <c r="AE85" s="241" t="s">
        <v>4405</v>
      </c>
      <c r="AF85" s="218">
        <v>43946.14</v>
      </c>
      <c r="AG85" s="218">
        <v>60000</v>
      </c>
      <c r="AH85" s="207" t="s">
        <v>4433</v>
      </c>
      <c r="AI85" s="214" t="s">
        <v>4411</v>
      </c>
      <c r="AJ85" s="207">
        <v>146038334</v>
      </c>
      <c r="AK85" s="316">
        <v>45979</v>
      </c>
      <c r="AL85" s="316">
        <v>45979</v>
      </c>
      <c r="AM85" s="316">
        <v>45979</v>
      </c>
      <c r="AN85" s="316">
        <v>45979</v>
      </c>
      <c r="AO85" s="316">
        <v>45979</v>
      </c>
      <c r="AP85" s="316">
        <v>45979</v>
      </c>
      <c r="AQ85" s="314"/>
      <c r="AR85" s="315" t="str">
        <f t="shared" si="8"/>
        <v>FINALIZADO</v>
      </c>
      <c r="AS85" s="207" t="s">
        <v>4423</v>
      </c>
      <c r="AT85" s="207"/>
      <c r="AU85" s="220" t="s">
        <v>4766</v>
      </c>
      <c r="AV85" s="197" t="s">
        <v>4425</v>
      </c>
      <c r="AW85" s="207" t="s">
        <v>4425</v>
      </c>
      <c r="AX85" s="207" t="s">
        <v>4425</v>
      </c>
      <c r="AY85" s="207" t="s">
        <v>4425</v>
      </c>
      <c r="AZ85" s="202">
        <v>46008</v>
      </c>
      <c r="BA85" s="207" t="s">
        <v>4425</v>
      </c>
      <c r="BB85" s="207" t="s">
        <v>4425</v>
      </c>
      <c r="BC85" s="202">
        <v>46014</v>
      </c>
      <c r="BD85" s="227">
        <v>46379</v>
      </c>
      <c r="BE85" s="209">
        <v>46017</v>
      </c>
      <c r="BF85" s="207" t="s">
        <v>4412</v>
      </c>
      <c r="BG85" s="229" t="s">
        <v>4425</v>
      </c>
      <c r="BH85" s="321">
        <f t="shared" si="9"/>
        <v>400</v>
      </c>
      <c r="BI85" s="98" t="str">
        <f t="shared" si="10"/>
        <v>INDENIZAÇÃO</v>
      </c>
      <c r="BJ85" s="98" t="str">
        <f t="shared" si="11"/>
        <v>NÃO</v>
      </c>
      <c r="BK85" s="230" t="s">
        <v>4437</v>
      </c>
      <c r="BL85" s="230" t="s">
        <v>4437</v>
      </c>
      <c r="BM85" s="230" t="s">
        <v>4437</v>
      </c>
      <c r="BN85" s="207" t="s">
        <v>4425</v>
      </c>
      <c r="BO85" s="207" t="s">
        <v>4425</v>
      </c>
      <c r="BP85" s="202">
        <v>46182</v>
      </c>
      <c r="BQ85" s="207" t="s">
        <v>4425</v>
      </c>
      <c r="BR85" s="256" t="s">
        <v>4435</v>
      </c>
    </row>
    <row r="86" spans="1:73" s="240" customFormat="1" ht="27" hidden="1" customHeight="1">
      <c r="A86" s="207">
        <v>82</v>
      </c>
      <c r="B86" s="197" t="s">
        <v>4396</v>
      </c>
      <c r="C86" s="207" t="s">
        <v>4453</v>
      </c>
      <c r="D86" s="207">
        <v>1</v>
      </c>
      <c r="E86" s="207" t="s">
        <v>4398</v>
      </c>
      <c r="F86" s="214" t="s">
        <v>4767</v>
      </c>
      <c r="G86" s="207" t="s">
        <v>4400</v>
      </c>
      <c r="H86" s="207" t="s">
        <v>4401</v>
      </c>
      <c r="I86" s="217" t="s">
        <v>4402</v>
      </c>
      <c r="J86" s="215" t="s">
        <v>4768</v>
      </c>
      <c r="K86" s="214" t="s">
        <v>4769</v>
      </c>
      <c r="L86" s="214" t="s">
        <v>4770</v>
      </c>
      <c r="M86" s="197" t="s">
        <v>4405</v>
      </c>
      <c r="N86" s="207" t="s">
        <v>4406</v>
      </c>
      <c r="O86" s="202">
        <v>45986</v>
      </c>
      <c r="P86" s="203" t="s">
        <v>4407</v>
      </c>
      <c r="Q86" s="203">
        <v>45985</v>
      </c>
      <c r="R86" s="203">
        <v>45986</v>
      </c>
      <c r="S86" s="203">
        <v>45987</v>
      </c>
      <c r="T86" s="203">
        <v>45992</v>
      </c>
      <c r="U86" s="203" t="s">
        <v>4408</v>
      </c>
      <c r="V86" s="203" t="s">
        <v>4408</v>
      </c>
      <c r="W86" s="202">
        <v>45999</v>
      </c>
      <c r="X86" s="202">
        <v>46002</v>
      </c>
      <c r="Y86" s="202">
        <v>46017</v>
      </c>
      <c r="Z86" s="207"/>
      <c r="AA86" s="215" t="s">
        <v>4768</v>
      </c>
      <c r="AB86" s="215" t="s">
        <v>4769</v>
      </c>
      <c r="AC86" s="215" t="s">
        <v>4770</v>
      </c>
      <c r="AD86" s="204" t="s">
        <v>4402</v>
      </c>
      <c r="AE86" s="204" t="s">
        <v>4405</v>
      </c>
      <c r="AF86" s="205" t="s">
        <v>4409</v>
      </c>
      <c r="AG86" s="205" t="s">
        <v>4409</v>
      </c>
      <c r="AH86" s="204" t="s">
        <v>4410</v>
      </c>
      <c r="AI86" s="214" t="s">
        <v>4411</v>
      </c>
      <c r="AJ86" s="207"/>
      <c r="AK86" s="316">
        <v>45979</v>
      </c>
      <c r="AL86" s="316">
        <v>45979</v>
      </c>
      <c r="AM86" s="316">
        <v>45979</v>
      </c>
      <c r="AN86" s="316">
        <v>45979</v>
      </c>
      <c r="AO86" s="316">
        <v>45979</v>
      </c>
      <c r="AP86" s="316">
        <v>45979</v>
      </c>
      <c r="AQ86" s="314"/>
      <c r="AR86" s="315" t="str">
        <f t="shared" si="8"/>
        <v>FINALIZADO</v>
      </c>
      <c r="AS86" s="207"/>
      <c r="AT86" s="207"/>
      <c r="AU86" s="220"/>
      <c r="AV86" s="207"/>
      <c r="AW86" s="207"/>
      <c r="AX86" s="207"/>
      <c r="AY86" s="207"/>
      <c r="AZ86" s="202"/>
      <c r="BA86" s="207"/>
      <c r="BB86" s="207"/>
      <c r="BC86" s="202"/>
      <c r="BD86" s="208"/>
      <c r="BE86" s="209">
        <v>46017</v>
      </c>
      <c r="BF86" s="197" t="s">
        <v>4412</v>
      </c>
      <c r="BG86" s="229"/>
      <c r="BH86" s="321" t="str">
        <f t="shared" si="9"/>
        <v/>
      </c>
      <c r="BI86" s="98" t="str">
        <f t="shared" si="10"/>
        <v>AA</v>
      </c>
      <c r="BJ86" s="98" t="str">
        <f t="shared" si="11"/>
        <v>NÃO</v>
      </c>
      <c r="BK86" s="230"/>
      <c r="BL86" s="230"/>
      <c r="BM86" s="230"/>
      <c r="BN86" s="230"/>
      <c r="BO86" s="230"/>
      <c r="BP86" s="230"/>
      <c r="BQ86" s="230"/>
      <c r="BR86" s="234"/>
    </row>
    <row r="87" spans="1:73" s="240" customFormat="1" ht="27" hidden="1" customHeight="1">
      <c r="A87" s="207">
        <v>83</v>
      </c>
      <c r="B87" s="197" t="s">
        <v>4396</v>
      </c>
      <c r="C87" s="207" t="s">
        <v>4453</v>
      </c>
      <c r="D87" s="207">
        <v>1</v>
      </c>
      <c r="E87" s="207" t="s">
        <v>4398</v>
      </c>
      <c r="F87" s="214" t="s">
        <v>4771</v>
      </c>
      <c r="G87" s="207" t="s">
        <v>4400</v>
      </c>
      <c r="H87" s="207" t="s">
        <v>4401</v>
      </c>
      <c r="I87" s="217" t="s">
        <v>4402</v>
      </c>
      <c r="J87" s="215" t="s">
        <v>4772</v>
      </c>
      <c r="K87" s="214" t="s">
        <v>4773</v>
      </c>
      <c r="L87" s="214" t="s">
        <v>4774</v>
      </c>
      <c r="M87" s="197" t="s">
        <v>4405</v>
      </c>
      <c r="N87" s="207" t="s">
        <v>4442</v>
      </c>
      <c r="O87" s="202" t="s">
        <v>4409</v>
      </c>
      <c r="P87" s="202" t="s">
        <v>4409</v>
      </c>
      <c r="Q87" s="202" t="s">
        <v>4409</v>
      </c>
      <c r="R87" s="202" t="s">
        <v>4409</v>
      </c>
      <c r="S87" s="202" t="s">
        <v>4409</v>
      </c>
      <c r="T87" s="202" t="s">
        <v>4409</v>
      </c>
      <c r="U87" s="202" t="s">
        <v>4409</v>
      </c>
      <c r="V87" s="202" t="s">
        <v>4409</v>
      </c>
      <c r="W87" s="202" t="s">
        <v>4409</v>
      </c>
      <c r="X87" s="202" t="s">
        <v>4409</v>
      </c>
      <c r="Y87" s="202"/>
      <c r="Z87" s="207"/>
      <c r="AA87" s="215" t="s">
        <v>4772</v>
      </c>
      <c r="AB87" s="214" t="s">
        <v>4773</v>
      </c>
      <c r="AC87" s="214" t="s">
        <v>4774</v>
      </c>
      <c r="AD87" s="204" t="s">
        <v>4402</v>
      </c>
      <c r="AE87" s="204" t="s">
        <v>4405</v>
      </c>
      <c r="AF87" s="243">
        <v>13745.32</v>
      </c>
      <c r="AG87" s="243">
        <f>AF87+30000</f>
        <v>43745.32</v>
      </c>
      <c r="AH87" s="197" t="s">
        <v>4433</v>
      </c>
      <c r="AI87" s="214" t="s">
        <v>4411</v>
      </c>
      <c r="AJ87" s="207">
        <v>149645583</v>
      </c>
      <c r="AK87" s="316">
        <v>46045</v>
      </c>
      <c r="AL87" s="316">
        <v>46045</v>
      </c>
      <c r="AM87" s="316">
        <v>46045</v>
      </c>
      <c r="AN87" s="316">
        <v>46045</v>
      </c>
      <c r="AO87" s="316">
        <v>46045</v>
      </c>
      <c r="AP87" s="316">
        <v>46045</v>
      </c>
      <c r="AQ87" s="314"/>
      <c r="AR87" s="315" t="str">
        <f t="shared" si="8"/>
        <v>FINALIZADO</v>
      </c>
      <c r="AS87" s="207" t="s">
        <v>4423</v>
      </c>
      <c r="AT87" s="207"/>
      <c r="AU87" s="220" t="s">
        <v>4775</v>
      </c>
      <c r="AV87" s="197" t="s">
        <v>4425</v>
      </c>
      <c r="AW87" s="207" t="s">
        <v>4425</v>
      </c>
      <c r="AX87" s="207" t="s">
        <v>4425</v>
      </c>
      <c r="AY87" s="207" t="s">
        <v>4425</v>
      </c>
      <c r="AZ87" s="202">
        <v>46062</v>
      </c>
      <c r="BA87" s="207" t="s">
        <v>4425</v>
      </c>
      <c r="BB87" s="207" t="s">
        <v>4425</v>
      </c>
      <c r="BC87" s="202">
        <v>46066</v>
      </c>
      <c r="BD87" s="227">
        <v>46066</v>
      </c>
      <c r="BE87" s="209">
        <v>46017</v>
      </c>
      <c r="BF87" s="197" t="s">
        <v>4412</v>
      </c>
      <c r="BG87" s="229" t="s">
        <v>4425</v>
      </c>
      <c r="BH87" s="321">
        <f t="shared" si="9"/>
        <v>21</v>
      </c>
      <c r="BI87" s="98" t="str">
        <f t="shared" si="10"/>
        <v>INDENIZAÇÃO</v>
      </c>
      <c r="BJ87" s="98" t="str">
        <f t="shared" si="11"/>
        <v>NÃO</v>
      </c>
      <c r="BK87" s="230" t="s">
        <v>4437</v>
      </c>
      <c r="BL87" s="230" t="s">
        <v>4437</v>
      </c>
      <c r="BM87" s="230" t="s">
        <v>4437</v>
      </c>
      <c r="BN87" s="207" t="s">
        <v>4425</v>
      </c>
      <c r="BO87" s="207" t="s">
        <v>4425</v>
      </c>
      <c r="BP87" s="202">
        <v>46182</v>
      </c>
      <c r="BQ87" s="207" t="s">
        <v>4425</v>
      </c>
      <c r="BR87" s="256" t="s">
        <v>4435</v>
      </c>
    </row>
    <row r="88" spans="1:73" s="240" customFormat="1" ht="27" hidden="1" customHeight="1">
      <c r="A88" s="207">
        <v>84</v>
      </c>
      <c r="B88" s="197" t="s">
        <v>4396</v>
      </c>
      <c r="C88" s="207" t="s">
        <v>4453</v>
      </c>
      <c r="D88" s="207">
        <v>1</v>
      </c>
      <c r="E88" s="207" t="s">
        <v>4398</v>
      </c>
      <c r="F88" s="214" t="s">
        <v>4776</v>
      </c>
      <c r="G88" s="207" t="s">
        <v>4400</v>
      </c>
      <c r="H88" s="207" t="s">
        <v>4401</v>
      </c>
      <c r="I88" s="217" t="s">
        <v>4402</v>
      </c>
      <c r="J88" s="215" t="s">
        <v>4777</v>
      </c>
      <c r="K88" s="214" t="s">
        <v>4778</v>
      </c>
      <c r="L88" s="214" t="s">
        <v>4779</v>
      </c>
      <c r="M88" s="197" t="s">
        <v>4405</v>
      </c>
      <c r="N88" s="207" t="s">
        <v>4442</v>
      </c>
      <c r="O88" s="202" t="s">
        <v>4409</v>
      </c>
      <c r="P88" s="202" t="s">
        <v>4409</v>
      </c>
      <c r="Q88" s="202" t="s">
        <v>4409</v>
      </c>
      <c r="R88" s="202" t="s">
        <v>4409</v>
      </c>
      <c r="S88" s="202" t="s">
        <v>4409</v>
      </c>
      <c r="T88" s="202" t="s">
        <v>4409</v>
      </c>
      <c r="U88" s="202" t="s">
        <v>4409</v>
      </c>
      <c r="V88" s="202" t="s">
        <v>4409</v>
      </c>
      <c r="W88" s="202" t="s">
        <v>4409</v>
      </c>
      <c r="X88" s="202" t="s">
        <v>4409</v>
      </c>
      <c r="Y88" s="202"/>
      <c r="Z88" s="207"/>
      <c r="AA88" s="215" t="s">
        <v>4777</v>
      </c>
      <c r="AB88" s="214" t="s">
        <v>4778</v>
      </c>
      <c r="AC88" s="214" t="s">
        <v>4779</v>
      </c>
      <c r="AD88" s="204" t="s">
        <v>4402</v>
      </c>
      <c r="AE88" s="204" t="s">
        <v>4405</v>
      </c>
      <c r="AF88" s="218">
        <v>47897.7</v>
      </c>
      <c r="AG88" s="218">
        <v>60000</v>
      </c>
      <c r="AH88" s="207" t="s">
        <v>4433</v>
      </c>
      <c r="AI88" s="214" t="s">
        <v>4411</v>
      </c>
      <c r="AJ88" s="207">
        <v>146038870</v>
      </c>
      <c r="AK88" s="316">
        <v>45979</v>
      </c>
      <c r="AL88" s="316">
        <v>45979</v>
      </c>
      <c r="AM88" s="316">
        <v>45979</v>
      </c>
      <c r="AN88" s="316">
        <v>45979</v>
      </c>
      <c r="AO88" s="316">
        <v>45979</v>
      </c>
      <c r="AP88" s="316">
        <v>45979</v>
      </c>
      <c r="AQ88" s="314"/>
      <c r="AR88" s="315" t="str">
        <f t="shared" si="8"/>
        <v>FINALIZADO</v>
      </c>
      <c r="AS88" s="207" t="s">
        <v>4423</v>
      </c>
      <c r="AT88" s="207"/>
      <c r="AU88" s="220" t="s">
        <v>4780</v>
      </c>
      <c r="AV88" s="197" t="s">
        <v>4425</v>
      </c>
      <c r="AW88" s="207" t="s">
        <v>4425</v>
      </c>
      <c r="AX88" s="207" t="s">
        <v>4425</v>
      </c>
      <c r="AY88" s="207" t="s">
        <v>4425</v>
      </c>
      <c r="AZ88" s="202">
        <v>46014</v>
      </c>
      <c r="BA88" s="207" t="s">
        <v>4425</v>
      </c>
      <c r="BB88" s="207" t="s">
        <v>4425</v>
      </c>
      <c r="BC88" s="202">
        <v>46021</v>
      </c>
      <c r="BD88" s="227">
        <v>46021</v>
      </c>
      <c r="BE88" s="209">
        <v>46017</v>
      </c>
      <c r="BF88" s="197" t="s">
        <v>4412</v>
      </c>
      <c r="BG88" s="229" t="s">
        <v>4425</v>
      </c>
      <c r="BH88" s="321">
        <f t="shared" si="9"/>
        <v>42</v>
      </c>
      <c r="BI88" s="98" t="str">
        <f t="shared" si="10"/>
        <v>INDENIZAÇÃO</v>
      </c>
      <c r="BJ88" s="98" t="str">
        <f t="shared" si="11"/>
        <v>NÃO</v>
      </c>
      <c r="BK88" s="230" t="s">
        <v>4437</v>
      </c>
      <c r="BL88" s="230" t="s">
        <v>4437</v>
      </c>
      <c r="BM88" s="230" t="s">
        <v>4437</v>
      </c>
      <c r="BN88" s="207" t="s">
        <v>4425</v>
      </c>
      <c r="BO88" s="207" t="s">
        <v>4425</v>
      </c>
      <c r="BP88" s="202">
        <v>46182</v>
      </c>
      <c r="BQ88" s="207" t="s">
        <v>4425</v>
      </c>
      <c r="BR88" s="256" t="s">
        <v>4435</v>
      </c>
    </row>
    <row r="89" spans="1:73" s="240" customFormat="1" ht="27" hidden="1" customHeight="1">
      <c r="A89" s="197">
        <v>85</v>
      </c>
      <c r="B89" s="197" t="s">
        <v>4396</v>
      </c>
      <c r="C89" s="207" t="s">
        <v>4453</v>
      </c>
      <c r="D89" s="207">
        <v>1</v>
      </c>
      <c r="E89" s="207" t="s">
        <v>4398</v>
      </c>
      <c r="F89" s="214" t="s">
        <v>4781</v>
      </c>
      <c r="G89" s="207" t="s">
        <v>4400</v>
      </c>
      <c r="H89" s="207" t="s">
        <v>4401</v>
      </c>
      <c r="I89" s="217" t="s">
        <v>4402</v>
      </c>
      <c r="J89" s="215" t="s">
        <v>4782</v>
      </c>
      <c r="K89" s="214" t="s">
        <v>4783</v>
      </c>
      <c r="L89" s="214" t="s">
        <v>4784</v>
      </c>
      <c r="M89" s="197" t="s">
        <v>4405</v>
      </c>
      <c r="N89" s="207" t="s">
        <v>4442</v>
      </c>
      <c r="O89" s="202" t="s">
        <v>4409</v>
      </c>
      <c r="P89" s="202" t="s">
        <v>4409</v>
      </c>
      <c r="Q89" s="202" t="s">
        <v>4409</v>
      </c>
      <c r="R89" s="202" t="s">
        <v>4409</v>
      </c>
      <c r="S89" s="202" t="s">
        <v>4409</v>
      </c>
      <c r="T89" s="202" t="s">
        <v>4409</v>
      </c>
      <c r="U89" s="202" t="s">
        <v>4409</v>
      </c>
      <c r="V89" s="202" t="s">
        <v>4409</v>
      </c>
      <c r="W89" s="202" t="s">
        <v>4409</v>
      </c>
      <c r="X89" s="202" t="s">
        <v>4409</v>
      </c>
      <c r="Y89" s="202"/>
      <c r="Z89" s="207"/>
      <c r="AA89" s="215" t="s">
        <v>4782</v>
      </c>
      <c r="AB89" s="214" t="s">
        <v>4783</v>
      </c>
      <c r="AC89" s="214" t="s">
        <v>4784</v>
      </c>
      <c r="AD89" s="204" t="s">
        <v>4402</v>
      </c>
      <c r="AE89" s="204" t="s">
        <v>4405</v>
      </c>
      <c r="AF89" s="243">
        <v>66297.960000000006</v>
      </c>
      <c r="AG89" s="243">
        <v>66297.960000000006</v>
      </c>
      <c r="AH89" s="197" t="s">
        <v>4433</v>
      </c>
      <c r="AI89" s="214" t="s">
        <v>4411</v>
      </c>
      <c r="AJ89" s="207">
        <v>146038990</v>
      </c>
      <c r="AK89" s="316">
        <v>45979</v>
      </c>
      <c r="AL89" s="316">
        <v>45979</v>
      </c>
      <c r="AM89" s="316">
        <v>45979</v>
      </c>
      <c r="AN89" s="316">
        <v>45979</v>
      </c>
      <c r="AO89" s="316">
        <v>45979</v>
      </c>
      <c r="AP89" s="316">
        <v>45979</v>
      </c>
      <c r="AQ89" s="314"/>
      <c r="AR89" s="315" t="str">
        <f t="shared" si="8"/>
        <v>FINALIZADO</v>
      </c>
      <c r="AS89" s="207" t="s">
        <v>4423</v>
      </c>
      <c r="AT89" s="207"/>
      <c r="AU89" s="220" t="s">
        <v>4785</v>
      </c>
      <c r="AV89" s="197" t="s">
        <v>4425</v>
      </c>
      <c r="AW89" s="207" t="s">
        <v>4425</v>
      </c>
      <c r="AX89" s="207" t="s">
        <v>4425</v>
      </c>
      <c r="AY89" s="207" t="s">
        <v>4425</v>
      </c>
      <c r="AZ89" s="202">
        <v>46014</v>
      </c>
      <c r="BA89" s="207" t="s">
        <v>4425</v>
      </c>
      <c r="BB89" s="207" t="s">
        <v>4425</v>
      </c>
      <c r="BC89" s="202">
        <v>46021</v>
      </c>
      <c r="BD89" s="226">
        <v>46021</v>
      </c>
      <c r="BE89" s="209">
        <v>46017</v>
      </c>
      <c r="BF89" s="197" t="s">
        <v>4412</v>
      </c>
      <c r="BG89" s="229" t="s">
        <v>4425</v>
      </c>
      <c r="BH89" s="321">
        <f t="shared" si="9"/>
        <v>42</v>
      </c>
      <c r="BI89" s="98" t="str">
        <f t="shared" si="10"/>
        <v>INDENIZAÇÃO</v>
      </c>
      <c r="BJ89" s="98" t="str">
        <f t="shared" si="11"/>
        <v>NÃO</v>
      </c>
      <c r="BK89" s="230" t="s">
        <v>4437</v>
      </c>
      <c r="BL89" s="230" t="s">
        <v>4437</v>
      </c>
      <c r="BM89" s="230" t="s">
        <v>4437</v>
      </c>
      <c r="BN89" s="207" t="s">
        <v>4425</v>
      </c>
      <c r="BO89" s="207" t="s">
        <v>4425</v>
      </c>
      <c r="BP89" s="202">
        <v>46182</v>
      </c>
      <c r="BQ89" s="207" t="s">
        <v>4425</v>
      </c>
      <c r="BR89" s="256" t="s">
        <v>4435</v>
      </c>
    </row>
    <row r="90" spans="1:73" s="240" customFormat="1" ht="27" hidden="1" customHeight="1">
      <c r="A90" s="197">
        <v>86</v>
      </c>
      <c r="B90" s="197" t="s">
        <v>4396</v>
      </c>
      <c r="C90" s="207" t="s">
        <v>4453</v>
      </c>
      <c r="D90" s="207">
        <v>1</v>
      </c>
      <c r="E90" s="207" t="s">
        <v>4398</v>
      </c>
      <c r="F90" s="214" t="s">
        <v>4786</v>
      </c>
      <c r="G90" s="207" t="s">
        <v>4400</v>
      </c>
      <c r="H90" s="207" t="s">
        <v>4401</v>
      </c>
      <c r="I90" s="217" t="s">
        <v>4402</v>
      </c>
      <c r="J90" s="215" t="s">
        <v>4787</v>
      </c>
      <c r="K90" s="214" t="s">
        <v>4788</v>
      </c>
      <c r="L90" s="214" t="s">
        <v>4789</v>
      </c>
      <c r="M90" s="197" t="s">
        <v>4405</v>
      </c>
      <c r="N90" s="207" t="s">
        <v>4406</v>
      </c>
      <c r="O90" s="202">
        <v>45986</v>
      </c>
      <c r="P90" s="203" t="s">
        <v>4407</v>
      </c>
      <c r="Q90" s="203">
        <v>45985</v>
      </c>
      <c r="R90" s="203">
        <v>45986</v>
      </c>
      <c r="S90" s="203">
        <v>45987</v>
      </c>
      <c r="T90" s="203">
        <v>45992</v>
      </c>
      <c r="U90" s="202" t="s">
        <v>4408</v>
      </c>
      <c r="V90" s="202" t="s">
        <v>4408</v>
      </c>
      <c r="W90" s="202">
        <v>45999</v>
      </c>
      <c r="X90" s="202">
        <v>46006</v>
      </c>
      <c r="Y90" s="202">
        <v>46017</v>
      </c>
      <c r="Z90" s="207"/>
      <c r="AA90" s="215" t="s">
        <v>4787</v>
      </c>
      <c r="AB90" s="215" t="s">
        <v>4788</v>
      </c>
      <c r="AC90" s="215" t="s">
        <v>4789</v>
      </c>
      <c r="AD90" s="204" t="s">
        <v>4402</v>
      </c>
      <c r="AE90" s="204" t="s">
        <v>4405</v>
      </c>
      <c r="AF90" s="205" t="s">
        <v>4409</v>
      </c>
      <c r="AG90" s="205" t="s">
        <v>4409</v>
      </c>
      <c r="AH90" s="204" t="s">
        <v>4410</v>
      </c>
      <c r="AI90" s="214" t="s">
        <v>4411</v>
      </c>
      <c r="AJ90" s="207"/>
      <c r="AK90" s="316">
        <v>45979</v>
      </c>
      <c r="AL90" s="316">
        <v>45979</v>
      </c>
      <c r="AM90" s="316">
        <v>45979</v>
      </c>
      <c r="AN90" s="316">
        <v>45979</v>
      </c>
      <c r="AO90" s="316">
        <v>45979</v>
      </c>
      <c r="AP90" s="316">
        <v>45979</v>
      </c>
      <c r="AQ90" s="314"/>
      <c r="AR90" s="315" t="str">
        <f t="shared" si="8"/>
        <v>FINALIZADO</v>
      </c>
      <c r="AS90" s="207"/>
      <c r="AT90" s="207"/>
      <c r="AU90" s="220"/>
      <c r="AV90" s="207"/>
      <c r="AW90" s="207"/>
      <c r="AX90" s="207"/>
      <c r="AY90" s="207"/>
      <c r="AZ90" s="202"/>
      <c r="BA90" s="207"/>
      <c r="BB90" s="207"/>
      <c r="BC90" s="202"/>
      <c r="BD90" s="208"/>
      <c r="BE90" s="209">
        <v>46017</v>
      </c>
      <c r="BF90" s="197" t="s">
        <v>4412</v>
      </c>
      <c r="BG90" s="229"/>
      <c r="BH90" s="321" t="str">
        <f t="shared" si="9"/>
        <v/>
      </c>
      <c r="BI90" s="98" t="str">
        <f t="shared" si="10"/>
        <v>AA</v>
      </c>
      <c r="BJ90" s="98" t="str">
        <f t="shared" si="11"/>
        <v>NÃO</v>
      </c>
      <c r="BK90" s="230"/>
      <c r="BL90" s="230"/>
      <c r="BM90" s="230"/>
      <c r="BN90" s="230"/>
      <c r="BO90" s="230"/>
      <c r="BP90" s="230"/>
      <c r="BQ90" s="230"/>
      <c r="BR90" s="234"/>
    </row>
    <row r="91" spans="1:73" s="240" customFormat="1" ht="27" hidden="1" customHeight="1">
      <c r="A91" s="207">
        <v>87</v>
      </c>
      <c r="B91" s="197" t="s">
        <v>4396</v>
      </c>
      <c r="C91" s="207" t="s">
        <v>4453</v>
      </c>
      <c r="D91" s="207">
        <v>1</v>
      </c>
      <c r="E91" s="207" t="s">
        <v>4398</v>
      </c>
      <c r="F91" s="214" t="s">
        <v>4790</v>
      </c>
      <c r="G91" s="207" t="s">
        <v>4400</v>
      </c>
      <c r="H91" s="207" t="s">
        <v>4401</v>
      </c>
      <c r="I91" s="217" t="s">
        <v>4402</v>
      </c>
      <c r="J91" s="214" t="s">
        <v>4791</v>
      </c>
      <c r="K91" s="214" t="s">
        <v>4792</v>
      </c>
      <c r="L91" s="214" t="s">
        <v>4793</v>
      </c>
      <c r="M91" s="197" t="s">
        <v>4405</v>
      </c>
      <c r="N91" s="207" t="s">
        <v>4406</v>
      </c>
      <c r="O91" s="203">
        <v>46044</v>
      </c>
      <c r="P91" s="203" t="s">
        <v>4407</v>
      </c>
      <c r="Q91" s="203">
        <v>46043</v>
      </c>
      <c r="R91" s="203">
        <v>46044</v>
      </c>
      <c r="S91" s="203">
        <v>46045</v>
      </c>
      <c r="T91" s="203">
        <v>46155</v>
      </c>
      <c r="U91" s="202" t="s">
        <v>4408</v>
      </c>
      <c r="V91" s="202" t="s">
        <v>4408</v>
      </c>
      <c r="W91" s="202">
        <v>46055</v>
      </c>
      <c r="X91" s="202">
        <v>46059</v>
      </c>
      <c r="Y91" s="202">
        <v>46017</v>
      </c>
      <c r="Z91" s="207"/>
      <c r="AA91" s="214" t="s">
        <v>4791</v>
      </c>
      <c r="AB91" s="215" t="s">
        <v>4792</v>
      </c>
      <c r="AC91" s="215" t="s">
        <v>4793</v>
      </c>
      <c r="AD91" s="204" t="s">
        <v>4402</v>
      </c>
      <c r="AE91" s="204" t="s">
        <v>4405</v>
      </c>
      <c r="AF91" s="205" t="s">
        <v>4409</v>
      </c>
      <c r="AG91" s="205" t="s">
        <v>4409</v>
      </c>
      <c r="AH91" s="204" t="s">
        <v>4410</v>
      </c>
      <c r="AI91" s="214" t="s">
        <v>4411</v>
      </c>
      <c r="AJ91" s="207"/>
      <c r="AK91" s="316">
        <v>46041</v>
      </c>
      <c r="AL91" s="316">
        <v>46041</v>
      </c>
      <c r="AM91" s="316">
        <v>46041</v>
      </c>
      <c r="AN91" s="316">
        <v>46041</v>
      </c>
      <c r="AO91" s="316">
        <v>46041</v>
      </c>
      <c r="AP91" s="316">
        <v>46041</v>
      </c>
      <c r="AQ91" s="314"/>
      <c r="AR91" s="315" t="str">
        <f t="shared" si="8"/>
        <v>FINALIZADO</v>
      </c>
      <c r="AS91" s="207"/>
      <c r="AT91" s="207"/>
      <c r="AU91" s="220"/>
      <c r="AV91" s="207"/>
      <c r="AW91" s="207"/>
      <c r="AX91" s="207"/>
      <c r="AY91" s="207"/>
      <c r="AZ91" s="202"/>
      <c r="BA91" s="207"/>
      <c r="BB91" s="207"/>
      <c r="BC91" s="202"/>
      <c r="BD91" s="208"/>
      <c r="BE91" s="209">
        <v>46017</v>
      </c>
      <c r="BF91" s="197" t="s">
        <v>4412</v>
      </c>
      <c r="BG91" s="229"/>
      <c r="BH91" s="321" t="str">
        <f t="shared" si="9"/>
        <v/>
      </c>
      <c r="BI91" s="98" t="str">
        <f t="shared" si="10"/>
        <v>AA</v>
      </c>
      <c r="BJ91" s="98" t="str">
        <f t="shared" si="11"/>
        <v>NÃO</v>
      </c>
      <c r="BK91" s="230"/>
      <c r="BL91" s="230"/>
      <c r="BM91" s="230"/>
      <c r="BN91" s="230"/>
      <c r="BO91" s="230"/>
      <c r="BP91" s="230"/>
      <c r="BQ91" s="230"/>
      <c r="BR91" s="234"/>
    </row>
    <row r="92" spans="1:73" s="240" customFormat="1" ht="27" hidden="1" customHeight="1">
      <c r="A92" s="207">
        <v>88</v>
      </c>
      <c r="B92" s="197" t="s">
        <v>4396</v>
      </c>
      <c r="C92" s="207" t="s">
        <v>4453</v>
      </c>
      <c r="D92" s="207">
        <v>1</v>
      </c>
      <c r="E92" s="207" t="s">
        <v>4398</v>
      </c>
      <c r="F92" s="214" t="s">
        <v>4794</v>
      </c>
      <c r="G92" s="207" t="s">
        <v>4400</v>
      </c>
      <c r="H92" s="207" t="s">
        <v>4401</v>
      </c>
      <c r="I92" s="217" t="s">
        <v>4402</v>
      </c>
      <c r="J92" s="215" t="s">
        <v>4795</v>
      </c>
      <c r="K92" s="214" t="s">
        <v>4796</v>
      </c>
      <c r="L92" s="214" t="s">
        <v>4797</v>
      </c>
      <c r="M92" s="197" t="s">
        <v>4405</v>
      </c>
      <c r="N92" s="207" t="s">
        <v>4406</v>
      </c>
      <c r="O92" s="202">
        <v>45986</v>
      </c>
      <c r="P92" s="203" t="s">
        <v>4407</v>
      </c>
      <c r="Q92" s="203">
        <v>45985</v>
      </c>
      <c r="R92" s="203">
        <v>45986</v>
      </c>
      <c r="S92" s="203">
        <v>45987</v>
      </c>
      <c r="T92" s="203">
        <v>45992</v>
      </c>
      <c r="U92" s="202" t="s">
        <v>4408</v>
      </c>
      <c r="V92" s="202" t="s">
        <v>4408</v>
      </c>
      <c r="W92" s="202">
        <v>45999</v>
      </c>
      <c r="X92" s="202">
        <v>46000</v>
      </c>
      <c r="Y92" s="202">
        <v>46017</v>
      </c>
      <c r="Z92" s="207"/>
      <c r="AA92" s="215" t="s">
        <v>4795</v>
      </c>
      <c r="AB92" s="215" t="s">
        <v>4796</v>
      </c>
      <c r="AC92" s="215" t="s">
        <v>4797</v>
      </c>
      <c r="AD92" s="204" t="s">
        <v>4402</v>
      </c>
      <c r="AE92" s="204" t="s">
        <v>4405</v>
      </c>
      <c r="AF92" s="242" t="s">
        <v>4409</v>
      </c>
      <c r="AG92" s="242" t="s">
        <v>4409</v>
      </c>
      <c r="AH92" s="241" t="s">
        <v>4410</v>
      </c>
      <c r="AI92" s="214" t="s">
        <v>4411</v>
      </c>
      <c r="AJ92" s="207"/>
      <c r="AK92" s="316">
        <v>45979</v>
      </c>
      <c r="AL92" s="316">
        <v>45979</v>
      </c>
      <c r="AM92" s="316">
        <v>45979</v>
      </c>
      <c r="AN92" s="316">
        <v>45979</v>
      </c>
      <c r="AO92" s="316">
        <v>45979</v>
      </c>
      <c r="AP92" s="316">
        <v>45979</v>
      </c>
      <c r="AQ92" s="314"/>
      <c r="AR92" s="315" t="str">
        <f t="shared" si="8"/>
        <v>FINALIZADO</v>
      </c>
      <c r="AS92" s="207"/>
      <c r="AT92" s="207"/>
      <c r="AU92" s="220"/>
      <c r="AV92" s="207"/>
      <c r="AW92" s="207"/>
      <c r="AX92" s="207"/>
      <c r="AY92" s="207"/>
      <c r="AZ92" s="202"/>
      <c r="BA92" s="207"/>
      <c r="BB92" s="207"/>
      <c r="BC92" s="202"/>
      <c r="BD92" s="208"/>
      <c r="BE92" s="209">
        <v>46017</v>
      </c>
      <c r="BF92" s="197" t="s">
        <v>4412</v>
      </c>
      <c r="BG92" s="229"/>
      <c r="BH92" s="321" t="str">
        <f t="shared" si="9"/>
        <v/>
      </c>
      <c r="BI92" s="98" t="str">
        <f t="shared" si="10"/>
        <v>AA</v>
      </c>
      <c r="BJ92" s="98" t="str">
        <f t="shared" si="11"/>
        <v>NÃO</v>
      </c>
      <c r="BK92" s="230"/>
      <c r="BL92" s="230"/>
      <c r="BM92" s="230"/>
      <c r="BN92" s="230"/>
      <c r="BO92" s="230"/>
      <c r="BP92" s="230"/>
      <c r="BQ92" s="230"/>
      <c r="BR92" s="234"/>
    </row>
    <row r="93" spans="1:73" s="240" customFormat="1" ht="27" hidden="1" customHeight="1">
      <c r="A93" s="207">
        <v>89</v>
      </c>
      <c r="B93" s="197" t="s">
        <v>4396</v>
      </c>
      <c r="C93" s="207" t="s">
        <v>4453</v>
      </c>
      <c r="D93" s="207">
        <v>1</v>
      </c>
      <c r="E93" s="207" t="s">
        <v>4398</v>
      </c>
      <c r="F93" s="214" t="s">
        <v>4798</v>
      </c>
      <c r="G93" s="207" t="s">
        <v>4400</v>
      </c>
      <c r="H93" s="207" t="s">
        <v>4401</v>
      </c>
      <c r="I93" s="217" t="s">
        <v>4402</v>
      </c>
      <c r="J93" s="215" t="s">
        <v>4799</v>
      </c>
      <c r="K93" s="214" t="s">
        <v>4800</v>
      </c>
      <c r="L93" s="214" t="s">
        <v>4801</v>
      </c>
      <c r="M93" s="197" t="s">
        <v>4405</v>
      </c>
      <c r="N93" s="207" t="s">
        <v>4406</v>
      </c>
      <c r="O93" s="202">
        <v>45986</v>
      </c>
      <c r="P93" s="203" t="s">
        <v>4407</v>
      </c>
      <c r="Q93" s="203">
        <v>45985</v>
      </c>
      <c r="R93" s="203">
        <v>45986</v>
      </c>
      <c r="S93" s="203">
        <v>45987</v>
      </c>
      <c r="T93" s="203">
        <v>45992</v>
      </c>
      <c r="U93" s="202" t="s">
        <v>4408</v>
      </c>
      <c r="V93" s="202" t="s">
        <v>4408</v>
      </c>
      <c r="W93" s="202">
        <v>45999</v>
      </c>
      <c r="X93" s="202">
        <v>46000</v>
      </c>
      <c r="Y93" s="202">
        <v>46017</v>
      </c>
      <c r="Z93" s="207"/>
      <c r="AA93" s="215" t="s">
        <v>4799</v>
      </c>
      <c r="AB93" s="215" t="s">
        <v>4800</v>
      </c>
      <c r="AC93" s="215" t="s">
        <v>4801</v>
      </c>
      <c r="AD93" s="204" t="s">
        <v>4402</v>
      </c>
      <c r="AE93" s="204" t="s">
        <v>4405</v>
      </c>
      <c r="AF93" s="205" t="s">
        <v>4409</v>
      </c>
      <c r="AG93" s="205" t="s">
        <v>4409</v>
      </c>
      <c r="AH93" s="204" t="s">
        <v>4410</v>
      </c>
      <c r="AI93" s="214" t="s">
        <v>4411</v>
      </c>
      <c r="AJ93" s="207"/>
      <c r="AK93" s="316">
        <v>45979</v>
      </c>
      <c r="AL93" s="316">
        <v>45979</v>
      </c>
      <c r="AM93" s="316">
        <v>45979</v>
      </c>
      <c r="AN93" s="316">
        <v>45979</v>
      </c>
      <c r="AO93" s="316">
        <v>45979</v>
      </c>
      <c r="AP93" s="316">
        <v>45979</v>
      </c>
      <c r="AQ93" s="314"/>
      <c r="AR93" s="315" t="str">
        <f t="shared" si="8"/>
        <v>FINALIZADO</v>
      </c>
      <c r="AS93" s="207"/>
      <c r="AT93" s="207"/>
      <c r="AU93" s="220"/>
      <c r="AV93" s="207"/>
      <c r="AW93" s="207"/>
      <c r="AX93" s="207" t="s">
        <v>1124</v>
      </c>
      <c r="AY93" s="207"/>
      <c r="AZ93" s="202"/>
      <c r="BA93" s="207"/>
      <c r="BB93" s="207"/>
      <c r="BC93" s="202"/>
      <c r="BD93" s="208"/>
      <c r="BE93" s="209">
        <v>46017</v>
      </c>
      <c r="BF93" s="197" t="s">
        <v>4412</v>
      </c>
      <c r="BG93" s="229"/>
      <c r="BH93" s="321" t="str">
        <f t="shared" si="9"/>
        <v/>
      </c>
      <c r="BI93" s="98" t="str">
        <f t="shared" si="10"/>
        <v>AA</v>
      </c>
      <c r="BJ93" s="98" t="str">
        <f t="shared" si="11"/>
        <v>NÃO</v>
      </c>
      <c r="BK93" s="230"/>
      <c r="BL93" s="230"/>
      <c r="BM93" s="230"/>
      <c r="BN93" s="230"/>
      <c r="BO93" s="230"/>
      <c r="BP93" s="230"/>
      <c r="BQ93" s="230"/>
      <c r="BR93" s="234"/>
    </row>
    <row r="94" spans="1:73" s="240" customFormat="1" ht="27" hidden="1" customHeight="1">
      <c r="A94" s="197">
        <v>90</v>
      </c>
      <c r="B94" s="197" t="s">
        <v>4396</v>
      </c>
      <c r="C94" s="207" t="s">
        <v>4453</v>
      </c>
      <c r="D94" s="207">
        <v>1</v>
      </c>
      <c r="E94" s="207" t="s">
        <v>4398</v>
      </c>
      <c r="F94" s="214" t="s">
        <v>4802</v>
      </c>
      <c r="G94" s="207" t="s">
        <v>4400</v>
      </c>
      <c r="H94" s="207" t="s">
        <v>4401</v>
      </c>
      <c r="I94" s="217" t="s">
        <v>4402</v>
      </c>
      <c r="J94" s="215" t="s">
        <v>4803</v>
      </c>
      <c r="K94" s="215" t="s">
        <v>4398</v>
      </c>
      <c r="L94" s="214" t="s">
        <v>4804</v>
      </c>
      <c r="M94" s="197" t="s">
        <v>4405</v>
      </c>
      <c r="N94" s="207" t="s">
        <v>4406</v>
      </c>
      <c r="O94" s="202">
        <v>45986</v>
      </c>
      <c r="P94" s="203" t="s">
        <v>4407</v>
      </c>
      <c r="Q94" s="203">
        <v>45985</v>
      </c>
      <c r="R94" s="203">
        <v>45986</v>
      </c>
      <c r="S94" s="203">
        <v>45987</v>
      </c>
      <c r="T94" s="203">
        <v>45992</v>
      </c>
      <c r="U94" s="202" t="s">
        <v>4408</v>
      </c>
      <c r="V94" s="202" t="s">
        <v>4408</v>
      </c>
      <c r="W94" s="202">
        <v>45999</v>
      </c>
      <c r="X94" s="202">
        <v>46000</v>
      </c>
      <c r="Y94" s="202">
        <v>46017</v>
      </c>
      <c r="Z94" s="207"/>
      <c r="AA94" s="215" t="s">
        <v>4803</v>
      </c>
      <c r="AB94" s="215" t="s">
        <v>4398</v>
      </c>
      <c r="AC94" s="215" t="s">
        <v>4804</v>
      </c>
      <c r="AD94" s="204" t="s">
        <v>4402</v>
      </c>
      <c r="AE94" s="204" t="s">
        <v>4405</v>
      </c>
      <c r="AF94" s="205" t="s">
        <v>4409</v>
      </c>
      <c r="AG94" s="205" t="s">
        <v>4409</v>
      </c>
      <c r="AH94" s="204" t="s">
        <v>4410</v>
      </c>
      <c r="AI94" s="214" t="s">
        <v>4411</v>
      </c>
      <c r="AJ94" s="207"/>
      <c r="AK94" s="316">
        <v>45979</v>
      </c>
      <c r="AL94" s="316">
        <v>45979</v>
      </c>
      <c r="AM94" s="316">
        <v>45979</v>
      </c>
      <c r="AN94" s="316">
        <v>45979</v>
      </c>
      <c r="AO94" s="316">
        <v>45979</v>
      </c>
      <c r="AP94" s="316">
        <v>45979</v>
      </c>
      <c r="AQ94" s="314"/>
      <c r="AR94" s="315" t="str">
        <f t="shared" si="8"/>
        <v>FINALIZADO</v>
      </c>
      <c r="AS94" s="207"/>
      <c r="AT94" s="207"/>
      <c r="AU94" s="220"/>
      <c r="AV94" s="207"/>
      <c r="AW94" s="207"/>
      <c r="AX94" s="207"/>
      <c r="AY94" s="207"/>
      <c r="AZ94" s="202"/>
      <c r="BA94" s="207"/>
      <c r="BB94" s="207"/>
      <c r="BC94" s="202"/>
      <c r="BD94" s="208"/>
      <c r="BE94" s="209">
        <v>46017</v>
      </c>
      <c r="BF94" s="197" t="s">
        <v>4412</v>
      </c>
      <c r="BG94" s="229"/>
      <c r="BH94" s="321" t="str">
        <f t="shared" si="9"/>
        <v/>
      </c>
      <c r="BI94" s="98" t="str">
        <f t="shared" si="10"/>
        <v>AA</v>
      </c>
      <c r="BJ94" s="98" t="str">
        <f t="shared" si="11"/>
        <v>NÃO</v>
      </c>
      <c r="BK94" s="230"/>
      <c r="BL94" s="230"/>
      <c r="BM94" s="230"/>
      <c r="BN94" s="230"/>
      <c r="BO94" s="230"/>
      <c r="BP94" s="230"/>
      <c r="BQ94" s="230"/>
      <c r="BR94" s="234"/>
    </row>
    <row r="95" spans="1:73" s="240" customFormat="1" ht="27" hidden="1" customHeight="1">
      <c r="A95" s="197">
        <v>91</v>
      </c>
      <c r="B95" s="197" t="s">
        <v>4396</v>
      </c>
      <c r="C95" s="207" t="s">
        <v>4453</v>
      </c>
      <c r="D95" s="207">
        <v>1</v>
      </c>
      <c r="E95" s="207" t="s">
        <v>4398</v>
      </c>
      <c r="F95" s="214" t="s">
        <v>4805</v>
      </c>
      <c r="G95" s="207" t="s">
        <v>4400</v>
      </c>
      <c r="H95" s="207" t="s">
        <v>4401</v>
      </c>
      <c r="I95" s="217" t="s">
        <v>4402</v>
      </c>
      <c r="J95" s="215" t="s">
        <v>4806</v>
      </c>
      <c r="K95" s="214" t="s">
        <v>4807</v>
      </c>
      <c r="L95" s="214" t="s">
        <v>4808</v>
      </c>
      <c r="M95" s="197" t="s">
        <v>4405</v>
      </c>
      <c r="N95" s="207" t="s">
        <v>4442</v>
      </c>
      <c r="O95" s="202" t="s">
        <v>4409</v>
      </c>
      <c r="P95" s="202" t="s">
        <v>4409</v>
      </c>
      <c r="Q95" s="202" t="s">
        <v>4409</v>
      </c>
      <c r="R95" s="202" t="s">
        <v>4409</v>
      </c>
      <c r="S95" s="202" t="s">
        <v>4409</v>
      </c>
      <c r="T95" s="202" t="s">
        <v>4409</v>
      </c>
      <c r="U95" s="202" t="s">
        <v>4409</v>
      </c>
      <c r="V95" s="202" t="s">
        <v>4409</v>
      </c>
      <c r="W95" s="202" t="s">
        <v>4409</v>
      </c>
      <c r="X95" s="202" t="s">
        <v>4409</v>
      </c>
      <c r="Y95" s="202"/>
      <c r="Z95" s="207"/>
      <c r="AA95" s="215" t="s">
        <v>4806</v>
      </c>
      <c r="AB95" s="214" t="s">
        <v>4807</v>
      </c>
      <c r="AC95" s="214" t="s">
        <v>4808</v>
      </c>
      <c r="AD95" s="204" t="s">
        <v>4402</v>
      </c>
      <c r="AE95" s="204" t="s">
        <v>4405</v>
      </c>
      <c r="AF95" s="243">
        <v>41067.25</v>
      </c>
      <c r="AG95" s="243">
        <v>60000</v>
      </c>
      <c r="AH95" s="197" t="s">
        <v>4433</v>
      </c>
      <c r="AI95" s="214" t="s">
        <v>4411</v>
      </c>
      <c r="AJ95" s="207">
        <v>146039739</v>
      </c>
      <c r="AK95" s="316">
        <v>45979</v>
      </c>
      <c r="AL95" s="316">
        <v>45979</v>
      </c>
      <c r="AM95" s="316">
        <v>45979</v>
      </c>
      <c r="AN95" s="316">
        <v>45979</v>
      </c>
      <c r="AO95" s="316">
        <v>45979</v>
      </c>
      <c r="AP95" s="316">
        <v>45979</v>
      </c>
      <c r="AQ95" s="314"/>
      <c r="AR95" s="315" t="str">
        <f t="shared" si="8"/>
        <v>FINALIZADO</v>
      </c>
      <c r="AS95" s="207" t="s">
        <v>4423</v>
      </c>
      <c r="AT95" s="207"/>
      <c r="AU95" s="220" t="s">
        <v>4809</v>
      </c>
      <c r="AV95" s="197" t="s">
        <v>4425</v>
      </c>
      <c r="AW95" s="207" t="s">
        <v>4425</v>
      </c>
      <c r="AX95" s="207" t="s">
        <v>4425</v>
      </c>
      <c r="AY95" s="207" t="s">
        <v>4425</v>
      </c>
      <c r="AZ95" s="202">
        <v>46009</v>
      </c>
      <c r="BA95" s="207" t="s">
        <v>4425</v>
      </c>
      <c r="BB95" s="207" t="s">
        <v>4425</v>
      </c>
      <c r="BC95" s="202">
        <v>46017</v>
      </c>
      <c r="BD95" s="227">
        <v>46017</v>
      </c>
      <c r="BE95" s="209">
        <v>46017</v>
      </c>
      <c r="BF95" s="197" t="s">
        <v>4412</v>
      </c>
      <c r="BG95" s="229" t="s">
        <v>4425</v>
      </c>
      <c r="BH95" s="321">
        <f t="shared" si="9"/>
        <v>38</v>
      </c>
      <c r="BI95" s="98" t="str">
        <f t="shared" si="10"/>
        <v>INDENIZAÇÃO</v>
      </c>
      <c r="BJ95" s="98" t="str">
        <f t="shared" si="11"/>
        <v>NÃO</v>
      </c>
      <c r="BK95" s="230" t="s">
        <v>4437</v>
      </c>
      <c r="BL95" s="230" t="s">
        <v>4437</v>
      </c>
      <c r="BM95" s="230" t="s">
        <v>4437</v>
      </c>
      <c r="BN95" s="207" t="s">
        <v>4425</v>
      </c>
      <c r="BO95" s="207" t="s">
        <v>4425</v>
      </c>
      <c r="BP95" s="202">
        <v>46182</v>
      </c>
      <c r="BQ95" s="207" t="s">
        <v>4425</v>
      </c>
      <c r="BR95" s="256" t="s">
        <v>4435</v>
      </c>
    </row>
    <row r="96" spans="1:73" s="240" customFormat="1" ht="27" hidden="1" customHeight="1">
      <c r="A96" s="207">
        <v>92</v>
      </c>
      <c r="B96" s="197" t="s">
        <v>4396</v>
      </c>
      <c r="C96" s="207" t="s">
        <v>4397</v>
      </c>
      <c r="D96" s="207">
        <v>1</v>
      </c>
      <c r="E96" s="207" t="s">
        <v>4398</v>
      </c>
      <c r="F96" s="214" t="s">
        <v>4805</v>
      </c>
      <c r="G96" s="207" t="s">
        <v>4400</v>
      </c>
      <c r="H96" s="207" t="s">
        <v>4401</v>
      </c>
      <c r="I96" s="217" t="s">
        <v>4402</v>
      </c>
      <c r="J96" s="215" t="s">
        <v>4810</v>
      </c>
      <c r="K96" s="215" t="s">
        <v>4811</v>
      </c>
      <c r="L96" s="215" t="s">
        <v>4812</v>
      </c>
      <c r="M96" s="197" t="s">
        <v>4405</v>
      </c>
      <c r="N96" s="207" t="s">
        <v>4442</v>
      </c>
      <c r="O96" s="202" t="s">
        <v>4409</v>
      </c>
      <c r="P96" s="202" t="s">
        <v>4409</v>
      </c>
      <c r="Q96" s="202" t="s">
        <v>4409</v>
      </c>
      <c r="R96" s="202" t="s">
        <v>4409</v>
      </c>
      <c r="S96" s="202" t="s">
        <v>4409</v>
      </c>
      <c r="T96" s="202" t="s">
        <v>4409</v>
      </c>
      <c r="U96" s="202" t="s">
        <v>4409</v>
      </c>
      <c r="V96" s="202" t="s">
        <v>4409</v>
      </c>
      <c r="W96" s="202" t="s">
        <v>4409</v>
      </c>
      <c r="X96" s="202" t="s">
        <v>4409</v>
      </c>
      <c r="Y96" s="202"/>
      <c r="Z96" s="219"/>
      <c r="AA96" s="215" t="s">
        <v>4810</v>
      </c>
      <c r="AB96" s="215" t="s">
        <v>4811</v>
      </c>
      <c r="AC96" s="215" t="s">
        <v>4812</v>
      </c>
      <c r="AD96" s="207" t="s">
        <v>4402</v>
      </c>
      <c r="AE96" s="207" t="s">
        <v>4405</v>
      </c>
      <c r="AF96" s="218">
        <v>61670.74</v>
      </c>
      <c r="AG96" s="218">
        <v>61670.74</v>
      </c>
      <c r="AH96" s="207" t="s">
        <v>4422</v>
      </c>
      <c r="AI96" s="214" t="s">
        <v>4411</v>
      </c>
      <c r="AJ96" s="207">
        <v>151544320</v>
      </c>
      <c r="AK96" s="316">
        <v>46093</v>
      </c>
      <c r="AL96" s="316">
        <v>46093</v>
      </c>
      <c r="AM96" s="316">
        <v>46093</v>
      </c>
      <c r="AN96" s="316">
        <v>46093</v>
      </c>
      <c r="AO96" s="316">
        <v>46093</v>
      </c>
      <c r="AP96" s="316">
        <v>46093</v>
      </c>
      <c r="AQ96" s="314"/>
      <c r="AR96" s="315" t="str">
        <f t="shared" si="8"/>
        <v>FINALIZADO</v>
      </c>
      <c r="AS96" s="207" t="s">
        <v>4423</v>
      </c>
      <c r="AT96" s="219"/>
      <c r="AU96" s="220" t="s">
        <v>4813</v>
      </c>
      <c r="AV96" s="197" t="s">
        <v>4425</v>
      </c>
      <c r="AW96" s="207" t="s">
        <v>4425</v>
      </c>
      <c r="AX96" s="207" t="s">
        <v>4425</v>
      </c>
      <c r="AY96" s="207" t="s">
        <v>4425</v>
      </c>
      <c r="AZ96" s="202">
        <v>46150</v>
      </c>
      <c r="BA96" s="207" t="s">
        <v>4425</v>
      </c>
      <c r="BB96" s="207" t="s">
        <v>4425</v>
      </c>
      <c r="BC96" s="202">
        <v>46192</v>
      </c>
      <c r="BD96" s="227">
        <v>46192</v>
      </c>
      <c r="BE96" s="227" t="s">
        <v>4435</v>
      </c>
      <c r="BF96" s="228" t="s">
        <v>4400</v>
      </c>
      <c r="BG96" s="219" t="s">
        <v>4425</v>
      </c>
      <c r="BH96" s="321">
        <f t="shared" si="9"/>
        <v>99</v>
      </c>
      <c r="BI96" s="98" t="str">
        <f t="shared" si="10"/>
        <v>INDENIZAÇÃO</v>
      </c>
      <c r="BJ96" s="98" t="str">
        <f t="shared" si="11"/>
        <v>NÃO</v>
      </c>
      <c r="BK96" s="219" t="s">
        <v>4437</v>
      </c>
      <c r="BL96" s="219" t="s">
        <v>4437</v>
      </c>
      <c r="BM96" s="219" t="s">
        <v>4437</v>
      </c>
      <c r="BN96" s="207" t="s">
        <v>4425</v>
      </c>
      <c r="BO96" s="207" t="s">
        <v>4425</v>
      </c>
      <c r="BP96" s="202">
        <v>46224</v>
      </c>
      <c r="BQ96" s="207" t="s">
        <v>4425</v>
      </c>
      <c r="BR96" s="232" t="s">
        <v>4435</v>
      </c>
      <c r="BS96" s="223"/>
      <c r="BT96" s="223"/>
      <c r="BU96" s="223"/>
    </row>
    <row r="97" spans="1:73" s="240" customFormat="1" ht="27" customHeight="1">
      <c r="A97" s="207">
        <v>93</v>
      </c>
      <c r="B97" s="197" t="s">
        <v>4396</v>
      </c>
      <c r="C97" s="207" t="s">
        <v>4413</v>
      </c>
      <c r="D97" s="207">
        <v>1</v>
      </c>
      <c r="E97" s="207" t="s">
        <v>4398</v>
      </c>
      <c r="F97" s="214" t="s">
        <v>4805</v>
      </c>
      <c r="G97" s="207" t="s">
        <v>4545</v>
      </c>
      <c r="H97" s="207"/>
      <c r="I97" s="217" t="s">
        <v>4421</v>
      </c>
      <c r="J97" s="215" t="s">
        <v>4814</v>
      </c>
      <c r="K97" s="215" t="s">
        <v>4815</v>
      </c>
      <c r="L97" s="215" t="s">
        <v>4816</v>
      </c>
      <c r="M97" s="197" t="s">
        <v>4405</v>
      </c>
      <c r="N97" s="207" t="s">
        <v>4442</v>
      </c>
      <c r="O97" s="202" t="s">
        <v>4409</v>
      </c>
      <c r="P97" s="202" t="s">
        <v>4409</v>
      </c>
      <c r="Q97" s="202" t="s">
        <v>4409</v>
      </c>
      <c r="R97" s="202" t="s">
        <v>4409</v>
      </c>
      <c r="S97" s="202" t="s">
        <v>4409</v>
      </c>
      <c r="T97" s="202" t="s">
        <v>4409</v>
      </c>
      <c r="U97" s="202" t="s">
        <v>4409</v>
      </c>
      <c r="V97" s="202" t="s">
        <v>4409</v>
      </c>
      <c r="W97" s="202" t="s">
        <v>4409</v>
      </c>
      <c r="X97" s="202" t="s">
        <v>4409</v>
      </c>
      <c r="Y97" s="202" t="s">
        <v>4409</v>
      </c>
      <c r="Z97" s="219"/>
      <c r="AA97" s="215" t="s">
        <v>4814</v>
      </c>
      <c r="AB97" s="215" t="s">
        <v>4815</v>
      </c>
      <c r="AC97" s="215" t="s">
        <v>4816</v>
      </c>
      <c r="AD97" s="197" t="s">
        <v>4421</v>
      </c>
      <c r="AE97" s="197" t="s">
        <v>4405</v>
      </c>
      <c r="AF97" s="243">
        <v>28264.6</v>
      </c>
      <c r="AG97" s="243">
        <v>58264.6</v>
      </c>
      <c r="AH97" s="197" t="s">
        <v>4433</v>
      </c>
      <c r="AI97" s="214" t="s">
        <v>4411</v>
      </c>
      <c r="AJ97" s="207">
        <v>158033452</v>
      </c>
      <c r="AK97" s="316">
        <v>46185</v>
      </c>
      <c r="AL97" s="316">
        <v>46185</v>
      </c>
      <c r="AM97" s="316">
        <v>46185</v>
      </c>
      <c r="AN97" s="316">
        <v>46185</v>
      </c>
      <c r="AO97" s="316">
        <v>46185</v>
      </c>
      <c r="AP97" s="316">
        <v>46185</v>
      </c>
      <c r="AQ97" s="314"/>
      <c r="AR97" s="315" t="str">
        <f t="shared" si="8"/>
        <v>FINALIZADO</v>
      </c>
      <c r="AS97" s="207" t="s">
        <v>4423</v>
      </c>
      <c r="AT97" s="219"/>
      <c r="AU97" s="220" t="s">
        <v>4817</v>
      </c>
      <c r="AV97" s="207" t="s">
        <v>4818</v>
      </c>
      <c r="AW97" s="207" t="s">
        <v>4818</v>
      </c>
      <c r="AX97" s="207" t="s">
        <v>4818</v>
      </c>
      <c r="AY97" s="207" t="s">
        <v>4818</v>
      </c>
      <c r="AZ97" s="202">
        <v>46233</v>
      </c>
      <c r="BA97" s="207" t="s">
        <v>4818</v>
      </c>
      <c r="BB97" s="207" t="s">
        <v>4818</v>
      </c>
      <c r="BC97" s="202">
        <v>46234</v>
      </c>
      <c r="BD97" s="226">
        <v>46234</v>
      </c>
      <c r="BE97" s="257" t="s">
        <v>4435</v>
      </c>
      <c r="BF97" s="257" t="s">
        <v>4436</v>
      </c>
      <c r="BG97" s="219" t="s">
        <v>4425</v>
      </c>
      <c r="BH97" s="321">
        <f t="shared" si="9"/>
        <v>49</v>
      </c>
      <c r="BI97" s="98" t="str">
        <f t="shared" si="10"/>
        <v>INDENIZAÇÃO</v>
      </c>
      <c r="BJ97" s="98" t="str">
        <f t="shared" si="11"/>
        <v>NÃO</v>
      </c>
      <c r="BK97" s="219" t="s">
        <v>4437</v>
      </c>
      <c r="BL97" s="219" t="s">
        <v>4437</v>
      </c>
      <c r="BM97" s="219" t="s">
        <v>4437</v>
      </c>
      <c r="BN97" s="250" t="s">
        <v>4425</v>
      </c>
      <c r="BO97" s="250" t="s">
        <v>4425</v>
      </c>
      <c r="BP97" s="202">
        <v>46269</v>
      </c>
      <c r="BQ97" s="257" t="s">
        <v>4819</v>
      </c>
      <c r="BR97" s="258"/>
      <c r="BS97" s="223"/>
      <c r="BT97" s="223"/>
      <c r="BU97" s="223"/>
    </row>
    <row r="98" spans="1:73" s="240" customFormat="1" ht="27" customHeight="1">
      <c r="A98" s="207">
        <v>94</v>
      </c>
      <c r="B98" s="197" t="s">
        <v>4396</v>
      </c>
      <c r="C98" s="207" t="s">
        <v>4413</v>
      </c>
      <c r="D98" s="207">
        <v>1</v>
      </c>
      <c r="E98" s="250" t="s">
        <v>4398</v>
      </c>
      <c r="F98" s="214" t="s">
        <v>4820</v>
      </c>
      <c r="G98" s="207" t="s">
        <v>4400</v>
      </c>
      <c r="H98" s="207" t="s">
        <v>4401</v>
      </c>
      <c r="I98" s="207" t="s">
        <v>4414</v>
      </c>
      <c r="J98" s="215" t="s">
        <v>4821</v>
      </c>
      <c r="K98" s="215" t="s">
        <v>4822</v>
      </c>
      <c r="L98" s="215" t="s">
        <v>4823</v>
      </c>
      <c r="M98" s="197" t="s">
        <v>4405</v>
      </c>
      <c r="N98" s="207" t="s">
        <v>4406</v>
      </c>
      <c r="O98" s="202">
        <v>46126</v>
      </c>
      <c r="P98" s="202" t="s">
        <v>4407</v>
      </c>
      <c r="Q98" s="203">
        <v>46126</v>
      </c>
      <c r="R98" s="203">
        <v>46126</v>
      </c>
      <c r="S98" s="203">
        <v>46136</v>
      </c>
      <c r="T98" s="203">
        <v>46140</v>
      </c>
      <c r="U98" s="203" t="s">
        <v>4408</v>
      </c>
      <c r="V98" s="203" t="s">
        <v>4408</v>
      </c>
      <c r="W98" s="202">
        <v>46153</v>
      </c>
      <c r="X98" s="202">
        <v>46182</v>
      </c>
      <c r="Y98" s="202" t="s">
        <v>4440</v>
      </c>
      <c r="Z98" s="202"/>
      <c r="AA98" s="215" t="s">
        <v>4824</v>
      </c>
      <c r="AB98" s="215" t="s">
        <v>4825</v>
      </c>
      <c r="AC98" s="215" t="s">
        <v>4826</v>
      </c>
      <c r="AD98" s="259" t="s">
        <v>4421</v>
      </c>
      <c r="AE98" s="197" t="s">
        <v>4405</v>
      </c>
      <c r="AF98" s="243">
        <v>56124.06</v>
      </c>
      <c r="AG98" s="243">
        <v>56124.06</v>
      </c>
      <c r="AH98" s="197" t="s">
        <v>4433</v>
      </c>
      <c r="AI98" s="214" t="s">
        <v>4411</v>
      </c>
      <c r="AJ98" s="207">
        <v>158033997</v>
      </c>
      <c r="AK98" s="316">
        <v>46206</v>
      </c>
      <c r="AL98" s="316">
        <v>46206</v>
      </c>
      <c r="AM98" s="316">
        <v>46206</v>
      </c>
      <c r="AN98" s="316">
        <v>46206</v>
      </c>
      <c r="AO98" s="316">
        <v>46206</v>
      </c>
      <c r="AP98" s="316">
        <v>46206</v>
      </c>
      <c r="AQ98" s="314"/>
      <c r="AR98" s="315" t="str">
        <f t="shared" si="8"/>
        <v>FINALIZADO</v>
      </c>
      <c r="AS98" s="207" t="s">
        <v>4423</v>
      </c>
      <c r="AT98" s="219"/>
      <c r="AU98" s="220" t="s">
        <v>4827</v>
      </c>
      <c r="AV98" s="219" t="s">
        <v>4425</v>
      </c>
      <c r="AW98" s="219" t="s">
        <v>4425</v>
      </c>
      <c r="AX98" s="257" t="s">
        <v>4828</v>
      </c>
      <c r="AY98" s="257"/>
      <c r="AZ98" s="257"/>
      <c r="BA98" s="257"/>
      <c r="BB98" s="257"/>
      <c r="BC98" s="257"/>
      <c r="BD98" s="226"/>
      <c r="BE98" s="274"/>
      <c r="BF98" s="228" t="s">
        <v>4400</v>
      </c>
      <c r="BG98" s="219"/>
      <c r="BH98" s="321" t="str">
        <f t="shared" si="9"/>
        <v/>
      </c>
      <c r="BI98" s="98" t="str">
        <f t="shared" si="10"/>
        <v>INDENIZAÇÃO</v>
      </c>
      <c r="BJ98" s="98" t="str">
        <f t="shared" si="11"/>
        <v>NÃO</v>
      </c>
      <c r="BK98" s="219"/>
      <c r="BL98" s="221"/>
      <c r="BM98" s="221"/>
      <c r="BN98" s="219"/>
      <c r="BO98" s="219"/>
      <c r="BP98" s="219"/>
      <c r="BQ98" s="219"/>
      <c r="BR98" s="222"/>
    </row>
    <row r="99" spans="1:73" s="240" customFormat="1" ht="27" customHeight="1">
      <c r="A99" s="197">
        <v>95</v>
      </c>
      <c r="B99" s="197" t="s">
        <v>4396</v>
      </c>
      <c r="C99" s="207" t="s">
        <v>4413</v>
      </c>
      <c r="D99" s="207">
        <v>1</v>
      </c>
      <c r="E99" s="207" t="s">
        <v>4398</v>
      </c>
      <c r="F99" s="214" t="s">
        <v>4829</v>
      </c>
      <c r="G99" s="207" t="s">
        <v>4400</v>
      </c>
      <c r="H99" s="207" t="s">
        <v>4401</v>
      </c>
      <c r="I99" s="207" t="s">
        <v>4414</v>
      </c>
      <c r="J99" s="215" t="s">
        <v>4830</v>
      </c>
      <c r="K99" s="215" t="s">
        <v>4831</v>
      </c>
      <c r="L99" s="215" t="s">
        <v>4832</v>
      </c>
      <c r="M99" s="197" t="s">
        <v>4405</v>
      </c>
      <c r="N99" s="207" t="s">
        <v>4406</v>
      </c>
      <c r="O99" s="202">
        <v>46176</v>
      </c>
      <c r="P99" s="202" t="s">
        <v>4407</v>
      </c>
      <c r="Q99" s="202">
        <v>46174</v>
      </c>
      <c r="R99" s="202">
        <v>46176</v>
      </c>
      <c r="S99" s="202">
        <v>46202</v>
      </c>
      <c r="T99" s="202">
        <v>46204</v>
      </c>
      <c r="U99" s="202" t="s">
        <v>4408</v>
      </c>
      <c r="V99" s="202" t="s">
        <v>4408</v>
      </c>
      <c r="W99" s="202">
        <v>46223</v>
      </c>
      <c r="X99" s="202"/>
      <c r="Y99" s="202"/>
      <c r="Z99" s="202"/>
      <c r="AA99" s="242" t="s">
        <v>4833</v>
      </c>
      <c r="AB99" s="242" t="s">
        <v>4834</v>
      </c>
      <c r="AC99" s="242" t="s">
        <v>4835</v>
      </c>
      <c r="AD99" s="260" t="s">
        <v>4421</v>
      </c>
      <c r="AE99" s="219" t="s">
        <v>4405</v>
      </c>
      <c r="AF99" s="243">
        <v>74383.570000000007</v>
      </c>
      <c r="AG99" s="243">
        <v>74383.570000000007</v>
      </c>
      <c r="AH99" s="241" t="s">
        <v>4422</v>
      </c>
      <c r="AI99" s="242" t="s">
        <v>4411</v>
      </c>
      <c r="AJ99" s="207">
        <v>158034573</v>
      </c>
      <c r="AK99" s="316">
        <v>46188</v>
      </c>
      <c r="AL99" s="316">
        <v>46188</v>
      </c>
      <c r="AM99" s="316">
        <v>46188</v>
      </c>
      <c r="AN99" s="316">
        <v>46188</v>
      </c>
      <c r="AO99" s="316">
        <v>46188</v>
      </c>
      <c r="AP99" s="316">
        <v>46188</v>
      </c>
      <c r="AQ99" s="314"/>
      <c r="AR99" s="315" t="str">
        <f t="shared" si="8"/>
        <v>FINALIZADO</v>
      </c>
      <c r="AS99" s="207" t="s">
        <v>4423</v>
      </c>
      <c r="AT99" s="219"/>
      <c r="AU99" s="220" t="s">
        <v>4836</v>
      </c>
      <c r="AV99" s="197" t="s">
        <v>4818</v>
      </c>
      <c r="AW99" s="207" t="s">
        <v>4818</v>
      </c>
      <c r="AX99" s="207" t="s">
        <v>4818</v>
      </c>
      <c r="AY99" s="207" t="s">
        <v>4818</v>
      </c>
      <c r="AZ99" s="202">
        <v>46233</v>
      </c>
      <c r="BA99" s="207" t="s">
        <v>4818</v>
      </c>
      <c r="BB99" s="207" t="s">
        <v>4818</v>
      </c>
      <c r="BC99" s="202">
        <v>46234</v>
      </c>
      <c r="BD99" s="226">
        <v>46234</v>
      </c>
      <c r="BE99" s="257" t="s">
        <v>4435</v>
      </c>
      <c r="BF99" s="257" t="s">
        <v>4436</v>
      </c>
      <c r="BG99" s="219" t="s">
        <v>4425</v>
      </c>
      <c r="BH99" s="321">
        <f t="shared" si="9"/>
        <v>46</v>
      </c>
      <c r="BI99" s="98" t="str">
        <f t="shared" si="10"/>
        <v>INDENIZAÇÃO</v>
      </c>
      <c r="BJ99" s="98" t="str">
        <f t="shared" si="11"/>
        <v>NÃO</v>
      </c>
      <c r="BK99" s="219" t="s">
        <v>4437</v>
      </c>
      <c r="BL99" s="219" t="s">
        <v>4437</v>
      </c>
      <c r="BM99" s="219" t="s">
        <v>4437</v>
      </c>
      <c r="BN99" s="250" t="s">
        <v>4425</v>
      </c>
      <c r="BO99" s="250" t="s">
        <v>4425</v>
      </c>
      <c r="BP99" s="202">
        <v>46269</v>
      </c>
      <c r="BQ99" s="257" t="s">
        <v>4819</v>
      </c>
      <c r="BR99" s="258"/>
      <c r="BS99" s="223"/>
      <c r="BT99" s="223"/>
    </row>
    <row r="100" spans="1:73" s="240" customFormat="1" ht="27" customHeight="1">
      <c r="A100" s="197">
        <v>96</v>
      </c>
      <c r="B100" s="197" t="s">
        <v>4396</v>
      </c>
      <c r="C100" s="207" t="s">
        <v>4413</v>
      </c>
      <c r="D100" s="207">
        <v>1</v>
      </c>
      <c r="E100" s="250" t="s">
        <v>4398</v>
      </c>
      <c r="F100" s="214" t="s">
        <v>4837</v>
      </c>
      <c r="G100" s="207" t="s">
        <v>4400</v>
      </c>
      <c r="H100" s="207" t="s">
        <v>4583</v>
      </c>
      <c r="I100" s="207" t="s">
        <v>4414</v>
      </c>
      <c r="J100" s="215" t="s">
        <v>4838</v>
      </c>
      <c r="K100" s="215" t="s">
        <v>4839</v>
      </c>
      <c r="L100" s="215" t="s">
        <v>4840</v>
      </c>
      <c r="M100" s="197" t="s">
        <v>4405</v>
      </c>
      <c r="N100" s="207" t="s">
        <v>4406</v>
      </c>
      <c r="O100" s="202">
        <v>46176</v>
      </c>
      <c r="P100" s="202" t="s">
        <v>4407</v>
      </c>
      <c r="Q100" s="202">
        <v>46174</v>
      </c>
      <c r="R100" s="202">
        <v>46176</v>
      </c>
      <c r="S100" s="202">
        <v>46202</v>
      </c>
      <c r="T100" s="202">
        <v>46204</v>
      </c>
      <c r="U100" s="202" t="s">
        <v>4408</v>
      </c>
      <c r="V100" s="202" t="s">
        <v>4408</v>
      </c>
      <c r="W100" s="202">
        <v>46223</v>
      </c>
      <c r="X100" s="202"/>
      <c r="Y100" s="202"/>
      <c r="Z100" s="202"/>
      <c r="AA100" s="242" t="s">
        <v>4841</v>
      </c>
      <c r="AB100" s="242" t="s">
        <v>4440</v>
      </c>
      <c r="AC100" s="242" t="s">
        <v>4842</v>
      </c>
      <c r="AD100" s="207" t="s">
        <v>4421</v>
      </c>
      <c r="AE100" s="207" t="s">
        <v>4405</v>
      </c>
      <c r="AF100" s="218">
        <v>46888.6</v>
      </c>
      <c r="AG100" s="218">
        <v>46888.6</v>
      </c>
      <c r="AH100" s="207" t="s">
        <v>4433</v>
      </c>
      <c r="AI100" s="214" t="s">
        <v>4411</v>
      </c>
      <c r="AJ100" s="207">
        <v>158034716</v>
      </c>
      <c r="AK100" s="316">
        <v>46206</v>
      </c>
      <c r="AL100" s="316">
        <v>46206</v>
      </c>
      <c r="AM100" s="316">
        <v>46206</v>
      </c>
      <c r="AN100" s="316">
        <v>46206</v>
      </c>
      <c r="AO100" s="316">
        <v>46206</v>
      </c>
      <c r="AP100" s="316">
        <v>46206</v>
      </c>
      <c r="AQ100" s="314"/>
      <c r="AR100" s="315" t="str">
        <f t="shared" si="8"/>
        <v>FINALIZADO</v>
      </c>
      <c r="AS100" s="207" t="s">
        <v>4423</v>
      </c>
      <c r="AT100" s="219"/>
      <c r="AU100" s="220" t="s">
        <v>4843</v>
      </c>
      <c r="AV100" s="219" t="s">
        <v>4425</v>
      </c>
      <c r="AW100" s="219" t="s">
        <v>4425</v>
      </c>
      <c r="AX100" s="257" t="s">
        <v>4828</v>
      </c>
      <c r="AY100" s="257"/>
      <c r="AZ100" s="257"/>
      <c r="BA100" s="257"/>
      <c r="BB100" s="257"/>
      <c r="BC100" s="257"/>
      <c r="BD100" s="226"/>
      <c r="BE100" s="226"/>
      <c r="BF100" s="228" t="s">
        <v>4400</v>
      </c>
      <c r="BG100" s="219"/>
      <c r="BH100" s="321" t="str">
        <f t="shared" si="9"/>
        <v/>
      </c>
      <c r="BI100" s="98" t="str">
        <f t="shared" si="10"/>
        <v>INDENIZAÇÃO</v>
      </c>
      <c r="BJ100" s="98" t="str">
        <f t="shared" si="11"/>
        <v>NÃO</v>
      </c>
      <c r="BK100" s="219"/>
      <c r="BL100" s="221"/>
      <c r="BM100" s="221"/>
      <c r="BN100" s="219"/>
      <c r="BO100" s="219"/>
      <c r="BP100" s="219"/>
      <c r="BQ100" s="219"/>
      <c r="BR100" s="222"/>
    </row>
    <row r="101" spans="1:73" s="240" customFormat="1" ht="27" hidden="1" customHeight="1">
      <c r="A101" s="207">
        <v>97</v>
      </c>
      <c r="B101" s="197" t="s">
        <v>4396</v>
      </c>
      <c r="C101" s="207" t="s">
        <v>4453</v>
      </c>
      <c r="D101" s="207">
        <v>1</v>
      </c>
      <c r="E101" s="207" t="s">
        <v>4398</v>
      </c>
      <c r="F101" s="214" t="s">
        <v>4837</v>
      </c>
      <c r="G101" s="207" t="s">
        <v>4400</v>
      </c>
      <c r="H101" s="207" t="s">
        <v>4401</v>
      </c>
      <c r="I101" s="217" t="s">
        <v>4402</v>
      </c>
      <c r="J101" s="242" t="s">
        <v>4844</v>
      </c>
      <c r="K101" s="214" t="s">
        <v>4845</v>
      </c>
      <c r="L101" s="214" t="s">
        <v>4846</v>
      </c>
      <c r="M101" s="197" t="s">
        <v>4405</v>
      </c>
      <c r="N101" s="207" t="s">
        <v>4406</v>
      </c>
      <c r="O101" s="202">
        <v>45986</v>
      </c>
      <c r="P101" s="203" t="s">
        <v>4407</v>
      </c>
      <c r="Q101" s="203">
        <v>45985</v>
      </c>
      <c r="R101" s="203">
        <v>45986</v>
      </c>
      <c r="S101" s="203">
        <v>45987</v>
      </c>
      <c r="T101" s="203">
        <v>45992</v>
      </c>
      <c r="U101" s="202" t="s">
        <v>4408</v>
      </c>
      <c r="V101" s="202" t="s">
        <v>4408</v>
      </c>
      <c r="W101" s="202">
        <v>45999</v>
      </c>
      <c r="X101" s="202">
        <v>46000</v>
      </c>
      <c r="Y101" s="202">
        <v>46017</v>
      </c>
      <c r="Z101" s="207"/>
      <c r="AA101" s="242" t="s">
        <v>4844</v>
      </c>
      <c r="AB101" s="215" t="s">
        <v>4845</v>
      </c>
      <c r="AC101" s="215" t="s">
        <v>4846</v>
      </c>
      <c r="AD101" s="241" t="s">
        <v>4402</v>
      </c>
      <c r="AE101" s="241" t="s">
        <v>4405</v>
      </c>
      <c r="AF101" s="242" t="s">
        <v>4409</v>
      </c>
      <c r="AG101" s="242" t="s">
        <v>4409</v>
      </c>
      <c r="AH101" s="241" t="s">
        <v>4410</v>
      </c>
      <c r="AI101" s="214" t="s">
        <v>4411</v>
      </c>
      <c r="AJ101" s="207"/>
      <c r="AK101" s="316">
        <v>45979</v>
      </c>
      <c r="AL101" s="316">
        <v>45979</v>
      </c>
      <c r="AM101" s="316">
        <v>45979</v>
      </c>
      <c r="AN101" s="316">
        <v>45979</v>
      </c>
      <c r="AO101" s="316">
        <v>45979</v>
      </c>
      <c r="AP101" s="316">
        <v>45979</v>
      </c>
      <c r="AQ101" s="314"/>
      <c r="AR101" s="315" t="str">
        <f t="shared" si="8"/>
        <v>FINALIZADO</v>
      </c>
      <c r="AS101" s="207"/>
      <c r="AT101" s="207"/>
      <c r="AU101" s="220"/>
      <c r="AV101" s="207"/>
      <c r="AW101" s="207"/>
      <c r="AX101" s="207"/>
      <c r="AY101" s="207"/>
      <c r="AZ101" s="202"/>
      <c r="BA101" s="207"/>
      <c r="BB101" s="207"/>
      <c r="BC101" s="202"/>
      <c r="BD101" s="208"/>
      <c r="BE101" s="239">
        <v>46017</v>
      </c>
      <c r="BF101" s="207" t="s">
        <v>4412</v>
      </c>
      <c r="BG101" s="229"/>
      <c r="BH101" s="321" t="str">
        <f t="shared" si="9"/>
        <v/>
      </c>
      <c r="BI101" s="98" t="str">
        <f t="shared" si="10"/>
        <v>AA</v>
      </c>
      <c r="BJ101" s="98" t="str">
        <f t="shared" si="11"/>
        <v>NÃO</v>
      </c>
      <c r="BK101" s="230"/>
      <c r="BL101" s="230"/>
      <c r="BM101" s="230"/>
      <c r="BN101" s="230"/>
      <c r="BO101" s="230"/>
      <c r="BP101" s="230"/>
      <c r="BQ101" s="230"/>
      <c r="BR101" s="234"/>
    </row>
    <row r="102" spans="1:73" s="240" customFormat="1" ht="27" hidden="1" customHeight="1">
      <c r="A102" s="207">
        <v>98</v>
      </c>
      <c r="B102" s="197" t="s">
        <v>4396</v>
      </c>
      <c r="C102" s="207" t="s">
        <v>4397</v>
      </c>
      <c r="D102" s="207">
        <v>1</v>
      </c>
      <c r="E102" s="207" t="s">
        <v>4398</v>
      </c>
      <c r="F102" s="214" t="s">
        <v>4837</v>
      </c>
      <c r="G102" s="207" t="s">
        <v>4546</v>
      </c>
      <c r="H102" s="207" t="s">
        <v>4546</v>
      </c>
      <c r="I102" s="233" t="s">
        <v>4421</v>
      </c>
      <c r="J102" s="215" t="s">
        <v>4847</v>
      </c>
      <c r="K102" s="215" t="s">
        <v>4398</v>
      </c>
      <c r="L102" s="215" t="s">
        <v>4848</v>
      </c>
      <c r="M102" s="197" t="s">
        <v>4405</v>
      </c>
      <c r="N102" s="207" t="s">
        <v>4442</v>
      </c>
      <c r="O102" s="202" t="s">
        <v>4409</v>
      </c>
      <c r="P102" s="202" t="s">
        <v>4409</v>
      </c>
      <c r="Q102" s="202" t="s">
        <v>4409</v>
      </c>
      <c r="R102" s="202" t="s">
        <v>4409</v>
      </c>
      <c r="S102" s="202" t="s">
        <v>4409</v>
      </c>
      <c r="T102" s="202" t="s">
        <v>4409</v>
      </c>
      <c r="U102" s="202" t="s">
        <v>4409</v>
      </c>
      <c r="V102" s="202" t="s">
        <v>4409</v>
      </c>
      <c r="W102" s="202" t="s">
        <v>4409</v>
      </c>
      <c r="X102" s="202" t="s">
        <v>4409</v>
      </c>
      <c r="Y102" s="202"/>
      <c r="Z102" s="202"/>
      <c r="AA102" s="215" t="s">
        <v>4847</v>
      </c>
      <c r="AB102" s="215" t="s">
        <v>4398</v>
      </c>
      <c r="AC102" s="215" t="s">
        <v>4848</v>
      </c>
      <c r="AD102" s="252" t="s">
        <v>4421</v>
      </c>
      <c r="AE102" s="197" t="s">
        <v>4405</v>
      </c>
      <c r="AF102" s="243">
        <v>3074.65</v>
      </c>
      <c r="AG102" s="243">
        <v>3074.65</v>
      </c>
      <c r="AH102" s="197" t="s">
        <v>4433</v>
      </c>
      <c r="AI102" s="214" t="s">
        <v>4411</v>
      </c>
      <c r="AJ102" s="207">
        <v>151545344</v>
      </c>
      <c r="AK102" s="316">
        <v>46086</v>
      </c>
      <c r="AL102" s="316">
        <v>46086</v>
      </c>
      <c r="AM102" s="316">
        <v>46086</v>
      </c>
      <c r="AN102" s="316">
        <v>46086</v>
      </c>
      <c r="AO102" s="316">
        <v>46086</v>
      </c>
      <c r="AP102" s="316">
        <v>46086</v>
      </c>
      <c r="AQ102" s="314"/>
      <c r="AR102" s="315" t="str">
        <f t="shared" si="8"/>
        <v>FINALIZADO</v>
      </c>
      <c r="AS102" s="207" t="s">
        <v>4423</v>
      </c>
      <c r="AT102" s="219"/>
      <c r="AU102" s="220" t="s">
        <v>4849</v>
      </c>
      <c r="AV102" s="207" t="s">
        <v>4425</v>
      </c>
      <c r="AW102" s="207" t="s">
        <v>4425</v>
      </c>
      <c r="AX102" s="207" t="s">
        <v>4425</v>
      </c>
      <c r="AY102" s="197" t="s">
        <v>4425</v>
      </c>
      <c r="AZ102" s="202">
        <v>46128</v>
      </c>
      <c r="BA102" s="207" t="s">
        <v>4425</v>
      </c>
      <c r="BB102" s="207" t="s">
        <v>4425</v>
      </c>
      <c r="BC102" s="202">
        <v>46139</v>
      </c>
      <c r="BD102" s="227">
        <v>46139</v>
      </c>
      <c r="BE102" s="244" t="s">
        <v>4435</v>
      </c>
      <c r="BF102" s="245" t="s">
        <v>4436</v>
      </c>
      <c r="BG102" s="229" t="s">
        <v>4425</v>
      </c>
      <c r="BH102" s="321">
        <f t="shared" si="9"/>
        <v>53</v>
      </c>
      <c r="BI102" s="98" t="str">
        <f t="shared" si="10"/>
        <v>INDENIZAÇÃO</v>
      </c>
      <c r="BJ102" s="98" t="str">
        <f t="shared" si="11"/>
        <v>NÃO</v>
      </c>
      <c r="BK102" s="219" t="s">
        <v>4437</v>
      </c>
      <c r="BL102" s="219" t="s">
        <v>4437</v>
      </c>
      <c r="BM102" s="219" t="s">
        <v>4437</v>
      </c>
      <c r="BN102" s="219" t="s">
        <v>4425</v>
      </c>
      <c r="BO102" s="219" t="s">
        <v>4425</v>
      </c>
      <c r="BP102" s="202">
        <v>46195</v>
      </c>
      <c r="BQ102" s="219" t="s">
        <v>4425</v>
      </c>
      <c r="BR102" s="232" t="s">
        <v>4435</v>
      </c>
    </row>
    <row r="103" spans="1:73" s="240" customFormat="1" ht="27" customHeight="1">
      <c r="A103" s="207">
        <v>99</v>
      </c>
      <c r="B103" s="197" t="s">
        <v>4396</v>
      </c>
      <c r="C103" s="207" t="s">
        <v>4413</v>
      </c>
      <c r="D103" s="207">
        <v>1</v>
      </c>
      <c r="E103" s="250" t="s">
        <v>4398</v>
      </c>
      <c r="F103" s="214" t="s">
        <v>4850</v>
      </c>
      <c r="G103" s="207" t="s">
        <v>4400</v>
      </c>
      <c r="H103" s="207" t="s">
        <v>4401</v>
      </c>
      <c r="I103" s="160" t="s">
        <v>4414</v>
      </c>
      <c r="J103" s="215" t="s">
        <v>4851</v>
      </c>
      <c r="K103" s="215" t="s">
        <v>4398</v>
      </c>
      <c r="L103" s="215" t="s">
        <v>4852</v>
      </c>
      <c r="M103" s="197" t="s">
        <v>4405</v>
      </c>
      <c r="N103" s="207" t="s">
        <v>4406</v>
      </c>
      <c r="O103" s="202">
        <v>46176</v>
      </c>
      <c r="P103" s="202" t="s">
        <v>4407</v>
      </c>
      <c r="Q103" s="202">
        <v>46174</v>
      </c>
      <c r="R103" s="202">
        <v>46176</v>
      </c>
      <c r="S103" s="202">
        <v>46202</v>
      </c>
      <c r="T103" s="202">
        <v>46204</v>
      </c>
      <c r="U103" s="202" t="s">
        <v>4408</v>
      </c>
      <c r="V103" s="202" t="s">
        <v>4408</v>
      </c>
      <c r="W103" s="202">
        <v>46223</v>
      </c>
      <c r="X103" s="202"/>
      <c r="Y103" s="202"/>
      <c r="Z103" s="202"/>
      <c r="AA103" s="242" t="s">
        <v>4853</v>
      </c>
      <c r="AB103" s="242" t="s">
        <v>4854</v>
      </c>
      <c r="AC103" s="242" t="s">
        <v>4855</v>
      </c>
      <c r="AD103" s="241" t="s">
        <v>4856</v>
      </c>
      <c r="AE103" s="207" t="s">
        <v>4405</v>
      </c>
      <c r="AF103" s="218">
        <v>114220.05</v>
      </c>
      <c r="AG103" s="218">
        <v>114220.05</v>
      </c>
      <c r="AH103" s="207" t="s">
        <v>4433</v>
      </c>
      <c r="AI103" s="214" t="s">
        <v>4411</v>
      </c>
      <c r="AJ103" s="207">
        <v>159893889</v>
      </c>
      <c r="AK103" s="316">
        <v>46206</v>
      </c>
      <c r="AL103" s="316">
        <v>46206</v>
      </c>
      <c r="AM103" s="316">
        <v>46206</v>
      </c>
      <c r="AN103" s="316">
        <v>46206</v>
      </c>
      <c r="AO103" s="316">
        <v>46206</v>
      </c>
      <c r="AP103" s="316">
        <v>46206</v>
      </c>
      <c r="AQ103" s="314"/>
      <c r="AR103" s="315" t="str">
        <f t="shared" si="8"/>
        <v>FINALIZADO</v>
      </c>
      <c r="AS103" s="207" t="s">
        <v>4423</v>
      </c>
      <c r="AT103" s="219"/>
      <c r="AU103" s="220" t="s">
        <v>4857</v>
      </c>
      <c r="AV103" s="219" t="s">
        <v>4425</v>
      </c>
      <c r="AW103" s="219" t="s">
        <v>4425</v>
      </c>
      <c r="AX103" s="257" t="s">
        <v>4426</v>
      </c>
      <c r="AY103" s="257"/>
      <c r="AZ103" s="257"/>
      <c r="BA103" s="257"/>
      <c r="BB103" s="257"/>
      <c r="BC103" s="257"/>
      <c r="BD103" s="226"/>
      <c r="BE103" s="226"/>
      <c r="BF103" s="228" t="s">
        <v>4400</v>
      </c>
      <c r="BG103" s="219"/>
      <c r="BH103" s="321" t="str">
        <f t="shared" si="9"/>
        <v/>
      </c>
      <c r="BI103" s="98" t="str">
        <f t="shared" si="10"/>
        <v>INDENIZAÇÃO</v>
      </c>
      <c r="BJ103" s="98" t="str">
        <f t="shared" si="11"/>
        <v>NÃO</v>
      </c>
      <c r="BK103" s="219"/>
      <c r="BL103" s="221"/>
      <c r="BM103" s="221"/>
      <c r="BN103" s="219"/>
      <c r="BO103" s="219"/>
      <c r="BP103" s="219"/>
      <c r="BQ103" s="219"/>
      <c r="BR103" s="222"/>
      <c r="BS103" s="223"/>
      <c r="BT103" s="223"/>
    </row>
    <row r="104" spans="1:73" s="240" customFormat="1" ht="27" hidden="1" customHeight="1">
      <c r="A104" s="197">
        <v>100</v>
      </c>
      <c r="B104" s="197" t="s">
        <v>4396</v>
      </c>
      <c r="C104" s="207" t="s">
        <v>4453</v>
      </c>
      <c r="D104" s="207">
        <v>1</v>
      </c>
      <c r="E104" s="207" t="s">
        <v>4398</v>
      </c>
      <c r="F104" s="214" t="s">
        <v>4850</v>
      </c>
      <c r="G104" s="207" t="s">
        <v>4400</v>
      </c>
      <c r="H104" s="207" t="s">
        <v>4401</v>
      </c>
      <c r="I104" s="217" t="s">
        <v>4402</v>
      </c>
      <c r="J104" s="242" t="s">
        <v>4858</v>
      </c>
      <c r="K104" s="214" t="s">
        <v>4859</v>
      </c>
      <c r="L104" s="214" t="s">
        <v>4860</v>
      </c>
      <c r="M104" s="197" t="s">
        <v>4405</v>
      </c>
      <c r="N104" s="207" t="s">
        <v>4406</v>
      </c>
      <c r="O104" s="202">
        <v>45986</v>
      </c>
      <c r="P104" s="203" t="s">
        <v>4407</v>
      </c>
      <c r="Q104" s="203">
        <v>45985</v>
      </c>
      <c r="R104" s="203">
        <v>45986</v>
      </c>
      <c r="S104" s="203">
        <v>45987</v>
      </c>
      <c r="T104" s="203">
        <v>45992</v>
      </c>
      <c r="U104" s="202" t="s">
        <v>4408</v>
      </c>
      <c r="V104" s="202" t="s">
        <v>4408</v>
      </c>
      <c r="W104" s="202">
        <v>45999</v>
      </c>
      <c r="X104" s="202">
        <v>46003</v>
      </c>
      <c r="Y104" s="202">
        <v>46017</v>
      </c>
      <c r="Z104" s="207"/>
      <c r="AA104" s="242" t="s">
        <v>4858</v>
      </c>
      <c r="AB104" s="215" t="s">
        <v>4859</v>
      </c>
      <c r="AC104" s="215" t="s">
        <v>4860</v>
      </c>
      <c r="AD104" s="204" t="s">
        <v>4402</v>
      </c>
      <c r="AE104" s="241" t="s">
        <v>4405</v>
      </c>
      <c r="AF104" s="242" t="s">
        <v>4409</v>
      </c>
      <c r="AG104" s="242" t="s">
        <v>4409</v>
      </c>
      <c r="AH104" s="241" t="s">
        <v>4410</v>
      </c>
      <c r="AI104" s="214" t="s">
        <v>4411</v>
      </c>
      <c r="AJ104" s="207"/>
      <c r="AK104" s="316">
        <v>45979</v>
      </c>
      <c r="AL104" s="316">
        <v>45979</v>
      </c>
      <c r="AM104" s="316">
        <v>45979</v>
      </c>
      <c r="AN104" s="316">
        <v>45979</v>
      </c>
      <c r="AO104" s="316">
        <v>45979</v>
      </c>
      <c r="AP104" s="316">
        <v>45979</v>
      </c>
      <c r="AQ104" s="314"/>
      <c r="AR104" s="315" t="str">
        <f t="shared" si="8"/>
        <v>FINALIZADO</v>
      </c>
      <c r="AS104" s="207"/>
      <c r="AT104" s="207"/>
      <c r="AU104" s="220"/>
      <c r="AV104" s="207"/>
      <c r="AW104" s="207"/>
      <c r="AX104" s="207"/>
      <c r="AY104" s="207"/>
      <c r="AZ104" s="202"/>
      <c r="BA104" s="207"/>
      <c r="BB104" s="207"/>
      <c r="BC104" s="202"/>
      <c r="BD104" s="208"/>
      <c r="BE104" s="239">
        <v>46017</v>
      </c>
      <c r="BF104" s="207" t="s">
        <v>4412</v>
      </c>
      <c r="BG104" s="229"/>
      <c r="BH104" s="321" t="str">
        <f t="shared" si="9"/>
        <v/>
      </c>
      <c r="BI104" s="98" t="str">
        <f t="shared" si="10"/>
        <v>AA</v>
      </c>
      <c r="BJ104" s="98" t="str">
        <f t="shared" si="11"/>
        <v>NÃO</v>
      </c>
      <c r="BK104" s="230"/>
      <c r="BL104" s="230"/>
      <c r="BM104" s="230"/>
      <c r="BN104" s="230"/>
      <c r="BO104" s="230"/>
      <c r="BP104" s="230"/>
      <c r="BQ104" s="230"/>
      <c r="BR104" s="234"/>
    </row>
    <row r="105" spans="1:73" s="240" customFormat="1" ht="27" hidden="1" customHeight="1">
      <c r="A105" s="197">
        <v>101</v>
      </c>
      <c r="B105" s="197" t="s">
        <v>4396</v>
      </c>
      <c r="C105" s="207" t="s">
        <v>4397</v>
      </c>
      <c r="D105" s="207">
        <v>1</v>
      </c>
      <c r="E105" s="207" t="s">
        <v>4398</v>
      </c>
      <c r="F105" s="214" t="s">
        <v>4850</v>
      </c>
      <c r="G105" s="207" t="s">
        <v>4400</v>
      </c>
      <c r="H105" s="207" t="s">
        <v>4401</v>
      </c>
      <c r="I105" s="217" t="s">
        <v>4402</v>
      </c>
      <c r="J105" s="215" t="s">
        <v>4861</v>
      </c>
      <c r="K105" s="215" t="s">
        <v>4862</v>
      </c>
      <c r="L105" s="215" t="s">
        <v>4863</v>
      </c>
      <c r="M105" s="197" t="s">
        <v>4405</v>
      </c>
      <c r="N105" s="207" t="s">
        <v>4406</v>
      </c>
      <c r="O105" s="202">
        <v>46065</v>
      </c>
      <c r="P105" s="203" t="s">
        <v>4407</v>
      </c>
      <c r="Q105" s="202">
        <v>46072</v>
      </c>
      <c r="R105" s="203">
        <v>46072</v>
      </c>
      <c r="S105" s="203">
        <v>46080</v>
      </c>
      <c r="T105" s="202">
        <v>46083</v>
      </c>
      <c r="U105" s="202" t="s">
        <v>4408</v>
      </c>
      <c r="V105" s="202" t="s">
        <v>4408</v>
      </c>
      <c r="W105" s="203">
        <v>46055</v>
      </c>
      <c r="X105" s="203">
        <v>46091</v>
      </c>
      <c r="Y105" s="203"/>
      <c r="Z105" s="219"/>
      <c r="AA105" s="215" t="s">
        <v>4861</v>
      </c>
      <c r="AB105" s="215" t="s">
        <v>4862</v>
      </c>
      <c r="AC105" s="215" t="s">
        <v>4863</v>
      </c>
      <c r="AD105" s="199" t="s">
        <v>4402</v>
      </c>
      <c r="AE105" s="197" t="s">
        <v>4405</v>
      </c>
      <c r="AF105" s="243" t="s">
        <v>4409</v>
      </c>
      <c r="AG105" s="243" t="s">
        <v>4409</v>
      </c>
      <c r="AH105" s="197" t="s">
        <v>4410</v>
      </c>
      <c r="AI105" s="214" t="s">
        <v>4411</v>
      </c>
      <c r="AJ105" s="207"/>
      <c r="AK105" s="316">
        <v>46064</v>
      </c>
      <c r="AL105" s="316">
        <v>46064</v>
      </c>
      <c r="AM105" s="316">
        <v>46064</v>
      </c>
      <c r="AN105" s="316">
        <v>46064</v>
      </c>
      <c r="AO105" s="316">
        <v>46064</v>
      </c>
      <c r="AP105" s="316">
        <v>46064</v>
      </c>
      <c r="AQ105" s="314"/>
      <c r="AR105" s="315" t="str">
        <f t="shared" si="8"/>
        <v>FINALIZADO</v>
      </c>
      <c r="AS105" s="207"/>
      <c r="AT105" s="219"/>
      <c r="AU105" s="220"/>
      <c r="AV105" s="219"/>
      <c r="AW105" s="219"/>
      <c r="AX105" s="219"/>
      <c r="AY105" s="219"/>
      <c r="AZ105" s="219"/>
      <c r="BA105" s="219"/>
      <c r="BB105" s="219"/>
      <c r="BC105" s="219"/>
      <c r="BD105" s="208"/>
      <c r="BE105" s="253"/>
      <c r="BF105" s="254"/>
      <c r="BG105" s="219"/>
      <c r="BH105" s="321" t="str">
        <f t="shared" si="9"/>
        <v/>
      </c>
      <c r="BI105" s="98" t="str">
        <f t="shared" si="10"/>
        <v>AA</v>
      </c>
      <c r="BJ105" s="98" t="str">
        <f t="shared" si="11"/>
        <v>NÃO</v>
      </c>
      <c r="BK105" s="219"/>
      <c r="BL105" s="221"/>
      <c r="BM105" s="221"/>
      <c r="BN105" s="219"/>
      <c r="BO105" s="219"/>
      <c r="BP105" s="219"/>
      <c r="BQ105" s="219"/>
      <c r="BR105" s="222"/>
    </row>
    <row r="106" spans="1:73" s="240" customFormat="1" ht="27" hidden="1" customHeight="1">
      <c r="A106" s="207">
        <v>102</v>
      </c>
      <c r="B106" s="197" t="s">
        <v>4396</v>
      </c>
      <c r="C106" s="207" t="s">
        <v>4453</v>
      </c>
      <c r="D106" s="207">
        <v>1</v>
      </c>
      <c r="E106" s="207" t="s">
        <v>4398</v>
      </c>
      <c r="F106" s="214" t="s">
        <v>4864</v>
      </c>
      <c r="G106" s="207" t="s">
        <v>4400</v>
      </c>
      <c r="H106" s="207" t="s">
        <v>4401</v>
      </c>
      <c r="I106" s="217" t="s">
        <v>4402</v>
      </c>
      <c r="J106" s="242" t="s">
        <v>4865</v>
      </c>
      <c r="K106" s="215" t="s">
        <v>4398</v>
      </c>
      <c r="L106" s="214" t="s">
        <v>4866</v>
      </c>
      <c r="M106" s="207" t="s">
        <v>4405</v>
      </c>
      <c r="N106" s="207" t="s">
        <v>4406</v>
      </c>
      <c r="O106" s="202">
        <v>45986</v>
      </c>
      <c r="P106" s="203" t="s">
        <v>4407</v>
      </c>
      <c r="Q106" s="203">
        <v>45985</v>
      </c>
      <c r="R106" s="203">
        <v>45986</v>
      </c>
      <c r="S106" s="203">
        <v>45987</v>
      </c>
      <c r="T106" s="203">
        <v>45992</v>
      </c>
      <c r="U106" s="202" t="s">
        <v>4408</v>
      </c>
      <c r="V106" s="202" t="s">
        <v>4408</v>
      </c>
      <c r="W106" s="202">
        <v>45999</v>
      </c>
      <c r="X106" s="202">
        <v>46008</v>
      </c>
      <c r="Y106" s="202">
        <v>46017</v>
      </c>
      <c r="Z106" s="207"/>
      <c r="AA106" s="242" t="s">
        <v>4865</v>
      </c>
      <c r="AB106" s="215" t="s">
        <v>4398</v>
      </c>
      <c r="AC106" s="215" t="s">
        <v>4866</v>
      </c>
      <c r="AD106" s="241" t="s">
        <v>4402</v>
      </c>
      <c r="AE106" s="241" t="s">
        <v>4405</v>
      </c>
      <c r="AF106" s="242" t="s">
        <v>4409</v>
      </c>
      <c r="AG106" s="242" t="s">
        <v>4409</v>
      </c>
      <c r="AH106" s="241" t="s">
        <v>4410</v>
      </c>
      <c r="AI106" s="214" t="s">
        <v>4411</v>
      </c>
      <c r="AJ106" s="207"/>
      <c r="AK106" s="316">
        <v>45979</v>
      </c>
      <c r="AL106" s="316">
        <v>45979</v>
      </c>
      <c r="AM106" s="316">
        <v>45979</v>
      </c>
      <c r="AN106" s="316">
        <v>45979</v>
      </c>
      <c r="AO106" s="316">
        <v>45979</v>
      </c>
      <c r="AP106" s="316">
        <v>45979</v>
      </c>
      <c r="AQ106" s="314"/>
      <c r="AR106" s="315" t="str">
        <f t="shared" si="8"/>
        <v>FINALIZADO</v>
      </c>
      <c r="AS106" s="207"/>
      <c r="AT106" s="207"/>
      <c r="AU106" s="220"/>
      <c r="AV106" s="207"/>
      <c r="AW106" s="207"/>
      <c r="AX106" s="207"/>
      <c r="AY106" s="207"/>
      <c r="AZ106" s="202"/>
      <c r="BA106" s="207"/>
      <c r="BB106" s="207"/>
      <c r="BC106" s="202"/>
      <c r="BD106" s="208"/>
      <c r="BE106" s="239">
        <v>46017</v>
      </c>
      <c r="BF106" s="207" t="s">
        <v>4412</v>
      </c>
      <c r="BG106" s="229"/>
      <c r="BH106" s="321" t="str">
        <f t="shared" si="9"/>
        <v/>
      </c>
      <c r="BI106" s="98" t="str">
        <f t="shared" si="10"/>
        <v>AA</v>
      </c>
      <c r="BJ106" s="98" t="str">
        <f t="shared" si="11"/>
        <v>NÃO</v>
      </c>
      <c r="BK106" s="230"/>
      <c r="BL106" s="230"/>
      <c r="BM106" s="230"/>
      <c r="BN106" s="230"/>
      <c r="BO106" s="230"/>
      <c r="BP106" s="230"/>
      <c r="BQ106" s="230"/>
      <c r="BR106" s="234"/>
    </row>
    <row r="107" spans="1:73" s="240" customFormat="1" ht="27" hidden="1" customHeight="1">
      <c r="A107" s="207">
        <v>103</v>
      </c>
      <c r="B107" s="197" t="s">
        <v>4396</v>
      </c>
      <c r="C107" s="207" t="s">
        <v>4397</v>
      </c>
      <c r="D107" s="207">
        <v>1</v>
      </c>
      <c r="E107" s="207" t="s">
        <v>4398</v>
      </c>
      <c r="F107" s="214" t="s">
        <v>4864</v>
      </c>
      <c r="G107" s="207" t="s">
        <v>4400</v>
      </c>
      <c r="H107" s="207" t="s">
        <v>4401</v>
      </c>
      <c r="I107" s="217" t="s">
        <v>4402</v>
      </c>
      <c r="J107" s="215" t="s">
        <v>4867</v>
      </c>
      <c r="K107" s="215" t="s">
        <v>4868</v>
      </c>
      <c r="L107" s="215" t="s">
        <v>4869</v>
      </c>
      <c r="M107" s="207" t="s">
        <v>4405</v>
      </c>
      <c r="N107" s="207" t="s">
        <v>4406</v>
      </c>
      <c r="O107" s="203">
        <v>46058</v>
      </c>
      <c r="P107" s="202" t="s">
        <v>4407</v>
      </c>
      <c r="Q107" s="203">
        <v>46058</v>
      </c>
      <c r="R107" s="203">
        <v>46058</v>
      </c>
      <c r="S107" s="203">
        <v>46059</v>
      </c>
      <c r="T107" s="203">
        <v>46063</v>
      </c>
      <c r="U107" s="203" t="s">
        <v>4408</v>
      </c>
      <c r="V107" s="203" t="s">
        <v>4408</v>
      </c>
      <c r="W107" s="203">
        <v>46073</v>
      </c>
      <c r="X107" s="203">
        <v>46101</v>
      </c>
      <c r="Y107" s="203"/>
      <c r="Z107" s="219"/>
      <c r="AA107" s="215" t="s">
        <v>4867</v>
      </c>
      <c r="AB107" s="215" t="s">
        <v>4868</v>
      </c>
      <c r="AC107" s="215" t="s">
        <v>4869</v>
      </c>
      <c r="AD107" s="197" t="s">
        <v>4402</v>
      </c>
      <c r="AE107" s="197" t="s">
        <v>4405</v>
      </c>
      <c r="AF107" s="243" t="s">
        <v>4409</v>
      </c>
      <c r="AG107" s="243" t="s">
        <v>4409</v>
      </c>
      <c r="AH107" s="197" t="s">
        <v>4410</v>
      </c>
      <c r="AI107" s="214" t="s">
        <v>4411</v>
      </c>
      <c r="AJ107" s="207"/>
      <c r="AK107" s="316">
        <v>46064</v>
      </c>
      <c r="AL107" s="316">
        <v>46064</v>
      </c>
      <c r="AM107" s="316">
        <v>46064</v>
      </c>
      <c r="AN107" s="316">
        <v>46064</v>
      </c>
      <c r="AO107" s="316">
        <v>46064</v>
      </c>
      <c r="AP107" s="316">
        <v>46064</v>
      </c>
      <c r="AQ107" s="314"/>
      <c r="AR107" s="315" t="str">
        <f t="shared" si="8"/>
        <v>FINALIZADO</v>
      </c>
      <c r="AS107" s="207"/>
      <c r="AT107" s="219"/>
      <c r="AU107" s="220"/>
      <c r="AV107" s="219"/>
      <c r="AW107" s="219"/>
      <c r="AX107" s="219" t="s">
        <v>4437</v>
      </c>
      <c r="AY107" s="219" t="s">
        <v>4437</v>
      </c>
      <c r="AZ107" s="219" t="s">
        <v>4437</v>
      </c>
      <c r="BA107" s="219" t="s">
        <v>4437</v>
      </c>
      <c r="BB107" s="219" t="s">
        <v>4437</v>
      </c>
      <c r="BC107" s="219" t="s">
        <v>4437</v>
      </c>
      <c r="BD107" s="208"/>
      <c r="BE107" s="253"/>
      <c r="BF107" s="254"/>
      <c r="BG107" s="219"/>
      <c r="BH107" s="321" t="str">
        <f t="shared" si="9"/>
        <v/>
      </c>
      <c r="BI107" s="98" t="str">
        <f t="shared" si="10"/>
        <v>AA</v>
      </c>
      <c r="BJ107" s="98" t="str">
        <f t="shared" si="11"/>
        <v>NÃO</v>
      </c>
      <c r="BK107" s="219"/>
      <c r="BL107" s="221"/>
      <c r="BM107" s="221"/>
      <c r="BN107" s="219"/>
      <c r="BO107" s="219"/>
      <c r="BP107" s="219"/>
      <c r="BQ107" s="219"/>
      <c r="BR107" s="222"/>
    </row>
    <row r="108" spans="1:73" s="240" customFormat="1" ht="27" hidden="1" customHeight="1">
      <c r="A108" s="207">
        <v>104</v>
      </c>
      <c r="B108" s="197" t="s">
        <v>4396</v>
      </c>
      <c r="C108" s="207" t="s">
        <v>4453</v>
      </c>
      <c r="D108" s="207">
        <v>1</v>
      </c>
      <c r="E108" s="207" t="s">
        <v>4398</v>
      </c>
      <c r="F108" s="214" t="s">
        <v>4870</v>
      </c>
      <c r="G108" s="207" t="s">
        <v>4400</v>
      </c>
      <c r="H108" s="207" t="s">
        <v>4401</v>
      </c>
      <c r="I108" s="217" t="s">
        <v>4402</v>
      </c>
      <c r="J108" s="242" t="s">
        <v>4871</v>
      </c>
      <c r="K108" s="215" t="s">
        <v>4398</v>
      </c>
      <c r="L108" s="246" t="s">
        <v>4872</v>
      </c>
      <c r="M108" s="207" t="s">
        <v>4405</v>
      </c>
      <c r="N108" s="207" t="s">
        <v>4406</v>
      </c>
      <c r="O108" s="202">
        <v>45986</v>
      </c>
      <c r="P108" s="203" t="s">
        <v>4407</v>
      </c>
      <c r="Q108" s="203">
        <v>45985</v>
      </c>
      <c r="R108" s="203">
        <v>45986</v>
      </c>
      <c r="S108" s="203">
        <v>45987</v>
      </c>
      <c r="T108" s="203">
        <v>45992</v>
      </c>
      <c r="U108" s="202" t="s">
        <v>4408</v>
      </c>
      <c r="V108" s="202" t="s">
        <v>4408</v>
      </c>
      <c r="W108" s="202">
        <v>45999</v>
      </c>
      <c r="X108" s="202">
        <v>46000</v>
      </c>
      <c r="Y108" s="202">
        <v>46017</v>
      </c>
      <c r="Z108" s="207"/>
      <c r="AA108" s="242" t="s">
        <v>4871</v>
      </c>
      <c r="AB108" s="215" t="s">
        <v>4398</v>
      </c>
      <c r="AC108" s="215" t="s">
        <v>4872</v>
      </c>
      <c r="AD108" s="241" t="s">
        <v>4402</v>
      </c>
      <c r="AE108" s="241" t="s">
        <v>4405</v>
      </c>
      <c r="AF108" s="242" t="s">
        <v>4409</v>
      </c>
      <c r="AG108" s="242" t="s">
        <v>4409</v>
      </c>
      <c r="AH108" s="241" t="s">
        <v>4410</v>
      </c>
      <c r="AI108" s="214" t="s">
        <v>4411</v>
      </c>
      <c r="AJ108" s="207"/>
      <c r="AK108" s="316">
        <v>45979</v>
      </c>
      <c r="AL108" s="316">
        <v>45979</v>
      </c>
      <c r="AM108" s="316">
        <v>45979</v>
      </c>
      <c r="AN108" s="316">
        <v>45979</v>
      </c>
      <c r="AO108" s="316">
        <v>45979</v>
      </c>
      <c r="AP108" s="316">
        <v>45979</v>
      </c>
      <c r="AQ108" s="314"/>
      <c r="AR108" s="315" t="str">
        <f t="shared" si="8"/>
        <v>FINALIZADO</v>
      </c>
      <c r="AS108" s="207"/>
      <c r="AT108" s="207"/>
      <c r="AU108" s="220"/>
      <c r="AV108" s="207"/>
      <c r="AW108" s="207"/>
      <c r="AX108" s="207"/>
      <c r="AY108" s="207"/>
      <c r="AZ108" s="202"/>
      <c r="BA108" s="207"/>
      <c r="BB108" s="207"/>
      <c r="BC108" s="202"/>
      <c r="BD108" s="208"/>
      <c r="BE108" s="239">
        <v>46017</v>
      </c>
      <c r="BF108" s="207" t="s">
        <v>4412</v>
      </c>
      <c r="BG108" s="229"/>
      <c r="BH108" s="321" t="str">
        <f t="shared" si="9"/>
        <v/>
      </c>
      <c r="BI108" s="98" t="str">
        <f t="shared" si="10"/>
        <v>AA</v>
      </c>
      <c r="BJ108" s="98" t="str">
        <f t="shared" si="11"/>
        <v>NÃO</v>
      </c>
      <c r="BK108" s="230"/>
      <c r="BL108" s="230"/>
      <c r="BM108" s="230"/>
      <c r="BN108" s="230"/>
      <c r="BO108" s="230"/>
      <c r="BP108" s="230"/>
      <c r="BQ108" s="230"/>
      <c r="BR108" s="234"/>
    </row>
    <row r="109" spans="1:73" s="240" customFormat="1" ht="27" hidden="1" customHeight="1">
      <c r="A109" s="197">
        <v>105</v>
      </c>
      <c r="B109" s="197" t="s">
        <v>4396</v>
      </c>
      <c r="C109" s="207" t="s">
        <v>4397</v>
      </c>
      <c r="D109" s="207">
        <v>1</v>
      </c>
      <c r="E109" s="207" t="s">
        <v>4398</v>
      </c>
      <c r="F109" s="214" t="s">
        <v>4870</v>
      </c>
      <c r="G109" s="207" t="s">
        <v>4400</v>
      </c>
      <c r="H109" s="207" t="s">
        <v>4401</v>
      </c>
      <c r="I109" s="217" t="s">
        <v>4402</v>
      </c>
      <c r="J109" s="215" t="s">
        <v>4873</v>
      </c>
      <c r="K109" s="215" t="s">
        <v>4874</v>
      </c>
      <c r="L109" s="215" t="s">
        <v>4875</v>
      </c>
      <c r="M109" s="207" t="s">
        <v>4405</v>
      </c>
      <c r="N109" s="207" t="s">
        <v>4442</v>
      </c>
      <c r="O109" s="202" t="s">
        <v>4409</v>
      </c>
      <c r="P109" s="202" t="s">
        <v>4409</v>
      </c>
      <c r="Q109" s="202" t="s">
        <v>4409</v>
      </c>
      <c r="R109" s="202" t="s">
        <v>4409</v>
      </c>
      <c r="S109" s="202" t="s">
        <v>4409</v>
      </c>
      <c r="T109" s="202" t="s">
        <v>4409</v>
      </c>
      <c r="U109" s="202" t="s">
        <v>4409</v>
      </c>
      <c r="V109" s="202" t="s">
        <v>4409</v>
      </c>
      <c r="W109" s="202" t="s">
        <v>4409</v>
      </c>
      <c r="X109" s="202" t="s">
        <v>4409</v>
      </c>
      <c r="Y109" s="202"/>
      <c r="Z109" s="202"/>
      <c r="AA109" s="215" t="s">
        <v>4873</v>
      </c>
      <c r="AB109" s="215" t="s">
        <v>4874</v>
      </c>
      <c r="AC109" s="215" t="s">
        <v>4875</v>
      </c>
      <c r="AD109" s="197" t="s">
        <v>4402</v>
      </c>
      <c r="AE109" s="197" t="s">
        <v>4405</v>
      </c>
      <c r="AF109" s="243">
        <v>28694.81</v>
      </c>
      <c r="AG109" s="243">
        <v>58694.81</v>
      </c>
      <c r="AH109" s="197" t="s">
        <v>4433</v>
      </c>
      <c r="AI109" s="214" t="s">
        <v>4411</v>
      </c>
      <c r="AJ109" s="207">
        <v>151548907</v>
      </c>
      <c r="AK109" s="316">
        <v>46106</v>
      </c>
      <c r="AL109" s="316">
        <v>46106</v>
      </c>
      <c r="AM109" s="316">
        <v>46106</v>
      </c>
      <c r="AN109" s="316">
        <v>46106</v>
      </c>
      <c r="AO109" s="316">
        <v>46106</v>
      </c>
      <c r="AP109" s="316">
        <v>46106</v>
      </c>
      <c r="AQ109" s="314"/>
      <c r="AR109" s="315" t="str">
        <f t="shared" si="8"/>
        <v>FINALIZADO</v>
      </c>
      <c r="AS109" s="207" t="s">
        <v>4423</v>
      </c>
      <c r="AT109" s="207"/>
      <c r="AU109" s="220" t="s">
        <v>4876</v>
      </c>
      <c r="AV109" s="207" t="s">
        <v>4425</v>
      </c>
      <c r="AW109" s="207" t="s">
        <v>4425</v>
      </c>
      <c r="AX109" s="207" t="s">
        <v>4425</v>
      </c>
      <c r="AY109" s="207" t="s">
        <v>4425</v>
      </c>
      <c r="AZ109" s="202">
        <v>46128</v>
      </c>
      <c r="BA109" s="207" t="s">
        <v>4425</v>
      </c>
      <c r="BB109" s="207" t="s">
        <v>4425</v>
      </c>
      <c r="BC109" s="202">
        <v>46139</v>
      </c>
      <c r="BD109" s="227">
        <v>46139</v>
      </c>
      <c r="BE109" s="244" t="s">
        <v>4435</v>
      </c>
      <c r="BF109" s="245" t="s">
        <v>4436</v>
      </c>
      <c r="BG109" s="229" t="s">
        <v>4425</v>
      </c>
      <c r="BH109" s="321">
        <f t="shared" si="9"/>
        <v>33</v>
      </c>
      <c r="BI109" s="98" t="str">
        <f t="shared" si="10"/>
        <v>INDENIZAÇÃO</v>
      </c>
      <c r="BJ109" s="98" t="str">
        <f t="shared" si="11"/>
        <v>NÃO</v>
      </c>
      <c r="BK109" s="219" t="s">
        <v>4437</v>
      </c>
      <c r="BL109" s="219" t="s">
        <v>4437</v>
      </c>
      <c r="BM109" s="219" t="s">
        <v>4437</v>
      </c>
      <c r="BN109" s="219" t="s">
        <v>4425</v>
      </c>
      <c r="BO109" s="219" t="s">
        <v>4425</v>
      </c>
      <c r="BP109" s="202">
        <v>46195</v>
      </c>
      <c r="BQ109" s="219" t="s">
        <v>4425</v>
      </c>
      <c r="BR109" s="232" t="s">
        <v>4435</v>
      </c>
    </row>
    <row r="110" spans="1:73" s="240" customFormat="1" ht="27" hidden="1" customHeight="1">
      <c r="A110" s="197">
        <v>106</v>
      </c>
      <c r="B110" s="197" t="s">
        <v>4396</v>
      </c>
      <c r="C110" s="207" t="s">
        <v>4453</v>
      </c>
      <c r="D110" s="207">
        <v>1</v>
      </c>
      <c r="E110" s="207" t="s">
        <v>4398</v>
      </c>
      <c r="F110" s="214" t="s">
        <v>4877</v>
      </c>
      <c r="G110" s="207" t="s">
        <v>4400</v>
      </c>
      <c r="H110" s="207" t="s">
        <v>4401</v>
      </c>
      <c r="I110" s="217" t="s">
        <v>4402</v>
      </c>
      <c r="J110" s="215" t="s">
        <v>4878</v>
      </c>
      <c r="K110" s="214" t="s">
        <v>4879</v>
      </c>
      <c r="L110" s="214" t="s">
        <v>4880</v>
      </c>
      <c r="M110" s="207" t="s">
        <v>4405</v>
      </c>
      <c r="N110" s="207" t="s">
        <v>4406</v>
      </c>
      <c r="O110" s="202">
        <v>45986</v>
      </c>
      <c r="P110" s="203" t="s">
        <v>4407</v>
      </c>
      <c r="Q110" s="203">
        <v>45985</v>
      </c>
      <c r="R110" s="203">
        <v>45986</v>
      </c>
      <c r="S110" s="203">
        <v>45987</v>
      </c>
      <c r="T110" s="203">
        <v>45992</v>
      </c>
      <c r="U110" s="202" t="s">
        <v>4408</v>
      </c>
      <c r="V110" s="202" t="s">
        <v>4408</v>
      </c>
      <c r="W110" s="202">
        <v>45999</v>
      </c>
      <c r="X110" s="202">
        <v>46000</v>
      </c>
      <c r="Y110" s="202">
        <v>46017</v>
      </c>
      <c r="Z110" s="207"/>
      <c r="AA110" s="215" t="s">
        <v>4878</v>
      </c>
      <c r="AB110" s="215" t="s">
        <v>4879</v>
      </c>
      <c r="AC110" s="215" t="s">
        <v>4880</v>
      </c>
      <c r="AD110" s="241" t="s">
        <v>4402</v>
      </c>
      <c r="AE110" s="241" t="s">
        <v>4405</v>
      </c>
      <c r="AF110" s="242" t="s">
        <v>4409</v>
      </c>
      <c r="AG110" s="242" t="s">
        <v>4409</v>
      </c>
      <c r="AH110" s="241" t="s">
        <v>4410</v>
      </c>
      <c r="AI110" s="214" t="s">
        <v>4411</v>
      </c>
      <c r="AJ110" s="207"/>
      <c r="AK110" s="316">
        <v>45979</v>
      </c>
      <c r="AL110" s="316">
        <v>45979</v>
      </c>
      <c r="AM110" s="316">
        <v>45979</v>
      </c>
      <c r="AN110" s="316">
        <v>45979</v>
      </c>
      <c r="AO110" s="316">
        <v>45979</v>
      </c>
      <c r="AP110" s="316">
        <v>45979</v>
      </c>
      <c r="AQ110" s="314"/>
      <c r="AR110" s="315" t="str">
        <f t="shared" si="8"/>
        <v>FINALIZADO</v>
      </c>
      <c r="AS110" s="207"/>
      <c r="AT110" s="207"/>
      <c r="AU110" s="220"/>
      <c r="AV110" s="207"/>
      <c r="AW110" s="207"/>
      <c r="AX110" s="207"/>
      <c r="AY110" s="207"/>
      <c r="AZ110" s="202"/>
      <c r="BA110" s="207"/>
      <c r="BB110" s="207"/>
      <c r="BC110" s="202"/>
      <c r="BD110" s="208"/>
      <c r="BE110" s="239">
        <v>46017</v>
      </c>
      <c r="BF110" s="207" t="s">
        <v>4412</v>
      </c>
      <c r="BG110" s="229"/>
      <c r="BH110" s="321" t="str">
        <f t="shared" si="9"/>
        <v/>
      </c>
      <c r="BI110" s="98" t="str">
        <f t="shared" si="10"/>
        <v>AA</v>
      </c>
      <c r="BJ110" s="98" t="str">
        <f t="shared" si="11"/>
        <v>NÃO</v>
      </c>
      <c r="BK110" s="230"/>
      <c r="BL110" s="230"/>
      <c r="BM110" s="230"/>
      <c r="BN110" s="230"/>
      <c r="BO110" s="230"/>
      <c r="BP110" s="230"/>
      <c r="BQ110" s="230"/>
      <c r="BR110" s="234"/>
      <c r="BS110" s="223"/>
      <c r="BT110" s="223"/>
    </row>
    <row r="111" spans="1:73" s="240" customFormat="1" ht="27" hidden="1" customHeight="1">
      <c r="A111" s="207">
        <v>107</v>
      </c>
      <c r="B111" s="197" t="s">
        <v>4396</v>
      </c>
      <c r="C111" s="207" t="s">
        <v>4453</v>
      </c>
      <c r="D111" s="207">
        <v>1</v>
      </c>
      <c r="E111" s="207" t="s">
        <v>4398</v>
      </c>
      <c r="F111" s="214" t="s">
        <v>4881</v>
      </c>
      <c r="G111" s="207" t="s">
        <v>4400</v>
      </c>
      <c r="H111" s="207" t="s">
        <v>4401</v>
      </c>
      <c r="I111" s="217" t="s">
        <v>4402</v>
      </c>
      <c r="J111" s="215" t="s">
        <v>4882</v>
      </c>
      <c r="K111" s="215" t="s">
        <v>4883</v>
      </c>
      <c r="L111" s="215" t="s">
        <v>4884</v>
      </c>
      <c r="M111" s="207" t="s">
        <v>4405</v>
      </c>
      <c r="N111" s="207" t="s">
        <v>4406</v>
      </c>
      <c r="O111" s="202">
        <v>45986</v>
      </c>
      <c r="P111" s="203" t="s">
        <v>4407</v>
      </c>
      <c r="Q111" s="203">
        <v>45985</v>
      </c>
      <c r="R111" s="203">
        <v>45986</v>
      </c>
      <c r="S111" s="203">
        <v>45987</v>
      </c>
      <c r="T111" s="203">
        <v>45992</v>
      </c>
      <c r="U111" s="202" t="s">
        <v>4408</v>
      </c>
      <c r="V111" s="202" t="s">
        <v>4408</v>
      </c>
      <c r="W111" s="202">
        <v>45999</v>
      </c>
      <c r="X111" s="202">
        <v>46000</v>
      </c>
      <c r="Y111" s="202">
        <v>46017</v>
      </c>
      <c r="Z111" s="207"/>
      <c r="AA111" s="215" t="s">
        <v>4882</v>
      </c>
      <c r="AB111" s="215" t="s">
        <v>4883</v>
      </c>
      <c r="AC111" s="215" t="s">
        <v>4884</v>
      </c>
      <c r="AD111" s="204" t="s">
        <v>4402</v>
      </c>
      <c r="AE111" s="204" t="s">
        <v>4405</v>
      </c>
      <c r="AF111" s="205" t="s">
        <v>4409</v>
      </c>
      <c r="AG111" s="205" t="s">
        <v>4409</v>
      </c>
      <c r="AH111" s="204" t="s">
        <v>4410</v>
      </c>
      <c r="AI111" s="214" t="s">
        <v>4411</v>
      </c>
      <c r="AJ111" s="207"/>
      <c r="AK111" s="316">
        <v>45979</v>
      </c>
      <c r="AL111" s="316">
        <v>45979</v>
      </c>
      <c r="AM111" s="316">
        <v>45979</v>
      </c>
      <c r="AN111" s="316">
        <v>45979</v>
      </c>
      <c r="AO111" s="316">
        <v>45979</v>
      </c>
      <c r="AP111" s="316">
        <v>45979</v>
      </c>
      <c r="AQ111" s="314"/>
      <c r="AR111" s="315" t="str">
        <f t="shared" si="8"/>
        <v>FINALIZADO</v>
      </c>
      <c r="AS111" s="207"/>
      <c r="AT111" s="217"/>
      <c r="AU111" s="220"/>
      <c r="AV111" s="207"/>
      <c r="AW111" s="207"/>
      <c r="AX111" s="207"/>
      <c r="AY111" s="207"/>
      <c r="AZ111" s="202"/>
      <c r="BA111" s="207"/>
      <c r="BB111" s="207"/>
      <c r="BC111" s="202"/>
      <c r="BD111" s="208"/>
      <c r="BE111" s="209">
        <v>46017</v>
      </c>
      <c r="BF111" s="197" t="s">
        <v>4412</v>
      </c>
      <c r="BG111" s="229"/>
      <c r="BH111" s="321" t="str">
        <f t="shared" si="9"/>
        <v/>
      </c>
      <c r="BI111" s="98" t="str">
        <f t="shared" si="10"/>
        <v>AA</v>
      </c>
      <c r="BJ111" s="98" t="str">
        <f t="shared" si="11"/>
        <v>NÃO</v>
      </c>
      <c r="BK111" s="230"/>
      <c r="BL111" s="230"/>
      <c r="BM111" s="230"/>
      <c r="BN111" s="230"/>
      <c r="BO111" s="230"/>
      <c r="BP111" s="230"/>
      <c r="BQ111" s="230"/>
      <c r="BR111" s="234"/>
    </row>
    <row r="112" spans="1:73" s="240" customFormat="1" ht="27" hidden="1" customHeight="1">
      <c r="A112" s="207">
        <v>108</v>
      </c>
      <c r="B112" s="197" t="s">
        <v>4396</v>
      </c>
      <c r="C112" s="207" t="s">
        <v>4397</v>
      </c>
      <c r="D112" s="207">
        <v>1</v>
      </c>
      <c r="E112" s="207" t="s">
        <v>4398</v>
      </c>
      <c r="F112" s="214" t="s">
        <v>4881</v>
      </c>
      <c r="G112" s="207" t="s">
        <v>4400</v>
      </c>
      <c r="H112" s="207" t="s">
        <v>4401</v>
      </c>
      <c r="I112" s="217" t="s">
        <v>4402</v>
      </c>
      <c r="J112" s="215" t="s">
        <v>4885</v>
      </c>
      <c r="K112" s="215" t="s">
        <v>4886</v>
      </c>
      <c r="L112" s="215" t="s">
        <v>4887</v>
      </c>
      <c r="M112" s="207" t="s">
        <v>4405</v>
      </c>
      <c r="N112" s="207" t="s">
        <v>4432</v>
      </c>
      <c r="O112" s="202" t="s">
        <v>4409</v>
      </c>
      <c r="P112" s="202" t="s">
        <v>4409</v>
      </c>
      <c r="Q112" s="202" t="s">
        <v>4409</v>
      </c>
      <c r="R112" s="202" t="s">
        <v>4409</v>
      </c>
      <c r="S112" s="202" t="s">
        <v>4409</v>
      </c>
      <c r="T112" s="202" t="s">
        <v>4409</v>
      </c>
      <c r="U112" s="202" t="s">
        <v>4409</v>
      </c>
      <c r="V112" s="202" t="s">
        <v>4409</v>
      </c>
      <c r="W112" s="202" t="s">
        <v>4409</v>
      </c>
      <c r="X112" s="202" t="s">
        <v>4409</v>
      </c>
      <c r="Y112" s="202" t="s">
        <v>4409</v>
      </c>
      <c r="Z112" s="202" t="s">
        <v>4409</v>
      </c>
      <c r="AA112" s="215" t="s">
        <v>4885</v>
      </c>
      <c r="AB112" s="215" t="s">
        <v>4886</v>
      </c>
      <c r="AC112" s="215" t="s">
        <v>4887</v>
      </c>
      <c r="AD112" s="204" t="s">
        <v>4402</v>
      </c>
      <c r="AE112" s="204" t="s">
        <v>4405</v>
      </c>
      <c r="AF112" s="218">
        <v>66745.990000000005</v>
      </c>
      <c r="AG112" s="218">
        <v>66745.990000000005</v>
      </c>
      <c r="AH112" s="204" t="s">
        <v>4422</v>
      </c>
      <c r="AI112" s="214" t="s">
        <v>4411</v>
      </c>
      <c r="AJ112" s="207">
        <v>153611483</v>
      </c>
      <c r="AK112" s="316">
        <v>45979</v>
      </c>
      <c r="AL112" s="316">
        <v>45979</v>
      </c>
      <c r="AM112" s="316">
        <v>45979</v>
      </c>
      <c r="AN112" s="316">
        <v>45979</v>
      </c>
      <c r="AO112" s="316">
        <v>45979</v>
      </c>
      <c r="AP112" s="316">
        <v>45979</v>
      </c>
      <c r="AQ112" s="314"/>
      <c r="AR112" s="315" t="str">
        <f t="shared" si="8"/>
        <v>FINALIZADO</v>
      </c>
      <c r="AS112" s="207" t="s">
        <v>4423</v>
      </c>
      <c r="AT112" s="217"/>
      <c r="AU112" s="220" t="s">
        <v>4888</v>
      </c>
      <c r="AV112" s="207" t="s">
        <v>4425</v>
      </c>
      <c r="AW112" s="207" t="s">
        <v>4425</v>
      </c>
      <c r="AX112" s="207" t="s">
        <v>4425</v>
      </c>
      <c r="AY112" s="207" t="s">
        <v>4425</v>
      </c>
      <c r="AZ112" s="202">
        <v>46174</v>
      </c>
      <c r="BA112" s="207" t="s">
        <v>4425</v>
      </c>
      <c r="BB112" s="207" t="s">
        <v>4425</v>
      </c>
      <c r="BC112" s="202">
        <v>46182</v>
      </c>
      <c r="BD112" s="227">
        <v>46182</v>
      </c>
      <c r="BE112" s="235" t="s">
        <v>4435</v>
      </c>
      <c r="BF112" s="236" t="s">
        <v>4436</v>
      </c>
      <c r="BG112" s="237" t="s">
        <v>4425</v>
      </c>
      <c r="BH112" s="321">
        <f t="shared" si="9"/>
        <v>203</v>
      </c>
      <c r="BI112" s="98" t="str">
        <f t="shared" si="10"/>
        <v>INDENIZAÇÃO</v>
      </c>
      <c r="BJ112" s="98" t="str">
        <f t="shared" si="11"/>
        <v>NÃO</v>
      </c>
      <c r="BK112" s="238" t="s">
        <v>4437</v>
      </c>
      <c r="BL112" s="238" t="s">
        <v>4437</v>
      </c>
      <c r="BM112" s="238" t="s">
        <v>4437</v>
      </c>
      <c r="BN112" s="207" t="s">
        <v>4425</v>
      </c>
      <c r="BO112" s="207" t="s">
        <v>4425</v>
      </c>
      <c r="BP112" s="202">
        <v>46224</v>
      </c>
      <c r="BQ112" s="207" t="s">
        <v>4425</v>
      </c>
      <c r="BR112" s="232" t="s">
        <v>4435</v>
      </c>
      <c r="BS112" s="223"/>
    </row>
    <row r="113" spans="1:112" s="240" customFormat="1" ht="27" hidden="1" customHeight="1">
      <c r="A113" s="207">
        <v>109</v>
      </c>
      <c r="B113" s="197" t="s">
        <v>4396</v>
      </c>
      <c r="C113" s="207" t="s">
        <v>4397</v>
      </c>
      <c r="D113" s="207">
        <v>1</v>
      </c>
      <c r="E113" s="207" t="s">
        <v>4398</v>
      </c>
      <c r="F113" s="214" t="s">
        <v>4889</v>
      </c>
      <c r="G113" s="207" t="s">
        <v>4400</v>
      </c>
      <c r="H113" s="207" t="s">
        <v>4536</v>
      </c>
      <c r="I113" s="217" t="s">
        <v>4536</v>
      </c>
      <c r="J113" s="215" t="s">
        <v>4890</v>
      </c>
      <c r="K113" s="215" t="s">
        <v>4891</v>
      </c>
      <c r="L113" s="215" t="s">
        <v>4892</v>
      </c>
      <c r="M113" s="207" t="s">
        <v>4405</v>
      </c>
      <c r="N113" s="207" t="s">
        <v>4406</v>
      </c>
      <c r="O113" s="203">
        <v>46044</v>
      </c>
      <c r="P113" s="203" t="s">
        <v>4407</v>
      </c>
      <c r="Q113" s="203">
        <v>46043</v>
      </c>
      <c r="R113" s="203">
        <v>46044</v>
      </c>
      <c r="S113" s="203">
        <v>46045</v>
      </c>
      <c r="T113" s="203">
        <v>46155</v>
      </c>
      <c r="U113" s="202" t="s">
        <v>4408</v>
      </c>
      <c r="V113" s="202" t="s">
        <v>4408</v>
      </c>
      <c r="W113" s="202">
        <v>46055</v>
      </c>
      <c r="X113" s="203">
        <v>46056</v>
      </c>
      <c r="Y113" s="203"/>
      <c r="Z113" s="219"/>
      <c r="AA113" s="215" t="s">
        <v>4890</v>
      </c>
      <c r="AB113" s="215" t="s">
        <v>4891</v>
      </c>
      <c r="AC113" s="215" t="s">
        <v>4892</v>
      </c>
      <c r="AD113" s="252" t="s">
        <v>4402</v>
      </c>
      <c r="AE113" s="254" t="s">
        <v>4405</v>
      </c>
      <c r="AF113" s="243" t="s">
        <v>4409</v>
      </c>
      <c r="AG113" s="243" t="s">
        <v>4409</v>
      </c>
      <c r="AH113" s="197" t="s">
        <v>4410</v>
      </c>
      <c r="AI113" s="214" t="s">
        <v>4411</v>
      </c>
      <c r="AJ113" s="207"/>
      <c r="AK113" s="316">
        <v>46038</v>
      </c>
      <c r="AL113" s="316">
        <v>46038</v>
      </c>
      <c r="AM113" s="316">
        <v>46038</v>
      </c>
      <c r="AN113" s="316">
        <v>46038</v>
      </c>
      <c r="AO113" s="316">
        <v>46038</v>
      </c>
      <c r="AP113" s="316">
        <v>46038</v>
      </c>
      <c r="AQ113" s="314"/>
      <c r="AR113" s="315" t="str">
        <f t="shared" si="8"/>
        <v>FINALIZADO</v>
      </c>
      <c r="AS113" s="207"/>
      <c r="AT113" s="219"/>
      <c r="AU113" s="220"/>
      <c r="AV113" s="219"/>
      <c r="AW113" s="219"/>
      <c r="AX113" s="219"/>
      <c r="AY113" s="219"/>
      <c r="AZ113" s="219"/>
      <c r="BA113" s="219"/>
      <c r="BB113" s="219"/>
      <c r="BC113" s="219"/>
      <c r="BD113" s="208"/>
      <c r="BE113" s="253"/>
      <c r="BF113" s="254"/>
      <c r="BG113" s="219"/>
      <c r="BH113" s="321" t="str">
        <f t="shared" si="9"/>
        <v/>
      </c>
      <c r="BI113" s="98" t="str">
        <f t="shared" si="10"/>
        <v>AA</v>
      </c>
      <c r="BJ113" s="98" t="str">
        <f t="shared" si="11"/>
        <v>NÃO</v>
      </c>
      <c r="BK113" s="219"/>
      <c r="BL113" s="221"/>
      <c r="BM113" s="221"/>
      <c r="BN113" s="219"/>
      <c r="BO113" s="219"/>
      <c r="BP113" s="219"/>
      <c r="BQ113" s="219"/>
      <c r="BR113" s="222"/>
    </row>
    <row r="114" spans="1:112" s="240" customFormat="1" ht="27" hidden="1" customHeight="1">
      <c r="A114" s="197">
        <v>110</v>
      </c>
      <c r="B114" s="197" t="s">
        <v>4396</v>
      </c>
      <c r="C114" s="207" t="s">
        <v>4453</v>
      </c>
      <c r="D114" s="207">
        <v>1</v>
      </c>
      <c r="E114" s="207" t="s">
        <v>4398</v>
      </c>
      <c r="F114" s="214" t="s">
        <v>4893</v>
      </c>
      <c r="G114" s="207" t="s">
        <v>4400</v>
      </c>
      <c r="H114" s="207" t="s">
        <v>4401</v>
      </c>
      <c r="I114" s="217" t="s">
        <v>4402</v>
      </c>
      <c r="J114" s="215" t="s">
        <v>4894</v>
      </c>
      <c r="K114" s="215" t="s">
        <v>4895</v>
      </c>
      <c r="L114" s="215" t="s">
        <v>4896</v>
      </c>
      <c r="M114" s="207" t="s">
        <v>4405</v>
      </c>
      <c r="N114" s="207" t="s">
        <v>4406</v>
      </c>
      <c r="O114" s="202">
        <v>45986</v>
      </c>
      <c r="P114" s="203" t="s">
        <v>4407</v>
      </c>
      <c r="Q114" s="203">
        <v>45985</v>
      </c>
      <c r="R114" s="203">
        <v>45986</v>
      </c>
      <c r="S114" s="203">
        <v>45987</v>
      </c>
      <c r="T114" s="203">
        <v>45992</v>
      </c>
      <c r="U114" s="202" t="s">
        <v>4408</v>
      </c>
      <c r="V114" s="202" t="s">
        <v>4408</v>
      </c>
      <c r="W114" s="202">
        <v>45999</v>
      </c>
      <c r="X114" s="202">
        <v>46000</v>
      </c>
      <c r="Y114" s="202">
        <v>46017</v>
      </c>
      <c r="Z114" s="207"/>
      <c r="AA114" s="215" t="s">
        <v>4894</v>
      </c>
      <c r="AB114" s="215" t="s">
        <v>4895</v>
      </c>
      <c r="AC114" s="215" t="s">
        <v>4896</v>
      </c>
      <c r="AD114" s="241" t="s">
        <v>4402</v>
      </c>
      <c r="AE114" s="241" t="s">
        <v>4405</v>
      </c>
      <c r="AF114" s="242" t="s">
        <v>4409</v>
      </c>
      <c r="AG114" s="242" t="s">
        <v>4409</v>
      </c>
      <c r="AH114" s="241" t="s">
        <v>4410</v>
      </c>
      <c r="AI114" s="214" t="s">
        <v>4411</v>
      </c>
      <c r="AJ114" s="207"/>
      <c r="AK114" s="316">
        <v>45979</v>
      </c>
      <c r="AL114" s="316">
        <v>45979</v>
      </c>
      <c r="AM114" s="316">
        <v>45979</v>
      </c>
      <c r="AN114" s="316">
        <v>45979</v>
      </c>
      <c r="AO114" s="316">
        <v>45979</v>
      </c>
      <c r="AP114" s="316">
        <v>45979</v>
      </c>
      <c r="AQ114" s="314"/>
      <c r="AR114" s="315" t="str">
        <f t="shared" si="8"/>
        <v>FINALIZADO</v>
      </c>
      <c r="AS114" s="207"/>
      <c r="AT114" s="207"/>
      <c r="AU114" s="220"/>
      <c r="AV114" s="207"/>
      <c r="AW114" s="207"/>
      <c r="AX114" s="207"/>
      <c r="AY114" s="207"/>
      <c r="AZ114" s="202"/>
      <c r="BA114" s="207"/>
      <c r="BB114" s="207"/>
      <c r="BC114" s="202"/>
      <c r="BD114" s="208"/>
      <c r="BE114" s="239">
        <v>46017</v>
      </c>
      <c r="BF114" s="207" t="s">
        <v>4412</v>
      </c>
      <c r="BG114" s="229"/>
      <c r="BH114" s="321" t="str">
        <f t="shared" si="9"/>
        <v/>
      </c>
      <c r="BI114" s="98" t="str">
        <f t="shared" si="10"/>
        <v>AA</v>
      </c>
      <c r="BJ114" s="98" t="str">
        <f t="shared" si="11"/>
        <v>NÃO</v>
      </c>
      <c r="BK114" s="230"/>
      <c r="BL114" s="230"/>
      <c r="BM114" s="230"/>
      <c r="BN114" s="230"/>
      <c r="BO114" s="230"/>
      <c r="BP114" s="230"/>
      <c r="BQ114" s="230"/>
      <c r="BR114" s="234"/>
    </row>
    <row r="115" spans="1:112" s="240" customFormat="1" ht="27" hidden="1" customHeight="1">
      <c r="A115" s="197">
        <v>111</v>
      </c>
      <c r="B115" s="197" t="s">
        <v>4396</v>
      </c>
      <c r="C115" s="207" t="s">
        <v>4397</v>
      </c>
      <c r="D115" s="207">
        <v>1</v>
      </c>
      <c r="E115" s="207" t="s">
        <v>4398</v>
      </c>
      <c r="F115" s="214" t="s">
        <v>4893</v>
      </c>
      <c r="G115" s="207" t="s">
        <v>4400</v>
      </c>
      <c r="H115" s="207" t="s">
        <v>4401</v>
      </c>
      <c r="I115" s="217" t="s">
        <v>4402</v>
      </c>
      <c r="J115" s="215" t="s">
        <v>4897</v>
      </c>
      <c r="K115" s="215" t="s">
        <v>4398</v>
      </c>
      <c r="L115" s="215" t="s">
        <v>4898</v>
      </c>
      <c r="M115" s="207" t="s">
        <v>4405</v>
      </c>
      <c r="N115" s="207" t="s">
        <v>4442</v>
      </c>
      <c r="O115" s="202" t="s">
        <v>4409</v>
      </c>
      <c r="P115" s="202" t="s">
        <v>4409</v>
      </c>
      <c r="Q115" s="202" t="s">
        <v>4409</v>
      </c>
      <c r="R115" s="202" t="s">
        <v>4409</v>
      </c>
      <c r="S115" s="202" t="s">
        <v>4409</v>
      </c>
      <c r="T115" s="202" t="s">
        <v>4409</v>
      </c>
      <c r="U115" s="202" t="s">
        <v>4409</v>
      </c>
      <c r="V115" s="202" t="s">
        <v>4409</v>
      </c>
      <c r="W115" s="202" t="s">
        <v>4409</v>
      </c>
      <c r="X115" s="202" t="s">
        <v>4409</v>
      </c>
      <c r="Y115" s="202"/>
      <c r="Z115" s="202"/>
      <c r="AA115" s="215" t="s">
        <v>4897</v>
      </c>
      <c r="AB115" s="215" t="s">
        <v>4398</v>
      </c>
      <c r="AC115" s="215" t="s">
        <v>4898</v>
      </c>
      <c r="AD115" s="207" t="s">
        <v>4402</v>
      </c>
      <c r="AE115" s="207" t="s">
        <v>4405</v>
      </c>
      <c r="AF115" s="218">
        <v>173624.01</v>
      </c>
      <c r="AG115" s="218">
        <v>173624.01</v>
      </c>
      <c r="AH115" s="207" t="s">
        <v>4433</v>
      </c>
      <c r="AI115" s="214" t="s">
        <v>4411</v>
      </c>
      <c r="AJ115" s="207">
        <v>151549560</v>
      </c>
      <c r="AK115" s="316">
        <v>46086</v>
      </c>
      <c r="AL115" s="316">
        <v>46086</v>
      </c>
      <c r="AM115" s="316">
        <v>46086</v>
      </c>
      <c r="AN115" s="316">
        <v>46086</v>
      </c>
      <c r="AO115" s="316">
        <v>46086</v>
      </c>
      <c r="AP115" s="316">
        <v>46086</v>
      </c>
      <c r="AQ115" s="314"/>
      <c r="AR115" s="315" t="str">
        <f t="shared" si="8"/>
        <v>FINALIZADO</v>
      </c>
      <c r="AS115" s="207" t="s">
        <v>4423</v>
      </c>
      <c r="AT115" s="219"/>
      <c r="AU115" s="220" t="s">
        <v>4899</v>
      </c>
      <c r="AV115" s="197" t="s">
        <v>4425</v>
      </c>
      <c r="AW115" s="207" t="s">
        <v>4425</v>
      </c>
      <c r="AX115" s="250" t="s">
        <v>4425</v>
      </c>
      <c r="AY115" s="250" t="s">
        <v>4425</v>
      </c>
      <c r="AZ115" s="202">
        <v>46140</v>
      </c>
      <c r="BA115" s="250" t="s">
        <v>4425</v>
      </c>
      <c r="BB115" s="250" t="s">
        <v>4425</v>
      </c>
      <c r="BC115" s="202">
        <v>46147</v>
      </c>
      <c r="BD115" s="227">
        <v>46147</v>
      </c>
      <c r="BE115" s="228" t="s">
        <v>4435</v>
      </c>
      <c r="BF115" s="228" t="s">
        <v>4436</v>
      </c>
      <c r="BG115" s="219" t="s">
        <v>4425</v>
      </c>
      <c r="BH115" s="321">
        <f t="shared" si="9"/>
        <v>61</v>
      </c>
      <c r="BI115" s="98" t="str">
        <f t="shared" si="10"/>
        <v>INDENIZAÇÃO</v>
      </c>
      <c r="BJ115" s="98" t="str">
        <f t="shared" si="11"/>
        <v>NÃO</v>
      </c>
      <c r="BK115" s="219" t="s">
        <v>4437</v>
      </c>
      <c r="BL115" s="219" t="s">
        <v>4437</v>
      </c>
      <c r="BM115" s="219" t="s">
        <v>4437</v>
      </c>
      <c r="BN115" s="219" t="s">
        <v>4425</v>
      </c>
      <c r="BO115" s="219" t="s">
        <v>4425</v>
      </c>
      <c r="BP115" s="202">
        <v>46195</v>
      </c>
      <c r="BQ115" s="219" t="s">
        <v>4425</v>
      </c>
      <c r="BR115" s="232" t="s">
        <v>4435</v>
      </c>
    </row>
    <row r="116" spans="1:112" s="240" customFormat="1" ht="27" customHeight="1">
      <c r="A116" s="207">
        <v>112</v>
      </c>
      <c r="B116" s="197" t="s">
        <v>4396</v>
      </c>
      <c r="C116" s="207" t="s">
        <v>4413</v>
      </c>
      <c r="D116" s="207">
        <v>1</v>
      </c>
      <c r="E116" s="207" t="s">
        <v>4398</v>
      </c>
      <c r="F116" s="214" t="s">
        <v>4893</v>
      </c>
      <c r="G116" s="207" t="s">
        <v>4400</v>
      </c>
      <c r="H116" s="207" t="s">
        <v>4401</v>
      </c>
      <c r="I116" s="207" t="s">
        <v>4402</v>
      </c>
      <c r="J116" s="215" t="s">
        <v>4900</v>
      </c>
      <c r="K116" s="215" t="s">
        <v>4901</v>
      </c>
      <c r="L116" s="215" t="s">
        <v>4902</v>
      </c>
      <c r="M116" s="207" t="s">
        <v>4405</v>
      </c>
      <c r="N116" s="207" t="s">
        <v>4442</v>
      </c>
      <c r="O116" s="202" t="s">
        <v>4409</v>
      </c>
      <c r="P116" s="202" t="s">
        <v>4409</v>
      </c>
      <c r="Q116" s="202" t="s">
        <v>4409</v>
      </c>
      <c r="R116" s="202" t="s">
        <v>4409</v>
      </c>
      <c r="S116" s="202" t="s">
        <v>4409</v>
      </c>
      <c r="T116" s="202" t="s">
        <v>4409</v>
      </c>
      <c r="U116" s="202" t="s">
        <v>4409</v>
      </c>
      <c r="V116" s="202" t="s">
        <v>4409</v>
      </c>
      <c r="W116" s="202" t="s">
        <v>4409</v>
      </c>
      <c r="X116" s="202" t="s">
        <v>4409</v>
      </c>
      <c r="Y116" s="202"/>
      <c r="Z116" s="202"/>
      <c r="AA116" s="215" t="s">
        <v>4900</v>
      </c>
      <c r="AB116" s="215" t="s">
        <v>4901</v>
      </c>
      <c r="AC116" s="215" t="s">
        <v>4902</v>
      </c>
      <c r="AD116" s="197" t="s">
        <v>4402</v>
      </c>
      <c r="AE116" s="197" t="s">
        <v>4405</v>
      </c>
      <c r="AF116" s="243">
        <v>107774.65</v>
      </c>
      <c r="AG116" s="243">
        <v>107774.65</v>
      </c>
      <c r="AH116" s="197" t="s">
        <v>4422</v>
      </c>
      <c r="AI116" s="214" t="s">
        <v>4411</v>
      </c>
      <c r="AJ116" s="207">
        <v>154684712</v>
      </c>
      <c r="AK116" s="316">
        <v>46188</v>
      </c>
      <c r="AL116" s="316">
        <v>46188</v>
      </c>
      <c r="AM116" s="316">
        <v>46188</v>
      </c>
      <c r="AN116" s="316">
        <v>46188</v>
      </c>
      <c r="AO116" s="316">
        <v>46188</v>
      </c>
      <c r="AP116" s="316">
        <v>46188</v>
      </c>
      <c r="AQ116" s="314"/>
      <c r="AR116" s="315" t="str">
        <f t="shared" si="8"/>
        <v>FINALIZADO</v>
      </c>
      <c r="AS116" s="207" t="s">
        <v>4423</v>
      </c>
      <c r="AT116" s="219"/>
      <c r="AU116" s="220" t="s">
        <v>4903</v>
      </c>
      <c r="AV116" s="207" t="s">
        <v>4818</v>
      </c>
      <c r="AW116" s="207" t="s">
        <v>4818</v>
      </c>
      <c r="AX116" s="207" t="s">
        <v>4818</v>
      </c>
      <c r="AY116" s="207" t="s">
        <v>4818</v>
      </c>
      <c r="AZ116" s="202">
        <v>46233</v>
      </c>
      <c r="BA116" s="207" t="s">
        <v>4818</v>
      </c>
      <c r="BB116" s="207" t="s">
        <v>4818</v>
      </c>
      <c r="BC116" s="202">
        <v>46234</v>
      </c>
      <c r="BD116" s="226">
        <v>46234</v>
      </c>
      <c r="BE116" s="257" t="s">
        <v>4435</v>
      </c>
      <c r="BF116" s="257" t="s">
        <v>4436</v>
      </c>
      <c r="BG116" s="219" t="s">
        <v>4425</v>
      </c>
      <c r="BH116" s="321">
        <f t="shared" si="9"/>
        <v>46</v>
      </c>
      <c r="BI116" s="98" t="str">
        <f t="shared" si="10"/>
        <v>INDENIZAÇÃO</v>
      </c>
      <c r="BJ116" s="98" t="str">
        <f t="shared" si="11"/>
        <v>NÃO</v>
      </c>
      <c r="BK116" s="219" t="s">
        <v>4437</v>
      </c>
      <c r="BL116" s="219" t="s">
        <v>4437</v>
      </c>
      <c r="BM116" s="219" t="s">
        <v>4437</v>
      </c>
      <c r="BN116" s="250" t="s">
        <v>4425</v>
      </c>
      <c r="BO116" s="250" t="s">
        <v>4425</v>
      </c>
      <c r="BP116" s="202">
        <v>46269</v>
      </c>
      <c r="BQ116" s="257" t="s">
        <v>4819</v>
      </c>
      <c r="BR116" s="258"/>
      <c r="BS116" s="223"/>
      <c r="BT116" s="223"/>
    </row>
    <row r="117" spans="1:112" s="240" customFormat="1" ht="27" hidden="1" customHeight="1">
      <c r="A117" s="207">
        <v>113</v>
      </c>
      <c r="B117" s="197" t="s">
        <v>4396</v>
      </c>
      <c r="C117" s="207" t="s">
        <v>4397</v>
      </c>
      <c r="D117" s="207">
        <v>1</v>
      </c>
      <c r="E117" s="207" t="s">
        <v>4398</v>
      </c>
      <c r="F117" s="261" t="s">
        <v>4904</v>
      </c>
      <c r="G117" s="207" t="s">
        <v>4400</v>
      </c>
      <c r="H117" s="207" t="s">
        <v>4401</v>
      </c>
      <c r="I117" s="217" t="s">
        <v>4402</v>
      </c>
      <c r="J117" s="215" t="s">
        <v>4905</v>
      </c>
      <c r="K117" s="215" t="s">
        <v>4906</v>
      </c>
      <c r="L117" s="215" t="s">
        <v>4907</v>
      </c>
      <c r="M117" s="207" t="s">
        <v>4405</v>
      </c>
      <c r="N117" s="207" t="s">
        <v>4442</v>
      </c>
      <c r="O117" s="202" t="s">
        <v>4409</v>
      </c>
      <c r="P117" s="202" t="s">
        <v>4409</v>
      </c>
      <c r="Q117" s="202" t="s">
        <v>4409</v>
      </c>
      <c r="R117" s="202" t="s">
        <v>4409</v>
      </c>
      <c r="S117" s="202" t="s">
        <v>4409</v>
      </c>
      <c r="T117" s="202" t="s">
        <v>4409</v>
      </c>
      <c r="U117" s="202" t="s">
        <v>4409</v>
      </c>
      <c r="V117" s="202" t="s">
        <v>4409</v>
      </c>
      <c r="W117" s="202" t="s">
        <v>4409</v>
      </c>
      <c r="X117" s="202" t="s">
        <v>4409</v>
      </c>
      <c r="Y117" s="202"/>
      <c r="Z117" s="202"/>
      <c r="AA117" s="215" t="s">
        <v>4905</v>
      </c>
      <c r="AB117" s="215" t="s">
        <v>4906</v>
      </c>
      <c r="AC117" s="215" t="s">
        <v>4907</v>
      </c>
      <c r="AD117" s="207" t="s">
        <v>4402</v>
      </c>
      <c r="AE117" s="207" t="s">
        <v>4405</v>
      </c>
      <c r="AF117" s="218">
        <v>56469.75</v>
      </c>
      <c r="AG117" s="218">
        <v>60000</v>
      </c>
      <c r="AH117" s="207" t="s">
        <v>4433</v>
      </c>
      <c r="AI117" s="214" t="s">
        <v>4411</v>
      </c>
      <c r="AJ117" s="207">
        <v>152693532</v>
      </c>
      <c r="AK117" s="316">
        <v>46142</v>
      </c>
      <c r="AL117" s="316">
        <v>46142</v>
      </c>
      <c r="AM117" s="316">
        <v>46142</v>
      </c>
      <c r="AN117" s="316">
        <v>46142</v>
      </c>
      <c r="AO117" s="316">
        <v>46142</v>
      </c>
      <c r="AP117" s="316">
        <v>46142</v>
      </c>
      <c r="AQ117" s="314"/>
      <c r="AR117" s="315" t="str">
        <f t="shared" si="8"/>
        <v>FINALIZADO</v>
      </c>
      <c r="AS117" s="207" t="s">
        <v>4423</v>
      </c>
      <c r="AT117" s="262"/>
      <c r="AU117" s="220" t="s">
        <v>4908</v>
      </c>
      <c r="AV117" s="262" t="s">
        <v>4425</v>
      </c>
      <c r="AW117" s="219" t="s">
        <v>4425</v>
      </c>
      <c r="AX117" s="219" t="s">
        <v>4425</v>
      </c>
      <c r="AY117" s="219" t="s">
        <v>4425</v>
      </c>
      <c r="AZ117" s="202">
        <v>46216</v>
      </c>
      <c r="BA117" s="262" t="s">
        <v>4425</v>
      </c>
      <c r="BB117" s="262" t="s">
        <v>4425</v>
      </c>
      <c r="BC117" s="202">
        <v>46220</v>
      </c>
      <c r="BD117" s="264">
        <v>46220</v>
      </c>
      <c r="BE117" s="257" t="s">
        <v>4435</v>
      </c>
      <c r="BF117" s="228" t="s">
        <v>4436</v>
      </c>
      <c r="BG117" s="229" t="s">
        <v>4425</v>
      </c>
      <c r="BH117" s="321">
        <f t="shared" si="9"/>
        <v>78</v>
      </c>
      <c r="BI117" s="98" t="str">
        <f t="shared" si="10"/>
        <v>INDENIZAÇÃO</v>
      </c>
      <c r="BJ117" s="98" t="str">
        <f t="shared" si="11"/>
        <v>NÃO</v>
      </c>
      <c r="BK117" s="230" t="s">
        <v>4437</v>
      </c>
      <c r="BL117" s="230" t="s">
        <v>4437</v>
      </c>
      <c r="BM117" s="230" t="s">
        <v>4437</v>
      </c>
      <c r="BN117" s="250" t="s">
        <v>4425</v>
      </c>
      <c r="BO117" s="250" t="s">
        <v>4425</v>
      </c>
      <c r="BP117" s="202">
        <v>46269</v>
      </c>
      <c r="BQ117" s="257" t="s">
        <v>4819</v>
      </c>
      <c r="BR117" s="231"/>
    </row>
    <row r="118" spans="1:112" s="240" customFormat="1" ht="27" hidden="1" customHeight="1">
      <c r="A118" s="207">
        <v>114</v>
      </c>
      <c r="B118" s="197" t="s">
        <v>4396</v>
      </c>
      <c r="C118" s="207" t="s">
        <v>4397</v>
      </c>
      <c r="D118" s="207">
        <v>1</v>
      </c>
      <c r="E118" s="207" t="s">
        <v>4398</v>
      </c>
      <c r="F118" s="214" t="s">
        <v>4909</v>
      </c>
      <c r="G118" s="207" t="s">
        <v>4400</v>
      </c>
      <c r="H118" s="207" t="s">
        <v>4401</v>
      </c>
      <c r="I118" s="217" t="s">
        <v>4402</v>
      </c>
      <c r="J118" s="215" t="s">
        <v>4910</v>
      </c>
      <c r="K118" s="215" t="s">
        <v>4906</v>
      </c>
      <c r="L118" s="215" t="s">
        <v>4911</v>
      </c>
      <c r="M118" s="207" t="s">
        <v>4405</v>
      </c>
      <c r="N118" s="207" t="s">
        <v>4442</v>
      </c>
      <c r="O118" s="202" t="s">
        <v>4409</v>
      </c>
      <c r="P118" s="202" t="s">
        <v>4409</v>
      </c>
      <c r="Q118" s="202" t="s">
        <v>4409</v>
      </c>
      <c r="R118" s="202" t="s">
        <v>4409</v>
      </c>
      <c r="S118" s="202" t="s">
        <v>4409</v>
      </c>
      <c r="T118" s="202" t="s">
        <v>4409</v>
      </c>
      <c r="U118" s="202" t="s">
        <v>4409</v>
      </c>
      <c r="V118" s="202" t="s">
        <v>4409</v>
      </c>
      <c r="W118" s="202" t="s">
        <v>4409</v>
      </c>
      <c r="X118" s="202" t="s">
        <v>4409</v>
      </c>
      <c r="Y118" s="202"/>
      <c r="Z118" s="202"/>
      <c r="AA118" s="215" t="s">
        <v>4910</v>
      </c>
      <c r="AB118" s="215" t="s">
        <v>4906</v>
      </c>
      <c r="AC118" s="215" t="s">
        <v>4911</v>
      </c>
      <c r="AD118" s="207" t="s">
        <v>4402</v>
      </c>
      <c r="AE118" s="207" t="s">
        <v>4405</v>
      </c>
      <c r="AF118" s="218">
        <v>52579.99</v>
      </c>
      <c r="AG118" s="218">
        <v>60000</v>
      </c>
      <c r="AH118" s="207" t="s">
        <v>4422</v>
      </c>
      <c r="AI118" s="214" t="s">
        <v>4411</v>
      </c>
      <c r="AJ118" s="207">
        <v>150958482</v>
      </c>
      <c r="AK118" s="316">
        <v>46142</v>
      </c>
      <c r="AL118" s="316">
        <v>46142</v>
      </c>
      <c r="AM118" s="316">
        <v>46142</v>
      </c>
      <c r="AN118" s="316">
        <v>46142</v>
      </c>
      <c r="AO118" s="316">
        <v>46142</v>
      </c>
      <c r="AP118" s="316">
        <v>46142</v>
      </c>
      <c r="AQ118" s="314"/>
      <c r="AR118" s="315" t="str">
        <f t="shared" si="8"/>
        <v>FINALIZADO</v>
      </c>
      <c r="AS118" s="207" t="s">
        <v>4423</v>
      </c>
      <c r="AT118" s="262"/>
      <c r="AU118" s="220" t="s">
        <v>4912</v>
      </c>
      <c r="AV118" s="262" t="s">
        <v>4425</v>
      </c>
      <c r="AW118" s="219" t="s">
        <v>4425</v>
      </c>
      <c r="AX118" s="219" t="s">
        <v>4425</v>
      </c>
      <c r="AY118" s="219" t="s">
        <v>4425</v>
      </c>
      <c r="AZ118" s="202">
        <v>46216</v>
      </c>
      <c r="BA118" s="262" t="s">
        <v>4425</v>
      </c>
      <c r="BB118" s="262" t="s">
        <v>4425</v>
      </c>
      <c r="BC118" s="202">
        <v>46223</v>
      </c>
      <c r="BD118" s="264">
        <v>46223</v>
      </c>
      <c r="BE118" s="257" t="s">
        <v>4435</v>
      </c>
      <c r="BF118" s="228" t="s">
        <v>4436</v>
      </c>
      <c r="BG118" s="229" t="s">
        <v>4425</v>
      </c>
      <c r="BH118" s="321">
        <f t="shared" si="9"/>
        <v>81</v>
      </c>
      <c r="BI118" s="98" t="str">
        <f t="shared" si="10"/>
        <v>INDENIZAÇÃO</v>
      </c>
      <c r="BJ118" s="98" t="str">
        <f t="shared" si="11"/>
        <v>NÃO</v>
      </c>
      <c r="BK118" s="230" t="s">
        <v>4437</v>
      </c>
      <c r="BL118" s="230" t="s">
        <v>4437</v>
      </c>
      <c r="BM118" s="230" t="s">
        <v>4437</v>
      </c>
      <c r="BN118" s="250" t="s">
        <v>4425</v>
      </c>
      <c r="BO118" s="250" t="s">
        <v>4425</v>
      </c>
      <c r="BP118" s="202">
        <v>46269</v>
      </c>
      <c r="BQ118" s="257" t="s">
        <v>4819</v>
      </c>
      <c r="BR118" s="231"/>
    </row>
    <row r="119" spans="1:112" s="240" customFormat="1" ht="27" hidden="1" customHeight="1">
      <c r="A119" s="197">
        <v>115</v>
      </c>
      <c r="B119" s="197" t="s">
        <v>4396</v>
      </c>
      <c r="C119" s="207" t="s">
        <v>4397</v>
      </c>
      <c r="D119" s="207">
        <v>1</v>
      </c>
      <c r="E119" s="207" t="s">
        <v>4398</v>
      </c>
      <c r="F119" s="214" t="s">
        <v>4913</v>
      </c>
      <c r="G119" s="207" t="s">
        <v>4400</v>
      </c>
      <c r="H119" s="207" t="s">
        <v>4401</v>
      </c>
      <c r="I119" s="217" t="s">
        <v>4402</v>
      </c>
      <c r="J119" s="215" t="s">
        <v>4914</v>
      </c>
      <c r="K119" s="215" t="s">
        <v>4915</v>
      </c>
      <c r="L119" s="215" t="s">
        <v>4916</v>
      </c>
      <c r="M119" s="207" t="s">
        <v>4405</v>
      </c>
      <c r="N119" s="207" t="s">
        <v>4442</v>
      </c>
      <c r="O119" s="202" t="s">
        <v>4409</v>
      </c>
      <c r="P119" s="202" t="s">
        <v>4409</v>
      </c>
      <c r="Q119" s="202" t="s">
        <v>4409</v>
      </c>
      <c r="R119" s="202" t="s">
        <v>4409</v>
      </c>
      <c r="S119" s="202" t="s">
        <v>4409</v>
      </c>
      <c r="T119" s="202" t="s">
        <v>4409</v>
      </c>
      <c r="U119" s="202" t="s">
        <v>4409</v>
      </c>
      <c r="V119" s="202" t="s">
        <v>4409</v>
      </c>
      <c r="W119" s="202" t="s">
        <v>4409</v>
      </c>
      <c r="X119" s="202" t="s">
        <v>4409</v>
      </c>
      <c r="Y119" s="202"/>
      <c r="Z119" s="202"/>
      <c r="AA119" s="215" t="s">
        <v>4914</v>
      </c>
      <c r="AB119" s="215" t="s">
        <v>4915</v>
      </c>
      <c r="AC119" s="215" t="s">
        <v>4916</v>
      </c>
      <c r="AD119" s="207" t="s">
        <v>4402</v>
      </c>
      <c r="AE119" s="207" t="s">
        <v>4405</v>
      </c>
      <c r="AF119" s="218">
        <v>69685.83</v>
      </c>
      <c r="AG119" s="218">
        <v>69685.83</v>
      </c>
      <c r="AH119" s="207" t="s">
        <v>4422</v>
      </c>
      <c r="AI119" s="214" t="s">
        <v>4411</v>
      </c>
      <c r="AJ119" s="207">
        <v>159958540</v>
      </c>
      <c r="AK119" s="316">
        <v>46189</v>
      </c>
      <c r="AL119" s="316">
        <v>46189</v>
      </c>
      <c r="AM119" s="316">
        <v>46189</v>
      </c>
      <c r="AN119" s="316">
        <v>46189</v>
      </c>
      <c r="AO119" s="316">
        <v>46189</v>
      </c>
      <c r="AP119" s="316">
        <v>46189</v>
      </c>
      <c r="AQ119" s="314"/>
      <c r="AR119" s="315" t="str">
        <f t="shared" si="8"/>
        <v>FINALIZADO</v>
      </c>
      <c r="AS119" s="207" t="s">
        <v>4423</v>
      </c>
      <c r="AT119" s="219"/>
      <c r="AU119" s="220" t="s">
        <v>4917</v>
      </c>
      <c r="AV119" s="219" t="s">
        <v>4425</v>
      </c>
      <c r="AW119" s="219" t="s">
        <v>4425</v>
      </c>
      <c r="AX119" s="219" t="s">
        <v>4425</v>
      </c>
      <c r="AY119" s="219" t="s">
        <v>4425</v>
      </c>
      <c r="AZ119" s="202">
        <v>46226</v>
      </c>
      <c r="BA119" s="219" t="s">
        <v>4425</v>
      </c>
      <c r="BB119" s="219" t="s">
        <v>4425</v>
      </c>
      <c r="BC119" s="202">
        <v>46232</v>
      </c>
      <c r="BD119" s="226">
        <v>46232</v>
      </c>
      <c r="BE119" s="257" t="s">
        <v>4435</v>
      </c>
      <c r="BF119" s="257" t="s">
        <v>4436</v>
      </c>
      <c r="BG119" s="219" t="s">
        <v>4425</v>
      </c>
      <c r="BH119" s="321">
        <f t="shared" si="9"/>
        <v>43</v>
      </c>
      <c r="BI119" s="98" t="str">
        <f t="shared" si="10"/>
        <v>INDENIZAÇÃO</v>
      </c>
      <c r="BJ119" s="98" t="str">
        <f t="shared" si="11"/>
        <v>NÃO</v>
      </c>
      <c r="BK119" s="219" t="s">
        <v>4437</v>
      </c>
      <c r="BL119" s="219" t="s">
        <v>4437</v>
      </c>
      <c r="BM119" s="219" t="s">
        <v>4437</v>
      </c>
      <c r="BN119" s="250" t="s">
        <v>4425</v>
      </c>
      <c r="BO119" s="250" t="s">
        <v>4425</v>
      </c>
      <c r="BP119" s="202">
        <v>46269</v>
      </c>
      <c r="BQ119" s="257" t="s">
        <v>4819</v>
      </c>
      <c r="BR119" s="258"/>
      <c r="BS119" s="223"/>
      <c r="BT119" s="223"/>
    </row>
    <row r="120" spans="1:112" s="240" customFormat="1" ht="27" customHeight="1">
      <c r="A120" s="197">
        <v>116</v>
      </c>
      <c r="B120" s="197" t="s">
        <v>4396</v>
      </c>
      <c r="C120" s="207" t="s">
        <v>4413</v>
      </c>
      <c r="D120" s="207">
        <v>1</v>
      </c>
      <c r="E120" s="207" t="s">
        <v>4398</v>
      </c>
      <c r="F120" s="214" t="s">
        <v>4918</v>
      </c>
      <c r="G120" s="207" t="s">
        <v>4400</v>
      </c>
      <c r="H120" s="207" t="s">
        <v>4401</v>
      </c>
      <c r="I120" s="207" t="s">
        <v>4402</v>
      </c>
      <c r="J120" s="215" t="s">
        <v>4919</v>
      </c>
      <c r="K120" s="215" t="s">
        <v>4920</v>
      </c>
      <c r="L120" s="215" t="s">
        <v>4921</v>
      </c>
      <c r="M120" s="207" t="s">
        <v>4405</v>
      </c>
      <c r="N120" s="207" t="s">
        <v>4406</v>
      </c>
      <c r="O120" s="202">
        <v>46126</v>
      </c>
      <c r="P120" s="202" t="s">
        <v>4407</v>
      </c>
      <c r="Q120" s="203">
        <v>46126</v>
      </c>
      <c r="R120" s="203">
        <v>46126</v>
      </c>
      <c r="S120" s="203">
        <v>46136</v>
      </c>
      <c r="T120" s="203">
        <v>46140</v>
      </c>
      <c r="U120" s="203" t="s">
        <v>4408</v>
      </c>
      <c r="V120" s="203" t="s">
        <v>4408</v>
      </c>
      <c r="W120" s="202">
        <v>46153</v>
      </c>
      <c r="X120" s="202">
        <v>46154</v>
      </c>
      <c r="Y120" s="202"/>
      <c r="Z120" s="202"/>
      <c r="AA120" s="215" t="s">
        <v>4919</v>
      </c>
      <c r="AB120" s="215" t="s">
        <v>4920</v>
      </c>
      <c r="AC120" s="215" t="s">
        <v>4921</v>
      </c>
      <c r="AD120" s="207" t="s">
        <v>4402</v>
      </c>
      <c r="AE120" s="207" t="s">
        <v>4405</v>
      </c>
      <c r="AF120" s="218" t="s">
        <v>4409</v>
      </c>
      <c r="AG120" s="218" t="s">
        <v>4409</v>
      </c>
      <c r="AH120" s="207" t="s">
        <v>4410</v>
      </c>
      <c r="AI120" s="214" t="s">
        <v>4411</v>
      </c>
      <c r="AJ120" s="207"/>
      <c r="AK120" s="316">
        <v>46091</v>
      </c>
      <c r="AL120" s="316">
        <v>46091</v>
      </c>
      <c r="AM120" s="316">
        <v>46091</v>
      </c>
      <c r="AN120" s="316">
        <v>46091</v>
      </c>
      <c r="AO120" s="316">
        <v>46091</v>
      </c>
      <c r="AP120" s="316">
        <v>46091</v>
      </c>
      <c r="AQ120" s="314"/>
      <c r="AR120" s="315" t="str">
        <f t="shared" si="8"/>
        <v>FINALIZADO</v>
      </c>
      <c r="AS120" s="207"/>
      <c r="AT120" s="219"/>
      <c r="AU120" s="220"/>
      <c r="AV120" s="219"/>
      <c r="AW120" s="219"/>
      <c r="AX120" s="219"/>
      <c r="AY120" s="219"/>
      <c r="AZ120" s="219"/>
      <c r="BA120" s="219"/>
      <c r="BB120" s="219"/>
      <c r="BC120" s="219"/>
      <c r="BD120" s="208"/>
      <c r="BE120" s="203"/>
      <c r="BF120" s="219"/>
      <c r="BG120" s="219"/>
      <c r="BH120" s="321" t="str">
        <f t="shared" si="9"/>
        <v/>
      </c>
      <c r="BI120" s="98" t="str">
        <f t="shared" si="10"/>
        <v>AA</v>
      </c>
      <c r="BJ120" s="98" t="str">
        <f t="shared" si="11"/>
        <v>NÃO</v>
      </c>
      <c r="BK120" s="219"/>
      <c r="BL120" s="221"/>
      <c r="BM120" s="221"/>
      <c r="BN120" s="219"/>
      <c r="BO120" s="219"/>
      <c r="BP120" s="219"/>
      <c r="BQ120" s="219"/>
      <c r="BR120" s="222"/>
    </row>
    <row r="121" spans="1:112" s="240" customFormat="1" ht="27" hidden="1" customHeight="1">
      <c r="A121" s="207">
        <v>117</v>
      </c>
      <c r="B121" s="197" t="s">
        <v>4396</v>
      </c>
      <c r="C121" s="207" t="s">
        <v>4397</v>
      </c>
      <c r="D121" s="207">
        <v>1</v>
      </c>
      <c r="E121" s="207" t="s">
        <v>4398</v>
      </c>
      <c r="F121" s="214" t="s">
        <v>4918</v>
      </c>
      <c r="G121" s="207" t="s">
        <v>4400</v>
      </c>
      <c r="H121" s="207" t="s">
        <v>4401</v>
      </c>
      <c r="I121" s="217" t="s">
        <v>4922</v>
      </c>
      <c r="J121" s="215" t="s">
        <v>4923</v>
      </c>
      <c r="K121" s="215" t="s">
        <v>4924</v>
      </c>
      <c r="L121" s="215" t="s">
        <v>4925</v>
      </c>
      <c r="M121" s="207" t="s">
        <v>4405</v>
      </c>
      <c r="N121" s="207" t="s">
        <v>4406</v>
      </c>
      <c r="O121" s="202">
        <v>46217</v>
      </c>
      <c r="P121" s="202" t="s">
        <v>4407</v>
      </c>
      <c r="Q121" s="203"/>
      <c r="R121" s="203"/>
      <c r="S121" s="203"/>
      <c r="T121" s="202"/>
      <c r="U121" s="203"/>
      <c r="V121" s="203"/>
      <c r="W121" s="203"/>
      <c r="X121" s="203"/>
      <c r="Y121" s="203"/>
      <c r="Z121" s="219"/>
      <c r="AA121" s="215" t="s">
        <v>4926</v>
      </c>
      <c r="AB121" s="215" t="s">
        <v>4927</v>
      </c>
      <c r="AC121" s="215" t="s">
        <v>4928</v>
      </c>
      <c r="AD121" s="217" t="s">
        <v>4421</v>
      </c>
      <c r="AE121" s="207" t="s">
        <v>4405</v>
      </c>
      <c r="AF121" s="218">
        <v>78337.789999999994</v>
      </c>
      <c r="AG121" s="218">
        <v>78337.789999999994</v>
      </c>
      <c r="AH121" s="207" t="s">
        <v>4422</v>
      </c>
      <c r="AI121" s="214" t="s">
        <v>4411</v>
      </c>
      <c r="AJ121" s="207">
        <v>152682655</v>
      </c>
      <c r="AK121" s="316">
        <v>46189</v>
      </c>
      <c r="AL121" s="316">
        <v>46189</v>
      </c>
      <c r="AM121" s="316">
        <v>46189</v>
      </c>
      <c r="AN121" s="316">
        <v>46189</v>
      </c>
      <c r="AO121" s="316">
        <v>46189</v>
      </c>
      <c r="AP121" s="316">
        <v>46189</v>
      </c>
      <c r="AQ121" s="314"/>
      <c r="AR121" s="315" t="str">
        <f t="shared" si="8"/>
        <v>FINALIZADO</v>
      </c>
      <c r="AS121" s="207" t="s">
        <v>4423</v>
      </c>
      <c r="AT121" s="219"/>
      <c r="AU121" s="220" t="s">
        <v>4929</v>
      </c>
      <c r="AV121" s="219" t="s">
        <v>4425</v>
      </c>
      <c r="AW121" s="219" t="s">
        <v>4425</v>
      </c>
      <c r="AX121" s="219" t="s">
        <v>4425</v>
      </c>
      <c r="AY121" s="219" t="s">
        <v>4425</v>
      </c>
      <c r="AZ121" s="202">
        <v>46226</v>
      </c>
      <c r="BA121" s="219" t="s">
        <v>4425</v>
      </c>
      <c r="BB121" s="219" t="s">
        <v>4425</v>
      </c>
      <c r="BC121" s="202">
        <v>46232</v>
      </c>
      <c r="BD121" s="226">
        <v>46232</v>
      </c>
      <c r="BE121" s="257" t="s">
        <v>4435</v>
      </c>
      <c r="BF121" s="257" t="s">
        <v>4436</v>
      </c>
      <c r="BG121" s="219" t="s">
        <v>4425</v>
      </c>
      <c r="BH121" s="321">
        <f t="shared" si="9"/>
        <v>43</v>
      </c>
      <c r="BI121" s="98" t="str">
        <f t="shared" si="10"/>
        <v>INDENIZAÇÃO</v>
      </c>
      <c r="BJ121" s="98" t="str">
        <f t="shared" si="11"/>
        <v>NÃO</v>
      </c>
      <c r="BK121" s="219" t="s">
        <v>4437</v>
      </c>
      <c r="BL121" s="219" t="s">
        <v>4437</v>
      </c>
      <c r="BM121" s="219" t="s">
        <v>4437</v>
      </c>
      <c r="BN121" s="250" t="s">
        <v>4425</v>
      </c>
      <c r="BO121" s="250" t="s">
        <v>4425</v>
      </c>
      <c r="BP121" s="202">
        <v>46269</v>
      </c>
      <c r="BQ121" s="257" t="s">
        <v>4819</v>
      </c>
      <c r="BR121" s="258"/>
      <c r="BS121" s="223"/>
    </row>
    <row r="122" spans="1:112" s="240" customFormat="1" ht="27" hidden="1" customHeight="1">
      <c r="A122" s="207">
        <v>118</v>
      </c>
      <c r="B122" s="197" t="s">
        <v>4396</v>
      </c>
      <c r="C122" s="207" t="s">
        <v>4397</v>
      </c>
      <c r="D122" s="207">
        <v>1</v>
      </c>
      <c r="E122" s="207" t="s">
        <v>4398</v>
      </c>
      <c r="F122" s="214" t="s">
        <v>4930</v>
      </c>
      <c r="G122" s="207" t="s">
        <v>4400</v>
      </c>
      <c r="H122" s="207" t="s">
        <v>4401</v>
      </c>
      <c r="I122" s="217" t="s">
        <v>4402</v>
      </c>
      <c r="J122" s="215" t="s">
        <v>4931</v>
      </c>
      <c r="K122" s="215" t="s">
        <v>4932</v>
      </c>
      <c r="L122" s="215" t="s">
        <v>4933</v>
      </c>
      <c r="M122" s="207" t="s">
        <v>4405</v>
      </c>
      <c r="N122" s="207" t="s">
        <v>4442</v>
      </c>
      <c r="O122" s="202" t="s">
        <v>4409</v>
      </c>
      <c r="P122" s="202" t="s">
        <v>4409</v>
      </c>
      <c r="Q122" s="202" t="s">
        <v>4409</v>
      </c>
      <c r="R122" s="202" t="s">
        <v>4409</v>
      </c>
      <c r="S122" s="202" t="s">
        <v>4409</v>
      </c>
      <c r="T122" s="202" t="s">
        <v>4409</v>
      </c>
      <c r="U122" s="202" t="s">
        <v>4409</v>
      </c>
      <c r="V122" s="202" t="s">
        <v>4409</v>
      </c>
      <c r="W122" s="202" t="s">
        <v>4409</v>
      </c>
      <c r="X122" s="202" t="s">
        <v>4409</v>
      </c>
      <c r="Y122" s="202"/>
      <c r="Z122" s="202"/>
      <c r="AA122" s="215" t="s">
        <v>4931</v>
      </c>
      <c r="AB122" s="215" t="s">
        <v>4932</v>
      </c>
      <c r="AC122" s="215" t="s">
        <v>4933</v>
      </c>
      <c r="AD122" s="207" t="s">
        <v>4402</v>
      </c>
      <c r="AE122" s="207" t="s">
        <v>4405</v>
      </c>
      <c r="AF122" s="218">
        <v>201636.55</v>
      </c>
      <c r="AG122" s="218">
        <v>201636.55</v>
      </c>
      <c r="AH122" s="207" t="s">
        <v>4422</v>
      </c>
      <c r="AI122" s="214" t="s">
        <v>4411</v>
      </c>
      <c r="AJ122" s="207">
        <v>150959152</v>
      </c>
      <c r="AK122" s="316">
        <v>46086</v>
      </c>
      <c r="AL122" s="316">
        <v>46086</v>
      </c>
      <c r="AM122" s="316">
        <v>46086</v>
      </c>
      <c r="AN122" s="316">
        <v>46086</v>
      </c>
      <c r="AO122" s="316">
        <v>46086</v>
      </c>
      <c r="AP122" s="316">
        <v>46086</v>
      </c>
      <c r="AQ122" s="314"/>
      <c r="AR122" s="315" t="str">
        <f t="shared" si="8"/>
        <v>FINALIZADO</v>
      </c>
      <c r="AS122" s="207" t="s">
        <v>4423</v>
      </c>
      <c r="AT122" s="219"/>
      <c r="AU122" s="220" t="s">
        <v>4934</v>
      </c>
      <c r="AV122" s="197" t="s">
        <v>4425</v>
      </c>
      <c r="AW122" s="207" t="s">
        <v>4425</v>
      </c>
      <c r="AX122" s="207" t="s">
        <v>4425</v>
      </c>
      <c r="AY122" s="207" t="s">
        <v>4425</v>
      </c>
      <c r="AZ122" s="202">
        <v>46128</v>
      </c>
      <c r="BA122" s="207" t="s">
        <v>4425</v>
      </c>
      <c r="BB122" s="207" t="s">
        <v>4425</v>
      </c>
      <c r="BC122" s="202">
        <v>46139</v>
      </c>
      <c r="BD122" s="227">
        <v>46139</v>
      </c>
      <c r="BE122" s="227" t="s">
        <v>4435</v>
      </c>
      <c r="BF122" s="228" t="s">
        <v>4436</v>
      </c>
      <c r="BG122" s="229" t="s">
        <v>4425</v>
      </c>
      <c r="BH122" s="321">
        <f t="shared" si="9"/>
        <v>53</v>
      </c>
      <c r="BI122" s="98" t="str">
        <f t="shared" si="10"/>
        <v>INDENIZAÇÃO</v>
      </c>
      <c r="BJ122" s="98" t="str">
        <f t="shared" si="11"/>
        <v>NÃO</v>
      </c>
      <c r="BK122" s="219" t="s">
        <v>4437</v>
      </c>
      <c r="BL122" s="219" t="s">
        <v>4437</v>
      </c>
      <c r="BM122" s="219" t="s">
        <v>4437</v>
      </c>
      <c r="BN122" s="219" t="s">
        <v>4425</v>
      </c>
      <c r="BO122" s="219" t="s">
        <v>4425</v>
      </c>
      <c r="BP122" s="202">
        <v>46195</v>
      </c>
      <c r="BQ122" s="219" t="s">
        <v>4425</v>
      </c>
      <c r="BR122" s="232" t="s">
        <v>4435</v>
      </c>
    </row>
    <row r="123" spans="1:112" s="240" customFormat="1" ht="27" customHeight="1">
      <c r="A123" s="207">
        <v>119</v>
      </c>
      <c r="B123" s="197" t="s">
        <v>4396</v>
      </c>
      <c r="C123" s="207" t="s">
        <v>4413</v>
      </c>
      <c r="D123" s="207">
        <v>1</v>
      </c>
      <c r="E123" s="207" t="s">
        <v>4398</v>
      </c>
      <c r="F123" s="214" t="s">
        <v>4930</v>
      </c>
      <c r="G123" s="207" t="s">
        <v>4400</v>
      </c>
      <c r="H123" s="207" t="s">
        <v>4401</v>
      </c>
      <c r="I123" s="217" t="s">
        <v>4402</v>
      </c>
      <c r="J123" s="215" t="s">
        <v>4935</v>
      </c>
      <c r="K123" s="215"/>
      <c r="L123" s="215" t="s">
        <v>4936</v>
      </c>
      <c r="M123" s="207" t="s">
        <v>4405</v>
      </c>
      <c r="N123" s="207" t="s">
        <v>4442</v>
      </c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15" t="s">
        <v>4935</v>
      </c>
      <c r="AB123" s="215" t="s">
        <v>4906</v>
      </c>
      <c r="AC123" s="215" t="s">
        <v>4936</v>
      </c>
      <c r="AD123" s="207" t="s">
        <v>4402</v>
      </c>
      <c r="AE123" s="207" t="s">
        <v>4405</v>
      </c>
      <c r="AF123" s="218">
        <v>92003.68</v>
      </c>
      <c r="AG123" s="218">
        <v>92003.68</v>
      </c>
      <c r="AH123" s="207" t="s">
        <v>4422</v>
      </c>
      <c r="AI123" s="214" t="s">
        <v>4411</v>
      </c>
      <c r="AJ123" s="207">
        <v>158685767</v>
      </c>
      <c r="AK123" s="316">
        <v>46188</v>
      </c>
      <c r="AL123" s="316">
        <v>46188</v>
      </c>
      <c r="AM123" s="316">
        <v>46188</v>
      </c>
      <c r="AN123" s="316">
        <v>46188</v>
      </c>
      <c r="AO123" s="316">
        <v>46188</v>
      </c>
      <c r="AP123" s="316">
        <v>46188</v>
      </c>
      <c r="AQ123" s="314"/>
      <c r="AR123" s="315" t="str">
        <f t="shared" si="8"/>
        <v>FINALIZADO</v>
      </c>
      <c r="AS123" s="207" t="s">
        <v>4423</v>
      </c>
      <c r="AT123" s="219"/>
      <c r="AU123" s="220" t="s">
        <v>4937</v>
      </c>
      <c r="AV123" s="207" t="s">
        <v>4818</v>
      </c>
      <c r="AW123" s="207" t="s">
        <v>4818</v>
      </c>
      <c r="AX123" s="207" t="s">
        <v>4818</v>
      </c>
      <c r="AY123" s="207" t="s">
        <v>4818</v>
      </c>
      <c r="AZ123" s="202">
        <v>46233</v>
      </c>
      <c r="BA123" s="207" t="s">
        <v>4818</v>
      </c>
      <c r="BB123" s="207" t="s">
        <v>4818</v>
      </c>
      <c r="BC123" s="202">
        <v>46234</v>
      </c>
      <c r="BD123" s="226">
        <v>46234</v>
      </c>
      <c r="BE123" s="257" t="s">
        <v>4435</v>
      </c>
      <c r="BF123" s="257" t="s">
        <v>4436</v>
      </c>
      <c r="BG123" s="219" t="s">
        <v>4425</v>
      </c>
      <c r="BH123" s="321">
        <f t="shared" si="9"/>
        <v>46</v>
      </c>
      <c r="BI123" s="98" t="str">
        <f t="shared" si="10"/>
        <v>INDENIZAÇÃO</v>
      </c>
      <c r="BJ123" s="98" t="str">
        <f t="shared" si="11"/>
        <v>NÃO</v>
      </c>
      <c r="BK123" s="219" t="s">
        <v>4437</v>
      </c>
      <c r="BL123" s="219" t="s">
        <v>4437</v>
      </c>
      <c r="BM123" s="219" t="s">
        <v>4437</v>
      </c>
      <c r="BN123" s="250" t="s">
        <v>4425</v>
      </c>
      <c r="BO123" s="250" t="s">
        <v>4425</v>
      </c>
      <c r="BP123" s="202">
        <v>46269</v>
      </c>
      <c r="BQ123" s="257" t="s">
        <v>4819</v>
      </c>
      <c r="BR123" s="258"/>
      <c r="BS123" s="223"/>
    </row>
    <row r="124" spans="1:112" s="240" customFormat="1" ht="27" customHeight="1">
      <c r="A124" s="197">
        <v>120</v>
      </c>
      <c r="B124" s="197" t="s">
        <v>4396</v>
      </c>
      <c r="C124" s="207" t="s">
        <v>4413</v>
      </c>
      <c r="D124" s="207">
        <v>1</v>
      </c>
      <c r="E124" s="207" t="s">
        <v>4398</v>
      </c>
      <c r="F124" s="214" t="s">
        <v>4938</v>
      </c>
      <c r="G124" s="207" t="s">
        <v>4400</v>
      </c>
      <c r="H124" s="207" t="s">
        <v>4401</v>
      </c>
      <c r="I124" s="207" t="s">
        <v>4402</v>
      </c>
      <c r="J124" s="215" t="s">
        <v>4939</v>
      </c>
      <c r="K124" s="215" t="s">
        <v>4940</v>
      </c>
      <c r="L124" s="215" t="s">
        <v>4941</v>
      </c>
      <c r="M124" s="207" t="s">
        <v>4405</v>
      </c>
      <c r="N124" s="207" t="s">
        <v>4442</v>
      </c>
      <c r="O124" s="202" t="s">
        <v>4409</v>
      </c>
      <c r="P124" s="202" t="s">
        <v>4409</v>
      </c>
      <c r="Q124" s="202" t="s">
        <v>4409</v>
      </c>
      <c r="R124" s="202" t="s">
        <v>4409</v>
      </c>
      <c r="S124" s="202" t="s">
        <v>4409</v>
      </c>
      <c r="T124" s="202" t="s">
        <v>4409</v>
      </c>
      <c r="U124" s="202" t="s">
        <v>4409</v>
      </c>
      <c r="V124" s="202" t="s">
        <v>4409</v>
      </c>
      <c r="W124" s="202" t="s">
        <v>4409</v>
      </c>
      <c r="X124" s="202" t="s">
        <v>4409</v>
      </c>
      <c r="Y124" s="202"/>
      <c r="Z124" s="202"/>
      <c r="AA124" s="215" t="s">
        <v>4939</v>
      </c>
      <c r="AB124" s="215" t="s">
        <v>4940</v>
      </c>
      <c r="AC124" s="215" t="s">
        <v>4941</v>
      </c>
      <c r="AD124" s="207" t="s">
        <v>4402</v>
      </c>
      <c r="AE124" s="207" t="s">
        <v>4405</v>
      </c>
      <c r="AF124" s="218">
        <v>31037.1</v>
      </c>
      <c r="AG124" s="218">
        <v>60000</v>
      </c>
      <c r="AH124" s="207" t="s">
        <v>4433</v>
      </c>
      <c r="AI124" s="214" t="s">
        <v>4942</v>
      </c>
      <c r="AJ124" s="207">
        <v>152693702</v>
      </c>
      <c r="AK124" s="316">
        <v>46106</v>
      </c>
      <c r="AL124" s="316">
        <v>46106</v>
      </c>
      <c r="AM124" s="316">
        <v>46106</v>
      </c>
      <c r="AN124" s="316">
        <v>46106</v>
      </c>
      <c r="AO124" s="316">
        <v>46106</v>
      </c>
      <c r="AP124" s="316">
        <v>46106</v>
      </c>
      <c r="AQ124" s="314"/>
      <c r="AR124" s="315" t="str">
        <f t="shared" si="8"/>
        <v>FINALIZADO</v>
      </c>
      <c r="AS124" s="207" t="s">
        <v>4423</v>
      </c>
      <c r="AT124" s="207"/>
      <c r="AU124" s="220" t="s">
        <v>4942</v>
      </c>
      <c r="AV124" s="207" t="s">
        <v>4425</v>
      </c>
      <c r="AW124" s="207" t="s">
        <v>4425</v>
      </c>
      <c r="AX124" s="207" t="s">
        <v>4425</v>
      </c>
      <c r="AY124" s="207" t="s">
        <v>4425</v>
      </c>
      <c r="AZ124" s="202">
        <v>46128</v>
      </c>
      <c r="BA124" s="207" t="s">
        <v>4425</v>
      </c>
      <c r="BB124" s="207" t="s">
        <v>4425</v>
      </c>
      <c r="BC124" s="202">
        <v>46139</v>
      </c>
      <c r="BD124" s="227">
        <v>46139</v>
      </c>
      <c r="BE124" s="227" t="s">
        <v>4435</v>
      </c>
      <c r="BF124" s="228" t="s">
        <v>4436</v>
      </c>
      <c r="BG124" s="229" t="s">
        <v>4425</v>
      </c>
      <c r="BH124" s="321">
        <f t="shared" si="9"/>
        <v>33</v>
      </c>
      <c r="BI124" s="98" t="str">
        <f t="shared" si="10"/>
        <v>INDENIZAÇÃO</v>
      </c>
      <c r="BJ124" s="98" t="str">
        <f t="shared" si="11"/>
        <v>NÃO</v>
      </c>
      <c r="BK124" s="219" t="s">
        <v>4437</v>
      </c>
      <c r="BL124" s="219" t="s">
        <v>4437</v>
      </c>
      <c r="BM124" s="219" t="s">
        <v>4437</v>
      </c>
      <c r="BN124" s="219" t="s">
        <v>4425</v>
      </c>
      <c r="BO124" s="219" t="s">
        <v>4425</v>
      </c>
      <c r="BP124" s="202">
        <v>46195</v>
      </c>
      <c r="BQ124" s="219" t="s">
        <v>4425</v>
      </c>
      <c r="BR124" s="232" t="s">
        <v>4435</v>
      </c>
      <c r="BS124" s="223"/>
      <c r="BT124" s="223"/>
    </row>
    <row r="125" spans="1:112" s="240" customFormat="1" ht="27" hidden="1" customHeight="1">
      <c r="A125" s="197">
        <v>121</v>
      </c>
      <c r="B125" s="197" t="s">
        <v>4396</v>
      </c>
      <c r="C125" s="207" t="s">
        <v>4397</v>
      </c>
      <c r="D125" s="207">
        <v>1</v>
      </c>
      <c r="E125" s="207" t="s">
        <v>4398</v>
      </c>
      <c r="F125" s="214" t="s">
        <v>4938</v>
      </c>
      <c r="G125" s="207" t="s">
        <v>4400</v>
      </c>
      <c r="H125" s="207" t="s">
        <v>4583</v>
      </c>
      <c r="I125" s="217" t="s">
        <v>4402</v>
      </c>
      <c r="J125" s="215" t="s">
        <v>4943</v>
      </c>
      <c r="K125" s="215" t="s">
        <v>4944</v>
      </c>
      <c r="L125" s="215" t="s">
        <v>4945</v>
      </c>
      <c r="M125" s="207" t="s">
        <v>4405</v>
      </c>
      <c r="N125" s="207" t="s">
        <v>4442</v>
      </c>
      <c r="O125" s="202" t="s">
        <v>4409</v>
      </c>
      <c r="P125" s="202" t="s">
        <v>4409</v>
      </c>
      <c r="Q125" s="202" t="s">
        <v>4409</v>
      </c>
      <c r="R125" s="202" t="s">
        <v>4409</v>
      </c>
      <c r="S125" s="202" t="s">
        <v>4409</v>
      </c>
      <c r="T125" s="202" t="s">
        <v>4409</v>
      </c>
      <c r="U125" s="202" t="s">
        <v>4409</v>
      </c>
      <c r="V125" s="202" t="s">
        <v>4409</v>
      </c>
      <c r="W125" s="202" t="s">
        <v>4409</v>
      </c>
      <c r="X125" s="202" t="s">
        <v>4409</v>
      </c>
      <c r="Y125" s="202"/>
      <c r="Z125" s="202"/>
      <c r="AA125" s="215" t="s">
        <v>4943</v>
      </c>
      <c r="AB125" s="215" t="s">
        <v>4944</v>
      </c>
      <c r="AC125" s="215" t="s">
        <v>4945</v>
      </c>
      <c r="AD125" s="207" t="s">
        <v>4402</v>
      </c>
      <c r="AE125" s="207" t="s">
        <v>4405</v>
      </c>
      <c r="AF125" s="218">
        <v>78331.789999999994</v>
      </c>
      <c r="AG125" s="218">
        <v>78331.789999999994</v>
      </c>
      <c r="AH125" s="207" t="s">
        <v>4433</v>
      </c>
      <c r="AI125" s="214" t="s">
        <v>4411</v>
      </c>
      <c r="AJ125" s="207">
        <v>152013415</v>
      </c>
      <c r="AK125" s="316">
        <v>46111</v>
      </c>
      <c r="AL125" s="316">
        <v>46111</v>
      </c>
      <c r="AM125" s="316">
        <v>46111</v>
      </c>
      <c r="AN125" s="316">
        <v>46111</v>
      </c>
      <c r="AO125" s="316">
        <v>46111</v>
      </c>
      <c r="AP125" s="316">
        <v>46111</v>
      </c>
      <c r="AQ125" s="314"/>
      <c r="AR125" s="315" t="str">
        <f t="shared" si="8"/>
        <v>FINALIZADO</v>
      </c>
      <c r="AS125" s="207" t="s">
        <v>4423</v>
      </c>
      <c r="AT125" s="207"/>
      <c r="AU125" s="220" t="s">
        <v>4946</v>
      </c>
      <c r="AV125" s="207" t="s">
        <v>4425</v>
      </c>
      <c r="AW125" s="207" t="s">
        <v>4425</v>
      </c>
      <c r="AX125" s="250" t="s">
        <v>4425</v>
      </c>
      <c r="AY125" s="207" t="s">
        <v>4425</v>
      </c>
      <c r="AZ125" s="202">
        <v>46139</v>
      </c>
      <c r="BA125" s="207" t="s">
        <v>4425</v>
      </c>
      <c r="BB125" s="207" t="s">
        <v>4425</v>
      </c>
      <c r="BC125" s="202">
        <v>46157</v>
      </c>
      <c r="BD125" s="227">
        <v>46157</v>
      </c>
      <c r="BE125" s="228" t="s">
        <v>4435</v>
      </c>
      <c r="BF125" s="228" t="s">
        <v>4436</v>
      </c>
      <c r="BG125" s="219" t="s">
        <v>4425</v>
      </c>
      <c r="BH125" s="321">
        <f t="shared" si="9"/>
        <v>46</v>
      </c>
      <c r="BI125" s="98" t="str">
        <f t="shared" si="10"/>
        <v>INDENIZAÇÃO</v>
      </c>
      <c r="BJ125" s="98" t="str">
        <f t="shared" si="11"/>
        <v>NÃO</v>
      </c>
      <c r="BK125" s="219" t="s">
        <v>4437</v>
      </c>
      <c r="BL125" s="219" t="s">
        <v>4437</v>
      </c>
      <c r="BM125" s="219" t="s">
        <v>4437</v>
      </c>
      <c r="BN125" s="219" t="s">
        <v>4425</v>
      </c>
      <c r="BO125" s="219" t="s">
        <v>4425</v>
      </c>
      <c r="BP125" s="202">
        <v>46195</v>
      </c>
      <c r="BQ125" s="219" t="s">
        <v>4425</v>
      </c>
      <c r="BR125" s="232" t="s">
        <v>4435</v>
      </c>
      <c r="BS125" s="223"/>
      <c r="BT125" s="223"/>
    </row>
    <row r="126" spans="1:112" s="240" customFormat="1" ht="27" customHeight="1">
      <c r="A126" s="207">
        <v>122</v>
      </c>
      <c r="B126" s="197" t="s">
        <v>4396</v>
      </c>
      <c r="C126" s="207" t="s">
        <v>4413</v>
      </c>
      <c r="D126" s="207">
        <v>1</v>
      </c>
      <c r="E126" s="207" t="s">
        <v>4398</v>
      </c>
      <c r="F126" s="214" t="s">
        <v>4947</v>
      </c>
      <c r="G126" s="219" t="s">
        <v>4400</v>
      </c>
      <c r="H126" s="219" t="s">
        <v>4401</v>
      </c>
      <c r="I126" s="219" t="s">
        <v>4402</v>
      </c>
      <c r="J126" s="255" t="s">
        <v>4948</v>
      </c>
      <c r="K126" s="255" t="s">
        <v>4949</v>
      </c>
      <c r="L126" s="220" t="s">
        <v>4950</v>
      </c>
      <c r="M126" s="219" t="s">
        <v>4405</v>
      </c>
      <c r="N126" s="219" t="s">
        <v>4432</v>
      </c>
      <c r="O126" s="202" t="s">
        <v>4409</v>
      </c>
      <c r="P126" s="202" t="s">
        <v>4409</v>
      </c>
      <c r="Q126" s="202" t="s">
        <v>4409</v>
      </c>
      <c r="R126" s="202" t="s">
        <v>4409</v>
      </c>
      <c r="S126" s="202" t="s">
        <v>4409</v>
      </c>
      <c r="T126" s="202" t="s">
        <v>4409</v>
      </c>
      <c r="U126" s="202" t="s">
        <v>4409</v>
      </c>
      <c r="V126" s="202" t="s">
        <v>4409</v>
      </c>
      <c r="W126" s="202" t="s">
        <v>4409</v>
      </c>
      <c r="X126" s="202" t="s">
        <v>4409</v>
      </c>
      <c r="Y126" s="202"/>
      <c r="Z126" s="202"/>
      <c r="AA126" s="255" t="s">
        <v>4948</v>
      </c>
      <c r="AB126" s="255" t="s">
        <v>4949</v>
      </c>
      <c r="AC126" s="220" t="s">
        <v>4950</v>
      </c>
      <c r="AD126" s="207" t="s">
        <v>4402</v>
      </c>
      <c r="AE126" s="219" t="s">
        <v>4405</v>
      </c>
      <c r="AF126" s="218">
        <v>74497.34</v>
      </c>
      <c r="AG126" s="218">
        <v>74497.34</v>
      </c>
      <c r="AH126" s="207" t="s">
        <v>4433</v>
      </c>
      <c r="AI126" s="214" t="s">
        <v>4411</v>
      </c>
      <c r="AJ126" s="207">
        <v>153976518</v>
      </c>
      <c r="AK126" s="316">
        <v>46129</v>
      </c>
      <c r="AL126" s="316">
        <v>46129</v>
      </c>
      <c r="AM126" s="316">
        <v>46129</v>
      </c>
      <c r="AN126" s="316">
        <v>46129</v>
      </c>
      <c r="AO126" s="316">
        <v>46129</v>
      </c>
      <c r="AP126" s="316">
        <v>46129</v>
      </c>
      <c r="AQ126" s="314"/>
      <c r="AR126" s="315" t="str">
        <f t="shared" si="8"/>
        <v>FINALIZADO</v>
      </c>
      <c r="AS126" s="207" t="s">
        <v>4423</v>
      </c>
      <c r="AT126" s="262"/>
      <c r="AU126" s="220" t="s">
        <v>4951</v>
      </c>
      <c r="AV126" s="262" t="s">
        <v>4425</v>
      </c>
      <c r="AW126" s="219" t="s">
        <v>4425</v>
      </c>
      <c r="AX126" s="219" t="s">
        <v>4425</v>
      </c>
      <c r="AY126" s="219" t="s">
        <v>4425</v>
      </c>
      <c r="AZ126" s="202">
        <v>46226</v>
      </c>
      <c r="BA126" s="219" t="s">
        <v>4425</v>
      </c>
      <c r="BB126" s="219" t="s">
        <v>4425</v>
      </c>
      <c r="BC126" s="202">
        <v>46232</v>
      </c>
      <c r="BD126" s="226">
        <v>46232</v>
      </c>
      <c r="BE126" s="257" t="s">
        <v>4435</v>
      </c>
      <c r="BF126" s="257" t="s">
        <v>4436</v>
      </c>
      <c r="BG126" s="219" t="s">
        <v>4425</v>
      </c>
      <c r="BH126" s="321">
        <f t="shared" si="9"/>
        <v>103</v>
      </c>
      <c r="BI126" s="98" t="str">
        <f t="shared" si="10"/>
        <v>INDENIZAÇÃO</v>
      </c>
      <c r="BJ126" s="98" t="str">
        <f t="shared" si="11"/>
        <v>NÃO</v>
      </c>
      <c r="BK126" s="219" t="s">
        <v>4437</v>
      </c>
      <c r="BL126" s="219" t="s">
        <v>4437</v>
      </c>
      <c r="BM126" s="219" t="s">
        <v>4437</v>
      </c>
      <c r="BN126" s="250" t="s">
        <v>4425</v>
      </c>
      <c r="BO126" s="250" t="s">
        <v>4425</v>
      </c>
      <c r="BP126" s="202">
        <v>46269</v>
      </c>
      <c r="BQ126" s="257" t="s">
        <v>4819</v>
      </c>
      <c r="BR126" s="258"/>
      <c r="BS126" s="223"/>
    </row>
    <row r="127" spans="1:112" s="240" customFormat="1" ht="27" customHeight="1">
      <c r="A127" s="207">
        <v>123</v>
      </c>
      <c r="B127" s="197" t="s">
        <v>4396</v>
      </c>
      <c r="C127" s="207" t="s">
        <v>4413</v>
      </c>
      <c r="D127" s="207">
        <v>1</v>
      </c>
      <c r="E127" s="207" t="s">
        <v>4398</v>
      </c>
      <c r="F127" s="214" t="s">
        <v>4952</v>
      </c>
      <c r="G127" s="219" t="s">
        <v>4400</v>
      </c>
      <c r="H127" s="219" t="s">
        <v>4401</v>
      </c>
      <c r="I127" s="219" t="s">
        <v>4402</v>
      </c>
      <c r="J127" s="255" t="s">
        <v>4953</v>
      </c>
      <c r="K127" s="255" t="s">
        <v>4954</v>
      </c>
      <c r="L127" s="220" t="s">
        <v>4955</v>
      </c>
      <c r="M127" s="219" t="s">
        <v>4405</v>
      </c>
      <c r="N127" s="219" t="s">
        <v>4432</v>
      </c>
      <c r="O127" s="202" t="s">
        <v>4409</v>
      </c>
      <c r="P127" s="202" t="s">
        <v>4409</v>
      </c>
      <c r="Q127" s="202" t="s">
        <v>4409</v>
      </c>
      <c r="R127" s="202" t="s">
        <v>4409</v>
      </c>
      <c r="S127" s="202" t="s">
        <v>4409</v>
      </c>
      <c r="T127" s="202" t="s">
        <v>4409</v>
      </c>
      <c r="U127" s="202" t="s">
        <v>4409</v>
      </c>
      <c r="V127" s="202" t="s">
        <v>4409</v>
      </c>
      <c r="W127" s="202" t="s">
        <v>4409</v>
      </c>
      <c r="X127" s="202" t="s">
        <v>4409</v>
      </c>
      <c r="Y127" s="202"/>
      <c r="Z127" s="202"/>
      <c r="AA127" s="255" t="s">
        <v>4953</v>
      </c>
      <c r="AB127" s="255" t="s">
        <v>4954</v>
      </c>
      <c r="AC127" s="220" t="s">
        <v>4955</v>
      </c>
      <c r="AD127" s="207" t="s">
        <v>4402</v>
      </c>
      <c r="AE127" s="219" t="s">
        <v>4405</v>
      </c>
      <c r="AF127" s="218">
        <v>7905.63</v>
      </c>
      <c r="AG127" s="218">
        <f>AF127+30000</f>
        <v>37905.629999999997</v>
      </c>
      <c r="AH127" s="207" t="s">
        <v>4433</v>
      </c>
      <c r="AI127" s="214" t="s">
        <v>4411</v>
      </c>
      <c r="AJ127" s="207">
        <v>153976671</v>
      </c>
      <c r="AK127" s="316">
        <v>46129</v>
      </c>
      <c r="AL127" s="316">
        <v>46129</v>
      </c>
      <c r="AM127" s="316">
        <v>46129</v>
      </c>
      <c r="AN127" s="316">
        <v>46129</v>
      </c>
      <c r="AO127" s="316">
        <v>46129</v>
      </c>
      <c r="AP127" s="316">
        <v>46129</v>
      </c>
      <c r="AQ127" s="314"/>
      <c r="AR127" s="315" t="str">
        <f t="shared" si="8"/>
        <v>FINALIZADO</v>
      </c>
      <c r="AS127" s="207" t="s">
        <v>4423</v>
      </c>
      <c r="AT127" s="262"/>
      <c r="AU127" s="220" t="s">
        <v>4956</v>
      </c>
      <c r="AV127" s="207" t="s">
        <v>4425</v>
      </c>
      <c r="AW127" s="207" t="s">
        <v>4425</v>
      </c>
      <c r="AX127" s="207" t="s">
        <v>4425</v>
      </c>
      <c r="AY127" s="207" t="s">
        <v>4425</v>
      </c>
      <c r="AZ127" s="202">
        <v>46240</v>
      </c>
      <c r="BA127" s="207" t="s">
        <v>4425</v>
      </c>
      <c r="BB127" s="207" t="s">
        <v>4425</v>
      </c>
      <c r="BC127" s="202">
        <v>46254</v>
      </c>
      <c r="BD127" s="264">
        <v>46254</v>
      </c>
      <c r="BE127" s="266" t="s">
        <v>4435</v>
      </c>
      <c r="BF127" s="257" t="s">
        <v>4436</v>
      </c>
      <c r="BG127" s="219" t="s">
        <v>4425</v>
      </c>
      <c r="BH127" s="321">
        <f t="shared" si="9"/>
        <v>125</v>
      </c>
      <c r="BI127" s="98" t="str">
        <f t="shared" si="10"/>
        <v>INDENIZAÇÃO</v>
      </c>
      <c r="BJ127" s="98" t="str">
        <f t="shared" si="11"/>
        <v>NÃO</v>
      </c>
      <c r="BK127" s="219" t="s">
        <v>4437</v>
      </c>
      <c r="BL127" s="219" t="s">
        <v>4437</v>
      </c>
      <c r="BM127" s="219" t="s">
        <v>4437</v>
      </c>
      <c r="BN127" s="207" t="s">
        <v>4425</v>
      </c>
      <c r="BO127" s="257" t="s">
        <v>4435</v>
      </c>
      <c r="BP127" s="257"/>
      <c r="BQ127" s="257"/>
      <c r="BR127" s="258"/>
      <c r="BS127" s="161"/>
      <c r="BT127" s="161"/>
      <c r="BU127" s="161"/>
      <c r="BV127" s="161"/>
      <c r="BW127" s="161"/>
      <c r="BX127" s="161"/>
      <c r="BY127" s="161"/>
      <c r="BZ127" s="161"/>
      <c r="CA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  <c r="DA127" s="161"/>
      <c r="DB127" s="161"/>
      <c r="DC127" s="161"/>
      <c r="DD127" s="161"/>
      <c r="DE127" s="161"/>
      <c r="DF127" s="161"/>
      <c r="DG127" s="161"/>
      <c r="DH127" s="161"/>
    </row>
    <row r="128" spans="1:112" s="240" customFormat="1" ht="27" customHeight="1">
      <c r="A128" s="207">
        <v>124</v>
      </c>
      <c r="B128" s="197" t="s">
        <v>4396</v>
      </c>
      <c r="C128" s="207" t="s">
        <v>4413</v>
      </c>
      <c r="D128" s="207">
        <v>1</v>
      </c>
      <c r="E128" s="207" t="s">
        <v>4398</v>
      </c>
      <c r="F128" s="214" t="s">
        <v>4957</v>
      </c>
      <c r="G128" s="207" t="s">
        <v>4400</v>
      </c>
      <c r="H128" s="207" t="s">
        <v>4401</v>
      </c>
      <c r="I128" s="207" t="s">
        <v>4402</v>
      </c>
      <c r="J128" s="215" t="s">
        <v>4958</v>
      </c>
      <c r="K128" s="215" t="s">
        <v>4959</v>
      </c>
      <c r="L128" s="215" t="s">
        <v>4960</v>
      </c>
      <c r="M128" s="207" t="s">
        <v>4405</v>
      </c>
      <c r="N128" s="207" t="s">
        <v>4442</v>
      </c>
      <c r="O128" s="202" t="s">
        <v>4409</v>
      </c>
      <c r="P128" s="202" t="s">
        <v>4409</v>
      </c>
      <c r="Q128" s="202" t="s">
        <v>4409</v>
      </c>
      <c r="R128" s="202" t="s">
        <v>4409</v>
      </c>
      <c r="S128" s="202" t="s">
        <v>4409</v>
      </c>
      <c r="T128" s="202" t="s">
        <v>4409</v>
      </c>
      <c r="U128" s="202" t="s">
        <v>4409</v>
      </c>
      <c r="V128" s="202" t="s">
        <v>4409</v>
      </c>
      <c r="W128" s="202" t="s">
        <v>4409</v>
      </c>
      <c r="X128" s="202" t="s">
        <v>4409</v>
      </c>
      <c r="Y128" s="202"/>
      <c r="Z128" s="202"/>
      <c r="AA128" s="215" t="s">
        <v>4958</v>
      </c>
      <c r="AB128" s="215" t="s">
        <v>4959</v>
      </c>
      <c r="AC128" s="215" t="s">
        <v>4960</v>
      </c>
      <c r="AD128" s="207" t="s">
        <v>4402</v>
      </c>
      <c r="AE128" s="207" t="s">
        <v>4405</v>
      </c>
      <c r="AF128" s="218">
        <v>95077.63</v>
      </c>
      <c r="AG128" s="218">
        <v>95077.63</v>
      </c>
      <c r="AH128" s="207" t="s">
        <v>4422</v>
      </c>
      <c r="AI128" s="214" t="s">
        <v>4411</v>
      </c>
      <c r="AJ128" s="207">
        <v>153000466</v>
      </c>
      <c r="AK128" s="316">
        <v>46112</v>
      </c>
      <c r="AL128" s="316">
        <v>46112</v>
      </c>
      <c r="AM128" s="316">
        <v>46112</v>
      </c>
      <c r="AN128" s="316">
        <v>46112</v>
      </c>
      <c r="AO128" s="316">
        <v>46112</v>
      </c>
      <c r="AP128" s="316">
        <v>46112</v>
      </c>
      <c r="AQ128" s="314"/>
      <c r="AR128" s="315" t="str">
        <f t="shared" si="8"/>
        <v>FINALIZADO</v>
      </c>
      <c r="AS128" s="207" t="s">
        <v>4423</v>
      </c>
      <c r="AT128" s="207"/>
      <c r="AU128" s="220" t="s">
        <v>4961</v>
      </c>
      <c r="AV128" s="207" t="s">
        <v>4425</v>
      </c>
      <c r="AW128" s="207" t="s">
        <v>4425</v>
      </c>
      <c r="AX128" s="207" t="s">
        <v>4425</v>
      </c>
      <c r="AY128" s="207" t="s">
        <v>4425</v>
      </c>
      <c r="AZ128" s="202">
        <v>46150</v>
      </c>
      <c r="BA128" s="207" t="s">
        <v>4425</v>
      </c>
      <c r="BB128" s="207" t="s">
        <v>4425</v>
      </c>
      <c r="BC128" s="202">
        <v>46157</v>
      </c>
      <c r="BD128" s="227">
        <v>46157</v>
      </c>
      <c r="BE128" s="227" t="s">
        <v>4435</v>
      </c>
      <c r="BF128" s="228" t="s">
        <v>4436</v>
      </c>
      <c r="BG128" s="229" t="s">
        <v>4425</v>
      </c>
      <c r="BH128" s="321">
        <f t="shared" si="9"/>
        <v>45</v>
      </c>
      <c r="BI128" s="98" t="str">
        <f t="shared" si="10"/>
        <v>INDENIZAÇÃO</v>
      </c>
      <c r="BJ128" s="98" t="str">
        <f t="shared" si="11"/>
        <v>NÃO</v>
      </c>
      <c r="BK128" s="230" t="s">
        <v>4437</v>
      </c>
      <c r="BL128" s="230" t="s">
        <v>4437</v>
      </c>
      <c r="BM128" s="230" t="s">
        <v>4437</v>
      </c>
      <c r="BN128" s="219" t="s">
        <v>4425</v>
      </c>
      <c r="BO128" s="219" t="s">
        <v>4425</v>
      </c>
      <c r="BP128" s="202">
        <v>46195</v>
      </c>
      <c r="BQ128" s="219" t="s">
        <v>4425</v>
      </c>
      <c r="BR128" s="232" t="s">
        <v>4435</v>
      </c>
      <c r="BS128" s="161"/>
      <c r="BT128" s="161"/>
      <c r="BU128" s="161"/>
      <c r="BV128" s="161"/>
      <c r="BW128" s="161"/>
      <c r="BX128" s="161"/>
      <c r="BY128" s="161"/>
      <c r="BZ128" s="161"/>
      <c r="CA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  <c r="DA128" s="161"/>
      <c r="DB128" s="161"/>
      <c r="DC128" s="161"/>
      <c r="DD128" s="161"/>
      <c r="DE128" s="161"/>
      <c r="DF128" s="161"/>
      <c r="DG128" s="161"/>
      <c r="DH128" s="161"/>
    </row>
    <row r="129" spans="1:72" s="240" customFormat="1" ht="27" hidden="1" customHeight="1">
      <c r="A129" s="197">
        <v>125</v>
      </c>
      <c r="B129" s="197" t="s">
        <v>4396</v>
      </c>
      <c r="C129" s="207" t="s">
        <v>4427</v>
      </c>
      <c r="D129" s="207">
        <v>1</v>
      </c>
      <c r="E129" s="207" t="s">
        <v>4398</v>
      </c>
      <c r="F129" s="214" t="s">
        <v>4962</v>
      </c>
      <c r="G129" s="207" t="s">
        <v>4400</v>
      </c>
      <c r="H129" s="207" t="s">
        <v>4401</v>
      </c>
      <c r="I129" s="217" t="s">
        <v>4402</v>
      </c>
      <c r="J129" s="242" t="s">
        <v>4963</v>
      </c>
      <c r="K129" s="215" t="s">
        <v>4964</v>
      </c>
      <c r="L129" s="215" t="s">
        <v>4965</v>
      </c>
      <c r="M129" s="207" t="s">
        <v>4405</v>
      </c>
      <c r="N129" s="207" t="s">
        <v>4442</v>
      </c>
      <c r="O129" s="202" t="s">
        <v>4409</v>
      </c>
      <c r="P129" s="202" t="s">
        <v>4409</v>
      </c>
      <c r="Q129" s="202" t="s">
        <v>4409</v>
      </c>
      <c r="R129" s="202" t="s">
        <v>4409</v>
      </c>
      <c r="S129" s="202" t="s">
        <v>4409</v>
      </c>
      <c r="T129" s="202" t="s">
        <v>4409</v>
      </c>
      <c r="U129" s="202" t="s">
        <v>4409</v>
      </c>
      <c r="V129" s="202" t="s">
        <v>4409</v>
      </c>
      <c r="W129" s="202" t="s">
        <v>4409</v>
      </c>
      <c r="X129" s="202" t="s">
        <v>4409</v>
      </c>
      <c r="Y129" s="202"/>
      <c r="Z129" s="202"/>
      <c r="AA129" s="242" t="s">
        <v>4963</v>
      </c>
      <c r="AB129" s="242" t="s">
        <v>4964</v>
      </c>
      <c r="AC129" s="242" t="s">
        <v>4965</v>
      </c>
      <c r="AD129" s="207" t="s">
        <v>4402</v>
      </c>
      <c r="AE129" s="207" t="s">
        <v>4405</v>
      </c>
      <c r="AF129" s="218">
        <v>6138.42</v>
      </c>
      <c r="AG129" s="218">
        <f>AF129+30000</f>
        <v>36138.42</v>
      </c>
      <c r="AH129" s="207" t="s">
        <v>4433</v>
      </c>
      <c r="AI129" s="214" t="s">
        <v>4411</v>
      </c>
      <c r="AJ129" s="207">
        <v>147990558</v>
      </c>
      <c r="AK129" s="316">
        <v>46038</v>
      </c>
      <c r="AL129" s="316">
        <v>46038</v>
      </c>
      <c r="AM129" s="316">
        <v>46038</v>
      </c>
      <c r="AN129" s="316">
        <v>46038</v>
      </c>
      <c r="AO129" s="316">
        <v>46038</v>
      </c>
      <c r="AP129" s="316">
        <v>46038</v>
      </c>
      <c r="AQ129" s="314"/>
      <c r="AR129" s="315" t="str">
        <f t="shared" si="8"/>
        <v>FINALIZADO</v>
      </c>
      <c r="AS129" s="207" t="s">
        <v>4423</v>
      </c>
      <c r="AT129" s="207"/>
      <c r="AU129" s="220" t="s">
        <v>4966</v>
      </c>
      <c r="AV129" s="197" t="s">
        <v>4425</v>
      </c>
      <c r="AW129" s="207" t="s">
        <v>4425</v>
      </c>
      <c r="AX129" s="207" t="s">
        <v>4425</v>
      </c>
      <c r="AY129" s="207" t="s">
        <v>4425</v>
      </c>
      <c r="AZ129" s="202">
        <v>46071</v>
      </c>
      <c r="BA129" s="219" t="s">
        <v>4425</v>
      </c>
      <c r="BB129" s="219" t="s">
        <v>4425</v>
      </c>
      <c r="BC129" s="202">
        <v>46101</v>
      </c>
      <c r="BD129" s="227">
        <v>46101</v>
      </c>
      <c r="BE129" s="227" t="s">
        <v>4435</v>
      </c>
      <c r="BF129" s="228" t="s">
        <v>4436</v>
      </c>
      <c r="BG129" s="229" t="s">
        <v>4425</v>
      </c>
      <c r="BH129" s="321">
        <f t="shared" si="9"/>
        <v>63</v>
      </c>
      <c r="BI129" s="98" t="str">
        <f t="shared" si="10"/>
        <v>INDENIZAÇÃO</v>
      </c>
      <c r="BJ129" s="98" t="str">
        <f t="shared" si="11"/>
        <v>NÃO</v>
      </c>
      <c r="BK129" s="230" t="s">
        <v>4437</v>
      </c>
      <c r="BL129" s="230" t="s">
        <v>4437</v>
      </c>
      <c r="BM129" s="230" t="s">
        <v>4437</v>
      </c>
      <c r="BN129" s="207" t="s">
        <v>4425</v>
      </c>
      <c r="BO129" s="207" t="s">
        <v>4425</v>
      </c>
      <c r="BP129" s="202">
        <v>46182</v>
      </c>
      <c r="BQ129" s="207" t="s">
        <v>4425</v>
      </c>
      <c r="BR129" s="256" t="s">
        <v>4435</v>
      </c>
    </row>
    <row r="130" spans="1:72" s="240" customFormat="1" ht="27" customHeight="1">
      <c r="A130" s="197">
        <v>126</v>
      </c>
      <c r="B130" s="197" t="s">
        <v>4396</v>
      </c>
      <c r="C130" s="207" t="s">
        <v>4413</v>
      </c>
      <c r="D130" s="207">
        <v>1</v>
      </c>
      <c r="E130" s="207" t="s">
        <v>4398</v>
      </c>
      <c r="F130" s="214" t="s">
        <v>4962</v>
      </c>
      <c r="G130" s="207" t="s">
        <v>4400</v>
      </c>
      <c r="H130" s="207" t="s">
        <v>4401</v>
      </c>
      <c r="I130" s="217" t="s">
        <v>4402</v>
      </c>
      <c r="J130" s="242" t="s">
        <v>4967</v>
      </c>
      <c r="K130" s="215" t="s">
        <v>4968</v>
      </c>
      <c r="L130" s="215" t="s">
        <v>4969</v>
      </c>
      <c r="M130" s="207" t="s">
        <v>4405</v>
      </c>
      <c r="N130" s="207" t="s">
        <v>4432</v>
      </c>
      <c r="O130" s="202" t="s">
        <v>4409</v>
      </c>
      <c r="P130" s="202" t="s">
        <v>4409</v>
      </c>
      <c r="Q130" s="202" t="s">
        <v>4409</v>
      </c>
      <c r="R130" s="202" t="s">
        <v>4409</v>
      </c>
      <c r="S130" s="202" t="s">
        <v>4409</v>
      </c>
      <c r="T130" s="202" t="s">
        <v>4409</v>
      </c>
      <c r="U130" s="202" t="s">
        <v>4409</v>
      </c>
      <c r="V130" s="202" t="s">
        <v>4409</v>
      </c>
      <c r="W130" s="202" t="s">
        <v>4409</v>
      </c>
      <c r="X130" s="202" t="s">
        <v>4409</v>
      </c>
      <c r="Y130" s="202"/>
      <c r="Z130" s="202"/>
      <c r="AA130" s="242" t="s">
        <v>4967</v>
      </c>
      <c r="AB130" s="215" t="s">
        <v>4968</v>
      </c>
      <c r="AC130" s="215" t="s">
        <v>4969</v>
      </c>
      <c r="AD130" s="207" t="s">
        <v>4402</v>
      </c>
      <c r="AE130" s="207" t="s">
        <v>4405</v>
      </c>
      <c r="AF130" s="218">
        <v>95009.72</v>
      </c>
      <c r="AG130" s="218">
        <v>95009.72</v>
      </c>
      <c r="AH130" s="207" t="s">
        <v>4422</v>
      </c>
      <c r="AI130" s="214" t="s">
        <v>4411</v>
      </c>
      <c r="AJ130" s="207">
        <v>158035014</v>
      </c>
      <c r="AK130" s="316">
        <v>46188</v>
      </c>
      <c r="AL130" s="316">
        <v>46188</v>
      </c>
      <c r="AM130" s="316">
        <v>46188</v>
      </c>
      <c r="AN130" s="316">
        <v>46188</v>
      </c>
      <c r="AO130" s="316">
        <v>46188</v>
      </c>
      <c r="AP130" s="316">
        <v>46188</v>
      </c>
      <c r="AQ130" s="314"/>
      <c r="AR130" s="315" t="str">
        <f t="shared" si="8"/>
        <v>FINALIZADO</v>
      </c>
      <c r="AS130" s="207" t="s">
        <v>4423</v>
      </c>
      <c r="AT130" s="207"/>
      <c r="AU130" s="220" t="s">
        <v>4970</v>
      </c>
      <c r="AV130" s="207" t="s">
        <v>4818</v>
      </c>
      <c r="AW130" s="207" t="s">
        <v>4818</v>
      </c>
      <c r="AX130" s="207" t="s">
        <v>4818</v>
      </c>
      <c r="AY130" s="207" t="s">
        <v>4818</v>
      </c>
      <c r="AZ130" s="202">
        <v>46233</v>
      </c>
      <c r="BA130" s="197" t="s">
        <v>4818</v>
      </c>
      <c r="BB130" s="197" t="s">
        <v>4818</v>
      </c>
      <c r="BC130" s="202">
        <v>46234</v>
      </c>
      <c r="BD130" s="226">
        <v>46234</v>
      </c>
      <c r="BE130" s="257" t="s">
        <v>4435</v>
      </c>
      <c r="BF130" s="257" t="s">
        <v>4436</v>
      </c>
      <c r="BG130" s="219" t="s">
        <v>4425</v>
      </c>
      <c r="BH130" s="321">
        <f t="shared" si="9"/>
        <v>46</v>
      </c>
      <c r="BI130" s="98" t="str">
        <f t="shared" si="10"/>
        <v>INDENIZAÇÃO</v>
      </c>
      <c r="BJ130" s="98" t="str">
        <f t="shared" si="11"/>
        <v>NÃO</v>
      </c>
      <c r="BK130" s="219" t="s">
        <v>4437</v>
      </c>
      <c r="BL130" s="219" t="s">
        <v>4437</v>
      </c>
      <c r="BM130" s="219" t="s">
        <v>4437</v>
      </c>
      <c r="BN130" s="250" t="s">
        <v>4425</v>
      </c>
      <c r="BO130" s="250" t="s">
        <v>4425</v>
      </c>
      <c r="BP130" s="202">
        <v>46269</v>
      </c>
      <c r="BQ130" s="257" t="s">
        <v>4819</v>
      </c>
      <c r="BR130" s="258"/>
      <c r="BS130" s="223"/>
    </row>
    <row r="131" spans="1:72" s="240" customFormat="1" ht="27" hidden="1" customHeight="1">
      <c r="A131" s="207">
        <v>127</v>
      </c>
      <c r="B131" s="197" t="s">
        <v>4396</v>
      </c>
      <c r="C131" s="207" t="s">
        <v>4427</v>
      </c>
      <c r="D131" s="207">
        <v>1</v>
      </c>
      <c r="E131" s="207" t="s">
        <v>4398</v>
      </c>
      <c r="F131" s="214" t="s">
        <v>4971</v>
      </c>
      <c r="G131" s="207" t="s">
        <v>4400</v>
      </c>
      <c r="H131" s="207" t="s">
        <v>4401</v>
      </c>
      <c r="I131" s="217" t="s">
        <v>4402</v>
      </c>
      <c r="J131" s="242" t="s">
        <v>4972</v>
      </c>
      <c r="K131" s="215" t="s">
        <v>4973</v>
      </c>
      <c r="L131" s="215" t="s">
        <v>4974</v>
      </c>
      <c r="M131" s="207" t="s">
        <v>4405</v>
      </c>
      <c r="N131" s="207" t="s">
        <v>4442</v>
      </c>
      <c r="O131" s="202" t="s">
        <v>4409</v>
      </c>
      <c r="P131" s="202" t="s">
        <v>4409</v>
      </c>
      <c r="Q131" s="202" t="s">
        <v>4409</v>
      </c>
      <c r="R131" s="202" t="s">
        <v>4409</v>
      </c>
      <c r="S131" s="202" t="s">
        <v>4409</v>
      </c>
      <c r="T131" s="202" t="s">
        <v>4409</v>
      </c>
      <c r="U131" s="202" t="s">
        <v>4409</v>
      </c>
      <c r="V131" s="202" t="s">
        <v>4409</v>
      </c>
      <c r="W131" s="202" t="s">
        <v>4409</v>
      </c>
      <c r="X131" s="202" t="s">
        <v>4409</v>
      </c>
      <c r="Y131" s="202"/>
      <c r="Z131" s="202"/>
      <c r="AA131" s="242" t="s">
        <v>4972</v>
      </c>
      <c r="AB131" s="215" t="s">
        <v>4973</v>
      </c>
      <c r="AC131" s="215" t="s">
        <v>4974</v>
      </c>
      <c r="AD131" s="207" t="s">
        <v>4402</v>
      </c>
      <c r="AE131" s="207" t="s">
        <v>4405</v>
      </c>
      <c r="AF131" s="218">
        <v>41613.47</v>
      </c>
      <c r="AG131" s="218">
        <v>60000</v>
      </c>
      <c r="AH131" s="207" t="s">
        <v>4433</v>
      </c>
      <c r="AI131" s="214" t="s">
        <v>4411</v>
      </c>
      <c r="AJ131" s="207">
        <v>150009526</v>
      </c>
      <c r="AK131" s="316">
        <v>46064</v>
      </c>
      <c r="AL131" s="316">
        <v>46064</v>
      </c>
      <c r="AM131" s="316">
        <v>46064</v>
      </c>
      <c r="AN131" s="316">
        <v>46064</v>
      </c>
      <c r="AO131" s="316">
        <v>46064</v>
      </c>
      <c r="AP131" s="316">
        <v>46064</v>
      </c>
      <c r="AQ131" s="314"/>
      <c r="AR131" s="315" t="str">
        <f t="shared" si="8"/>
        <v>FINALIZADO</v>
      </c>
      <c r="AS131" s="207" t="s">
        <v>4423</v>
      </c>
      <c r="AT131" s="207"/>
      <c r="AU131" s="220" t="s">
        <v>4975</v>
      </c>
      <c r="AV131" s="197" t="s">
        <v>4425</v>
      </c>
      <c r="AW131" s="207" t="s">
        <v>4425</v>
      </c>
      <c r="AX131" s="207" t="s">
        <v>4425</v>
      </c>
      <c r="AY131" s="207" t="s">
        <v>4425</v>
      </c>
      <c r="AZ131" s="202">
        <v>46111</v>
      </c>
      <c r="BA131" s="207" t="s">
        <v>4425</v>
      </c>
      <c r="BB131" s="207" t="s">
        <v>4425</v>
      </c>
      <c r="BC131" s="202">
        <v>46114</v>
      </c>
      <c r="BD131" s="227">
        <v>46114</v>
      </c>
      <c r="BE131" s="227" t="s">
        <v>4435</v>
      </c>
      <c r="BF131" s="228" t="s">
        <v>4436</v>
      </c>
      <c r="BG131" s="229" t="s">
        <v>4425</v>
      </c>
      <c r="BH131" s="321">
        <f t="shared" si="9"/>
        <v>50</v>
      </c>
      <c r="BI131" s="98" t="str">
        <f t="shared" si="10"/>
        <v>INDENIZAÇÃO</v>
      </c>
      <c r="BJ131" s="98" t="str">
        <f t="shared" si="11"/>
        <v>NÃO</v>
      </c>
      <c r="BK131" s="230" t="s">
        <v>4437</v>
      </c>
      <c r="BL131" s="230" t="s">
        <v>4437</v>
      </c>
      <c r="BM131" s="230" t="s">
        <v>4437</v>
      </c>
      <c r="BN131" s="207" t="s">
        <v>4425</v>
      </c>
      <c r="BO131" s="207" t="s">
        <v>4425</v>
      </c>
      <c r="BP131" s="202">
        <v>46182</v>
      </c>
      <c r="BQ131" s="207" t="s">
        <v>4425</v>
      </c>
      <c r="BR131" s="256" t="s">
        <v>4435</v>
      </c>
    </row>
    <row r="132" spans="1:72" s="240" customFormat="1" ht="27" customHeight="1">
      <c r="A132" s="207">
        <v>128</v>
      </c>
      <c r="B132" s="197" t="s">
        <v>4396</v>
      </c>
      <c r="C132" s="207" t="s">
        <v>4413</v>
      </c>
      <c r="D132" s="207">
        <v>1</v>
      </c>
      <c r="E132" s="207" t="s">
        <v>4398</v>
      </c>
      <c r="F132" s="214" t="s">
        <v>4971</v>
      </c>
      <c r="G132" s="207" t="s">
        <v>4400</v>
      </c>
      <c r="H132" s="207" t="s">
        <v>4401</v>
      </c>
      <c r="I132" s="217" t="s">
        <v>4402</v>
      </c>
      <c r="J132" s="242" t="s">
        <v>4976</v>
      </c>
      <c r="K132" s="215"/>
      <c r="L132" s="215" t="s">
        <v>4977</v>
      </c>
      <c r="M132" s="207" t="s">
        <v>4405</v>
      </c>
      <c r="N132" s="207" t="s">
        <v>4442</v>
      </c>
      <c r="O132" s="202" t="s">
        <v>4409</v>
      </c>
      <c r="P132" s="202" t="s">
        <v>4409</v>
      </c>
      <c r="Q132" s="202" t="s">
        <v>4409</v>
      </c>
      <c r="R132" s="202" t="s">
        <v>4409</v>
      </c>
      <c r="S132" s="202" t="s">
        <v>4409</v>
      </c>
      <c r="T132" s="202" t="s">
        <v>4409</v>
      </c>
      <c r="U132" s="202" t="s">
        <v>4409</v>
      </c>
      <c r="V132" s="202" t="s">
        <v>4409</v>
      </c>
      <c r="W132" s="202" t="s">
        <v>4409</v>
      </c>
      <c r="X132" s="202" t="s">
        <v>4409</v>
      </c>
      <c r="Y132" s="202" t="s">
        <v>4409</v>
      </c>
      <c r="Z132" s="202"/>
      <c r="AA132" s="242" t="s">
        <v>4976</v>
      </c>
      <c r="AB132" s="215"/>
      <c r="AC132" s="215" t="s">
        <v>4977</v>
      </c>
      <c r="AD132" s="207" t="s">
        <v>4402</v>
      </c>
      <c r="AE132" s="207" t="s">
        <v>4405</v>
      </c>
      <c r="AF132" s="218">
        <v>14813.65</v>
      </c>
      <c r="AG132" s="218">
        <f>AF132+30000</f>
        <v>44813.65</v>
      </c>
      <c r="AH132" s="207" t="s">
        <v>4422</v>
      </c>
      <c r="AI132" s="214" t="s">
        <v>4411</v>
      </c>
      <c r="AJ132" s="207">
        <v>158035164</v>
      </c>
      <c r="AK132" s="316">
        <v>46170</v>
      </c>
      <c r="AL132" s="316">
        <v>46170</v>
      </c>
      <c r="AM132" s="316">
        <v>46170</v>
      </c>
      <c r="AN132" s="316">
        <v>46170</v>
      </c>
      <c r="AO132" s="316">
        <v>46170</v>
      </c>
      <c r="AP132" s="316">
        <v>46170</v>
      </c>
      <c r="AQ132" s="314"/>
      <c r="AR132" s="315" t="str">
        <f t="shared" si="8"/>
        <v>FINALIZADO</v>
      </c>
      <c r="AS132" s="207" t="s">
        <v>4423</v>
      </c>
      <c r="AT132" s="207"/>
      <c r="AU132" s="220" t="s">
        <v>4978</v>
      </c>
      <c r="AV132" s="197" t="s">
        <v>4818</v>
      </c>
      <c r="AW132" s="207" t="s">
        <v>4818</v>
      </c>
      <c r="AX132" s="207" t="s">
        <v>4818</v>
      </c>
      <c r="AY132" s="207" t="s">
        <v>4818</v>
      </c>
      <c r="AZ132" s="202">
        <v>46233</v>
      </c>
      <c r="BA132" s="207" t="s">
        <v>4818</v>
      </c>
      <c r="BB132" s="207" t="s">
        <v>4818</v>
      </c>
      <c r="BC132" s="202">
        <v>46234</v>
      </c>
      <c r="BD132" s="226">
        <v>46234</v>
      </c>
      <c r="BE132" s="257" t="s">
        <v>4435</v>
      </c>
      <c r="BF132" s="257" t="s">
        <v>4436</v>
      </c>
      <c r="BG132" s="219" t="s">
        <v>4425</v>
      </c>
      <c r="BH132" s="321">
        <f t="shared" si="9"/>
        <v>64</v>
      </c>
      <c r="BI132" s="98" t="str">
        <f t="shared" si="10"/>
        <v>INDENIZAÇÃO</v>
      </c>
      <c r="BJ132" s="98" t="str">
        <f t="shared" si="11"/>
        <v>NÃO</v>
      </c>
      <c r="BK132" s="219" t="s">
        <v>4437</v>
      </c>
      <c r="BL132" s="219" t="s">
        <v>4437</v>
      </c>
      <c r="BM132" s="219" t="s">
        <v>4437</v>
      </c>
      <c r="BN132" s="250" t="s">
        <v>4425</v>
      </c>
      <c r="BO132" s="250" t="s">
        <v>4425</v>
      </c>
      <c r="BP132" s="202">
        <v>46269</v>
      </c>
      <c r="BQ132" s="257" t="s">
        <v>4819</v>
      </c>
      <c r="BR132" s="258"/>
      <c r="BS132" s="223"/>
    </row>
    <row r="133" spans="1:72" s="240" customFormat="1" ht="27" hidden="1" customHeight="1">
      <c r="A133" s="207">
        <v>129</v>
      </c>
      <c r="B133" s="197" t="s">
        <v>4396</v>
      </c>
      <c r="C133" s="207" t="s">
        <v>4427</v>
      </c>
      <c r="D133" s="207">
        <v>1</v>
      </c>
      <c r="E133" s="207" t="s">
        <v>4398</v>
      </c>
      <c r="F133" s="214" t="s">
        <v>4979</v>
      </c>
      <c r="G133" s="207" t="s">
        <v>4400</v>
      </c>
      <c r="H133" s="207" t="s">
        <v>4401</v>
      </c>
      <c r="I133" s="217" t="s">
        <v>4414</v>
      </c>
      <c r="J133" s="242" t="s">
        <v>4980</v>
      </c>
      <c r="K133" s="215" t="s">
        <v>4981</v>
      </c>
      <c r="L133" s="215" t="s">
        <v>4982</v>
      </c>
      <c r="M133" s="207" t="s">
        <v>4405</v>
      </c>
      <c r="N133" s="207" t="s">
        <v>4406</v>
      </c>
      <c r="O133" s="202">
        <v>46002</v>
      </c>
      <c r="P133" s="202" t="s">
        <v>4407</v>
      </c>
      <c r="Q133" s="202">
        <v>45999</v>
      </c>
      <c r="R133" s="202">
        <v>46006</v>
      </c>
      <c r="S133" s="202">
        <v>46006</v>
      </c>
      <c r="T133" s="202">
        <v>46009</v>
      </c>
      <c r="U133" s="202" t="s">
        <v>4408</v>
      </c>
      <c r="V133" s="202" t="s">
        <v>4408</v>
      </c>
      <c r="W133" s="202">
        <v>46014</v>
      </c>
      <c r="X133" s="202">
        <v>46017</v>
      </c>
      <c r="Y133" s="202"/>
      <c r="Z133" s="207"/>
      <c r="AA133" s="242" t="s">
        <v>4983</v>
      </c>
      <c r="AB133" s="242" t="s">
        <v>4984</v>
      </c>
      <c r="AC133" s="242" t="s">
        <v>4985</v>
      </c>
      <c r="AD133" s="233" t="s">
        <v>4421</v>
      </c>
      <c r="AE133" s="207" t="s">
        <v>4405</v>
      </c>
      <c r="AF133" s="218">
        <v>17142.46</v>
      </c>
      <c r="AG133" s="218">
        <v>17142.46</v>
      </c>
      <c r="AH133" s="207" t="s">
        <v>4422</v>
      </c>
      <c r="AI133" s="214" t="s">
        <v>4411</v>
      </c>
      <c r="AJ133" s="207">
        <v>163066893</v>
      </c>
      <c r="AK133" s="316">
        <v>46260</v>
      </c>
      <c r="AL133" s="316">
        <v>46260</v>
      </c>
      <c r="AM133" s="316">
        <v>46260</v>
      </c>
      <c r="AN133" s="316">
        <v>46260</v>
      </c>
      <c r="AO133" s="316"/>
      <c r="AP133" s="316"/>
      <c r="AQ133" s="314"/>
      <c r="AR133" s="315" t="str">
        <f t="shared" si="8"/>
        <v>AGUARDANDO ASSINATURA GAB</v>
      </c>
      <c r="AS133" s="207" t="s">
        <v>4447</v>
      </c>
      <c r="AT133" s="207"/>
      <c r="AU133" s="220"/>
      <c r="AV133" s="207"/>
      <c r="AW133" s="207"/>
      <c r="AX133" s="207"/>
      <c r="AY133" s="207"/>
      <c r="AZ133" s="202"/>
      <c r="BA133" s="207"/>
      <c r="BB133" s="207"/>
      <c r="BC133" s="202"/>
      <c r="BD133" s="208"/>
      <c r="BE133" s="202"/>
      <c r="BF133" s="207"/>
      <c r="BG133" s="229"/>
      <c r="BH133" s="321" t="str">
        <f t="shared" si="9"/>
        <v/>
      </c>
      <c r="BI133" s="98" t="str">
        <f t="shared" si="10"/>
        <v>INDENIZAÇÃO</v>
      </c>
      <c r="BJ133" s="98" t="str">
        <f t="shared" si="11"/>
        <v>NÃO</v>
      </c>
      <c r="BK133" s="230"/>
      <c r="BL133" s="230"/>
      <c r="BM133" s="230"/>
      <c r="BN133" s="230"/>
      <c r="BO133" s="230"/>
      <c r="BP133" s="230"/>
      <c r="BQ133" s="230"/>
      <c r="BR133" s="234"/>
      <c r="BS133" s="223"/>
      <c r="BT133" s="223"/>
    </row>
    <row r="134" spans="1:72" s="240" customFormat="1" ht="27" customHeight="1">
      <c r="A134" s="197">
        <v>130</v>
      </c>
      <c r="B134" s="197" t="s">
        <v>4396</v>
      </c>
      <c r="C134" s="207" t="s">
        <v>4413</v>
      </c>
      <c r="D134" s="207">
        <v>1</v>
      </c>
      <c r="E134" s="250" t="s">
        <v>4398</v>
      </c>
      <c r="F134" s="214" t="s">
        <v>4986</v>
      </c>
      <c r="G134" s="207" t="s">
        <v>4400</v>
      </c>
      <c r="H134" s="207" t="s">
        <v>4401</v>
      </c>
      <c r="I134" s="217" t="s">
        <v>4402</v>
      </c>
      <c r="J134" s="242" t="s">
        <v>4987</v>
      </c>
      <c r="K134" s="215" t="s">
        <v>4988</v>
      </c>
      <c r="L134" s="215" t="s">
        <v>4989</v>
      </c>
      <c r="M134" s="207" t="s">
        <v>4405</v>
      </c>
      <c r="N134" s="207" t="s">
        <v>4442</v>
      </c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42" t="s">
        <v>4987</v>
      </c>
      <c r="AB134" s="215" t="s">
        <v>4988</v>
      </c>
      <c r="AC134" s="215" t="s">
        <v>4989</v>
      </c>
      <c r="AD134" s="207" t="s">
        <v>4402</v>
      </c>
      <c r="AE134" s="207" t="s">
        <v>4405</v>
      </c>
      <c r="AF134" s="218">
        <v>102856.87</v>
      </c>
      <c r="AG134" s="218">
        <v>102856.87</v>
      </c>
      <c r="AH134" s="207" t="s">
        <v>4433</v>
      </c>
      <c r="AI134" s="214" t="s">
        <v>4411</v>
      </c>
      <c r="AJ134" s="207">
        <v>160376178</v>
      </c>
      <c r="AK134" s="316">
        <v>46238</v>
      </c>
      <c r="AL134" s="316">
        <v>46238</v>
      </c>
      <c r="AM134" s="316">
        <v>46238</v>
      </c>
      <c r="AN134" s="316">
        <v>46238</v>
      </c>
      <c r="AO134" s="316">
        <v>46238</v>
      </c>
      <c r="AP134" s="316">
        <v>46238</v>
      </c>
      <c r="AQ134" s="314"/>
      <c r="AR134" s="315" t="str">
        <f t="shared" ref="AR134:AR197" si="12">IF(AQ134="SIM","AGUARDANDO CORREÇÃO",IF(AP134&lt;&gt;"","FINALIZADO",IF(AO134&lt;&gt;"","AGUARDANDO ENVIO DTS",IF(AN134&lt;&gt;"","AGUARDANDO ASSINATURA GAB",IF(AM134&lt;&gt;"","AGUARDANDO ASSINATURA CTS",IF(AL134&lt;&gt;"","AGUARDANDO ENVIO ASSINATURA CTS",IF(AK134&lt;&gt;"","AGUARDANDO CONFERÊNCIA","")))))))</f>
        <v>FINALIZADO</v>
      </c>
      <c r="AS134" s="207" t="s">
        <v>4423</v>
      </c>
      <c r="AT134" s="207"/>
      <c r="AU134" s="220" t="s">
        <v>4990</v>
      </c>
      <c r="AV134" s="219" t="s">
        <v>4425</v>
      </c>
      <c r="AW134" s="207" t="s">
        <v>4425</v>
      </c>
      <c r="AX134" s="228" t="s">
        <v>4426</v>
      </c>
      <c r="AY134" s="228"/>
      <c r="AZ134" s="227"/>
      <c r="BA134" s="228"/>
      <c r="BB134" s="228"/>
      <c r="BC134" s="227"/>
      <c r="BD134" s="227"/>
      <c r="BE134" s="227"/>
      <c r="BF134" s="228" t="s">
        <v>4400</v>
      </c>
      <c r="BG134" s="229"/>
      <c r="BH134" s="321" t="str">
        <f t="shared" ref="BH134:BH197" si="13">IFERROR(IF(BD134-KI134=0,"",BD134-AK134),"")</f>
        <v/>
      </c>
      <c r="BI134" s="98" t="str">
        <f t="shared" ref="BI134:BI197" si="14">IF(AND(AH134&lt;&gt;"SIM",AH134="UH"),"AA","INDENIZAÇÃO")</f>
        <v>INDENIZAÇÃO</v>
      </c>
      <c r="BJ134" s="98" t="str">
        <f t="shared" ref="BJ134:BJ197" si="15">IF(AND(BD134&lt;&gt;"AGUARDANDO",BD134&lt;&gt;"",N134="AUXÍLIO ALUGUEL ATÉ INDENIZAÇÃO"),"SIM","NÃO")</f>
        <v>NÃO</v>
      </c>
      <c r="BK134" s="219"/>
      <c r="BL134" s="219"/>
      <c r="BM134" s="219"/>
      <c r="BN134" s="219"/>
      <c r="BO134" s="219"/>
      <c r="BP134" s="202"/>
      <c r="BQ134" s="219"/>
      <c r="BR134" s="232"/>
    </row>
    <row r="135" spans="1:72" s="240" customFormat="1" ht="27" hidden="1" customHeight="1">
      <c r="A135" s="197">
        <v>131</v>
      </c>
      <c r="B135" s="197" t="s">
        <v>4396</v>
      </c>
      <c r="C135" s="207" t="s">
        <v>4427</v>
      </c>
      <c r="D135" s="207">
        <v>1</v>
      </c>
      <c r="E135" s="207" t="s">
        <v>4398</v>
      </c>
      <c r="F135" s="214" t="s">
        <v>4986</v>
      </c>
      <c r="G135" s="207" t="s">
        <v>4400</v>
      </c>
      <c r="H135" s="207" t="s">
        <v>4401</v>
      </c>
      <c r="I135" s="217" t="s">
        <v>4402</v>
      </c>
      <c r="J135" s="242" t="s">
        <v>4991</v>
      </c>
      <c r="K135" s="215" t="s">
        <v>4992</v>
      </c>
      <c r="L135" s="215" t="s">
        <v>4993</v>
      </c>
      <c r="M135" s="207" t="s">
        <v>4405</v>
      </c>
      <c r="N135" s="207" t="s">
        <v>4442</v>
      </c>
      <c r="O135" s="202" t="s">
        <v>4409</v>
      </c>
      <c r="P135" s="202" t="s">
        <v>4409</v>
      </c>
      <c r="Q135" s="202" t="s">
        <v>4409</v>
      </c>
      <c r="R135" s="202" t="s">
        <v>4409</v>
      </c>
      <c r="S135" s="202" t="s">
        <v>4409</v>
      </c>
      <c r="T135" s="202" t="s">
        <v>4409</v>
      </c>
      <c r="U135" s="202" t="s">
        <v>4409</v>
      </c>
      <c r="V135" s="202" t="s">
        <v>4409</v>
      </c>
      <c r="W135" s="202" t="s">
        <v>4409</v>
      </c>
      <c r="X135" s="202" t="s">
        <v>4409</v>
      </c>
      <c r="Y135" s="202"/>
      <c r="Z135" s="202"/>
      <c r="AA135" s="242" t="s">
        <v>4991</v>
      </c>
      <c r="AB135" s="246" t="s">
        <v>4992</v>
      </c>
      <c r="AC135" s="246" t="s">
        <v>4993</v>
      </c>
      <c r="AD135" s="207" t="s">
        <v>4402</v>
      </c>
      <c r="AE135" s="207" t="s">
        <v>4405</v>
      </c>
      <c r="AF135" s="218">
        <v>83793.990000000005</v>
      </c>
      <c r="AG135" s="218">
        <v>83793.990000000005</v>
      </c>
      <c r="AH135" s="207" t="s">
        <v>4433</v>
      </c>
      <c r="AI135" s="214" t="s">
        <v>4411</v>
      </c>
      <c r="AJ135" s="207">
        <v>147991053</v>
      </c>
      <c r="AK135" s="316">
        <v>46038</v>
      </c>
      <c r="AL135" s="316">
        <v>46038</v>
      </c>
      <c r="AM135" s="316">
        <v>46038</v>
      </c>
      <c r="AN135" s="316">
        <v>46038</v>
      </c>
      <c r="AO135" s="316">
        <v>46038</v>
      </c>
      <c r="AP135" s="316">
        <v>46038</v>
      </c>
      <c r="AQ135" s="314"/>
      <c r="AR135" s="315" t="str">
        <f t="shared" si="12"/>
        <v>FINALIZADO</v>
      </c>
      <c r="AS135" s="207" t="s">
        <v>4423</v>
      </c>
      <c r="AT135" s="207"/>
      <c r="AU135" s="220" t="s">
        <v>4994</v>
      </c>
      <c r="AV135" s="207" t="s">
        <v>4425</v>
      </c>
      <c r="AW135" s="207" t="s">
        <v>4425</v>
      </c>
      <c r="AX135" s="207" t="s">
        <v>4425</v>
      </c>
      <c r="AY135" s="207" t="s">
        <v>4425</v>
      </c>
      <c r="AZ135" s="202">
        <v>46127</v>
      </c>
      <c r="BA135" s="207" t="s">
        <v>4425</v>
      </c>
      <c r="BB135" s="207" t="s">
        <v>4425</v>
      </c>
      <c r="BC135" s="202">
        <v>46140</v>
      </c>
      <c r="BD135" s="227">
        <v>46140</v>
      </c>
      <c r="BE135" s="227" t="s">
        <v>4435</v>
      </c>
      <c r="BF135" s="228" t="s">
        <v>4436</v>
      </c>
      <c r="BG135" s="229" t="s">
        <v>4425</v>
      </c>
      <c r="BH135" s="321">
        <f t="shared" si="13"/>
        <v>102</v>
      </c>
      <c r="BI135" s="98" t="str">
        <f t="shared" si="14"/>
        <v>INDENIZAÇÃO</v>
      </c>
      <c r="BJ135" s="98" t="str">
        <f t="shared" si="15"/>
        <v>NÃO</v>
      </c>
      <c r="BK135" s="219" t="s">
        <v>4437</v>
      </c>
      <c r="BL135" s="219" t="s">
        <v>4437</v>
      </c>
      <c r="BM135" s="219" t="s">
        <v>4437</v>
      </c>
      <c r="BN135" s="219" t="s">
        <v>4425</v>
      </c>
      <c r="BO135" s="219" t="s">
        <v>4425</v>
      </c>
      <c r="BP135" s="202">
        <v>46195</v>
      </c>
      <c r="BQ135" s="219" t="s">
        <v>4425</v>
      </c>
      <c r="BR135" s="232" t="s">
        <v>4435</v>
      </c>
    </row>
    <row r="136" spans="1:72" s="240" customFormat="1" ht="27" hidden="1" customHeight="1">
      <c r="A136" s="207">
        <v>132</v>
      </c>
      <c r="B136" s="197" t="s">
        <v>4396</v>
      </c>
      <c r="C136" s="207" t="s">
        <v>4427</v>
      </c>
      <c r="D136" s="207">
        <v>1</v>
      </c>
      <c r="E136" s="207" t="s">
        <v>4398</v>
      </c>
      <c r="F136" s="261" t="s">
        <v>4995</v>
      </c>
      <c r="G136" s="207" t="s">
        <v>4400</v>
      </c>
      <c r="H136" s="207" t="s">
        <v>4401</v>
      </c>
      <c r="I136" s="217" t="s">
        <v>4402</v>
      </c>
      <c r="J136" s="242" t="s">
        <v>4996</v>
      </c>
      <c r="K136" s="215" t="s">
        <v>4997</v>
      </c>
      <c r="L136" s="215" t="s">
        <v>4998</v>
      </c>
      <c r="M136" s="207" t="s">
        <v>4405</v>
      </c>
      <c r="N136" s="207" t="s">
        <v>4442</v>
      </c>
      <c r="O136" s="202" t="s">
        <v>4409</v>
      </c>
      <c r="P136" s="202" t="s">
        <v>4409</v>
      </c>
      <c r="Q136" s="202" t="s">
        <v>4409</v>
      </c>
      <c r="R136" s="202" t="s">
        <v>4409</v>
      </c>
      <c r="S136" s="202" t="s">
        <v>4409</v>
      </c>
      <c r="T136" s="202" t="s">
        <v>4409</v>
      </c>
      <c r="U136" s="202" t="s">
        <v>4409</v>
      </c>
      <c r="V136" s="202" t="s">
        <v>4409</v>
      </c>
      <c r="W136" s="202" t="s">
        <v>4409</v>
      </c>
      <c r="X136" s="202" t="s">
        <v>4409</v>
      </c>
      <c r="Y136" s="202"/>
      <c r="Z136" s="202"/>
      <c r="AA136" s="242" t="s">
        <v>4996</v>
      </c>
      <c r="AB136" s="246" t="s">
        <v>4997</v>
      </c>
      <c r="AC136" s="246" t="s">
        <v>4998</v>
      </c>
      <c r="AD136" s="207" t="s">
        <v>4402</v>
      </c>
      <c r="AE136" s="207" t="s">
        <v>4405</v>
      </c>
      <c r="AF136" s="218">
        <v>70112.710000000006</v>
      </c>
      <c r="AG136" s="218">
        <v>70112.710000000006</v>
      </c>
      <c r="AH136" s="207" t="s">
        <v>4433</v>
      </c>
      <c r="AI136" s="214" t="s">
        <v>4411</v>
      </c>
      <c r="AJ136" s="207">
        <v>147991301</v>
      </c>
      <c r="AK136" s="316">
        <v>46038</v>
      </c>
      <c r="AL136" s="316">
        <v>46038</v>
      </c>
      <c r="AM136" s="316">
        <v>46038</v>
      </c>
      <c r="AN136" s="316">
        <v>46038</v>
      </c>
      <c r="AO136" s="316">
        <v>46038</v>
      </c>
      <c r="AP136" s="316">
        <v>46038</v>
      </c>
      <c r="AQ136" s="314"/>
      <c r="AR136" s="315" t="str">
        <f t="shared" si="12"/>
        <v>FINALIZADO</v>
      </c>
      <c r="AS136" s="207" t="s">
        <v>4423</v>
      </c>
      <c r="AT136" s="207"/>
      <c r="AU136" s="220" t="s">
        <v>4999</v>
      </c>
      <c r="AV136" s="207" t="s">
        <v>4425</v>
      </c>
      <c r="AW136" s="207" t="s">
        <v>4425</v>
      </c>
      <c r="AX136" s="207" t="s">
        <v>4425</v>
      </c>
      <c r="AY136" s="207" t="s">
        <v>4425</v>
      </c>
      <c r="AZ136" s="202">
        <v>46071</v>
      </c>
      <c r="BA136" s="219" t="s">
        <v>4425</v>
      </c>
      <c r="BB136" s="219" t="s">
        <v>4425</v>
      </c>
      <c r="BC136" s="202">
        <v>46101</v>
      </c>
      <c r="BD136" s="227">
        <v>46101</v>
      </c>
      <c r="BE136" s="227" t="s">
        <v>4435</v>
      </c>
      <c r="BF136" s="228" t="s">
        <v>4436</v>
      </c>
      <c r="BG136" s="229" t="s">
        <v>4425</v>
      </c>
      <c r="BH136" s="321">
        <f t="shared" si="13"/>
        <v>63</v>
      </c>
      <c r="BI136" s="98" t="str">
        <f t="shared" si="14"/>
        <v>INDENIZAÇÃO</v>
      </c>
      <c r="BJ136" s="98" t="str">
        <f t="shared" si="15"/>
        <v>NÃO</v>
      </c>
      <c r="BK136" s="230" t="s">
        <v>4437</v>
      </c>
      <c r="BL136" s="230" t="s">
        <v>4437</v>
      </c>
      <c r="BM136" s="230" t="s">
        <v>4437</v>
      </c>
      <c r="BN136" s="207" t="s">
        <v>4425</v>
      </c>
      <c r="BO136" s="207" t="s">
        <v>4425</v>
      </c>
      <c r="BP136" s="202">
        <v>46182</v>
      </c>
      <c r="BQ136" s="207" t="s">
        <v>4425</v>
      </c>
      <c r="BR136" s="256" t="s">
        <v>4435</v>
      </c>
      <c r="BS136" s="223"/>
      <c r="BT136" s="223"/>
    </row>
    <row r="137" spans="1:72" s="240" customFormat="1" ht="27" customHeight="1">
      <c r="A137" s="207">
        <v>133</v>
      </c>
      <c r="B137" s="197" t="s">
        <v>4396</v>
      </c>
      <c r="C137" s="207" t="s">
        <v>4413</v>
      </c>
      <c r="D137" s="207">
        <v>1</v>
      </c>
      <c r="E137" s="207" t="s">
        <v>4398</v>
      </c>
      <c r="F137" s="214" t="s">
        <v>4995</v>
      </c>
      <c r="G137" s="207" t="s">
        <v>4400</v>
      </c>
      <c r="H137" s="207" t="s">
        <v>4401</v>
      </c>
      <c r="I137" s="207" t="s">
        <v>4402</v>
      </c>
      <c r="J137" s="215" t="s">
        <v>5000</v>
      </c>
      <c r="K137" s="215" t="s">
        <v>5001</v>
      </c>
      <c r="L137" s="215" t="s">
        <v>5002</v>
      </c>
      <c r="M137" s="207" t="s">
        <v>4405</v>
      </c>
      <c r="N137" s="207" t="s">
        <v>4442</v>
      </c>
      <c r="O137" s="202" t="s">
        <v>4409</v>
      </c>
      <c r="P137" s="202" t="s">
        <v>4409</v>
      </c>
      <c r="Q137" s="202" t="s">
        <v>4409</v>
      </c>
      <c r="R137" s="202" t="s">
        <v>4409</v>
      </c>
      <c r="S137" s="202" t="s">
        <v>4409</v>
      </c>
      <c r="T137" s="202" t="s">
        <v>4409</v>
      </c>
      <c r="U137" s="202" t="s">
        <v>4409</v>
      </c>
      <c r="V137" s="202" t="s">
        <v>4409</v>
      </c>
      <c r="W137" s="202" t="s">
        <v>4409</v>
      </c>
      <c r="X137" s="202" t="s">
        <v>4409</v>
      </c>
      <c r="Y137" s="202"/>
      <c r="Z137" s="202"/>
      <c r="AA137" s="215" t="s">
        <v>5000</v>
      </c>
      <c r="AB137" s="215" t="s">
        <v>5001</v>
      </c>
      <c r="AC137" s="215" t="s">
        <v>5002</v>
      </c>
      <c r="AD137" s="207" t="s">
        <v>4402</v>
      </c>
      <c r="AE137" s="207" t="s">
        <v>4405</v>
      </c>
      <c r="AF137" s="218">
        <v>31647.72</v>
      </c>
      <c r="AG137" s="218">
        <v>60000</v>
      </c>
      <c r="AH137" s="207" t="s">
        <v>4433</v>
      </c>
      <c r="AI137" s="214" t="s">
        <v>4411</v>
      </c>
      <c r="AJ137" s="207">
        <v>152693881</v>
      </c>
      <c r="AK137" s="316">
        <v>46106</v>
      </c>
      <c r="AL137" s="316">
        <v>46106</v>
      </c>
      <c r="AM137" s="316">
        <v>46106</v>
      </c>
      <c r="AN137" s="316">
        <v>46106</v>
      </c>
      <c r="AO137" s="316">
        <v>46106</v>
      </c>
      <c r="AP137" s="316">
        <v>46106</v>
      </c>
      <c r="AQ137" s="314"/>
      <c r="AR137" s="315" t="str">
        <f t="shared" si="12"/>
        <v>FINALIZADO</v>
      </c>
      <c r="AS137" s="207" t="s">
        <v>4423</v>
      </c>
      <c r="AT137" s="207"/>
      <c r="AU137" s="220" t="s">
        <v>5003</v>
      </c>
      <c r="AV137" s="207" t="s">
        <v>4425</v>
      </c>
      <c r="AW137" s="207" t="s">
        <v>4425</v>
      </c>
      <c r="AX137" s="250" t="s">
        <v>4425</v>
      </c>
      <c r="AY137" s="207" t="s">
        <v>4425</v>
      </c>
      <c r="AZ137" s="202">
        <v>46139</v>
      </c>
      <c r="BA137" s="207" t="s">
        <v>4425</v>
      </c>
      <c r="BB137" s="207" t="s">
        <v>4425</v>
      </c>
      <c r="BC137" s="202">
        <v>46146</v>
      </c>
      <c r="BD137" s="227">
        <v>46146</v>
      </c>
      <c r="BE137" s="227" t="s">
        <v>4435</v>
      </c>
      <c r="BF137" s="228" t="s">
        <v>4436</v>
      </c>
      <c r="BG137" s="229" t="s">
        <v>4425</v>
      </c>
      <c r="BH137" s="321">
        <f t="shared" si="13"/>
        <v>40</v>
      </c>
      <c r="BI137" s="98" t="str">
        <f t="shared" si="14"/>
        <v>INDENIZAÇÃO</v>
      </c>
      <c r="BJ137" s="98" t="str">
        <f t="shared" si="15"/>
        <v>NÃO</v>
      </c>
      <c r="BK137" s="219" t="s">
        <v>4437</v>
      </c>
      <c r="BL137" s="219" t="s">
        <v>4437</v>
      </c>
      <c r="BM137" s="219" t="s">
        <v>4437</v>
      </c>
      <c r="BN137" s="219" t="s">
        <v>4425</v>
      </c>
      <c r="BO137" s="219" t="s">
        <v>4425</v>
      </c>
      <c r="BP137" s="202">
        <v>46195</v>
      </c>
      <c r="BQ137" s="219" t="s">
        <v>4425</v>
      </c>
      <c r="BR137" s="232" t="s">
        <v>4435</v>
      </c>
      <c r="BS137" s="223"/>
      <c r="BT137" s="223"/>
    </row>
    <row r="138" spans="1:72" s="240" customFormat="1" ht="27" customHeight="1">
      <c r="A138" s="207">
        <v>134</v>
      </c>
      <c r="B138" s="197" t="s">
        <v>4396</v>
      </c>
      <c r="C138" s="207" t="s">
        <v>4413</v>
      </c>
      <c r="D138" s="207">
        <v>1</v>
      </c>
      <c r="E138" s="207" t="s">
        <v>4398</v>
      </c>
      <c r="F138" s="214" t="s">
        <v>5004</v>
      </c>
      <c r="G138" s="207" t="s">
        <v>4400</v>
      </c>
      <c r="H138" s="207" t="s">
        <v>4401</v>
      </c>
      <c r="I138" s="207" t="s">
        <v>4402</v>
      </c>
      <c r="J138" s="215" t="s">
        <v>5005</v>
      </c>
      <c r="K138" s="215" t="s">
        <v>5006</v>
      </c>
      <c r="L138" s="215" t="s">
        <v>5007</v>
      </c>
      <c r="M138" s="207" t="s">
        <v>4405</v>
      </c>
      <c r="N138" s="207" t="s">
        <v>4406</v>
      </c>
      <c r="O138" s="202">
        <v>46084</v>
      </c>
      <c r="P138" s="202" t="s">
        <v>4407</v>
      </c>
      <c r="Q138" s="202">
        <v>46083</v>
      </c>
      <c r="R138" s="203">
        <v>46084</v>
      </c>
      <c r="S138" s="203">
        <v>46087</v>
      </c>
      <c r="T138" s="203">
        <v>46090</v>
      </c>
      <c r="U138" s="202" t="s">
        <v>4408</v>
      </c>
      <c r="V138" s="202" t="s">
        <v>4408</v>
      </c>
      <c r="W138" s="202">
        <v>46101</v>
      </c>
      <c r="X138" s="202">
        <v>46101</v>
      </c>
      <c r="Y138" s="202"/>
      <c r="Z138" s="202"/>
      <c r="AA138" s="215" t="s">
        <v>5005</v>
      </c>
      <c r="AB138" s="215" t="s">
        <v>5006</v>
      </c>
      <c r="AC138" s="215" t="s">
        <v>5007</v>
      </c>
      <c r="AD138" s="207" t="s">
        <v>4402</v>
      </c>
      <c r="AE138" s="207" t="s">
        <v>4405</v>
      </c>
      <c r="AF138" s="218" t="s">
        <v>4409</v>
      </c>
      <c r="AG138" s="218" t="s">
        <v>4409</v>
      </c>
      <c r="AH138" s="207" t="s">
        <v>4410</v>
      </c>
      <c r="AI138" s="214" t="s">
        <v>4411</v>
      </c>
      <c r="AJ138" s="207"/>
      <c r="AK138" s="316">
        <v>46080</v>
      </c>
      <c r="AL138" s="316">
        <v>46080</v>
      </c>
      <c r="AM138" s="316">
        <v>46080</v>
      </c>
      <c r="AN138" s="316">
        <v>46080</v>
      </c>
      <c r="AO138" s="316">
        <v>46080</v>
      </c>
      <c r="AP138" s="316">
        <v>46080</v>
      </c>
      <c r="AQ138" s="314"/>
      <c r="AR138" s="315" t="str">
        <f t="shared" si="12"/>
        <v>FINALIZADO</v>
      </c>
      <c r="AS138" s="207"/>
      <c r="AT138" s="219"/>
      <c r="AU138" s="220"/>
      <c r="AV138" s="219"/>
      <c r="AW138" s="219"/>
      <c r="AX138" s="219"/>
      <c r="AY138" s="219"/>
      <c r="AZ138" s="219"/>
      <c r="BA138" s="219"/>
      <c r="BB138" s="219"/>
      <c r="BC138" s="219"/>
      <c r="BD138" s="208"/>
      <c r="BE138" s="203"/>
      <c r="BF138" s="219"/>
      <c r="BG138" s="219"/>
      <c r="BH138" s="321" t="str">
        <f t="shared" si="13"/>
        <v/>
      </c>
      <c r="BI138" s="98" t="str">
        <f t="shared" si="14"/>
        <v>AA</v>
      </c>
      <c r="BJ138" s="98" t="str">
        <f t="shared" si="15"/>
        <v>NÃO</v>
      </c>
      <c r="BK138" s="219"/>
      <c r="BL138" s="221"/>
      <c r="BM138" s="221"/>
      <c r="BN138" s="219"/>
      <c r="BO138" s="219"/>
      <c r="BP138" s="219"/>
      <c r="BQ138" s="219"/>
      <c r="BR138" s="222"/>
      <c r="BS138" s="223"/>
      <c r="BT138" s="223"/>
    </row>
    <row r="139" spans="1:72" s="240" customFormat="1" ht="27" hidden="1" customHeight="1">
      <c r="A139" s="197">
        <v>135</v>
      </c>
      <c r="B139" s="197" t="s">
        <v>4396</v>
      </c>
      <c r="C139" s="207" t="s">
        <v>4427</v>
      </c>
      <c r="D139" s="207">
        <v>1</v>
      </c>
      <c r="E139" s="207" t="s">
        <v>4398</v>
      </c>
      <c r="F139" s="261" t="s">
        <v>5004</v>
      </c>
      <c r="G139" s="207" t="s">
        <v>4400</v>
      </c>
      <c r="H139" s="207" t="s">
        <v>4401</v>
      </c>
      <c r="I139" s="217" t="s">
        <v>4402</v>
      </c>
      <c r="J139" s="242" t="s">
        <v>5008</v>
      </c>
      <c r="K139" s="215" t="s">
        <v>5009</v>
      </c>
      <c r="L139" s="215" t="s">
        <v>5010</v>
      </c>
      <c r="M139" s="207" t="s">
        <v>4405</v>
      </c>
      <c r="N139" s="207" t="s">
        <v>4442</v>
      </c>
      <c r="O139" s="202" t="s">
        <v>4409</v>
      </c>
      <c r="P139" s="202" t="s">
        <v>4409</v>
      </c>
      <c r="Q139" s="202" t="s">
        <v>4409</v>
      </c>
      <c r="R139" s="202" t="s">
        <v>4409</v>
      </c>
      <c r="S139" s="202" t="s">
        <v>4409</v>
      </c>
      <c r="T139" s="202" t="s">
        <v>4409</v>
      </c>
      <c r="U139" s="202" t="s">
        <v>4409</v>
      </c>
      <c r="V139" s="202" t="s">
        <v>4409</v>
      </c>
      <c r="W139" s="202" t="s">
        <v>4409</v>
      </c>
      <c r="X139" s="202" t="s">
        <v>4409</v>
      </c>
      <c r="Y139" s="202"/>
      <c r="Z139" s="202"/>
      <c r="AA139" s="242" t="s">
        <v>5008</v>
      </c>
      <c r="AB139" s="246" t="s">
        <v>5009</v>
      </c>
      <c r="AC139" s="246" t="s">
        <v>5010</v>
      </c>
      <c r="AD139" s="207" t="s">
        <v>4402</v>
      </c>
      <c r="AE139" s="207" t="s">
        <v>4405</v>
      </c>
      <c r="AF139" s="218">
        <v>56896.03</v>
      </c>
      <c r="AG139" s="218">
        <v>60000</v>
      </c>
      <c r="AH139" s="207" t="s">
        <v>4433</v>
      </c>
      <c r="AI139" s="214" t="s">
        <v>4411</v>
      </c>
      <c r="AJ139" s="207">
        <v>147991981</v>
      </c>
      <c r="AK139" s="316">
        <v>46038</v>
      </c>
      <c r="AL139" s="316">
        <v>46038</v>
      </c>
      <c r="AM139" s="316">
        <v>46038</v>
      </c>
      <c r="AN139" s="316">
        <v>46038</v>
      </c>
      <c r="AO139" s="316">
        <v>46038</v>
      </c>
      <c r="AP139" s="316">
        <v>46038</v>
      </c>
      <c r="AQ139" s="314"/>
      <c r="AR139" s="315" t="str">
        <f t="shared" si="12"/>
        <v>FINALIZADO</v>
      </c>
      <c r="AS139" s="207" t="s">
        <v>4423</v>
      </c>
      <c r="AT139" s="207"/>
      <c r="AU139" s="220" t="s">
        <v>5011</v>
      </c>
      <c r="AV139" s="207" t="s">
        <v>4425</v>
      </c>
      <c r="AW139" s="207" t="s">
        <v>4425</v>
      </c>
      <c r="AX139" s="207" t="s">
        <v>4425</v>
      </c>
      <c r="AY139" s="207" t="s">
        <v>4425</v>
      </c>
      <c r="AZ139" s="202">
        <v>46098</v>
      </c>
      <c r="BA139" s="207" t="s">
        <v>4425</v>
      </c>
      <c r="BB139" s="207" t="s">
        <v>4425</v>
      </c>
      <c r="BC139" s="202">
        <v>46114</v>
      </c>
      <c r="BD139" s="227">
        <v>46114</v>
      </c>
      <c r="BE139" s="227" t="s">
        <v>4435</v>
      </c>
      <c r="BF139" s="228" t="s">
        <v>4436</v>
      </c>
      <c r="BG139" s="229" t="s">
        <v>4425</v>
      </c>
      <c r="BH139" s="321">
        <f t="shared" si="13"/>
        <v>76</v>
      </c>
      <c r="BI139" s="98" t="str">
        <f t="shared" si="14"/>
        <v>INDENIZAÇÃO</v>
      </c>
      <c r="BJ139" s="98" t="str">
        <f t="shared" si="15"/>
        <v>NÃO</v>
      </c>
      <c r="BK139" s="230" t="s">
        <v>4437</v>
      </c>
      <c r="BL139" s="230" t="s">
        <v>4437</v>
      </c>
      <c r="BM139" s="230" t="s">
        <v>4437</v>
      </c>
      <c r="BN139" s="207" t="s">
        <v>4425</v>
      </c>
      <c r="BO139" s="207" t="s">
        <v>4425</v>
      </c>
      <c r="BP139" s="202">
        <v>46182</v>
      </c>
      <c r="BQ139" s="207" t="s">
        <v>4425</v>
      </c>
      <c r="BR139" s="256" t="s">
        <v>4435</v>
      </c>
      <c r="BS139" s="223"/>
      <c r="BT139" s="223"/>
    </row>
    <row r="140" spans="1:72" s="240" customFormat="1" ht="27" hidden="1" customHeight="1">
      <c r="A140" s="197">
        <v>136</v>
      </c>
      <c r="B140" s="197" t="s">
        <v>4396</v>
      </c>
      <c r="C140" s="207" t="s">
        <v>4427</v>
      </c>
      <c r="D140" s="207">
        <v>1</v>
      </c>
      <c r="E140" s="207" t="s">
        <v>4398</v>
      </c>
      <c r="F140" s="261" t="s">
        <v>5012</v>
      </c>
      <c r="G140" s="207" t="s">
        <v>4400</v>
      </c>
      <c r="H140" s="207" t="s">
        <v>4401</v>
      </c>
      <c r="I140" s="217" t="s">
        <v>4402</v>
      </c>
      <c r="J140" s="242" t="s">
        <v>5013</v>
      </c>
      <c r="K140" s="215" t="s">
        <v>5014</v>
      </c>
      <c r="L140" s="215" t="s">
        <v>5015</v>
      </c>
      <c r="M140" s="207" t="s">
        <v>4405</v>
      </c>
      <c r="N140" s="207" t="s">
        <v>4442</v>
      </c>
      <c r="O140" s="202" t="s">
        <v>4409</v>
      </c>
      <c r="P140" s="202" t="s">
        <v>4409</v>
      </c>
      <c r="Q140" s="202" t="s">
        <v>4409</v>
      </c>
      <c r="R140" s="202" t="s">
        <v>4409</v>
      </c>
      <c r="S140" s="202" t="s">
        <v>4409</v>
      </c>
      <c r="T140" s="202" t="s">
        <v>4409</v>
      </c>
      <c r="U140" s="202" t="s">
        <v>4409</v>
      </c>
      <c r="V140" s="202" t="s">
        <v>4409</v>
      </c>
      <c r="W140" s="202" t="s">
        <v>4409</v>
      </c>
      <c r="X140" s="202" t="s">
        <v>4409</v>
      </c>
      <c r="Y140" s="202"/>
      <c r="Z140" s="202"/>
      <c r="AA140" s="242" t="s">
        <v>5013</v>
      </c>
      <c r="AB140" s="246" t="s">
        <v>5014</v>
      </c>
      <c r="AC140" s="246" t="s">
        <v>5015</v>
      </c>
      <c r="AD140" s="207" t="s">
        <v>4402</v>
      </c>
      <c r="AE140" s="207" t="s">
        <v>4405</v>
      </c>
      <c r="AF140" s="218">
        <v>3553.82</v>
      </c>
      <c r="AG140" s="218">
        <v>33553.82</v>
      </c>
      <c r="AH140" s="207" t="s">
        <v>4422</v>
      </c>
      <c r="AI140" s="214" t="s">
        <v>4411</v>
      </c>
      <c r="AJ140" s="207">
        <v>147992612</v>
      </c>
      <c r="AK140" s="316">
        <v>46099</v>
      </c>
      <c r="AL140" s="316">
        <v>46099</v>
      </c>
      <c r="AM140" s="316">
        <v>46099</v>
      </c>
      <c r="AN140" s="316">
        <v>46099</v>
      </c>
      <c r="AO140" s="316">
        <v>46099</v>
      </c>
      <c r="AP140" s="316">
        <v>46099</v>
      </c>
      <c r="AQ140" s="314"/>
      <c r="AR140" s="315" t="str">
        <f t="shared" si="12"/>
        <v>FINALIZADO</v>
      </c>
      <c r="AS140" s="207" t="s">
        <v>4423</v>
      </c>
      <c r="AT140" s="207"/>
      <c r="AU140" s="220" t="s">
        <v>5016</v>
      </c>
      <c r="AV140" s="207" t="s">
        <v>4425</v>
      </c>
      <c r="AW140" s="207" t="s">
        <v>4425</v>
      </c>
      <c r="AX140" s="207" t="s">
        <v>4425</v>
      </c>
      <c r="AY140" s="207" t="s">
        <v>4425</v>
      </c>
      <c r="AZ140" s="202">
        <v>46153</v>
      </c>
      <c r="BA140" s="207" t="s">
        <v>4425</v>
      </c>
      <c r="BB140" s="207" t="s">
        <v>4425</v>
      </c>
      <c r="BC140" s="202">
        <v>46157</v>
      </c>
      <c r="BD140" s="227">
        <v>46157</v>
      </c>
      <c r="BE140" s="227" t="s">
        <v>4435</v>
      </c>
      <c r="BF140" s="228" t="s">
        <v>4436</v>
      </c>
      <c r="BG140" s="229" t="s">
        <v>4425</v>
      </c>
      <c r="BH140" s="321">
        <f t="shared" si="13"/>
        <v>58</v>
      </c>
      <c r="BI140" s="98" t="str">
        <f t="shared" si="14"/>
        <v>INDENIZAÇÃO</v>
      </c>
      <c r="BJ140" s="98" t="str">
        <f t="shared" si="15"/>
        <v>NÃO</v>
      </c>
      <c r="BK140" s="230" t="s">
        <v>4437</v>
      </c>
      <c r="BL140" s="230" t="s">
        <v>4437</v>
      </c>
      <c r="BM140" s="230" t="s">
        <v>4437</v>
      </c>
      <c r="BN140" s="219" t="s">
        <v>4425</v>
      </c>
      <c r="BO140" s="219" t="s">
        <v>4425</v>
      </c>
      <c r="BP140" s="202">
        <v>46195</v>
      </c>
      <c r="BQ140" s="219" t="s">
        <v>4425</v>
      </c>
      <c r="BR140" s="232" t="s">
        <v>4435</v>
      </c>
      <c r="BS140" s="223"/>
    </row>
    <row r="141" spans="1:72" s="240" customFormat="1" ht="27" customHeight="1">
      <c r="A141" s="207">
        <v>137</v>
      </c>
      <c r="B141" s="197" t="s">
        <v>4396</v>
      </c>
      <c r="C141" s="207" t="s">
        <v>4413</v>
      </c>
      <c r="D141" s="207">
        <v>1</v>
      </c>
      <c r="E141" s="207" t="s">
        <v>4398</v>
      </c>
      <c r="F141" s="214" t="s">
        <v>5012</v>
      </c>
      <c r="G141" s="207" t="s">
        <v>4400</v>
      </c>
      <c r="H141" s="207" t="s">
        <v>4401</v>
      </c>
      <c r="I141" s="207" t="s">
        <v>4402</v>
      </c>
      <c r="J141" s="215" t="s">
        <v>5017</v>
      </c>
      <c r="K141" s="215" t="s">
        <v>5018</v>
      </c>
      <c r="L141" s="215" t="s">
        <v>5019</v>
      </c>
      <c r="M141" s="207" t="s">
        <v>4405</v>
      </c>
      <c r="N141" s="207" t="s">
        <v>4442</v>
      </c>
      <c r="O141" s="202" t="s">
        <v>4409</v>
      </c>
      <c r="P141" s="202" t="s">
        <v>4409</v>
      </c>
      <c r="Q141" s="202" t="s">
        <v>4409</v>
      </c>
      <c r="R141" s="202" t="s">
        <v>4409</v>
      </c>
      <c r="S141" s="202" t="s">
        <v>4409</v>
      </c>
      <c r="T141" s="202" t="s">
        <v>4409</v>
      </c>
      <c r="U141" s="202" t="s">
        <v>4409</v>
      </c>
      <c r="V141" s="202" t="s">
        <v>4409</v>
      </c>
      <c r="W141" s="202" t="s">
        <v>4409</v>
      </c>
      <c r="X141" s="202" t="s">
        <v>4409</v>
      </c>
      <c r="Y141" s="202"/>
      <c r="Z141" s="202"/>
      <c r="AA141" s="215" t="s">
        <v>5017</v>
      </c>
      <c r="AB141" s="215" t="s">
        <v>5018</v>
      </c>
      <c r="AC141" s="215" t="s">
        <v>5019</v>
      </c>
      <c r="AD141" s="207" t="s">
        <v>4402</v>
      </c>
      <c r="AE141" s="207" t="s">
        <v>4405</v>
      </c>
      <c r="AF141" s="218">
        <v>168872.67</v>
      </c>
      <c r="AG141" s="218">
        <v>168872.67</v>
      </c>
      <c r="AH141" s="207" t="s">
        <v>4433</v>
      </c>
      <c r="AI141" s="214" t="s">
        <v>4411</v>
      </c>
      <c r="AJ141" s="207">
        <v>154259187</v>
      </c>
      <c r="AK141" s="316">
        <v>46129</v>
      </c>
      <c r="AL141" s="316">
        <v>46129</v>
      </c>
      <c r="AM141" s="316">
        <v>46129</v>
      </c>
      <c r="AN141" s="316">
        <v>46129</v>
      </c>
      <c r="AO141" s="316">
        <v>46129</v>
      </c>
      <c r="AP141" s="316">
        <v>46129</v>
      </c>
      <c r="AQ141" s="314"/>
      <c r="AR141" s="315" t="str">
        <f t="shared" si="12"/>
        <v>FINALIZADO</v>
      </c>
      <c r="AS141" s="207" t="s">
        <v>4423</v>
      </c>
      <c r="AT141" s="262"/>
      <c r="AU141" s="220" t="s">
        <v>5020</v>
      </c>
      <c r="AV141" s="207" t="s">
        <v>4425</v>
      </c>
      <c r="AW141" s="207" t="s">
        <v>4425</v>
      </c>
      <c r="AX141" s="207" t="s">
        <v>4425</v>
      </c>
      <c r="AY141" s="197" t="s">
        <v>4425</v>
      </c>
      <c r="AZ141" s="202">
        <v>46226</v>
      </c>
      <c r="BA141" s="254" t="s">
        <v>4425</v>
      </c>
      <c r="BB141" s="219" t="s">
        <v>4425</v>
      </c>
      <c r="BC141" s="202">
        <v>46232</v>
      </c>
      <c r="BD141" s="226">
        <v>46232</v>
      </c>
      <c r="BE141" s="257" t="s">
        <v>4435</v>
      </c>
      <c r="BF141" s="257" t="s">
        <v>4436</v>
      </c>
      <c r="BG141" s="219" t="s">
        <v>4425</v>
      </c>
      <c r="BH141" s="321">
        <f t="shared" si="13"/>
        <v>103</v>
      </c>
      <c r="BI141" s="98" t="str">
        <f t="shared" si="14"/>
        <v>INDENIZAÇÃO</v>
      </c>
      <c r="BJ141" s="98" t="str">
        <f t="shared" si="15"/>
        <v>NÃO</v>
      </c>
      <c r="BK141" s="219" t="s">
        <v>4437</v>
      </c>
      <c r="BL141" s="219" t="s">
        <v>4437</v>
      </c>
      <c r="BM141" s="219" t="s">
        <v>4437</v>
      </c>
      <c r="BN141" s="250" t="s">
        <v>4425</v>
      </c>
      <c r="BO141" s="250" t="s">
        <v>4425</v>
      </c>
      <c r="BP141" s="202">
        <v>46269</v>
      </c>
      <c r="BQ141" s="257" t="s">
        <v>4819</v>
      </c>
      <c r="BR141" s="258"/>
    </row>
    <row r="142" spans="1:72" s="240" customFormat="1" ht="27" customHeight="1">
      <c r="A142" s="207">
        <v>138</v>
      </c>
      <c r="B142" s="197" t="s">
        <v>4396</v>
      </c>
      <c r="C142" s="207" t="s">
        <v>4413</v>
      </c>
      <c r="D142" s="207">
        <v>1</v>
      </c>
      <c r="E142" s="250" t="s">
        <v>4398</v>
      </c>
      <c r="F142" s="214" t="s">
        <v>5021</v>
      </c>
      <c r="G142" s="207" t="s">
        <v>4400</v>
      </c>
      <c r="H142" s="207" t="s">
        <v>4401</v>
      </c>
      <c r="I142" s="217" t="s">
        <v>4402</v>
      </c>
      <c r="J142" s="215" t="s">
        <v>5022</v>
      </c>
      <c r="K142" s="215" t="s">
        <v>5023</v>
      </c>
      <c r="L142" s="215" t="s">
        <v>5024</v>
      </c>
      <c r="M142" s="207" t="s">
        <v>4405</v>
      </c>
      <c r="N142" s="207" t="s">
        <v>4442</v>
      </c>
      <c r="O142" s="202" t="s">
        <v>4409</v>
      </c>
      <c r="P142" s="202" t="s">
        <v>4409</v>
      </c>
      <c r="Q142" s="202" t="s">
        <v>4409</v>
      </c>
      <c r="R142" s="202" t="s">
        <v>4409</v>
      </c>
      <c r="S142" s="202" t="s">
        <v>4409</v>
      </c>
      <c r="T142" s="202" t="s">
        <v>4409</v>
      </c>
      <c r="U142" s="202" t="s">
        <v>4409</v>
      </c>
      <c r="V142" s="202" t="s">
        <v>4409</v>
      </c>
      <c r="W142" s="202" t="s">
        <v>4409</v>
      </c>
      <c r="X142" s="202" t="s">
        <v>4409</v>
      </c>
      <c r="Y142" s="202"/>
      <c r="Z142" s="260"/>
      <c r="AA142" s="215" t="s">
        <v>5022</v>
      </c>
      <c r="AB142" s="215" t="s">
        <v>5025</v>
      </c>
      <c r="AC142" s="215" t="s">
        <v>5024</v>
      </c>
      <c r="AD142" s="217" t="s">
        <v>4402</v>
      </c>
      <c r="AE142" s="207" t="s">
        <v>4405</v>
      </c>
      <c r="AF142" s="218">
        <v>53977.57</v>
      </c>
      <c r="AG142" s="218">
        <v>60000</v>
      </c>
      <c r="AH142" s="207" t="s">
        <v>4422</v>
      </c>
      <c r="AI142" s="214" t="s">
        <v>4411</v>
      </c>
      <c r="AJ142" s="207">
        <v>159894130</v>
      </c>
      <c r="AK142" s="316">
        <v>46080</v>
      </c>
      <c r="AL142" s="316">
        <v>46080</v>
      </c>
      <c r="AM142" s="316">
        <v>46080</v>
      </c>
      <c r="AN142" s="316">
        <v>46080</v>
      </c>
      <c r="AO142" s="316">
        <v>46080</v>
      </c>
      <c r="AP142" s="316">
        <v>46080</v>
      </c>
      <c r="AQ142" s="314"/>
      <c r="AR142" s="315" t="str">
        <f t="shared" si="12"/>
        <v>FINALIZADO</v>
      </c>
      <c r="AS142" s="207" t="s">
        <v>4423</v>
      </c>
      <c r="AT142" s="219"/>
      <c r="AU142" s="220" t="s">
        <v>5026</v>
      </c>
      <c r="AV142" s="219" t="s">
        <v>4425</v>
      </c>
      <c r="AW142" s="219" t="s">
        <v>4425</v>
      </c>
      <c r="AX142" s="257" t="s">
        <v>4828</v>
      </c>
      <c r="AY142" s="257"/>
      <c r="AZ142" s="257"/>
      <c r="BA142" s="257"/>
      <c r="BB142" s="278"/>
      <c r="BC142" s="257"/>
      <c r="BD142" s="226"/>
      <c r="BE142" s="226"/>
      <c r="BF142" s="228" t="s">
        <v>4400</v>
      </c>
      <c r="BG142" s="219"/>
      <c r="BH142" s="321" t="str">
        <f t="shared" si="13"/>
        <v/>
      </c>
      <c r="BI142" s="98" t="str">
        <f t="shared" si="14"/>
        <v>INDENIZAÇÃO</v>
      </c>
      <c r="BJ142" s="98" t="str">
        <f t="shared" si="15"/>
        <v>NÃO</v>
      </c>
      <c r="BK142" s="219"/>
      <c r="BL142" s="221"/>
      <c r="BM142" s="221"/>
      <c r="BN142" s="219"/>
      <c r="BO142" s="219"/>
      <c r="BP142" s="219"/>
      <c r="BQ142" s="219"/>
      <c r="BR142" s="222"/>
    </row>
    <row r="143" spans="1:72" s="240" customFormat="1" ht="27" hidden="1" customHeight="1">
      <c r="A143" s="207">
        <v>139</v>
      </c>
      <c r="B143" s="197" t="s">
        <v>4396</v>
      </c>
      <c r="C143" s="207" t="s">
        <v>4427</v>
      </c>
      <c r="D143" s="207">
        <v>1</v>
      </c>
      <c r="E143" s="207" t="s">
        <v>4398</v>
      </c>
      <c r="F143" s="261" t="s">
        <v>5021</v>
      </c>
      <c r="G143" s="207" t="s">
        <v>4400</v>
      </c>
      <c r="H143" s="207" t="s">
        <v>4401</v>
      </c>
      <c r="I143" s="217" t="s">
        <v>4402</v>
      </c>
      <c r="J143" s="242" t="s">
        <v>5027</v>
      </c>
      <c r="K143" s="215" t="s">
        <v>5028</v>
      </c>
      <c r="L143" s="215" t="s">
        <v>5029</v>
      </c>
      <c r="M143" s="207" t="s">
        <v>4405</v>
      </c>
      <c r="N143" s="207" t="s">
        <v>4406</v>
      </c>
      <c r="O143" s="203">
        <v>46031</v>
      </c>
      <c r="P143" s="202" t="s">
        <v>4407</v>
      </c>
      <c r="Q143" s="203">
        <v>46030</v>
      </c>
      <c r="R143" s="203">
        <v>46031</v>
      </c>
      <c r="S143" s="203">
        <v>46036</v>
      </c>
      <c r="T143" s="203">
        <v>46045</v>
      </c>
      <c r="U143" s="203" t="s">
        <v>4408</v>
      </c>
      <c r="V143" s="203" t="s">
        <v>4408</v>
      </c>
      <c r="W143" s="202">
        <v>46055</v>
      </c>
      <c r="X143" s="202">
        <v>46057</v>
      </c>
      <c r="Y143" s="202"/>
      <c r="Z143" s="207"/>
      <c r="AA143" s="242" t="s">
        <v>5027</v>
      </c>
      <c r="AB143" s="215" t="s">
        <v>5028</v>
      </c>
      <c r="AC143" s="215" t="s">
        <v>5029</v>
      </c>
      <c r="AD143" s="217" t="s">
        <v>4402</v>
      </c>
      <c r="AE143" s="207" t="s">
        <v>4405</v>
      </c>
      <c r="AF143" s="218" t="s">
        <v>4409</v>
      </c>
      <c r="AG143" s="218" t="s">
        <v>4409</v>
      </c>
      <c r="AH143" s="207" t="s">
        <v>4410</v>
      </c>
      <c r="AI143" s="214" t="s">
        <v>4411</v>
      </c>
      <c r="AJ143" s="207"/>
      <c r="AK143" s="316">
        <v>46007</v>
      </c>
      <c r="AL143" s="316">
        <v>46007</v>
      </c>
      <c r="AM143" s="316">
        <v>46007</v>
      </c>
      <c r="AN143" s="316">
        <v>46007</v>
      </c>
      <c r="AO143" s="316">
        <v>46007</v>
      </c>
      <c r="AP143" s="316">
        <v>46007</v>
      </c>
      <c r="AQ143" s="314"/>
      <c r="AR143" s="315" t="str">
        <f t="shared" si="12"/>
        <v>FINALIZADO</v>
      </c>
      <c r="AS143" s="207"/>
      <c r="AT143" s="207"/>
      <c r="AU143" s="220"/>
      <c r="AV143" s="207"/>
      <c r="AW143" s="207"/>
      <c r="AX143" s="207"/>
      <c r="AY143" s="207"/>
      <c r="AZ143" s="202"/>
      <c r="BA143" s="207"/>
      <c r="BB143" s="207"/>
      <c r="BC143" s="202"/>
      <c r="BD143" s="208"/>
      <c r="BE143" s="202"/>
      <c r="BF143" s="207"/>
      <c r="BG143" s="229"/>
      <c r="BH143" s="321" t="str">
        <f t="shared" si="13"/>
        <v/>
      </c>
      <c r="BI143" s="98" t="str">
        <f t="shared" si="14"/>
        <v>AA</v>
      </c>
      <c r="BJ143" s="98" t="str">
        <f t="shared" si="15"/>
        <v>NÃO</v>
      </c>
      <c r="BK143" s="230"/>
      <c r="BL143" s="230"/>
      <c r="BM143" s="230"/>
      <c r="BN143" s="230"/>
      <c r="BO143" s="230"/>
      <c r="BP143" s="230"/>
      <c r="BQ143" s="230"/>
      <c r="BR143" s="234"/>
    </row>
    <row r="144" spans="1:72" s="240" customFormat="1" ht="27" customHeight="1">
      <c r="A144" s="197">
        <v>140</v>
      </c>
      <c r="B144" s="197" t="s">
        <v>4396</v>
      </c>
      <c r="C144" s="207" t="s">
        <v>4413</v>
      </c>
      <c r="D144" s="207">
        <v>1</v>
      </c>
      <c r="E144" s="207" t="s">
        <v>4398</v>
      </c>
      <c r="F144" s="214" t="s">
        <v>5030</v>
      </c>
      <c r="G144" s="207" t="s">
        <v>4400</v>
      </c>
      <c r="H144" s="207" t="s">
        <v>4401</v>
      </c>
      <c r="I144" s="207" t="s">
        <v>4414</v>
      </c>
      <c r="J144" s="215" t="s">
        <v>5031</v>
      </c>
      <c r="K144" s="215" t="s">
        <v>5032</v>
      </c>
      <c r="L144" s="215" t="s">
        <v>5033</v>
      </c>
      <c r="M144" s="207" t="s">
        <v>4405</v>
      </c>
      <c r="N144" s="207" t="s">
        <v>4406</v>
      </c>
      <c r="O144" s="202">
        <v>46217</v>
      </c>
      <c r="P144" s="202" t="s">
        <v>4407</v>
      </c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15" t="s">
        <v>5034</v>
      </c>
      <c r="AB144" s="215" t="s">
        <v>5035</v>
      </c>
      <c r="AC144" s="215" t="s">
        <v>5036</v>
      </c>
      <c r="AD144" s="217" t="s">
        <v>4421</v>
      </c>
      <c r="AE144" s="207" t="s">
        <v>4405</v>
      </c>
      <c r="AF144" s="218">
        <v>65997.289999999994</v>
      </c>
      <c r="AG144" s="218">
        <v>65997.289999999994</v>
      </c>
      <c r="AH144" s="207" t="s">
        <v>4422</v>
      </c>
      <c r="AI144" s="214" t="s">
        <v>4411</v>
      </c>
      <c r="AJ144" s="207">
        <v>158035317</v>
      </c>
      <c r="AK144" s="316">
        <v>46188</v>
      </c>
      <c r="AL144" s="316">
        <v>46188</v>
      </c>
      <c r="AM144" s="316">
        <v>46188</v>
      </c>
      <c r="AN144" s="316">
        <v>46188</v>
      </c>
      <c r="AO144" s="316">
        <v>46188</v>
      </c>
      <c r="AP144" s="316">
        <v>46188</v>
      </c>
      <c r="AQ144" s="314"/>
      <c r="AR144" s="315" t="str">
        <f t="shared" si="12"/>
        <v>FINALIZADO</v>
      </c>
      <c r="AS144" s="207" t="s">
        <v>4423</v>
      </c>
      <c r="AT144" s="219"/>
      <c r="AU144" s="220" t="s">
        <v>5037</v>
      </c>
      <c r="AV144" s="197" t="s">
        <v>4818</v>
      </c>
      <c r="AW144" s="207" t="s">
        <v>4818</v>
      </c>
      <c r="AX144" s="207" t="s">
        <v>4818</v>
      </c>
      <c r="AY144" s="207" t="s">
        <v>4818</v>
      </c>
      <c r="AZ144" s="202">
        <v>46233</v>
      </c>
      <c r="BA144" s="207" t="s">
        <v>4818</v>
      </c>
      <c r="BB144" s="207" t="s">
        <v>4818</v>
      </c>
      <c r="BC144" s="202">
        <v>46237</v>
      </c>
      <c r="BD144" s="226">
        <v>46237</v>
      </c>
      <c r="BE144" s="257" t="s">
        <v>4435</v>
      </c>
      <c r="BF144" s="257" t="s">
        <v>4436</v>
      </c>
      <c r="BG144" s="219" t="s">
        <v>4425</v>
      </c>
      <c r="BH144" s="321">
        <f t="shared" si="13"/>
        <v>49</v>
      </c>
      <c r="BI144" s="98" t="str">
        <f t="shared" si="14"/>
        <v>INDENIZAÇÃO</v>
      </c>
      <c r="BJ144" s="98" t="str">
        <f t="shared" si="15"/>
        <v>NÃO</v>
      </c>
      <c r="BK144" s="219" t="s">
        <v>4437</v>
      </c>
      <c r="BL144" s="219" t="s">
        <v>4437</v>
      </c>
      <c r="BM144" s="219" t="s">
        <v>4437</v>
      </c>
      <c r="BN144" s="250" t="s">
        <v>4425</v>
      </c>
      <c r="BO144" s="250" t="s">
        <v>4425</v>
      </c>
      <c r="BP144" s="202">
        <v>46269</v>
      </c>
      <c r="BQ144" s="257" t="s">
        <v>4819</v>
      </c>
      <c r="BR144" s="258"/>
      <c r="BS144" s="223"/>
    </row>
    <row r="145" spans="1:73" s="240" customFormat="1" ht="27" customHeight="1">
      <c r="A145" s="197">
        <v>141</v>
      </c>
      <c r="B145" s="197" t="s">
        <v>4396</v>
      </c>
      <c r="C145" s="207" t="s">
        <v>4413</v>
      </c>
      <c r="D145" s="207">
        <v>1</v>
      </c>
      <c r="E145" s="207" t="s">
        <v>4398</v>
      </c>
      <c r="F145" s="214" t="s">
        <v>5038</v>
      </c>
      <c r="G145" s="207" t="s">
        <v>4400</v>
      </c>
      <c r="H145" s="207" t="s">
        <v>4401</v>
      </c>
      <c r="I145" s="207" t="s">
        <v>4414</v>
      </c>
      <c r="J145" s="215" t="s">
        <v>5039</v>
      </c>
      <c r="K145" s="215" t="s">
        <v>5040</v>
      </c>
      <c r="L145" s="215" t="s">
        <v>5041</v>
      </c>
      <c r="M145" s="207" t="s">
        <v>4405</v>
      </c>
      <c r="N145" s="207" t="s">
        <v>4406</v>
      </c>
      <c r="O145" s="202">
        <v>46106</v>
      </c>
      <c r="P145" s="202" t="s">
        <v>4407</v>
      </c>
      <c r="Q145" s="202">
        <v>46106</v>
      </c>
      <c r="R145" s="202">
        <v>46107</v>
      </c>
      <c r="S145" s="202">
        <v>46111</v>
      </c>
      <c r="T145" s="202">
        <v>46087</v>
      </c>
      <c r="U145" s="202" t="s">
        <v>4408</v>
      </c>
      <c r="V145" s="202" t="s">
        <v>4408</v>
      </c>
      <c r="W145" s="202">
        <v>46132</v>
      </c>
      <c r="X145" s="202">
        <v>46129</v>
      </c>
      <c r="Y145" s="202"/>
      <c r="Z145" s="202"/>
      <c r="AA145" s="215" t="s">
        <v>5042</v>
      </c>
      <c r="AB145" s="215" t="s">
        <v>5043</v>
      </c>
      <c r="AC145" s="215" t="s">
        <v>5044</v>
      </c>
      <c r="AD145" s="217" t="s">
        <v>4421</v>
      </c>
      <c r="AE145" s="217" t="s">
        <v>5045</v>
      </c>
      <c r="AF145" s="218">
        <v>64521.279999999999</v>
      </c>
      <c r="AG145" s="218">
        <v>64521.279999999999</v>
      </c>
      <c r="AH145" s="207" t="s">
        <v>4433</v>
      </c>
      <c r="AI145" s="215" t="s">
        <v>4411</v>
      </c>
      <c r="AJ145" s="207">
        <v>152694201</v>
      </c>
      <c r="AK145" s="316">
        <v>46106</v>
      </c>
      <c r="AL145" s="316">
        <v>46106</v>
      </c>
      <c r="AM145" s="316">
        <v>46106</v>
      </c>
      <c r="AN145" s="316">
        <v>46106</v>
      </c>
      <c r="AO145" s="316">
        <v>46106</v>
      </c>
      <c r="AP145" s="316">
        <v>46106</v>
      </c>
      <c r="AQ145" s="314"/>
      <c r="AR145" s="315" t="str">
        <f t="shared" si="12"/>
        <v>FINALIZADO</v>
      </c>
      <c r="AS145" s="207" t="s">
        <v>4423</v>
      </c>
      <c r="AT145" s="207"/>
      <c r="AU145" s="220" t="s">
        <v>5046</v>
      </c>
      <c r="AV145" s="207" t="s">
        <v>4425</v>
      </c>
      <c r="AW145" s="207" t="s">
        <v>4425</v>
      </c>
      <c r="AX145" s="207" t="s">
        <v>4425</v>
      </c>
      <c r="AY145" s="207" t="s">
        <v>4425</v>
      </c>
      <c r="AZ145" s="202">
        <v>46139</v>
      </c>
      <c r="BA145" s="207" t="s">
        <v>4425</v>
      </c>
      <c r="BB145" s="207" t="s">
        <v>4425</v>
      </c>
      <c r="BC145" s="202">
        <v>46142</v>
      </c>
      <c r="BD145" s="227">
        <v>46142</v>
      </c>
      <c r="BE145" s="227" t="s">
        <v>4435</v>
      </c>
      <c r="BF145" s="228" t="s">
        <v>4436</v>
      </c>
      <c r="BG145" s="229" t="s">
        <v>4425</v>
      </c>
      <c r="BH145" s="321">
        <f t="shared" si="13"/>
        <v>36</v>
      </c>
      <c r="BI145" s="98" t="str">
        <f t="shared" si="14"/>
        <v>INDENIZAÇÃO</v>
      </c>
      <c r="BJ145" s="98" t="str">
        <f t="shared" si="15"/>
        <v>NÃO</v>
      </c>
      <c r="BK145" s="219" t="s">
        <v>4437</v>
      </c>
      <c r="BL145" s="219" t="s">
        <v>4437</v>
      </c>
      <c r="BM145" s="219" t="s">
        <v>4437</v>
      </c>
      <c r="BN145" s="207" t="s">
        <v>4425</v>
      </c>
      <c r="BO145" s="207" t="s">
        <v>4425</v>
      </c>
      <c r="BP145" s="202">
        <v>46182</v>
      </c>
      <c r="BQ145" s="207" t="s">
        <v>4425</v>
      </c>
      <c r="BR145" s="256" t="s">
        <v>4435</v>
      </c>
      <c r="BS145" s="223"/>
    </row>
    <row r="146" spans="1:73" s="240" customFormat="1" ht="27" hidden="1" customHeight="1">
      <c r="A146" s="207">
        <v>142</v>
      </c>
      <c r="B146" s="197" t="s">
        <v>4396</v>
      </c>
      <c r="C146" s="207" t="s">
        <v>4427</v>
      </c>
      <c r="D146" s="207">
        <v>1</v>
      </c>
      <c r="E146" s="207" t="s">
        <v>4398</v>
      </c>
      <c r="F146" s="261" t="s">
        <v>5038</v>
      </c>
      <c r="G146" s="207" t="s">
        <v>4400</v>
      </c>
      <c r="H146" s="207" t="s">
        <v>4401</v>
      </c>
      <c r="I146" s="217" t="s">
        <v>4402</v>
      </c>
      <c r="J146" s="242" t="s">
        <v>5047</v>
      </c>
      <c r="K146" s="215" t="s">
        <v>5048</v>
      </c>
      <c r="L146" s="215" t="s">
        <v>5049</v>
      </c>
      <c r="M146" s="207" t="s">
        <v>4405</v>
      </c>
      <c r="N146" s="207" t="s">
        <v>4442</v>
      </c>
      <c r="O146" s="202" t="s">
        <v>4409</v>
      </c>
      <c r="P146" s="202" t="s">
        <v>4409</v>
      </c>
      <c r="Q146" s="202" t="s">
        <v>4409</v>
      </c>
      <c r="R146" s="202" t="s">
        <v>4409</v>
      </c>
      <c r="S146" s="202" t="s">
        <v>4409</v>
      </c>
      <c r="T146" s="202" t="s">
        <v>4409</v>
      </c>
      <c r="U146" s="202" t="s">
        <v>4409</v>
      </c>
      <c r="V146" s="202" t="s">
        <v>4409</v>
      </c>
      <c r="W146" s="202" t="s">
        <v>4409</v>
      </c>
      <c r="X146" s="202" t="s">
        <v>4409</v>
      </c>
      <c r="Y146" s="202"/>
      <c r="Z146" s="202"/>
      <c r="AA146" s="242" t="s">
        <v>5047</v>
      </c>
      <c r="AB146" s="215" t="s">
        <v>5048</v>
      </c>
      <c r="AC146" s="215" t="s">
        <v>5049</v>
      </c>
      <c r="AD146" s="207" t="s">
        <v>4402</v>
      </c>
      <c r="AE146" s="207" t="s">
        <v>4405</v>
      </c>
      <c r="AF146" s="218">
        <v>91581.57</v>
      </c>
      <c r="AG146" s="218">
        <v>91581.57</v>
      </c>
      <c r="AH146" s="207" t="s">
        <v>4433</v>
      </c>
      <c r="AI146" s="214" t="s">
        <v>4411</v>
      </c>
      <c r="AJ146" s="207">
        <v>147992810</v>
      </c>
      <c r="AK146" s="316">
        <v>46045</v>
      </c>
      <c r="AL146" s="316">
        <v>46045</v>
      </c>
      <c r="AM146" s="316">
        <v>46045</v>
      </c>
      <c r="AN146" s="316">
        <v>46045</v>
      </c>
      <c r="AO146" s="316">
        <v>46045</v>
      </c>
      <c r="AP146" s="316">
        <v>46045</v>
      </c>
      <c r="AQ146" s="314"/>
      <c r="AR146" s="315" t="str">
        <f t="shared" si="12"/>
        <v>FINALIZADO</v>
      </c>
      <c r="AS146" s="207" t="s">
        <v>4423</v>
      </c>
      <c r="AT146" s="207"/>
      <c r="AU146" s="220" t="s">
        <v>5050</v>
      </c>
      <c r="AV146" s="207" t="s">
        <v>4425</v>
      </c>
      <c r="AW146" s="207" t="s">
        <v>4425</v>
      </c>
      <c r="AX146" s="207" t="s">
        <v>4425</v>
      </c>
      <c r="AY146" s="207" t="s">
        <v>4425</v>
      </c>
      <c r="AZ146" s="202">
        <v>46189</v>
      </c>
      <c r="BA146" s="207" t="s">
        <v>4425</v>
      </c>
      <c r="BB146" s="207" t="s">
        <v>4425</v>
      </c>
      <c r="BC146" s="202">
        <v>46195</v>
      </c>
      <c r="BD146" s="227">
        <v>46195</v>
      </c>
      <c r="BE146" s="227" t="s">
        <v>4435</v>
      </c>
      <c r="BF146" s="228" t="s">
        <v>4400</v>
      </c>
      <c r="BG146" s="219" t="s">
        <v>4425</v>
      </c>
      <c r="BH146" s="321">
        <f t="shared" si="13"/>
        <v>150</v>
      </c>
      <c r="BI146" s="98" t="str">
        <f t="shared" si="14"/>
        <v>INDENIZAÇÃO</v>
      </c>
      <c r="BJ146" s="98" t="str">
        <f t="shared" si="15"/>
        <v>NÃO</v>
      </c>
      <c r="BK146" s="219" t="s">
        <v>4437</v>
      </c>
      <c r="BL146" s="219" t="s">
        <v>4437</v>
      </c>
      <c r="BM146" s="219" t="s">
        <v>4437</v>
      </c>
      <c r="BN146" s="207" t="s">
        <v>4425</v>
      </c>
      <c r="BO146" s="207" t="s">
        <v>4425</v>
      </c>
      <c r="BP146" s="202">
        <v>46224</v>
      </c>
      <c r="BQ146" s="207" t="s">
        <v>4425</v>
      </c>
      <c r="BR146" s="232" t="s">
        <v>4435</v>
      </c>
      <c r="BS146" s="223"/>
      <c r="BT146" s="223"/>
    </row>
    <row r="147" spans="1:73" s="240" customFormat="1" ht="27" hidden="1" customHeight="1">
      <c r="A147" s="207">
        <v>143</v>
      </c>
      <c r="B147" s="197" t="s">
        <v>4396</v>
      </c>
      <c r="C147" s="207" t="s">
        <v>4427</v>
      </c>
      <c r="D147" s="207">
        <v>1</v>
      </c>
      <c r="E147" s="207" t="s">
        <v>4398</v>
      </c>
      <c r="F147" s="214" t="s">
        <v>5051</v>
      </c>
      <c r="G147" s="207" t="s">
        <v>4400</v>
      </c>
      <c r="H147" s="207" t="s">
        <v>4401</v>
      </c>
      <c r="I147" s="217" t="s">
        <v>4536</v>
      </c>
      <c r="J147" s="242" t="s">
        <v>5052</v>
      </c>
      <c r="K147" s="215" t="s">
        <v>5053</v>
      </c>
      <c r="L147" s="215" t="s">
        <v>5054</v>
      </c>
      <c r="M147" s="207" t="s">
        <v>4405</v>
      </c>
      <c r="N147" s="207" t="s">
        <v>4406</v>
      </c>
      <c r="O147" s="202">
        <v>46002</v>
      </c>
      <c r="P147" s="202" t="s">
        <v>4407</v>
      </c>
      <c r="Q147" s="202">
        <v>45999</v>
      </c>
      <c r="R147" s="202">
        <v>46006</v>
      </c>
      <c r="S147" s="202">
        <v>46006</v>
      </c>
      <c r="T147" s="202">
        <v>46009</v>
      </c>
      <c r="U147" s="202" t="s">
        <v>4408</v>
      </c>
      <c r="V147" s="202" t="s">
        <v>4408</v>
      </c>
      <c r="W147" s="202">
        <v>46014</v>
      </c>
      <c r="X147" s="202">
        <v>46024</v>
      </c>
      <c r="Y147" s="202"/>
      <c r="Z147" s="207"/>
      <c r="AA147" s="242" t="s">
        <v>5052</v>
      </c>
      <c r="AB147" s="215" t="s">
        <v>5053</v>
      </c>
      <c r="AC147" s="215" t="s">
        <v>5054</v>
      </c>
      <c r="AD147" s="217" t="s">
        <v>4402</v>
      </c>
      <c r="AE147" s="207" t="s">
        <v>4405</v>
      </c>
      <c r="AF147" s="218" t="s">
        <v>4409</v>
      </c>
      <c r="AG147" s="218" t="s">
        <v>4409</v>
      </c>
      <c r="AH147" s="207" t="s">
        <v>4410</v>
      </c>
      <c r="AI147" s="214" t="s">
        <v>4411</v>
      </c>
      <c r="AJ147" s="207"/>
      <c r="AK147" s="316">
        <v>45988</v>
      </c>
      <c r="AL147" s="316">
        <v>45988</v>
      </c>
      <c r="AM147" s="316">
        <v>45988</v>
      </c>
      <c r="AN147" s="316">
        <v>45988</v>
      </c>
      <c r="AO147" s="316">
        <v>45988</v>
      </c>
      <c r="AP147" s="316">
        <v>45988</v>
      </c>
      <c r="AQ147" s="314"/>
      <c r="AR147" s="315" t="str">
        <f t="shared" si="12"/>
        <v>FINALIZADO</v>
      </c>
      <c r="AS147" s="207"/>
      <c r="AT147" s="207"/>
      <c r="AU147" s="220"/>
      <c r="AV147" s="207"/>
      <c r="AW147" s="207"/>
      <c r="AX147" s="228"/>
      <c r="AY147" s="207"/>
      <c r="AZ147" s="202"/>
      <c r="BA147" s="207"/>
      <c r="BB147" s="207"/>
      <c r="BC147" s="202"/>
      <c r="BD147" s="208"/>
      <c r="BE147" s="202"/>
      <c r="BF147" s="207"/>
      <c r="BG147" s="229"/>
      <c r="BH147" s="321" t="str">
        <f t="shared" si="13"/>
        <v/>
      </c>
      <c r="BI147" s="98" t="str">
        <f t="shared" si="14"/>
        <v>AA</v>
      </c>
      <c r="BJ147" s="98" t="str">
        <f t="shared" si="15"/>
        <v>NÃO</v>
      </c>
      <c r="BK147" s="230"/>
      <c r="BL147" s="230"/>
      <c r="BM147" s="230"/>
      <c r="BN147" s="230"/>
      <c r="BO147" s="230"/>
      <c r="BP147" s="230"/>
      <c r="BQ147" s="230"/>
      <c r="BR147" s="234"/>
      <c r="BS147" s="223"/>
      <c r="BT147" s="223"/>
    </row>
    <row r="148" spans="1:73" s="240" customFormat="1" ht="27" customHeight="1">
      <c r="A148" s="207">
        <v>144</v>
      </c>
      <c r="B148" s="197" t="s">
        <v>4396</v>
      </c>
      <c r="C148" s="207" t="s">
        <v>4413</v>
      </c>
      <c r="D148" s="207">
        <v>1</v>
      </c>
      <c r="E148" s="207" t="s">
        <v>4398</v>
      </c>
      <c r="F148" s="214" t="s">
        <v>5055</v>
      </c>
      <c r="G148" s="207" t="s">
        <v>4400</v>
      </c>
      <c r="H148" s="207" t="s">
        <v>4401</v>
      </c>
      <c r="I148" s="217" t="s">
        <v>4402</v>
      </c>
      <c r="J148" s="242" t="s">
        <v>5056</v>
      </c>
      <c r="K148" s="215" t="s">
        <v>5057</v>
      </c>
      <c r="L148" s="215" t="s">
        <v>5058</v>
      </c>
      <c r="M148" s="207" t="s">
        <v>4405</v>
      </c>
      <c r="N148" s="207" t="s">
        <v>4406</v>
      </c>
      <c r="O148" s="202">
        <v>46176</v>
      </c>
      <c r="P148" s="202" t="s">
        <v>4407</v>
      </c>
      <c r="Q148" s="202">
        <v>46174</v>
      </c>
      <c r="R148" s="202">
        <v>46176</v>
      </c>
      <c r="S148" s="202">
        <v>46202</v>
      </c>
      <c r="T148" s="202">
        <v>46204</v>
      </c>
      <c r="U148" s="202" t="s">
        <v>4408</v>
      </c>
      <c r="V148" s="202" t="s">
        <v>4408</v>
      </c>
      <c r="W148" s="202">
        <v>46223</v>
      </c>
      <c r="X148" s="202"/>
      <c r="Y148" s="202"/>
      <c r="Z148" s="202"/>
      <c r="AA148" s="242"/>
      <c r="AB148" s="215"/>
      <c r="AC148" s="215"/>
      <c r="AD148" s="207"/>
      <c r="AE148" s="207"/>
      <c r="AF148" s="218"/>
      <c r="AG148" s="218"/>
      <c r="AH148" s="207"/>
      <c r="AI148" s="214" t="s">
        <v>4411</v>
      </c>
      <c r="AJ148" s="207"/>
      <c r="AK148" s="316"/>
      <c r="AL148" s="316"/>
      <c r="AM148" s="316"/>
      <c r="AN148" s="316"/>
      <c r="AO148" s="316"/>
      <c r="AP148" s="316"/>
      <c r="AQ148" s="314"/>
      <c r="AR148" s="315" t="str">
        <f t="shared" si="12"/>
        <v/>
      </c>
      <c r="AS148" s="207"/>
      <c r="AT148" s="207"/>
      <c r="AU148" s="220"/>
      <c r="AV148" s="207"/>
      <c r="AW148" s="207"/>
      <c r="AX148" s="250"/>
      <c r="AY148" s="207"/>
      <c r="AZ148" s="202"/>
      <c r="BA148" s="207"/>
      <c r="BB148" s="207"/>
      <c r="BC148" s="202"/>
      <c r="BD148" s="227"/>
      <c r="BE148" s="227"/>
      <c r="BF148" s="228"/>
      <c r="BG148" s="229"/>
      <c r="BH148" s="321" t="str">
        <f t="shared" si="13"/>
        <v/>
      </c>
      <c r="BI148" s="98" t="str">
        <f t="shared" si="14"/>
        <v>INDENIZAÇÃO</v>
      </c>
      <c r="BJ148" s="98" t="str">
        <f t="shared" si="15"/>
        <v>NÃO</v>
      </c>
      <c r="BK148" s="219"/>
      <c r="BL148" s="219"/>
      <c r="BM148" s="219"/>
      <c r="BN148" s="219"/>
      <c r="BO148" s="219"/>
      <c r="BP148" s="202"/>
      <c r="BQ148" s="219"/>
      <c r="BR148" s="232"/>
    </row>
    <row r="149" spans="1:73" s="240" customFormat="1" ht="27" hidden="1" customHeight="1">
      <c r="A149" s="197">
        <v>145</v>
      </c>
      <c r="B149" s="197" t="s">
        <v>4396</v>
      </c>
      <c r="C149" s="207" t="s">
        <v>4427</v>
      </c>
      <c r="D149" s="207">
        <v>1</v>
      </c>
      <c r="E149" s="207" t="s">
        <v>4398</v>
      </c>
      <c r="F149" s="214" t="s">
        <v>5055</v>
      </c>
      <c r="G149" s="207" t="s">
        <v>4400</v>
      </c>
      <c r="H149" s="207" t="s">
        <v>4401</v>
      </c>
      <c r="I149" s="217" t="s">
        <v>4402</v>
      </c>
      <c r="J149" s="242" t="s">
        <v>5059</v>
      </c>
      <c r="K149" s="215" t="s">
        <v>5060</v>
      </c>
      <c r="L149" s="215" t="s">
        <v>5061</v>
      </c>
      <c r="M149" s="207" t="s">
        <v>4405</v>
      </c>
      <c r="N149" s="207" t="s">
        <v>4442</v>
      </c>
      <c r="O149" s="202" t="s">
        <v>4409</v>
      </c>
      <c r="P149" s="202" t="s">
        <v>4409</v>
      </c>
      <c r="Q149" s="202" t="s">
        <v>4409</v>
      </c>
      <c r="R149" s="202" t="s">
        <v>4409</v>
      </c>
      <c r="S149" s="202" t="s">
        <v>4409</v>
      </c>
      <c r="T149" s="202" t="s">
        <v>4409</v>
      </c>
      <c r="U149" s="202" t="s">
        <v>4409</v>
      </c>
      <c r="V149" s="202" t="s">
        <v>4409</v>
      </c>
      <c r="W149" s="202" t="s">
        <v>4409</v>
      </c>
      <c r="X149" s="202" t="s">
        <v>4409</v>
      </c>
      <c r="Y149" s="202"/>
      <c r="Z149" s="202"/>
      <c r="AA149" s="242" t="s">
        <v>5059</v>
      </c>
      <c r="AB149" s="215" t="s">
        <v>5060</v>
      </c>
      <c r="AC149" s="215" t="s">
        <v>5061</v>
      </c>
      <c r="AD149" s="207" t="s">
        <v>4402</v>
      </c>
      <c r="AE149" s="207" t="s">
        <v>4405</v>
      </c>
      <c r="AF149" s="218">
        <v>72417.86</v>
      </c>
      <c r="AG149" s="218">
        <v>72417.86</v>
      </c>
      <c r="AH149" s="207" t="s">
        <v>4433</v>
      </c>
      <c r="AI149" s="214" t="s">
        <v>4411</v>
      </c>
      <c r="AJ149" s="207">
        <v>150959269</v>
      </c>
      <c r="AK149" s="316">
        <v>46080</v>
      </c>
      <c r="AL149" s="316">
        <v>46080</v>
      </c>
      <c r="AM149" s="316">
        <v>46080</v>
      </c>
      <c r="AN149" s="316">
        <v>46080</v>
      </c>
      <c r="AO149" s="316">
        <v>46080</v>
      </c>
      <c r="AP149" s="316">
        <v>46080</v>
      </c>
      <c r="AQ149" s="314"/>
      <c r="AR149" s="315" t="str">
        <f t="shared" si="12"/>
        <v>FINALIZADO</v>
      </c>
      <c r="AS149" s="207" t="s">
        <v>4423</v>
      </c>
      <c r="AT149" s="207"/>
      <c r="AU149" s="220" t="s">
        <v>5062</v>
      </c>
      <c r="AV149" s="207" t="s">
        <v>4425</v>
      </c>
      <c r="AW149" s="207" t="s">
        <v>4425</v>
      </c>
      <c r="AX149" s="250" t="s">
        <v>4425</v>
      </c>
      <c r="AY149" s="207" t="s">
        <v>4425</v>
      </c>
      <c r="AZ149" s="202">
        <v>46127</v>
      </c>
      <c r="BA149" s="197" t="s">
        <v>4425</v>
      </c>
      <c r="BB149" s="207" t="s">
        <v>4425</v>
      </c>
      <c r="BC149" s="202">
        <v>46140</v>
      </c>
      <c r="BD149" s="227">
        <v>46140</v>
      </c>
      <c r="BE149" s="227" t="s">
        <v>4435</v>
      </c>
      <c r="BF149" s="228" t="s">
        <v>4436</v>
      </c>
      <c r="BG149" s="229" t="s">
        <v>4425</v>
      </c>
      <c r="BH149" s="321">
        <f t="shared" si="13"/>
        <v>60</v>
      </c>
      <c r="BI149" s="98" t="str">
        <f t="shared" si="14"/>
        <v>INDENIZAÇÃO</v>
      </c>
      <c r="BJ149" s="98" t="str">
        <f t="shared" si="15"/>
        <v>NÃO</v>
      </c>
      <c r="BK149" s="219" t="s">
        <v>4437</v>
      </c>
      <c r="BL149" s="219" t="s">
        <v>4437</v>
      </c>
      <c r="BM149" s="219" t="s">
        <v>4437</v>
      </c>
      <c r="BN149" s="219" t="s">
        <v>4425</v>
      </c>
      <c r="BO149" s="219" t="s">
        <v>4425</v>
      </c>
      <c r="BP149" s="202">
        <v>46195</v>
      </c>
      <c r="BQ149" s="219" t="s">
        <v>4425</v>
      </c>
      <c r="BR149" s="232" t="s">
        <v>4435</v>
      </c>
    </row>
    <row r="150" spans="1:73" s="240" customFormat="1" ht="27" hidden="1" customHeight="1">
      <c r="A150" s="197">
        <v>146</v>
      </c>
      <c r="B150" s="197" t="s">
        <v>4396</v>
      </c>
      <c r="C150" s="207" t="s">
        <v>4397</v>
      </c>
      <c r="D150" s="207">
        <v>1</v>
      </c>
      <c r="E150" s="207" t="s">
        <v>4398</v>
      </c>
      <c r="F150" s="214" t="s">
        <v>5055</v>
      </c>
      <c r="G150" s="207" t="s">
        <v>4400</v>
      </c>
      <c r="H150" s="207" t="s">
        <v>4401</v>
      </c>
      <c r="I150" s="217" t="s">
        <v>4402</v>
      </c>
      <c r="J150" s="215" t="s">
        <v>5063</v>
      </c>
      <c r="K150" s="215" t="s">
        <v>4398</v>
      </c>
      <c r="L150" s="215" t="s">
        <v>5064</v>
      </c>
      <c r="M150" s="207" t="s">
        <v>4405</v>
      </c>
      <c r="N150" s="207" t="s">
        <v>4442</v>
      </c>
      <c r="O150" s="202" t="s">
        <v>4409</v>
      </c>
      <c r="P150" s="202" t="s">
        <v>4409</v>
      </c>
      <c r="Q150" s="202" t="s">
        <v>4409</v>
      </c>
      <c r="R150" s="202" t="s">
        <v>4409</v>
      </c>
      <c r="S150" s="202" t="s">
        <v>4409</v>
      </c>
      <c r="T150" s="202" t="s">
        <v>4409</v>
      </c>
      <c r="U150" s="202" t="s">
        <v>4409</v>
      </c>
      <c r="V150" s="202" t="s">
        <v>4409</v>
      </c>
      <c r="W150" s="202" t="s">
        <v>4409</v>
      </c>
      <c r="X150" s="202" t="s">
        <v>4409</v>
      </c>
      <c r="Y150" s="202"/>
      <c r="Z150" s="202"/>
      <c r="AA150" s="215" t="s">
        <v>5063</v>
      </c>
      <c r="AB150" s="215" t="s">
        <v>4398</v>
      </c>
      <c r="AC150" s="215" t="s">
        <v>5064</v>
      </c>
      <c r="AD150" s="207" t="s">
        <v>4402</v>
      </c>
      <c r="AE150" s="207" t="s">
        <v>4405</v>
      </c>
      <c r="AF150" s="218">
        <v>4372.1899999999996</v>
      </c>
      <c r="AG150" s="218">
        <v>34372.19</v>
      </c>
      <c r="AH150" s="207" t="s">
        <v>4433</v>
      </c>
      <c r="AI150" s="214" t="s">
        <v>4411</v>
      </c>
      <c r="AJ150" s="207">
        <v>151550171</v>
      </c>
      <c r="AK150" s="316">
        <v>46086</v>
      </c>
      <c r="AL150" s="316">
        <v>46086</v>
      </c>
      <c r="AM150" s="316">
        <v>46086</v>
      </c>
      <c r="AN150" s="316">
        <v>46086</v>
      </c>
      <c r="AO150" s="316">
        <v>46086</v>
      </c>
      <c r="AP150" s="316">
        <v>46086</v>
      </c>
      <c r="AQ150" s="314"/>
      <c r="AR150" s="315" t="str">
        <f t="shared" si="12"/>
        <v>FINALIZADO</v>
      </c>
      <c r="AS150" s="207" t="s">
        <v>4423</v>
      </c>
      <c r="AT150" s="219"/>
      <c r="AU150" s="220" t="s">
        <v>5065</v>
      </c>
      <c r="AV150" s="207" t="s">
        <v>4425</v>
      </c>
      <c r="AW150" s="207" t="s">
        <v>4425</v>
      </c>
      <c r="AX150" s="207" t="s">
        <v>4425</v>
      </c>
      <c r="AY150" s="207" t="s">
        <v>4425</v>
      </c>
      <c r="AZ150" s="202">
        <v>46153</v>
      </c>
      <c r="BA150" s="197" t="s">
        <v>4425</v>
      </c>
      <c r="BB150" s="207" t="s">
        <v>4425</v>
      </c>
      <c r="BC150" s="202">
        <v>46157</v>
      </c>
      <c r="BD150" s="227">
        <v>46157</v>
      </c>
      <c r="BE150" s="227" t="s">
        <v>4435</v>
      </c>
      <c r="BF150" s="228" t="s">
        <v>4436</v>
      </c>
      <c r="BG150" s="229" t="s">
        <v>4425</v>
      </c>
      <c r="BH150" s="321">
        <f t="shared" si="13"/>
        <v>71</v>
      </c>
      <c r="BI150" s="98" t="str">
        <f t="shared" si="14"/>
        <v>INDENIZAÇÃO</v>
      </c>
      <c r="BJ150" s="98" t="str">
        <f t="shared" si="15"/>
        <v>NÃO</v>
      </c>
      <c r="BK150" s="230" t="s">
        <v>4437</v>
      </c>
      <c r="BL150" s="230" t="s">
        <v>4437</v>
      </c>
      <c r="BM150" s="230" t="s">
        <v>4437</v>
      </c>
      <c r="BN150" s="219" t="s">
        <v>4425</v>
      </c>
      <c r="BO150" s="219" t="s">
        <v>4425</v>
      </c>
      <c r="BP150" s="202">
        <v>46195</v>
      </c>
      <c r="BQ150" s="219" t="s">
        <v>4425</v>
      </c>
      <c r="BR150" s="232" t="s">
        <v>4435</v>
      </c>
    </row>
    <row r="151" spans="1:73" s="240" customFormat="1" ht="27" customHeight="1">
      <c r="A151" s="207">
        <v>147</v>
      </c>
      <c r="B151" s="197" t="s">
        <v>4396</v>
      </c>
      <c r="C151" s="207" t="s">
        <v>4413</v>
      </c>
      <c r="D151" s="207">
        <v>1</v>
      </c>
      <c r="E151" s="250" t="s">
        <v>4398</v>
      </c>
      <c r="F151" s="214" t="s">
        <v>5066</v>
      </c>
      <c r="G151" s="207" t="s">
        <v>4400</v>
      </c>
      <c r="H151" s="207" t="s">
        <v>4401</v>
      </c>
      <c r="I151" s="217" t="s">
        <v>4402</v>
      </c>
      <c r="J151" s="215" t="s">
        <v>5067</v>
      </c>
      <c r="K151" s="215" t="s">
        <v>5068</v>
      </c>
      <c r="L151" s="215" t="s">
        <v>5069</v>
      </c>
      <c r="M151" s="207" t="s">
        <v>4405</v>
      </c>
      <c r="N151" s="207" t="s">
        <v>4432</v>
      </c>
      <c r="O151" s="202" t="s">
        <v>4409</v>
      </c>
      <c r="P151" s="202" t="s">
        <v>4409</v>
      </c>
      <c r="Q151" s="202" t="s">
        <v>4409</v>
      </c>
      <c r="R151" s="202" t="s">
        <v>4409</v>
      </c>
      <c r="S151" s="202" t="s">
        <v>4409</v>
      </c>
      <c r="T151" s="202" t="s">
        <v>4409</v>
      </c>
      <c r="U151" s="202" t="s">
        <v>4409</v>
      </c>
      <c r="V151" s="202" t="s">
        <v>4409</v>
      </c>
      <c r="W151" s="202" t="s">
        <v>4409</v>
      </c>
      <c r="X151" s="202" t="s">
        <v>4409</v>
      </c>
      <c r="Y151" s="202" t="s">
        <v>4409</v>
      </c>
      <c r="Z151" s="202"/>
      <c r="AA151" s="215" t="s">
        <v>5067</v>
      </c>
      <c r="AB151" s="215" t="s">
        <v>5068</v>
      </c>
      <c r="AC151" s="215" t="s">
        <v>5069</v>
      </c>
      <c r="AD151" s="207" t="s">
        <v>4402</v>
      </c>
      <c r="AE151" s="207" t="s">
        <v>4405</v>
      </c>
      <c r="AF151" s="218">
        <v>48707.43</v>
      </c>
      <c r="AG151" s="218">
        <v>60000</v>
      </c>
      <c r="AH151" s="207" t="s">
        <v>4433</v>
      </c>
      <c r="AI151" s="214" t="s">
        <v>4411</v>
      </c>
      <c r="AJ151" s="207">
        <v>160376389</v>
      </c>
      <c r="AK151" s="316">
        <v>46227</v>
      </c>
      <c r="AL151" s="316">
        <v>46227</v>
      </c>
      <c r="AM151" s="316">
        <v>46227</v>
      </c>
      <c r="AN151" s="316">
        <v>46227</v>
      </c>
      <c r="AO151" s="316">
        <v>46227</v>
      </c>
      <c r="AP151" s="316">
        <v>46227</v>
      </c>
      <c r="AQ151" s="314"/>
      <c r="AR151" s="315" t="str">
        <f t="shared" si="12"/>
        <v>FINALIZADO</v>
      </c>
      <c r="AS151" s="207" t="s">
        <v>4423</v>
      </c>
      <c r="AT151" s="219"/>
      <c r="AU151" s="220" t="s">
        <v>5070</v>
      </c>
      <c r="AV151" s="219" t="s">
        <v>4425</v>
      </c>
      <c r="AW151" s="207" t="s">
        <v>4425</v>
      </c>
      <c r="AX151" s="257" t="s">
        <v>4828</v>
      </c>
      <c r="AY151" s="228"/>
      <c r="AZ151" s="227"/>
      <c r="BA151" s="245"/>
      <c r="BB151" s="228"/>
      <c r="BC151" s="227"/>
      <c r="BD151" s="227"/>
      <c r="BE151" s="227"/>
      <c r="BF151" s="228" t="s">
        <v>4400</v>
      </c>
      <c r="BG151" s="229"/>
      <c r="BH151" s="321" t="str">
        <f t="shared" si="13"/>
        <v/>
      </c>
      <c r="BI151" s="98" t="str">
        <f t="shared" si="14"/>
        <v>INDENIZAÇÃO</v>
      </c>
      <c r="BJ151" s="98" t="str">
        <f t="shared" si="15"/>
        <v>NÃO</v>
      </c>
      <c r="BK151" s="230"/>
      <c r="BL151" s="230"/>
      <c r="BM151" s="230"/>
      <c r="BN151" s="219"/>
      <c r="BO151" s="219"/>
      <c r="BP151" s="202"/>
      <c r="BQ151" s="219"/>
      <c r="BR151" s="232"/>
    </row>
    <row r="152" spans="1:73" s="240" customFormat="1" ht="27" customHeight="1">
      <c r="A152" s="207">
        <v>148</v>
      </c>
      <c r="B152" s="197" t="s">
        <v>4396</v>
      </c>
      <c r="C152" s="207" t="s">
        <v>4413</v>
      </c>
      <c r="D152" s="207">
        <v>1</v>
      </c>
      <c r="E152" s="207" t="s">
        <v>4398</v>
      </c>
      <c r="F152" s="214" t="s">
        <v>5071</v>
      </c>
      <c r="G152" s="207" t="s">
        <v>4400</v>
      </c>
      <c r="H152" s="207" t="s">
        <v>4401</v>
      </c>
      <c r="I152" s="207" t="s">
        <v>4402</v>
      </c>
      <c r="J152" s="215" t="s">
        <v>5072</v>
      </c>
      <c r="K152" s="215" t="s">
        <v>5073</v>
      </c>
      <c r="L152" s="215" t="s">
        <v>5074</v>
      </c>
      <c r="M152" s="207" t="s">
        <v>4405</v>
      </c>
      <c r="N152" s="207" t="s">
        <v>4442</v>
      </c>
      <c r="O152" s="202" t="s">
        <v>4409</v>
      </c>
      <c r="P152" s="202" t="s">
        <v>4409</v>
      </c>
      <c r="Q152" s="202" t="s">
        <v>4409</v>
      </c>
      <c r="R152" s="202" t="s">
        <v>4409</v>
      </c>
      <c r="S152" s="202" t="s">
        <v>4409</v>
      </c>
      <c r="T152" s="202" t="s">
        <v>4409</v>
      </c>
      <c r="U152" s="202" t="s">
        <v>4409</v>
      </c>
      <c r="V152" s="202" t="s">
        <v>4409</v>
      </c>
      <c r="W152" s="202" t="s">
        <v>4409</v>
      </c>
      <c r="X152" s="202" t="s">
        <v>4409</v>
      </c>
      <c r="Y152" s="202"/>
      <c r="Z152" s="202"/>
      <c r="AA152" s="215" t="s">
        <v>5072</v>
      </c>
      <c r="AB152" s="215" t="s">
        <v>5073</v>
      </c>
      <c r="AC152" s="215" t="s">
        <v>5074</v>
      </c>
      <c r="AD152" s="207" t="s">
        <v>4402</v>
      </c>
      <c r="AE152" s="207" t="s">
        <v>4405</v>
      </c>
      <c r="AF152" s="218">
        <v>41889.449999999997</v>
      </c>
      <c r="AG152" s="218">
        <v>60000</v>
      </c>
      <c r="AH152" s="207" t="s">
        <v>4422</v>
      </c>
      <c r="AI152" s="214" t="s">
        <v>4411</v>
      </c>
      <c r="AJ152" s="207">
        <v>15428674</v>
      </c>
      <c r="AK152" s="316">
        <v>46112</v>
      </c>
      <c r="AL152" s="316">
        <v>46112</v>
      </c>
      <c r="AM152" s="316">
        <v>46112</v>
      </c>
      <c r="AN152" s="316">
        <v>46112</v>
      </c>
      <c r="AO152" s="316">
        <v>46112</v>
      </c>
      <c r="AP152" s="316">
        <v>46112</v>
      </c>
      <c r="AQ152" s="314"/>
      <c r="AR152" s="315" t="str">
        <f t="shared" si="12"/>
        <v>FINALIZADO</v>
      </c>
      <c r="AS152" s="207" t="s">
        <v>4423</v>
      </c>
      <c r="AT152" s="207"/>
      <c r="AU152" s="220" t="s">
        <v>5075</v>
      </c>
      <c r="AV152" s="207" t="s">
        <v>4425</v>
      </c>
      <c r="AW152" s="207" t="s">
        <v>4425</v>
      </c>
      <c r="AX152" s="207" t="s">
        <v>4425</v>
      </c>
      <c r="AY152" s="207" t="s">
        <v>4425</v>
      </c>
      <c r="AZ152" s="202">
        <v>46153</v>
      </c>
      <c r="BA152" s="197" t="s">
        <v>4425</v>
      </c>
      <c r="BB152" s="207" t="s">
        <v>4425</v>
      </c>
      <c r="BC152" s="202">
        <v>46157</v>
      </c>
      <c r="BD152" s="227">
        <v>46157</v>
      </c>
      <c r="BE152" s="228" t="s">
        <v>4435</v>
      </c>
      <c r="BF152" s="228" t="s">
        <v>4436</v>
      </c>
      <c r="BG152" s="219" t="s">
        <v>4425</v>
      </c>
      <c r="BH152" s="321">
        <f t="shared" si="13"/>
        <v>45</v>
      </c>
      <c r="BI152" s="98" t="str">
        <f t="shared" si="14"/>
        <v>INDENIZAÇÃO</v>
      </c>
      <c r="BJ152" s="98" t="str">
        <f t="shared" si="15"/>
        <v>NÃO</v>
      </c>
      <c r="BK152" s="219" t="s">
        <v>4437</v>
      </c>
      <c r="BL152" s="219" t="s">
        <v>4437</v>
      </c>
      <c r="BM152" s="219" t="s">
        <v>4437</v>
      </c>
      <c r="BN152" s="219" t="s">
        <v>4425</v>
      </c>
      <c r="BO152" s="219" t="s">
        <v>4425</v>
      </c>
      <c r="BP152" s="202">
        <v>46195</v>
      </c>
      <c r="BQ152" s="219" t="s">
        <v>4425</v>
      </c>
      <c r="BR152" s="232" t="s">
        <v>4435</v>
      </c>
    </row>
    <row r="153" spans="1:73" s="240" customFormat="1" ht="27" customHeight="1">
      <c r="A153" s="207">
        <v>149</v>
      </c>
      <c r="B153" s="197" t="s">
        <v>4396</v>
      </c>
      <c r="C153" s="207" t="s">
        <v>4413</v>
      </c>
      <c r="D153" s="207">
        <v>1</v>
      </c>
      <c r="E153" s="207" t="s">
        <v>4398</v>
      </c>
      <c r="F153" s="214" t="s">
        <v>5076</v>
      </c>
      <c r="G153" s="207" t="s">
        <v>4400</v>
      </c>
      <c r="H153" s="207" t="s">
        <v>4401</v>
      </c>
      <c r="I153" s="207" t="s">
        <v>4402</v>
      </c>
      <c r="J153" s="215" t="s">
        <v>5077</v>
      </c>
      <c r="K153" s="215" t="s">
        <v>5078</v>
      </c>
      <c r="L153" s="215" t="s">
        <v>5079</v>
      </c>
      <c r="M153" s="207" t="s">
        <v>4405</v>
      </c>
      <c r="N153" s="207" t="s">
        <v>4442</v>
      </c>
      <c r="O153" s="202" t="s">
        <v>4409</v>
      </c>
      <c r="P153" s="202" t="s">
        <v>4409</v>
      </c>
      <c r="Q153" s="202" t="s">
        <v>4409</v>
      </c>
      <c r="R153" s="202" t="s">
        <v>4409</v>
      </c>
      <c r="S153" s="202" t="s">
        <v>4409</v>
      </c>
      <c r="T153" s="202" t="s">
        <v>4409</v>
      </c>
      <c r="U153" s="202" t="s">
        <v>4409</v>
      </c>
      <c r="V153" s="202" t="s">
        <v>4409</v>
      </c>
      <c r="W153" s="202" t="s">
        <v>4409</v>
      </c>
      <c r="X153" s="202" t="s">
        <v>4409</v>
      </c>
      <c r="Y153" s="202"/>
      <c r="Z153" s="202"/>
      <c r="AA153" s="215" t="s">
        <v>5077</v>
      </c>
      <c r="AB153" s="215" t="s">
        <v>5078</v>
      </c>
      <c r="AC153" s="215" t="s">
        <v>5079</v>
      </c>
      <c r="AD153" s="207" t="s">
        <v>4402</v>
      </c>
      <c r="AE153" s="207" t="s">
        <v>4405</v>
      </c>
      <c r="AF153" s="218">
        <v>64397.05</v>
      </c>
      <c r="AG153" s="218">
        <v>64397.05</v>
      </c>
      <c r="AH153" s="207" t="s">
        <v>4422</v>
      </c>
      <c r="AI153" s="214" t="s">
        <v>4411</v>
      </c>
      <c r="AJ153" s="207">
        <v>152694545</v>
      </c>
      <c r="AK153" s="316">
        <v>46112</v>
      </c>
      <c r="AL153" s="316">
        <v>46112</v>
      </c>
      <c r="AM153" s="316">
        <v>46112</v>
      </c>
      <c r="AN153" s="316">
        <v>46112</v>
      </c>
      <c r="AO153" s="316">
        <v>46112</v>
      </c>
      <c r="AP153" s="316">
        <v>46112</v>
      </c>
      <c r="AQ153" s="314"/>
      <c r="AR153" s="315" t="str">
        <f t="shared" si="12"/>
        <v>FINALIZADO</v>
      </c>
      <c r="AS153" s="207" t="s">
        <v>4423</v>
      </c>
      <c r="AT153" s="251"/>
      <c r="AU153" s="220" t="s">
        <v>5080</v>
      </c>
      <c r="AV153" s="207" t="s">
        <v>4425</v>
      </c>
      <c r="AW153" s="207" t="s">
        <v>4425</v>
      </c>
      <c r="AX153" s="250" t="s">
        <v>4425</v>
      </c>
      <c r="AY153" s="197" t="s">
        <v>4425</v>
      </c>
      <c r="AZ153" s="202">
        <v>46150</v>
      </c>
      <c r="BA153" s="197" t="s">
        <v>4425</v>
      </c>
      <c r="BB153" s="197" t="s">
        <v>4425</v>
      </c>
      <c r="BC153" s="202">
        <v>46189</v>
      </c>
      <c r="BD153" s="227">
        <v>46189</v>
      </c>
      <c r="BE153" s="227" t="s">
        <v>4435</v>
      </c>
      <c r="BF153" s="228" t="s">
        <v>4400</v>
      </c>
      <c r="BG153" s="219" t="s">
        <v>4425</v>
      </c>
      <c r="BH153" s="321">
        <f t="shared" si="13"/>
        <v>77</v>
      </c>
      <c r="BI153" s="98" t="str">
        <f t="shared" si="14"/>
        <v>INDENIZAÇÃO</v>
      </c>
      <c r="BJ153" s="98" t="str">
        <f t="shared" si="15"/>
        <v>NÃO</v>
      </c>
      <c r="BK153" s="219" t="s">
        <v>4437</v>
      </c>
      <c r="BL153" s="219" t="s">
        <v>4437</v>
      </c>
      <c r="BM153" s="219" t="s">
        <v>4437</v>
      </c>
      <c r="BN153" s="207" t="s">
        <v>4425</v>
      </c>
      <c r="BO153" s="207" t="s">
        <v>4425</v>
      </c>
      <c r="BP153" s="202">
        <v>46224</v>
      </c>
      <c r="BQ153" s="207" t="s">
        <v>4425</v>
      </c>
      <c r="BR153" s="232" t="s">
        <v>4435</v>
      </c>
      <c r="BS153" s="223"/>
    </row>
    <row r="154" spans="1:73" s="240" customFormat="1" ht="27" hidden="1" customHeight="1">
      <c r="A154" s="197">
        <v>150</v>
      </c>
      <c r="B154" s="197" t="s">
        <v>4396</v>
      </c>
      <c r="C154" s="207" t="s">
        <v>4427</v>
      </c>
      <c r="D154" s="207">
        <v>1</v>
      </c>
      <c r="E154" s="207" t="s">
        <v>4398</v>
      </c>
      <c r="F154" s="214" t="s">
        <v>5081</v>
      </c>
      <c r="G154" s="207" t="s">
        <v>4400</v>
      </c>
      <c r="H154" s="207" t="s">
        <v>4401</v>
      </c>
      <c r="I154" s="217" t="s">
        <v>4402</v>
      </c>
      <c r="J154" s="242" t="s">
        <v>5082</v>
      </c>
      <c r="K154" s="215" t="s">
        <v>5083</v>
      </c>
      <c r="L154" s="215" t="s">
        <v>5084</v>
      </c>
      <c r="M154" s="207" t="s">
        <v>4405</v>
      </c>
      <c r="N154" s="207" t="s">
        <v>4442</v>
      </c>
      <c r="O154" s="202" t="s">
        <v>4409</v>
      </c>
      <c r="P154" s="202" t="s">
        <v>4409</v>
      </c>
      <c r="Q154" s="202" t="s">
        <v>4409</v>
      </c>
      <c r="R154" s="202" t="s">
        <v>4409</v>
      </c>
      <c r="S154" s="202" t="s">
        <v>4409</v>
      </c>
      <c r="T154" s="202" t="s">
        <v>4409</v>
      </c>
      <c r="U154" s="202" t="s">
        <v>4409</v>
      </c>
      <c r="V154" s="202" t="s">
        <v>4409</v>
      </c>
      <c r="W154" s="202" t="s">
        <v>4409</v>
      </c>
      <c r="X154" s="202" t="s">
        <v>4409</v>
      </c>
      <c r="Y154" s="202"/>
      <c r="Z154" s="202"/>
      <c r="AA154" s="242" t="s">
        <v>5082</v>
      </c>
      <c r="AB154" s="246" t="s">
        <v>5083</v>
      </c>
      <c r="AC154" s="246" t="s">
        <v>5084</v>
      </c>
      <c r="AD154" s="207" t="s">
        <v>4402</v>
      </c>
      <c r="AE154" s="207" t="s">
        <v>4405</v>
      </c>
      <c r="AF154" s="218">
        <v>80291.64</v>
      </c>
      <c r="AG154" s="218">
        <v>80291.64</v>
      </c>
      <c r="AH154" s="207" t="s">
        <v>4433</v>
      </c>
      <c r="AI154" s="214" t="s">
        <v>4411</v>
      </c>
      <c r="AJ154" s="207">
        <v>149645990</v>
      </c>
      <c r="AK154" s="316">
        <v>46059</v>
      </c>
      <c r="AL154" s="316">
        <v>46059</v>
      </c>
      <c r="AM154" s="316">
        <v>46059</v>
      </c>
      <c r="AN154" s="316">
        <v>46059</v>
      </c>
      <c r="AO154" s="316">
        <v>46059</v>
      </c>
      <c r="AP154" s="316">
        <v>46059</v>
      </c>
      <c r="AQ154" s="314"/>
      <c r="AR154" s="315" t="str">
        <f t="shared" si="12"/>
        <v>FINALIZADO</v>
      </c>
      <c r="AS154" s="207" t="s">
        <v>4423</v>
      </c>
      <c r="AT154" s="207"/>
      <c r="AU154" s="220" t="s">
        <v>5085</v>
      </c>
      <c r="AV154" s="207" t="s">
        <v>4425</v>
      </c>
      <c r="AW154" s="207" t="s">
        <v>4425</v>
      </c>
      <c r="AX154" s="207" t="s">
        <v>4425</v>
      </c>
      <c r="AY154" s="207" t="s">
        <v>4425</v>
      </c>
      <c r="AZ154" s="202">
        <v>46111</v>
      </c>
      <c r="BA154" s="160" t="s">
        <v>4425</v>
      </c>
      <c r="BB154" s="160" t="s">
        <v>4425</v>
      </c>
      <c r="BC154" s="267">
        <v>46114</v>
      </c>
      <c r="BD154" s="227">
        <v>46114</v>
      </c>
      <c r="BE154" s="227" t="s">
        <v>4435</v>
      </c>
      <c r="BF154" s="228" t="s">
        <v>4436</v>
      </c>
      <c r="BG154" s="229" t="s">
        <v>4425</v>
      </c>
      <c r="BH154" s="321">
        <f t="shared" si="13"/>
        <v>55</v>
      </c>
      <c r="BI154" s="98" t="str">
        <f t="shared" si="14"/>
        <v>INDENIZAÇÃO</v>
      </c>
      <c r="BJ154" s="98" t="str">
        <f t="shared" si="15"/>
        <v>NÃO</v>
      </c>
      <c r="BK154" s="230" t="s">
        <v>4437</v>
      </c>
      <c r="BL154" s="230" t="s">
        <v>4437</v>
      </c>
      <c r="BM154" s="230" t="s">
        <v>4437</v>
      </c>
      <c r="BN154" s="207" t="s">
        <v>4425</v>
      </c>
      <c r="BO154" s="207" t="s">
        <v>4425</v>
      </c>
      <c r="BP154" s="202">
        <v>46182</v>
      </c>
      <c r="BQ154" s="207" t="s">
        <v>4425</v>
      </c>
      <c r="BR154" s="256" t="s">
        <v>4435</v>
      </c>
    </row>
    <row r="155" spans="1:73" s="240" customFormat="1" ht="27" customHeight="1">
      <c r="A155" s="197">
        <v>151</v>
      </c>
      <c r="B155" s="197" t="s">
        <v>4396</v>
      </c>
      <c r="C155" s="207" t="s">
        <v>4413</v>
      </c>
      <c r="D155" s="207">
        <v>1</v>
      </c>
      <c r="E155" s="207" t="s">
        <v>4398</v>
      </c>
      <c r="F155" s="214" t="s">
        <v>5081</v>
      </c>
      <c r="G155" s="207" t="s">
        <v>4400</v>
      </c>
      <c r="H155" s="207" t="s">
        <v>4428</v>
      </c>
      <c r="I155" s="233" t="s">
        <v>4421</v>
      </c>
      <c r="J155" s="215" t="s">
        <v>5086</v>
      </c>
      <c r="K155" s="215" t="s">
        <v>5087</v>
      </c>
      <c r="L155" s="215" t="s">
        <v>5088</v>
      </c>
      <c r="M155" s="207" t="s">
        <v>4405</v>
      </c>
      <c r="N155" s="207" t="s">
        <v>4442</v>
      </c>
      <c r="O155" s="202" t="s">
        <v>4409</v>
      </c>
      <c r="P155" s="202" t="s">
        <v>4409</v>
      </c>
      <c r="Q155" s="202" t="s">
        <v>4409</v>
      </c>
      <c r="R155" s="202" t="s">
        <v>4409</v>
      </c>
      <c r="S155" s="202" t="s">
        <v>4409</v>
      </c>
      <c r="T155" s="202" t="s">
        <v>4409</v>
      </c>
      <c r="U155" s="202" t="s">
        <v>4409</v>
      </c>
      <c r="V155" s="202" t="s">
        <v>4409</v>
      </c>
      <c r="W155" s="202" t="s">
        <v>4409</v>
      </c>
      <c r="X155" s="202" t="s">
        <v>4409</v>
      </c>
      <c r="Y155" s="202"/>
      <c r="Z155" s="202"/>
      <c r="AA155" s="215" t="s">
        <v>5086</v>
      </c>
      <c r="AB155" s="215" t="s">
        <v>5087</v>
      </c>
      <c r="AC155" s="215" t="s">
        <v>5088</v>
      </c>
      <c r="AD155" s="233" t="s">
        <v>4421</v>
      </c>
      <c r="AE155" s="207" t="s">
        <v>4405</v>
      </c>
      <c r="AF155" s="218">
        <v>178577.55</v>
      </c>
      <c r="AG155" s="218">
        <v>178577.55</v>
      </c>
      <c r="AH155" s="207" t="s">
        <v>4422</v>
      </c>
      <c r="AI155" s="214" t="s">
        <v>4411</v>
      </c>
      <c r="AJ155" s="207">
        <v>152694685</v>
      </c>
      <c r="AK155" s="316">
        <v>46112</v>
      </c>
      <c r="AL155" s="316">
        <v>46112</v>
      </c>
      <c r="AM155" s="316">
        <v>46112</v>
      </c>
      <c r="AN155" s="316">
        <v>46112</v>
      </c>
      <c r="AO155" s="316">
        <v>46112</v>
      </c>
      <c r="AP155" s="316">
        <v>46112</v>
      </c>
      <c r="AQ155" s="314"/>
      <c r="AR155" s="315" t="str">
        <f t="shared" si="12"/>
        <v>FINALIZADO</v>
      </c>
      <c r="AS155" s="207" t="s">
        <v>4423</v>
      </c>
      <c r="AT155" s="251"/>
      <c r="AU155" s="220" t="s">
        <v>5089</v>
      </c>
      <c r="AV155" s="207" t="s">
        <v>4425</v>
      </c>
      <c r="AW155" s="207" t="s">
        <v>4425</v>
      </c>
      <c r="AX155" s="250" t="s">
        <v>4425</v>
      </c>
      <c r="AY155" s="207" t="s">
        <v>4425</v>
      </c>
      <c r="AZ155" s="202">
        <v>46150</v>
      </c>
      <c r="BA155" s="207" t="s">
        <v>4425</v>
      </c>
      <c r="BB155" s="207" t="s">
        <v>4425</v>
      </c>
      <c r="BC155" s="202">
        <v>46157</v>
      </c>
      <c r="BD155" s="227">
        <v>46157</v>
      </c>
      <c r="BE155" s="227" t="s">
        <v>4435</v>
      </c>
      <c r="BF155" s="228" t="s">
        <v>4436</v>
      </c>
      <c r="BG155" s="229" t="s">
        <v>4425</v>
      </c>
      <c r="BH155" s="321">
        <f t="shared" si="13"/>
        <v>45</v>
      </c>
      <c r="BI155" s="98" t="str">
        <f t="shared" si="14"/>
        <v>INDENIZAÇÃO</v>
      </c>
      <c r="BJ155" s="98" t="str">
        <f t="shared" si="15"/>
        <v>NÃO</v>
      </c>
      <c r="BK155" s="230" t="s">
        <v>4437</v>
      </c>
      <c r="BL155" s="230" t="s">
        <v>4437</v>
      </c>
      <c r="BM155" s="230" t="s">
        <v>4437</v>
      </c>
      <c r="BN155" s="219" t="s">
        <v>4425</v>
      </c>
      <c r="BO155" s="219" t="s">
        <v>4425</v>
      </c>
      <c r="BP155" s="202">
        <v>46195</v>
      </c>
      <c r="BQ155" s="219" t="s">
        <v>4425</v>
      </c>
      <c r="BR155" s="232" t="s">
        <v>4435</v>
      </c>
    </row>
    <row r="156" spans="1:73" s="240" customFormat="1" ht="27" hidden="1" customHeight="1">
      <c r="A156" s="207">
        <v>152</v>
      </c>
      <c r="B156" s="197" t="s">
        <v>4396</v>
      </c>
      <c r="C156" s="207" t="s">
        <v>4427</v>
      </c>
      <c r="D156" s="207">
        <v>1</v>
      </c>
      <c r="E156" s="207" t="s">
        <v>4398</v>
      </c>
      <c r="F156" s="214" t="s">
        <v>5090</v>
      </c>
      <c r="G156" s="207" t="s">
        <v>4400</v>
      </c>
      <c r="H156" s="207" t="s">
        <v>4401</v>
      </c>
      <c r="I156" s="249" t="s">
        <v>4402</v>
      </c>
      <c r="J156" s="242" t="s">
        <v>5091</v>
      </c>
      <c r="K156" s="215" t="s">
        <v>5092</v>
      </c>
      <c r="L156" s="215" t="s">
        <v>5093</v>
      </c>
      <c r="M156" s="207" t="s">
        <v>4405</v>
      </c>
      <c r="N156" s="207" t="s">
        <v>4442</v>
      </c>
      <c r="O156" s="202" t="s">
        <v>4409</v>
      </c>
      <c r="P156" s="202" t="s">
        <v>4409</v>
      </c>
      <c r="Q156" s="202" t="s">
        <v>4409</v>
      </c>
      <c r="R156" s="202" t="s">
        <v>4409</v>
      </c>
      <c r="S156" s="202" t="s">
        <v>4409</v>
      </c>
      <c r="T156" s="202" t="s">
        <v>4409</v>
      </c>
      <c r="U156" s="202" t="s">
        <v>4409</v>
      </c>
      <c r="V156" s="202" t="s">
        <v>4409</v>
      </c>
      <c r="W156" s="202" t="s">
        <v>4409</v>
      </c>
      <c r="X156" s="202" t="s">
        <v>4409</v>
      </c>
      <c r="Y156" s="202"/>
      <c r="Z156" s="202"/>
      <c r="AA156" s="242" t="s">
        <v>5091</v>
      </c>
      <c r="AB156" s="246" t="s">
        <v>5092</v>
      </c>
      <c r="AC156" s="246" t="s">
        <v>5093</v>
      </c>
      <c r="AD156" s="207" t="s">
        <v>4402</v>
      </c>
      <c r="AE156" s="207" t="s">
        <v>4405</v>
      </c>
      <c r="AF156" s="218">
        <v>56724.03</v>
      </c>
      <c r="AG156" s="218">
        <v>60000</v>
      </c>
      <c r="AH156" s="207" t="s">
        <v>4433</v>
      </c>
      <c r="AI156" s="214" t="s">
        <v>4411</v>
      </c>
      <c r="AJ156" s="207" t="s">
        <v>4398</v>
      </c>
      <c r="AK156" s="316">
        <v>46038</v>
      </c>
      <c r="AL156" s="316">
        <v>46038</v>
      </c>
      <c r="AM156" s="316">
        <v>46038</v>
      </c>
      <c r="AN156" s="316">
        <v>46038</v>
      </c>
      <c r="AO156" s="316">
        <v>46038</v>
      </c>
      <c r="AP156" s="316">
        <v>46038</v>
      </c>
      <c r="AQ156" s="314"/>
      <c r="AR156" s="315" t="str">
        <f t="shared" si="12"/>
        <v>FINALIZADO</v>
      </c>
      <c r="AS156" s="207" t="s">
        <v>4423</v>
      </c>
      <c r="AT156" s="207"/>
      <c r="AU156" s="220" t="s">
        <v>5094</v>
      </c>
      <c r="AV156" s="207" t="s">
        <v>4425</v>
      </c>
      <c r="AW156" s="207" t="s">
        <v>4425</v>
      </c>
      <c r="AX156" s="207" t="s">
        <v>4425</v>
      </c>
      <c r="AY156" s="207" t="s">
        <v>4425</v>
      </c>
      <c r="AZ156" s="202">
        <v>46098</v>
      </c>
      <c r="BA156" s="207" t="s">
        <v>4425</v>
      </c>
      <c r="BB156" s="207" t="s">
        <v>4425</v>
      </c>
      <c r="BC156" s="202">
        <v>46114</v>
      </c>
      <c r="BD156" s="227">
        <v>46114</v>
      </c>
      <c r="BE156" s="227" t="s">
        <v>4435</v>
      </c>
      <c r="BF156" s="228" t="s">
        <v>4436</v>
      </c>
      <c r="BG156" s="229" t="s">
        <v>4425</v>
      </c>
      <c r="BH156" s="321">
        <f t="shared" si="13"/>
        <v>76</v>
      </c>
      <c r="BI156" s="98" t="str">
        <f t="shared" si="14"/>
        <v>INDENIZAÇÃO</v>
      </c>
      <c r="BJ156" s="98" t="str">
        <f t="shared" si="15"/>
        <v>NÃO</v>
      </c>
      <c r="BK156" s="230" t="s">
        <v>4437</v>
      </c>
      <c r="BL156" s="230" t="s">
        <v>4437</v>
      </c>
      <c r="BM156" s="230" t="s">
        <v>4437</v>
      </c>
      <c r="BN156" s="207" t="s">
        <v>4425</v>
      </c>
      <c r="BO156" s="207" t="s">
        <v>4425</v>
      </c>
      <c r="BP156" s="202">
        <v>46182</v>
      </c>
      <c r="BQ156" s="207" t="s">
        <v>4425</v>
      </c>
      <c r="BR156" s="256" t="s">
        <v>4435</v>
      </c>
      <c r="BS156" s="223"/>
      <c r="BT156" s="223"/>
    </row>
    <row r="157" spans="1:73" s="240" customFormat="1" ht="27" customHeight="1">
      <c r="A157" s="207">
        <v>153</v>
      </c>
      <c r="B157" s="197" t="s">
        <v>4396</v>
      </c>
      <c r="C157" s="207" t="s">
        <v>4413</v>
      </c>
      <c r="D157" s="207">
        <v>1</v>
      </c>
      <c r="E157" s="207" t="s">
        <v>4398</v>
      </c>
      <c r="F157" s="214" t="s">
        <v>5090</v>
      </c>
      <c r="G157" s="207" t="s">
        <v>4400</v>
      </c>
      <c r="H157" s="207" t="s">
        <v>4583</v>
      </c>
      <c r="I157" s="207" t="s">
        <v>4402</v>
      </c>
      <c r="J157" s="215" t="s">
        <v>5095</v>
      </c>
      <c r="K157" s="215" t="s">
        <v>4906</v>
      </c>
      <c r="L157" s="215" t="s">
        <v>5096</v>
      </c>
      <c r="M157" s="207" t="s">
        <v>4405</v>
      </c>
      <c r="N157" s="207" t="s">
        <v>4432</v>
      </c>
      <c r="O157" s="202" t="s">
        <v>4409</v>
      </c>
      <c r="P157" s="202" t="s">
        <v>4409</v>
      </c>
      <c r="Q157" s="202" t="s">
        <v>4409</v>
      </c>
      <c r="R157" s="202" t="s">
        <v>4409</v>
      </c>
      <c r="S157" s="202" t="s">
        <v>4409</v>
      </c>
      <c r="T157" s="202" t="s">
        <v>4409</v>
      </c>
      <c r="U157" s="202" t="s">
        <v>4409</v>
      </c>
      <c r="V157" s="202" t="s">
        <v>4409</v>
      </c>
      <c r="W157" s="202" t="s">
        <v>4409</v>
      </c>
      <c r="X157" s="202" t="s">
        <v>4409</v>
      </c>
      <c r="Y157" s="202"/>
      <c r="Z157" s="207"/>
      <c r="AA157" s="215" t="s">
        <v>5095</v>
      </c>
      <c r="AB157" s="215" t="s">
        <v>4906</v>
      </c>
      <c r="AC157" s="215" t="s">
        <v>5096</v>
      </c>
      <c r="AD157" s="207" t="s">
        <v>4402</v>
      </c>
      <c r="AE157" s="207" t="s">
        <v>4405</v>
      </c>
      <c r="AF157" s="218">
        <v>42375.040000000001</v>
      </c>
      <c r="AG157" s="218">
        <v>60000</v>
      </c>
      <c r="AH157" s="207" t="s">
        <v>4433</v>
      </c>
      <c r="AI157" s="214" t="s">
        <v>4411</v>
      </c>
      <c r="AJ157" s="207">
        <v>153977497</v>
      </c>
      <c r="AK157" s="316">
        <v>46142</v>
      </c>
      <c r="AL157" s="316">
        <v>46142</v>
      </c>
      <c r="AM157" s="316">
        <v>46142</v>
      </c>
      <c r="AN157" s="316">
        <v>46142</v>
      </c>
      <c r="AO157" s="316">
        <v>46142</v>
      </c>
      <c r="AP157" s="316">
        <v>46142</v>
      </c>
      <c r="AQ157" s="314"/>
      <c r="AR157" s="315" t="str">
        <f t="shared" si="12"/>
        <v>FINALIZADO</v>
      </c>
      <c r="AS157" s="207" t="s">
        <v>4423</v>
      </c>
      <c r="AT157" s="260"/>
      <c r="AU157" s="220" t="s">
        <v>5097</v>
      </c>
      <c r="AV157" s="207" t="s">
        <v>4425</v>
      </c>
      <c r="AW157" s="207" t="s">
        <v>4425</v>
      </c>
      <c r="AX157" s="207" t="s">
        <v>4425</v>
      </c>
      <c r="AY157" s="207" t="s">
        <v>4425</v>
      </c>
      <c r="AZ157" s="202">
        <v>46189</v>
      </c>
      <c r="BA157" s="207" t="s">
        <v>4425</v>
      </c>
      <c r="BB157" s="207" t="s">
        <v>4425</v>
      </c>
      <c r="BC157" s="202">
        <v>46195</v>
      </c>
      <c r="BD157" s="227">
        <v>46195</v>
      </c>
      <c r="BE157" s="227" t="s">
        <v>4435</v>
      </c>
      <c r="BF157" s="228" t="s">
        <v>4400</v>
      </c>
      <c r="BG157" s="219" t="s">
        <v>4425</v>
      </c>
      <c r="BH157" s="321">
        <f t="shared" si="13"/>
        <v>53</v>
      </c>
      <c r="BI157" s="98" t="str">
        <f t="shared" si="14"/>
        <v>INDENIZAÇÃO</v>
      </c>
      <c r="BJ157" s="98" t="str">
        <f t="shared" si="15"/>
        <v>NÃO</v>
      </c>
      <c r="BK157" s="219" t="s">
        <v>4437</v>
      </c>
      <c r="BL157" s="219" t="s">
        <v>4437</v>
      </c>
      <c r="BM157" s="219" t="s">
        <v>4437</v>
      </c>
      <c r="BN157" s="207" t="s">
        <v>4425</v>
      </c>
      <c r="BO157" s="207" t="s">
        <v>4425</v>
      </c>
      <c r="BP157" s="202">
        <v>46224</v>
      </c>
      <c r="BQ157" s="207" t="s">
        <v>4425</v>
      </c>
      <c r="BR157" s="232" t="s">
        <v>4435</v>
      </c>
      <c r="BS157" s="223"/>
      <c r="BT157" s="223"/>
      <c r="BU157" s="223"/>
    </row>
    <row r="158" spans="1:73" s="240" customFormat="1" ht="27" customHeight="1">
      <c r="A158" s="207">
        <v>154</v>
      </c>
      <c r="B158" s="197" t="s">
        <v>4396</v>
      </c>
      <c r="C158" s="207" t="s">
        <v>4413</v>
      </c>
      <c r="D158" s="207">
        <v>1</v>
      </c>
      <c r="E158" s="207" t="s">
        <v>4398</v>
      </c>
      <c r="F158" s="214" t="s">
        <v>5098</v>
      </c>
      <c r="G158" s="207" t="s">
        <v>4400</v>
      </c>
      <c r="H158" s="207" t="s">
        <v>4401</v>
      </c>
      <c r="I158" s="207" t="s">
        <v>4402</v>
      </c>
      <c r="J158" s="215" t="s">
        <v>5099</v>
      </c>
      <c r="K158" s="215" t="s">
        <v>5100</v>
      </c>
      <c r="L158" s="215" t="s">
        <v>5101</v>
      </c>
      <c r="M158" s="207" t="s">
        <v>4405</v>
      </c>
      <c r="N158" s="207" t="s">
        <v>4406</v>
      </c>
      <c r="O158" s="202">
        <v>46084</v>
      </c>
      <c r="P158" s="202" t="s">
        <v>4407</v>
      </c>
      <c r="Q158" s="202">
        <v>46083</v>
      </c>
      <c r="R158" s="203">
        <v>46084</v>
      </c>
      <c r="S158" s="203">
        <v>46087</v>
      </c>
      <c r="T158" s="203">
        <v>46090</v>
      </c>
      <c r="U158" s="202" t="s">
        <v>4408</v>
      </c>
      <c r="V158" s="202" t="s">
        <v>4408</v>
      </c>
      <c r="W158" s="202">
        <v>46101</v>
      </c>
      <c r="X158" s="202">
        <v>46101</v>
      </c>
      <c r="Y158" s="202"/>
      <c r="Z158" s="202"/>
      <c r="AA158" s="215" t="s">
        <v>5099</v>
      </c>
      <c r="AB158" s="215" t="s">
        <v>5100</v>
      </c>
      <c r="AC158" s="215" t="s">
        <v>5101</v>
      </c>
      <c r="AD158" s="217" t="s">
        <v>4402</v>
      </c>
      <c r="AE158" s="207" t="s">
        <v>4405</v>
      </c>
      <c r="AF158" s="218" t="s">
        <v>4409</v>
      </c>
      <c r="AG158" s="218" t="s">
        <v>4409</v>
      </c>
      <c r="AH158" s="207" t="s">
        <v>4410</v>
      </c>
      <c r="AI158" s="214" t="s">
        <v>4411</v>
      </c>
      <c r="AJ158" s="207"/>
      <c r="AK158" s="316">
        <v>46080</v>
      </c>
      <c r="AL158" s="316">
        <v>46080</v>
      </c>
      <c r="AM158" s="316">
        <v>46080</v>
      </c>
      <c r="AN158" s="316">
        <v>46080</v>
      </c>
      <c r="AO158" s="316">
        <v>46080</v>
      </c>
      <c r="AP158" s="316">
        <v>46080</v>
      </c>
      <c r="AQ158" s="314"/>
      <c r="AR158" s="315" t="str">
        <f t="shared" si="12"/>
        <v>FINALIZADO</v>
      </c>
      <c r="AS158" s="207"/>
      <c r="AT158" s="260"/>
      <c r="AU158" s="220"/>
      <c r="AV158" s="207"/>
      <c r="AW158" s="207"/>
      <c r="AX158" s="250" t="s">
        <v>4425</v>
      </c>
      <c r="AY158" s="219"/>
      <c r="AZ158" s="219"/>
      <c r="BA158" s="219"/>
      <c r="BB158" s="219"/>
      <c r="BC158" s="219"/>
      <c r="BD158" s="208"/>
      <c r="BE158" s="203"/>
      <c r="BF158" s="219"/>
      <c r="BG158" s="219"/>
      <c r="BH158" s="321" t="str">
        <f t="shared" si="13"/>
        <v/>
      </c>
      <c r="BI158" s="98" t="str">
        <f t="shared" si="14"/>
        <v>AA</v>
      </c>
      <c r="BJ158" s="98" t="str">
        <f t="shared" si="15"/>
        <v>NÃO</v>
      </c>
      <c r="BK158" s="219"/>
      <c r="BL158" s="221"/>
      <c r="BM158" s="221"/>
      <c r="BN158" s="219"/>
      <c r="BO158" s="219"/>
      <c r="BP158" s="219"/>
      <c r="BQ158" s="219"/>
      <c r="BR158" s="222"/>
    </row>
    <row r="159" spans="1:73" s="240" customFormat="1" ht="27" hidden="1" customHeight="1">
      <c r="A159" s="197">
        <v>155</v>
      </c>
      <c r="B159" s="197" t="s">
        <v>4396</v>
      </c>
      <c r="C159" s="207" t="s">
        <v>4427</v>
      </c>
      <c r="D159" s="207">
        <v>1</v>
      </c>
      <c r="E159" s="207" t="s">
        <v>4398</v>
      </c>
      <c r="F159" s="214" t="s">
        <v>5098</v>
      </c>
      <c r="G159" s="207" t="s">
        <v>4400</v>
      </c>
      <c r="H159" s="207" t="s">
        <v>4401</v>
      </c>
      <c r="I159" s="217" t="s">
        <v>4402</v>
      </c>
      <c r="J159" s="242" t="s">
        <v>5102</v>
      </c>
      <c r="K159" s="215" t="s">
        <v>5103</v>
      </c>
      <c r="L159" s="215" t="s">
        <v>5104</v>
      </c>
      <c r="M159" s="207" t="s">
        <v>4405</v>
      </c>
      <c r="N159" s="207" t="s">
        <v>4442</v>
      </c>
      <c r="O159" s="202" t="s">
        <v>4409</v>
      </c>
      <c r="P159" s="202" t="s">
        <v>4409</v>
      </c>
      <c r="Q159" s="202" t="s">
        <v>4409</v>
      </c>
      <c r="R159" s="202" t="s">
        <v>4409</v>
      </c>
      <c r="S159" s="202" t="s">
        <v>4409</v>
      </c>
      <c r="T159" s="202" t="s">
        <v>4409</v>
      </c>
      <c r="U159" s="202" t="s">
        <v>4409</v>
      </c>
      <c r="V159" s="202" t="s">
        <v>4409</v>
      </c>
      <c r="W159" s="202" t="s">
        <v>4409</v>
      </c>
      <c r="X159" s="202" t="s">
        <v>4409</v>
      </c>
      <c r="Y159" s="202"/>
      <c r="Z159" s="260"/>
      <c r="AA159" s="242" t="s">
        <v>5102</v>
      </c>
      <c r="AB159" s="215" t="s">
        <v>5103</v>
      </c>
      <c r="AC159" s="215" t="s">
        <v>5104</v>
      </c>
      <c r="AD159" s="217" t="s">
        <v>4402</v>
      </c>
      <c r="AE159" s="207" t="s">
        <v>4405</v>
      </c>
      <c r="AF159" s="218">
        <v>120461.64</v>
      </c>
      <c r="AG159" s="218">
        <v>120461.64</v>
      </c>
      <c r="AH159" s="207" t="s">
        <v>4433</v>
      </c>
      <c r="AI159" s="214" t="s">
        <v>4411</v>
      </c>
      <c r="AJ159" s="207">
        <v>147993444</v>
      </c>
      <c r="AK159" s="316">
        <v>46038</v>
      </c>
      <c r="AL159" s="316">
        <v>46038</v>
      </c>
      <c r="AM159" s="316">
        <v>46038</v>
      </c>
      <c r="AN159" s="316">
        <v>46038</v>
      </c>
      <c r="AO159" s="316">
        <v>46038</v>
      </c>
      <c r="AP159" s="316">
        <v>46038</v>
      </c>
      <c r="AQ159" s="314"/>
      <c r="AR159" s="315" t="str">
        <f t="shared" si="12"/>
        <v>FINALIZADO</v>
      </c>
      <c r="AS159" s="207" t="s">
        <v>4423</v>
      </c>
      <c r="AT159" s="207"/>
      <c r="AU159" s="220" t="s">
        <v>5105</v>
      </c>
      <c r="AV159" s="207" t="s">
        <v>4425</v>
      </c>
      <c r="AW159" s="207" t="s">
        <v>4425</v>
      </c>
      <c r="AX159" s="207" t="s">
        <v>4425</v>
      </c>
      <c r="AY159" s="207" t="s">
        <v>4425</v>
      </c>
      <c r="AZ159" s="202">
        <v>46174</v>
      </c>
      <c r="BA159" s="207" t="s">
        <v>4425</v>
      </c>
      <c r="BB159" s="207" t="s">
        <v>4425</v>
      </c>
      <c r="BC159" s="202">
        <v>46182</v>
      </c>
      <c r="BD159" s="227">
        <v>46182</v>
      </c>
      <c r="BE159" s="235" t="s">
        <v>4435</v>
      </c>
      <c r="BF159" s="236" t="s">
        <v>4436</v>
      </c>
      <c r="BG159" s="237" t="s">
        <v>4425</v>
      </c>
      <c r="BH159" s="321">
        <f t="shared" si="13"/>
        <v>144</v>
      </c>
      <c r="BI159" s="98" t="str">
        <f t="shared" si="14"/>
        <v>INDENIZAÇÃO</v>
      </c>
      <c r="BJ159" s="98" t="str">
        <f t="shared" si="15"/>
        <v>NÃO</v>
      </c>
      <c r="BK159" s="238" t="s">
        <v>4437</v>
      </c>
      <c r="BL159" s="238" t="s">
        <v>4437</v>
      </c>
      <c r="BM159" s="238" t="s">
        <v>4437</v>
      </c>
      <c r="BN159" s="207" t="s">
        <v>4425</v>
      </c>
      <c r="BO159" s="207" t="s">
        <v>4425</v>
      </c>
      <c r="BP159" s="202">
        <v>46224</v>
      </c>
      <c r="BQ159" s="207" t="s">
        <v>4425</v>
      </c>
      <c r="BR159" s="232" t="s">
        <v>4435</v>
      </c>
      <c r="BS159" s="223"/>
    </row>
    <row r="160" spans="1:73" s="240" customFormat="1" ht="27" customHeight="1">
      <c r="A160" s="197">
        <v>156</v>
      </c>
      <c r="B160" s="197" t="s">
        <v>4396</v>
      </c>
      <c r="C160" s="207" t="s">
        <v>4413</v>
      </c>
      <c r="D160" s="207">
        <v>1</v>
      </c>
      <c r="E160" s="207" t="s">
        <v>4398</v>
      </c>
      <c r="F160" s="214" t="s">
        <v>5106</v>
      </c>
      <c r="G160" s="207" t="s">
        <v>4400</v>
      </c>
      <c r="H160" s="207" t="s">
        <v>4536</v>
      </c>
      <c r="I160" s="207" t="s">
        <v>4536</v>
      </c>
      <c r="J160" s="215" t="s">
        <v>5107</v>
      </c>
      <c r="K160" s="215" t="s">
        <v>5108</v>
      </c>
      <c r="L160" s="215" t="s">
        <v>5109</v>
      </c>
      <c r="M160" s="207" t="s">
        <v>4405</v>
      </c>
      <c r="N160" s="207" t="s">
        <v>4406</v>
      </c>
      <c r="O160" s="202">
        <v>46084</v>
      </c>
      <c r="P160" s="202" t="s">
        <v>4407</v>
      </c>
      <c r="Q160" s="202">
        <v>46083</v>
      </c>
      <c r="R160" s="203">
        <v>46084</v>
      </c>
      <c r="S160" s="203">
        <v>46087</v>
      </c>
      <c r="T160" s="203">
        <v>46090</v>
      </c>
      <c r="U160" s="202" t="s">
        <v>4408</v>
      </c>
      <c r="V160" s="202" t="s">
        <v>4408</v>
      </c>
      <c r="W160" s="202">
        <v>46101</v>
      </c>
      <c r="X160" s="202">
        <v>46104</v>
      </c>
      <c r="Y160" s="202"/>
      <c r="Z160" s="207"/>
      <c r="AA160" s="215" t="s">
        <v>5107</v>
      </c>
      <c r="AB160" s="215" t="s">
        <v>5108</v>
      </c>
      <c r="AC160" s="215" t="s">
        <v>5109</v>
      </c>
      <c r="AD160" s="217" t="s">
        <v>4402</v>
      </c>
      <c r="AE160" s="207" t="s">
        <v>4405</v>
      </c>
      <c r="AF160" s="218" t="s">
        <v>4409</v>
      </c>
      <c r="AG160" s="218" t="s">
        <v>4409</v>
      </c>
      <c r="AH160" s="207" t="s">
        <v>4410</v>
      </c>
      <c r="AI160" s="214" t="s">
        <v>4411</v>
      </c>
      <c r="AJ160" s="207"/>
      <c r="AK160" s="316">
        <v>46080</v>
      </c>
      <c r="AL160" s="316">
        <v>46080</v>
      </c>
      <c r="AM160" s="316">
        <v>46080</v>
      </c>
      <c r="AN160" s="316">
        <v>46080</v>
      </c>
      <c r="AO160" s="316">
        <v>46080</v>
      </c>
      <c r="AP160" s="316">
        <v>46080</v>
      </c>
      <c r="AQ160" s="314"/>
      <c r="AR160" s="315" t="str">
        <f t="shared" si="12"/>
        <v>FINALIZADO</v>
      </c>
      <c r="AS160" s="207"/>
      <c r="AT160" s="260"/>
      <c r="AU160" s="220"/>
      <c r="AV160" s="197"/>
      <c r="AW160" s="207"/>
      <c r="AX160" s="228"/>
      <c r="AY160" s="228"/>
      <c r="AZ160" s="227"/>
      <c r="BA160" s="228"/>
      <c r="BB160" s="227"/>
      <c r="BC160" s="227"/>
      <c r="BD160" s="226"/>
      <c r="BE160" s="227"/>
      <c r="BF160" s="228"/>
      <c r="BG160" s="219"/>
      <c r="BH160" s="321" t="str">
        <f t="shared" si="13"/>
        <v/>
      </c>
      <c r="BI160" s="98" t="str">
        <f t="shared" si="14"/>
        <v>AA</v>
      </c>
      <c r="BJ160" s="98" t="str">
        <f t="shared" si="15"/>
        <v>NÃO</v>
      </c>
      <c r="BK160" s="219"/>
      <c r="BL160" s="221"/>
      <c r="BM160" s="221"/>
      <c r="BN160" s="219"/>
      <c r="BO160" s="219"/>
      <c r="BP160" s="219"/>
      <c r="BQ160" s="219"/>
      <c r="BR160" s="222"/>
    </row>
    <row r="161" spans="1:73" s="240" customFormat="1" ht="27" customHeight="1">
      <c r="A161" s="207">
        <v>157</v>
      </c>
      <c r="B161" s="197" t="s">
        <v>4396</v>
      </c>
      <c r="C161" s="207" t="s">
        <v>4413</v>
      </c>
      <c r="D161" s="207">
        <v>1</v>
      </c>
      <c r="E161" s="207" t="s">
        <v>4398</v>
      </c>
      <c r="F161" s="214" t="s">
        <v>5110</v>
      </c>
      <c r="G161" s="207" t="s">
        <v>4400</v>
      </c>
      <c r="H161" s="207" t="s">
        <v>4401</v>
      </c>
      <c r="I161" s="217" t="s">
        <v>4402</v>
      </c>
      <c r="J161" s="242" t="s">
        <v>5111</v>
      </c>
      <c r="K161" s="215" t="s">
        <v>5112</v>
      </c>
      <c r="L161" s="215" t="s">
        <v>5113</v>
      </c>
      <c r="M161" s="207" t="s">
        <v>4405</v>
      </c>
      <c r="N161" s="207" t="s">
        <v>4432</v>
      </c>
      <c r="O161" s="202" t="s">
        <v>4409</v>
      </c>
      <c r="P161" s="202" t="s">
        <v>4409</v>
      </c>
      <c r="Q161" s="202" t="s">
        <v>4409</v>
      </c>
      <c r="R161" s="202" t="s">
        <v>4409</v>
      </c>
      <c r="S161" s="202" t="s">
        <v>4409</v>
      </c>
      <c r="T161" s="202" t="s">
        <v>4409</v>
      </c>
      <c r="U161" s="202" t="s">
        <v>4409</v>
      </c>
      <c r="V161" s="202" t="s">
        <v>4409</v>
      </c>
      <c r="W161" s="202" t="s">
        <v>4409</v>
      </c>
      <c r="X161" s="202" t="s">
        <v>4409</v>
      </c>
      <c r="Y161" s="202" t="s">
        <v>4409</v>
      </c>
      <c r="Z161" s="202"/>
      <c r="AA161" s="242" t="s">
        <v>5111</v>
      </c>
      <c r="AB161" s="215" t="s">
        <v>5112</v>
      </c>
      <c r="AC161" s="215" t="s">
        <v>5113</v>
      </c>
      <c r="AD161" s="233" t="s">
        <v>4402</v>
      </c>
      <c r="AE161" s="207" t="s">
        <v>4405</v>
      </c>
      <c r="AF161" s="218">
        <v>50700.93</v>
      </c>
      <c r="AG161" s="218">
        <v>60000</v>
      </c>
      <c r="AH161" s="207" t="s">
        <v>4422</v>
      </c>
      <c r="AI161" s="214" t="s">
        <v>4411</v>
      </c>
      <c r="AJ161" s="207">
        <v>160376543</v>
      </c>
      <c r="AK161" s="316">
        <v>46269</v>
      </c>
      <c r="AL161" s="316">
        <v>46274</v>
      </c>
      <c r="AM161" s="316"/>
      <c r="AN161" s="316"/>
      <c r="AO161" s="316"/>
      <c r="AP161" s="316"/>
      <c r="AQ161" s="314" t="s">
        <v>4433</v>
      </c>
      <c r="AR161" s="315" t="str">
        <f t="shared" si="12"/>
        <v>AGUARDANDO CORREÇÃO</v>
      </c>
      <c r="AS161" s="207"/>
      <c r="AT161" s="251" t="s">
        <v>5114</v>
      </c>
      <c r="AU161" s="220"/>
      <c r="AV161" s="207"/>
      <c r="AW161" s="207"/>
      <c r="AX161" s="207"/>
      <c r="AY161" s="207"/>
      <c r="AZ161" s="202"/>
      <c r="BA161" s="207"/>
      <c r="BB161" s="207"/>
      <c r="BC161" s="202"/>
      <c r="BD161" s="227"/>
      <c r="BE161" s="227"/>
      <c r="BF161" s="228"/>
      <c r="BG161" s="229"/>
      <c r="BH161" s="321" t="str">
        <f t="shared" si="13"/>
        <v/>
      </c>
      <c r="BI161" s="98" t="str">
        <f t="shared" si="14"/>
        <v>INDENIZAÇÃO</v>
      </c>
      <c r="BJ161" s="98" t="str">
        <f t="shared" si="15"/>
        <v>NÃO</v>
      </c>
      <c r="BK161" s="230"/>
      <c r="BL161" s="230"/>
      <c r="BM161" s="230"/>
      <c r="BN161" s="207"/>
      <c r="BO161" s="207"/>
      <c r="BP161" s="202"/>
      <c r="BQ161" s="207"/>
      <c r="BR161" s="256"/>
    </row>
    <row r="162" spans="1:73" s="240" customFormat="1" ht="27" hidden="1" customHeight="1">
      <c r="A162" s="207">
        <v>158</v>
      </c>
      <c r="B162" s="197" t="s">
        <v>4396</v>
      </c>
      <c r="C162" s="207" t="s">
        <v>4427</v>
      </c>
      <c r="D162" s="207">
        <v>1</v>
      </c>
      <c r="E162" s="207" t="s">
        <v>4398</v>
      </c>
      <c r="F162" s="214" t="s">
        <v>5110</v>
      </c>
      <c r="G162" s="207" t="s">
        <v>4400</v>
      </c>
      <c r="H162" s="207" t="s">
        <v>4428</v>
      </c>
      <c r="I162" s="233" t="s">
        <v>4421</v>
      </c>
      <c r="J162" s="242" t="s">
        <v>5115</v>
      </c>
      <c r="K162" s="215" t="s">
        <v>5116</v>
      </c>
      <c r="L162" s="215" t="s">
        <v>5117</v>
      </c>
      <c r="M162" s="207" t="s">
        <v>4405</v>
      </c>
      <c r="N162" s="207" t="s">
        <v>4442</v>
      </c>
      <c r="O162" s="202" t="s">
        <v>4409</v>
      </c>
      <c r="P162" s="202" t="s">
        <v>4409</v>
      </c>
      <c r="Q162" s="202" t="s">
        <v>4409</v>
      </c>
      <c r="R162" s="202" t="s">
        <v>4409</v>
      </c>
      <c r="S162" s="202" t="s">
        <v>4409</v>
      </c>
      <c r="T162" s="202" t="s">
        <v>4409</v>
      </c>
      <c r="U162" s="202" t="s">
        <v>4409</v>
      </c>
      <c r="V162" s="202" t="s">
        <v>4409</v>
      </c>
      <c r="W162" s="202" t="s">
        <v>4409</v>
      </c>
      <c r="X162" s="202" t="s">
        <v>4409</v>
      </c>
      <c r="Y162" s="202"/>
      <c r="Z162" s="202"/>
      <c r="AA162" s="242" t="s">
        <v>5115</v>
      </c>
      <c r="AB162" s="214" t="s">
        <v>5116</v>
      </c>
      <c r="AC162" s="246" t="s">
        <v>5117</v>
      </c>
      <c r="AD162" s="233" t="s">
        <v>4421</v>
      </c>
      <c r="AE162" s="207" t="s">
        <v>4405</v>
      </c>
      <c r="AF162" s="218">
        <v>10959.7</v>
      </c>
      <c r="AG162" s="218">
        <f>AF162+30000</f>
        <v>40959.699999999997</v>
      </c>
      <c r="AH162" s="207" t="s">
        <v>4433</v>
      </c>
      <c r="AI162" s="214" t="s">
        <v>4411</v>
      </c>
      <c r="AJ162" s="207">
        <v>147993852</v>
      </c>
      <c r="AK162" s="316">
        <v>46038</v>
      </c>
      <c r="AL162" s="316">
        <v>46038</v>
      </c>
      <c r="AM162" s="316">
        <v>46038</v>
      </c>
      <c r="AN162" s="316">
        <v>46038</v>
      </c>
      <c r="AO162" s="316">
        <v>46038</v>
      </c>
      <c r="AP162" s="316">
        <v>46038</v>
      </c>
      <c r="AQ162" s="314"/>
      <c r="AR162" s="315" t="str">
        <f t="shared" si="12"/>
        <v>FINALIZADO</v>
      </c>
      <c r="AS162" s="207" t="s">
        <v>4423</v>
      </c>
      <c r="AT162" s="247"/>
      <c r="AU162" s="220" t="s">
        <v>5118</v>
      </c>
      <c r="AV162" s="207" t="s">
        <v>4425</v>
      </c>
      <c r="AW162" s="207" t="s">
        <v>4425</v>
      </c>
      <c r="AX162" s="207" t="s">
        <v>4425</v>
      </c>
      <c r="AY162" s="207" t="s">
        <v>4425</v>
      </c>
      <c r="AZ162" s="202">
        <v>46098</v>
      </c>
      <c r="BA162" s="207" t="s">
        <v>4425</v>
      </c>
      <c r="BB162" s="207" t="s">
        <v>4425</v>
      </c>
      <c r="BC162" s="202">
        <v>46114</v>
      </c>
      <c r="BD162" s="227">
        <v>46114</v>
      </c>
      <c r="BE162" s="227" t="s">
        <v>4435</v>
      </c>
      <c r="BF162" s="228" t="s">
        <v>4436</v>
      </c>
      <c r="BG162" s="229" t="s">
        <v>4425</v>
      </c>
      <c r="BH162" s="321">
        <f t="shared" si="13"/>
        <v>76</v>
      </c>
      <c r="BI162" s="98" t="str">
        <f t="shared" si="14"/>
        <v>INDENIZAÇÃO</v>
      </c>
      <c r="BJ162" s="98" t="str">
        <f t="shared" si="15"/>
        <v>NÃO</v>
      </c>
      <c r="BK162" s="230" t="s">
        <v>4437</v>
      </c>
      <c r="BL162" s="230" t="s">
        <v>4437</v>
      </c>
      <c r="BM162" s="230" t="s">
        <v>4437</v>
      </c>
      <c r="BN162" s="207" t="s">
        <v>4425</v>
      </c>
      <c r="BO162" s="207" t="s">
        <v>4425</v>
      </c>
      <c r="BP162" s="202">
        <v>46182</v>
      </c>
      <c r="BQ162" s="207" t="s">
        <v>4425</v>
      </c>
      <c r="BR162" s="256" t="s">
        <v>4435</v>
      </c>
    </row>
    <row r="163" spans="1:73" s="240" customFormat="1" ht="27" customHeight="1">
      <c r="A163" s="207">
        <v>159</v>
      </c>
      <c r="B163" s="197" t="s">
        <v>4396</v>
      </c>
      <c r="C163" s="207" t="s">
        <v>4413</v>
      </c>
      <c r="D163" s="207">
        <v>1</v>
      </c>
      <c r="E163" s="207" t="s">
        <v>4398</v>
      </c>
      <c r="F163" s="214" t="s">
        <v>5119</v>
      </c>
      <c r="G163" s="207" t="s">
        <v>4400</v>
      </c>
      <c r="H163" s="207" t="s">
        <v>4401</v>
      </c>
      <c r="I163" s="160" t="s">
        <v>4402</v>
      </c>
      <c r="J163" s="215" t="s">
        <v>5120</v>
      </c>
      <c r="K163" s="215" t="s">
        <v>5121</v>
      </c>
      <c r="L163" s="215" t="s">
        <v>5122</v>
      </c>
      <c r="M163" s="207" t="s">
        <v>4405</v>
      </c>
      <c r="N163" s="207" t="s">
        <v>4406</v>
      </c>
      <c r="O163" s="202">
        <v>46084</v>
      </c>
      <c r="P163" s="202" t="s">
        <v>4407</v>
      </c>
      <c r="Q163" s="202">
        <v>46083</v>
      </c>
      <c r="R163" s="203">
        <v>46084</v>
      </c>
      <c r="S163" s="203">
        <v>46087</v>
      </c>
      <c r="T163" s="203">
        <v>46090</v>
      </c>
      <c r="U163" s="202" t="s">
        <v>4408</v>
      </c>
      <c r="V163" s="202" t="s">
        <v>4408</v>
      </c>
      <c r="W163" s="202">
        <v>46101</v>
      </c>
      <c r="X163" s="202">
        <v>46104</v>
      </c>
      <c r="Y163" s="202"/>
      <c r="Z163" s="202"/>
      <c r="AA163" s="215" t="s">
        <v>5120</v>
      </c>
      <c r="AB163" s="215" t="s">
        <v>5121</v>
      </c>
      <c r="AC163" s="215" t="s">
        <v>5122</v>
      </c>
      <c r="AD163" s="217" t="s">
        <v>4402</v>
      </c>
      <c r="AE163" s="207" t="s">
        <v>4405</v>
      </c>
      <c r="AF163" s="218" t="s">
        <v>4409</v>
      </c>
      <c r="AG163" s="218" t="s">
        <v>4409</v>
      </c>
      <c r="AH163" s="207" t="s">
        <v>4410</v>
      </c>
      <c r="AI163" s="214" t="s">
        <v>4411</v>
      </c>
      <c r="AJ163" s="207"/>
      <c r="AK163" s="316">
        <v>46080</v>
      </c>
      <c r="AL163" s="316">
        <v>46080</v>
      </c>
      <c r="AM163" s="316">
        <v>46080</v>
      </c>
      <c r="AN163" s="316">
        <v>46080</v>
      </c>
      <c r="AO163" s="316">
        <v>46080</v>
      </c>
      <c r="AP163" s="316">
        <v>46080</v>
      </c>
      <c r="AQ163" s="314"/>
      <c r="AR163" s="315" t="str">
        <f t="shared" si="12"/>
        <v>FINALIZADO</v>
      </c>
      <c r="AS163" s="207"/>
      <c r="AT163" s="260"/>
      <c r="AU163" s="220"/>
      <c r="AV163" s="207"/>
      <c r="AW163" s="207"/>
      <c r="AX163" s="228"/>
      <c r="AY163" s="219"/>
      <c r="AZ163" s="219"/>
      <c r="BA163" s="219"/>
      <c r="BB163" s="219"/>
      <c r="BC163" s="219"/>
      <c r="BD163" s="208"/>
      <c r="BE163" s="203"/>
      <c r="BF163" s="219"/>
      <c r="BG163" s="219"/>
      <c r="BH163" s="321" t="str">
        <f t="shared" si="13"/>
        <v/>
      </c>
      <c r="BI163" s="98" t="str">
        <f t="shared" si="14"/>
        <v>AA</v>
      </c>
      <c r="BJ163" s="98" t="str">
        <f t="shared" si="15"/>
        <v>NÃO</v>
      </c>
      <c r="BK163" s="219"/>
      <c r="BL163" s="221"/>
      <c r="BM163" s="221"/>
      <c r="BN163" s="219"/>
      <c r="BO163" s="219"/>
      <c r="BP163" s="219"/>
      <c r="BQ163" s="219"/>
      <c r="BR163" s="222"/>
      <c r="BS163" s="223"/>
      <c r="BT163" s="223"/>
      <c r="BU163" s="223"/>
    </row>
    <row r="164" spans="1:73" s="240" customFormat="1" ht="27" hidden="1" customHeight="1">
      <c r="A164" s="197">
        <v>160</v>
      </c>
      <c r="B164" s="197" t="s">
        <v>4396</v>
      </c>
      <c r="C164" s="207" t="s">
        <v>4427</v>
      </c>
      <c r="D164" s="207">
        <v>1</v>
      </c>
      <c r="E164" s="207" t="s">
        <v>4398</v>
      </c>
      <c r="F164" s="214" t="s">
        <v>5119</v>
      </c>
      <c r="G164" s="207" t="s">
        <v>4400</v>
      </c>
      <c r="H164" s="207" t="s">
        <v>4401</v>
      </c>
      <c r="I164" s="217" t="s">
        <v>4402</v>
      </c>
      <c r="J164" s="242" t="s">
        <v>5123</v>
      </c>
      <c r="K164" s="215" t="s">
        <v>4398</v>
      </c>
      <c r="L164" s="215" t="s">
        <v>5124</v>
      </c>
      <c r="M164" s="207" t="s">
        <v>4405</v>
      </c>
      <c r="N164" s="207" t="s">
        <v>4406</v>
      </c>
      <c r="O164" s="202">
        <v>46002</v>
      </c>
      <c r="P164" s="202" t="s">
        <v>4407</v>
      </c>
      <c r="Q164" s="202">
        <v>45999</v>
      </c>
      <c r="R164" s="202">
        <v>46006</v>
      </c>
      <c r="S164" s="202">
        <v>46006</v>
      </c>
      <c r="T164" s="202">
        <v>46009</v>
      </c>
      <c r="U164" s="202" t="s">
        <v>4408</v>
      </c>
      <c r="V164" s="202" t="s">
        <v>4408</v>
      </c>
      <c r="W164" s="202">
        <v>46014</v>
      </c>
      <c r="X164" s="202">
        <v>46027</v>
      </c>
      <c r="Y164" s="202"/>
      <c r="Z164" s="207"/>
      <c r="AA164" s="242" t="s">
        <v>5123</v>
      </c>
      <c r="AB164" s="215" t="s">
        <v>4398</v>
      </c>
      <c r="AC164" s="215" t="s">
        <v>5124</v>
      </c>
      <c r="AD164" s="217" t="s">
        <v>4402</v>
      </c>
      <c r="AE164" s="207" t="s">
        <v>4405</v>
      </c>
      <c r="AF164" s="218" t="s">
        <v>4409</v>
      </c>
      <c r="AG164" s="218" t="s">
        <v>4409</v>
      </c>
      <c r="AH164" s="207" t="s">
        <v>4410</v>
      </c>
      <c r="AI164" s="214" t="s">
        <v>4411</v>
      </c>
      <c r="AJ164" s="207"/>
      <c r="AK164" s="316">
        <v>45996</v>
      </c>
      <c r="AL164" s="316">
        <v>45996</v>
      </c>
      <c r="AM164" s="316">
        <v>45996</v>
      </c>
      <c r="AN164" s="316">
        <v>45996</v>
      </c>
      <c r="AO164" s="316">
        <v>45996</v>
      </c>
      <c r="AP164" s="316">
        <v>45996</v>
      </c>
      <c r="AQ164" s="314"/>
      <c r="AR164" s="315" t="str">
        <f t="shared" si="12"/>
        <v>FINALIZADO</v>
      </c>
      <c r="AS164" s="207"/>
      <c r="AT164" s="207"/>
      <c r="AU164" s="220"/>
      <c r="AV164" s="207"/>
      <c r="AW164" s="207"/>
      <c r="AX164" s="228"/>
      <c r="AY164" s="207"/>
      <c r="AZ164" s="202"/>
      <c r="BA164" s="219"/>
      <c r="BB164" s="207"/>
      <c r="BC164" s="202"/>
      <c r="BD164" s="208"/>
      <c r="BE164" s="202"/>
      <c r="BF164" s="207"/>
      <c r="BG164" s="229"/>
      <c r="BH164" s="321" t="str">
        <f t="shared" si="13"/>
        <v/>
      </c>
      <c r="BI164" s="98" t="str">
        <f t="shared" si="14"/>
        <v>AA</v>
      </c>
      <c r="BJ164" s="98" t="str">
        <f t="shared" si="15"/>
        <v>NÃO</v>
      </c>
      <c r="BK164" s="230"/>
      <c r="BL164" s="230"/>
      <c r="BM164" s="230"/>
      <c r="BN164" s="230"/>
      <c r="BO164" s="230"/>
      <c r="BP164" s="230"/>
      <c r="BQ164" s="230"/>
      <c r="BR164" s="234"/>
    </row>
    <row r="165" spans="1:73" s="240" customFormat="1" ht="27" customHeight="1">
      <c r="A165" s="197">
        <v>161</v>
      </c>
      <c r="B165" s="197" t="s">
        <v>4396</v>
      </c>
      <c r="C165" s="207" t="s">
        <v>4413</v>
      </c>
      <c r="D165" s="207">
        <v>1</v>
      </c>
      <c r="E165" s="250" t="s">
        <v>4398</v>
      </c>
      <c r="F165" s="214" t="s">
        <v>5125</v>
      </c>
      <c r="G165" s="207" t="s">
        <v>4400</v>
      </c>
      <c r="H165" s="207" t="s">
        <v>4401</v>
      </c>
      <c r="I165" s="207" t="s">
        <v>4414</v>
      </c>
      <c r="J165" s="215" t="s">
        <v>5126</v>
      </c>
      <c r="K165" s="215" t="s">
        <v>5127</v>
      </c>
      <c r="L165" s="215" t="s">
        <v>5128</v>
      </c>
      <c r="M165" s="207" t="s">
        <v>4405</v>
      </c>
      <c r="N165" s="207" t="s">
        <v>4406</v>
      </c>
      <c r="O165" s="202">
        <v>46126</v>
      </c>
      <c r="P165" s="202" t="s">
        <v>4407</v>
      </c>
      <c r="Q165" s="203">
        <v>46126</v>
      </c>
      <c r="R165" s="203">
        <v>46126</v>
      </c>
      <c r="S165" s="203">
        <v>46136</v>
      </c>
      <c r="T165" s="203">
        <v>46140</v>
      </c>
      <c r="U165" s="203" t="s">
        <v>4408</v>
      </c>
      <c r="V165" s="203" t="s">
        <v>4408</v>
      </c>
      <c r="W165" s="202">
        <v>46153</v>
      </c>
      <c r="X165" s="202">
        <v>46154</v>
      </c>
      <c r="Y165" s="202"/>
      <c r="Z165" s="202"/>
      <c r="AA165" s="220" t="s">
        <v>5129</v>
      </c>
      <c r="AB165" s="220" t="s">
        <v>5130</v>
      </c>
      <c r="AC165" s="220" t="s">
        <v>5131</v>
      </c>
      <c r="AD165" s="217" t="s">
        <v>4421</v>
      </c>
      <c r="AE165" s="207" t="s">
        <v>4405</v>
      </c>
      <c r="AF165" s="218">
        <v>39857.25</v>
      </c>
      <c r="AG165" s="218">
        <v>39857.25</v>
      </c>
      <c r="AH165" s="207" t="s">
        <v>4422</v>
      </c>
      <c r="AI165" s="214" t="s">
        <v>4411</v>
      </c>
      <c r="AJ165" s="207">
        <v>156886893</v>
      </c>
      <c r="AK165" s="316">
        <v>46209</v>
      </c>
      <c r="AL165" s="316">
        <v>46209</v>
      </c>
      <c r="AM165" s="316">
        <v>46209</v>
      </c>
      <c r="AN165" s="316">
        <v>46209</v>
      </c>
      <c r="AO165" s="316">
        <v>46209</v>
      </c>
      <c r="AP165" s="316">
        <v>46209</v>
      </c>
      <c r="AQ165" s="314"/>
      <c r="AR165" s="315" t="str">
        <f t="shared" si="12"/>
        <v>FINALIZADO</v>
      </c>
      <c r="AS165" s="207" t="s">
        <v>4423</v>
      </c>
      <c r="AT165" s="260"/>
      <c r="AU165" s="220" t="s">
        <v>5132</v>
      </c>
      <c r="AV165" s="219" t="s">
        <v>4425</v>
      </c>
      <c r="AW165" s="207" t="s">
        <v>4425</v>
      </c>
      <c r="AX165" s="228" t="s">
        <v>4426</v>
      </c>
      <c r="AY165" s="228"/>
      <c r="AZ165" s="227"/>
      <c r="BA165" s="257"/>
      <c r="BB165" s="228"/>
      <c r="BC165" s="227"/>
      <c r="BD165" s="226"/>
      <c r="BE165" s="227"/>
      <c r="BF165" s="228" t="s">
        <v>4400</v>
      </c>
      <c r="BG165" s="229"/>
      <c r="BH165" s="321" t="str">
        <f t="shared" si="13"/>
        <v/>
      </c>
      <c r="BI165" s="98" t="str">
        <f t="shared" si="14"/>
        <v>INDENIZAÇÃO</v>
      </c>
      <c r="BJ165" s="98" t="str">
        <f t="shared" si="15"/>
        <v>NÃO</v>
      </c>
      <c r="BK165" s="219"/>
      <c r="BL165" s="221"/>
      <c r="BM165" s="221"/>
      <c r="BN165" s="219"/>
      <c r="BO165" s="219"/>
      <c r="BP165" s="219"/>
      <c r="BQ165" s="219"/>
      <c r="BR165" s="222"/>
    </row>
    <row r="166" spans="1:73" s="240" customFormat="1" ht="27" customHeight="1">
      <c r="A166" s="207">
        <v>162</v>
      </c>
      <c r="B166" s="197" t="s">
        <v>4396</v>
      </c>
      <c r="C166" s="207" t="s">
        <v>4413</v>
      </c>
      <c r="D166" s="207">
        <v>1</v>
      </c>
      <c r="E166" s="207" t="s">
        <v>4398</v>
      </c>
      <c r="F166" s="214" t="s">
        <v>5133</v>
      </c>
      <c r="G166" s="207" t="s">
        <v>4400</v>
      </c>
      <c r="H166" s="207" t="s">
        <v>4401</v>
      </c>
      <c r="I166" s="207" t="s">
        <v>4402</v>
      </c>
      <c r="J166" s="215" t="s">
        <v>5134</v>
      </c>
      <c r="K166" s="215" t="s">
        <v>5135</v>
      </c>
      <c r="L166" s="215" t="s">
        <v>5136</v>
      </c>
      <c r="M166" s="207" t="s">
        <v>4405</v>
      </c>
      <c r="N166" s="207" t="s">
        <v>4442</v>
      </c>
      <c r="O166" s="202" t="s">
        <v>4409</v>
      </c>
      <c r="P166" s="202" t="s">
        <v>4409</v>
      </c>
      <c r="Q166" s="202" t="s">
        <v>4409</v>
      </c>
      <c r="R166" s="202" t="s">
        <v>4409</v>
      </c>
      <c r="S166" s="202" t="s">
        <v>4409</v>
      </c>
      <c r="T166" s="202" t="s">
        <v>4409</v>
      </c>
      <c r="U166" s="202" t="s">
        <v>4409</v>
      </c>
      <c r="V166" s="202" t="s">
        <v>4409</v>
      </c>
      <c r="W166" s="202" t="s">
        <v>4409</v>
      </c>
      <c r="X166" s="202" t="s">
        <v>4409</v>
      </c>
      <c r="Y166" s="202"/>
      <c r="Z166" s="202"/>
      <c r="AA166" s="215" t="s">
        <v>5137</v>
      </c>
      <c r="AB166" s="215" t="s">
        <v>5135</v>
      </c>
      <c r="AC166" s="215" t="s">
        <v>5136</v>
      </c>
      <c r="AD166" s="207" t="s">
        <v>4402</v>
      </c>
      <c r="AE166" s="207" t="s">
        <v>4405</v>
      </c>
      <c r="AF166" s="218">
        <v>91453.29</v>
      </c>
      <c r="AG166" s="218">
        <v>91453.29</v>
      </c>
      <c r="AH166" s="207" t="s">
        <v>4422</v>
      </c>
      <c r="AI166" s="214" t="s">
        <v>4411</v>
      </c>
      <c r="AJ166" s="207">
        <v>156883512</v>
      </c>
      <c r="AK166" s="316">
        <v>46188</v>
      </c>
      <c r="AL166" s="316">
        <v>46188</v>
      </c>
      <c r="AM166" s="316">
        <v>46188</v>
      </c>
      <c r="AN166" s="316">
        <v>46188</v>
      </c>
      <c r="AO166" s="316">
        <v>46188</v>
      </c>
      <c r="AP166" s="316">
        <v>46188</v>
      </c>
      <c r="AQ166" s="314"/>
      <c r="AR166" s="315" t="str">
        <f t="shared" si="12"/>
        <v>FINALIZADO</v>
      </c>
      <c r="AS166" s="207" t="s">
        <v>4423</v>
      </c>
      <c r="AT166" s="260"/>
      <c r="AU166" s="220" t="s">
        <v>5138</v>
      </c>
      <c r="AV166" s="197" t="s">
        <v>4818</v>
      </c>
      <c r="AW166" s="207" t="s">
        <v>4818</v>
      </c>
      <c r="AX166" s="207" t="s">
        <v>4818</v>
      </c>
      <c r="AY166" s="207" t="s">
        <v>4818</v>
      </c>
      <c r="AZ166" s="202">
        <v>46233</v>
      </c>
      <c r="BA166" s="207" t="s">
        <v>4818</v>
      </c>
      <c r="BB166" s="207" t="s">
        <v>4818</v>
      </c>
      <c r="BC166" s="202">
        <v>46237</v>
      </c>
      <c r="BD166" s="226">
        <v>46237</v>
      </c>
      <c r="BE166" s="257" t="s">
        <v>4435</v>
      </c>
      <c r="BF166" s="257" t="s">
        <v>4436</v>
      </c>
      <c r="BG166" s="219" t="s">
        <v>4425</v>
      </c>
      <c r="BH166" s="321">
        <f t="shared" si="13"/>
        <v>49</v>
      </c>
      <c r="BI166" s="98" t="str">
        <f t="shared" si="14"/>
        <v>INDENIZAÇÃO</v>
      </c>
      <c r="BJ166" s="98" t="str">
        <f t="shared" si="15"/>
        <v>NÃO</v>
      </c>
      <c r="BK166" s="219" t="s">
        <v>4437</v>
      </c>
      <c r="BL166" s="219" t="s">
        <v>4437</v>
      </c>
      <c r="BM166" s="219" t="s">
        <v>4437</v>
      </c>
      <c r="BN166" s="250" t="s">
        <v>4425</v>
      </c>
      <c r="BO166" s="250" t="s">
        <v>4425</v>
      </c>
      <c r="BP166" s="202">
        <v>46269</v>
      </c>
      <c r="BQ166" s="257" t="s">
        <v>4819</v>
      </c>
      <c r="BR166" s="258"/>
      <c r="BS166" s="223"/>
    </row>
    <row r="167" spans="1:73" s="240" customFormat="1" ht="27" customHeight="1">
      <c r="A167" s="207">
        <v>163</v>
      </c>
      <c r="B167" s="197" t="s">
        <v>4396</v>
      </c>
      <c r="C167" s="207" t="s">
        <v>4413</v>
      </c>
      <c r="D167" s="207">
        <v>1</v>
      </c>
      <c r="E167" s="207" t="s">
        <v>4398</v>
      </c>
      <c r="F167" s="214" t="s">
        <v>5139</v>
      </c>
      <c r="G167" s="207" t="s">
        <v>4400</v>
      </c>
      <c r="H167" s="207" t="s">
        <v>4583</v>
      </c>
      <c r="I167" s="207" t="s">
        <v>4402</v>
      </c>
      <c r="J167" s="215" t="s">
        <v>5140</v>
      </c>
      <c r="K167" s="215" t="s">
        <v>5141</v>
      </c>
      <c r="L167" s="215" t="s">
        <v>5142</v>
      </c>
      <c r="M167" s="207" t="s">
        <v>4405</v>
      </c>
      <c r="N167" s="207" t="s">
        <v>4442</v>
      </c>
      <c r="O167" s="202" t="s">
        <v>4409</v>
      </c>
      <c r="P167" s="202" t="s">
        <v>4409</v>
      </c>
      <c r="Q167" s="202" t="s">
        <v>4409</v>
      </c>
      <c r="R167" s="202" t="s">
        <v>4409</v>
      </c>
      <c r="S167" s="202" t="s">
        <v>4409</v>
      </c>
      <c r="T167" s="202" t="s">
        <v>4409</v>
      </c>
      <c r="U167" s="202" t="s">
        <v>4409</v>
      </c>
      <c r="V167" s="202" t="s">
        <v>4409</v>
      </c>
      <c r="W167" s="202" t="s">
        <v>4409</v>
      </c>
      <c r="X167" s="202" t="s">
        <v>4409</v>
      </c>
      <c r="Y167" s="202"/>
      <c r="Z167" s="202"/>
      <c r="AA167" s="215" t="s">
        <v>5140</v>
      </c>
      <c r="AB167" s="215" t="s">
        <v>5141</v>
      </c>
      <c r="AC167" s="215" t="s">
        <v>5142</v>
      </c>
      <c r="AD167" s="207" t="s">
        <v>4402</v>
      </c>
      <c r="AE167" s="207" t="s">
        <v>4405</v>
      </c>
      <c r="AF167" s="218">
        <v>92686.14</v>
      </c>
      <c r="AG167" s="218">
        <v>92686.14</v>
      </c>
      <c r="AH167" s="207" t="s">
        <v>4433</v>
      </c>
      <c r="AI167" s="214" t="s">
        <v>4411</v>
      </c>
      <c r="AJ167" s="207">
        <v>152695487</v>
      </c>
      <c r="AK167" s="316">
        <v>46112</v>
      </c>
      <c r="AL167" s="316">
        <v>46112</v>
      </c>
      <c r="AM167" s="316">
        <v>46112</v>
      </c>
      <c r="AN167" s="316">
        <v>46112</v>
      </c>
      <c r="AO167" s="316">
        <v>46112</v>
      </c>
      <c r="AP167" s="316">
        <v>46112</v>
      </c>
      <c r="AQ167" s="314"/>
      <c r="AR167" s="315" t="str">
        <f t="shared" si="12"/>
        <v>FINALIZADO</v>
      </c>
      <c r="AS167" s="207" t="s">
        <v>4423</v>
      </c>
      <c r="AT167" s="251"/>
      <c r="AU167" s="220" t="s">
        <v>5143</v>
      </c>
      <c r="AV167" s="207" t="s">
        <v>4425</v>
      </c>
      <c r="AW167" s="207" t="s">
        <v>4425</v>
      </c>
      <c r="AX167" s="250" t="s">
        <v>4425</v>
      </c>
      <c r="AY167" s="207" t="s">
        <v>4425</v>
      </c>
      <c r="AZ167" s="202">
        <v>46139</v>
      </c>
      <c r="BA167" s="207" t="s">
        <v>4425</v>
      </c>
      <c r="BB167" s="207" t="s">
        <v>4425</v>
      </c>
      <c r="BC167" s="202">
        <v>46142</v>
      </c>
      <c r="BD167" s="227">
        <v>46142</v>
      </c>
      <c r="BE167" s="227" t="s">
        <v>4435</v>
      </c>
      <c r="BF167" s="268" t="s">
        <v>4436</v>
      </c>
      <c r="BG167" s="269" t="s">
        <v>4425</v>
      </c>
      <c r="BH167" s="321">
        <f t="shared" si="13"/>
        <v>30</v>
      </c>
      <c r="BI167" s="98" t="str">
        <f t="shared" si="14"/>
        <v>INDENIZAÇÃO</v>
      </c>
      <c r="BJ167" s="98" t="str">
        <f t="shared" si="15"/>
        <v>NÃO</v>
      </c>
      <c r="BK167" s="161" t="s">
        <v>4437</v>
      </c>
      <c r="BL167" s="219" t="s">
        <v>4437</v>
      </c>
      <c r="BM167" s="219" t="s">
        <v>4437</v>
      </c>
      <c r="BN167" s="161" t="s">
        <v>4425</v>
      </c>
      <c r="BO167" s="219" t="s">
        <v>4425</v>
      </c>
      <c r="BP167" s="202">
        <v>46195</v>
      </c>
      <c r="BQ167" s="219" t="s">
        <v>4425</v>
      </c>
      <c r="BR167" s="232" t="s">
        <v>4435</v>
      </c>
    </row>
    <row r="168" spans="1:73" s="240" customFormat="1" ht="27" hidden="1" customHeight="1">
      <c r="A168" s="207">
        <v>164</v>
      </c>
      <c r="B168" s="197" t="s">
        <v>4396</v>
      </c>
      <c r="C168" s="207" t="s">
        <v>4427</v>
      </c>
      <c r="D168" s="207">
        <v>1</v>
      </c>
      <c r="E168" s="207" t="s">
        <v>4398</v>
      </c>
      <c r="F168" s="214" t="s">
        <v>5144</v>
      </c>
      <c r="G168" s="207" t="s">
        <v>4400</v>
      </c>
      <c r="H168" s="207" t="s">
        <v>4401</v>
      </c>
      <c r="I168" s="217" t="s">
        <v>4402</v>
      </c>
      <c r="J168" s="242" t="s">
        <v>5145</v>
      </c>
      <c r="K168" s="214" t="s">
        <v>5146</v>
      </c>
      <c r="L168" s="242" t="s">
        <v>5147</v>
      </c>
      <c r="M168" s="207" t="s">
        <v>4405</v>
      </c>
      <c r="N168" s="207" t="s">
        <v>4442</v>
      </c>
      <c r="O168" s="202" t="s">
        <v>4409</v>
      </c>
      <c r="P168" s="202" t="s">
        <v>4409</v>
      </c>
      <c r="Q168" s="202" t="s">
        <v>4409</v>
      </c>
      <c r="R168" s="202" t="s">
        <v>4409</v>
      </c>
      <c r="S168" s="202" t="s">
        <v>4409</v>
      </c>
      <c r="T168" s="202" t="s">
        <v>4409</v>
      </c>
      <c r="U168" s="202" t="s">
        <v>4409</v>
      </c>
      <c r="V168" s="202" t="s">
        <v>4409</v>
      </c>
      <c r="W168" s="202" t="s">
        <v>4409</v>
      </c>
      <c r="X168" s="202" t="s">
        <v>4409</v>
      </c>
      <c r="Y168" s="202"/>
      <c r="Z168" s="202"/>
      <c r="AA168" s="242" t="s">
        <v>5145</v>
      </c>
      <c r="AB168" s="214" t="s">
        <v>5146</v>
      </c>
      <c r="AC168" s="242" t="s">
        <v>5147</v>
      </c>
      <c r="AD168" s="207" t="s">
        <v>4402</v>
      </c>
      <c r="AE168" s="207" t="s">
        <v>4405</v>
      </c>
      <c r="AF168" s="218">
        <v>126759.31</v>
      </c>
      <c r="AG168" s="218">
        <v>126759.31</v>
      </c>
      <c r="AH168" s="207" t="s">
        <v>4433</v>
      </c>
      <c r="AI168" s="214" t="s">
        <v>4411</v>
      </c>
      <c r="AJ168" s="207">
        <v>146664998</v>
      </c>
      <c r="AK168" s="316">
        <v>46001</v>
      </c>
      <c r="AL168" s="316">
        <v>46001</v>
      </c>
      <c r="AM168" s="316">
        <v>46001</v>
      </c>
      <c r="AN168" s="316">
        <v>46001</v>
      </c>
      <c r="AO168" s="316">
        <v>46001</v>
      </c>
      <c r="AP168" s="316">
        <v>46001</v>
      </c>
      <c r="AQ168" s="314"/>
      <c r="AR168" s="315" t="str">
        <f t="shared" si="12"/>
        <v>FINALIZADO</v>
      </c>
      <c r="AS168" s="207" t="s">
        <v>4423</v>
      </c>
      <c r="AT168" s="207"/>
      <c r="AU168" s="220" t="s">
        <v>5148</v>
      </c>
      <c r="AV168" s="197" t="s">
        <v>4425</v>
      </c>
      <c r="AW168" s="207" t="s">
        <v>4425</v>
      </c>
      <c r="AX168" s="207" t="s">
        <v>4425</v>
      </c>
      <c r="AY168" s="207" t="s">
        <v>4425</v>
      </c>
      <c r="AZ168" s="203">
        <v>46024</v>
      </c>
      <c r="BA168" s="219" t="s">
        <v>4425</v>
      </c>
      <c r="BB168" s="207" t="s">
        <v>4425</v>
      </c>
      <c r="BC168" s="203">
        <v>46057</v>
      </c>
      <c r="BD168" s="227">
        <v>46057</v>
      </c>
      <c r="BE168" s="227" t="s">
        <v>4435</v>
      </c>
      <c r="BF168" s="228" t="s">
        <v>4436</v>
      </c>
      <c r="BG168" s="229" t="s">
        <v>4425</v>
      </c>
      <c r="BH168" s="321">
        <f t="shared" si="13"/>
        <v>56</v>
      </c>
      <c r="BI168" s="98" t="str">
        <f t="shared" si="14"/>
        <v>INDENIZAÇÃO</v>
      </c>
      <c r="BJ168" s="98" t="str">
        <f t="shared" si="15"/>
        <v>NÃO</v>
      </c>
      <c r="BK168" s="230" t="s">
        <v>4437</v>
      </c>
      <c r="BL168" s="230" t="s">
        <v>4437</v>
      </c>
      <c r="BM168" s="230" t="s">
        <v>4437</v>
      </c>
      <c r="BN168" s="207" t="s">
        <v>4425</v>
      </c>
      <c r="BO168" s="207" t="s">
        <v>4425</v>
      </c>
      <c r="BP168" s="202">
        <v>46182</v>
      </c>
      <c r="BQ168" s="207" t="s">
        <v>4425</v>
      </c>
      <c r="BR168" s="256" t="s">
        <v>4435</v>
      </c>
      <c r="BS168" s="223"/>
      <c r="BT168" s="223"/>
    </row>
    <row r="169" spans="1:73" s="240" customFormat="1" ht="27" customHeight="1">
      <c r="A169" s="197">
        <v>165</v>
      </c>
      <c r="B169" s="197" t="s">
        <v>4396</v>
      </c>
      <c r="C169" s="207" t="s">
        <v>4413</v>
      </c>
      <c r="D169" s="207">
        <v>1</v>
      </c>
      <c r="E169" s="207" t="s">
        <v>4398</v>
      </c>
      <c r="F169" s="214" t="s">
        <v>5144</v>
      </c>
      <c r="G169" s="207" t="s">
        <v>4400</v>
      </c>
      <c r="H169" s="207" t="s">
        <v>4401</v>
      </c>
      <c r="I169" s="207" t="s">
        <v>4402</v>
      </c>
      <c r="J169" s="215" t="s">
        <v>5149</v>
      </c>
      <c r="K169" s="215" t="s">
        <v>5150</v>
      </c>
      <c r="L169" s="215" t="s">
        <v>5151</v>
      </c>
      <c r="M169" s="207" t="s">
        <v>4405</v>
      </c>
      <c r="N169" s="207" t="s">
        <v>4442</v>
      </c>
      <c r="O169" s="202" t="s">
        <v>4409</v>
      </c>
      <c r="P169" s="202" t="s">
        <v>4409</v>
      </c>
      <c r="Q169" s="202" t="s">
        <v>4409</v>
      </c>
      <c r="R169" s="202" t="s">
        <v>4409</v>
      </c>
      <c r="S169" s="202" t="s">
        <v>4409</v>
      </c>
      <c r="T169" s="202" t="s">
        <v>4409</v>
      </c>
      <c r="U169" s="202" t="s">
        <v>4409</v>
      </c>
      <c r="V169" s="202" t="s">
        <v>4409</v>
      </c>
      <c r="W169" s="202" t="s">
        <v>4409</v>
      </c>
      <c r="X169" s="202" t="s">
        <v>4409</v>
      </c>
      <c r="Y169" s="202"/>
      <c r="Z169" s="202"/>
      <c r="AA169" s="215" t="s">
        <v>5149</v>
      </c>
      <c r="AB169" s="215" t="s">
        <v>5150</v>
      </c>
      <c r="AC169" s="215" t="s">
        <v>5151</v>
      </c>
      <c r="AD169" s="207" t="s">
        <v>4402</v>
      </c>
      <c r="AE169" s="207" t="s">
        <v>4405</v>
      </c>
      <c r="AF169" s="218">
        <v>54328.45</v>
      </c>
      <c r="AG169" s="218">
        <v>60000</v>
      </c>
      <c r="AH169" s="207" t="s">
        <v>4433</v>
      </c>
      <c r="AI169" s="214" t="s">
        <v>4411</v>
      </c>
      <c r="AJ169" s="207">
        <v>152696742</v>
      </c>
      <c r="AK169" s="316">
        <v>46188</v>
      </c>
      <c r="AL169" s="316">
        <v>46188</v>
      </c>
      <c r="AM169" s="316">
        <v>46188</v>
      </c>
      <c r="AN169" s="316">
        <v>46188</v>
      </c>
      <c r="AO169" s="316">
        <v>46188</v>
      </c>
      <c r="AP169" s="316">
        <v>46188</v>
      </c>
      <c r="AQ169" s="314"/>
      <c r="AR169" s="315" t="str">
        <f t="shared" si="12"/>
        <v>FINALIZADO</v>
      </c>
      <c r="AS169" s="207" t="s">
        <v>4423</v>
      </c>
      <c r="AT169" s="260"/>
      <c r="AU169" s="220" t="s">
        <v>5152</v>
      </c>
      <c r="AV169" s="207" t="s">
        <v>4818</v>
      </c>
      <c r="AW169" s="207" t="s">
        <v>4818</v>
      </c>
      <c r="AX169" s="207" t="s">
        <v>4818</v>
      </c>
      <c r="AY169" s="207" t="s">
        <v>4818</v>
      </c>
      <c r="AZ169" s="202">
        <v>46233</v>
      </c>
      <c r="BA169" s="207" t="s">
        <v>4818</v>
      </c>
      <c r="BB169" s="207" t="s">
        <v>4818</v>
      </c>
      <c r="BC169" s="202">
        <v>46237</v>
      </c>
      <c r="BD169" s="226">
        <v>46237</v>
      </c>
      <c r="BE169" s="257" t="s">
        <v>4435</v>
      </c>
      <c r="BF169" s="257" t="s">
        <v>4436</v>
      </c>
      <c r="BG169" s="219" t="s">
        <v>4425</v>
      </c>
      <c r="BH169" s="321">
        <f t="shared" si="13"/>
        <v>49</v>
      </c>
      <c r="BI169" s="98" t="str">
        <f t="shared" si="14"/>
        <v>INDENIZAÇÃO</v>
      </c>
      <c r="BJ169" s="98" t="str">
        <f t="shared" si="15"/>
        <v>NÃO</v>
      </c>
      <c r="BK169" s="219" t="s">
        <v>4437</v>
      </c>
      <c r="BL169" s="219" t="s">
        <v>4437</v>
      </c>
      <c r="BM169" s="219" t="s">
        <v>4437</v>
      </c>
      <c r="BN169" s="250" t="s">
        <v>4425</v>
      </c>
      <c r="BO169" s="250" t="s">
        <v>4425</v>
      </c>
      <c r="BP169" s="202">
        <v>46269</v>
      </c>
      <c r="BQ169" s="257" t="s">
        <v>4819</v>
      </c>
      <c r="BR169" s="258"/>
      <c r="BS169" s="223"/>
    </row>
    <row r="170" spans="1:73" s="240" customFormat="1" ht="27" hidden="1" customHeight="1">
      <c r="A170" s="197">
        <v>166</v>
      </c>
      <c r="B170" s="197" t="s">
        <v>4396</v>
      </c>
      <c r="C170" s="207" t="s">
        <v>4427</v>
      </c>
      <c r="D170" s="207">
        <v>1</v>
      </c>
      <c r="E170" s="207" t="s">
        <v>4398</v>
      </c>
      <c r="F170" s="214" t="s">
        <v>5153</v>
      </c>
      <c r="G170" s="207" t="s">
        <v>4400</v>
      </c>
      <c r="H170" s="207" t="s">
        <v>4401</v>
      </c>
      <c r="I170" s="217" t="s">
        <v>4402</v>
      </c>
      <c r="J170" s="215" t="s">
        <v>5154</v>
      </c>
      <c r="K170" s="215" t="s">
        <v>5155</v>
      </c>
      <c r="L170" s="215" t="s">
        <v>5156</v>
      </c>
      <c r="M170" s="207" t="s">
        <v>4405</v>
      </c>
      <c r="N170" s="207" t="s">
        <v>4442</v>
      </c>
      <c r="O170" s="202" t="s">
        <v>4409</v>
      </c>
      <c r="P170" s="202" t="s">
        <v>4409</v>
      </c>
      <c r="Q170" s="202" t="s">
        <v>4409</v>
      </c>
      <c r="R170" s="202" t="s">
        <v>4409</v>
      </c>
      <c r="S170" s="202" t="s">
        <v>4409</v>
      </c>
      <c r="T170" s="202" t="s">
        <v>4409</v>
      </c>
      <c r="U170" s="202" t="s">
        <v>4409</v>
      </c>
      <c r="V170" s="202" t="s">
        <v>4409</v>
      </c>
      <c r="W170" s="202" t="s">
        <v>4409</v>
      </c>
      <c r="X170" s="202" t="s">
        <v>4409</v>
      </c>
      <c r="Y170" s="202"/>
      <c r="Z170" s="202"/>
      <c r="AA170" s="215" t="s">
        <v>5154</v>
      </c>
      <c r="AB170" s="214" t="s">
        <v>5155</v>
      </c>
      <c r="AC170" s="214" t="s">
        <v>5156</v>
      </c>
      <c r="AD170" s="207" t="s">
        <v>4402</v>
      </c>
      <c r="AE170" s="207" t="s">
        <v>4405</v>
      </c>
      <c r="AF170" s="218">
        <v>266194.56</v>
      </c>
      <c r="AG170" s="218">
        <v>266194.56</v>
      </c>
      <c r="AH170" s="207" t="s">
        <v>4433</v>
      </c>
      <c r="AI170" s="214" t="s">
        <v>4411</v>
      </c>
      <c r="AJ170" s="207">
        <v>146667845</v>
      </c>
      <c r="AK170" s="316">
        <v>46001</v>
      </c>
      <c r="AL170" s="316">
        <v>46001</v>
      </c>
      <c r="AM170" s="316">
        <v>46001</v>
      </c>
      <c r="AN170" s="316">
        <v>46001</v>
      </c>
      <c r="AO170" s="316">
        <v>46001</v>
      </c>
      <c r="AP170" s="316">
        <v>46001</v>
      </c>
      <c r="AQ170" s="314"/>
      <c r="AR170" s="315" t="str">
        <f t="shared" si="12"/>
        <v>FINALIZADO</v>
      </c>
      <c r="AS170" s="207" t="s">
        <v>4423</v>
      </c>
      <c r="AT170" s="207"/>
      <c r="AU170" s="220" t="s">
        <v>5157</v>
      </c>
      <c r="AV170" s="207" t="s">
        <v>4425</v>
      </c>
      <c r="AW170" s="207" t="s">
        <v>4425</v>
      </c>
      <c r="AX170" s="207" t="s">
        <v>4425</v>
      </c>
      <c r="AY170" s="207" t="s">
        <v>4425</v>
      </c>
      <c r="AZ170" s="202">
        <v>46021</v>
      </c>
      <c r="BA170" s="219" t="s">
        <v>4425</v>
      </c>
      <c r="BB170" s="207" t="s">
        <v>4425</v>
      </c>
      <c r="BC170" s="202">
        <v>46041</v>
      </c>
      <c r="BD170" s="227">
        <v>46041</v>
      </c>
      <c r="BE170" s="227" t="s">
        <v>4435</v>
      </c>
      <c r="BF170" s="228" t="s">
        <v>4436</v>
      </c>
      <c r="BG170" s="229" t="s">
        <v>4425</v>
      </c>
      <c r="BH170" s="321">
        <f t="shared" si="13"/>
        <v>40</v>
      </c>
      <c r="BI170" s="98" t="str">
        <f t="shared" si="14"/>
        <v>INDENIZAÇÃO</v>
      </c>
      <c r="BJ170" s="98" t="str">
        <f t="shared" si="15"/>
        <v>NÃO</v>
      </c>
      <c r="BK170" s="230" t="s">
        <v>4437</v>
      </c>
      <c r="BL170" s="230" t="s">
        <v>4437</v>
      </c>
      <c r="BM170" s="230" t="s">
        <v>4437</v>
      </c>
      <c r="BN170" s="207" t="s">
        <v>4425</v>
      </c>
      <c r="BO170" s="207" t="s">
        <v>4425</v>
      </c>
      <c r="BP170" s="202">
        <v>46182</v>
      </c>
      <c r="BQ170" s="207" t="s">
        <v>4425</v>
      </c>
      <c r="BR170" s="256" t="s">
        <v>4435</v>
      </c>
    </row>
    <row r="171" spans="1:73" s="240" customFormat="1" ht="27" hidden="1" customHeight="1">
      <c r="A171" s="207">
        <v>167</v>
      </c>
      <c r="B171" s="197" t="s">
        <v>4396</v>
      </c>
      <c r="C171" s="207" t="s">
        <v>4427</v>
      </c>
      <c r="D171" s="207">
        <v>1</v>
      </c>
      <c r="E171" s="207" t="s">
        <v>4398</v>
      </c>
      <c r="F171" s="214" t="s">
        <v>5158</v>
      </c>
      <c r="G171" s="207" t="s">
        <v>4400</v>
      </c>
      <c r="H171" s="207" t="s">
        <v>4401</v>
      </c>
      <c r="I171" s="217" t="s">
        <v>4402</v>
      </c>
      <c r="J171" s="215" t="s">
        <v>5159</v>
      </c>
      <c r="K171" s="215" t="s">
        <v>5160</v>
      </c>
      <c r="L171" s="215" t="s">
        <v>5161</v>
      </c>
      <c r="M171" s="207" t="s">
        <v>4405</v>
      </c>
      <c r="N171" s="207" t="s">
        <v>4442</v>
      </c>
      <c r="O171" s="202" t="s">
        <v>4409</v>
      </c>
      <c r="P171" s="202" t="s">
        <v>4409</v>
      </c>
      <c r="Q171" s="202" t="s">
        <v>4409</v>
      </c>
      <c r="R171" s="202" t="s">
        <v>4409</v>
      </c>
      <c r="S171" s="202" t="s">
        <v>4409</v>
      </c>
      <c r="T171" s="202" t="s">
        <v>4409</v>
      </c>
      <c r="U171" s="202" t="s">
        <v>4409</v>
      </c>
      <c r="V171" s="202" t="s">
        <v>4409</v>
      </c>
      <c r="W171" s="202" t="s">
        <v>4409</v>
      </c>
      <c r="X171" s="202" t="s">
        <v>4409</v>
      </c>
      <c r="Y171" s="202"/>
      <c r="Z171" s="202"/>
      <c r="AA171" s="215" t="s">
        <v>5159</v>
      </c>
      <c r="AB171" s="215" t="s">
        <v>5160</v>
      </c>
      <c r="AC171" s="215" t="s">
        <v>5161</v>
      </c>
      <c r="AD171" s="207" t="s">
        <v>4402</v>
      </c>
      <c r="AE171" s="207" t="s">
        <v>4405</v>
      </c>
      <c r="AF171" s="218">
        <v>17059.61</v>
      </c>
      <c r="AG171" s="218">
        <v>47059.61</v>
      </c>
      <c r="AH171" s="207" t="s">
        <v>4433</v>
      </c>
      <c r="AI171" s="214" t="s">
        <v>4411</v>
      </c>
      <c r="AJ171" s="207">
        <v>150861319</v>
      </c>
      <c r="AK171" s="316">
        <v>46129</v>
      </c>
      <c r="AL171" s="316">
        <v>46129</v>
      </c>
      <c r="AM171" s="316">
        <v>46129</v>
      </c>
      <c r="AN171" s="316">
        <v>46129</v>
      </c>
      <c r="AO171" s="316">
        <v>46129</v>
      </c>
      <c r="AP171" s="316">
        <v>46129</v>
      </c>
      <c r="AQ171" s="314"/>
      <c r="AR171" s="315" t="str">
        <f t="shared" si="12"/>
        <v>FINALIZADO</v>
      </c>
      <c r="AS171" s="207" t="s">
        <v>4423</v>
      </c>
      <c r="AT171" s="207"/>
      <c r="AU171" s="220" t="s">
        <v>5162</v>
      </c>
      <c r="AV171" s="270" t="s">
        <v>4425</v>
      </c>
      <c r="AW171" s="207" t="s">
        <v>4425</v>
      </c>
      <c r="AX171" s="219" t="s">
        <v>4425</v>
      </c>
      <c r="AY171" s="219" t="s">
        <v>4425</v>
      </c>
      <c r="AZ171" s="202">
        <v>46226</v>
      </c>
      <c r="BA171" s="219" t="s">
        <v>4425</v>
      </c>
      <c r="BB171" s="219" t="s">
        <v>4425</v>
      </c>
      <c r="BC171" s="202">
        <v>46232</v>
      </c>
      <c r="BD171" s="226">
        <v>46232</v>
      </c>
      <c r="BE171" s="257" t="s">
        <v>4435</v>
      </c>
      <c r="BF171" s="257" t="s">
        <v>4436</v>
      </c>
      <c r="BG171" s="219" t="s">
        <v>4425</v>
      </c>
      <c r="BH171" s="321">
        <f t="shared" si="13"/>
        <v>103</v>
      </c>
      <c r="BI171" s="98" t="str">
        <f t="shared" si="14"/>
        <v>INDENIZAÇÃO</v>
      </c>
      <c r="BJ171" s="98" t="str">
        <f t="shared" si="15"/>
        <v>NÃO</v>
      </c>
      <c r="BK171" s="219" t="s">
        <v>4437</v>
      </c>
      <c r="BL171" s="219" t="s">
        <v>4437</v>
      </c>
      <c r="BM171" s="219" t="s">
        <v>4437</v>
      </c>
      <c r="BN171" s="250" t="s">
        <v>4425</v>
      </c>
      <c r="BO171" s="250" t="s">
        <v>4425</v>
      </c>
      <c r="BP171" s="202">
        <v>46269</v>
      </c>
      <c r="BQ171" s="257" t="s">
        <v>4819</v>
      </c>
      <c r="BR171" s="258"/>
      <c r="BS171" s="223"/>
    </row>
    <row r="172" spans="1:73" s="240" customFormat="1" ht="27" customHeight="1">
      <c r="A172" s="207">
        <v>168</v>
      </c>
      <c r="B172" s="197" t="s">
        <v>4396</v>
      </c>
      <c r="C172" s="207" t="s">
        <v>4413</v>
      </c>
      <c r="D172" s="207">
        <v>1</v>
      </c>
      <c r="E172" s="207" t="s">
        <v>4398</v>
      </c>
      <c r="F172" s="214" t="s">
        <v>5158</v>
      </c>
      <c r="G172" s="207" t="s">
        <v>4400</v>
      </c>
      <c r="H172" s="207" t="s">
        <v>4401</v>
      </c>
      <c r="I172" s="207" t="s">
        <v>4402</v>
      </c>
      <c r="J172" s="215" t="s">
        <v>5163</v>
      </c>
      <c r="K172" s="215" t="s">
        <v>5164</v>
      </c>
      <c r="L172" s="215" t="s">
        <v>5165</v>
      </c>
      <c r="M172" s="207" t="s">
        <v>4405</v>
      </c>
      <c r="N172" s="207" t="s">
        <v>4442</v>
      </c>
      <c r="O172" s="202" t="s">
        <v>4409</v>
      </c>
      <c r="P172" s="202" t="s">
        <v>4409</v>
      </c>
      <c r="Q172" s="202" t="s">
        <v>4409</v>
      </c>
      <c r="R172" s="202" t="s">
        <v>4409</v>
      </c>
      <c r="S172" s="202" t="s">
        <v>4409</v>
      </c>
      <c r="T172" s="202" t="s">
        <v>4409</v>
      </c>
      <c r="U172" s="202" t="s">
        <v>4409</v>
      </c>
      <c r="V172" s="202" t="s">
        <v>4409</v>
      </c>
      <c r="W172" s="202" t="s">
        <v>4409</v>
      </c>
      <c r="X172" s="202" t="s">
        <v>4409</v>
      </c>
      <c r="Y172" s="202"/>
      <c r="Z172" s="202"/>
      <c r="AA172" s="215" t="s">
        <v>5163</v>
      </c>
      <c r="AB172" s="215" t="s">
        <v>5164</v>
      </c>
      <c r="AC172" s="215" t="s">
        <v>5165</v>
      </c>
      <c r="AD172" s="207" t="s">
        <v>4402</v>
      </c>
      <c r="AE172" s="207" t="s">
        <v>4405</v>
      </c>
      <c r="AF172" s="218">
        <v>83292.070000000007</v>
      </c>
      <c r="AG172" s="218">
        <v>83292.070000000007</v>
      </c>
      <c r="AH172" s="207" t="s">
        <v>4422</v>
      </c>
      <c r="AI172" s="214" t="s">
        <v>4411</v>
      </c>
      <c r="AJ172" s="207">
        <v>152696098</v>
      </c>
      <c r="AK172" s="316">
        <v>46189</v>
      </c>
      <c r="AL172" s="316">
        <v>46189</v>
      </c>
      <c r="AM172" s="316">
        <v>46189</v>
      </c>
      <c r="AN172" s="316">
        <v>46189</v>
      </c>
      <c r="AO172" s="316">
        <v>46189</v>
      </c>
      <c r="AP172" s="316">
        <v>46189</v>
      </c>
      <c r="AQ172" s="314"/>
      <c r="AR172" s="315" t="str">
        <f t="shared" si="12"/>
        <v>FINALIZADO</v>
      </c>
      <c r="AS172" s="207" t="s">
        <v>4423</v>
      </c>
      <c r="AT172" s="233"/>
      <c r="AU172" s="220" t="s">
        <v>5166</v>
      </c>
      <c r="AV172" s="207" t="s">
        <v>4818</v>
      </c>
      <c r="AW172" s="207" t="s">
        <v>4818</v>
      </c>
      <c r="AX172" s="207" t="s">
        <v>4818</v>
      </c>
      <c r="AY172" s="207" t="s">
        <v>4818</v>
      </c>
      <c r="AZ172" s="202">
        <v>46233</v>
      </c>
      <c r="BA172" s="207" t="s">
        <v>4818</v>
      </c>
      <c r="BB172" s="207" t="s">
        <v>4818</v>
      </c>
      <c r="BC172" s="202">
        <v>46237</v>
      </c>
      <c r="BD172" s="226">
        <v>46237</v>
      </c>
      <c r="BE172" s="257" t="s">
        <v>4435</v>
      </c>
      <c r="BF172" s="257" t="s">
        <v>4436</v>
      </c>
      <c r="BG172" s="219" t="s">
        <v>4425</v>
      </c>
      <c r="BH172" s="321">
        <f t="shared" si="13"/>
        <v>48</v>
      </c>
      <c r="BI172" s="98" t="str">
        <f t="shared" si="14"/>
        <v>INDENIZAÇÃO</v>
      </c>
      <c r="BJ172" s="98" t="str">
        <f t="shared" si="15"/>
        <v>NÃO</v>
      </c>
      <c r="BK172" s="219" t="s">
        <v>4437</v>
      </c>
      <c r="BL172" s="219" t="s">
        <v>4437</v>
      </c>
      <c r="BM172" s="219" t="s">
        <v>4437</v>
      </c>
      <c r="BN172" s="250" t="s">
        <v>4425</v>
      </c>
      <c r="BO172" s="250" t="s">
        <v>4425</v>
      </c>
      <c r="BP172" s="202">
        <v>46269</v>
      </c>
      <c r="BQ172" s="257" t="s">
        <v>4819</v>
      </c>
      <c r="BR172" s="258"/>
      <c r="BS172" s="223"/>
    </row>
    <row r="173" spans="1:73" s="240" customFormat="1" ht="27" hidden="1" customHeight="1">
      <c r="A173" s="207">
        <v>169</v>
      </c>
      <c r="B173" s="197" t="s">
        <v>4396</v>
      </c>
      <c r="C173" s="207" t="s">
        <v>4427</v>
      </c>
      <c r="D173" s="207">
        <v>1</v>
      </c>
      <c r="E173" s="207" t="s">
        <v>4398</v>
      </c>
      <c r="F173" s="214" t="s">
        <v>5167</v>
      </c>
      <c r="G173" s="207" t="s">
        <v>4400</v>
      </c>
      <c r="H173" s="207" t="s">
        <v>4401</v>
      </c>
      <c r="I173" s="217" t="s">
        <v>4402</v>
      </c>
      <c r="J173" s="242" t="s">
        <v>5168</v>
      </c>
      <c r="K173" s="215" t="s">
        <v>5169</v>
      </c>
      <c r="L173" s="215" t="s">
        <v>5170</v>
      </c>
      <c r="M173" s="207" t="s">
        <v>4405</v>
      </c>
      <c r="N173" s="207" t="s">
        <v>4442</v>
      </c>
      <c r="O173" s="202" t="s">
        <v>4409</v>
      </c>
      <c r="P173" s="202" t="s">
        <v>4409</v>
      </c>
      <c r="Q173" s="202" t="s">
        <v>4409</v>
      </c>
      <c r="R173" s="202" t="s">
        <v>4409</v>
      </c>
      <c r="S173" s="202" t="s">
        <v>4409</v>
      </c>
      <c r="T173" s="202" t="s">
        <v>4409</v>
      </c>
      <c r="U173" s="202" t="s">
        <v>4409</v>
      </c>
      <c r="V173" s="202" t="s">
        <v>4409</v>
      </c>
      <c r="W173" s="202" t="s">
        <v>4409</v>
      </c>
      <c r="X173" s="202" t="s">
        <v>4409</v>
      </c>
      <c r="Y173" s="202"/>
      <c r="Z173" s="202"/>
      <c r="AA173" s="242" t="s">
        <v>5168</v>
      </c>
      <c r="AB173" s="214" t="s">
        <v>5169</v>
      </c>
      <c r="AC173" s="246" t="s">
        <v>5170</v>
      </c>
      <c r="AD173" s="207" t="s">
        <v>4402</v>
      </c>
      <c r="AE173" s="207" t="s">
        <v>4405</v>
      </c>
      <c r="AF173" s="218">
        <v>22191</v>
      </c>
      <c r="AG173" s="218">
        <f>AF173+30000</f>
        <v>52191</v>
      </c>
      <c r="AH173" s="207" t="s">
        <v>4433</v>
      </c>
      <c r="AI173" s="214" t="s">
        <v>4411</v>
      </c>
      <c r="AJ173" s="207">
        <v>148259258</v>
      </c>
      <c r="AK173" s="316">
        <v>46038</v>
      </c>
      <c r="AL173" s="316">
        <v>46038</v>
      </c>
      <c r="AM173" s="316">
        <v>46038</v>
      </c>
      <c r="AN173" s="316">
        <v>46038</v>
      </c>
      <c r="AO173" s="316">
        <v>46038</v>
      </c>
      <c r="AP173" s="316">
        <v>46038</v>
      </c>
      <c r="AQ173" s="314"/>
      <c r="AR173" s="315" t="str">
        <f t="shared" si="12"/>
        <v>FINALIZADO</v>
      </c>
      <c r="AS173" s="207" t="s">
        <v>4423</v>
      </c>
      <c r="AT173" s="207"/>
      <c r="AU173" s="220" t="s">
        <v>5171</v>
      </c>
      <c r="AV173" s="207" t="s">
        <v>4425</v>
      </c>
      <c r="AW173" s="207" t="s">
        <v>4425</v>
      </c>
      <c r="AX173" s="207" t="s">
        <v>4425</v>
      </c>
      <c r="AY173" s="207" t="s">
        <v>4425</v>
      </c>
      <c r="AZ173" s="202">
        <v>46062</v>
      </c>
      <c r="BA173" s="219" t="s">
        <v>4425</v>
      </c>
      <c r="BB173" s="207" t="s">
        <v>4425</v>
      </c>
      <c r="BC173" s="202">
        <v>46066</v>
      </c>
      <c r="BD173" s="226">
        <v>46066</v>
      </c>
      <c r="BE173" s="227" t="s">
        <v>4435</v>
      </c>
      <c r="BF173" s="228" t="s">
        <v>4436</v>
      </c>
      <c r="BG173" s="229" t="s">
        <v>4425</v>
      </c>
      <c r="BH173" s="321">
        <f t="shared" si="13"/>
        <v>28</v>
      </c>
      <c r="BI173" s="98" t="str">
        <f t="shared" si="14"/>
        <v>INDENIZAÇÃO</v>
      </c>
      <c r="BJ173" s="98" t="str">
        <f t="shared" si="15"/>
        <v>NÃO</v>
      </c>
      <c r="BK173" s="230" t="s">
        <v>4437</v>
      </c>
      <c r="BL173" s="230" t="s">
        <v>4437</v>
      </c>
      <c r="BM173" s="230" t="s">
        <v>4437</v>
      </c>
      <c r="BN173" s="207" t="s">
        <v>4425</v>
      </c>
      <c r="BO173" s="207" t="s">
        <v>4425</v>
      </c>
      <c r="BP173" s="202">
        <v>46182</v>
      </c>
      <c r="BQ173" s="207" t="s">
        <v>4425</v>
      </c>
      <c r="BR173" s="256" t="s">
        <v>4435</v>
      </c>
    </row>
    <row r="174" spans="1:73" s="240" customFormat="1" ht="27" customHeight="1">
      <c r="A174" s="197">
        <v>170</v>
      </c>
      <c r="B174" s="197" t="s">
        <v>4396</v>
      </c>
      <c r="C174" s="207" t="s">
        <v>4413</v>
      </c>
      <c r="D174" s="207">
        <v>1</v>
      </c>
      <c r="E174" s="207" t="s">
        <v>4398</v>
      </c>
      <c r="F174" s="214" t="s">
        <v>5172</v>
      </c>
      <c r="G174" s="207" t="s">
        <v>4400</v>
      </c>
      <c r="H174" s="207" t="s">
        <v>4401</v>
      </c>
      <c r="I174" s="207" t="s">
        <v>4402</v>
      </c>
      <c r="J174" s="215" t="s">
        <v>5173</v>
      </c>
      <c r="K174" s="215" t="s">
        <v>5174</v>
      </c>
      <c r="L174" s="215" t="s">
        <v>5175</v>
      </c>
      <c r="M174" s="207" t="s">
        <v>4405</v>
      </c>
      <c r="N174" s="207" t="s">
        <v>4442</v>
      </c>
      <c r="O174" s="202" t="s">
        <v>4409</v>
      </c>
      <c r="P174" s="202" t="s">
        <v>4409</v>
      </c>
      <c r="Q174" s="202" t="s">
        <v>4409</v>
      </c>
      <c r="R174" s="202" t="s">
        <v>4409</v>
      </c>
      <c r="S174" s="202" t="s">
        <v>4409</v>
      </c>
      <c r="T174" s="202" t="s">
        <v>4409</v>
      </c>
      <c r="U174" s="202" t="s">
        <v>4409</v>
      </c>
      <c r="V174" s="202" t="s">
        <v>4409</v>
      </c>
      <c r="W174" s="202" t="s">
        <v>4409</v>
      </c>
      <c r="X174" s="202" t="s">
        <v>4409</v>
      </c>
      <c r="Y174" s="202"/>
      <c r="Z174" s="202"/>
      <c r="AA174" s="215" t="s">
        <v>5173</v>
      </c>
      <c r="AB174" s="215" t="s">
        <v>5174</v>
      </c>
      <c r="AC174" s="215" t="s">
        <v>5175</v>
      </c>
      <c r="AD174" s="207" t="s">
        <v>4402</v>
      </c>
      <c r="AE174" s="207" t="s">
        <v>4405</v>
      </c>
      <c r="AF174" s="218">
        <v>152775.79</v>
      </c>
      <c r="AG174" s="218">
        <v>152775.79</v>
      </c>
      <c r="AH174" s="207" t="s">
        <v>4422</v>
      </c>
      <c r="AI174" s="214" t="s">
        <v>4411</v>
      </c>
      <c r="AJ174" s="207">
        <v>152696357</v>
      </c>
      <c r="AK174" s="316">
        <v>46112</v>
      </c>
      <c r="AL174" s="316">
        <v>46112</v>
      </c>
      <c r="AM174" s="316">
        <v>46112</v>
      </c>
      <c r="AN174" s="316">
        <v>46112</v>
      </c>
      <c r="AO174" s="316">
        <v>46112</v>
      </c>
      <c r="AP174" s="316">
        <v>46112</v>
      </c>
      <c r="AQ174" s="314"/>
      <c r="AR174" s="315" t="str">
        <f t="shared" si="12"/>
        <v>FINALIZADO</v>
      </c>
      <c r="AS174" s="207" t="s">
        <v>4423</v>
      </c>
      <c r="AT174" s="207"/>
      <c r="AU174" s="220" t="s">
        <v>5176</v>
      </c>
      <c r="AV174" s="207" t="s">
        <v>4425</v>
      </c>
      <c r="AW174" s="207" t="s">
        <v>4425</v>
      </c>
      <c r="AX174" s="250" t="s">
        <v>4425</v>
      </c>
      <c r="AY174" s="207" t="s">
        <v>4425</v>
      </c>
      <c r="AZ174" s="202">
        <v>46150</v>
      </c>
      <c r="BA174" s="207" t="s">
        <v>4425</v>
      </c>
      <c r="BB174" s="207" t="s">
        <v>4425</v>
      </c>
      <c r="BC174" s="202">
        <v>46157</v>
      </c>
      <c r="BD174" s="227">
        <v>46157</v>
      </c>
      <c r="BE174" s="227" t="s">
        <v>4435</v>
      </c>
      <c r="BF174" s="228" t="s">
        <v>4436</v>
      </c>
      <c r="BG174" s="229" t="s">
        <v>4425</v>
      </c>
      <c r="BH174" s="321">
        <f t="shared" si="13"/>
        <v>45</v>
      </c>
      <c r="BI174" s="98" t="str">
        <f t="shared" si="14"/>
        <v>INDENIZAÇÃO</v>
      </c>
      <c r="BJ174" s="98" t="str">
        <f t="shared" si="15"/>
        <v>NÃO</v>
      </c>
      <c r="BK174" s="230" t="s">
        <v>4437</v>
      </c>
      <c r="BL174" s="230" t="s">
        <v>4437</v>
      </c>
      <c r="BM174" s="230" t="s">
        <v>4437</v>
      </c>
      <c r="BN174" s="219" t="s">
        <v>4425</v>
      </c>
      <c r="BO174" s="219" t="s">
        <v>4425</v>
      </c>
      <c r="BP174" s="202">
        <v>46195</v>
      </c>
      <c r="BQ174" s="219" t="s">
        <v>4425</v>
      </c>
      <c r="BR174" s="232" t="s">
        <v>4435</v>
      </c>
    </row>
    <row r="175" spans="1:73" s="240" customFormat="1" ht="27" customHeight="1">
      <c r="A175" s="197">
        <v>171</v>
      </c>
      <c r="B175" s="197" t="s">
        <v>4396</v>
      </c>
      <c r="C175" s="207" t="s">
        <v>4413</v>
      </c>
      <c r="D175" s="207">
        <v>1</v>
      </c>
      <c r="E175" s="207" t="s">
        <v>4398</v>
      </c>
      <c r="F175" s="214" t="s">
        <v>5177</v>
      </c>
      <c r="G175" s="207" t="s">
        <v>4484</v>
      </c>
      <c r="H175" s="207" t="s">
        <v>4401</v>
      </c>
      <c r="I175" s="207" t="s">
        <v>4402</v>
      </c>
      <c r="J175" s="215" t="s">
        <v>5178</v>
      </c>
      <c r="K175" s="215" t="s">
        <v>5179</v>
      </c>
      <c r="L175" s="215" t="s">
        <v>5180</v>
      </c>
      <c r="M175" s="207" t="s">
        <v>4405</v>
      </c>
      <c r="N175" s="207" t="s">
        <v>4442</v>
      </c>
      <c r="O175" s="202" t="s">
        <v>4409</v>
      </c>
      <c r="P175" s="202" t="s">
        <v>4409</v>
      </c>
      <c r="Q175" s="202" t="s">
        <v>4409</v>
      </c>
      <c r="R175" s="202" t="s">
        <v>4409</v>
      </c>
      <c r="S175" s="202" t="s">
        <v>4409</v>
      </c>
      <c r="T175" s="202" t="s">
        <v>4409</v>
      </c>
      <c r="U175" s="202" t="s">
        <v>4409</v>
      </c>
      <c r="V175" s="202" t="s">
        <v>4409</v>
      </c>
      <c r="W175" s="202" t="s">
        <v>4409</v>
      </c>
      <c r="X175" s="202" t="s">
        <v>4409</v>
      </c>
      <c r="Y175" s="202"/>
      <c r="Z175" s="202"/>
      <c r="AA175" s="215" t="s">
        <v>5178</v>
      </c>
      <c r="AB175" s="215" t="s">
        <v>5179</v>
      </c>
      <c r="AC175" s="215" t="s">
        <v>5180</v>
      </c>
      <c r="AD175" s="207" t="s">
        <v>4402</v>
      </c>
      <c r="AE175" s="207" t="s">
        <v>4405</v>
      </c>
      <c r="AF175" s="218">
        <v>81479.28</v>
      </c>
      <c r="AG175" s="218">
        <v>81479.28</v>
      </c>
      <c r="AH175" s="207" t="s">
        <v>4422</v>
      </c>
      <c r="AI175" s="214" t="s">
        <v>4411</v>
      </c>
      <c r="AJ175" s="207">
        <v>152696502</v>
      </c>
      <c r="AK175" s="316">
        <v>46112</v>
      </c>
      <c r="AL175" s="316">
        <v>46112</v>
      </c>
      <c r="AM175" s="316">
        <v>46112</v>
      </c>
      <c r="AN175" s="316">
        <v>46112</v>
      </c>
      <c r="AO175" s="316">
        <v>46112</v>
      </c>
      <c r="AP175" s="316">
        <v>46112</v>
      </c>
      <c r="AQ175" s="314"/>
      <c r="AR175" s="315" t="str">
        <f t="shared" si="12"/>
        <v>FINALIZADO</v>
      </c>
      <c r="AS175" s="207" t="s">
        <v>4423</v>
      </c>
      <c r="AT175" s="207"/>
      <c r="AU175" s="220" t="s">
        <v>5181</v>
      </c>
      <c r="AV175" s="207" t="s">
        <v>4425</v>
      </c>
      <c r="AW175" s="207" t="s">
        <v>4425</v>
      </c>
      <c r="AX175" s="207" t="s">
        <v>4425</v>
      </c>
      <c r="AY175" s="207" t="s">
        <v>4425</v>
      </c>
      <c r="AZ175" s="202">
        <v>46153</v>
      </c>
      <c r="BA175" s="207" t="s">
        <v>4425</v>
      </c>
      <c r="BB175" s="207" t="s">
        <v>4425</v>
      </c>
      <c r="BC175" s="202">
        <v>46171</v>
      </c>
      <c r="BD175" s="227">
        <v>46171</v>
      </c>
      <c r="BE175" s="227" t="s">
        <v>4435</v>
      </c>
      <c r="BF175" s="236" t="s">
        <v>4436</v>
      </c>
      <c r="BG175" s="237" t="s">
        <v>4425</v>
      </c>
      <c r="BH175" s="321">
        <f t="shared" si="13"/>
        <v>59</v>
      </c>
      <c r="BI175" s="98" t="str">
        <f t="shared" si="14"/>
        <v>INDENIZAÇÃO</v>
      </c>
      <c r="BJ175" s="98" t="str">
        <f t="shared" si="15"/>
        <v>NÃO</v>
      </c>
      <c r="BK175" s="238" t="s">
        <v>4437</v>
      </c>
      <c r="BL175" s="238" t="s">
        <v>4437</v>
      </c>
      <c r="BM175" s="238" t="s">
        <v>4437</v>
      </c>
      <c r="BN175" s="219" t="s">
        <v>4425</v>
      </c>
      <c r="BO175" s="219" t="s">
        <v>4425</v>
      </c>
      <c r="BP175" s="202">
        <v>46195</v>
      </c>
      <c r="BQ175" s="219" t="s">
        <v>4425</v>
      </c>
      <c r="BR175" s="232" t="s">
        <v>4435</v>
      </c>
    </row>
    <row r="176" spans="1:73" s="240" customFormat="1" ht="27" customHeight="1">
      <c r="A176" s="207">
        <v>172</v>
      </c>
      <c r="B176" s="197" t="s">
        <v>4396</v>
      </c>
      <c r="C176" s="207" t="s">
        <v>4413</v>
      </c>
      <c r="D176" s="207">
        <v>1</v>
      </c>
      <c r="E176" s="207" t="s">
        <v>4398</v>
      </c>
      <c r="F176" s="214" t="s">
        <v>5182</v>
      </c>
      <c r="G176" s="207" t="s">
        <v>4400</v>
      </c>
      <c r="H176" s="207" t="s">
        <v>4401</v>
      </c>
      <c r="I176" s="207" t="s">
        <v>4402</v>
      </c>
      <c r="J176" s="215" t="s">
        <v>5183</v>
      </c>
      <c r="K176" s="215" t="s">
        <v>5184</v>
      </c>
      <c r="L176" s="215" t="s">
        <v>5185</v>
      </c>
      <c r="M176" s="207" t="s">
        <v>4405</v>
      </c>
      <c r="N176" s="207" t="s">
        <v>4442</v>
      </c>
      <c r="O176" s="202" t="s">
        <v>4409</v>
      </c>
      <c r="P176" s="202" t="s">
        <v>4409</v>
      </c>
      <c r="Q176" s="202" t="s">
        <v>4409</v>
      </c>
      <c r="R176" s="202" t="s">
        <v>4409</v>
      </c>
      <c r="S176" s="202" t="s">
        <v>4409</v>
      </c>
      <c r="T176" s="202" t="s">
        <v>4409</v>
      </c>
      <c r="U176" s="202" t="s">
        <v>4409</v>
      </c>
      <c r="V176" s="202" t="s">
        <v>4409</v>
      </c>
      <c r="W176" s="202" t="s">
        <v>4409</v>
      </c>
      <c r="X176" s="202" t="s">
        <v>4409</v>
      </c>
      <c r="Y176" s="202"/>
      <c r="Z176" s="202"/>
      <c r="AA176" s="215" t="s">
        <v>5183</v>
      </c>
      <c r="AB176" s="215" t="s">
        <v>5184</v>
      </c>
      <c r="AC176" s="215" t="s">
        <v>5185</v>
      </c>
      <c r="AD176" s="207" t="s">
        <v>4402</v>
      </c>
      <c r="AE176" s="207" t="s">
        <v>4405</v>
      </c>
      <c r="AF176" s="218">
        <v>74617.63</v>
      </c>
      <c r="AG176" s="218">
        <v>74617.63</v>
      </c>
      <c r="AH176" s="207" t="s">
        <v>4422</v>
      </c>
      <c r="AI176" s="214" t="s">
        <v>4411</v>
      </c>
      <c r="AJ176" s="207">
        <v>153001375</v>
      </c>
      <c r="AK176" s="316">
        <v>46112</v>
      </c>
      <c r="AL176" s="316">
        <v>46112</v>
      </c>
      <c r="AM176" s="316">
        <v>46112</v>
      </c>
      <c r="AN176" s="316">
        <v>46112</v>
      </c>
      <c r="AO176" s="316">
        <v>46112</v>
      </c>
      <c r="AP176" s="316">
        <v>46112</v>
      </c>
      <c r="AQ176" s="314"/>
      <c r="AR176" s="315" t="str">
        <f t="shared" si="12"/>
        <v>FINALIZADO</v>
      </c>
      <c r="AS176" s="207" t="s">
        <v>4423</v>
      </c>
      <c r="AT176" s="207"/>
      <c r="AU176" s="220" t="s">
        <v>5186</v>
      </c>
      <c r="AV176" s="207" t="s">
        <v>4425</v>
      </c>
      <c r="AW176" s="207" t="s">
        <v>4425</v>
      </c>
      <c r="AX176" s="250" t="s">
        <v>4425</v>
      </c>
      <c r="AY176" s="197" t="s">
        <v>4425</v>
      </c>
      <c r="AZ176" s="202">
        <v>46150</v>
      </c>
      <c r="BA176" s="160" t="s">
        <v>4425</v>
      </c>
      <c r="BB176" s="207" t="s">
        <v>4425</v>
      </c>
      <c r="BC176" s="202">
        <v>46160</v>
      </c>
      <c r="BD176" s="227">
        <v>46160</v>
      </c>
      <c r="BE176" s="227" t="s">
        <v>4435</v>
      </c>
      <c r="BF176" s="228" t="s">
        <v>4436</v>
      </c>
      <c r="BG176" s="229" t="s">
        <v>4425</v>
      </c>
      <c r="BH176" s="321">
        <f t="shared" si="13"/>
        <v>48</v>
      </c>
      <c r="BI176" s="98" t="str">
        <f t="shared" si="14"/>
        <v>INDENIZAÇÃO</v>
      </c>
      <c r="BJ176" s="98" t="str">
        <f t="shared" si="15"/>
        <v>NÃO</v>
      </c>
      <c r="BK176" s="230" t="s">
        <v>4437</v>
      </c>
      <c r="BL176" s="230" t="s">
        <v>4437</v>
      </c>
      <c r="BM176" s="230" t="s">
        <v>4437</v>
      </c>
      <c r="BN176" s="219" t="s">
        <v>4425</v>
      </c>
      <c r="BO176" s="219" t="s">
        <v>4425</v>
      </c>
      <c r="BP176" s="202">
        <v>46195</v>
      </c>
      <c r="BQ176" s="219" t="s">
        <v>4425</v>
      </c>
      <c r="BR176" s="232" t="s">
        <v>4435</v>
      </c>
    </row>
    <row r="177" spans="1:112" s="240" customFormat="1" ht="27" customHeight="1">
      <c r="A177" s="207">
        <v>173</v>
      </c>
      <c r="B177" s="197" t="s">
        <v>4396</v>
      </c>
      <c r="C177" s="207" t="s">
        <v>4413</v>
      </c>
      <c r="D177" s="207">
        <v>1</v>
      </c>
      <c r="E177" s="207" t="s">
        <v>4398</v>
      </c>
      <c r="F177" s="214" t="s">
        <v>5187</v>
      </c>
      <c r="G177" s="207" t="s">
        <v>4400</v>
      </c>
      <c r="H177" s="207" t="s">
        <v>4401</v>
      </c>
      <c r="I177" s="207" t="s">
        <v>4402</v>
      </c>
      <c r="J177" s="215" t="s">
        <v>4487</v>
      </c>
      <c r="K177" s="215" t="s">
        <v>4488</v>
      </c>
      <c r="L177" s="215" t="s">
        <v>4489</v>
      </c>
      <c r="M177" s="207" t="s">
        <v>4405</v>
      </c>
      <c r="N177" s="207" t="s">
        <v>4406</v>
      </c>
      <c r="O177" s="202">
        <v>46084</v>
      </c>
      <c r="P177" s="202" t="s">
        <v>4407</v>
      </c>
      <c r="Q177" s="202">
        <v>46083</v>
      </c>
      <c r="R177" s="203">
        <v>46084</v>
      </c>
      <c r="S177" s="203">
        <v>46087</v>
      </c>
      <c r="T177" s="203">
        <v>46090</v>
      </c>
      <c r="U177" s="202" t="s">
        <v>4408</v>
      </c>
      <c r="V177" s="202" t="s">
        <v>4408</v>
      </c>
      <c r="W177" s="202">
        <v>46101</v>
      </c>
      <c r="X177" s="202">
        <v>46101</v>
      </c>
      <c r="Y177" s="202"/>
      <c r="Z177" s="202"/>
      <c r="AA177" s="215" t="s">
        <v>4487</v>
      </c>
      <c r="AB177" s="215" t="s">
        <v>4488</v>
      </c>
      <c r="AC177" s="215" t="s">
        <v>4489</v>
      </c>
      <c r="AD177" s="217" t="s">
        <v>4402</v>
      </c>
      <c r="AE177" s="207" t="s">
        <v>4405</v>
      </c>
      <c r="AF177" s="218" t="s">
        <v>4409</v>
      </c>
      <c r="AG177" s="218" t="s">
        <v>4409</v>
      </c>
      <c r="AH177" s="207" t="s">
        <v>4410</v>
      </c>
      <c r="AI177" s="214" t="s">
        <v>4411</v>
      </c>
      <c r="AJ177" s="207"/>
      <c r="AK177" s="316">
        <v>46080</v>
      </c>
      <c r="AL177" s="316">
        <v>46080</v>
      </c>
      <c r="AM177" s="316">
        <v>46080</v>
      </c>
      <c r="AN177" s="316">
        <v>46080</v>
      </c>
      <c r="AO177" s="316">
        <v>46080</v>
      </c>
      <c r="AP177" s="316">
        <v>46080</v>
      </c>
      <c r="AQ177" s="314"/>
      <c r="AR177" s="315" t="str">
        <f t="shared" si="12"/>
        <v>FINALIZADO</v>
      </c>
      <c r="AS177" s="207"/>
      <c r="AT177" s="219"/>
      <c r="AU177" s="220"/>
      <c r="AV177" s="207"/>
      <c r="AW177" s="207"/>
      <c r="AX177" s="228"/>
      <c r="AY177" s="219"/>
      <c r="AZ177" s="219"/>
      <c r="BA177" s="161"/>
      <c r="BB177" s="254"/>
      <c r="BC177" s="219"/>
      <c r="BD177" s="208"/>
      <c r="BE177" s="203"/>
      <c r="BF177" s="219"/>
      <c r="BG177" s="219"/>
      <c r="BH177" s="321" t="str">
        <f t="shared" si="13"/>
        <v/>
      </c>
      <c r="BI177" s="98" t="str">
        <f t="shared" si="14"/>
        <v>AA</v>
      </c>
      <c r="BJ177" s="98" t="str">
        <f t="shared" si="15"/>
        <v>NÃO</v>
      </c>
      <c r="BK177" s="219"/>
      <c r="BL177" s="221"/>
      <c r="BM177" s="221"/>
      <c r="BN177" s="219"/>
      <c r="BO177" s="219"/>
      <c r="BP177" s="219"/>
      <c r="BQ177" s="219"/>
      <c r="BR177" s="222"/>
      <c r="BS177" s="223"/>
      <c r="BT177" s="223"/>
    </row>
    <row r="178" spans="1:112" s="240" customFormat="1" ht="27" customHeight="1">
      <c r="A178" s="207">
        <v>174</v>
      </c>
      <c r="B178" s="197" t="s">
        <v>4396</v>
      </c>
      <c r="C178" s="207" t="s">
        <v>4413</v>
      </c>
      <c r="D178" s="207">
        <v>1</v>
      </c>
      <c r="E178" s="207" t="s">
        <v>4398</v>
      </c>
      <c r="F178" s="214" t="s">
        <v>5188</v>
      </c>
      <c r="G178" s="207" t="s">
        <v>4400</v>
      </c>
      <c r="H178" s="207" t="s">
        <v>4401</v>
      </c>
      <c r="I178" s="217" t="s">
        <v>4402</v>
      </c>
      <c r="J178" s="215" t="s">
        <v>5189</v>
      </c>
      <c r="K178" s="215" t="s">
        <v>5190</v>
      </c>
      <c r="L178" s="215" t="s">
        <v>5191</v>
      </c>
      <c r="M178" s="207" t="s">
        <v>4405</v>
      </c>
      <c r="N178" s="207" t="s">
        <v>4406</v>
      </c>
      <c r="O178" s="202">
        <v>46106</v>
      </c>
      <c r="P178" s="202" t="s">
        <v>4407</v>
      </c>
      <c r="Q178" s="202">
        <v>46106</v>
      </c>
      <c r="R178" s="202">
        <v>46107</v>
      </c>
      <c r="S178" s="202">
        <v>46111</v>
      </c>
      <c r="T178" s="202">
        <v>46087</v>
      </c>
      <c r="U178" s="202" t="s">
        <v>4408</v>
      </c>
      <c r="V178" s="202" t="s">
        <v>4408</v>
      </c>
      <c r="W178" s="202">
        <v>46132</v>
      </c>
      <c r="X178" s="202">
        <v>46129</v>
      </c>
      <c r="Y178" s="203"/>
      <c r="Z178" s="219"/>
      <c r="AA178" s="215" t="s">
        <v>5189</v>
      </c>
      <c r="AB178" s="215" t="s">
        <v>5190</v>
      </c>
      <c r="AC178" s="215" t="s">
        <v>5191</v>
      </c>
      <c r="AD178" s="233" t="s">
        <v>4402</v>
      </c>
      <c r="AE178" s="219" t="s">
        <v>4405</v>
      </c>
      <c r="AF178" s="218" t="s">
        <v>4409</v>
      </c>
      <c r="AG178" s="218" t="s">
        <v>4409</v>
      </c>
      <c r="AH178" s="207" t="s">
        <v>4410</v>
      </c>
      <c r="AI178" s="214" t="s">
        <v>4411</v>
      </c>
      <c r="AJ178" s="207"/>
      <c r="AK178" s="316">
        <v>46001</v>
      </c>
      <c r="AL178" s="316">
        <v>46001</v>
      </c>
      <c r="AM178" s="316">
        <v>46001</v>
      </c>
      <c r="AN178" s="316">
        <v>46001</v>
      </c>
      <c r="AO178" s="316">
        <v>46001</v>
      </c>
      <c r="AP178" s="316">
        <v>46001</v>
      </c>
      <c r="AQ178" s="314"/>
      <c r="AR178" s="315" t="str">
        <f t="shared" si="12"/>
        <v>FINALIZADO</v>
      </c>
      <c r="AS178" s="207"/>
      <c r="AT178" s="219"/>
      <c r="AU178" s="220"/>
      <c r="AV178" s="207"/>
      <c r="AW178" s="207"/>
      <c r="AX178" s="228"/>
      <c r="AY178" s="219"/>
      <c r="AZ178" s="219"/>
      <c r="BA178" s="219"/>
      <c r="BB178" s="219"/>
      <c r="BC178" s="219"/>
      <c r="BD178" s="208"/>
      <c r="BE178" s="203"/>
      <c r="BF178" s="219"/>
      <c r="BG178" s="219"/>
      <c r="BH178" s="321" t="str">
        <f t="shared" si="13"/>
        <v/>
      </c>
      <c r="BI178" s="98" t="str">
        <f t="shared" si="14"/>
        <v>AA</v>
      </c>
      <c r="BJ178" s="98" t="str">
        <f t="shared" si="15"/>
        <v>NÃO</v>
      </c>
      <c r="BK178" s="219"/>
      <c r="BL178" s="221"/>
      <c r="BM178" s="221"/>
      <c r="BN178" s="219"/>
      <c r="BO178" s="219"/>
      <c r="BP178" s="219"/>
      <c r="BQ178" s="219"/>
      <c r="BR178" s="222"/>
    </row>
    <row r="179" spans="1:112" s="240" customFormat="1" ht="27" customHeight="1">
      <c r="A179" s="197">
        <v>175</v>
      </c>
      <c r="B179" s="197" t="s">
        <v>4396</v>
      </c>
      <c r="C179" s="207" t="s">
        <v>4413</v>
      </c>
      <c r="D179" s="207">
        <v>1</v>
      </c>
      <c r="E179" s="207" t="s">
        <v>4398</v>
      </c>
      <c r="F179" s="214" t="s">
        <v>5192</v>
      </c>
      <c r="G179" s="207" t="s">
        <v>4546</v>
      </c>
      <c r="H179" s="207" t="s">
        <v>4546</v>
      </c>
      <c r="I179" s="233" t="s">
        <v>4421</v>
      </c>
      <c r="J179" s="215" t="s">
        <v>5193</v>
      </c>
      <c r="K179" s="215" t="s">
        <v>5194</v>
      </c>
      <c r="L179" s="215" t="s">
        <v>5195</v>
      </c>
      <c r="M179" s="207" t="s">
        <v>4405</v>
      </c>
      <c r="N179" s="207" t="s">
        <v>4442</v>
      </c>
      <c r="O179" s="202" t="s">
        <v>4409</v>
      </c>
      <c r="P179" s="202" t="s">
        <v>4409</v>
      </c>
      <c r="Q179" s="202" t="s">
        <v>4409</v>
      </c>
      <c r="R179" s="202" t="s">
        <v>4409</v>
      </c>
      <c r="S179" s="202" t="s">
        <v>4409</v>
      </c>
      <c r="T179" s="202" t="s">
        <v>4409</v>
      </c>
      <c r="U179" s="202" t="s">
        <v>4409</v>
      </c>
      <c r="V179" s="202" t="s">
        <v>4409</v>
      </c>
      <c r="W179" s="202" t="s">
        <v>4409</v>
      </c>
      <c r="X179" s="202" t="s">
        <v>4409</v>
      </c>
      <c r="Y179" s="202"/>
      <c r="Z179" s="202"/>
      <c r="AA179" s="215" t="s">
        <v>5193</v>
      </c>
      <c r="AB179" s="215" t="s">
        <v>5194</v>
      </c>
      <c r="AC179" s="215" t="s">
        <v>5196</v>
      </c>
      <c r="AD179" s="233" t="s">
        <v>4421</v>
      </c>
      <c r="AE179" s="207" t="s">
        <v>4405</v>
      </c>
      <c r="AF179" s="218">
        <v>7834.78</v>
      </c>
      <c r="AG179" s="218">
        <v>7834.78</v>
      </c>
      <c r="AH179" s="207" t="s">
        <v>4422</v>
      </c>
      <c r="AI179" s="214" t="s">
        <v>4411</v>
      </c>
      <c r="AJ179" s="207">
        <v>153001719</v>
      </c>
      <c r="AK179" s="316">
        <v>46112</v>
      </c>
      <c r="AL179" s="316">
        <v>46112</v>
      </c>
      <c r="AM179" s="316">
        <v>46112</v>
      </c>
      <c r="AN179" s="316">
        <v>46112</v>
      </c>
      <c r="AO179" s="316">
        <v>46112</v>
      </c>
      <c r="AP179" s="316">
        <v>46112</v>
      </c>
      <c r="AQ179" s="314"/>
      <c r="AR179" s="315" t="str">
        <f t="shared" si="12"/>
        <v>FINALIZADO</v>
      </c>
      <c r="AS179" s="207" t="s">
        <v>4423</v>
      </c>
      <c r="AT179" s="219"/>
      <c r="AU179" s="220" t="s">
        <v>5197</v>
      </c>
      <c r="AV179" s="207" t="s">
        <v>4425</v>
      </c>
      <c r="AW179" s="207" t="s">
        <v>4425</v>
      </c>
      <c r="AX179" s="207" t="s">
        <v>4425</v>
      </c>
      <c r="AY179" s="207" t="s">
        <v>4425</v>
      </c>
      <c r="AZ179" s="202">
        <v>46174</v>
      </c>
      <c r="BA179" s="207" t="s">
        <v>4425</v>
      </c>
      <c r="BB179" s="207" t="s">
        <v>4425</v>
      </c>
      <c r="BC179" s="202">
        <v>46182</v>
      </c>
      <c r="BD179" s="227">
        <v>46182</v>
      </c>
      <c r="BE179" s="235" t="s">
        <v>4435</v>
      </c>
      <c r="BF179" s="236" t="s">
        <v>4436</v>
      </c>
      <c r="BG179" s="237" t="s">
        <v>4425</v>
      </c>
      <c r="BH179" s="321">
        <f t="shared" si="13"/>
        <v>70</v>
      </c>
      <c r="BI179" s="98" t="str">
        <f t="shared" si="14"/>
        <v>INDENIZAÇÃO</v>
      </c>
      <c r="BJ179" s="98" t="str">
        <f t="shared" si="15"/>
        <v>NÃO</v>
      </c>
      <c r="BK179" s="238" t="s">
        <v>4437</v>
      </c>
      <c r="BL179" s="238" t="s">
        <v>4437</v>
      </c>
      <c r="BM179" s="238" t="s">
        <v>4437</v>
      </c>
      <c r="BN179" s="207" t="s">
        <v>4425</v>
      </c>
      <c r="BO179" s="207" t="s">
        <v>4425</v>
      </c>
      <c r="BP179" s="202">
        <v>46224</v>
      </c>
      <c r="BQ179" s="207" t="s">
        <v>4425</v>
      </c>
      <c r="BR179" s="232" t="s">
        <v>4435</v>
      </c>
      <c r="BS179" s="223"/>
      <c r="BU179" s="161"/>
      <c r="BV179" s="161"/>
      <c r="BW179" s="161"/>
      <c r="BX179" s="161"/>
      <c r="BY179" s="161"/>
      <c r="BZ179" s="161"/>
      <c r="CA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  <c r="DA179" s="161"/>
      <c r="DB179" s="161"/>
      <c r="DC179" s="161"/>
      <c r="DD179" s="161"/>
      <c r="DE179" s="161"/>
      <c r="DF179" s="161"/>
      <c r="DG179" s="161"/>
      <c r="DH179" s="161"/>
    </row>
    <row r="180" spans="1:112" s="240" customFormat="1" ht="27" customHeight="1">
      <c r="A180" s="197">
        <v>176</v>
      </c>
      <c r="B180" s="197" t="s">
        <v>4396</v>
      </c>
      <c r="C180" s="207" t="s">
        <v>4413</v>
      </c>
      <c r="D180" s="207">
        <v>1</v>
      </c>
      <c r="E180" s="207" t="s">
        <v>4398</v>
      </c>
      <c r="F180" s="214" t="s">
        <v>5198</v>
      </c>
      <c r="G180" s="207" t="s">
        <v>4400</v>
      </c>
      <c r="H180" s="207" t="s">
        <v>4401</v>
      </c>
      <c r="I180" s="160" t="s">
        <v>4402</v>
      </c>
      <c r="J180" s="215" t="s">
        <v>5199</v>
      </c>
      <c r="K180" s="215" t="s">
        <v>5200</v>
      </c>
      <c r="L180" s="215" t="s">
        <v>5201</v>
      </c>
      <c r="M180" s="207" t="s">
        <v>4405</v>
      </c>
      <c r="N180" s="207" t="s">
        <v>4442</v>
      </c>
      <c r="O180" s="202" t="s">
        <v>4409</v>
      </c>
      <c r="P180" s="202" t="s">
        <v>4409</v>
      </c>
      <c r="Q180" s="202" t="s">
        <v>4409</v>
      </c>
      <c r="R180" s="202" t="s">
        <v>4409</v>
      </c>
      <c r="S180" s="202" t="s">
        <v>4409</v>
      </c>
      <c r="T180" s="202" t="s">
        <v>4409</v>
      </c>
      <c r="U180" s="202" t="s">
        <v>4409</v>
      </c>
      <c r="V180" s="202" t="s">
        <v>4409</v>
      </c>
      <c r="W180" s="202" t="s">
        <v>4409</v>
      </c>
      <c r="X180" s="202" t="s">
        <v>4409</v>
      </c>
      <c r="Y180" s="202"/>
      <c r="Z180" s="202"/>
      <c r="AA180" s="215" t="s">
        <v>5199</v>
      </c>
      <c r="AB180" s="215" t="s">
        <v>5200</v>
      </c>
      <c r="AC180" s="215" t="s">
        <v>5201</v>
      </c>
      <c r="AD180" s="207" t="s">
        <v>4402</v>
      </c>
      <c r="AE180" s="207" t="s">
        <v>4405</v>
      </c>
      <c r="AF180" s="218">
        <v>100153.32</v>
      </c>
      <c r="AG180" s="218">
        <v>100153.32</v>
      </c>
      <c r="AH180" s="207" t="s">
        <v>4422</v>
      </c>
      <c r="AI180" s="214" t="s">
        <v>4411</v>
      </c>
      <c r="AJ180" s="207">
        <v>153001805</v>
      </c>
      <c r="AK180" s="316">
        <v>46112</v>
      </c>
      <c r="AL180" s="316">
        <v>46112</v>
      </c>
      <c r="AM180" s="316">
        <v>46112</v>
      </c>
      <c r="AN180" s="316">
        <v>46112</v>
      </c>
      <c r="AO180" s="316">
        <v>46112</v>
      </c>
      <c r="AP180" s="316">
        <v>46112</v>
      </c>
      <c r="AQ180" s="314"/>
      <c r="AR180" s="315" t="str">
        <f t="shared" si="12"/>
        <v>FINALIZADO</v>
      </c>
      <c r="AS180" s="207" t="s">
        <v>4423</v>
      </c>
      <c r="AT180" s="207"/>
      <c r="AU180" s="220" t="s">
        <v>5202</v>
      </c>
      <c r="AV180" s="207" t="s">
        <v>4425</v>
      </c>
      <c r="AW180" s="207" t="s">
        <v>4425</v>
      </c>
      <c r="AX180" s="250" t="s">
        <v>4425</v>
      </c>
      <c r="AY180" s="207" t="s">
        <v>4425</v>
      </c>
      <c r="AZ180" s="202">
        <v>46150</v>
      </c>
      <c r="BA180" s="207" t="s">
        <v>4425</v>
      </c>
      <c r="BB180" s="207" t="s">
        <v>4425</v>
      </c>
      <c r="BC180" s="202">
        <v>46160</v>
      </c>
      <c r="BD180" s="227">
        <v>46160</v>
      </c>
      <c r="BE180" s="227" t="s">
        <v>4435</v>
      </c>
      <c r="BF180" s="228" t="s">
        <v>4436</v>
      </c>
      <c r="BG180" s="219" t="s">
        <v>4425</v>
      </c>
      <c r="BH180" s="321">
        <f t="shared" si="13"/>
        <v>48</v>
      </c>
      <c r="BI180" s="98" t="str">
        <f t="shared" si="14"/>
        <v>INDENIZAÇÃO</v>
      </c>
      <c r="BJ180" s="98" t="str">
        <f t="shared" si="15"/>
        <v>NÃO</v>
      </c>
      <c r="BK180" s="219" t="s">
        <v>4437</v>
      </c>
      <c r="BL180" s="219" t="s">
        <v>4437</v>
      </c>
      <c r="BM180" s="219" t="s">
        <v>4437</v>
      </c>
      <c r="BN180" s="219" t="s">
        <v>4425</v>
      </c>
      <c r="BO180" s="219" t="s">
        <v>4425</v>
      </c>
      <c r="BP180" s="202">
        <v>46195</v>
      </c>
      <c r="BQ180" s="219" t="s">
        <v>4425</v>
      </c>
      <c r="BR180" s="232" t="s">
        <v>4435</v>
      </c>
      <c r="BS180" s="161"/>
      <c r="BT180" s="161"/>
      <c r="BU180" s="161"/>
      <c r="BV180" s="161"/>
      <c r="BW180" s="161"/>
      <c r="BX180" s="161"/>
      <c r="BY180" s="161"/>
      <c r="BZ180" s="161"/>
      <c r="CA180" s="161"/>
      <c r="CB180" s="161"/>
      <c r="CC180" s="161"/>
      <c r="CD180" s="161"/>
      <c r="CE180" s="16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61"/>
      <c r="CQ180" s="161"/>
      <c r="CR180" s="161"/>
      <c r="CS180" s="161"/>
      <c r="CT180" s="161"/>
      <c r="CU180" s="161"/>
      <c r="CV180" s="161"/>
      <c r="CW180" s="161"/>
      <c r="CX180" s="161"/>
      <c r="CY180" s="161"/>
      <c r="CZ180" s="161"/>
      <c r="DA180" s="161"/>
      <c r="DB180" s="161"/>
      <c r="DC180" s="161"/>
      <c r="DD180" s="161"/>
      <c r="DE180" s="161"/>
      <c r="DF180" s="161"/>
      <c r="DG180" s="161"/>
      <c r="DH180" s="161"/>
    </row>
    <row r="181" spans="1:112" s="240" customFormat="1" ht="27" customHeight="1">
      <c r="A181" s="207">
        <v>177</v>
      </c>
      <c r="B181" s="197" t="s">
        <v>4396</v>
      </c>
      <c r="C181" s="207" t="s">
        <v>4413</v>
      </c>
      <c r="D181" s="207">
        <v>1</v>
      </c>
      <c r="E181" s="207" t="s">
        <v>4398</v>
      </c>
      <c r="F181" s="214" t="s">
        <v>5203</v>
      </c>
      <c r="G181" s="207" t="s">
        <v>4400</v>
      </c>
      <c r="H181" s="207" t="s">
        <v>4401</v>
      </c>
      <c r="I181" s="207" t="s">
        <v>4402</v>
      </c>
      <c r="J181" s="215" t="s">
        <v>5204</v>
      </c>
      <c r="K181" s="215" t="s">
        <v>5205</v>
      </c>
      <c r="L181" s="215" t="s">
        <v>5206</v>
      </c>
      <c r="M181" s="207" t="s">
        <v>4405</v>
      </c>
      <c r="N181" s="207" t="s">
        <v>4442</v>
      </c>
      <c r="O181" s="202" t="s">
        <v>4409</v>
      </c>
      <c r="P181" s="202" t="s">
        <v>4409</v>
      </c>
      <c r="Q181" s="202" t="s">
        <v>4409</v>
      </c>
      <c r="R181" s="202" t="s">
        <v>4409</v>
      </c>
      <c r="S181" s="202" t="s">
        <v>4409</v>
      </c>
      <c r="T181" s="202" t="s">
        <v>4409</v>
      </c>
      <c r="U181" s="202" t="s">
        <v>4409</v>
      </c>
      <c r="V181" s="202" t="s">
        <v>4409</v>
      </c>
      <c r="W181" s="202" t="s">
        <v>4409</v>
      </c>
      <c r="X181" s="202" t="s">
        <v>4409</v>
      </c>
      <c r="Y181" s="202"/>
      <c r="Z181" s="202"/>
      <c r="AA181" s="215" t="s">
        <v>5204</v>
      </c>
      <c r="AB181" s="215" t="s">
        <v>5205</v>
      </c>
      <c r="AC181" s="215" t="s">
        <v>5206</v>
      </c>
      <c r="AD181" s="207" t="s">
        <v>4402</v>
      </c>
      <c r="AE181" s="207" t="s">
        <v>4405</v>
      </c>
      <c r="AF181" s="218">
        <v>91984.02</v>
      </c>
      <c r="AG181" s="218">
        <v>91984.02</v>
      </c>
      <c r="AH181" s="207" t="s">
        <v>4422</v>
      </c>
      <c r="AI181" s="214" t="s">
        <v>4411</v>
      </c>
      <c r="AJ181" s="207">
        <v>153001878</v>
      </c>
      <c r="AK181" s="316">
        <v>46112</v>
      </c>
      <c r="AL181" s="316">
        <v>46112</v>
      </c>
      <c r="AM181" s="316">
        <v>46112</v>
      </c>
      <c r="AN181" s="316">
        <v>46112</v>
      </c>
      <c r="AO181" s="316">
        <v>46112</v>
      </c>
      <c r="AP181" s="316">
        <v>46112</v>
      </c>
      <c r="AQ181" s="314"/>
      <c r="AR181" s="315" t="str">
        <f t="shared" si="12"/>
        <v>FINALIZADO</v>
      </c>
      <c r="AS181" s="207" t="s">
        <v>4423</v>
      </c>
      <c r="AT181" s="207"/>
      <c r="AU181" s="220" t="s">
        <v>5207</v>
      </c>
      <c r="AV181" s="207" t="s">
        <v>4425</v>
      </c>
      <c r="AW181" s="207" t="s">
        <v>4425</v>
      </c>
      <c r="AX181" s="250" t="s">
        <v>4425</v>
      </c>
      <c r="AY181" s="207" t="s">
        <v>4425</v>
      </c>
      <c r="AZ181" s="202">
        <v>46150</v>
      </c>
      <c r="BA181" s="207" t="s">
        <v>4425</v>
      </c>
      <c r="BB181" s="207" t="s">
        <v>4425</v>
      </c>
      <c r="BC181" s="202">
        <v>46160</v>
      </c>
      <c r="BD181" s="227">
        <v>46160</v>
      </c>
      <c r="BE181" s="227" t="s">
        <v>4435</v>
      </c>
      <c r="BF181" s="228" t="s">
        <v>4436</v>
      </c>
      <c r="BG181" s="219" t="s">
        <v>4425</v>
      </c>
      <c r="BH181" s="321">
        <f t="shared" si="13"/>
        <v>48</v>
      </c>
      <c r="BI181" s="98" t="str">
        <f t="shared" si="14"/>
        <v>INDENIZAÇÃO</v>
      </c>
      <c r="BJ181" s="98" t="str">
        <f t="shared" si="15"/>
        <v>NÃO</v>
      </c>
      <c r="BK181" s="219" t="s">
        <v>4437</v>
      </c>
      <c r="BL181" s="219" t="s">
        <v>4437</v>
      </c>
      <c r="BM181" s="219" t="s">
        <v>4437</v>
      </c>
      <c r="BN181" s="219" t="s">
        <v>4425</v>
      </c>
      <c r="BO181" s="219" t="s">
        <v>4425</v>
      </c>
      <c r="BP181" s="202">
        <v>46195</v>
      </c>
      <c r="BQ181" s="219" t="s">
        <v>4425</v>
      </c>
      <c r="BR181" s="232" t="s">
        <v>4435</v>
      </c>
    </row>
    <row r="182" spans="1:112" s="240" customFormat="1" ht="27" customHeight="1">
      <c r="A182" s="207">
        <v>178</v>
      </c>
      <c r="B182" s="197" t="s">
        <v>4396</v>
      </c>
      <c r="C182" s="207" t="s">
        <v>4413</v>
      </c>
      <c r="D182" s="207">
        <v>1</v>
      </c>
      <c r="E182" s="207" t="s">
        <v>4398</v>
      </c>
      <c r="F182" s="214" t="s">
        <v>5208</v>
      </c>
      <c r="G182" s="207" t="s">
        <v>4400</v>
      </c>
      <c r="H182" s="207" t="s">
        <v>4401</v>
      </c>
      <c r="I182" s="207" t="s">
        <v>4402</v>
      </c>
      <c r="J182" s="215" t="s">
        <v>5209</v>
      </c>
      <c r="K182" s="215" t="s">
        <v>5210</v>
      </c>
      <c r="L182" s="215" t="s">
        <v>5211</v>
      </c>
      <c r="M182" s="207" t="s">
        <v>4405</v>
      </c>
      <c r="N182" s="207" t="s">
        <v>4442</v>
      </c>
      <c r="O182" s="202" t="s">
        <v>4409</v>
      </c>
      <c r="P182" s="202" t="s">
        <v>4409</v>
      </c>
      <c r="Q182" s="202" t="s">
        <v>4409</v>
      </c>
      <c r="R182" s="202" t="s">
        <v>4409</v>
      </c>
      <c r="S182" s="202" t="s">
        <v>4409</v>
      </c>
      <c r="T182" s="202" t="s">
        <v>4409</v>
      </c>
      <c r="U182" s="202" t="s">
        <v>4409</v>
      </c>
      <c r="V182" s="202" t="s">
        <v>4409</v>
      </c>
      <c r="W182" s="202" t="s">
        <v>4409</v>
      </c>
      <c r="X182" s="202" t="s">
        <v>4409</v>
      </c>
      <c r="Y182" s="202"/>
      <c r="Z182" s="202"/>
      <c r="AA182" s="215" t="s">
        <v>5209</v>
      </c>
      <c r="AB182" s="215" t="s">
        <v>5210</v>
      </c>
      <c r="AC182" s="215" t="s">
        <v>5211</v>
      </c>
      <c r="AD182" s="207" t="s">
        <v>4402</v>
      </c>
      <c r="AE182" s="207" t="s">
        <v>4405</v>
      </c>
      <c r="AF182" s="218">
        <v>177755.43</v>
      </c>
      <c r="AG182" s="218">
        <v>177755.43</v>
      </c>
      <c r="AH182" s="207" t="s">
        <v>4422</v>
      </c>
      <c r="AI182" s="214" t="s">
        <v>4411</v>
      </c>
      <c r="AJ182" s="207">
        <v>153001950</v>
      </c>
      <c r="AK182" s="316">
        <v>46112</v>
      </c>
      <c r="AL182" s="316">
        <v>46112</v>
      </c>
      <c r="AM182" s="316">
        <v>46112</v>
      </c>
      <c r="AN182" s="316">
        <v>46112</v>
      </c>
      <c r="AO182" s="316">
        <v>46112</v>
      </c>
      <c r="AP182" s="316">
        <v>46112</v>
      </c>
      <c r="AQ182" s="314"/>
      <c r="AR182" s="315" t="str">
        <f t="shared" si="12"/>
        <v>FINALIZADO</v>
      </c>
      <c r="AS182" s="207" t="s">
        <v>4423</v>
      </c>
      <c r="AT182" s="207"/>
      <c r="AU182" s="220" t="s">
        <v>5212</v>
      </c>
      <c r="AV182" s="207" t="s">
        <v>4425</v>
      </c>
      <c r="AW182" s="207" t="s">
        <v>4425</v>
      </c>
      <c r="AX182" s="250" t="s">
        <v>4425</v>
      </c>
      <c r="AY182" s="207" t="s">
        <v>4425</v>
      </c>
      <c r="AZ182" s="202">
        <v>46153</v>
      </c>
      <c r="BA182" s="207" t="s">
        <v>4425</v>
      </c>
      <c r="BB182" s="207" t="s">
        <v>4425</v>
      </c>
      <c r="BC182" s="202">
        <v>46160</v>
      </c>
      <c r="BD182" s="227">
        <v>46160</v>
      </c>
      <c r="BE182" s="227" t="s">
        <v>4435</v>
      </c>
      <c r="BF182" s="228" t="s">
        <v>4436</v>
      </c>
      <c r="BG182" s="219" t="s">
        <v>4425</v>
      </c>
      <c r="BH182" s="321">
        <f t="shared" si="13"/>
        <v>48</v>
      </c>
      <c r="BI182" s="98" t="str">
        <f t="shared" si="14"/>
        <v>INDENIZAÇÃO</v>
      </c>
      <c r="BJ182" s="98" t="str">
        <f t="shared" si="15"/>
        <v>NÃO</v>
      </c>
      <c r="BK182" s="219" t="s">
        <v>4437</v>
      </c>
      <c r="BL182" s="219" t="s">
        <v>4437</v>
      </c>
      <c r="BM182" s="219" t="s">
        <v>4437</v>
      </c>
      <c r="BN182" s="219" t="s">
        <v>4425</v>
      </c>
      <c r="BO182" s="219" t="s">
        <v>4425</v>
      </c>
      <c r="BP182" s="202">
        <v>46195</v>
      </c>
      <c r="BQ182" s="219" t="s">
        <v>4425</v>
      </c>
      <c r="BR182" s="232" t="s">
        <v>4435</v>
      </c>
    </row>
    <row r="183" spans="1:112" s="240" customFormat="1" ht="27" customHeight="1">
      <c r="A183" s="207">
        <v>179</v>
      </c>
      <c r="B183" s="197" t="s">
        <v>4396</v>
      </c>
      <c r="C183" s="207" t="s">
        <v>4413</v>
      </c>
      <c r="D183" s="207">
        <v>1</v>
      </c>
      <c r="E183" s="250" t="s">
        <v>4398</v>
      </c>
      <c r="F183" s="214" t="s">
        <v>5213</v>
      </c>
      <c r="G183" s="207" t="s">
        <v>4400</v>
      </c>
      <c r="H183" s="207" t="s">
        <v>4401</v>
      </c>
      <c r="I183" s="207" t="s">
        <v>4402</v>
      </c>
      <c r="J183" s="215" t="s">
        <v>5214</v>
      </c>
      <c r="K183" s="215" t="s">
        <v>5215</v>
      </c>
      <c r="L183" s="215" t="s">
        <v>5216</v>
      </c>
      <c r="M183" s="207" t="s">
        <v>4405</v>
      </c>
      <c r="N183" s="207" t="s">
        <v>4432</v>
      </c>
      <c r="O183" s="202" t="s">
        <v>4409</v>
      </c>
      <c r="P183" s="202" t="s">
        <v>4409</v>
      </c>
      <c r="Q183" s="202" t="s">
        <v>4409</v>
      </c>
      <c r="R183" s="202" t="s">
        <v>4409</v>
      </c>
      <c r="S183" s="202" t="s">
        <v>4409</v>
      </c>
      <c r="T183" s="202" t="s">
        <v>4409</v>
      </c>
      <c r="U183" s="202" t="s">
        <v>4409</v>
      </c>
      <c r="V183" s="202" t="s">
        <v>4409</v>
      </c>
      <c r="W183" s="202" t="s">
        <v>4409</v>
      </c>
      <c r="X183" s="202" t="s">
        <v>4409</v>
      </c>
      <c r="Y183" s="202"/>
      <c r="Z183" s="202"/>
      <c r="AA183" s="215" t="s">
        <v>5214</v>
      </c>
      <c r="AB183" s="215" t="s">
        <v>5215</v>
      </c>
      <c r="AC183" s="215" t="s">
        <v>5216</v>
      </c>
      <c r="AD183" s="207" t="s">
        <v>5217</v>
      </c>
      <c r="AE183" s="207" t="s">
        <v>4405</v>
      </c>
      <c r="AF183" s="218">
        <v>53046.34</v>
      </c>
      <c r="AG183" s="218">
        <v>60000</v>
      </c>
      <c r="AH183" s="207" t="s">
        <v>4433</v>
      </c>
      <c r="AI183" s="214" t="s">
        <v>4411</v>
      </c>
      <c r="AJ183" s="207">
        <v>159894245</v>
      </c>
      <c r="AK183" s="316">
        <v>46206</v>
      </c>
      <c r="AL183" s="316">
        <v>46206</v>
      </c>
      <c r="AM183" s="316">
        <v>46206</v>
      </c>
      <c r="AN183" s="316">
        <v>46206</v>
      </c>
      <c r="AO183" s="316">
        <v>46206</v>
      </c>
      <c r="AP183" s="316">
        <v>46206</v>
      </c>
      <c r="AQ183" s="314"/>
      <c r="AR183" s="315" t="str">
        <f t="shared" si="12"/>
        <v>FINALIZADO</v>
      </c>
      <c r="AS183" s="207" t="s">
        <v>4423</v>
      </c>
      <c r="AT183" s="207"/>
      <c r="AU183" s="220" t="s">
        <v>5218</v>
      </c>
      <c r="AV183" s="219" t="s">
        <v>4425</v>
      </c>
      <c r="AW183" s="207" t="s">
        <v>4425</v>
      </c>
      <c r="AX183" s="257" t="s">
        <v>4828</v>
      </c>
      <c r="AY183" s="245"/>
      <c r="AZ183" s="227"/>
      <c r="BA183" s="228"/>
      <c r="BB183" s="268"/>
      <c r="BC183" s="227"/>
      <c r="BD183" s="226"/>
      <c r="BE183" s="227"/>
      <c r="BF183" s="228" t="s">
        <v>4400</v>
      </c>
      <c r="BG183" s="219"/>
      <c r="BH183" s="321" t="str">
        <f t="shared" si="13"/>
        <v/>
      </c>
      <c r="BI183" s="98" t="str">
        <f t="shared" si="14"/>
        <v>INDENIZAÇÃO</v>
      </c>
      <c r="BJ183" s="98" t="str">
        <f t="shared" si="15"/>
        <v>NÃO</v>
      </c>
      <c r="BK183" s="219"/>
      <c r="BL183" s="219"/>
      <c r="BM183" s="219"/>
      <c r="BN183" s="257"/>
      <c r="BO183" s="257"/>
      <c r="BP183" s="257"/>
      <c r="BQ183" s="257"/>
      <c r="BR183" s="258"/>
    </row>
    <row r="184" spans="1:112" s="240" customFormat="1" ht="27" customHeight="1">
      <c r="A184" s="197">
        <v>180</v>
      </c>
      <c r="B184" s="197" t="s">
        <v>4396</v>
      </c>
      <c r="C184" s="207" t="s">
        <v>4413</v>
      </c>
      <c r="D184" s="207">
        <v>1</v>
      </c>
      <c r="E184" s="207" t="s">
        <v>4398</v>
      </c>
      <c r="F184" s="214" t="s">
        <v>5219</v>
      </c>
      <c r="G184" s="207" t="s">
        <v>4400</v>
      </c>
      <c r="H184" s="207" t="s">
        <v>4401</v>
      </c>
      <c r="I184" s="207" t="s">
        <v>4402</v>
      </c>
      <c r="J184" s="215" t="s">
        <v>5220</v>
      </c>
      <c r="K184" s="215" t="s">
        <v>4440</v>
      </c>
      <c r="L184" s="215" t="s">
        <v>5221</v>
      </c>
      <c r="M184" s="207" t="s">
        <v>4405</v>
      </c>
      <c r="N184" s="207" t="s">
        <v>4442</v>
      </c>
      <c r="O184" s="202" t="s">
        <v>4409</v>
      </c>
      <c r="P184" s="202" t="s">
        <v>4409</v>
      </c>
      <c r="Q184" s="202" t="s">
        <v>4409</v>
      </c>
      <c r="R184" s="202" t="s">
        <v>4409</v>
      </c>
      <c r="S184" s="202" t="s">
        <v>4409</v>
      </c>
      <c r="T184" s="202" t="s">
        <v>4409</v>
      </c>
      <c r="U184" s="202" t="s">
        <v>4409</v>
      </c>
      <c r="V184" s="202" t="s">
        <v>4409</v>
      </c>
      <c r="W184" s="202" t="s">
        <v>4409</v>
      </c>
      <c r="X184" s="202" t="s">
        <v>4409</v>
      </c>
      <c r="Y184" s="202"/>
      <c r="Z184" s="202"/>
      <c r="AA184" s="215" t="s">
        <v>5220</v>
      </c>
      <c r="AB184" s="215" t="s">
        <v>4440</v>
      </c>
      <c r="AC184" s="215" t="s">
        <v>5221</v>
      </c>
      <c r="AD184" s="207" t="s">
        <v>4402</v>
      </c>
      <c r="AE184" s="207" t="s">
        <v>4405</v>
      </c>
      <c r="AF184" s="218">
        <v>4719.9399999999996</v>
      </c>
      <c r="AG184" s="218">
        <v>34719.94</v>
      </c>
      <c r="AH184" s="207" t="s">
        <v>4422</v>
      </c>
      <c r="AI184" s="214" t="s">
        <v>4411</v>
      </c>
      <c r="AJ184" s="207">
        <v>152696620</v>
      </c>
      <c r="AK184" s="316">
        <v>46188</v>
      </c>
      <c r="AL184" s="316">
        <v>46188</v>
      </c>
      <c r="AM184" s="316">
        <v>46188</v>
      </c>
      <c r="AN184" s="316">
        <v>46188</v>
      </c>
      <c r="AO184" s="316">
        <v>46188</v>
      </c>
      <c r="AP184" s="316">
        <v>46188</v>
      </c>
      <c r="AQ184" s="314"/>
      <c r="AR184" s="315" t="str">
        <f t="shared" si="12"/>
        <v>FINALIZADO</v>
      </c>
      <c r="AS184" s="207" t="s">
        <v>4423</v>
      </c>
      <c r="AT184" s="219"/>
      <c r="AU184" s="220" t="s">
        <v>5222</v>
      </c>
      <c r="AV184" s="197" t="s">
        <v>4818</v>
      </c>
      <c r="AW184" s="207" t="s">
        <v>4818</v>
      </c>
      <c r="AX184" s="207" t="s">
        <v>4818</v>
      </c>
      <c r="AY184" s="207" t="s">
        <v>4818</v>
      </c>
      <c r="AZ184" s="202">
        <v>46233</v>
      </c>
      <c r="BA184" s="207" t="s">
        <v>4818</v>
      </c>
      <c r="BB184" s="207" t="s">
        <v>4818</v>
      </c>
      <c r="BC184" s="202">
        <v>46237</v>
      </c>
      <c r="BD184" s="226">
        <v>46237</v>
      </c>
      <c r="BE184" s="257" t="s">
        <v>4435</v>
      </c>
      <c r="BF184" s="257" t="s">
        <v>4436</v>
      </c>
      <c r="BG184" s="219" t="s">
        <v>4425</v>
      </c>
      <c r="BH184" s="321">
        <f t="shared" si="13"/>
        <v>49</v>
      </c>
      <c r="BI184" s="98" t="str">
        <f t="shared" si="14"/>
        <v>INDENIZAÇÃO</v>
      </c>
      <c r="BJ184" s="98" t="str">
        <f t="shared" si="15"/>
        <v>NÃO</v>
      </c>
      <c r="BK184" s="219" t="s">
        <v>4437</v>
      </c>
      <c r="BL184" s="219" t="s">
        <v>4437</v>
      </c>
      <c r="BM184" s="219" t="s">
        <v>4437</v>
      </c>
      <c r="BN184" s="250" t="s">
        <v>4425</v>
      </c>
      <c r="BO184" s="250" t="s">
        <v>4425</v>
      </c>
      <c r="BP184" s="202">
        <v>46269</v>
      </c>
      <c r="BQ184" s="257" t="s">
        <v>4819</v>
      </c>
      <c r="BR184" s="258"/>
      <c r="BS184" s="223"/>
    </row>
    <row r="185" spans="1:112" s="240" customFormat="1" ht="27" customHeight="1">
      <c r="A185" s="197">
        <v>181</v>
      </c>
      <c r="B185" s="197" t="s">
        <v>4396</v>
      </c>
      <c r="C185" s="207" t="s">
        <v>4413</v>
      </c>
      <c r="D185" s="207">
        <v>1</v>
      </c>
      <c r="E185" s="207" t="s">
        <v>4398</v>
      </c>
      <c r="F185" s="214" t="s">
        <v>5223</v>
      </c>
      <c r="G185" s="207" t="s">
        <v>4400</v>
      </c>
      <c r="H185" s="207" t="s">
        <v>4401</v>
      </c>
      <c r="I185" s="207" t="s">
        <v>4402</v>
      </c>
      <c r="J185" s="215" t="s">
        <v>5224</v>
      </c>
      <c r="K185" s="215" t="s">
        <v>5225</v>
      </c>
      <c r="L185" s="215" t="s">
        <v>5226</v>
      </c>
      <c r="M185" s="207" t="s">
        <v>4405</v>
      </c>
      <c r="N185" s="207" t="s">
        <v>4406</v>
      </c>
      <c r="O185" s="202">
        <v>46126</v>
      </c>
      <c r="P185" s="202" t="s">
        <v>4407</v>
      </c>
      <c r="Q185" s="203">
        <v>46126</v>
      </c>
      <c r="R185" s="203">
        <v>46126</v>
      </c>
      <c r="S185" s="203">
        <v>46136</v>
      </c>
      <c r="T185" s="203">
        <v>46140</v>
      </c>
      <c r="U185" s="203" t="s">
        <v>4408</v>
      </c>
      <c r="V185" s="203" t="s">
        <v>4408</v>
      </c>
      <c r="W185" s="202">
        <v>46153</v>
      </c>
      <c r="X185" s="203">
        <v>46155</v>
      </c>
      <c r="Y185" s="203"/>
      <c r="Z185" s="219"/>
      <c r="AA185" s="215" t="s">
        <v>5224</v>
      </c>
      <c r="AB185" s="215" t="s">
        <v>5225</v>
      </c>
      <c r="AC185" s="215" t="s">
        <v>5226</v>
      </c>
      <c r="AD185" s="233" t="s">
        <v>4402</v>
      </c>
      <c r="AE185" s="219" t="s">
        <v>4405</v>
      </c>
      <c r="AF185" s="218" t="s">
        <v>4409</v>
      </c>
      <c r="AG185" s="218" t="s">
        <v>4409</v>
      </c>
      <c r="AH185" s="207" t="s">
        <v>4410</v>
      </c>
      <c r="AI185" s="214" t="s">
        <v>4411</v>
      </c>
      <c r="AJ185" s="207"/>
      <c r="AK185" s="317">
        <v>46134</v>
      </c>
      <c r="AL185" s="317">
        <v>46134</v>
      </c>
      <c r="AM185" s="317">
        <v>46134</v>
      </c>
      <c r="AN185" s="317">
        <v>46134</v>
      </c>
      <c r="AO185" s="317">
        <v>46134</v>
      </c>
      <c r="AP185" s="317">
        <v>46134</v>
      </c>
      <c r="AQ185" s="314"/>
      <c r="AR185" s="315" t="str">
        <f t="shared" si="12"/>
        <v>FINALIZADO</v>
      </c>
      <c r="AS185" s="207"/>
      <c r="AT185" s="219"/>
      <c r="AU185" s="220"/>
      <c r="AV185" s="207"/>
      <c r="AW185" s="207"/>
      <c r="AX185" s="228"/>
      <c r="AY185" s="219"/>
      <c r="AZ185" s="219"/>
      <c r="BA185" s="219"/>
      <c r="BB185" s="219"/>
      <c r="BC185" s="219"/>
      <c r="BD185" s="208"/>
      <c r="BE185" s="203"/>
      <c r="BF185" s="219"/>
      <c r="BG185" s="219"/>
      <c r="BH185" s="321" t="str">
        <f t="shared" si="13"/>
        <v/>
      </c>
      <c r="BI185" s="98" t="str">
        <f t="shared" si="14"/>
        <v>AA</v>
      </c>
      <c r="BJ185" s="98" t="str">
        <f t="shared" si="15"/>
        <v>NÃO</v>
      </c>
      <c r="BK185" s="219"/>
      <c r="BL185" s="221"/>
      <c r="BM185" s="221"/>
      <c r="BN185" s="219"/>
      <c r="BO185" s="219"/>
      <c r="BP185" s="219"/>
      <c r="BQ185" s="219"/>
      <c r="BR185" s="222"/>
    </row>
    <row r="186" spans="1:112" s="240" customFormat="1" ht="27" customHeight="1">
      <c r="A186" s="207">
        <v>182</v>
      </c>
      <c r="B186" s="197" t="s">
        <v>4396</v>
      </c>
      <c r="C186" s="207" t="s">
        <v>4413</v>
      </c>
      <c r="D186" s="207">
        <v>1</v>
      </c>
      <c r="E186" s="207" t="s">
        <v>4398</v>
      </c>
      <c r="F186" s="214" t="s">
        <v>5227</v>
      </c>
      <c r="G186" s="207" t="s">
        <v>4400</v>
      </c>
      <c r="H186" s="207" t="s">
        <v>4401</v>
      </c>
      <c r="I186" s="207" t="s">
        <v>4402</v>
      </c>
      <c r="J186" s="215" t="s">
        <v>5228</v>
      </c>
      <c r="K186" s="215" t="s">
        <v>5229</v>
      </c>
      <c r="L186" s="215" t="s">
        <v>5230</v>
      </c>
      <c r="M186" s="207" t="s">
        <v>4405</v>
      </c>
      <c r="N186" s="207" t="s">
        <v>4406</v>
      </c>
      <c r="O186" s="202">
        <v>46126</v>
      </c>
      <c r="P186" s="202" t="s">
        <v>4407</v>
      </c>
      <c r="Q186" s="203">
        <v>46126</v>
      </c>
      <c r="R186" s="203">
        <v>46126</v>
      </c>
      <c r="S186" s="203">
        <v>46136</v>
      </c>
      <c r="T186" s="203">
        <v>46140</v>
      </c>
      <c r="U186" s="203" t="s">
        <v>4408</v>
      </c>
      <c r="V186" s="203" t="s">
        <v>4408</v>
      </c>
      <c r="W186" s="202">
        <v>46153</v>
      </c>
      <c r="X186" s="203">
        <v>46164</v>
      </c>
      <c r="Y186" s="203"/>
      <c r="Z186" s="219"/>
      <c r="AA186" s="215" t="s">
        <v>5228</v>
      </c>
      <c r="AB186" s="215" t="s">
        <v>5229</v>
      </c>
      <c r="AC186" s="215" t="s">
        <v>5230</v>
      </c>
      <c r="AD186" s="233" t="s">
        <v>4402</v>
      </c>
      <c r="AE186" s="219" t="s">
        <v>4405</v>
      </c>
      <c r="AF186" s="218" t="s">
        <v>4409</v>
      </c>
      <c r="AG186" s="218" t="s">
        <v>4409</v>
      </c>
      <c r="AH186" s="207" t="s">
        <v>4410</v>
      </c>
      <c r="AI186" s="214" t="s">
        <v>4411</v>
      </c>
      <c r="AJ186" s="207"/>
      <c r="AK186" s="317">
        <v>46134</v>
      </c>
      <c r="AL186" s="317">
        <v>46134</v>
      </c>
      <c r="AM186" s="317">
        <v>46134</v>
      </c>
      <c r="AN186" s="317">
        <v>46134</v>
      </c>
      <c r="AO186" s="317">
        <v>46134</v>
      </c>
      <c r="AP186" s="317">
        <v>46134</v>
      </c>
      <c r="AQ186" s="314"/>
      <c r="AR186" s="315" t="str">
        <f t="shared" si="12"/>
        <v>FINALIZADO</v>
      </c>
      <c r="AS186" s="207"/>
      <c r="AT186" s="219"/>
      <c r="AU186" s="220"/>
      <c r="AV186" s="207"/>
      <c r="AW186" s="207"/>
      <c r="AX186" s="228"/>
      <c r="AY186" s="219"/>
      <c r="AZ186" s="219"/>
      <c r="BA186" s="219"/>
      <c r="BB186" s="219"/>
      <c r="BC186" s="219"/>
      <c r="BD186" s="208"/>
      <c r="BE186" s="203"/>
      <c r="BF186" s="219"/>
      <c r="BG186" s="219"/>
      <c r="BH186" s="321" t="str">
        <f t="shared" si="13"/>
        <v/>
      </c>
      <c r="BI186" s="98" t="str">
        <f t="shared" si="14"/>
        <v>AA</v>
      </c>
      <c r="BJ186" s="98" t="str">
        <f t="shared" si="15"/>
        <v>NÃO</v>
      </c>
      <c r="BK186" s="219"/>
      <c r="BL186" s="221"/>
      <c r="BM186" s="221"/>
      <c r="BN186" s="219"/>
      <c r="BO186" s="219"/>
      <c r="BP186" s="219"/>
      <c r="BQ186" s="219"/>
      <c r="BR186" s="222"/>
      <c r="BS186" s="161"/>
      <c r="BT186" s="161"/>
      <c r="BU186" s="161"/>
      <c r="BV186" s="161"/>
      <c r="BW186" s="161"/>
      <c r="BX186" s="161"/>
      <c r="BY186" s="161"/>
      <c r="BZ186" s="161"/>
      <c r="CA186" s="161"/>
      <c r="CB186" s="161"/>
      <c r="CC186" s="161"/>
      <c r="CD186" s="161"/>
      <c r="CE186" s="16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61"/>
      <c r="CQ186" s="161"/>
      <c r="CR186" s="161"/>
      <c r="CS186" s="161"/>
      <c r="CT186" s="161"/>
      <c r="CU186" s="161"/>
      <c r="CV186" s="161"/>
      <c r="CW186" s="161"/>
      <c r="CX186" s="161"/>
      <c r="CY186" s="161"/>
      <c r="CZ186" s="161"/>
      <c r="DA186" s="161"/>
      <c r="DB186" s="161"/>
      <c r="DC186" s="161"/>
      <c r="DD186" s="161"/>
      <c r="DE186" s="161"/>
      <c r="DF186" s="161"/>
      <c r="DG186" s="161"/>
      <c r="DH186" s="161"/>
    </row>
    <row r="187" spans="1:112" s="240" customFormat="1" ht="27" customHeight="1">
      <c r="A187" s="207">
        <v>183</v>
      </c>
      <c r="B187" s="197" t="s">
        <v>4396</v>
      </c>
      <c r="C187" s="207" t="s">
        <v>4413</v>
      </c>
      <c r="D187" s="207">
        <v>1</v>
      </c>
      <c r="E187" s="207" t="s">
        <v>4398</v>
      </c>
      <c r="F187" s="214" t="s">
        <v>5231</v>
      </c>
      <c r="G187" s="207" t="s">
        <v>4400</v>
      </c>
      <c r="H187" s="207" t="s">
        <v>4401</v>
      </c>
      <c r="I187" s="207" t="s">
        <v>4402</v>
      </c>
      <c r="J187" s="215" t="s">
        <v>5232</v>
      </c>
      <c r="K187" s="215" t="s">
        <v>5233</v>
      </c>
      <c r="L187" s="215" t="s">
        <v>5234</v>
      </c>
      <c r="M187" s="207" t="s">
        <v>4405</v>
      </c>
      <c r="N187" s="207" t="s">
        <v>4406</v>
      </c>
      <c r="O187" s="202">
        <v>46126</v>
      </c>
      <c r="P187" s="202" t="s">
        <v>4407</v>
      </c>
      <c r="Q187" s="203">
        <v>46126</v>
      </c>
      <c r="R187" s="203">
        <v>46126</v>
      </c>
      <c r="S187" s="203">
        <v>46136</v>
      </c>
      <c r="T187" s="203">
        <v>46140</v>
      </c>
      <c r="U187" s="203" t="s">
        <v>4408</v>
      </c>
      <c r="V187" s="203" t="s">
        <v>4408</v>
      </c>
      <c r="W187" s="202">
        <v>46153</v>
      </c>
      <c r="X187" s="203"/>
      <c r="Y187" s="203"/>
      <c r="Z187" s="219"/>
      <c r="AA187" s="215" t="s">
        <v>5232</v>
      </c>
      <c r="AB187" s="215" t="s">
        <v>5233</v>
      </c>
      <c r="AC187" s="215" t="s">
        <v>5234</v>
      </c>
      <c r="AD187" s="233" t="s">
        <v>4402</v>
      </c>
      <c r="AE187" s="219" t="s">
        <v>4405</v>
      </c>
      <c r="AF187" s="218" t="s">
        <v>4409</v>
      </c>
      <c r="AG187" s="218" t="s">
        <v>4409</v>
      </c>
      <c r="AH187" s="207" t="s">
        <v>4410</v>
      </c>
      <c r="AI187" s="214" t="s">
        <v>4411</v>
      </c>
      <c r="AJ187" s="207"/>
      <c r="AK187" s="317">
        <v>46134</v>
      </c>
      <c r="AL187" s="317">
        <v>46134</v>
      </c>
      <c r="AM187" s="317">
        <v>46134</v>
      </c>
      <c r="AN187" s="317">
        <v>46134</v>
      </c>
      <c r="AO187" s="317">
        <v>46134</v>
      </c>
      <c r="AP187" s="317">
        <v>46134</v>
      </c>
      <c r="AQ187" s="314"/>
      <c r="AR187" s="315" t="str">
        <f t="shared" si="12"/>
        <v>FINALIZADO</v>
      </c>
      <c r="AS187" s="207"/>
      <c r="AT187" s="219"/>
      <c r="AU187" s="220"/>
      <c r="AV187" s="207"/>
      <c r="AW187" s="207"/>
      <c r="AX187" s="228"/>
      <c r="AY187" s="219"/>
      <c r="AZ187" s="219"/>
      <c r="BA187" s="219"/>
      <c r="BB187" s="219"/>
      <c r="BC187" s="219"/>
      <c r="BD187" s="208"/>
      <c r="BE187" s="203"/>
      <c r="BF187" s="219"/>
      <c r="BG187" s="219"/>
      <c r="BH187" s="321" t="str">
        <f t="shared" si="13"/>
        <v/>
      </c>
      <c r="BI187" s="98" t="str">
        <f t="shared" si="14"/>
        <v>AA</v>
      </c>
      <c r="BJ187" s="98" t="str">
        <f t="shared" si="15"/>
        <v>NÃO</v>
      </c>
      <c r="BK187" s="219"/>
      <c r="BL187" s="221"/>
      <c r="BM187" s="221"/>
      <c r="BN187" s="219"/>
      <c r="BO187" s="219"/>
      <c r="BP187" s="219"/>
      <c r="BQ187" s="219"/>
      <c r="BR187" s="222"/>
      <c r="BS187" s="161"/>
      <c r="BT187" s="161"/>
      <c r="BU187" s="161"/>
      <c r="BV187" s="161"/>
      <c r="BW187" s="161"/>
      <c r="BX187" s="161"/>
      <c r="BY187" s="161"/>
      <c r="BZ187" s="161"/>
      <c r="CA187" s="161"/>
      <c r="CB187" s="161"/>
      <c r="CC187" s="161"/>
      <c r="CD187" s="161"/>
      <c r="CE187" s="16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61"/>
      <c r="CQ187" s="161"/>
      <c r="CR187" s="161"/>
      <c r="CS187" s="161"/>
      <c r="CT187" s="161"/>
      <c r="CU187" s="161"/>
      <c r="CV187" s="161"/>
      <c r="CW187" s="161"/>
      <c r="CX187" s="161"/>
      <c r="CY187" s="161"/>
      <c r="CZ187" s="161"/>
      <c r="DA187" s="161"/>
      <c r="DB187" s="161"/>
      <c r="DC187" s="161"/>
      <c r="DD187" s="161"/>
      <c r="DE187" s="161"/>
      <c r="DF187" s="161"/>
      <c r="DG187" s="161"/>
      <c r="DH187" s="161"/>
    </row>
    <row r="188" spans="1:112" s="240" customFormat="1" ht="27" hidden="1" customHeight="1">
      <c r="A188" s="207">
        <v>184</v>
      </c>
      <c r="B188" s="197" t="s">
        <v>4396</v>
      </c>
      <c r="C188" s="207" t="s">
        <v>4453</v>
      </c>
      <c r="D188" s="207">
        <v>1</v>
      </c>
      <c r="E188" s="207" t="s">
        <v>4398</v>
      </c>
      <c r="F188" s="214" t="s">
        <v>5235</v>
      </c>
      <c r="G188" s="207" t="s">
        <v>4400</v>
      </c>
      <c r="H188" s="207" t="s">
        <v>4401</v>
      </c>
      <c r="I188" s="217" t="s">
        <v>4402</v>
      </c>
      <c r="J188" s="215" t="s">
        <v>5236</v>
      </c>
      <c r="K188" s="215" t="s">
        <v>5237</v>
      </c>
      <c r="L188" s="215" t="s">
        <v>5238</v>
      </c>
      <c r="M188" s="207" t="s">
        <v>4405</v>
      </c>
      <c r="N188" s="207" t="s">
        <v>4442</v>
      </c>
      <c r="O188" s="202" t="s">
        <v>4409</v>
      </c>
      <c r="P188" s="202" t="s">
        <v>4409</v>
      </c>
      <c r="Q188" s="202" t="s">
        <v>4409</v>
      </c>
      <c r="R188" s="202" t="s">
        <v>4409</v>
      </c>
      <c r="S188" s="202" t="s">
        <v>4409</v>
      </c>
      <c r="T188" s="202" t="s">
        <v>4409</v>
      </c>
      <c r="U188" s="202" t="s">
        <v>4409</v>
      </c>
      <c r="V188" s="202" t="s">
        <v>4409</v>
      </c>
      <c r="W188" s="202" t="s">
        <v>4409</v>
      </c>
      <c r="X188" s="202" t="s">
        <v>4409</v>
      </c>
      <c r="Y188" s="202"/>
      <c r="Z188" s="207"/>
      <c r="AA188" s="215" t="s">
        <v>5236</v>
      </c>
      <c r="AB188" s="214" t="s">
        <v>5237</v>
      </c>
      <c r="AC188" s="214" t="s">
        <v>5238</v>
      </c>
      <c r="AD188" s="241" t="s">
        <v>4402</v>
      </c>
      <c r="AE188" s="241" t="s">
        <v>4405</v>
      </c>
      <c r="AF188" s="218">
        <v>33245.97</v>
      </c>
      <c r="AG188" s="218">
        <v>60000</v>
      </c>
      <c r="AH188" s="207" t="s">
        <v>4433</v>
      </c>
      <c r="AI188" s="214" t="s">
        <v>4411</v>
      </c>
      <c r="AJ188" s="207">
        <v>146039820</v>
      </c>
      <c r="AK188" s="316">
        <v>45979</v>
      </c>
      <c r="AL188" s="316">
        <v>45979</v>
      </c>
      <c r="AM188" s="316">
        <v>45979</v>
      </c>
      <c r="AN188" s="316">
        <v>45979</v>
      </c>
      <c r="AO188" s="316">
        <v>45979</v>
      </c>
      <c r="AP188" s="316">
        <v>45979</v>
      </c>
      <c r="AQ188" s="314"/>
      <c r="AR188" s="315" t="str">
        <f t="shared" si="12"/>
        <v>FINALIZADO</v>
      </c>
      <c r="AS188" s="207" t="s">
        <v>4423</v>
      </c>
      <c r="AT188" s="207"/>
      <c r="AU188" s="220" t="s">
        <v>5239</v>
      </c>
      <c r="AV188" s="207" t="s">
        <v>4425</v>
      </c>
      <c r="AW188" s="207" t="s">
        <v>4425</v>
      </c>
      <c r="AX188" s="207" t="s">
        <v>4425</v>
      </c>
      <c r="AY188" s="207" t="s">
        <v>4425</v>
      </c>
      <c r="AZ188" s="202">
        <v>46014</v>
      </c>
      <c r="BA188" s="219" t="s">
        <v>4425</v>
      </c>
      <c r="BB188" s="207" t="s">
        <v>4425</v>
      </c>
      <c r="BC188" s="202">
        <v>46021</v>
      </c>
      <c r="BD188" s="227">
        <v>46021</v>
      </c>
      <c r="BE188" s="239">
        <v>46017</v>
      </c>
      <c r="BF188" s="207" t="s">
        <v>4412</v>
      </c>
      <c r="BG188" s="229" t="s">
        <v>4425</v>
      </c>
      <c r="BH188" s="321">
        <f t="shared" si="13"/>
        <v>42</v>
      </c>
      <c r="BI188" s="98" t="str">
        <f t="shared" si="14"/>
        <v>INDENIZAÇÃO</v>
      </c>
      <c r="BJ188" s="98" t="str">
        <f t="shared" si="15"/>
        <v>NÃO</v>
      </c>
      <c r="BK188" s="230" t="s">
        <v>4437</v>
      </c>
      <c r="BL188" s="230" t="s">
        <v>4437</v>
      </c>
      <c r="BM188" s="230" t="s">
        <v>4437</v>
      </c>
      <c r="BN188" s="207" t="s">
        <v>4425</v>
      </c>
      <c r="BO188" s="207" t="s">
        <v>4425</v>
      </c>
      <c r="BP188" s="202">
        <v>46182</v>
      </c>
      <c r="BQ188" s="207" t="s">
        <v>4425</v>
      </c>
      <c r="BR188" s="256" t="s">
        <v>4435</v>
      </c>
      <c r="BS188" s="161"/>
      <c r="BT188" s="161"/>
      <c r="BU188" s="161"/>
      <c r="BV188" s="161"/>
      <c r="BW188" s="161"/>
      <c r="BX188" s="161"/>
      <c r="BY188" s="161"/>
      <c r="BZ188" s="161"/>
      <c r="CA188" s="161"/>
      <c r="CB188" s="161"/>
      <c r="CC188" s="161"/>
      <c r="CD188" s="161"/>
      <c r="CE188" s="16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61"/>
      <c r="CQ188" s="161"/>
      <c r="CR188" s="161"/>
      <c r="CS188" s="161"/>
      <c r="CT188" s="161"/>
      <c r="CU188" s="161"/>
      <c r="CV188" s="161"/>
      <c r="CW188" s="161"/>
      <c r="CX188" s="161"/>
      <c r="CY188" s="161"/>
      <c r="CZ188" s="161"/>
      <c r="DA188" s="161"/>
      <c r="DB188" s="161"/>
      <c r="DC188" s="161"/>
      <c r="DD188" s="161"/>
      <c r="DE188" s="161"/>
      <c r="DF188" s="161"/>
      <c r="DG188" s="161"/>
      <c r="DH188" s="161"/>
    </row>
    <row r="189" spans="1:112" s="240" customFormat="1" ht="27" hidden="1" customHeight="1">
      <c r="A189" s="197">
        <v>185</v>
      </c>
      <c r="B189" s="197" t="s">
        <v>4396</v>
      </c>
      <c r="C189" s="207" t="s">
        <v>4427</v>
      </c>
      <c r="D189" s="207">
        <v>1</v>
      </c>
      <c r="E189" s="207" t="s">
        <v>4398</v>
      </c>
      <c r="F189" s="214" t="s">
        <v>5235</v>
      </c>
      <c r="G189" s="207" t="s">
        <v>4400</v>
      </c>
      <c r="H189" s="207" t="s">
        <v>4401</v>
      </c>
      <c r="I189" s="217" t="s">
        <v>4402</v>
      </c>
      <c r="J189" s="215" t="s">
        <v>5240</v>
      </c>
      <c r="K189" s="215" t="s">
        <v>4398</v>
      </c>
      <c r="L189" s="215" t="s">
        <v>5241</v>
      </c>
      <c r="M189" s="207" t="s">
        <v>4405</v>
      </c>
      <c r="N189" s="207" t="s">
        <v>4442</v>
      </c>
      <c r="O189" s="202" t="s">
        <v>4409</v>
      </c>
      <c r="P189" s="202" t="s">
        <v>4409</v>
      </c>
      <c r="Q189" s="202" t="s">
        <v>4409</v>
      </c>
      <c r="R189" s="202" t="s">
        <v>4409</v>
      </c>
      <c r="S189" s="202" t="s">
        <v>4409</v>
      </c>
      <c r="T189" s="202" t="s">
        <v>4409</v>
      </c>
      <c r="U189" s="202" t="s">
        <v>4409</v>
      </c>
      <c r="V189" s="202" t="s">
        <v>4409</v>
      </c>
      <c r="W189" s="202" t="s">
        <v>4409</v>
      </c>
      <c r="X189" s="202" t="s">
        <v>4409</v>
      </c>
      <c r="Y189" s="202"/>
      <c r="Z189" s="207"/>
      <c r="AA189" s="215" t="s">
        <v>5240</v>
      </c>
      <c r="AB189" s="214" t="s">
        <v>4398</v>
      </c>
      <c r="AC189" s="214" t="s">
        <v>5241</v>
      </c>
      <c r="AD189" s="207" t="s">
        <v>4402</v>
      </c>
      <c r="AE189" s="207" t="s">
        <v>4405</v>
      </c>
      <c r="AF189" s="218">
        <v>35493.25</v>
      </c>
      <c r="AG189" s="218">
        <v>60000</v>
      </c>
      <c r="AH189" s="207" t="s">
        <v>4433</v>
      </c>
      <c r="AI189" s="214" t="s">
        <v>4411</v>
      </c>
      <c r="AJ189" s="207">
        <v>148262364</v>
      </c>
      <c r="AK189" s="316">
        <v>46038</v>
      </c>
      <c r="AL189" s="316">
        <v>46038</v>
      </c>
      <c r="AM189" s="316">
        <v>46038</v>
      </c>
      <c r="AN189" s="316">
        <v>46038</v>
      </c>
      <c r="AO189" s="316">
        <v>46038</v>
      </c>
      <c r="AP189" s="316">
        <v>46038</v>
      </c>
      <c r="AQ189" s="314"/>
      <c r="AR189" s="315" t="str">
        <f t="shared" si="12"/>
        <v>FINALIZADO</v>
      </c>
      <c r="AS189" s="207" t="s">
        <v>4423</v>
      </c>
      <c r="AT189" s="207"/>
      <c r="AU189" s="220" t="s">
        <v>5242</v>
      </c>
      <c r="AV189" s="207" t="s">
        <v>4425</v>
      </c>
      <c r="AW189" s="207" t="s">
        <v>4425</v>
      </c>
      <c r="AX189" s="207" t="s">
        <v>4425</v>
      </c>
      <c r="AY189" s="207" t="s">
        <v>4425</v>
      </c>
      <c r="AZ189" s="202">
        <v>46111</v>
      </c>
      <c r="BA189" s="207" t="s">
        <v>4425</v>
      </c>
      <c r="BB189" s="207" t="s">
        <v>4425</v>
      </c>
      <c r="BC189" s="202">
        <v>46114</v>
      </c>
      <c r="BD189" s="227">
        <v>46114</v>
      </c>
      <c r="BE189" s="227" t="s">
        <v>4435</v>
      </c>
      <c r="BF189" s="228" t="s">
        <v>4436</v>
      </c>
      <c r="BG189" s="229" t="s">
        <v>4425</v>
      </c>
      <c r="BH189" s="321">
        <f t="shared" si="13"/>
        <v>76</v>
      </c>
      <c r="BI189" s="98" t="str">
        <f t="shared" si="14"/>
        <v>INDENIZAÇÃO</v>
      </c>
      <c r="BJ189" s="98" t="str">
        <f t="shared" si="15"/>
        <v>NÃO</v>
      </c>
      <c r="BK189" s="230" t="s">
        <v>4437</v>
      </c>
      <c r="BL189" s="230" t="s">
        <v>4437</v>
      </c>
      <c r="BM189" s="230" t="s">
        <v>4437</v>
      </c>
      <c r="BN189" s="207" t="s">
        <v>4425</v>
      </c>
      <c r="BO189" s="207" t="s">
        <v>4425</v>
      </c>
      <c r="BP189" s="202">
        <v>46182</v>
      </c>
      <c r="BQ189" s="207" t="s">
        <v>4425</v>
      </c>
      <c r="BR189" s="256" t="s">
        <v>4435</v>
      </c>
    </row>
    <row r="190" spans="1:112" s="240" customFormat="1" ht="27" hidden="1" customHeight="1">
      <c r="A190" s="197">
        <v>186</v>
      </c>
      <c r="B190" s="197" t="s">
        <v>4396</v>
      </c>
      <c r="C190" s="207" t="s">
        <v>4453</v>
      </c>
      <c r="D190" s="207">
        <v>1</v>
      </c>
      <c r="E190" s="207" t="s">
        <v>4398</v>
      </c>
      <c r="F190" s="214" t="s">
        <v>5243</v>
      </c>
      <c r="G190" s="207" t="s">
        <v>4400</v>
      </c>
      <c r="H190" s="207" t="s">
        <v>4401</v>
      </c>
      <c r="I190" s="217" t="s">
        <v>4414</v>
      </c>
      <c r="J190" s="242" t="s">
        <v>5244</v>
      </c>
      <c r="K190" s="215" t="s">
        <v>4398</v>
      </c>
      <c r="L190" s="215" t="s">
        <v>5245</v>
      </c>
      <c r="M190" s="207" t="s">
        <v>4405</v>
      </c>
      <c r="N190" s="207" t="s">
        <v>4406</v>
      </c>
      <c r="O190" s="202">
        <v>45986</v>
      </c>
      <c r="P190" s="203" t="s">
        <v>4407</v>
      </c>
      <c r="Q190" s="203">
        <v>45985</v>
      </c>
      <c r="R190" s="203">
        <v>45986</v>
      </c>
      <c r="S190" s="203">
        <v>45987</v>
      </c>
      <c r="T190" s="203">
        <v>45992</v>
      </c>
      <c r="U190" s="202" t="s">
        <v>4408</v>
      </c>
      <c r="V190" s="202" t="s">
        <v>4408</v>
      </c>
      <c r="W190" s="202">
        <v>45999</v>
      </c>
      <c r="X190" s="202">
        <v>46000</v>
      </c>
      <c r="Y190" s="202">
        <v>46017</v>
      </c>
      <c r="Z190" s="207"/>
      <c r="AA190" s="242" t="s">
        <v>5246</v>
      </c>
      <c r="AB190" s="214" t="s">
        <v>5247</v>
      </c>
      <c r="AC190" s="214" t="s">
        <v>5248</v>
      </c>
      <c r="AD190" s="199" t="s">
        <v>4421</v>
      </c>
      <c r="AE190" s="197" t="s">
        <v>4405</v>
      </c>
      <c r="AF190" s="243">
        <v>18871.310000000001</v>
      </c>
      <c r="AG190" s="243">
        <v>18871.310000000001</v>
      </c>
      <c r="AH190" s="197" t="s">
        <v>4433</v>
      </c>
      <c r="AI190" s="214" t="s">
        <v>4411</v>
      </c>
      <c r="AJ190" s="207">
        <v>146040097</v>
      </c>
      <c r="AK190" s="316">
        <v>45979</v>
      </c>
      <c r="AL190" s="316">
        <v>45979</v>
      </c>
      <c r="AM190" s="316">
        <v>45979</v>
      </c>
      <c r="AN190" s="316">
        <v>45979</v>
      </c>
      <c r="AO190" s="316">
        <v>45979</v>
      </c>
      <c r="AP190" s="316">
        <v>45979</v>
      </c>
      <c r="AQ190" s="314"/>
      <c r="AR190" s="315" t="str">
        <f t="shared" si="12"/>
        <v>FINALIZADO</v>
      </c>
      <c r="AS190" s="207" t="s">
        <v>4423</v>
      </c>
      <c r="AT190" s="207"/>
      <c r="AU190" s="220" t="s">
        <v>5249</v>
      </c>
      <c r="AV190" s="207" t="s">
        <v>4425</v>
      </c>
      <c r="AW190" s="207" t="s">
        <v>4425</v>
      </c>
      <c r="AX190" s="207" t="s">
        <v>4425</v>
      </c>
      <c r="AY190" s="197" t="s">
        <v>4425</v>
      </c>
      <c r="AZ190" s="203">
        <v>46017</v>
      </c>
      <c r="BA190" s="219" t="s">
        <v>4425</v>
      </c>
      <c r="BB190" s="207" t="s">
        <v>4425</v>
      </c>
      <c r="BC190" s="203">
        <v>46024</v>
      </c>
      <c r="BD190" s="227">
        <v>46024</v>
      </c>
      <c r="BE190" s="209">
        <v>46017</v>
      </c>
      <c r="BF190" s="197" t="s">
        <v>4762</v>
      </c>
      <c r="BG190" s="229" t="s">
        <v>4425</v>
      </c>
      <c r="BH190" s="321">
        <f t="shared" si="13"/>
        <v>45</v>
      </c>
      <c r="BI190" s="98" t="str">
        <f t="shared" si="14"/>
        <v>INDENIZAÇÃO</v>
      </c>
      <c r="BJ190" s="98" t="str">
        <f t="shared" si="15"/>
        <v>NÃO</v>
      </c>
      <c r="BK190" s="230" t="s">
        <v>4437</v>
      </c>
      <c r="BL190" s="230" t="s">
        <v>4437</v>
      </c>
      <c r="BM190" s="230" t="s">
        <v>4437</v>
      </c>
      <c r="BN190" s="207" t="s">
        <v>4425</v>
      </c>
      <c r="BO190" s="207" t="s">
        <v>4425</v>
      </c>
      <c r="BP190" s="202">
        <v>46182</v>
      </c>
      <c r="BQ190" s="207" t="s">
        <v>4425</v>
      </c>
      <c r="BR190" s="256" t="s">
        <v>4435</v>
      </c>
    </row>
    <row r="191" spans="1:112" s="240" customFormat="1" ht="27" hidden="1" customHeight="1">
      <c r="A191" s="207">
        <v>187</v>
      </c>
      <c r="B191" s="197" t="s">
        <v>4396</v>
      </c>
      <c r="C191" s="207" t="s">
        <v>4427</v>
      </c>
      <c r="D191" s="207">
        <v>1</v>
      </c>
      <c r="E191" s="207" t="s">
        <v>4398</v>
      </c>
      <c r="F191" s="214" t="s">
        <v>5243</v>
      </c>
      <c r="G191" s="207" t="s">
        <v>4400</v>
      </c>
      <c r="H191" s="207" t="s">
        <v>4401</v>
      </c>
      <c r="I191" s="217" t="s">
        <v>4402</v>
      </c>
      <c r="J191" s="215" t="s">
        <v>5250</v>
      </c>
      <c r="K191" s="215" t="s">
        <v>5251</v>
      </c>
      <c r="L191" s="215" t="s">
        <v>5252</v>
      </c>
      <c r="M191" s="207" t="s">
        <v>4405</v>
      </c>
      <c r="N191" s="207" t="s">
        <v>4442</v>
      </c>
      <c r="O191" s="202" t="s">
        <v>4409</v>
      </c>
      <c r="P191" s="202" t="s">
        <v>4409</v>
      </c>
      <c r="Q191" s="202" t="s">
        <v>4409</v>
      </c>
      <c r="R191" s="202" t="s">
        <v>4409</v>
      </c>
      <c r="S191" s="202" t="s">
        <v>4409</v>
      </c>
      <c r="T191" s="202" t="s">
        <v>4409</v>
      </c>
      <c r="U191" s="202" t="s">
        <v>4409</v>
      </c>
      <c r="V191" s="202" t="s">
        <v>4409</v>
      </c>
      <c r="W191" s="202" t="s">
        <v>4409</v>
      </c>
      <c r="X191" s="202" t="s">
        <v>4409</v>
      </c>
      <c r="Y191" s="202"/>
      <c r="Z191" s="207"/>
      <c r="AA191" s="215" t="s">
        <v>5250</v>
      </c>
      <c r="AB191" s="214" t="s">
        <v>5251</v>
      </c>
      <c r="AC191" s="214" t="s">
        <v>5252</v>
      </c>
      <c r="AD191" s="207" t="s">
        <v>4402</v>
      </c>
      <c r="AE191" s="207" t="s">
        <v>4405</v>
      </c>
      <c r="AF191" s="218">
        <v>24163.62</v>
      </c>
      <c r="AG191" s="218">
        <f>AF191+30000</f>
        <v>54163.619999999995</v>
      </c>
      <c r="AH191" s="207" t="s">
        <v>4433</v>
      </c>
      <c r="AI191" s="214" t="s">
        <v>4411</v>
      </c>
      <c r="AJ191" s="207">
        <v>148262838</v>
      </c>
      <c r="AK191" s="316">
        <v>46059</v>
      </c>
      <c r="AL191" s="316">
        <v>46059</v>
      </c>
      <c r="AM191" s="316">
        <v>46059</v>
      </c>
      <c r="AN191" s="316">
        <v>46059</v>
      </c>
      <c r="AO191" s="316">
        <v>46059</v>
      </c>
      <c r="AP191" s="316">
        <v>46059</v>
      </c>
      <c r="AQ191" s="314"/>
      <c r="AR191" s="315" t="str">
        <f t="shared" si="12"/>
        <v>FINALIZADO</v>
      </c>
      <c r="AS191" s="207" t="s">
        <v>4423</v>
      </c>
      <c r="AT191" s="207"/>
      <c r="AU191" s="220" t="s">
        <v>5253</v>
      </c>
      <c r="AV191" s="207" t="s">
        <v>4425</v>
      </c>
      <c r="AW191" s="207" t="s">
        <v>4425</v>
      </c>
      <c r="AX191" s="250" t="s">
        <v>4425</v>
      </c>
      <c r="AY191" s="207" t="s">
        <v>4425</v>
      </c>
      <c r="AZ191" s="202">
        <v>46118</v>
      </c>
      <c r="BA191" s="207" t="s">
        <v>4425</v>
      </c>
      <c r="BB191" s="207" t="s">
        <v>4425</v>
      </c>
      <c r="BC191" s="202">
        <v>46122</v>
      </c>
      <c r="BD191" s="227">
        <v>46122</v>
      </c>
      <c r="BE191" s="227" t="s">
        <v>4435</v>
      </c>
      <c r="BF191" s="228" t="s">
        <v>4436</v>
      </c>
      <c r="BG191" s="229" t="s">
        <v>4425</v>
      </c>
      <c r="BH191" s="321">
        <f t="shared" si="13"/>
        <v>63</v>
      </c>
      <c r="BI191" s="98" t="str">
        <f t="shared" si="14"/>
        <v>INDENIZAÇÃO</v>
      </c>
      <c r="BJ191" s="98" t="str">
        <f t="shared" si="15"/>
        <v>NÃO</v>
      </c>
      <c r="BK191" s="219" t="s">
        <v>4437</v>
      </c>
      <c r="BL191" s="219" t="s">
        <v>4437</v>
      </c>
      <c r="BM191" s="219" t="s">
        <v>4437</v>
      </c>
      <c r="BN191" s="219" t="s">
        <v>4425</v>
      </c>
      <c r="BO191" s="219" t="s">
        <v>4425</v>
      </c>
      <c r="BP191" s="202">
        <v>46195</v>
      </c>
      <c r="BQ191" s="219" t="s">
        <v>4425</v>
      </c>
      <c r="BR191" s="232" t="s">
        <v>4435</v>
      </c>
      <c r="BS191" s="223"/>
      <c r="BT191" s="223"/>
    </row>
    <row r="192" spans="1:112" s="240" customFormat="1" ht="27" hidden="1" customHeight="1">
      <c r="A192" s="207">
        <v>188</v>
      </c>
      <c r="B192" s="197" t="s">
        <v>4396</v>
      </c>
      <c r="C192" s="207" t="s">
        <v>4453</v>
      </c>
      <c r="D192" s="207">
        <v>1</v>
      </c>
      <c r="E192" s="207" t="s">
        <v>4398</v>
      </c>
      <c r="F192" s="214" t="s">
        <v>5254</v>
      </c>
      <c r="G192" s="207" t="s">
        <v>4400</v>
      </c>
      <c r="H192" s="207" t="s">
        <v>4401</v>
      </c>
      <c r="I192" s="217" t="s">
        <v>4402</v>
      </c>
      <c r="J192" s="215" t="s">
        <v>5255</v>
      </c>
      <c r="K192" s="215" t="s">
        <v>5256</v>
      </c>
      <c r="L192" s="215" t="s">
        <v>5257</v>
      </c>
      <c r="M192" s="207" t="s">
        <v>4405</v>
      </c>
      <c r="N192" s="207" t="s">
        <v>4442</v>
      </c>
      <c r="O192" s="202" t="s">
        <v>4409</v>
      </c>
      <c r="P192" s="202" t="s">
        <v>4409</v>
      </c>
      <c r="Q192" s="202" t="s">
        <v>4409</v>
      </c>
      <c r="R192" s="202" t="s">
        <v>4409</v>
      </c>
      <c r="S192" s="202" t="s">
        <v>4409</v>
      </c>
      <c r="T192" s="202" t="s">
        <v>4409</v>
      </c>
      <c r="U192" s="202" t="s">
        <v>4409</v>
      </c>
      <c r="V192" s="202" t="s">
        <v>4409</v>
      </c>
      <c r="W192" s="202" t="s">
        <v>4409</v>
      </c>
      <c r="X192" s="202" t="s">
        <v>4409</v>
      </c>
      <c r="Y192" s="202"/>
      <c r="Z192" s="207"/>
      <c r="AA192" s="215" t="s">
        <v>5255</v>
      </c>
      <c r="AB192" s="214" t="s">
        <v>5256</v>
      </c>
      <c r="AC192" s="214" t="s">
        <v>5257</v>
      </c>
      <c r="AD192" s="241" t="s">
        <v>4402</v>
      </c>
      <c r="AE192" s="241" t="s">
        <v>4405</v>
      </c>
      <c r="AF192" s="218">
        <v>10921.94</v>
      </c>
      <c r="AG192" s="218">
        <f>AF192+30000</f>
        <v>40921.94</v>
      </c>
      <c r="AH192" s="207" t="s">
        <v>4433</v>
      </c>
      <c r="AI192" s="214" t="s">
        <v>4411</v>
      </c>
      <c r="AJ192" s="207">
        <v>146040612</v>
      </c>
      <c r="AK192" s="316">
        <v>45979</v>
      </c>
      <c r="AL192" s="316">
        <v>45979</v>
      </c>
      <c r="AM192" s="316">
        <v>45979</v>
      </c>
      <c r="AN192" s="316">
        <v>45979</v>
      </c>
      <c r="AO192" s="316">
        <v>45979</v>
      </c>
      <c r="AP192" s="316">
        <v>45979</v>
      </c>
      <c r="AQ192" s="314"/>
      <c r="AR192" s="315" t="str">
        <f t="shared" si="12"/>
        <v>FINALIZADO</v>
      </c>
      <c r="AS192" s="207" t="s">
        <v>4423</v>
      </c>
      <c r="AT192" s="207"/>
      <c r="AU192" s="220" t="s">
        <v>5258</v>
      </c>
      <c r="AV192" s="207" t="s">
        <v>4425</v>
      </c>
      <c r="AW192" s="207" t="s">
        <v>4425</v>
      </c>
      <c r="AX192" s="207" t="s">
        <v>4425</v>
      </c>
      <c r="AY192" s="207" t="s">
        <v>4425</v>
      </c>
      <c r="AZ192" s="202">
        <v>46008</v>
      </c>
      <c r="BA192" s="219" t="s">
        <v>4425</v>
      </c>
      <c r="BB192" s="207" t="s">
        <v>4425</v>
      </c>
      <c r="BC192" s="202">
        <v>46014</v>
      </c>
      <c r="BD192" s="227">
        <v>46014</v>
      </c>
      <c r="BE192" s="209">
        <v>46017</v>
      </c>
      <c r="BF192" s="207" t="s">
        <v>4412</v>
      </c>
      <c r="BG192" s="229" t="s">
        <v>4425</v>
      </c>
      <c r="BH192" s="321">
        <f t="shared" si="13"/>
        <v>35</v>
      </c>
      <c r="BI192" s="98" t="str">
        <f t="shared" si="14"/>
        <v>INDENIZAÇÃO</v>
      </c>
      <c r="BJ192" s="98" t="str">
        <f t="shared" si="15"/>
        <v>NÃO</v>
      </c>
      <c r="BK192" s="230" t="s">
        <v>4437</v>
      </c>
      <c r="BL192" s="230" t="s">
        <v>4437</v>
      </c>
      <c r="BM192" s="230" t="s">
        <v>4437</v>
      </c>
      <c r="BN192" s="207" t="s">
        <v>4425</v>
      </c>
      <c r="BO192" s="207" t="s">
        <v>4425</v>
      </c>
      <c r="BP192" s="202">
        <v>46182</v>
      </c>
      <c r="BQ192" s="207" t="s">
        <v>4425</v>
      </c>
      <c r="BR192" s="256" t="s">
        <v>4435</v>
      </c>
    </row>
    <row r="193" spans="1:73" s="240" customFormat="1" ht="27" hidden="1" customHeight="1">
      <c r="A193" s="207">
        <v>189</v>
      </c>
      <c r="B193" s="197" t="s">
        <v>4396</v>
      </c>
      <c r="C193" s="207" t="s">
        <v>4427</v>
      </c>
      <c r="D193" s="207">
        <v>1</v>
      </c>
      <c r="E193" s="207" t="s">
        <v>4398</v>
      </c>
      <c r="F193" s="214" t="s">
        <v>5254</v>
      </c>
      <c r="G193" s="207" t="s">
        <v>4400</v>
      </c>
      <c r="H193" s="207" t="s">
        <v>4401</v>
      </c>
      <c r="I193" s="217" t="s">
        <v>4402</v>
      </c>
      <c r="J193" s="215" t="s">
        <v>5259</v>
      </c>
      <c r="K193" s="215" t="s">
        <v>4398</v>
      </c>
      <c r="L193" s="215" t="s">
        <v>5260</v>
      </c>
      <c r="M193" s="207" t="s">
        <v>4405</v>
      </c>
      <c r="N193" s="207" t="s">
        <v>4442</v>
      </c>
      <c r="O193" s="202" t="s">
        <v>4409</v>
      </c>
      <c r="P193" s="202" t="s">
        <v>4409</v>
      </c>
      <c r="Q193" s="202" t="s">
        <v>4409</v>
      </c>
      <c r="R193" s="202" t="s">
        <v>4409</v>
      </c>
      <c r="S193" s="202" t="s">
        <v>4409</v>
      </c>
      <c r="T193" s="202" t="s">
        <v>4409</v>
      </c>
      <c r="U193" s="202" t="s">
        <v>4409</v>
      </c>
      <c r="V193" s="202" t="s">
        <v>4409</v>
      </c>
      <c r="W193" s="202" t="s">
        <v>4409</v>
      </c>
      <c r="X193" s="202" t="s">
        <v>4409</v>
      </c>
      <c r="Y193" s="202"/>
      <c r="Z193" s="250"/>
      <c r="AA193" s="224" t="s">
        <v>5259</v>
      </c>
      <c r="AB193" s="214" t="s">
        <v>4398</v>
      </c>
      <c r="AC193" s="261" t="s">
        <v>5260</v>
      </c>
      <c r="AD193" s="207" t="s">
        <v>4402</v>
      </c>
      <c r="AE193" s="207" t="s">
        <v>4405</v>
      </c>
      <c r="AF193" s="218">
        <v>70863.649999999994</v>
      </c>
      <c r="AG193" s="218">
        <v>70863.649999999994</v>
      </c>
      <c r="AH193" s="207" t="s">
        <v>4433</v>
      </c>
      <c r="AI193" s="214" t="s">
        <v>4411</v>
      </c>
      <c r="AJ193" s="207">
        <v>149646375</v>
      </c>
      <c r="AK193" s="316">
        <v>46142</v>
      </c>
      <c r="AL193" s="316">
        <v>46142</v>
      </c>
      <c r="AM193" s="316">
        <v>46142</v>
      </c>
      <c r="AN193" s="316">
        <v>46142</v>
      </c>
      <c r="AO193" s="316">
        <v>46142</v>
      </c>
      <c r="AP193" s="316">
        <v>46142</v>
      </c>
      <c r="AQ193" s="314"/>
      <c r="AR193" s="315" t="str">
        <f t="shared" si="12"/>
        <v>FINALIZADO</v>
      </c>
      <c r="AS193" s="207" t="s">
        <v>4423</v>
      </c>
      <c r="AT193" s="250"/>
      <c r="AU193" s="220" t="s">
        <v>5261</v>
      </c>
      <c r="AV193" s="250" t="s">
        <v>4425</v>
      </c>
      <c r="AW193" s="207" t="s">
        <v>4425</v>
      </c>
      <c r="AX193" s="207" t="s">
        <v>4818</v>
      </c>
      <c r="AY193" s="207" t="s">
        <v>4818</v>
      </c>
      <c r="AZ193" s="202">
        <v>46233</v>
      </c>
      <c r="BA193" s="207" t="s">
        <v>4818</v>
      </c>
      <c r="BB193" s="207" t="s">
        <v>4818</v>
      </c>
      <c r="BC193" s="202">
        <v>46237</v>
      </c>
      <c r="BD193" s="226">
        <v>46237</v>
      </c>
      <c r="BE193" s="257" t="s">
        <v>4435</v>
      </c>
      <c r="BF193" s="257" t="s">
        <v>4436</v>
      </c>
      <c r="BG193" s="219" t="s">
        <v>4425</v>
      </c>
      <c r="BH193" s="321">
        <f t="shared" si="13"/>
        <v>95</v>
      </c>
      <c r="BI193" s="98" t="str">
        <f t="shared" si="14"/>
        <v>INDENIZAÇÃO</v>
      </c>
      <c r="BJ193" s="98" t="str">
        <f t="shared" si="15"/>
        <v>NÃO</v>
      </c>
      <c r="BK193" s="219" t="s">
        <v>4437</v>
      </c>
      <c r="BL193" s="219" t="s">
        <v>4437</v>
      </c>
      <c r="BM193" s="219" t="s">
        <v>4437</v>
      </c>
      <c r="BN193" s="250" t="s">
        <v>4425</v>
      </c>
      <c r="BO193" s="250" t="s">
        <v>4425</v>
      </c>
      <c r="BP193" s="202">
        <v>46269</v>
      </c>
      <c r="BQ193" s="257" t="s">
        <v>4819</v>
      </c>
      <c r="BR193" s="258"/>
      <c r="BS193" s="223"/>
    </row>
    <row r="194" spans="1:73" s="240" customFormat="1" ht="27" hidden="1" customHeight="1">
      <c r="A194" s="197">
        <v>190</v>
      </c>
      <c r="B194" s="197" t="s">
        <v>4396</v>
      </c>
      <c r="C194" s="207" t="s">
        <v>4427</v>
      </c>
      <c r="D194" s="207">
        <v>1</v>
      </c>
      <c r="E194" s="207" t="s">
        <v>4398</v>
      </c>
      <c r="F194" s="214" t="s">
        <v>5262</v>
      </c>
      <c r="G194" s="207" t="s">
        <v>4400</v>
      </c>
      <c r="H194" s="207" t="s">
        <v>4401</v>
      </c>
      <c r="I194" s="217" t="s">
        <v>4402</v>
      </c>
      <c r="J194" s="215" t="s">
        <v>5263</v>
      </c>
      <c r="K194" s="215" t="s">
        <v>5264</v>
      </c>
      <c r="L194" s="215" t="s">
        <v>5265</v>
      </c>
      <c r="M194" s="207" t="s">
        <v>4405</v>
      </c>
      <c r="N194" s="207" t="s">
        <v>4406</v>
      </c>
      <c r="O194" s="203">
        <v>46044</v>
      </c>
      <c r="P194" s="203" t="s">
        <v>4407</v>
      </c>
      <c r="Q194" s="203">
        <v>46043</v>
      </c>
      <c r="R194" s="203">
        <v>46044</v>
      </c>
      <c r="S194" s="203">
        <v>46045</v>
      </c>
      <c r="T194" s="203">
        <v>46155</v>
      </c>
      <c r="U194" s="202" t="s">
        <v>4408</v>
      </c>
      <c r="V194" s="202" t="s">
        <v>4408</v>
      </c>
      <c r="W194" s="202">
        <v>46055</v>
      </c>
      <c r="X194" s="202">
        <v>46059</v>
      </c>
      <c r="Y194" s="239"/>
      <c r="Z194" s="250"/>
      <c r="AA194" s="215" t="s">
        <v>5263</v>
      </c>
      <c r="AB194" s="215" t="s">
        <v>5264</v>
      </c>
      <c r="AC194" s="215" t="s">
        <v>5265</v>
      </c>
      <c r="AD194" s="271" t="s">
        <v>4402</v>
      </c>
      <c r="AE194" s="270" t="s">
        <v>4405</v>
      </c>
      <c r="AF194" s="218" t="s">
        <v>4409</v>
      </c>
      <c r="AG194" s="218" t="s">
        <v>4409</v>
      </c>
      <c r="AH194" s="207" t="s">
        <v>4410</v>
      </c>
      <c r="AI194" s="214" t="s">
        <v>4411</v>
      </c>
      <c r="AJ194" s="207"/>
      <c r="AK194" s="316">
        <v>46041</v>
      </c>
      <c r="AL194" s="316">
        <v>46041</v>
      </c>
      <c r="AM194" s="316">
        <v>46041</v>
      </c>
      <c r="AN194" s="316">
        <v>46041</v>
      </c>
      <c r="AO194" s="316">
        <v>46041</v>
      </c>
      <c r="AP194" s="316">
        <v>46041</v>
      </c>
      <c r="AQ194" s="314"/>
      <c r="AR194" s="315" t="str">
        <f t="shared" si="12"/>
        <v>FINALIZADO</v>
      </c>
      <c r="AS194" s="207"/>
      <c r="AT194" s="250"/>
      <c r="AU194" s="220"/>
      <c r="AV194" s="207"/>
      <c r="AW194" s="207"/>
      <c r="AX194" s="228"/>
      <c r="AY194" s="250"/>
      <c r="AZ194" s="239"/>
      <c r="BA194" s="219"/>
      <c r="BB194" s="250"/>
      <c r="BC194" s="250"/>
      <c r="BD194" s="208"/>
      <c r="BE194" s="209"/>
      <c r="BF194" s="270"/>
      <c r="BG194" s="229"/>
      <c r="BH194" s="321" t="str">
        <f t="shared" si="13"/>
        <v/>
      </c>
      <c r="BI194" s="98" t="str">
        <f t="shared" si="14"/>
        <v>AA</v>
      </c>
      <c r="BJ194" s="98" t="str">
        <f t="shared" si="15"/>
        <v>NÃO</v>
      </c>
      <c r="BK194" s="230"/>
      <c r="BL194" s="230"/>
      <c r="BM194" s="230"/>
      <c r="BN194" s="230"/>
      <c r="BO194" s="230"/>
      <c r="BP194" s="230"/>
      <c r="BQ194" s="230"/>
      <c r="BR194" s="234"/>
    </row>
    <row r="195" spans="1:73" s="240" customFormat="1" ht="27" hidden="1" customHeight="1">
      <c r="A195" s="197">
        <v>191</v>
      </c>
      <c r="B195" s="197" t="s">
        <v>4396</v>
      </c>
      <c r="C195" s="207" t="s">
        <v>4453</v>
      </c>
      <c r="D195" s="207">
        <v>1</v>
      </c>
      <c r="E195" s="207" t="s">
        <v>4398</v>
      </c>
      <c r="F195" s="214" t="s">
        <v>5266</v>
      </c>
      <c r="G195" s="207" t="s">
        <v>4400</v>
      </c>
      <c r="H195" s="207" t="s">
        <v>4401</v>
      </c>
      <c r="I195" s="217" t="s">
        <v>4402</v>
      </c>
      <c r="J195" s="215" t="s">
        <v>5267</v>
      </c>
      <c r="K195" s="215" t="s">
        <v>5268</v>
      </c>
      <c r="L195" s="215" t="s">
        <v>5269</v>
      </c>
      <c r="M195" s="207" t="s">
        <v>4405</v>
      </c>
      <c r="N195" s="207" t="s">
        <v>4406</v>
      </c>
      <c r="O195" s="203">
        <v>46044</v>
      </c>
      <c r="P195" s="203" t="s">
        <v>4407</v>
      </c>
      <c r="Q195" s="203">
        <v>46043</v>
      </c>
      <c r="R195" s="203">
        <v>46044</v>
      </c>
      <c r="S195" s="203">
        <v>46045</v>
      </c>
      <c r="T195" s="203">
        <v>46155</v>
      </c>
      <c r="U195" s="202" t="s">
        <v>4408</v>
      </c>
      <c r="V195" s="202" t="s">
        <v>4408</v>
      </c>
      <c r="W195" s="202">
        <v>46055</v>
      </c>
      <c r="X195" s="202">
        <v>46056</v>
      </c>
      <c r="Y195" s="202">
        <v>46017</v>
      </c>
      <c r="Z195" s="250"/>
      <c r="AA195" s="215" t="s">
        <v>5267</v>
      </c>
      <c r="AB195" s="215" t="s">
        <v>5268</v>
      </c>
      <c r="AC195" s="215" t="s">
        <v>5269</v>
      </c>
      <c r="AD195" s="241" t="s">
        <v>4402</v>
      </c>
      <c r="AE195" s="241" t="s">
        <v>4405</v>
      </c>
      <c r="AF195" s="242" t="s">
        <v>4409</v>
      </c>
      <c r="AG195" s="242" t="s">
        <v>4409</v>
      </c>
      <c r="AH195" s="241" t="s">
        <v>4410</v>
      </c>
      <c r="AI195" s="214" t="s">
        <v>4411</v>
      </c>
      <c r="AJ195" s="207"/>
      <c r="AK195" s="316">
        <v>46041</v>
      </c>
      <c r="AL195" s="316">
        <v>46041</v>
      </c>
      <c r="AM195" s="316">
        <v>46041</v>
      </c>
      <c r="AN195" s="316">
        <v>46041</v>
      </c>
      <c r="AO195" s="316">
        <v>46041</v>
      </c>
      <c r="AP195" s="316">
        <v>46041</v>
      </c>
      <c r="AQ195" s="314"/>
      <c r="AR195" s="315" t="str">
        <f t="shared" si="12"/>
        <v>FINALIZADO</v>
      </c>
      <c r="AS195" s="207"/>
      <c r="AT195" s="250"/>
      <c r="AU195" s="220"/>
      <c r="AV195" s="207"/>
      <c r="AW195" s="207"/>
      <c r="AX195" s="228"/>
      <c r="AY195" s="250"/>
      <c r="AZ195" s="239"/>
      <c r="BA195" s="219"/>
      <c r="BB195" s="250"/>
      <c r="BC195" s="250"/>
      <c r="BD195" s="208"/>
      <c r="BE195" s="239">
        <v>46017</v>
      </c>
      <c r="BF195" s="207" t="s">
        <v>4412</v>
      </c>
      <c r="BG195" s="229"/>
      <c r="BH195" s="321" t="str">
        <f t="shared" si="13"/>
        <v/>
      </c>
      <c r="BI195" s="98" t="str">
        <f t="shared" si="14"/>
        <v>AA</v>
      </c>
      <c r="BJ195" s="98" t="str">
        <f t="shared" si="15"/>
        <v>NÃO</v>
      </c>
      <c r="BK195" s="230"/>
      <c r="BL195" s="230"/>
      <c r="BM195" s="230"/>
      <c r="BN195" s="230"/>
      <c r="BO195" s="230"/>
      <c r="BP195" s="230"/>
      <c r="BQ195" s="230"/>
      <c r="BR195" s="234"/>
    </row>
    <row r="196" spans="1:73" s="240" customFormat="1" ht="27" hidden="1" customHeight="1">
      <c r="A196" s="207">
        <v>192</v>
      </c>
      <c r="B196" s="197" t="s">
        <v>4396</v>
      </c>
      <c r="C196" s="207" t="s">
        <v>4427</v>
      </c>
      <c r="D196" s="207">
        <v>1</v>
      </c>
      <c r="E196" s="207" t="s">
        <v>4398</v>
      </c>
      <c r="F196" s="214" t="s">
        <v>5266</v>
      </c>
      <c r="G196" s="207" t="s">
        <v>4400</v>
      </c>
      <c r="H196" s="207" t="s">
        <v>4401</v>
      </c>
      <c r="I196" s="217" t="s">
        <v>4402</v>
      </c>
      <c r="J196" s="215" t="s">
        <v>5270</v>
      </c>
      <c r="K196" s="215" t="s">
        <v>5271</v>
      </c>
      <c r="L196" s="215" t="s">
        <v>5272</v>
      </c>
      <c r="M196" s="207" t="s">
        <v>4405</v>
      </c>
      <c r="N196" s="207" t="s">
        <v>4442</v>
      </c>
      <c r="O196" s="202" t="s">
        <v>4409</v>
      </c>
      <c r="P196" s="202" t="s">
        <v>4409</v>
      </c>
      <c r="Q196" s="202" t="s">
        <v>4409</v>
      </c>
      <c r="R196" s="202" t="s">
        <v>4409</v>
      </c>
      <c r="S196" s="202" t="s">
        <v>4409</v>
      </c>
      <c r="T196" s="202" t="s">
        <v>4409</v>
      </c>
      <c r="U196" s="202" t="s">
        <v>4409</v>
      </c>
      <c r="V196" s="202" t="s">
        <v>4409</v>
      </c>
      <c r="W196" s="202" t="s">
        <v>4409</v>
      </c>
      <c r="X196" s="202" t="s">
        <v>4409</v>
      </c>
      <c r="Y196" s="202"/>
      <c r="Z196" s="207"/>
      <c r="AA196" s="215" t="s">
        <v>5270</v>
      </c>
      <c r="AB196" s="214" t="s">
        <v>5271</v>
      </c>
      <c r="AC196" s="214" t="s">
        <v>5272</v>
      </c>
      <c r="AD196" s="207" t="s">
        <v>4402</v>
      </c>
      <c r="AE196" s="207" t="s">
        <v>4405</v>
      </c>
      <c r="AF196" s="218">
        <v>25280.43</v>
      </c>
      <c r="AG196" s="218">
        <f>AF196+30000</f>
        <v>55280.43</v>
      </c>
      <c r="AH196" s="207" t="s">
        <v>4433</v>
      </c>
      <c r="AI196" s="214" t="s">
        <v>4411</v>
      </c>
      <c r="AJ196" s="207">
        <v>149646443</v>
      </c>
      <c r="AK196" s="316">
        <v>46059</v>
      </c>
      <c r="AL196" s="316">
        <v>46059</v>
      </c>
      <c r="AM196" s="316">
        <v>46059</v>
      </c>
      <c r="AN196" s="316">
        <v>46059</v>
      </c>
      <c r="AO196" s="316">
        <v>46059</v>
      </c>
      <c r="AP196" s="316">
        <v>46059</v>
      </c>
      <c r="AQ196" s="314"/>
      <c r="AR196" s="315" t="str">
        <f t="shared" si="12"/>
        <v>FINALIZADO</v>
      </c>
      <c r="AS196" s="207" t="s">
        <v>4423</v>
      </c>
      <c r="AT196" s="207"/>
      <c r="AU196" s="220" t="s">
        <v>5273</v>
      </c>
      <c r="AV196" s="207" t="s">
        <v>4425</v>
      </c>
      <c r="AW196" s="207" t="s">
        <v>4425</v>
      </c>
      <c r="AX196" s="250" t="s">
        <v>4425</v>
      </c>
      <c r="AY196" s="207" t="s">
        <v>4425</v>
      </c>
      <c r="AZ196" s="202">
        <v>46118</v>
      </c>
      <c r="BA196" s="207" t="s">
        <v>4425</v>
      </c>
      <c r="BB196" s="207" t="s">
        <v>4425</v>
      </c>
      <c r="BC196" s="202">
        <v>46122</v>
      </c>
      <c r="BD196" s="227">
        <v>46122</v>
      </c>
      <c r="BE196" s="244" t="s">
        <v>4435</v>
      </c>
      <c r="BF196" s="228" t="s">
        <v>4436</v>
      </c>
      <c r="BG196" s="229" t="s">
        <v>4425</v>
      </c>
      <c r="BH196" s="321">
        <f t="shared" si="13"/>
        <v>63</v>
      </c>
      <c r="BI196" s="98" t="str">
        <f t="shared" si="14"/>
        <v>INDENIZAÇÃO</v>
      </c>
      <c r="BJ196" s="98" t="str">
        <f t="shared" si="15"/>
        <v>NÃO</v>
      </c>
      <c r="BK196" s="219" t="s">
        <v>4437</v>
      </c>
      <c r="BL196" s="219" t="s">
        <v>4437</v>
      </c>
      <c r="BM196" s="219" t="s">
        <v>4437</v>
      </c>
      <c r="BN196" s="219" t="s">
        <v>4425</v>
      </c>
      <c r="BO196" s="219" t="s">
        <v>4425</v>
      </c>
      <c r="BP196" s="202">
        <v>46195</v>
      </c>
      <c r="BQ196" s="219" t="s">
        <v>4425</v>
      </c>
      <c r="BR196" s="232" t="s">
        <v>4435</v>
      </c>
      <c r="BS196" s="223"/>
      <c r="BT196" s="223"/>
    </row>
    <row r="197" spans="1:73" s="240" customFormat="1" ht="27" hidden="1" customHeight="1">
      <c r="A197" s="207">
        <v>193</v>
      </c>
      <c r="B197" s="197" t="s">
        <v>4396</v>
      </c>
      <c r="C197" s="207" t="s">
        <v>4453</v>
      </c>
      <c r="D197" s="207">
        <v>1</v>
      </c>
      <c r="E197" s="207" t="s">
        <v>4398</v>
      </c>
      <c r="F197" s="214" t="s">
        <v>5274</v>
      </c>
      <c r="G197" s="207" t="s">
        <v>4400</v>
      </c>
      <c r="H197" s="207" t="s">
        <v>4401</v>
      </c>
      <c r="I197" s="217" t="s">
        <v>4402</v>
      </c>
      <c r="J197" s="215" t="s">
        <v>5275</v>
      </c>
      <c r="K197" s="215" t="s">
        <v>5276</v>
      </c>
      <c r="L197" s="215" t="s">
        <v>5277</v>
      </c>
      <c r="M197" s="207" t="s">
        <v>4405</v>
      </c>
      <c r="N197" s="207" t="s">
        <v>4442</v>
      </c>
      <c r="O197" s="202" t="s">
        <v>4409</v>
      </c>
      <c r="P197" s="202" t="s">
        <v>4409</v>
      </c>
      <c r="Q197" s="202" t="s">
        <v>4409</v>
      </c>
      <c r="R197" s="202" t="s">
        <v>4409</v>
      </c>
      <c r="S197" s="202" t="s">
        <v>4409</v>
      </c>
      <c r="T197" s="202" t="s">
        <v>4409</v>
      </c>
      <c r="U197" s="202" t="s">
        <v>4409</v>
      </c>
      <c r="V197" s="202" t="s">
        <v>4409</v>
      </c>
      <c r="W197" s="202" t="s">
        <v>4409</v>
      </c>
      <c r="X197" s="202" t="s">
        <v>4409</v>
      </c>
      <c r="Y197" s="202"/>
      <c r="Z197" s="207"/>
      <c r="AA197" s="215" t="s">
        <v>5275</v>
      </c>
      <c r="AB197" s="214" t="s">
        <v>5276</v>
      </c>
      <c r="AC197" s="214" t="s">
        <v>5277</v>
      </c>
      <c r="AD197" s="204" t="s">
        <v>4402</v>
      </c>
      <c r="AE197" s="204" t="s">
        <v>4405</v>
      </c>
      <c r="AF197" s="243">
        <v>35733.199999999997</v>
      </c>
      <c r="AG197" s="243">
        <v>60000</v>
      </c>
      <c r="AH197" s="197" t="s">
        <v>4433</v>
      </c>
      <c r="AI197" s="214" t="s">
        <v>4411</v>
      </c>
      <c r="AJ197" s="207">
        <v>146040737</v>
      </c>
      <c r="AK197" s="316">
        <v>45979</v>
      </c>
      <c r="AL197" s="316">
        <v>45979</v>
      </c>
      <c r="AM197" s="316">
        <v>45979</v>
      </c>
      <c r="AN197" s="316">
        <v>45979</v>
      </c>
      <c r="AO197" s="316">
        <v>45979</v>
      </c>
      <c r="AP197" s="316">
        <v>45979</v>
      </c>
      <c r="AQ197" s="314"/>
      <c r="AR197" s="315" t="str">
        <f t="shared" si="12"/>
        <v>FINALIZADO</v>
      </c>
      <c r="AS197" s="207" t="s">
        <v>4423</v>
      </c>
      <c r="AT197" s="207"/>
      <c r="AU197" s="220" t="s">
        <v>5278</v>
      </c>
      <c r="AV197" s="207" t="s">
        <v>4425</v>
      </c>
      <c r="AW197" s="207" t="s">
        <v>4425</v>
      </c>
      <c r="AX197" s="207" t="s">
        <v>4425</v>
      </c>
      <c r="AY197" s="207" t="s">
        <v>4425</v>
      </c>
      <c r="AZ197" s="202">
        <v>46014</v>
      </c>
      <c r="BA197" s="219" t="s">
        <v>4425</v>
      </c>
      <c r="BB197" s="207" t="s">
        <v>4425</v>
      </c>
      <c r="BC197" s="202">
        <v>46021</v>
      </c>
      <c r="BD197" s="227">
        <v>46021</v>
      </c>
      <c r="BE197" s="209">
        <v>46017</v>
      </c>
      <c r="BF197" s="197" t="s">
        <v>4412</v>
      </c>
      <c r="BG197" s="229" t="s">
        <v>4425</v>
      </c>
      <c r="BH197" s="321">
        <f t="shared" si="13"/>
        <v>42</v>
      </c>
      <c r="BI197" s="98" t="str">
        <f t="shared" si="14"/>
        <v>INDENIZAÇÃO</v>
      </c>
      <c r="BJ197" s="98" t="str">
        <f t="shared" si="15"/>
        <v>NÃO</v>
      </c>
      <c r="BK197" s="230" t="s">
        <v>4437</v>
      </c>
      <c r="BL197" s="230" t="s">
        <v>4437</v>
      </c>
      <c r="BM197" s="230" t="s">
        <v>4437</v>
      </c>
      <c r="BN197" s="207" t="s">
        <v>4425</v>
      </c>
      <c r="BO197" s="207" t="s">
        <v>4425</v>
      </c>
      <c r="BP197" s="202">
        <v>46182</v>
      </c>
      <c r="BQ197" s="207" t="s">
        <v>4425</v>
      </c>
      <c r="BR197" s="256" t="s">
        <v>4435</v>
      </c>
    </row>
    <row r="198" spans="1:73" s="240" customFormat="1" ht="27" hidden="1" customHeight="1">
      <c r="A198" s="207">
        <v>194</v>
      </c>
      <c r="B198" s="197" t="s">
        <v>4396</v>
      </c>
      <c r="C198" s="207" t="s">
        <v>4427</v>
      </c>
      <c r="D198" s="207">
        <v>1</v>
      </c>
      <c r="E198" s="207" t="s">
        <v>4398</v>
      </c>
      <c r="F198" s="214" t="s">
        <v>5274</v>
      </c>
      <c r="G198" s="207" t="s">
        <v>4400</v>
      </c>
      <c r="H198" s="207" t="s">
        <v>4401</v>
      </c>
      <c r="I198" s="217" t="s">
        <v>4402</v>
      </c>
      <c r="J198" s="215" t="s">
        <v>5279</v>
      </c>
      <c r="K198" s="215" t="s">
        <v>5280</v>
      </c>
      <c r="L198" s="215" t="s">
        <v>5281</v>
      </c>
      <c r="M198" s="207" t="s">
        <v>4405</v>
      </c>
      <c r="N198" s="207" t="s">
        <v>4406</v>
      </c>
      <c r="O198" s="202">
        <v>46002</v>
      </c>
      <c r="P198" s="202" t="s">
        <v>4407</v>
      </c>
      <c r="Q198" s="202">
        <v>45999</v>
      </c>
      <c r="R198" s="202">
        <v>46006</v>
      </c>
      <c r="S198" s="202">
        <v>46006</v>
      </c>
      <c r="T198" s="202">
        <v>46009</v>
      </c>
      <c r="U198" s="202" t="s">
        <v>4408</v>
      </c>
      <c r="V198" s="202" t="s">
        <v>4408</v>
      </c>
      <c r="W198" s="202">
        <v>46014</v>
      </c>
      <c r="X198" s="202">
        <v>46017</v>
      </c>
      <c r="Y198" s="202"/>
      <c r="Z198" s="207"/>
      <c r="AA198" s="215" t="s">
        <v>5279</v>
      </c>
      <c r="AB198" s="215" t="s">
        <v>5280</v>
      </c>
      <c r="AC198" s="215" t="s">
        <v>5281</v>
      </c>
      <c r="AD198" s="217" t="s">
        <v>4402</v>
      </c>
      <c r="AE198" s="207" t="s">
        <v>4405</v>
      </c>
      <c r="AF198" s="218" t="s">
        <v>4409</v>
      </c>
      <c r="AG198" s="218" t="s">
        <v>4409</v>
      </c>
      <c r="AH198" s="207" t="s">
        <v>4410</v>
      </c>
      <c r="AI198" s="214" t="s">
        <v>4411</v>
      </c>
      <c r="AJ198" s="207"/>
      <c r="AK198" s="316">
        <v>45988</v>
      </c>
      <c r="AL198" s="316">
        <v>45988</v>
      </c>
      <c r="AM198" s="316">
        <v>45988</v>
      </c>
      <c r="AN198" s="316">
        <v>45988</v>
      </c>
      <c r="AO198" s="316">
        <v>45988</v>
      </c>
      <c r="AP198" s="316">
        <v>45988</v>
      </c>
      <c r="AQ198" s="314"/>
      <c r="AR198" s="315" t="str">
        <f t="shared" ref="AR198:AR261" si="16">IF(AQ198="SIM","AGUARDANDO CORREÇÃO",IF(AP198&lt;&gt;"","FINALIZADO",IF(AO198&lt;&gt;"","AGUARDANDO ENVIO DTS",IF(AN198&lt;&gt;"","AGUARDANDO ASSINATURA GAB",IF(AM198&lt;&gt;"","AGUARDANDO ASSINATURA CTS",IF(AL198&lt;&gt;"","AGUARDANDO ENVIO ASSINATURA CTS",IF(AK198&lt;&gt;"","AGUARDANDO CONFERÊNCIA","")))))))</f>
        <v>FINALIZADO</v>
      </c>
      <c r="AS198" s="207"/>
      <c r="AT198" s="207"/>
      <c r="AU198" s="220"/>
      <c r="AV198" s="207"/>
      <c r="AW198" s="207"/>
      <c r="AX198" s="228"/>
      <c r="AY198" s="207"/>
      <c r="AZ198" s="202"/>
      <c r="BA198" s="219"/>
      <c r="BB198" s="207"/>
      <c r="BC198" s="202"/>
      <c r="BD198" s="208"/>
      <c r="BE198" s="202"/>
      <c r="BF198" s="207"/>
      <c r="BG198" s="229"/>
      <c r="BH198" s="321" t="str">
        <f t="shared" ref="BH198:BH261" si="17">IFERROR(IF(BD198-KI198=0,"",BD198-AK198),"")</f>
        <v/>
      </c>
      <c r="BI198" s="98" t="str">
        <f t="shared" ref="BI198:BI261" si="18">IF(AND(AH198&lt;&gt;"SIM",AH198="UH"),"AA","INDENIZAÇÃO")</f>
        <v>AA</v>
      </c>
      <c r="BJ198" s="98" t="str">
        <f t="shared" ref="BJ198:BJ261" si="19">IF(AND(BD198&lt;&gt;"AGUARDANDO",BD198&lt;&gt;"",N198="AUXÍLIO ALUGUEL ATÉ INDENIZAÇÃO"),"SIM","NÃO")</f>
        <v>NÃO</v>
      </c>
      <c r="BK198" s="230"/>
      <c r="BL198" s="230"/>
      <c r="BM198" s="230"/>
      <c r="BN198" s="230"/>
      <c r="BO198" s="230"/>
      <c r="BP198" s="230"/>
      <c r="BQ198" s="230"/>
      <c r="BR198" s="234"/>
    </row>
    <row r="199" spans="1:73" s="240" customFormat="1" ht="27" hidden="1" customHeight="1">
      <c r="A199" s="197">
        <v>195</v>
      </c>
      <c r="B199" s="197" t="s">
        <v>4396</v>
      </c>
      <c r="C199" s="207" t="s">
        <v>4453</v>
      </c>
      <c r="D199" s="207">
        <v>1</v>
      </c>
      <c r="E199" s="207" t="s">
        <v>4398</v>
      </c>
      <c r="F199" s="214" t="s">
        <v>5282</v>
      </c>
      <c r="G199" s="207" t="s">
        <v>4400</v>
      </c>
      <c r="H199" s="207" t="s">
        <v>4401</v>
      </c>
      <c r="I199" s="217" t="s">
        <v>4402</v>
      </c>
      <c r="J199" s="215" t="s">
        <v>5283</v>
      </c>
      <c r="K199" s="215" t="s">
        <v>5284</v>
      </c>
      <c r="L199" s="215" t="s">
        <v>5285</v>
      </c>
      <c r="M199" s="207" t="s">
        <v>4405</v>
      </c>
      <c r="N199" s="207" t="s">
        <v>4406</v>
      </c>
      <c r="O199" s="202">
        <v>45986</v>
      </c>
      <c r="P199" s="203" t="s">
        <v>4407</v>
      </c>
      <c r="Q199" s="203">
        <v>45985</v>
      </c>
      <c r="R199" s="203">
        <v>45986</v>
      </c>
      <c r="S199" s="203">
        <v>45987</v>
      </c>
      <c r="T199" s="203">
        <v>45992</v>
      </c>
      <c r="U199" s="202" t="s">
        <v>4408</v>
      </c>
      <c r="V199" s="202" t="s">
        <v>4408</v>
      </c>
      <c r="W199" s="202">
        <v>45999</v>
      </c>
      <c r="X199" s="202">
        <v>46006</v>
      </c>
      <c r="Y199" s="202">
        <v>46017</v>
      </c>
      <c r="Z199" s="207"/>
      <c r="AA199" s="215" t="s">
        <v>5283</v>
      </c>
      <c r="AB199" s="215" t="s">
        <v>5284</v>
      </c>
      <c r="AC199" s="215" t="s">
        <v>5285</v>
      </c>
      <c r="AD199" s="204" t="s">
        <v>4402</v>
      </c>
      <c r="AE199" s="204" t="s">
        <v>4405</v>
      </c>
      <c r="AF199" s="205" t="s">
        <v>4409</v>
      </c>
      <c r="AG199" s="205" t="s">
        <v>4409</v>
      </c>
      <c r="AH199" s="204" t="s">
        <v>4410</v>
      </c>
      <c r="AI199" s="214" t="s">
        <v>4411</v>
      </c>
      <c r="AJ199" s="207"/>
      <c r="AK199" s="316">
        <v>45996</v>
      </c>
      <c r="AL199" s="316">
        <v>45996</v>
      </c>
      <c r="AM199" s="316">
        <v>45996</v>
      </c>
      <c r="AN199" s="316">
        <v>45996</v>
      </c>
      <c r="AO199" s="316">
        <v>45996</v>
      </c>
      <c r="AP199" s="316">
        <v>45996</v>
      </c>
      <c r="AQ199" s="314"/>
      <c r="AR199" s="315" t="str">
        <f t="shared" si="16"/>
        <v>FINALIZADO</v>
      </c>
      <c r="AS199" s="207"/>
      <c r="AT199" s="207"/>
      <c r="AU199" s="220"/>
      <c r="AV199" s="207"/>
      <c r="AW199" s="207"/>
      <c r="AX199" s="228"/>
      <c r="AY199" s="207"/>
      <c r="AZ199" s="202"/>
      <c r="BA199" s="219"/>
      <c r="BB199" s="207"/>
      <c r="BC199" s="202"/>
      <c r="BD199" s="208"/>
      <c r="BE199" s="209">
        <v>46017</v>
      </c>
      <c r="BF199" s="207" t="s">
        <v>4412</v>
      </c>
      <c r="BG199" s="229"/>
      <c r="BH199" s="321" t="str">
        <f t="shared" si="17"/>
        <v/>
      </c>
      <c r="BI199" s="98" t="str">
        <f t="shared" si="18"/>
        <v>AA</v>
      </c>
      <c r="BJ199" s="98" t="str">
        <f t="shared" si="19"/>
        <v>NÃO</v>
      </c>
      <c r="BK199" s="230"/>
      <c r="BL199" s="230"/>
      <c r="BM199" s="230"/>
      <c r="BN199" s="230"/>
      <c r="BO199" s="230"/>
      <c r="BP199" s="230"/>
      <c r="BQ199" s="230"/>
      <c r="BR199" s="234"/>
    </row>
    <row r="200" spans="1:73" s="240" customFormat="1" ht="27" hidden="1" customHeight="1">
      <c r="A200" s="197">
        <v>196</v>
      </c>
      <c r="B200" s="197" t="s">
        <v>4396</v>
      </c>
      <c r="C200" s="207" t="s">
        <v>4427</v>
      </c>
      <c r="D200" s="207">
        <v>1</v>
      </c>
      <c r="E200" s="207" t="s">
        <v>4398</v>
      </c>
      <c r="F200" s="214" t="s">
        <v>5282</v>
      </c>
      <c r="G200" s="207" t="s">
        <v>4400</v>
      </c>
      <c r="H200" s="207" t="s">
        <v>4401</v>
      </c>
      <c r="I200" s="217" t="s">
        <v>4402</v>
      </c>
      <c r="J200" s="215" t="s">
        <v>5286</v>
      </c>
      <c r="K200" s="215" t="s">
        <v>4398</v>
      </c>
      <c r="L200" s="215" t="s">
        <v>5287</v>
      </c>
      <c r="M200" s="207" t="s">
        <v>4405</v>
      </c>
      <c r="N200" s="207" t="s">
        <v>4442</v>
      </c>
      <c r="O200" s="202" t="s">
        <v>4409</v>
      </c>
      <c r="P200" s="202" t="s">
        <v>4409</v>
      </c>
      <c r="Q200" s="202" t="s">
        <v>4409</v>
      </c>
      <c r="R200" s="202" t="s">
        <v>4409</v>
      </c>
      <c r="S200" s="202" t="s">
        <v>4409</v>
      </c>
      <c r="T200" s="202" t="s">
        <v>4409</v>
      </c>
      <c r="U200" s="202" t="s">
        <v>4409</v>
      </c>
      <c r="V200" s="202" t="s">
        <v>4409</v>
      </c>
      <c r="W200" s="202" t="s">
        <v>4409</v>
      </c>
      <c r="X200" s="202" t="s">
        <v>4409</v>
      </c>
      <c r="Y200" s="202"/>
      <c r="Z200" s="207"/>
      <c r="AA200" s="215" t="s">
        <v>5286</v>
      </c>
      <c r="AB200" s="215" t="s">
        <v>4398</v>
      </c>
      <c r="AC200" s="215" t="s">
        <v>5287</v>
      </c>
      <c r="AD200" s="204" t="s">
        <v>4402</v>
      </c>
      <c r="AE200" s="204" t="s">
        <v>4405</v>
      </c>
      <c r="AF200" s="243">
        <v>37801.07</v>
      </c>
      <c r="AG200" s="243">
        <v>60000</v>
      </c>
      <c r="AH200" s="197" t="s">
        <v>4433</v>
      </c>
      <c r="AI200" s="214" t="s">
        <v>4411</v>
      </c>
      <c r="AJ200" s="207">
        <v>148259487</v>
      </c>
      <c r="AK200" s="316">
        <v>46038</v>
      </c>
      <c r="AL200" s="316">
        <v>46038</v>
      </c>
      <c r="AM200" s="316">
        <v>46038</v>
      </c>
      <c r="AN200" s="316">
        <v>46038</v>
      </c>
      <c r="AO200" s="316">
        <v>46038</v>
      </c>
      <c r="AP200" s="316">
        <v>46038</v>
      </c>
      <c r="AQ200" s="314"/>
      <c r="AR200" s="315" t="str">
        <f t="shared" si="16"/>
        <v>FINALIZADO</v>
      </c>
      <c r="AS200" s="207" t="s">
        <v>4423</v>
      </c>
      <c r="AT200" s="207"/>
      <c r="AU200" s="220" t="s">
        <v>5288</v>
      </c>
      <c r="AV200" s="207" t="s">
        <v>4425</v>
      </c>
      <c r="AW200" s="207" t="s">
        <v>4425</v>
      </c>
      <c r="AX200" s="250" t="s">
        <v>4425</v>
      </c>
      <c r="AY200" s="207" t="s">
        <v>4425</v>
      </c>
      <c r="AZ200" s="202">
        <v>46125</v>
      </c>
      <c r="BA200" s="207" t="s">
        <v>4425</v>
      </c>
      <c r="BB200" s="207" t="s">
        <v>4425</v>
      </c>
      <c r="BC200" s="202">
        <v>46155</v>
      </c>
      <c r="BD200" s="227">
        <v>46155</v>
      </c>
      <c r="BE200" s="244" t="s">
        <v>4435</v>
      </c>
      <c r="BF200" s="245" t="s">
        <v>4436</v>
      </c>
      <c r="BG200" s="229" t="s">
        <v>4425</v>
      </c>
      <c r="BH200" s="321">
        <f t="shared" si="17"/>
        <v>117</v>
      </c>
      <c r="BI200" s="98" t="str">
        <f t="shared" si="18"/>
        <v>INDENIZAÇÃO</v>
      </c>
      <c r="BJ200" s="98" t="str">
        <f t="shared" si="19"/>
        <v>NÃO</v>
      </c>
      <c r="BK200" s="230" t="s">
        <v>4437</v>
      </c>
      <c r="BL200" s="230" t="s">
        <v>4437</v>
      </c>
      <c r="BM200" s="230" t="s">
        <v>4437</v>
      </c>
      <c r="BN200" s="207" t="s">
        <v>4425</v>
      </c>
      <c r="BO200" s="207" t="s">
        <v>4425</v>
      </c>
      <c r="BP200" s="202">
        <v>46224</v>
      </c>
      <c r="BQ200" s="207" t="s">
        <v>4425</v>
      </c>
      <c r="BR200" s="232" t="s">
        <v>4435</v>
      </c>
    </row>
    <row r="201" spans="1:73" s="240" customFormat="1" ht="27" hidden="1" customHeight="1">
      <c r="A201" s="207">
        <v>197</v>
      </c>
      <c r="B201" s="197" t="s">
        <v>4396</v>
      </c>
      <c r="C201" s="207" t="s">
        <v>4427</v>
      </c>
      <c r="D201" s="207">
        <v>1</v>
      </c>
      <c r="E201" s="207" t="s">
        <v>4398</v>
      </c>
      <c r="F201" s="214" t="s">
        <v>5289</v>
      </c>
      <c r="G201" s="207" t="s">
        <v>4400</v>
      </c>
      <c r="H201" s="207" t="s">
        <v>4401</v>
      </c>
      <c r="I201" s="217" t="s">
        <v>4536</v>
      </c>
      <c r="J201" s="215" t="s">
        <v>5290</v>
      </c>
      <c r="K201" s="215" t="s">
        <v>5291</v>
      </c>
      <c r="L201" s="215" t="s">
        <v>5292</v>
      </c>
      <c r="M201" s="207" t="s">
        <v>4405</v>
      </c>
      <c r="N201" s="207" t="s">
        <v>4406</v>
      </c>
      <c r="O201" s="202">
        <v>46002</v>
      </c>
      <c r="P201" s="202" t="s">
        <v>4407</v>
      </c>
      <c r="Q201" s="202">
        <v>45999</v>
      </c>
      <c r="R201" s="202">
        <v>46006</v>
      </c>
      <c r="S201" s="202">
        <v>46006</v>
      </c>
      <c r="T201" s="202">
        <v>46009</v>
      </c>
      <c r="U201" s="202" t="s">
        <v>4408</v>
      </c>
      <c r="V201" s="202" t="s">
        <v>4408</v>
      </c>
      <c r="W201" s="202">
        <v>46014</v>
      </c>
      <c r="X201" s="202">
        <v>46017</v>
      </c>
      <c r="Y201" s="202"/>
      <c r="Z201" s="207"/>
      <c r="AA201" s="215" t="s">
        <v>5290</v>
      </c>
      <c r="AB201" s="215" t="s">
        <v>5291</v>
      </c>
      <c r="AC201" s="215" t="s">
        <v>5292</v>
      </c>
      <c r="AD201" s="217" t="s">
        <v>4402</v>
      </c>
      <c r="AE201" s="207" t="s">
        <v>4405</v>
      </c>
      <c r="AF201" s="218" t="s">
        <v>4409</v>
      </c>
      <c r="AG201" s="218" t="s">
        <v>4409</v>
      </c>
      <c r="AH201" s="207" t="s">
        <v>4410</v>
      </c>
      <c r="AI201" s="214" t="s">
        <v>4411</v>
      </c>
      <c r="AJ201" s="207"/>
      <c r="AK201" s="316">
        <v>45988</v>
      </c>
      <c r="AL201" s="316">
        <v>45988</v>
      </c>
      <c r="AM201" s="316">
        <v>45988</v>
      </c>
      <c r="AN201" s="316">
        <v>45988</v>
      </c>
      <c r="AO201" s="316">
        <v>45988</v>
      </c>
      <c r="AP201" s="316">
        <v>45988</v>
      </c>
      <c r="AQ201" s="314"/>
      <c r="AR201" s="315" t="str">
        <f t="shared" si="16"/>
        <v>FINALIZADO</v>
      </c>
      <c r="AS201" s="207"/>
      <c r="AT201" s="207"/>
      <c r="AU201" s="220"/>
      <c r="AV201" s="207"/>
      <c r="AW201" s="207"/>
      <c r="AX201" s="228"/>
      <c r="AY201" s="207"/>
      <c r="AZ201" s="202"/>
      <c r="BA201" s="219"/>
      <c r="BB201" s="207"/>
      <c r="BC201" s="202"/>
      <c r="BD201" s="208"/>
      <c r="BE201" s="201"/>
      <c r="BF201" s="207"/>
      <c r="BG201" s="229"/>
      <c r="BH201" s="321" t="str">
        <f t="shared" si="17"/>
        <v/>
      </c>
      <c r="BI201" s="98" t="str">
        <f t="shared" si="18"/>
        <v>AA</v>
      </c>
      <c r="BJ201" s="98" t="str">
        <f t="shared" si="19"/>
        <v>NÃO</v>
      </c>
      <c r="BK201" s="230"/>
      <c r="BL201" s="230"/>
      <c r="BM201" s="230"/>
      <c r="BN201" s="230"/>
      <c r="BO201" s="230"/>
      <c r="BP201" s="230"/>
      <c r="BQ201" s="230"/>
      <c r="BR201" s="234"/>
      <c r="BS201" s="223"/>
      <c r="BT201" s="223"/>
    </row>
    <row r="202" spans="1:73" s="240" customFormat="1" ht="27" hidden="1" customHeight="1">
      <c r="A202" s="207">
        <v>198</v>
      </c>
      <c r="B202" s="197" t="s">
        <v>4396</v>
      </c>
      <c r="C202" s="207" t="s">
        <v>4427</v>
      </c>
      <c r="D202" s="207">
        <v>1</v>
      </c>
      <c r="E202" s="207" t="s">
        <v>4398</v>
      </c>
      <c r="F202" s="214" t="s">
        <v>5293</v>
      </c>
      <c r="G202" s="207" t="s">
        <v>4400</v>
      </c>
      <c r="H202" s="207" t="s">
        <v>4401</v>
      </c>
      <c r="I202" s="217" t="s">
        <v>4536</v>
      </c>
      <c r="J202" s="215" t="s">
        <v>5294</v>
      </c>
      <c r="K202" s="215" t="s">
        <v>5295</v>
      </c>
      <c r="L202" s="215" t="s">
        <v>5296</v>
      </c>
      <c r="M202" s="207" t="s">
        <v>4405</v>
      </c>
      <c r="N202" s="207" t="s">
        <v>4406</v>
      </c>
      <c r="O202" s="202">
        <v>46002</v>
      </c>
      <c r="P202" s="202" t="s">
        <v>4407</v>
      </c>
      <c r="Q202" s="202">
        <v>45999</v>
      </c>
      <c r="R202" s="202">
        <v>46006</v>
      </c>
      <c r="S202" s="202">
        <v>46006</v>
      </c>
      <c r="T202" s="202">
        <v>46009</v>
      </c>
      <c r="U202" s="202" t="s">
        <v>4408</v>
      </c>
      <c r="V202" s="202" t="s">
        <v>4408</v>
      </c>
      <c r="W202" s="202">
        <v>46014</v>
      </c>
      <c r="X202" s="202">
        <v>46017</v>
      </c>
      <c r="Y202" s="202"/>
      <c r="Z202" s="207"/>
      <c r="AA202" s="215" t="s">
        <v>5294</v>
      </c>
      <c r="AB202" s="215" t="s">
        <v>5295</v>
      </c>
      <c r="AC202" s="215" t="s">
        <v>5296</v>
      </c>
      <c r="AD202" s="217" t="s">
        <v>4402</v>
      </c>
      <c r="AE202" s="207" t="s">
        <v>4405</v>
      </c>
      <c r="AF202" s="218" t="s">
        <v>4409</v>
      </c>
      <c r="AG202" s="218" t="s">
        <v>4409</v>
      </c>
      <c r="AH202" s="207" t="s">
        <v>4410</v>
      </c>
      <c r="AI202" s="214" t="s">
        <v>4411</v>
      </c>
      <c r="AJ202" s="207"/>
      <c r="AK202" s="316">
        <v>45988</v>
      </c>
      <c r="AL202" s="316">
        <v>45988</v>
      </c>
      <c r="AM202" s="316">
        <v>45988</v>
      </c>
      <c r="AN202" s="316">
        <v>45988</v>
      </c>
      <c r="AO202" s="316">
        <v>45988</v>
      </c>
      <c r="AP202" s="316">
        <v>45988</v>
      </c>
      <c r="AQ202" s="314"/>
      <c r="AR202" s="315" t="str">
        <f t="shared" si="16"/>
        <v>FINALIZADO</v>
      </c>
      <c r="AS202" s="207"/>
      <c r="AT202" s="207"/>
      <c r="AU202" s="220"/>
      <c r="AV202" s="207"/>
      <c r="AW202" s="207"/>
      <c r="AX202" s="228"/>
      <c r="AY202" s="207"/>
      <c r="AZ202" s="202"/>
      <c r="BA202" s="219"/>
      <c r="BB202" s="207"/>
      <c r="BC202" s="202"/>
      <c r="BD202" s="208"/>
      <c r="BE202" s="202"/>
      <c r="BF202" s="207"/>
      <c r="BG202" s="229"/>
      <c r="BH202" s="321" t="str">
        <f t="shared" si="17"/>
        <v/>
      </c>
      <c r="BI202" s="98" t="str">
        <f t="shared" si="18"/>
        <v>AA</v>
      </c>
      <c r="BJ202" s="98" t="str">
        <f t="shared" si="19"/>
        <v>NÃO</v>
      </c>
      <c r="BK202" s="230"/>
      <c r="BL202" s="230"/>
      <c r="BM202" s="230"/>
      <c r="BN202" s="230"/>
      <c r="BO202" s="230"/>
      <c r="BP202" s="230"/>
      <c r="BQ202" s="230"/>
      <c r="BR202" s="234"/>
    </row>
    <row r="203" spans="1:73" s="240" customFormat="1" ht="27" hidden="1" customHeight="1">
      <c r="A203" s="207">
        <v>199</v>
      </c>
      <c r="B203" s="197" t="s">
        <v>4396</v>
      </c>
      <c r="C203" s="207" t="s">
        <v>5297</v>
      </c>
      <c r="D203" s="207">
        <v>1</v>
      </c>
      <c r="E203" s="207" t="s">
        <v>4398</v>
      </c>
      <c r="F203" s="214" t="s">
        <v>5298</v>
      </c>
      <c r="G203" s="207" t="s">
        <v>4400</v>
      </c>
      <c r="H203" s="207" t="s">
        <v>4401</v>
      </c>
      <c r="I203" s="217" t="s">
        <v>4402</v>
      </c>
      <c r="J203" s="215" t="s">
        <v>5299</v>
      </c>
      <c r="K203" s="215" t="s">
        <v>5300</v>
      </c>
      <c r="L203" s="215" t="s">
        <v>5301</v>
      </c>
      <c r="M203" s="207" t="s">
        <v>4405</v>
      </c>
      <c r="N203" s="207" t="s">
        <v>4406</v>
      </c>
      <c r="O203" s="202">
        <v>45986</v>
      </c>
      <c r="P203" s="203" t="s">
        <v>4407</v>
      </c>
      <c r="Q203" s="203">
        <v>45985</v>
      </c>
      <c r="R203" s="203">
        <v>45986</v>
      </c>
      <c r="S203" s="203">
        <v>45987</v>
      </c>
      <c r="T203" s="203">
        <v>45992</v>
      </c>
      <c r="U203" s="202" t="s">
        <v>4408</v>
      </c>
      <c r="V203" s="202" t="s">
        <v>4408</v>
      </c>
      <c r="W203" s="202">
        <v>45999</v>
      </c>
      <c r="X203" s="202">
        <v>46000</v>
      </c>
      <c r="Y203" s="202">
        <v>46017</v>
      </c>
      <c r="Z203" s="207"/>
      <c r="AA203" s="215" t="s">
        <v>5299</v>
      </c>
      <c r="AB203" s="215" t="s">
        <v>5300</v>
      </c>
      <c r="AC203" s="215" t="s">
        <v>5301</v>
      </c>
      <c r="AD203" s="241" t="s">
        <v>4402</v>
      </c>
      <c r="AE203" s="241" t="s">
        <v>4405</v>
      </c>
      <c r="AF203" s="242" t="s">
        <v>4409</v>
      </c>
      <c r="AG203" s="242" t="s">
        <v>4409</v>
      </c>
      <c r="AH203" s="241" t="s">
        <v>4410</v>
      </c>
      <c r="AI203" s="214" t="s">
        <v>4411</v>
      </c>
      <c r="AJ203" s="207"/>
      <c r="AK203" s="316">
        <v>45979</v>
      </c>
      <c r="AL203" s="316">
        <v>45979</v>
      </c>
      <c r="AM203" s="316">
        <v>45979</v>
      </c>
      <c r="AN203" s="316">
        <v>45979</v>
      </c>
      <c r="AO203" s="316">
        <v>45979</v>
      </c>
      <c r="AP203" s="316">
        <v>45979</v>
      </c>
      <c r="AQ203" s="314"/>
      <c r="AR203" s="315" t="str">
        <f t="shared" si="16"/>
        <v>FINALIZADO</v>
      </c>
      <c r="AS203" s="207"/>
      <c r="AT203" s="217"/>
      <c r="AU203" s="220"/>
      <c r="AV203" s="207"/>
      <c r="AW203" s="207"/>
      <c r="AX203" s="228"/>
      <c r="AY203" s="160"/>
      <c r="AZ203" s="267"/>
      <c r="BA203" s="219"/>
      <c r="BB203" s="207"/>
      <c r="BC203" s="202"/>
      <c r="BD203" s="208"/>
      <c r="BE203" s="239">
        <v>46017</v>
      </c>
      <c r="BF203" s="207" t="s">
        <v>4412</v>
      </c>
      <c r="BG203" s="229"/>
      <c r="BH203" s="321" t="str">
        <f t="shared" si="17"/>
        <v/>
      </c>
      <c r="BI203" s="98" t="str">
        <f t="shared" si="18"/>
        <v>AA</v>
      </c>
      <c r="BJ203" s="98" t="str">
        <f t="shared" si="19"/>
        <v>NÃO</v>
      </c>
      <c r="BK203" s="230"/>
      <c r="BL203" s="230"/>
      <c r="BM203" s="230"/>
      <c r="BN203" s="230"/>
      <c r="BO203" s="230"/>
      <c r="BP203" s="230"/>
      <c r="BQ203" s="230"/>
      <c r="BR203" s="234"/>
    </row>
    <row r="204" spans="1:73" s="240" customFormat="1" ht="27" hidden="1" customHeight="1">
      <c r="A204" s="197">
        <v>200</v>
      </c>
      <c r="B204" s="197" t="s">
        <v>4396</v>
      </c>
      <c r="C204" s="207" t="s">
        <v>4427</v>
      </c>
      <c r="D204" s="207">
        <v>1</v>
      </c>
      <c r="E204" s="207" t="s">
        <v>4398</v>
      </c>
      <c r="F204" s="214" t="s">
        <v>5298</v>
      </c>
      <c r="G204" s="207" t="s">
        <v>4400</v>
      </c>
      <c r="H204" s="207" t="s">
        <v>4401</v>
      </c>
      <c r="I204" s="217" t="s">
        <v>4414</v>
      </c>
      <c r="J204" s="215" t="s">
        <v>5302</v>
      </c>
      <c r="K204" s="215" t="s">
        <v>4398</v>
      </c>
      <c r="L204" s="215" t="s">
        <v>5303</v>
      </c>
      <c r="M204" s="207" t="s">
        <v>4405</v>
      </c>
      <c r="N204" s="207" t="s">
        <v>4406</v>
      </c>
      <c r="O204" s="203">
        <v>46044</v>
      </c>
      <c r="P204" s="203" t="s">
        <v>4407</v>
      </c>
      <c r="Q204" s="203">
        <v>46043</v>
      </c>
      <c r="R204" s="203">
        <v>46044</v>
      </c>
      <c r="S204" s="203">
        <v>46045</v>
      </c>
      <c r="T204" s="203">
        <v>46155</v>
      </c>
      <c r="U204" s="202" t="s">
        <v>4408</v>
      </c>
      <c r="V204" s="202" t="s">
        <v>4408</v>
      </c>
      <c r="W204" s="202">
        <v>46055</v>
      </c>
      <c r="X204" s="202">
        <v>46115</v>
      </c>
      <c r="Y204" s="202"/>
      <c r="Z204" s="207"/>
      <c r="AA204" s="215" t="s">
        <v>5304</v>
      </c>
      <c r="AB204" s="246" t="s">
        <v>5305</v>
      </c>
      <c r="AC204" s="272" t="s">
        <v>5306</v>
      </c>
      <c r="AD204" s="199" t="s">
        <v>4421</v>
      </c>
      <c r="AE204" s="197" t="s">
        <v>4405</v>
      </c>
      <c r="AF204" s="218">
        <v>16706.66</v>
      </c>
      <c r="AG204" s="218">
        <v>16706.66</v>
      </c>
      <c r="AH204" s="207" t="s">
        <v>4422</v>
      </c>
      <c r="AI204" s="214" t="s">
        <v>4411</v>
      </c>
      <c r="AJ204" s="207">
        <v>152307104</v>
      </c>
      <c r="AK204" s="316">
        <v>46086</v>
      </c>
      <c r="AL204" s="316">
        <v>46086</v>
      </c>
      <c r="AM204" s="316">
        <v>46086</v>
      </c>
      <c r="AN204" s="316">
        <v>46086</v>
      </c>
      <c r="AO204" s="316">
        <v>46086</v>
      </c>
      <c r="AP204" s="316">
        <v>46086</v>
      </c>
      <c r="AQ204" s="314"/>
      <c r="AR204" s="315" t="str">
        <f t="shared" si="16"/>
        <v>FINALIZADO</v>
      </c>
      <c r="AS204" s="207" t="s">
        <v>4423</v>
      </c>
      <c r="AT204" s="217"/>
      <c r="AU204" s="220" t="s">
        <v>5307</v>
      </c>
      <c r="AV204" s="207" t="s">
        <v>4425</v>
      </c>
      <c r="AW204" s="207" t="s">
        <v>4425</v>
      </c>
      <c r="AX204" s="250" t="s">
        <v>4425</v>
      </c>
      <c r="AY204" s="197" t="s">
        <v>4425</v>
      </c>
      <c r="AZ204" s="202">
        <v>46153</v>
      </c>
      <c r="BA204" s="207" t="s">
        <v>4425</v>
      </c>
      <c r="BB204" s="207" t="s">
        <v>4425</v>
      </c>
      <c r="BC204" s="202">
        <v>46160</v>
      </c>
      <c r="BD204" s="227">
        <v>46160</v>
      </c>
      <c r="BE204" s="227" t="s">
        <v>4435</v>
      </c>
      <c r="BF204" s="228" t="s">
        <v>4436</v>
      </c>
      <c r="BG204" s="219" t="s">
        <v>4425</v>
      </c>
      <c r="BH204" s="321">
        <f t="shared" si="17"/>
        <v>74</v>
      </c>
      <c r="BI204" s="98" t="str">
        <f t="shared" si="18"/>
        <v>INDENIZAÇÃO</v>
      </c>
      <c r="BJ204" s="98" t="str">
        <f t="shared" si="19"/>
        <v>NÃO</v>
      </c>
      <c r="BK204" s="219" t="s">
        <v>4437</v>
      </c>
      <c r="BL204" s="219" t="s">
        <v>4437</v>
      </c>
      <c r="BM204" s="219" t="s">
        <v>4437</v>
      </c>
      <c r="BN204" s="207" t="s">
        <v>4425</v>
      </c>
      <c r="BO204" s="207" t="s">
        <v>4425</v>
      </c>
      <c r="BP204" s="202">
        <v>46224</v>
      </c>
      <c r="BQ204" s="207" t="s">
        <v>4425</v>
      </c>
      <c r="BR204" s="232" t="s">
        <v>4435</v>
      </c>
    </row>
    <row r="205" spans="1:73" s="240" customFormat="1" ht="27" hidden="1" customHeight="1">
      <c r="A205" s="197">
        <v>201</v>
      </c>
      <c r="B205" s="197" t="s">
        <v>4396</v>
      </c>
      <c r="C205" s="207" t="s">
        <v>5297</v>
      </c>
      <c r="D205" s="207">
        <v>1</v>
      </c>
      <c r="E205" s="207" t="s">
        <v>4398</v>
      </c>
      <c r="F205" s="214" t="s">
        <v>5308</v>
      </c>
      <c r="G205" s="207" t="s">
        <v>4400</v>
      </c>
      <c r="H205" s="207" t="s">
        <v>4401</v>
      </c>
      <c r="I205" s="217" t="s">
        <v>4402</v>
      </c>
      <c r="J205" s="215" t="s">
        <v>5309</v>
      </c>
      <c r="K205" s="215" t="s">
        <v>5310</v>
      </c>
      <c r="L205" s="215" t="s">
        <v>5311</v>
      </c>
      <c r="M205" s="207" t="s">
        <v>4405</v>
      </c>
      <c r="N205" s="207" t="s">
        <v>4442</v>
      </c>
      <c r="O205" s="202" t="s">
        <v>4409</v>
      </c>
      <c r="P205" s="202" t="s">
        <v>4409</v>
      </c>
      <c r="Q205" s="202" t="s">
        <v>4409</v>
      </c>
      <c r="R205" s="202" t="s">
        <v>4409</v>
      </c>
      <c r="S205" s="202" t="s">
        <v>4409</v>
      </c>
      <c r="T205" s="202" t="s">
        <v>4409</v>
      </c>
      <c r="U205" s="202" t="s">
        <v>4409</v>
      </c>
      <c r="V205" s="202" t="s">
        <v>4409</v>
      </c>
      <c r="W205" s="202" t="s">
        <v>4409</v>
      </c>
      <c r="X205" s="202" t="s">
        <v>4409</v>
      </c>
      <c r="Y205" s="202"/>
      <c r="Z205" s="207"/>
      <c r="AA205" s="200" t="s">
        <v>5309</v>
      </c>
      <c r="AB205" s="198" t="s">
        <v>5310</v>
      </c>
      <c r="AC205" s="198" t="s">
        <v>5311</v>
      </c>
      <c r="AD205" s="204" t="s">
        <v>4402</v>
      </c>
      <c r="AE205" s="204" t="s">
        <v>4405</v>
      </c>
      <c r="AF205" s="243">
        <v>13707.29</v>
      </c>
      <c r="AG205" s="243">
        <f>AF205+30000</f>
        <v>43707.29</v>
      </c>
      <c r="AH205" s="197" t="s">
        <v>4433</v>
      </c>
      <c r="AI205" s="214" t="s">
        <v>4411</v>
      </c>
      <c r="AJ205" s="207">
        <v>146041017</v>
      </c>
      <c r="AK205" s="316">
        <v>45979</v>
      </c>
      <c r="AL205" s="316">
        <v>45979</v>
      </c>
      <c r="AM205" s="316">
        <v>45979</v>
      </c>
      <c r="AN205" s="316">
        <v>45979</v>
      </c>
      <c r="AO205" s="316">
        <v>45979</v>
      </c>
      <c r="AP205" s="316">
        <v>45979</v>
      </c>
      <c r="AQ205" s="314"/>
      <c r="AR205" s="315" t="str">
        <f t="shared" si="16"/>
        <v>FINALIZADO</v>
      </c>
      <c r="AS205" s="207" t="s">
        <v>4423</v>
      </c>
      <c r="AT205" s="207"/>
      <c r="AU205" s="220" t="s">
        <v>5312</v>
      </c>
      <c r="AV205" s="207" t="s">
        <v>4425</v>
      </c>
      <c r="AW205" s="207" t="s">
        <v>4425</v>
      </c>
      <c r="AX205" s="207" t="s">
        <v>4425</v>
      </c>
      <c r="AY205" s="207" t="s">
        <v>4425</v>
      </c>
      <c r="AZ205" s="202">
        <v>46014</v>
      </c>
      <c r="BA205" s="219" t="s">
        <v>4425</v>
      </c>
      <c r="BB205" s="207" t="s">
        <v>4425</v>
      </c>
      <c r="BC205" s="202">
        <v>46021</v>
      </c>
      <c r="BD205" s="227">
        <v>46021</v>
      </c>
      <c r="BE205" s="239">
        <v>46017</v>
      </c>
      <c r="BF205" s="207" t="s">
        <v>4412</v>
      </c>
      <c r="BG205" s="229" t="s">
        <v>4425</v>
      </c>
      <c r="BH205" s="321">
        <f t="shared" si="17"/>
        <v>42</v>
      </c>
      <c r="BI205" s="98" t="str">
        <f t="shared" si="18"/>
        <v>INDENIZAÇÃO</v>
      </c>
      <c r="BJ205" s="98" t="str">
        <f t="shared" si="19"/>
        <v>NÃO</v>
      </c>
      <c r="BK205" s="230" t="s">
        <v>4437</v>
      </c>
      <c r="BL205" s="230" t="s">
        <v>4437</v>
      </c>
      <c r="BM205" s="230" t="s">
        <v>4437</v>
      </c>
      <c r="BN205" s="207" t="s">
        <v>4425</v>
      </c>
      <c r="BO205" s="207" t="s">
        <v>4425</v>
      </c>
      <c r="BP205" s="202">
        <v>46182</v>
      </c>
      <c r="BQ205" s="207" t="s">
        <v>4425</v>
      </c>
      <c r="BR205" s="256" t="s">
        <v>4435</v>
      </c>
      <c r="BS205" s="223"/>
      <c r="BT205" s="223"/>
      <c r="BU205" s="223"/>
    </row>
    <row r="206" spans="1:73" s="240" customFormat="1" ht="27" hidden="1" customHeight="1">
      <c r="A206" s="207">
        <v>202</v>
      </c>
      <c r="B206" s="197" t="s">
        <v>4396</v>
      </c>
      <c r="C206" s="207" t="s">
        <v>4427</v>
      </c>
      <c r="D206" s="207">
        <v>1</v>
      </c>
      <c r="E206" s="207" t="s">
        <v>4398</v>
      </c>
      <c r="F206" s="214" t="s">
        <v>5308</v>
      </c>
      <c r="G206" s="207" t="s">
        <v>4400</v>
      </c>
      <c r="H206" s="207" t="s">
        <v>4401</v>
      </c>
      <c r="I206" s="217" t="s">
        <v>4414</v>
      </c>
      <c r="J206" s="215" t="s">
        <v>5313</v>
      </c>
      <c r="K206" s="215" t="s">
        <v>5314</v>
      </c>
      <c r="L206" s="215" t="s">
        <v>5315</v>
      </c>
      <c r="M206" s="207" t="s">
        <v>4405</v>
      </c>
      <c r="N206" s="207" t="s">
        <v>4406</v>
      </c>
      <c r="O206" s="203">
        <v>46031</v>
      </c>
      <c r="P206" s="202" t="s">
        <v>4407</v>
      </c>
      <c r="Q206" s="203">
        <v>46030</v>
      </c>
      <c r="R206" s="203">
        <v>46031</v>
      </c>
      <c r="S206" s="203">
        <v>46036</v>
      </c>
      <c r="T206" s="203">
        <v>46045</v>
      </c>
      <c r="U206" s="203" t="s">
        <v>4408</v>
      </c>
      <c r="V206" s="203" t="s">
        <v>4408</v>
      </c>
      <c r="W206" s="202">
        <v>46055</v>
      </c>
      <c r="X206" s="202" t="s">
        <v>4440</v>
      </c>
      <c r="Y206" s="202"/>
      <c r="Z206" s="217" t="s">
        <v>5316</v>
      </c>
      <c r="AA206" s="215" t="s">
        <v>5317</v>
      </c>
      <c r="AB206" s="214" t="s">
        <v>5318</v>
      </c>
      <c r="AC206" s="214" t="s">
        <v>5319</v>
      </c>
      <c r="AD206" s="217" t="s">
        <v>4421</v>
      </c>
      <c r="AE206" s="207" t="s">
        <v>4405</v>
      </c>
      <c r="AF206" s="218">
        <v>36865.35</v>
      </c>
      <c r="AG206" s="218">
        <v>36865.35</v>
      </c>
      <c r="AH206" s="207" t="s">
        <v>4422</v>
      </c>
      <c r="AI206" s="214" t="s">
        <v>4411</v>
      </c>
      <c r="AJ206" s="207">
        <v>154259383</v>
      </c>
      <c r="AK206" s="316">
        <v>46093</v>
      </c>
      <c r="AL206" s="316">
        <v>46093</v>
      </c>
      <c r="AM206" s="316">
        <v>46093</v>
      </c>
      <c r="AN206" s="316">
        <v>46093</v>
      </c>
      <c r="AO206" s="316">
        <v>46093</v>
      </c>
      <c r="AP206" s="316">
        <v>46093</v>
      </c>
      <c r="AQ206" s="314"/>
      <c r="AR206" s="315" t="str">
        <f t="shared" si="16"/>
        <v>FINALIZADO</v>
      </c>
      <c r="AS206" s="207" t="s">
        <v>4423</v>
      </c>
      <c r="AT206" s="217"/>
      <c r="AU206" s="220" t="s">
        <v>5320</v>
      </c>
      <c r="AV206" s="207" t="s">
        <v>4425</v>
      </c>
      <c r="AW206" s="207" t="s">
        <v>4425</v>
      </c>
      <c r="AX206" s="207" t="s">
        <v>4425</v>
      </c>
      <c r="AY206" s="197" t="s">
        <v>4425</v>
      </c>
      <c r="AZ206" s="202">
        <v>46153</v>
      </c>
      <c r="BA206" s="207" t="s">
        <v>4425</v>
      </c>
      <c r="BB206" s="207" t="s">
        <v>4425</v>
      </c>
      <c r="BC206" s="202">
        <v>46195</v>
      </c>
      <c r="BD206" s="227">
        <v>46195</v>
      </c>
      <c r="BE206" s="227" t="s">
        <v>4435</v>
      </c>
      <c r="BF206" s="228" t="s">
        <v>4436</v>
      </c>
      <c r="BG206" s="219" t="s">
        <v>4425</v>
      </c>
      <c r="BH206" s="321">
        <f t="shared" si="17"/>
        <v>102</v>
      </c>
      <c r="BI206" s="98" t="str">
        <f t="shared" si="18"/>
        <v>INDENIZAÇÃO</v>
      </c>
      <c r="BJ206" s="98" t="str">
        <f t="shared" si="19"/>
        <v>NÃO</v>
      </c>
      <c r="BK206" s="219" t="s">
        <v>4437</v>
      </c>
      <c r="BL206" s="230" t="s">
        <v>4437</v>
      </c>
      <c r="BM206" s="230" t="s">
        <v>4437</v>
      </c>
      <c r="BN206" s="207" t="s">
        <v>4425</v>
      </c>
      <c r="BO206" s="207" t="s">
        <v>4425</v>
      </c>
      <c r="BP206" s="202">
        <v>46224</v>
      </c>
      <c r="BQ206" s="207" t="s">
        <v>4425</v>
      </c>
      <c r="BR206" s="232" t="s">
        <v>4435</v>
      </c>
    </row>
    <row r="207" spans="1:73" s="240" customFormat="1" ht="27" hidden="1" customHeight="1">
      <c r="A207" s="207">
        <v>203</v>
      </c>
      <c r="B207" s="197" t="s">
        <v>4396</v>
      </c>
      <c r="C207" s="207" t="s">
        <v>4427</v>
      </c>
      <c r="D207" s="207">
        <v>1</v>
      </c>
      <c r="E207" s="207" t="s">
        <v>4398</v>
      </c>
      <c r="F207" s="214" t="s">
        <v>5321</v>
      </c>
      <c r="G207" s="207" t="s">
        <v>4400</v>
      </c>
      <c r="H207" s="207" t="s">
        <v>4401</v>
      </c>
      <c r="I207" s="217" t="s">
        <v>4402</v>
      </c>
      <c r="J207" s="215" t="s">
        <v>5322</v>
      </c>
      <c r="K207" s="215" t="s">
        <v>4398</v>
      </c>
      <c r="L207" s="215" t="s">
        <v>5323</v>
      </c>
      <c r="M207" s="207" t="s">
        <v>4405</v>
      </c>
      <c r="N207" s="207" t="s">
        <v>4442</v>
      </c>
      <c r="O207" s="202" t="s">
        <v>4409</v>
      </c>
      <c r="P207" s="202" t="s">
        <v>4409</v>
      </c>
      <c r="Q207" s="202" t="s">
        <v>4409</v>
      </c>
      <c r="R207" s="202" t="s">
        <v>4409</v>
      </c>
      <c r="S207" s="202" t="s">
        <v>4409</v>
      </c>
      <c r="T207" s="202" t="s">
        <v>4409</v>
      </c>
      <c r="U207" s="202" t="s">
        <v>4409</v>
      </c>
      <c r="V207" s="202" t="s">
        <v>4409</v>
      </c>
      <c r="W207" s="202" t="s">
        <v>4409</v>
      </c>
      <c r="X207" s="202" t="s">
        <v>4409</v>
      </c>
      <c r="Y207" s="202"/>
      <c r="Z207" s="207"/>
      <c r="AA207" s="215" t="s">
        <v>5322</v>
      </c>
      <c r="AB207" s="214" t="s">
        <v>4398</v>
      </c>
      <c r="AC207" s="214" t="s">
        <v>5323</v>
      </c>
      <c r="AD207" s="197" t="s">
        <v>4402</v>
      </c>
      <c r="AE207" s="197" t="s">
        <v>4405</v>
      </c>
      <c r="AF207" s="243">
        <v>24067.119999999999</v>
      </c>
      <c r="AG207" s="243">
        <f>AF207+30000</f>
        <v>54067.119999999995</v>
      </c>
      <c r="AH207" s="197" t="s">
        <v>4433</v>
      </c>
      <c r="AI207" s="214" t="s">
        <v>4411</v>
      </c>
      <c r="AJ207" s="207">
        <v>148260156</v>
      </c>
      <c r="AK207" s="316">
        <v>46038</v>
      </c>
      <c r="AL207" s="316">
        <v>46038</v>
      </c>
      <c r="AM207" s="316">
        <v>46038</v>
      </c>
      <c r="AN207" s="316">
        <v>46038</v>
      </c>
      <c r="AO207" s="316">
        <v>46038</v>
      </c>
      <c r="AP207" s="316">
        <v>46038</v>
      </c>
      <c r="AQ207" s="314"/>
      <c r="AR207" s="315" t="str">
        <f t="shared" si="16"/>
        <v>FINALIZADO</v>
      </c>
      <c r="AS207" s="207" t="s">
        <v>4423</v>
      </c>
      <c r="AT207" s="207"/>
      <c r="AU207" s="220" t="s">
        <v>5324</v>
      </c>
      <c r="AV207" s="207" t="s">
        <v>4425</v>
      </c>
      <c r="AW207" s="207" t="s">
        <v>4425</v>
      </c>
      <c r="AX207" s="207" t="s">
        <v>4425</v>
      </c>
      <c r="AY207" s="207" t="s">
        <v>4425</v>
      </c>
      <c r="AZ207" s="202">
        <v>46062</v>
      </c>
      <c r="BA207" s="219" t="s">
        <v>4425</v>
      </c>
      <c r="BB207" s="207" t="s">
        <v>4425</v>
      </c>
      <c r="BC207" s="202">
        <v>46066</v>
      </c>
      <c r="BD207" s="227">
        <v>46066</v>
      </c>
      <c r="BE207" s="244" t="s">
        <v>4435</v>
      </c>
      <c r="BF207" s="245" t="s">
        <v>4436</v>
      </c>
      <c r="BG207" s="229" t="s">
        <v>4425</v>
      </c>
      <c r="BH207" s="321">
        <f t="shared" si="17"/>
        <v>28</v>
      </c>
      <c r="BI207" s="98" t="str">
        <f t="shared" si="18"/>
        <v>INDENIZAÇÃO</v>
      </c>
      <c r="BJ207" s="98" t="str">
        <f t="shared" si="19"/>
        <v>NÃO</v>
      </c>
      <c r="BK207" s="230" t="s">
        <v>4437</v>
      </c>
      <c r="BL207" s="230" t="s">
        <v>4437</v>
      </c>
      <c r="BM207" s="230" t="s">
        <v>4437</v>
      </c>
      <c r="BN207" s="207" t="s">
        <v>4425</v>
      </c>
      <c r="BO207" s="207" t="s">
        <v>4425</v>
      </c>
      <c r="BP207" s="202">
        <v>46182</v>
      </c>
      <c r="BQ207" s="207" t="s">
        <v>4425</v>
      </c>
      <c r="BR207" s="256" t="s">
        <v>4435</v>
      </c>
    </row>
    <row r="208" spans="1:73" s="240" customFormat="1" ht="27" hidden="1" customHeight="1">
      <c r="A208" s="207">
        <v>204</v>
      </c>
      <c r="B208" s="197" t="s">
        <v>4396</v>
      </c>
      <c r="C208" s="207" t="s">
        <v>5297</v>
      </c>
      <c r="D208" s="207">
        <v>1</v>
      </c>
      <c r="E208" s="207" t="s">
        <v>4398</v>
      </c>
      <c r="F208" s="214" t="s">
        <v>5321</v>
      </c>
      <c r="G208" s="207" t="s">
        <v>4400</v>
      </c>
      <c r="H208" s="207" t="s">
        <v>4401</v>
      </c>
      <c r="I208" s="217" t="s">
        <v>4402</v>
      </c>
      <c r="J208" s="215" t="s">
        <v>5325</v>
      </c>
      <c r="K208" s="215" t="s">
        <v>5326</v>
      </c>
      <c r="L208" s="215" t="s">
        <v>5327</v>
      </c>
      <c r="M208" s="207" t="s">
        <v>4405</v>
      </c>
      <c r="N208" s="207" t="s">
        <v>4406</v>
      </c>
      <c r="O208" s="202">
        <v>45986</v>
      </c>
      <c r="P208" s="203" t="s">
        <v>4407</v>
      </c>
      <c r="Q208" s="203">
        <v>45985</v>
      </c>
      <c r="R208" s="203">
        <v>45986</v>
      </c>
      <c r="S208" s="203">
        <v>45987</v>
      </c>
      <c r="T208" s="203">
        <v>45992</v>
      </c>
      <c r="U208" s="202" t="s">
        <v>4408</v>
      </c>
      <c r="V208" s="202" t="s">
        <v>4408</v>
      </c>
      <c r="W208" s="202">
        <v>45999</v>
      </c>
      <c r="X208" s="202">
        <v>46001</v>
      </c>
      <c r="Y208" s="202">
        <v>46017</v>
      </c>
      <c r="Z208" s="207"/>
      <c r="AA208" s="215" t="s">
        <v>5325</v>
      </c>
      <c r="AB208" s="215" t="s">
        <v>5326</v>
      </c>
      <c r="AC208" s="215" t="s">
        <v>5327</v>
      </c>
      <c r="AD208" s="241" t="s">
        <v>4402</v>
      </c>
      <c r="AE208" s="241" t="s">
        <v>4405</v>
      </c>
      <c r="AF208" s="242" t="s">
        <v>4409</v>
      </c>
      <c r="AG208" s="242" t="s">
        <v>4409</v>
      </c>
      <c r="AH208" s="241" t="s">
        <v>4410</v>
      </c>
      <c r="AI208" s="214" t="s">
        <v>4411</v>
      </c>
      <c r="AJ208" s="207"/>
      <c r="AK208" s="316">
        <v>45979</v>
      </c>
      <c r="AL208" s="316">
        <v>45979</v>
      </c>
      <c r="AM208" s="316">
        <v>45979</v>
      </c>
      <c r="AN208" s="316">
        <v>45979</v>
      </c>
      <c r="AO208" s="316">
        <v>45979</v>
      </c>
      <c r="AP208" s="316">
        <v>45979</v>
      </c>
      <c r="AQ208" s="314"/>
      <c r="AR208" s="315" t="str">
        <f t="shared" si="16"/>
        <v>FINALIZADO</v>
      </c>
      <c r="AS208" s="207"/>
      <c r="AT208" s="207"/>
      <c r="AU208" s="220"/>
      <c r="AV208" s="207"/>
      <c r="AW208" s="207"/>
      <c r="AX208" s="228"/>
      <c r="AY208" s="207"/>
      <c r="AZ208" s="202"/>
      <c r="BA208" s="219"/>
      <c r="BB208" s="207"/>
      <c r="BC208" s="202"/>
      <c r="BD208" s="208"/>
      <c r="BE208" s="239">
        <v>46017</v>
      </c>
      <c r="BF208" s="207" t="s">
        <v>4412</v>
      </c>
      <c r="BG208" s="229"/>
      <c r="BH208" s="321" t="str">
        <f t="shared" si="17"/>
        <v/>
      </c>
      <c r="BI208" s="98" t="str">
        <f t="shared" si="18"/>
        <v>AA</v>
      </c>
      <c r="BJ208" s="98" t="str">
        <f t="shared" si="19"/>
        <v>NÃO</v>
      </c>
      <c r="BK208" s="230"/>
      <c r="BL208" s="230"/>
      <c r="BM208" s="230"/>
      <c r="BN208" s="230"/>
      <c r="BO208" s="230"/>
      <c r="BP208" s="230"/>
      <c r="BQ208" s="230"/>
      <c r="BR208" s="234"/>
    </row>
    <row r="209" spans="1:72" s="240" customFormat="1" ht="27" hidden="1" customHeight="1">
      <c r="A209" s="197">
        <v>205</v>
      </c>
      <c r="B209" s="197" t="s">
        <v>4396</v>
      </c>
      <c r="C209" s="207" t="s">
        <v>4427</v>
      </c>
      <c r="D209" s="207">
        <v>1</v>
      </c>
      <c r="E209" s="207" t="s">
        <v>4398</v>
      </c>
      <c r="F209" s="214" t="s">
        <v>5328</v>
      </c>
      <c r="G209" s="207" t="s">
        <v>4400</v>
      </c>
      <c r="H209" s="207" t="s">
        <v>4401</v>
      </c>
      <c r="I209" s="217" t="s">
        <v>4402</v>
      </c>
      <c r="J209" s="215" t="s">
        <v>5329</v>
      </c>
      <c r="K209" s="215" t="s">
        <v>5330</v>
      </c>
      <c r="L209" s="215" t="s">
        <v>5331</v>
      </c>
      <c r="M209" s="207" t="s">
        <v>4405</v>
      </c>
      <c r="N209" s="207" t="s">
        <v>4442</v>
      </c>
      <c r="O209" s="202" t="s">
        <v>4409</v>
      </c>
      <c r="P209" s="202" t="s">
        <v>4409</v>
      </c>
      <c r="Q209" s="202" t="s">
        <v>4409</v>
      </c>
      <c r="R209" s="202" t="s">
        <v>4409</v>
      </c>
      <c r="S209" s="202" t="s">
        <v>4409</v>
      </c>
      <c r="T209" s="202" t="s">
        <v>4409</v>
      </c>
      <c r="U209" s="202" t="s">
        <v>4409</v>
      </c>
      <c r="V209" s="202" t="s">
        <v>4409</v>
      </c>
      <c r="W209" s="202" t="s">
        <v>4409</v>
      </c>
      <c r="X209" s="202" t="s">
        <v>4409</v>
      </c>
      <c r="Y209" s="202"/>
      <c r="Z209" s="207"/>
      <c r="AA209" s="215" t="s">
        <v>5329</v>
      </c>
      <c r="AB209" s="214" t="s">
        <v>5330</v>
      </c>
      <c r="AC209" s="214" t="s">
        <v>5331</v>
      </c>
      <c r="AD209" s="197" t="s">
        <v>4402</v>
      </c>
      <c r="AE209" s="197" t="s">
        <v>4405</v>
      </c>
      <c r="AF209" s="243">
        <v>72840.820000000007</v>
      </c>
      <c r="AG209" s="243">
        <v>72840.820000000007</v>
      </c>
      <c r="AH209" s="197" t="s">
        <v>4433</v>
      </c>
      <c r="AI209" s="214" t="s">
        <v>4411</v>
      </c>
      <c r="AJ209" s="207">
        <v>148260815</v>
      </c>
      <c r="AK209" s="316">
        <v>46045</v>
      </c>
      <c r="AL209" s="316">
        <v>46045</v>
      </c>
      <c r="AM209" s="316">
        <v>46045</v>
      </c>
      <c r="AN209" s="316">
        <v>46045</v>
      </c>
      <c r="AO209" s="316">
        <v>46045</v>
      </c>
      <c r="AP209" s="316">
        <v>46045</v>
      </c>
      <c r="AQ209" s="314"/>
      <c r="AR209" s="315" t="str">
        <f t="shared" si="16"/>
        <v>FINALIZADO</v>
      </c>
      <c r="AS209" s="207" t="s">
        <v>4423</v>
      </c>
      <c r="AT209" s="207"/>
      <c r="AU209" s="220" t="s">
        <v>5332</v>
      </c>
      <c r="AV209" s="207" t="s">
        <v>4425</v>
      </c>
      <c r="AW209" s="207" t="s">
        <v>4425</v>
      </c>
      <c r="AX209" s="250" t="s">
        <v>4425</v>
      </c>
      <c r="AY209" s="207" t="s">
        <v>4425</v>
      </c>
      <c r="AZ209" s="202">
        <v>46098</v>
      </c>
      <c r="BA209" s="219" t="s">
        <v>4425</v>
      </c>
      <c r="BB209" s="219" t="s">
        <v>4425</v>
      </c>
      <c r="BC209" s="202">
        <v>46101</v>
      </c>
      <c r="BD209" s="227">
        <v>46101</v>
      </c>
      <c r="BE209" s="244" t="s">
        <v>4435</v>
      </c>
      <c r="BF209" s="245" t="s">
        <v>4436</v>
      </c>
      <c r="BG209" s="229" t="s">
        <v>4425</v>
      </c>
      <c r="BH209" s="321">
        <f t="shared" si="17"/>
        <v>56</v>
      </c>
      <c r="BI209" s="98" t="str">
        <f t="shared" si="18"/>
        <v>INDENIZAÇÃO</v>
      </c>
      <c r="BJ209" s="98" t="str">
        <f t="shared" si="19"/>
        <v>NÃO</v>
      </c>
      <c r="BK209" s="230" t="s">
        <v>4437</v>
      </c>
      <c r="BL209" s="230" t="s">
        <v>4437</v>
      </c>
      <c r="BM209" s="230" t="s">
        <v>4437</v>
      </c>
      <c r="BN209" s="207" t="s">
        <v>4425</v>
      </c>
      <c r="BO209" s="207" t="s">
        <v>4425</v>
      </c>
      <c r="BP209" s="202">
        <v>46224</v>
      </c>
      <c r="BQ209" s="207" t="s">
        <v>4425</v>
      </c>
      <c r="BR209" s="232" t="s">
        <v>4435</v>
      </c>
    </row>
    <row r="210" spans="1:72" s="240" customFormat="1" ht="27" hidden="1" customHeight="1">
      <c r="A210" s="197">
        <v>206</v>
      </c>
      <c r="B210" s="197" t="s">
        <v>4396</v>
      </c>
      <c r="C210" s="207" t="s">
        <v>5297</v>
      </c>
      <c r="D210" s="207">
        <v>1</v>
      </c>
      <c r="E210" s="207" t="s">
        <v>4398</v>
      </c>
      <c r="F210" s="214" t="s">
        <v>5328</v>
      </c>
      <c r="G210" s="207" t="s">
        <v>4400</v>
      </c>
      <c r="H210" s="207" t="s">
        <v>4401</v>
      </c>
      <c r="I210" s="217" t="s">
        <v>4402</v>
      </c>
      <c r="J210" s="215" t="s">
        <v>5333</v>
      </c>
      <c r="K210" s="215" t="s">
        <v>5334</v>
      </c>
      <c r="L210" s="215" t="s">
        <v>5335</v>
      </c>
      <c r="M210" s="207" t="s">
        <v>4405</v>
      </c>
      <c r="N210" s="207" t="s">
        <v>4406</v>
      </c>
      <c r="O210" s="202">
        <v>45986</v>
      </c>
      <c r="P210" s="203" t="s">
        <v>4407</v>
      </c>
      <c r="Q210" s="203">
        <v>45985</v>
      </c>
      <c r="R210" s="203">
        <v>45986</v>
      </c>
      <c r="S210" s="203">
        <v>45987</v>
      </c>
      <c r="T210" s="203">
        <v>45992</v>
      </c>
      <c r="U210" s="202" t="s">
        <v>4408</v>
      </c>
      <c r="V210" s="202" t="s">
        <v>4408</v>
      </c>
      <c r="W210" s="202">
        <v>45999</v>
      </c>
      <c r="X210" s="202">
        <v>46002</v>
      </c>
      <c r="Y210" s="202">
        <v>46017</v>
      </c>
      <c r="Z210" s="207"/>
      <c r="AA210" s="215" t="s">
        <v>5333</v>
      </c>
      <c r="AB210" s="215" t="s">
        <v>5334</v>
      </c>
      <c r="AC210" s="215" t="s">
        <v>5335</v>
      </c>
      <c r="AD210" s="204" t="s">
        <v>4402</v>
      </c>
      <c r="AE210" s="204" t="s">
        <v>4405</v>
      </c>
      <c r="AF210" s="205" t="s">
        <v>4409</v>
      </c>
      <c r="AG210" s="205" t="s">
        <v>4409</v>
      </c>
      <c r="AH210" s="204" t="s">
        <v>4410</v>
      </c>
      <c r="AI210" s="214" t="s">
        <v>4411</v>
      </c>
      <c r="AJ210" s="207"/>
      <c r="AK210" s="316">
        <v>45979</v>
      </c>
      <c r="AL210" s="316">
        <v>45979</v>
      </c>
      <c r="AM210" s="316">
        <v>45979</v>
      </c>
      <c r="AN210" s="316">
        <v>45979</v>
      </c>
      <c r="AO210" s="316">
        <v>45979</v>
      </c>
      <c r="AP210" s="316">
        <v>45979</v>
      </c>
      <c r="AQ210" s="314"/>
      <c r="AR210" s="315" t="str">
        <f t="shared" si="16"/>
        <v>FINALIZADO</v>
      </c>
      <c r="AS210" s="207"/>
      <c r="AT210" s="207"/>
      <c r="AU210" s="220"/>
      <c r="AV210" s="207"/>
      <c r="AW210" s="207"/>
      <c r="AX210" s="228"/>
      <c r="AY210" s="207"/>
      <c r="AZ210" s="202"/>
      <c r="BA210" s="219"/>
      <c r="BB210" s="207"/>
      <c r="BC210" s="202"/>
      <c r="BD210" s="208"/>
      <c r="BE210" s="209">
        <v>46017</v>
      </c>
      <c r="BF210" s="197" t="s">
        <v>4412</v>
      </c>
      <c r="BG210" s="229"/>
      <c r="BH210" s="321" t="str">
        <f t="shared" si="17"/>
        <v/>
      </c>
      <c r="BI210" s="98" t="str">
        <f t="shared" si="18"/>
        <v>AA</v>
      </c>
      <c r="BJ210" s="98" t="str">
        <f t="shared" si="19"/>
        <v>NÃO</v>
      </c>
      <c r="BK210" s="230"/>
      <c r="BL210" s="230"/>
      <c r="BM210" s="230"/>
      <c r="BN210" s="230"/>
      <c r="BO210" s="230"/>
      <c r="BP210" s="230"/>
      <c r="BQ210" s="230"/>
      <c r="BR210" s="234"/>
    </row>
    <row r="211" spans="1:72" s="240" customFormat="1" ht="27" hidden="1" customHeight="1">
      <c r="A211" s="207">
        <v>207</v>
      </c>
      <c r="B211" s="197" t="s">
        <v>4396</v>
      </c>
      <c r="C211" s="207" t="s">
        <v>4427</v>
      </c>
      <c r="D211" s="207">
        <v>1</v>
      </c>
      <c r="E211" s="207" t="s">
        <v>4398</v>
      </c>
      <c r="F211" s="214" t="s">
        <v>5336</v>
      </c>
      <c r="G211" s="207" t="s">
        <v>4400</v>
      </c>
      <c r="H211" s="207" t="s">
        <v>4401</v>
      </c>
      <c r="I211" s="217" t="s">
        <v>4402</v>
      </c>
      <c r="J211" s="215" t="s">
        <v>5337</v>
      </c>
      <c r="K211" s="215" t="s">
        <v>5338</v>
      </c>
      <c r="L211" s="215" t="s">
        <v>5339</v>
      </c>
      <c r="M211" s="207" t="s">
        <v>4405</v>
      </c>
      <c r="N211" s="207" t="s">
        <v>4406</v>
      </c>
      <c r="O211" s="202">
        <v>46002</v>
      </c>
      <c r="P211" s="202" t="s">
        <v>4407</v>
      </c>
      <c r="Q211" s="202">
        <v>45999</v>
      </c>
      <c r="R211" s="202">
        <v>46006</v>
      </c>
      <c r="S211" s="202">
        <v>46006</v>
      </c>
      <c r="T211" s="202">
        <v>46009</v>
      </c>
      <c r="U211" s="202" t="s">
        <v>4408</v>
      </c>
      <c r="V211" s="202" t="s">
        <v>4408</v>
      </c>
      <c r="W211" s="202">
        <v>46014</v>
      </c>
      <c r="X211" s="202">
        <v>46017</v>
      </c>
      <c r="Y211" s="202"/>
      <c r="Z211" s="207"/>
      <c r="AA211" s="215" t="s">
        <v>5337</v>
      </c>
      <c r="AB211" s="215" t="s">
        <v>5338</v>
      </c>
      <c r="AC211" s="215" t="s">
        <v>5339</v>
      </c>
      <c r="AD211" s="217" t="s">
        <v>4402</v>
      </c>
      <c r="AE211" s="207" t="s">
        <v>4405</v>
      </c>
      <c r="AF211" s="218" t="s">
        <v>4409</v>
      </c>
      <c r="AG211" s="218" t="s">
        <v>4409</v>
      </c>
      <c r="AH211" s="207" t="s">
        <v>4410</v>
      </c>
      <c r="AI211" s="214" t="s">
        <v>4411</v>
      </c>
      <c r="AJ211" s="207"/>
      <c r="AK211" s="316">
        <v>45988</v>
      </c>
      <c r="AL211" s="316">
        <v>45988</v>
      </c>
      <c r="AM211" s="316">
        <v>45988</v>
      </c>
      <c r="AN211" s="316">
        <v>45988</v>
      </c>
      <c r="AO211" s="316">
        <v>45988</v>
      </c>
      <c r="AP211" s="316">
        <v>45988</v>
      </c>
      <c r="AQ211" s="314"/>
      <c r="AR211" s="315" t="str">
        <f t="shared" si="16"/>
        <v>FINALIZADO</v>
      </c>
      <c r="AS211" s="207"/>
      <c r="AT211" s="207"/>
      <c r="AU211" s="220"/>
      <c r="AV211" s="207"/>
      <c r="AW211" s="207"/>
      <c r="AX211" s="228"/>
      <c r="AY211" s="207"/>
      <c r="AZ211" s="202"/>
      <c r="BA211" s="219"/>
      <c r="BB211" s="207"/>
      <c r="BC211" s="202"/>
      <c r="BD211" s="208"/>
      <c r="BE211" s="202"/>
      <c r="BF211" s="207"/>
      <c r="BG211" s="229"/>
      <c r="BH211" s="321" t="str">
        <f t="shared" si="17"/>
        <v/>
      </c>
      <c r="BI211" s="98" t="str">
        <f t="shared" si="18"/>
        <v>AA</v>
      </c>
      <c r="BJ211" s="98" t="str">
        <f t="shared" si="19"/>
        <v>NÃO</v>
      </c>
      <c r="BK211" s="230"/>
      <c r="BL211" s="230"/>
      <c r="BM211" s="230"/>
      <c r="BN211" s="230"/>
      <c r="BO211" s="230"/>
      <c r="BP211" s="230"/>
      <c r="BQ211" s="230"/>
      <c r="BR211" s="234"/>
    </row>
    <row r="212" spans="1:72" s="240" customFormat="1" ht="27" hidden="1" customHeight="1">
      <c r="A212" s="207">
        <v>208</v>
      </c>
      <c r="B212" s="197" t="s">
        <v>4396</v>
      </c>
      <c r="C212" s="207" t="s">
        <v>4427</v>
      </c>
      <c r="D212" s="207">
        <v>1</v>
      </c>
      <c r="E212" s="207" t="s">
        <v>4398</v>
      </c>
      <c r="F212" s="214" t="s">
        <v>5340</v>
      </c>
      <c r="G212" s="207" t="s">
        <v>4400</v>
      </c>
      <c r="H212" s="207" t="s">
        <v>4401</v>
      </c>
      <c r="I212" s="217" t="s">
        <v>4402</v>
      </c>
      <c r="J212" s="215" t="s">
        <v>5341</v>
      </c>
      <c r="K212" s="215" t="s">
        <v>5342</v>
      </c>
      <c r="L212" s="215" t="s">
        <v>5343</v>
      </c>
      <c r="M212" s="207" t="s">
        <v>4405</v>
      </c>
      <c r="N212" s="207" t="s">
        <v>4442</v>
      </c>
      <c r="O212" s="202" t="s">
        <v>4409</v>
      </c>
      <c r="P212" s="202" t="s">
        <v>4409</v>
      </c>
      <c r="Q212" s="202" t="s">
        <v>4409</v>
      </c>
      <c r="R212" s="202" t="s">
        <v>4409</v>
      </c>
      <c r="S212" s="202" t="s">
        <v>4409</v>
      </c>
      <c r="T212" s="202" t="s">
        <v>4409</v>
      </c>
      <c r="U212" s="202" t="s">
        <v>4409</v>
      </c>
      <c r="V212" s="202" t="s">
        <v>4409</v>
      </c>
      <c r="W212" s="202" t="s">
        <v>4409</v>
      </c>
      <c r="X212" s="202" t="s">
        <v>4409</v>
      </c>
      <c r="Y212" s="202"/>
      <c r="Z212" s="207"/>
      <c r="AA212" s="215" t="s">
        <v>5341</v>
      </c>
      <c r="AB212" s="214" t="s">
        <v>5342</v>
      </c>
      <c r="AC212" s="214" t="s">
        <v>5343</v>
      </c>
      <c r="AD212" s="207" t="s">
        <v>4402</v>
      </c>
      <c r="AE212" s="207" t="s">
        <v>4405</v>
      </c>
      <c r="AF212" s="218">
        <v>118230.69</v>
      </c>
      <c r="AG212" s="218">
        <v>118230.69</v>
      </c>
      <c r="AH212" s="207" t="s">
        <v>4433</v>
      </c>
      <c r="AI212" s="214" t="s">
        <v>4411</v>
      </c>
      <c r="AJ212" s="207">
        <v>148260947</v>
      </c>
      <c r="AK212" s="316">
        <v>46045</v>
      </c>
      <c r="AL212" s="316">
        <v>46045</v>
      </c>
      <c r="AM212" s="316">
        <v>46045</v>
      </c>
      <c r="AN212" s="316">
        <v>46045</v>
      </c>
      <c r="AO212" s="316">
        <v>46045</v>
      </c>
      <c r="AP212" s="316">
        <v>46045</v>
      </c>
      <c r="AQ212" s="314"/>
      <c r="AR212" s="315" t="str">
        <f t="shared" si="16"/>
        <v>FINALIZADO</v>
      </c>
      <c r="AS212" s="207" t="s">
        <v>4423</v>
      </c>
      <c r="AT212" s="207"/>
      <c r="AU212" s="220" t="s">
        <v>5344</v>
      </c>
      <c r="AV212" s="207" t="s">
        <v>4425</v>
      </c>
      <c r="AW212" s="207" t="s">
        <v>4425</v>
      </c>
      <c r="AX212" s="250" t="s">
        <v>4425</v>
      </c>
      <c r="AY212" s="207" t="s">
        <v>4425</v>
      </c>
      <c r="AZ212" s="202">
        <v>46111</v>
      </c>
      <c r="BA212" s="207" t="s">
        <v>4425</v>
      </c>
      <c r="BB212" s="207" t="s">
        <v>4425</v>
      </c>
      <c r="BC212" s="202">
        <v>46114</v>
      </c>
      <c r="BD212" s="227">
        <v>46114</v>
      </c>
      <c r="BE212" s="227" t="s">
        <v>4435</v>
      </c>
      <c r="BF212" s="228" t="s">
        <v>4436</v>
      </c>
      <c r="BG212" s="229" t="s">
        <v>4425</v>
      </c>
      <c r="BH212" s="321">
        <f t="shared" si="17"/>
        <v>69</v>
      </c>
      <c r="BI212" s="98" t="str">
        <f t="shared" si="18"/>
        <v>INDENIZAÇÃO</v>
      </c>
      <c r="BJ212" s="98" t="str">
        <f t="shared" si="19"/>
        <v>NÃO</v>
      </c>
      <c r="BK212" s="230" t="s">
        <v>4437</v>
      </c>
      <c r="BL212" s="230" t="s">
        <v>4437</v>
      </c>
      <c r="BM212" s="230" t="s">
        <v>4437</v>
      </c>
      <c r="BN212" s="207" t="s">
        <v>4425</v>
      </c>
      <c r="BO212" s="207" t="s">
        <v>4425</v>
      </c>
      <c r="BP212" s="202">
        <v>46224</v>
      </c>
      <c r="BQ212" s="207" t="s">
        <v>4425</v>
      </c>
      <c r="BR212" s="232" t="s">
        <v>4435</v>
      </c>
    </row>
    <row r="213" spans="1:72" s="240" customFormat="1" ht="27" hidden="1" customHeight="1">
      <c r="A213" s="207">
        <v>209</v>
      </c>
      <c r="B213" s="197" t="s">
        <v>4396</v>
      </c>
      <c r="C213" s="207" t="s">
        <v>4427</v>
      </c>
      <c r="D213" s="207">
        <v>1</v>
      </c>
      <c r="E213" s="207" t="s">
        <v>4398</v>
      </c>
      <c r="F213" s="214" t="s">
        <v>5345</v>
      </c>
      <c r="G213" s="207" t="s">
        <v>4400</v>
      </c>
      <c r="H213" s="207" t="s">
        <v>4401</v>
      </c>
      <c r="I213" s="217" t="s">
        <v>4536</v>
      </c>
      <c r="J213" s="215" t="s">
        <v>5346</v>
      </c>
      <c r="K213" s="215" t="s">
        <v>5347</v>
      </c>
      <c r="L213" s="215" t="s">
        <v>5348</v>
      </c>
      <c r="M213" s="207" t="s">
        <v>4405</v>
      </c>
      <c r="N213" s="207" t="s">
        <v>4406</v>
      </c>
      <c r="O213" s="202">
        <v>46002</v>
      </c>
      <c r="P213" s="202" t="s">
        <v>4407</v>
      </c>
      <c r="Q213" s="202">
        <v>45999</v>
      </c>
      <c r="R213" s="202">
        <v>46006</v>
      </c>
      <c r="S213" s="202">
        <v>46006</v>
      </c>
      <c r="T213" s="202">
        <v>46009</v>
      </c>
      <c r="U213" s="202" t="s">
        <v>4408</v>
      </c>
      <c r="V213" s="202" t="s">
        <v>4408</v>
      </c>
      <c r="W213" s="202">
        <v>46014</v>
      </c>
      <c r="X213" s="202">
        <v>46017</v>
      </c>
      <c r="Y213" s="202"/>
      <c r="Z213" s="207"/>
      <c r="AA213" s="215" t="s">
        <v>5346</v>
      </c>
      <c r="AB213" s="215" t="s">
        <v>5347</v>
      </c>
      <c r="AC213" s="215" t="s">
        <v>5348</v>
      </c>
      <c r="AD213" s="217" t="s">
        <v>4402</v>
      </c>
      <c r="AE213" s="207" t="s">
        <v>4405</v>
      </c>
      <c r="AF213" s="218" t="s">
        <v>4409</v>
      </c>
      <c r="AG213" s="218" t="s">
        <v>4409</v>
      </c>
      <c r="AH213" s="207" t="s">
        <v>4410</v>
      </c>
      <c r="AI213" s="214" t="s">
        <v>4411</v>
      </c>
      <c r="AJ213" s="207"/>
      <c r="AK213" s="316">
        <v>45988</v>
      </c>
      <c r="AL213" s="316">
        <v>45988</v>
      </c>
      <c r="AM213" s="316">
        <v>45988</v>
      </c>
      <c r="AN213" s="316">
        <v>45988</v>
      </c>
      <c r="AO213" s="316">
        <v>45988</v>
      </c>
      <c r="AP213" s="316">
        <v>45988</v>
      </c>
      <c r="AQ213" s="314"/>
      <c r="AR213" s="315" t="str">
        <f t="shared" si="16"/>
        <v>FINALIZADO</v>
      </c>
      <c r="AS213" s="207"/>
      <c r="AT213" s="207"/>
      <c r="AU213" s="220"/>
      <c r="AV213" s="207"/>
      <c r="AW213" s="207"/>
      <c r="AX213" s="228"/>
      <c r="AY213" s="207"/>
      <c r="AZ213" s="202"/>
      <c r="BA213" s="219"/>
      <c r="BB213" s="207"/>
      <c r="BC213" s="202"/>
      <c r="BD213" s="208"/>
      <c r="BE213" s="202"/>
      <c r="BF213" s="207"/>
      <c r="BG213" s="229"/>
      <c r="BH213" s="321" t="str">
        <f t="shared" si="17"/>
        <v/>
      </c>
      <c r="BI213" s="98" t="str">
        <f t="shared" si="18"/>
        <v>AA</v>
      </c>
      <c r="BJ213" s="98" t="str">
        <f t="shared" si="19"/>
        <v>NÃO</v>
      </c>
      <c r="BK213" s="230"/>
      <c r="BL213" s="230"/>
      <c r="BM213" s="230"/>
      <c r="BN213" s="230"/>
      <c r="BO213" s="230"/>
      <c r="BP213" s="230"/>
      <c r="BQ213" s="230"/>
      <c r="BR213" s="234"/>
    </row>
    <row r="214" spans="1:72" s="240" customFormat="1" ht="27" hidden="1" customHeight="1">
      <c r="A214" s="197">
        <v>210</v>
      </c>
      <c r="B214" s="197" t="s">
        <v>4396</v>
      </c>
      <c r="C214" s="207" t="s">
        <v>4427</v>
      </c>
      <c r="D214" s="207">
        <v>1</v>
      </c>
      <c r="E214" s="207" t="s">
        <v>4398</v>
      </c>
      <c r="F214" s="214" t="s">
        <v>5349</v>
      </c>
      <c r="G214" s="207" t="s">
        <v>4400</v>
      </c>
      <c r="H214" s="207" t="s">
        <v>4401</v>
      </c>
      <c r="I214" s="217" t="s">
        <v>4536</v>
      </c>
      <c r="J214" s="215" t="s">
        <v>5350</v>
      </c>
      <c r="K214" s="215" t="s">
        <v>5351</v>
      </c>
      <c r="L214" s="215" t="s">
        <v>5352</v>
      </c>
      <c r="M214" s="207" t="s">
        <v>4405</v>
      </c>
      <c r="N214" s="207" t="s">
        <v>4406</v>
      </c>
      <c r="O214" s="202">
        <v>46002</v>
      </c>
      <c r="P214" s="202" t="s">
        <v>4407</v>
      </c>
      <c r="Q214" s="202">
        <v>45999</v>
      </c>
      <c r="R214" s="202">
        <v>46006</v>
      </c>
      <c r="S214" s="202">
        <v>46006</v>
      </c>
      <c r="T214" s="202">
        <v>46009</v>
      </c>
      <c r="U214" s="202" t="s">
        <v>4408</v>
      </c>
      <c r="V214" s="202" t="s">
        <v>4408</v>
      </c>
      <c r="W214" s="202">
        <v>46014</v>
      </c>
      <c r="X214" s="202">
        <v>46017</v>
      </c>
      <c r="Y214" s="202"/>
      <c r="Z214" s="207"/>
      <c r="AA214" s="215" t="s">
        <v>5350</v>
      </c>
      <c r="AB214" s="215" t="s">
        <v>5351</v>
      </c>
      <c r="AC214" s="215" t="s">
        <v>5352</v>
      </c>
      <c r="AD214" s="217" t="s">
        <v>4402</v>
      </c>
      <c r="AE214" s="207" t="s">
        <v>4405</v>
      </c>
      <c r="AF214" s="218" t="s">
        <v>4409</v>
      </c>
      <c r="AG214" s="218" t="s">
        <v>4409</v>
      </c>
      <c r="AH214" s="207" t="s">
        <v>4410</v>
      </c>
      <c r="AI214" s="214" t="s">
        <v>4411</v>
      </c>
      <c r="AJ214" s="207"/>
      <c r="AK214" s="316">
        <v>45988</v>
      </c>
      <c r="AL214" s="316">
        <v>45988</v>
      </c>
      <c r="AM214" s="316">
        <v>45988</v>
      </c>
      <c r="AN214" s="316">
        <v>45988</v>
      </c>
      <c r="AO214" s="316">
        <v>45988</v>
      </c>
      <c r="AP214" s="316">
        <v>45988</v>
      </c>
      <c r="AQ214" s="314"/>
      <c r="AR214" s="315" t="str">
        <f t="shared" si="16"/>
        <v>FINALIZADO</v>
      </c>
      <c r="AS214" s="207"/>
      <c r="AT214" s="207"/>
      <c r="AU214" s="220"/>
      <c r="AV214" s="207"/>
      <c r="AW214" s="207"/>
      <c r="AX214" s="228"/>
      <c r="AY214" s="207"/>
      <c r="AZ214" s="202"/>
      <c r="BA214" s="219"/>
      <c r="BB214" s="207"/>
      <c r="BC214" s="202"/>
      <c r="BD214" s="208"/>
      <c r="BE214" s="202"/>
      <c r="BF214" s="207"/>
      <c r="BG214" s="229"/>
      <c r="BH214" s="321" t="str">
        <f t="shared" si="17"/>
        <v/>
      </c>
      <c r="BI214" s="98" t="str">
        <f t="shared" si="18"/>
        <v>AA</v>
      </c>
      <c r="BJ214" s="98" t="str">
        <f t="shared" si="19"/>
        <v>NÃO</v>
      </c>
      <c r="BK214" s="230"/>
      <c r="BL214" s="230"/>
      <c r="BM214" s="230"/>
      <c r="BN214" s="230"/>
      <c r="BO214" s="230"/>
      <c r="BP214" s="230"/>
      <c r="BQ214" s="230"/>
      <c r="BR214" s="234"/>
    </row>
    <row r="215" spans="1:72" s="240" customFormat="1" ht="27" hidden="1" customHeight="1">
      <c r="A215" s="197">
        <v>211</v>
      </c>
      <c r="B215" s="197" t="s">
        <v>4396</v>
      </c>
      <c r="C215" s="207" t="s">
        <v>4427</v>
      </c>
      <c r="D215" s="207">
        <v>1</v>
      </c>
      <c r="E215" s="207" t="s">
        <v>4398</v>
      </c>
      <c r="F215" s="214" t="s">
        <v>5353</v>
      </c>
      <c r="G215" s="207" t="s">
        <v>4400</v>
      </c>
      <c r="H215" s="207" t="s">
        <v>4401</v>
      </c>
      <c r="I215" s="217" t="s">
        <v>4402</v>
      </c>
      <c r="J215" s="215" t="s">
        <v>5354</v>
      </c>
      <c r="K215" s="215" t="s">
        <v>5355</v>
      </c>
      <c r="L215" s="215" t="s">
        <v>5356</v>
      </c>
      <c r="M215" s="207" t="s">
        <v>4405</v>
      </c>
      <c r="N215" s="207" t="s">
        <v>4442</v>
      </c>
      <c r="O215" s="202" t="s">
        <v>4409</v>
      </c>
      <c r="P215" s="202" t="s">
        <v>4409</v>
      </c>
      <c r="Q215" s="202" t="s">
        <v>4409</v>
      </c>
      <c r="R215" s="202" t="s">
        <v>4409</v>
      </c>
      <c r="S215" s="202" t="s">
        <v>4409</v>
      </c>
      <c r="T215" s="202" t="s">
        <v>4409</v>
      </c>
      <c r="U215" s="202" t="s">
        <v>4409</v>
      </c>
      <c r="V215" s="202" t="s">
        <v>4409</v>
      </c>
      <c r="W215" s="202" t="s">
        <v>4409</v>
      </c>
      <c r="X215" s="202" t="s">
        <v>4409</v>
      </c>
      <c r="Y215" s="202"/>
      <c r="Z215" s="207"/>
      <c r="AA215" s="215" t="s">
        <v>5354</v>
      </c>
      <c r="AB215" s="214" t="s">
        <v>5355</v>
      </c>
      <c r="AC215" s="214" t="s">
        <v>5356</v>
      </c>
      <c r="AD215" s="207" t="s">
        <v>4402</v>
      </c>
      <c r="AE215" s="207" t="s">
        <v>4405</v>
      </c>
      <c r="AF215" s="218">
        <v>19698.900000000001</v>
      </c>
      <c r="AG215" s="218">
        <f>AF215+30000</f>
        <v>49698.9</v>
      </c>
      <c r="AH215" s="207" t="s">
        <v>4433</v>
      </c>
      <c r="AI215" s="214" t="s">
        <v>4411</v>
      </c>
      <c r="AJ215" s="207">
        <v>148261075</v>
      </c>
      <c r="AK215" s="316">
        <v>46045</v>
      </c>
      <c r="AL215" s="316">
        <v>46045</v>
      </c>
      <c r="AM215" s="316">
        <v>46045</v>
      </c>
      <c r="AN215" s="316">
        <v>46045</v>
      </c>
      <c r="AO215" s="316">
        <v>46045</v>
      </c>
      <c r="AP215" s="316">
        <v>46045</v>
      </c>
      <c r="AQ215" s="314"/>
      <c r="AR215" s="315" t="str">
        <f t="shared" si="16"/>
        <v>FINALIZADO</v>
      </c>
      <c r="AS215" s="207" t="s">
        <v>4423</v>
      </c>
      <c r="AT215" s="207"/>
      <c r="AU215" s="220" t="s">
        <v>5357</v>
      </c>
      <c r="AV215" s="207" t="s">
        <v>4425</v>
      </c>
      <c r="AW215" s="207" t="s">
        <v>4425</v>
      </c>
      <c r="AX215" s="250" t="s">
        <v>4425</v>
      </c>
      <c r="AY215" s="207" t="s">
        <v>4425</v>
      </c>
      <c r="AZ215" s="202">
        <v>46118</v>
      </c>
      <c r="BA215" s="207" t="s">
        <v>4425</v>
      </c>
      <c r="BB215" s="207" t="s">
        <v>4425</v>
      </c>
      <c r="BC215" s="202">
        <v>46122</v>
      </c>
      <c r="BD215" s="227">
        <v>46122</v>
      </c>
      <c r="BE215" s="227" t="s">
        <v>4435</v>
      </c>
      <c r="BF215" s="228" t="s">
        <v>4436</v>
      </c>
      <c r="BG215" s="229" t="s">
        <v>4425</v>
      </c>
      <c r="BH215" s="321">
        <f t="shared" si="17"/>
        <v>77</v>
      </c>
      <c r="BI215" s="98" t="str">
        <f t="shared" si="18"/>
        <v>INDENIZAÇÃO</v>
      </c>
      <c r="BJ215" s="98" t="str">
        <f t="shared" si="19"/>
        <v>NÃO</v>
      </c>
      <c r="BK215" s="219" t="s">
        <v>4437</v>
      </c>
      <c r="BL215" s="219" t="s">
        <v>4437</v>
      </c>
      <c r="BM215" s="219" t="s">
        <v>4437</v>
      </c>
      <c r="BN215" s="207" t="s">
        <v>4425</v>
      </c>
      <c r="BO215" s="207" t="s">
        <v>4425</v>
      </c>
      <c r="BP215" s="202">
        <v>46224</v>
      </c>
      <c r="BQ215" s="207" t="s">
        <v>4425</v>
      </c>
      <c r="BR215" s="232" t="s">
        <v>4435</v>
      </c>
    </row>
    <row r="216" spans="1:72" s="240" customFormat="1" ht="27" hidden="1" customHeight="1">
      <c r="A216" s="207">
        <v>212</v>
      </c>
      <c r="B216" s="197" t="s">
        <v>4396</v>
      </c>
      <c r="C216" s="207" t="s">
        <v>4427</v>
      </c>
      <c r="D216" s="207">
        <v>1</v>
      </c>
      <c r="E216" s="207" t="s">
        <v>4398</v>
      </c>
      <c r="F216" s="214" t="s">
        <v>5358</v>
      </c>
      <c r="G216" s="207" t="s">
        <v>4400</v>
      </c>
      <c r="H216" s="207" t="s">
        <v>4401</v>
      </c>
      <c r="I216" s="217" t="s">
        <v>4402</v>
      </c>
      <c r="J216" s="215" t="s">
        <v>5359</v>
      </c>
      <c r="K216" s="215" t="s">
        <v>5360</v>
      </c>
      <c r="L216" s="215" t="s">
        <v>5361</v>
      </c>
      <c r="M216" s="207" t="s">
        <v>4405</v>
      </c>
      <c r="N216" s="207" t="s">
        <v>4406</v>
      </c>
      <c r="O216" s="202">
        <v>46002</v>
      </c>
      <c r="P216" s="202" t="s">
        <v>4407</v>
      </c>
      <c r="Q216" s="202">
        <v>45999</v>
      </c>
      <c r="R216" s="202">
        <v>46006</v>
      </c>
      <c r="S216" s="202">
        <v>46006</v>
      </c>
      <c r="T216" s="202">
        <v>46009</v>
      </c>
      <c r="U216" s="202" t="s">
        <v>4408</v>
      </c>
      <c r="V216" s="202" t="s">
        <v>4408</v>
      </c>
      <c r="W216" s="202">
        <v>46014</v>
      </c>
      <c r="X216" s="202">
        <v>46017</v>
      </c>
      <c r="Y216" s="202"/>
      <c r="Z216" s="207"/>
      <c r="AA216" s="215" t="s">
        <v>5359</v>
      </c>
      <c r="AB216" s="215" t="s">
        <v>5360</v>
      </c>
      <c r="AC216" s="215" t="s">
        <v>5361</v>
      </c>
      <c r="AD216" s="217" t="s">
        <v>4402</v>
      </c>
      <c r="AE216" s="207" t="s">
        <v>4405</v>
      </c>
      <c r="AF216" s="218" t="s">
        <v>4409</v>
      </c>
      <c r="AG216" s="218" t="s">
        <v>4409</v>
      </c>
      <c r="AH216" s="207" t="s">
        <v>4410</v>
      </c>
      <c r="AI216" s="214" t="s">
        <v>4411</v>
      </c>
      <c r="AJ216" s="207"/>
      <c r="AK216" s="316">
        <v>45988</v>
      </c>
      <c r="AL216" s="316">
        <v>45988</v>
      </c>
      <c r="AM216" s="316">
        <v>45988</v>
      </c>
      <c r="AN216" s="316">
        <v>45988</v>
      </c>
      <c r="AO216" s="316">
        <v>45988</v>
      </c>
      <c r="AP216" s="316">
        <v>45988</v>
      </c>
      <c r="AQ216" s="314"/>
      <c r="AR216" s="315" t="str">
        <f t="shared" si="16"/>
        <v>FINALIZADO</v>
      </c>
      <c r="AS216" s="207"/>
      <c r="AT216" s="207"/>
      <c r="AU216" s="220"/>
      <c r="AV216" s="207"/>
      <c r="AW216" s="207"/>
      <c r="AX216" s="228"/>
      <c r="AY216" s="207"/>
      <c r="AZ216" s="202"/>
      <c r="BA216" s="219"/>
      <c r="BB216" s="207"/>
      <c r="BC216" s="202"/>
      <c r="BD216" s="208"/>
      <c r="BE216" s="202"/>
      <c r="BF216" s="207"/>
      <c r="BG216" s="229"/>
      <c r="BH216" s="321" t="str">
        <f t="shared" si="17"/>
        <v/>
      </c>
      <c r="BI216" s="98" t="str">
        <f t="shared" si="18"/>
        <v>AA</v>
      </c>
      <c r="BJ216" s="98" t="str">
        <f t="shared" si="19"/>
        <v>NÃO</v>
      </c>
      <c r="BK216" s="230"/>
      <c r="BL216" s="230"/>
      <c r="BM216" s="230"/>
      <c r="BN216" s="230"/>
      <c r="BO216" s="230"/>
      <c r="BP216" s="230"/>
      <c r="BQ216" s="230"/>
      <c r="BR216" s="234"/>
      <c r="BS216" s="223"/>
      <c r="BT216" s="223"/>
    </row>
    <row r="217" spans="1:72" s="240" customFormat="1" ht="27" hidden="1" customHeight="1">
      <c r="A217" s="207">
        <v>213</v>
      </c>
      <c r="B217" s="197" t="s">
        <v>4396</v>
      </c>
      <c r="C217" s="207" t="s">
        <v>4427</v>
      </c>
      <c r="D217" s="207">
        <v>1</v>
      </c>
      <c r="E217" s="207" t="s">
        <v>4398</v>
      </c>
      <c r="F217" s="214" t="s">
        <v>5362</v>
      </c>
      <c r="G217" s="207" t="s">
        <v>4400</v>
      </c>
      <c r="H217" s="207" t="s">
        <v>4401</v>
      </c>
      <c r="I217" s="217" t="s">
        <v>4402</v>
      </c>
      <c r="J217" s="215" t="s">
        <v>5363</v>
      </c>
      <c r="K217" s="215" t="s">
        <v>5364</v>
      </c>
      <c r="L217" s="215" t="s">
        <v>5365</v>
      </c>
      <c r="M217" s="207" t="s">
        <v>4405</v>
      </c>
      <c r="N217" s="207" t="s">
        <v>4406</v>
      </c>
      <c r="O217" s="202">
        <v>46002</v>
      </c>
      <c r="P217" s="202" t="s">
        <v>4407</v>
      </c>
      <c r="Q217" s="202">
        <v>45999</v>
      </c>
      <c r="R217" s="202">
        <v>46006</v>
      </c>
      <c r="S217" s="202">
        <v>46006</v>
      </c>
      <c r="T217" s="202">
        <v>46009</v>
      </c>
      <c r="U217" s="202" t="s">
        <v>4408</v>
      </c>
      <c r="V217" s="202" t="s">
        <v>4408</v>
      </c>
      <c r="W217" s="202">
        <v>46014</v>
      </c>
      <c r="X217" s="202">
        <v>46017</v>
      </c>
      <c r="Y217" s="202"/>
      <c r="Z217" s="207"/>
      <c r="AA217" s="215" t="s">
        <v>5363</v>
      </c>
      <c r="AB217" s="215" t="s">
        <v>5364</v>
      </c>
      <c r="AC217" s="215" t="s">
        <v>5365</v>
      </c>
      <c r="AD217" s="217" t="s">
        <v>4402</v>
      </c>
      <c r="AE217" s="207" t="s">
        <v>4405</v>
      </c>
      <c r="AF217" s="218" t="s">
        <v>4409</v>
      </c>
      <c r="AG217" s="218" t="s">
        <v>4409</v>
      </c>
      <c r="AH217" s="207" t="s">
        <v>4410</v>
      </c>
      <c r="AI217" s="214" t="s">
        <v>4411</v>
      </c>
      <c r="AJ217" s="207"/>
      <c r="AK217" s="316">
        <v>45988</v>
      </c>
      <c r="AL217" s="316">
        <v>45988</v>
      </c>
      <c r="AM217" s="316">
        <v>45988</v>
      </c>
      <c r="AN217" s="316">
        <v>45988</v>
      </c>
      <c r="AO217" s="316">
        <v>45988</v>
      </c>
      <c r="AP217" s="316">
        <v>45988</v>
      </c>
      <c r="AQ217" s="314"/>
      <c r="AR217" s="315" t="str">
        <f t="shared" si="16"/>
        <v>FINALIZADO</v>
      </c>
      <c r="AS217" s="207"/>
      <c r="AT217" s="207"/>
      <c r="AU217" s="220"/>
      <c r="AV217" s="207"/>
      <c r="AW217" s="207"/>
      <c r="AX217" s="228"/>
      <c r="AY217" s="207"/>
      <c r="AZ217" s="202"/>
      <c r="BA217" s="219"/>
      <c r="BB217" s="207"/>
      <c r="BC217" s="202"/>
      <c r="BD217" s="208"/>
      <c r="BE217" s="202"/>
      <c r="BF217" s="207"/>
      <c r="BG217" s="229"/>
      <c r="BH217" s="321" t="str">
        <f t="shared" si="17"/>
        <v/>
      </c>
      <c r="BI217" s="98" t="str">
        <f t="shared" si="18"/>
        <v>AA</v>
      </c>
      <c r="BJ217" s="98" t="str">
        <f t="shared" si="19"/>
        <v>NÃO</v>
      </c>
      <c r="BK217" s="230"/>
      <c r="BL217" s="230"/>
      <c r="BM217" s="230"/>
      <c r="BN217" s="230"/>
      <c r="BO217" s="230"/>
      <c r="BP217" s="230"/>
      <c r="BQ217" s="230"/>
      <c r="BR217" s="234"/>
    </row>
    <row r="218" spans="1:72" s="240" customFormat="1" ht="27" hidden="1" customHeight="1">
      <c r="A218" s="207">
        <v>214</v>
      </c>
      <c r="B218" s="197" t="s">
        <v>4396</v>
      </c>
      <c r="C218" s="207" t="s">
        <v>5297</v>
      </c>
      <c r="D218" s="207">
        <v>1</v>
      </c>
      <c r="E218" s="207" t="s">
        <v>4398</v>
      </c>
      <c r="F218" s="214" t="s">
        <v>5366</v>
      </c>
      <c r="G218" s="207" t="s">
        <v>4400</v>
      </c>
      <c r="H218" s="207" t="s">
        <v>4401</v>
      </c>
      <c r="I218" s="217" t="s">
        <v>4402</v>
      </c>
      <c r="J218" s="215" t="s">
        <v>5367</v>
      </c>
      <c r="K218" s="215" t="s">
        <v>5368</v>
      </c>
      <c r="L218" s="215" t="s">
        <v>5369</v>
      </c>
      <c r="M218" s="207" t="s">
        <v>4405</v>
      </c>
      <c r="N218" s="207" t="s">
        <v>4406</v>
      </c>
      <c r="O218" s="202">
        <v>45986</v>
      </c>
      <c r="P218" s="203" t="s">
        <v>4407</v>
      </c>
      <c r="Q218" s="203">
        <v>45985</v>
      </c>
      <c r="R218" s="203">
        <v>45986</v>
      </c>
      <c r="S218" s="203">
        <v>45987</v>
      </c>
      <c r="T218" s="203">
        <v>45992</v>
      </c>
      <c r="U218" s="202" t="s">
        <v>4408</v>
      </c>
      <c r="V218" s="202" t="s">
        <v>4408</v>
      </c>
      <c r="W218" s="202">
        <v>45999</v>
      </c>
      <c r="X218" s="202">
        <v>46000</v>
      </c>
      <c r="Y218" s="202">
        <v>46017</v>
      </c>
      <c r="Z218" s="207"/>
      <c r="AA218" s="215" t="s">
        <v>5367</v>
      </c>
      <c r="AB218" s="215" t="s">
        <v>5368</v>
      </c>
      <c r="AC218" s="215" t="s">
        <v>5369</v>
      </c>
      <c r="AD218" s="241" t="s">
        <v>4402</v>
      </c>
      <c r="AE218" s="241" t="s">
        <v>4405</v>
      </c>
      <c r="AF218" s="242" t="s">
        <v>4409</v>
      </c>
      <c r="AG218" s="242" t="s">
        <v>4409</v>
      </c>
      <c r="AH218" s="241" t="s">
        <v>4410</v>
      </c>
      <c r="AI218" s="214" t="s">
        <v>4411</v>
      </c>
      <c r="AJ218" s="207"/>
      <c r="AK218" s="316">
        <v>45979</v>
      </c>
      <c r="AL218" s="316">
        <v>45979</v>
      </c>
      <c r="AM218" s="316">
        <v>45979</v>
      </c>
      <c r="AN218" s="316">
        <v>45979</v>
      </c>
      <c r="AO218" s="316">
        <v>45979</v>
      </c>
      <c r="AP218" s="316">
        <v>45979</v>
      </c>
      <c r="AQ218" s="314"/>
      <c r="AR218" s="315" t="str">
        <f t="shared" si="16"/>
        <v>FINALIZADO</v>
      </c>
      <c r="AS218" s="207"/>
      <c r="AT218" s="207"/>
      <c r="AU218" s="220"/>
      <c r="AV218" s="207"/>
      <c r="AW218" s="207"/>
      <c r="AX218" s="228"/>
      <c r="AY218" s="207"/>
      <c r="AZ218" s="202"/>
      <c r="BA218" s="219"/>
      <c r="BB218" s="207"/>
      <c r="BC218" s="202"/>
      <c r="BD218" s="208"/>
      <c r="BE218" s="239">
        <v>46017</v>
      </c>
      <c r="BF218" s="207" t="s">
        <v>4412</v>
      </c>
      <c r="BG218" s="229"/>
      <c r="BH218" s="321" t="str">
        <f t="shared" si="17"/>
        <v/>
      </c>
      <c r="BI218" s="98" t="str">
        <f t="shared" si="18"/>
        <v>AA</v>
      </c>
      <c r="BJ218" s="98" t="str">
        <f t="shared" si="19"/>
        <v>NÃO</v>
      </c>
      <c r="BK218" s="230"/>
      <c r="BL218" s="230"/>
      <c r="BM218" s="230"/>
      <c r="BN218" s="230"/>
      <c r="BO218" s="230"/>
      <c r="BP218" s="230"/>
      <c r="BQ218" s="230"/>
      <c r="BR218" s="234"/>
    </row>
    <row r="219" spans="1:72" s="240" customFormat="1" ht="27" hidden="1" customHeight="1">
      <c r="A219" s="197">
        <v>215</v>
      </c>
      <c r="B219" s="197" t="s">
        <v>4396</v>
      </c>
      <c r="C219" s="207" t="s">
        <v>4427</v>
      </c>
      <c r="D219" s="207">
        <v>1</v>
      </c>
      <c r="E219" s="207" t="s">
        <v>4398</v>
      </c>
      <c r="F219" s="214" t="s">
        <v>5366</v>
      </c>
      <c r="G219" s="207" t="s">
        <v>4400</v>
      </c>
      <c r="H219" s="207" t="s">
        <v>4401</v>
      </c>
      <c r="I219" s="217" t="s">
        <v>4402</v>
      </c>
      <c r="J219" s="215" t="s">
        <v>5370</v>
      </c>
      <c r="K219" s="215" t="s">
        <v>5371</v>
      </c>
      <c r="L219" s="215" t="s">
        <v>5372</v>
      </c>
      <c r="M219" s="207" t="s">
        <v>4405</v>
      </c>
      <c r="N219" s="207" t="s">
        <v>4442</v>
      </c>
      <c r="O219" s="202" t="s">
        <v>4409</v>
      </c>
      <c r="P219" s="202" t="s">
        <v>4409</v>
      </c>
      <c r="Q219" s="202" t="s">
        <v>4409</v>
      </c>
      <c r="R219" s="202" t="s">
        <v>4409</v>
      </c>
      <c r="S219" s="202" t="s">
        <v>4409</v>
      </c>
      <c r="T219" s="202" t="s">
        <v>4409</v>
      </c>
      <c r="U219" s="202" t="s">
        <v>4409</v>
      </c>
      <c r="V219" s="202" t="s">
        <v>4409</v>
      </c>
      <c r="W219" s="202" t="s">
        <v>4409</v>
      </c>
      <c r="X219" s="202" t="s">
        <v>4409</v>
      </c>
      <c r="Y219" s="202"/>
      <c r="Z219" s="202"/>
      <c r="AA219" s="215" t="s">
        <v>5370</v>
      </c>
      <c r="AB219" s="214" t="s">
        <v>5371</v>
      </c>
      <c r="AC219" s="214" t="s">
        <v>5372</v>
      </c>
      <c r="AD219" s="197" t="s">
        <v>4402</v>
      </c>
      <c r="AE219" s="197" t="s">
        <v>4405</v>
      </c>
      <c r="AF219" s="243">
        <v>95871.57</v>
      </c>
      <c r="AG219" s="243">
        <v>95871.57</v>
      </c>
      <c r="AH219" s="197" t="s">
        <v>4433</v>
      </c>
      <c r="AI219" s="214" t="s">
        <v>4411</v>
      </c>
      <c r="AJ219" s="207">
        <v>148261241</v>
      </c>
      <c r="AK219" s="316">
        <v>46045</v>
      </c>
      <c r="AL219" s="316">
        <v>46045</v>
      </c>
      <c r="AM219" s="316">
        <v>46045</v>
      </c>
      <c r="AN219" s="316">
        <v>46045</v>
      </c>
      <c r="AO219" s="316">
        <v>46045</v>
      </c>
      <c r="AP219" s="316">
        <v>46045</v>
      </c>
      <c r="AQ219" s="314"/>
      <c r="AR219" s="315" t="str">
        <f t="shared" si="16"/>
        <v>FINALIZADO</v>
      </c>
      <c r="AS219" s="207" t="s">
        <v>4423</v>
      </c>
      <c r="AT219" s="207"/>
      <c r="AU219" s="220" t="s">
        <v>5373</v>
      </c>
      <c r="AV219" s="207" t="s">
        <v>4425</v>
      </c>
      <c r="AW219" s="207" t="s">
        <v>4425</v>
      </c>
      <c r="AX219" s="250" t="s">
        <v>4425</v>
      </c>
      <c r="AY219" s="207" t="s">
        <v>4425</v>
      </c>
      <c r="AZ219" s="202">
        <v>46127</v>
      </c>
      <c r="BA219" s="207" t="s">
        <v>4425</v>
      </c>
      <c r="BB219" s="207" t="s">
        <v>4425</v>
      </c>
      <c r="BC219" s="202">
        <v>46139</v>
      </c>
      <c r="BD219" s="227">
        <v>46139</v>
      </c>
      <c r="BE219" s="244" t="s">
        <v>4435</v>
      </c>
      <c r="BF219" s="245" t="s">
        <v>4436</v>
      </c>
      <c r="BG219" s="229" t="s">
        <v>4425</v>
      </c>
      <c r="BH219" s="321">
        <f t="shared" si="17"/>
        <v>94</v>
      </c>
      <c r="BI219" s="98" t="str">
        <f t="shared" si="18"/>
        <v>INDENIZAÇÃO</v>
      </c>
      <c r="BJ219" s="98" t="str">
        <f t="shared" si="19"/>
        <v>NÃO</v>
      </c>
      <c r="BK219" s="219" t="s">
        <v>4437</v>
      </c>
      <c r="BL219" s="219" t="s">
        <v>4437</v>
      </c>
      <c r="BM219" s="219" t="s">
        <v>4437</v>
      </c>
      <c r="BN219" s="207" t="s">
        <v>4425</v>
      </c>
      <c r="BO219" s="207" t="s">
        <v>4425</v>
      </c>
      <c r="BP219" s="202">
        <v>46224</v>
      </c>
      <c r="BQ219" s="207" t="s">
        <v>4425</v>
      </c>
      <c r="BR219" s="232" t="s">
        <v>4435</v>
      </c>
    </row>
    <row r="220" spans="1:72" s="240" customFormat="1" ht="27" hidden="1" customHeight="1">
      <c r="A220" s="197">
        <v>216</v>
      </c>
      <c r="B220" s="197" t="s">
        <v>4396</v>
      </c>
      <c r="C220" s="207" t="s">
        <v>4427</v>
      </c>
      <c r="D220" s="207">
        <v>1</v>
      </c>
      <c r="E220" s="207" t="s">
        <v>4398</v>
      </c>
      <c r="F220" s="214" t="s">
        <v>5374</v>
      </c>
      <c r="G220" s="207" t="s">
        <v>4400</v>
      </c>
      <c r="H220" s="207" t="s">
        <v>4401</v>
      </c>
      <c r="I220" s="217" t="s">
        <v>4402</v>
      </c>
      <c r="J220" s="215" t="s">
        <v>5375</v>
      </c>
      <c r="K220" s="215" t="s">
        <v>5376</v>
      </c>
      <c r="L220" s="215" t="s">
        <v>5377</v>
      </c>
      <c r="M220" s="207" t="s">
        <v>4405</v>
      </c>
      <c r="N220" s="207" t="s">
        <v>4406</v>
      </c>
      <c r="O220" s="202">
        <v>46106</v>
      </c>
      <c r="P220" s="202" t="s">
        <v>4407</v>
      </c>
      <c r="Q220" s="202">
        <v>46106</v>
      </c>
      <c r="R220" s="202">
        <v>46107</v>
      </c>
      <c r="S220" s="202">
        <v>46111</v>
      </c>
      <c r="T220" s="202">
        <v>46087</v>
      </c>
      <c r="U220" s="202" t="s">
        <v>4408</v>
      </c>
      <c r="V220" s="202" t="s">
        <v>4408</v>
      </c>
      <c r="W220" s="202">
        <v>46132</v>
      </c>
      <c r="X220" s="202">
        <v>46140</v>
      </c>
      <c r="Y220" s="202"/>
      <c r="Z220" s="207"/>
      <c r="AA220" s="215" t="s">
        <v>5375</v>
      </c>
      <c r="AB220" s="215" t="s">
        <v>5376</v>
      </c>
      <c r="AC220" s="215" t="s">
        <v>5377</v>
      </c>
      <c r="AD220" s="207" t="s">
        <v>4402</v>
      </c>
      <c r="AE220" s="207" t="s">
        <v>4405</v>
      </c>
      <c r="AF220" s="218" t="s">
        <v>4409</v>
      </c>
      <c r="AG220" s="218" t="s">
        <v>4409</v>
      </c>
      <c r="AH220" s="207" t="s">
        <v>4410</v>
      </c>
      <c r="AI220" s="214" t="s">
        <v>4411</v>
      </c>
      <c r="AJ220" s="207"/>
      <c r="AK220" s="316">
        <v>45988</v>
      </c>
      <c r="AL220" s="316">
        <v>45988</v>
      </c>
      <c r="AM220" s="316">
        <v>45988</v>
      </c>
      <c r="AN220" s="316">
        <v>45988</v>
      </c>
      <c r="AO220" s="316">
        <v>45988</v>
      </c>
      <c r="AP220" s="316">
        <v>45988</v>
      </c>
      <c r="AQ220" s="314"/>
      <c r="AR220" s="315" t="str">
        <f t="shared" si="16"/>
        <v>FINALIZADO</v>
      </c>
      <c r="AS220" s="207"/>
      <c r="AT220" s="207"/>
      <c r="AU220" s="220"/>
      <c r="AV220" s="207"/>
      <c r="AW220" s="207"/>
      <c r="AX220" s="228"/>
      <c r="AY220" s="207"/>
      <c r="AZ220" s="202"/>
      <c r="BA220" s="219"/>
      <c r="BB220" s="207"/>
      <c r="BC220" s="202"/>
      <c r="BD220" s="208"/>
      <c r="BE220" s="202"/>
      <c r="BF220" s="207"/>
      <c r="BG220" s="229"/>
      <c r="BH220" s="321" t="str">
        <f t="shared" si="17"/>
        <v/>
      </c>
      <c r="BI220" s="98" t="str">
        <f t="shared" si="18"/>
        <v>AA</v>
      </c>
      <c r="BJ220" s="98" t="str">
        <f t="shared" si="19"/>
        <v>NÃO</v>
      </c>
      <c r="BK220" s="230"/>
      <c r="BL220" s="230"/>
      <c r="BM220" s="230"/>
      <c r="BN220" s="230"/>
      <c r="BO220" s="230"/>
      <c r="BP220" s="230"/>
      <c r="BQ220" s="230"/>
      <c r="BR220" s="234"/>
      <c r="BS220" s="223"/>
      <c r="BT220" s="223"/>
    </row>
    <row r="221" spans="1:72" s="240" customFormat="1" ht="27" hidden="1" customHeight="1">
      <c r="A221" s="207">
        <v>217</v>
      </c>
      <c r="B221" s="197" t="s">
        <v>4396</v>
      </c>
      <c r="C221" s="207" t="s">
        <v>4427</v>
      </c>
      <c r="D221" s="207">
        <v>1</v>
      </c>
      <c r="E221" s="207" t="s">
        <v>4398</v>
      </c>
      <c r="F221" s="214" t="s">
        <v>5378</v>
      </c>
      <c r="G221" s="207" t="s">
        <v>4400</v>
      </c>
      <c r="H221" s="207" t="s">
        <v>4401</v>
      </c>
      <c r="I221" s="217" t="s">
        <v>4402</v>
      </c>
      <c r="J221" s="215" t="s">
        <v>5379</v>
      </c>
      <c r="K221" s="215" t="s">
        <v>5380</v>
      </c>
      <c r="L221" s="215" t="s">
        <v>5381</v>
      </c>
      <c r="M221" s="207" t="s">
        <v>4405</v>
      </c>
      <c r="N221" s="207" t="s">
        <v>4442</v>
      </c>
      <c r="O221" s="202" t="s">
        <v>4409</v>
      </c>
      <c r="P221" s="202" t="s">
        <v>4409</v>
      </c>
      <c r="Q221" s="202" t="s">
        <v>4409</v>
      </c>
      <c r="R221" s="202" t="s">
        <v>4409</v>
      </c>
      <c r="S221" s="202" t="s">
        <v>4409</v>
      </c>
      <c r="T221" s="202" t="s">
        <v>4409</v>
      </c>
      <c r="U221" s="202" t="s">
        <v>4409</v>
      </c>
      <c r="V221" s="202" t="s">
        <v>4409</v>
      </c>
      <c r="W221" s="202" t="s">
        <v>4409</v>
      </c>
      <c r="X221" s="202" t="s">
        <v>4409</v>
      </c>
      <c r="Y221" s="202"/>
      <c r="Z221" s="207"/>
      <c r="AA221" s="215" t="s">
        <v>5379</v>
      </c>
      <c r="AB221" s="214" t="s">
        <v>5380</v>
      </c>
      <c r="AC221" s="214" t="s">
        <v>5381</v>
      </c>
      <c r="AD221" s="207" t="s">
        <v>4402</v>
      </c>
      <c r="AE221" s="207" t="s">
        <v>4405</v>
      </c>
      <c r="AF221" s="218">
        <v>25620.44</v>
      </c>
      <c r="AG221" s="218">
        <f>AF221+30000</f>
        <v>55620.44</v>
      </c>
      <c r="AH221" s="207" t="s">
        <v>4433</v>
      </c>
      <c r="AI221" s="214" t="s">
        <v>4411</v>
      </c>
      <c r="AJ221" s="207">
        <v>148261499</v>
      </c>
      <c r="AK221" s="316">
        <v>46059</v>
      </c>
      <c r="AL221" s="316">
        <v>46059</v>
      </c>
      <c r="AM221" s="316">
        <v>46059</v>
      </c>
      <c r="AN221" s="316">
        <v>46059</v>
      </c>
      <c r="AO221" s="316">
        <v>46059</v>
      </c>
      <c r="AP221" s="316">
        <v>46059</v>
      </c>
      <c r="AQ221" s="314"/>
      <c r="AR221" s="315" t="str">
        <f t="shared" si="16"/>
        <v>FINALIZADO</v>
      </c>
      <c r="AS221" s="207" t="s">
        <v>4423</v>
      </c>
      <c r="AT221" s="207"/>
      <c r="AU221" s="220" t="s">
        <v>5382</v>
      </c>
      <c r="AV221" s="207" t="s">
        <v>4425</v>
      </c>
      <c r="AW221" s="207" t="s">
        <v>4425</v>
      </c>
      <c r="AX221" s="250" t="s">
        <v>4425</v>
      </c>
      <c r="AY221" s="207" t="s">
        <v>4425</v>
      </c>
      <c r="AZ221" s="202">
        <v>46153</v>
      </c>
      <c r="BA221" s="207" t="s">
        <v>4425</v>
      </c>
      <c r="BB221" s="207" t="s">
        <v>4425</v>
      </c>
      <c r="BC221" s="202">
        <v>46160</v>
      </c>
      <c r="BD221" s="227">
        <v>46160</v>
      </c>
      <c r="BE221" s="227" t="s">
        <v>4435</v>
      </c>
      <c r="BF221" s="228" t="s">
        <v>4436</v>
      </c>
      <c r="BG221" s="219" t="s">
        <v>4425</v>
      </c>
      <c r="BH221" s="321">
        <f t="shared" si="17"/>
        <v>101</v>
      </c>
      <c r="BI221" s="98" t="str">
        <f t="shared" si="18"/>
        <v>INDENIZAÇÃO</v>
      </c>
      <c r="BJ221" s="98" t="str">
        <f t="shared" si="19"/>
        <v>NÃO</v>
      </c>
      <c r="BK221" s="219" t="s">
        <v>4437</v>
      </c>
      <c r="BL221" s="219" t="s">
        <v>4437</v>
      </c>
      <c r="BM221" s="219" t="s">
        <v>4437</v>
      </c>
      <c r="BN221" s="207" t="s">
        <v>4425</v>
      </c>
      <c r="BO221" s="207" t="s">
        <v>4425</v>
      </c>
      <c r="BP221" s="202">
        <v>46224</v>
      </c>
      <c r="BQ221" s="207" t="s">
        <v>4425</v>
      </c>
      <c r="BR221" s="232" t="s">
        <v>4435</v>
      </c>
    </row>
    <row r="222" spans="1:72" s="240" customFormat="1" ht="27" hidden="1" customHeight="1">
      <c r="A222" s="207">
        <v>218</v>
      </c>
      <c r="B222" s="197" t="s">
        <v>4396</v>
      </c>
      <c r="C222" s="207" t="s">
        <v>4427</v>
      </c>
      <c r="D222" s="207">
        <v>1</v>
      </c>
      <c r="E222" s="207" t="s">
        <v>4398</v>
      </c>
      <c r="F222" s="214" t="s">
        <v>5383</v>
      </c>
      <c r="G222" s="207" t="s">
        <v>4400</v>
      </c>
      <c r="H222" s="207" t="s">
        <v>4401</v>
      </c>
      <c r="I222" s="217" t="s">
        <v>4402</v>
      </c>
      <c r="J222" s="215" t="s">
        <v>5384</v>
      </c>
      <c r="K222" s="215" t="s">
        <v>5385</v>
      </c>
      <c r="L222" s="215" t="s">
        <v>5386</v>
      </c>
      <c r="M222" s="207" t="s">
        <v>4405</v>
      </c>
      <c r="N222" s="207" t="s">
        <v>4442</v>
      </c>
      <c r="O222" s="202" t="s">
        <v>4409</v>
      </c>
      <c r="P222" s="202" t="s">
        <v>4409</v>
      </c>
      <c r="Q222" s="202" t="s">
        <v>4409</v>
      </c>
      <c r="R222" s="202" t="s">
        <v>4409</v>
      </c>
      <c r="S222" s="202" t="s">
        <v>4409</v>
      </c>
      <c r="T222" s="202" t="s">
        <v>4409</v>
      </c>
      <c r="U222" s="202" t="s">
        <v>4409</v>
      </c>
      <c r="V222" s="202" t="s">
        <v>4409</v>
      </c>
      <c r="W222" s="202" t="s">
        <v>4409</v>
      </c>
      <c r="X222" s="202" t="s">
        <v>4409</v>
      </c>
      <c r="Y222" s="202"/>
      <c r="Z222" s="207"/>
      <c r="AA222" s="215" t="s">
        <v>5384</v>
      </c>
      <c r="AB222" s="215" t="s">
        <v>5385</v>
      </c>
      <c r="AC222" s="215" t="s">
        <v>5386</v>
      </c>
      <c r="AD222" s="207" t="s">
        <v>4402</v>
      </c>
      <c r="AE222" s="207" t="s">
        <v>4405</v>
      </c>
      <c r="AF222" s="218">
        <v>12879.33</v>
      </c>
      <c r="AG222" s="218">
        <f>AF222+30000</f>
        <v>42879.33</v>
      </c>
      <c r="AH222" s="207" t="s">
        <v>4433</v>
      </c>
      <c r="AI222" s="214" t="s">
        <v>4411</v>
      </c>
      <c r="AJ222" s="207">
        <v>148261614</v>
      </c>
      <c r="AK222" s="316">
        <v>46066</v>
      </c>
      <c r="AL222" s="316">
        <v>46066</v>
      </c>
      <c r="AM222" s="316">
        <v>46066</v>
      </c>
      <c r="AN222" s="316">
        <v>46066</v>
      </c>
      <c r="AO222" s="316">
        <v>46066</v>
      </c>
      <c r="AP222" s="316">
        <v>46066</v>
      </c>
      <c r="AQ222" s="314"/>
      <c r="AR222" s="315" t="str">
        <f t="shared" si="16"/>
        <v>FINALIZADO</v>
      </c>
      <c r="AS222" s="207" t="s">
        <v>4423</v>
      </c>
      <c r="AT222" s="207"/>
      <c r="AU222" s="220" t="s">
        <v>5387</v>
      </c>
      <c r="AV222" s="207" t="s">
        <v>4425</v>
      </c>
      <c r="AW222" s="207" t="s">
        <v>4425</v>
      </c>
      <c r="AX222" s="250" t="s">
        <v>4425</v>
      </c>
      <c r="AY222" s="197" t="s">
        <v>4425</v>
      </c>
      <c r="AZ222" s="202">
        <v>46153</v>
      </c>
      <c r="BA222" s="207" t="s">
        <v>4425</v>
      </c>
      <c r="BB222" s="207" t="s">
        <v>4425</v>
      </c>
      <c r="BC222" s="202">
        <v>46160</v>
      </c>
      <c r="BD222" s="227">
        <v>46160</v>
      </c>
      <c r="BE222" s="228" t="s">
        <v>4435</v>
      </c>
      <c r="BF222" s="228" t="s">
        <v>4436</v>
      </c>
      <c r="BG222" s="219" t="s">
        <v>4425</v>
      </c>
      <c r="BH222" s="321">
        <f t="shared" si="17"/>
        <v>94</v>
      </c>
      <c r="BI222" s="98" t="str">
        <f t="shared" si="18"/>
        <v>INDENIZAÇÃO</v>
      </c>
      <c r="BJ222" s="98" t="str">
        <f t="shared" si="19"/>
        <v>NÃO</v>
      </c>
      <c r="BK222" s="219" t="s">
        <v>4437</v>
      </c>
      <c r="BL222" s="219" t="s">
        <v>4437</v>
      </c>
      <c r="BM222" s="219" t="s">
        <v>4437</v>
      </c>
      <c r="BN222" s="207" t="s">
        <v>4425</v>
      </c>
      <c r="BO222" s="207" t="s">
        <v>4425</v>
      </c>
      <c r="BP222" s="202">
        <v>46224</v>
      </c>
      <c r="BQ222" s="207" t="s">
        <v>4425</v>
      </c>
      <c r="BR222" s="232" t="s">
        <v>4435</v>
      </c>
    </row>
    <row r="223" spans="1:72" s="240" customFormat="1" ht="27" hidden="1" customHeight="1">
      <c r="A223" s="207">
        <v>219</v>
      </c>
      <c r="B223" s="197" t="s">
        <v>4396</v>
      </c>
      <c r="C223" s="207" t="s">
        <v>5297</v>
      </c>
      <c r="D223" s="207">
        <v>1</v>
      </c>
      <c r="E223" s="207" t="s">
        <v>4398</v>
      </c>
      <c r="F223" s="214" t="s">
        <v>5388</v>
      </c>
      <c r="G223" s="207" t="s">
        <v>4400</v>
      </c>
      <c r="H223" s="207" t="s">
        <v>4401</v>
      </c>
      <c r="I223" s="217" t="s">
        <v>4402</v>
      </c>
      <c r="J223" s="215" t="s">
        <v>5389</v>
      </c>
      <c r="K223" s="215" t="s">
        <v>5390</v>
      </c>
      <c r="L223" s="215" t="s">
        <v>5391</v>
      </c>
      <c r="M223" s="207" t="s">
        <v>4405</v>
      </c>
      <c r="N223" s="207" t="s">
        <v>4406</v>
      </c>
      <c r="O223" s="202">
        <v>45986</v>
      </c>
      <c r="P223" s="230" t="s">
        <v>4407</v>
      </c>
      <c r="Q223" s="202">
        <v>45985</v>
      </c>
      <c r="R223" s="202">
        <v>45986</v>
      </c>
      <c r="S223" s="202">
        <v>45987</v>
      </c>
      <c r="T223" s="202">
        <v>45992</v>
      </c>
      <c r="U223" s="230" t="s">
        <v>4408</v>
      </c>
      <c r="V223" s="230" t="s">
        <v>4408</v>
      </c>
      <c r="W223" s="202">
        <v>45999</v>
      </c>
      <c r="X223" s="202">
        <v>46000</v>
      </c>
      <c r="Y223" s="202">
        <v>46017</v>
      </c>
      <c r="Z223" s="207"/>
      <c r="AA223" s="215" t="s">
        <v>5389</v>
      </c>
      <c r="AB223" s="215" t="s">
        <v>5390</v>
      </c>
      <c r="AC223" s="215" t="s">
        <v>5391</v>
      </c>
      <c r="AD223" s="241" t="s">
        <v>4402</v>
      </c>
      <c r="AE223" s="241" t="s">
        <v>4405</v>
      </c>
      <c r="AF223" s="242" t="s">
        <v>4409</v>
      </c>
      <c r="AG223" s="242" t="s">
        <v>4409</v>
      </c>
      <c r="AH223" s="241" t="s">
        <v>4410</v>
      </c>
      <c r="AI223" s="214" t="s">
        <v>4411</v>
      </c>
      <c r="AJ223" s="207"/>
      <c r="AK223" s="316">
        <v>45979</v>
      </c>
      <c r="AL223" s="316">
        <v>45979</v>
      </c>
      <c r="AM223" s="316">
        <v>45979</v>
      </c>
      <c r="AN223" s="316">
        <v>45979</v>
      </c>
      <c r="AO223" s="316">
        <v>45979</v>
      </c>
      <c r="AP223" s="316">
        <v>45979</v>
      </c>
      <c r="AQ223" s="314"/>
      <c r="AR223" s="315" t="str">
        <f t="shared" si="16"/>
        <v>FINALIZADO</v>
      </c>
      <c r="AS223" s="207"/>
      <c r="AT223" s="207"/>
      <c r="AU223" s="220"/>
      <c r="AV223" s="207"/>
      <c r="AW223" s="207"/>
      <c r="AX223" s="228"/>
      <c r="AY223" s="197"/>
      <c r="AZ223" s="202"/>
      <c r="BA223" s="219"/>
      <c r="BB223" s="207"/>
      <c r="BC223" s="202"/>
      <c r="BD223" s="208"/>
      <c r="BE223" s="239">
        <v>46017</v>
      </c>
      <c r="BF223" s="207" t="s">
        <v>4412</v>
      </c>
      <c r="BG223" s="229"/>
      <c r="BH223" s="321" t="str">
        <f t="shared" si="17"/>
        <v/>
      </c>
      <c r="BI223" s="98" t="str">
        <f t="shared" si="18"/>
        <v>AA</v>
      </c>
      <c r="BJ223" s="98" t="str">
        <f t="shared" si="19"/>
        <v>NÃO</v>
      </c>
      <c r="BK223" s="230"/>
      <c r="BL223" s="230"/>
      <c r="BM223" s="230"/>
      <c r="BN223" s="230"/>
      <c r="BO223" s="230"/>
      <c r="BP223" s="230"/>
      <c r="BQ223" s="230"/>
      <c r="BR223" s="234"/>
    </row>
    <row r="224" spans="1:72" s="240" customFormat="1" ht="27" hidden="1" customHeight="1">
      <c r="A224" s="197">
        <v>220</v>
      </c>
      <c r="B224" s="197" t="s">
        <v>4396</v>
      </c>
      <c r="C224" s="207" t="s">
        <v>4427</v>
      </c>
      <c r="D224" s="207">
        <v>1</v>
      </c>
      <c r="E224" s="207" t="s">
        <v>4398</v>
      </c>
      <c r="F224" s="214" t="s">
        <v>5388</v>
      </c>
      <c r="G224" s="207" t="s">
        <v>4400</v>
      </c>
      <c r="H224" s="207" t="s">
        <v>4401</v>
      </c>
      <c r="I224" s="217" t="s">
        <v>4402</v>
      </c>
      <c r="J224" s="215" t="s">
        <v>5392</v>
      </c>
      <c r="K224" s="215" t="s">
        <v>5393</v>
      </c>
      <c r="L224" s="215" t="s">
        <v>5394</v>
      </c>
      <c r="M224" s="207" t="s">
        <v>4405</v>
      </c>
      <c r="N224" s="207" t="s">
        <v>4442</v>
      </c>
      <c r="O224" s="202" t="s">
        <v>4409</v>
      </c>
      <c r="P224" s="202" t="s">
        <v>4409</v>
      </c>
      <c r="Q224" s="202" t="s">
        <v>4409</v>
      </c>
      <c r="R224" s="202" t="s">
        <v>4409</v>
      </c>
      <c r="S224" s="202" t="s">
        <v>4409</v>
      </c>
      <c r="T224" s="202" t="s">
        <v>4409</v>
      </c>
      <c r="U224" s="202" t="s">
        <v>4409</v>
      </c>
      <c r="V224" s="202" t="s">
        <v>4409</v>
      </c>
      <c r="W224" s="202" t="s">
        <v>4409</v>
      </c>
      <c r="X224" s="202" t="s">
        <v>4409</v>
      </c>
      <c r="Y224" s="202"/>
      <c r="Z224" s="203"/>
      <c r="AA224" s="215" t="s">
        <v>5392</v>
      </c>
      <c r="AB224" s="215" t="s">
        <v>5393</v>
      </c>
      <c r="AC224" s="215" t="s">
        <v>5394</v>
      </c>
      <c r="AD224" s="197" t="s">
        <v>4402</v>
      </c>
      <c r="AE224" s="197" t="s">
        <v>4405</v>
      </c>
      <c r="AF224" s="243">
        <v>52850.13</v>
      </c>
      <c r="AG224" s="243">
        <v>60000</v>
      </c>
      <c r="AH224" s="197" t="s">
        <v>4433</v>
      </c>
      <c r="AI224" s="214" t="s">
        <v>4411</v>
      </c>
      <c r="AJ224" s="207">
        <v>151379771</v>
      </c>
      <c r="AK224" s="316">
        <v>46086</v>
      </c>
      <c r="AL224" s="316">
        <v>46086</v>
      </c>
      <c r="AM224" s="316">
        <v>46086</v>
      </c>
      <c r="AN224" s="316">
        <v>46086</v>
      </c>
      <c r="AO224" s="316">
        <v>46086</v>
      </c>
      <c r="AP224" s="316">
        <v>46086</v>
      </c>
      <c r="AQ224" s="314"/>
      <c r="AR224" s="315" t="str">
        <f t="shared" si="16"/>
        <v>FINALIZADO</v>
      </c>
      <c r="AS224" s="207" t="s">
        <v>4423</v>
      </c>
      <c r="AT224" s="207"/>
      <c r="AU224" s="220" t="s">
        <v>5395</v>
      </c>
      <c r="AV224" s="207" t="s">
        <v>4425</v>
      </c>
      <c r="AW224" s="207" t="s">
        <v>4425</v>
      </c>
      <c r="AX224" s="207" t="s">
        <v>4425</v>
      </c>
      <c r="AY224" s="207" t="s">
        <v>4425</v>
      </c>
      <c r="AZ224" s="202">
        <v>46170</v>
      </c>
      <c r="BA224" s="207" t="s">
        <v>4425</v>
      </c>
      <c r="BB224" s="207" t="s">
        <v>4425</v>
      </c>
      <c r="BC224" s="202">
        <v>46182</v>
      </c>
      <c r="BD224" s="227">
        <v>46182</v>
      </c>
      <c r="BE224" s="235" t="s">
        <v>4435</v>
      </c>
      <c r="BF224" s="236" t="s">
        <v>4436</v>
      </c>
      <c r="BG224" s="237" t="s">
        <v>4425</v>
      </c>
      <c r="BH224" s="321">
        <f t="shared" si="17"/>
        <v>96</v>
      </c>
      <c r="BI224" s="98" t="str">
        <f t="shared" si="18"/>
        <v>INDENIZAÇÃO</v>
      </c>
      <c r="BJ224" s="98" t="str">
        <f t="shared" si="19"/>
        <v>NÃO</v>
      </c>
      <c r="BK224" s="238" t="s">
        <v>4437</v>
      </c>
      <c r="BL224" s="238" t="s">
        <v>4437</v>
      </c>
      <c r="BM224" s="238" t="s">
        <v>4437</v>
      </c>
      <c r="BN224" s="207" t="s">
        <v>4425</v>
      </c>
      <c r="BO224" s="250" t="s">
        <v>4425</v>
      </c>
      <c r="BP224" s="202">
        <v>46269</v>
      </c>
      <c r="BQ224" s="257" t="s">
        <v>4819</v>
      </c>
      <c r="BR224" s="231"/>
      <c r="BS224" s="223"/>
    </row>
    <row r="225" spans="1:72" s="240" customFormat="1" ht="27" hidden="1" customHeight="1">
      <c r="A225" s="197">
        <v>221</v>
      </c>
      <c r="B225" s="197" t="s">
        <v>4396</v>
      </c>
      <c r="C225" s="207" t="s">
        <v>5297</v>
      </c>
      <c r="D225" s="207">
        <v>1</v>
      </c>
      <c r="E225" s="207" t="s">
        <v>4398</v>
      </c>
      <c r="F225" s="214" t="s">
        <v>5396</v>
      </c>
      <c r="G225" s="207" t="s">
        <v>4400</v>
      </c>
      <c r="H225" s="207" t="s">
        <v>4401</v>
      </c>
      <c r="I225" s="217" t="s">
        <v>4402</v>
      </c>
      <c r="J225" s="215" t="s">
        <v>5397</v>
      </c>
      <c r="K225" s="215" t="s">
        <v>5398</v>
      </c>
      <c r="L225" s="215" t="s">
        <v>5399</v>
      </c>
      <c r="M225" s="207" t="s">
        <v>4405</v>
      </c>
      <c r="N225" s="207" t="s">
        <v>4406</v>
      </c>
      <c r="O225" s="202">
        <v>45986</v>
      </c>
      <c r="P225" s="203" t="s">
        <v>4407</v>
      </c>
      <c r="Q225" s="203">
        <v>45985</v>
      </c>
      <c r="R225" s="203">
        <v>45986</v>
      </c>
      <c r="S225" s="203">
        <v>45987</v>
      </c>
      <c r="T225" s="203">
        <v>45992</v>
      </c>
      <c r="U225" s="203" t="s">
        <v>4408</v>
      </c>
      <c r="V225" s="203" t="s">
        <v>4408</v>
      </c>
      <c r="W225" s="202">
        <v>45999</v>
      </c>
      <c r="X225" s="202">
        <v>46001</v>
      </c>
      <c r="Y225" s="202">
        <v>46017</v>
      </c>
      <c r="Z225" s="207"/>
      <c r="AA225" s="215" t="s">
        <v>5397</v>
      </c>
      <c r="AB225" s="215" t="s">
        <v>5398</v>
      </c>
      <c r="AC225" s="215" t="s">
        <v>5399</v>
      </c>
      <c r="AD225" s="241" t="s">
        <v>4402</v>
      </c>
      <c r="AE225" s="241" t="s">
        <v>4405</v>
      </c>
      <c r="AF225" s="242" t="s">
        <v>4409</v>
      </c>
      <c r="AG225" s="242" t="s">
        <v>4409</v>
      </c>
      <c r="AH225" s="241" t="s">
        <v>4410</v>
      </c>
      <c r="AI225" s="214" t="s">
        <v>4411</v>
      </c>
      <c r="AJ225" s="207"/>
      <c r="AK225" s="316">
        <v>45979</v>
      </c>
      <c r="AL225" s="316">
        <v>45979</v>
      </c>
      <c r="AM225" s="316">
        <v>45979</v>
      </c>
      <c r="AN225" s="316">
        <v>45979</v>
      </c>
      <c r="AO225" s="316">
        <v>45979</v>
      </c>
      <c r="AP225" s="316">
        <v>45979</v>
      </c>
      <c r="AQ225" s="314"/>
      <c r="AR225" s="315" t="str">
        <f t="shared" si="16"/>
        <v>FINALIZADO</v>
      </c>
      <c r="AS225" s="207"/>
      <c r="AT225" s="207"/>
      <c r="AU225" s="220"/>
      <c r="AV225" s="207"/>
      <c r="AW225" s="207"/>
      <c r="AX225" s="228"/>
      <c r="AY225" s="207"/>
      <c r="AZ225" s="202"/>
      <c r="BA225" s="219"/>
      <c r="BB225" s="207"/>
      <c r="BC225" s="202"/>
      <c r="BD225" s="208"/>
      <c r="BE225" s="239">
        <v>46017</v>
      </c>
      <c r="BF225" s="207" t="s">
        <v>4412</v>
      </c>
      <c r="BG225" s="229"/>
      <c r="BH225" s="321" t="str">
        <f t="shared" si="17"/>
        <v/>
      </c>
      <c r="BI225" s="98" t="str">
        <f t="shared" si="18"/>
        <v>AA</v>
      </c>
      <c r="BJ225" s="98" t="str">
        <f t="shared" si="19"/>
        <v>NÃO</v>
      </c>
      <c r="BK225" s="230"/>
      <c r="BL225" s="230"/>
      <c r="BM225" s="230"/>
      <c r="BN225" s="230"/>
      <c r="BO225" s="230"/>
      <c r="BP225" s="230"/>
      <c r="BQ225" s="230"/>
      <c r="BR225" s="234"/>
    </row>
    <row r="226" spans="1:72" s="240" customFormat="1" ht="27" hidden="1" customHeight="1">
      <c r="A226" s="207">
        <v>222</v>
      </c>
      <c r="B226" s="197" t="s">
        <v>4396</v>
      </c>
      <c r="C226" s="207" t="s">
        <v>4427</v>
      </c>
      <c r="D226" s="207">
        <v>1</v>
      </c>
      <c r="E226" s="207" t="s">
        <v>4398</v>
      </c>
      <c r="F226" s="214" t="s">
        <v>5396</v>
      </c>
      <c r="G226" s="207" t="s">
        <v>4400</v>
      </c>
      <c r="H226" s="207" t="s">
        <v>4583</v>
      </c>
      <c r="I226" s="217" t="s">
        <v>4402</v>
      </c>
      <c r="J226" s="215" t="s">
        <v>5400</v>
      </c>
      <c r="K226" s="215" t="s">
        <v>5401</v>
      </c>
      <c r="L226" s="215" t="s">
        <v>5402</v>
      </c>
      <c r="M226" s="207" t="s">
        <v>4405</v>
      </c>
      <c r="N226" s="207" t="s">
        <v>4406</v>
      </c>
      <c r="O226" s="203">
        <v>46031</v>
      </c>
      <c r="P226" s="202" t="s">
        <v>4407</v>
      </c>
      <c r="Q226" s="203">
        <v>46030</v>
      </c>
      <c r="R226" s="203">
        <v>46031</v>
      </c>
      <c r="S226" s="203">
        <v>46036</v>
      </c>
      <c r="T226" s="203">
        <v>46045</v>
      </c>
      <c r="U226" s="203" t="s">
        <v>4408</v>
      </c>
      <c r="V226" s="203" t="s">
        <v>4408</v>
      </c>
      <c r="W226" s="202">
        <v>46055</v>
      </c>
      <c r="X226" s="202">
        <v>46058</v>
      </c>
      <c r="Y226" s="202"/>
      <c r="Z226" s="202"/>
      <c r="AA226" s="215" t="s">
        <v>5400</v>
      </c>
      <c r="AB226" s="214" t="s">
        <v>4440</v>
      </c>
      <c r="AC226" s="214" t="s">
        <v>5402</v>
      </c>
      <c r="AD226" s="197" t="s">
        <v>4402</v>
      </c>
      <c r="AE226" s="197" t="s">
        <v>4405</v>
      </c>
      <c r="AF226" s="205" t="s">
        <v>4409</v>
      </c>
      <c r="AG226" s="205" t="s">
        <v>4409</v>
      </c>
      <c r="AH226" s="197" t="s">
        <v>4410</v>
      </c>
      <c r="AI226" s="214" t="s">
        <v>4411</v>
      </c>
      <c r="AJ226" s="207"/>
      <c r="AK226" s="316">
        <v>45986</v>
      </c>
      <c r="AL226" s="316">
        <v>45986</v>
      </c>
      <c r="AM226" s="316">
        <v>45986</v>
      </c>
      <c r="AN226" s="316">
        <v>45986</v>
      </c>
      <c r="AO226" s="316">
        <v>45986</v>
      </c>
      <c r="AP226" s="316">
        <v>45986</v>
      </c>
      <c r="AQ226" s="314"/>
      <c r="AR226" s="315" t="str">
        <f t="shared" si="16"/>
        <v>FINALIZADO</v>
      </c>
      <c r="AS226" s="207"/>
      <c r="AT226" s="207"/>
      <c r="AU226" s="220"/>
      <c r="AV226" s="207"/>
      <c r="AW226" s="207"/>
      <c r="AX226" s="228"/>
      <c r="AY226" s="207"/>
      <c r="AZ226" s="202"/>
      <c r="BA226" s="219"/>
      <c r="BB226" s="207"/>
      <c r="BC226" s="202"/>
      <c r="BD226" s="208"/>
      <c r="BE226" s="201"/>
      <c r="BF226" s="197"/>
      <c r="BG226" s="229"/>
      <c r="BH226" s="321" t="str">
        <f t="shared" si="17"/>
        <v/>
      </c>
      <c r="BI226" s="98" t="str">
        <f t="shared" si="18"/>
        <v>AA</v>
      </c>
      <c r="BJ226" s="98" t="str">
        <f t="shared" si="19"/>
        <v>NÃO</v>
      </c>
      <c r="BK226" s="230"/>
      <c r="BL226" s="230"/>
      <c r="BM226" s="230"/>
      <c r="BN226" s="230"/>
      <c r="BO226" s="230"/>
      <c r="BP226" s="230"/>
      <c r="BQ226" s="230"/>
      <c r="BR226" s="234"/>
    </row>
    <row r="227" spans="1:72" s="240" customFormat="1" ht="27" hidden="1" customHeight="1">
      <c r="A227" s="207">
        <v>223</v>
      </c>
      <c r="B227" s="197" t="s">
        <v>4396</v>
      </c>
      <c r="C227" s="207" t="s">
        <v>5297</v>
      </c>
      <c r="D227" s="207">
        <v>1</v>
      </c>
      <c r="E227" s="207" t="s">
        <v>4398</v>
      </c>
      <c r="F227" s="214" t="s">
        <v>5403</v>
      </c>
      <c r="G227" s="207" t="s">
        <v>4546</v>
      </c>
      <c r="H227" s="207" t="s">
        <v>4401</v>
      </c>
      <c r="I227" s="233" t="s">
        <v>4421</v>
      </c>
      <c r="J227" s="215" t="s">
        <v>5404</v>
      </c>
      <c r="K227" s="215" t="s">
        <v>5405</v>
      </c>
      <c r="L227" s="215" t="s">
        <v>5406</v>
      </c>
      <c r="M227" s="207" t="s">
        <v>4405</v>
      </c>
      <c r="N227" s="207" t="s">
        <v>4442</v>
      </c>
      <c r="O227" s="202" t="s">
        <v>4409</v>
      </c>
      <c r="P227" s="202" t="s">
        <v>4409</v>
      </c>
      <c r="Q227" s="202" t="s">
        <v>4409</v>
      </c>
      <c r="R227" s="202" t="s">
        <v>4409</v>
      </c>
      <c r="S227" s="202" t="s">
        <v>4409</v>
      </c>
      <c r="T227" s="202" t="s">
        <v>4409</v>
      </c>
      <c r="U227" s="202" t="s">
        <v>4409</v>
      </c>
      <c r="V227" s="202" t="s">
        <v>4409</v>
      </c>
      <c r="W227" s="202" t="s">
        <v>4409</v>
      </c>
      <c r="X227" s="202" t="s">
        <v>4409</v>
      </c>
      <c r="Y227" s="202"/>
      <c r="Z227" s="202"/>
      <c r="AA227" s="215" t="s">
        <v>5404</v>
      </c>
      <c r="AB227" s="214" t="s">
        <v>5405</v>
      </c>
      <c r="AC227" s="214" t="s">
        <v>5406</v>
      </c>
      <c r="AD227" s="233" t="s">
        <v>4421</v>
      </c>
      <c r="AE227" s="207" t="s">
        <v>4405</v>
      </c>
      <c r="AF227" s="243">
        <v>2213.9299999999998</v>
      </c>
      <c r="AG227" s="243">
        <f>AF227+30000</f>
        <v>32213.93</v>
      </c>
      <c r="AH227" s="207" t="s">
        <v>4433</v>
      </c>
      <c r="AI227" s="214" t="s">
        <v>4411</v>
      </c>
      <c r="AJ227" s="207">
        <v>146041203</v>
      </c>
      <c r="AK227" s="316">
        <v>45979</v>
      </c>
      <c r="AL227" s="316">
        <v>45979</v>
      </c>
      <c r="AM227" s="316">
        <v>45979</v>
      </c>
      <c r="AN227" s="316">
        <v>45979</v>
      </c>
      <c r="AO227" s="316">
        <v>45979</v>
      </c>
      <c r="AP227" s="316">
        <v>45979</v>
      </c>
      <c r="AQ227" s="314"/>
      <c r="AR227" s="315" t="str">
        <f t="shared" si="16"/>
        <v>FINALIZADO</v>
      </c>
      <c r="AS227" s="207" t="s">
        <v>4423</v>
      </c>
      <c r="AT227" s="207"/>
      <c r="AU227" s="220" t="s">
        <v>5407</v>
      </c>
      <c r="AV227" s="207" t="s">
        <v>4425</v>
      </c>
      <c r="AW227" s="207" t="s">
        <v>4425</v>
      </c>
      <c r="AX227" s="250" t="s">
        <v>4425</v>
      </c>
      <c r="AY227" s="207" t="s">
        <v>4425</v>
      </c>
      <c r="AZ227" s="202">
        <v>46014</v>
      </c>
      <c r="BA227" s="219" t="s">
        <v>4425</v>
      </c>
      <c r="BB227" s="207" t="s">
        <v>4425</v>
      </c>
      <c r="BC227" s="202">
        <v>46021</v>
      </c>
      <c r="BD227" s="227">
        <v>46021</v>
      </c>
      <c r="BE227" s="239">
        <v>46017</v>
      </c>
      <c r="BF227" s="207" t="s">
        <v>4762</v>
      </c>
      <c r="BG227" s="229" t="s">
        <v>4425</v>
      </c>
      <c r="BH227" s="321">
        <f t="shared" si="17"/>
        <v>42</v>
      </c>
      <c r="BI227" s="98" t="str">
        <f t="shared" si="18"/>
        <v>INDENIZAÇÃO</v>
      </c>
      <c r="BJ227" s="98" t="str">
        <f t="shared" si="19"/>
        <v>NÃO</v>
      </c>
      <c r="BK227" s="230" t="s">
        <v>4437</v>
      </c>
      <c r="BL227" s="230" t="s">
        <v>4437</v>
      </c>
      <c r="BM227" s="230" t="s">
        <v>4437</v>
      </c>
      <c r="BN227" s="207" t="s">
        <v>4425</v>
      </c>
      <c r="BO227" s="207" t="s">
        <v>4425</v>
      </c>
      <c r="BP227" s="202">
        <v>46205</v>
      </c>
      <c r="BQ227" s="207" t="s">
        <v>4425</v>
      </c>
      <c r="BR227" s="232" t="s">
        <v>4435</v>
      </c>
    </row>
    <row r="228" spans="1:72" s="240" customFormat="1" ht="27" hidden="1" customHeight="1">
      <c r="A228" s="207">
        <v>224</v>
      </c>
      <c r="B228" s="197" t="s">
        <v>4396</v>
      </c>
      <c r="C228" s="207" t="s">
        <v>4427</v>
      </c>
      <c r="D228" s="207">
        <v>1</v>
      </c>
      <c r="E228" s="207" t="s">
        <v>4398</v>
      </c>
      <c r="F228" s="214" t="s">
        <v>5408</v>
      </c>
      <c r="G228" s="207" t="s">
        <v>4545</v>
      </c>
      <c r="H228" s="207" t="s">
        <v>4545</v>
      </c>
      <c r="I228" s="249" t="s">
        <v>4545</v>
      </c>
      <c r="J228" s="215" t="s">
        <v>5409</v>
      </c>
      <c r="K228" s="215" t="s">
        <v>4440</v>
      </c>
      <c r="L228" s="215" t="s">
        <v>5410</v>
      </c>
      <c r="M228" s="207" t="s">
        <v>4405</v>
      </c>
      <c r="N228" s="207" t="s">
        <v>4442</v>
      </c>
      <c r="O228" s="202" t="s">
        <v>4409</v>
      </c>
      <c r="P228" s="202" t="s">
        <v>4409</v>
      </c>
      <c r="Q228" s="202" t="s">
        <v>4409</v>
      </c>
      <c r="R228" s="202" t="s">
        <v>4409</v>
      </c>
      <c r="S228" s="202" t="s">
        <v>4409</v>
      </c>
      <c r="T228" s="202" t="s">
        <v>4409</v>
      </c>
      <c r="U228" s="202" t="s">
        <v>4409</v>
      </c>
      <c r="V228" s="202" t="s">
        <v>4409</v>
      </c>
      <c r="W228" s="202" t="s">
        <v>4409</v>
      </c>
      <c r="X228" s="202" t="s">
        <v>4409</v>
      </c>
      <c r="Y228" s="202"/>
      <c r="Z228" s="202"/>
      <c r="AA228" s="215"/>
      <c r="AB228" s="214"/>
      <c r="AC228" s="214"/>
      <c r="AD228" s="217"/>
      <c r="AE228" s="207"/>
      <c r="AF228" s="218"/>
      <c r="AG228" s="218"/>
      <c r="AH228" s="207"/>
      <c r="AI228" s="214" t="s">
        <v>4411</v>
      </c>
      <c r="AJ228" s="207"/>
      <c r="AK228" s="316">
        <v>46134</v>
      </c>
      <c r="AL228" s="316">
        <v>46134</v>
      </c>
      <c r="AM228" s="316">
        <v>46134</v>
      </c>
      <c r="AN228" s="316">
        <v>46134</v>
      </c>
      <c r="AO228" s="316">
        <v>46134</v>
      </c>
      <c r="AP228" s="316">
        <v>46134</v>
      </c>
      <c r="AQ228" s="314"/>
      <c r="AR228" s="315" t="str">
        <f t="shared" si="16"/>
        <v>FINALIZADO</v>
      </c>
      <c r="AS228" s="207"/>
      <c r="AT228" s="207"/>
      <c r="AU228" s="220"/>
      <c r="AV228" s="207"/>
      <c r="AW228" s="207"/>
      <c r="AX228" s="228"/>
      <c r="AY228" s="207"/>
      <c r="AZ228" s="202"/>
      <c r="BA228" s="219"/>
      <c r="BB228" s="207"/>
      <c r="BC228" s="202"/>
      <c r="BD228" s="208"/>
      <c r="BE228" s="274"/>
      <c r="BF228" s="228"/>
      <c r="BG228" s="229"/>
      <c r="BH228" s="321" t="str">
        <f t="shared" si="17"/>
        <v/>
      </c>
      <c r="BI228" s="98" t="str">
        <f t="shared" si="18"/>
        <v>INDENIZAÇÃO</v>
      </c>
      <c r="BJ228" s="98" t="str">
        <f t="shared" si="19"/>
        <v>NÃO</v>
      </c>
      <c r="BK228" s="230"/>
      <c r="BL228" s="230"/>
      <c r="BM228" s="230"/>
      <c r="BN228" s="265"/>
      <c r="BO228" s="265"/>
      <c r="BP228" s="265"/>
      <c r="BQ228" s="265"/>
      <c r="BR228" s="231"/>
    </row>
    <row r="229" spans="1:72" s="240" customFormat="1" ht="27" hidden="1" customHeight="1">
      <c r="A229" s="197">
        <v>225</v>
      </c>
      <c r="B229" s="197" t="s">
        <v>4396</v>
      </c>
      <c r="C229" s="207" t="s">
        <v>4427</v>
      </c>
      <c r="D229" s="207">
        <v>1</v>
      </c>
      <c r="E229" s="207" t="s">
        <v>4398</v>
      </c>
      <c r="F229" s="214" t="s">
        <v>5411</v>
      </c>
      <c r="G229" s="207" t="s">
        <v>4400</v>
      </c>
      <c r="H229" s="207" t="s">
        <v>4401</v>
      </c>
      <c r="I229" s="217" t="s">
        <v>4414</v>
      </c>
      <c r="J229" s="215" t="s">
        <v>5412</v>
      </c>
      <c r="K229" s="215" t="s">
        <v>5413</v>
      </c>
      <c r="L229" s="215" t="s">
        <v>5414</v>
      </c>
      <c r="M229" s="207" t="s">
        <v>4405</v>
      </c>
      <c r="N229" s="207" t="s">
        <v>4406</v>
      </c>
      <c r="O229" s="202">
        <v>46002</v>
      </c>
      <c r="P229" s="202" t="s">
        <v>4407</v>
      </c>
      <c r="Q229" s="202">
        <v>45999</v>
      </c>
      <c r="R229" s="202">
        <v>46006</v>
      </c>
      <c r="S229" s="202">
        <v>46006</v>
      </c>
      <c r="T229" s="202">
        <v>46009</v>
      </c>
      <c r="U229" s="202" t="s">
        <v>4408</v>
      </c>
      <c r="V229" s="202" t="s">
        <v>4408</v>
      </c>
      <c r="W229" s="202">
        <v>46014</v>
      </c>
      <c r="X229" s="202">
        <v>46017</v>
      </c>
      <c r="Y229" s="202"/>
      <c r="Z229" s="202"/>
      <c r="AA229" s="215" t="s">
        <v>5415</v>
      </c>
      <c r="AB229" s="214"/>
      <c r="AC229" s="214" t="s">
        <v>5416</v>
      </c>
      <c r="AD229" s="217" t="s">
        <v>4421</v>
      </c>
      <c r="AE229" s="207" t="s">
        <v>4405</v>
      </c>
      <c r="AF229" s="218">
        <v>38903.870000000003</v>
      </c>
      <c r="AG229" s="218">
        <v>38903.870000000003</v>
      </c>
      <c r="AH229" s="207" t="s">
        <v>14</v>
      </c>
      <c r="AI229" s="214" t="s">
        <v>4411</v>
      </c>
      <c r="AJ229" s="207"/>
      <c r="AK229" s="316">
        <v>45986</v>
      </c>
      <c r="AL229" s="316">
        <v>45986</v>
      </c>
      <c r="AM229" s="316">
        <v>45986</v>
      </c>
      <c r="AN229" s="316">
        <v>45986</v>
      </c>
      <c r="AO229" s="316">
        <v>45986</v>
      </c>
      <c r="AP229" s="316">
        <v>45986</v>
      </c>
      <c r="AQ229" s="314"/>
      <c r="AR229" s="315" t="str">
        <f t="shared" si="16"/>
        <v>FINALIZADO</v>
      </c>
      <c r="AS229" s="207"/>
      <c r="AT229" s="207" t="s">
        <v>5417</v>
      </c>
      <c r="AU229" s="220"/>
      <c r="AV229" s="207"/>
      <c r="AW229" s="207"/>
      <c r="AX229" s="228"/>
      <c r="AY229" s="160"/>
      <c r="AZ229" s="267"/>
      <c r="BA229" s="219"/>
      <c r="BB229" s="207"/>
      <c r="BC229" s="202"/>
      <c r="BD229" s="208"/>
      <c r="BE229" s="202"/>
      <c r="BF229" s="207"/>
      <c r="BG229" s="229"/>
      <c r="BH229" s="321" t="str">
        <f t="shared" si="17"/>
        <v/>
      </c>
      <c r="BI229" s="98" t="str">
        <f t="shared" si="18"/>
        <v>INDENIZAÇÃO</v>
      </c>
      <c r="BJ229" s="98" t="str">
        <f t="shared" si="19"/>
        <v>NÃO</v>
      </c>
      <c r="BK229" s="230"/>
      <c r="BL229" s="230"/>
      <c r="BM229" s="230"/>
      <c r="BN229" s="230"/>
      <c r="BO229" s="230"/>
      <c r="BP229" s="230"/>
      <c r="BQ229" s="230"/>
      <c r="BR229" s="234"/>
    </row>
    <row r="230" spans="1:72" s="240" customFormat="1" ht="27" hidden="1" customHeight="1">
      <c r="A230" s="197">
        <v>226</v>
      </c>
      <c r="B230" s="197" t="s">
        <v>4396</v>
      </c>
      <c r="C230" s="207" t="s">
        <v>4427</v>
      </c>
      <c r="D230" s="207">
        <v>1</v>
      </c>
      <c r="E230" s="207" t="s">
        <v>4398</v>
      </c>
      <c r="F230" s="214" t="s">
        <v>5418</v>
      </c>
      <c r="G230" s="207" t="s">
        <v>4545</v>
      </c>
      <c r="H230" s="207" t="s">
        <v>4545</v>
      </c>
      <c r="I230" s="217" t="s">
        <v>4545</v>
      </c>
      <c r="J230" s="215" t="s">
        <v>5419</v>
      </c>
      <c r="K230" s="215" t="s">
        <v>4440</v>
      </c>
      <c r="L230" s="215" t="s">
        <v>5420</v>
      </c>
      <c r="M230" s="207" t="s">
        <v>4405</v>
      </c>
      <c r="N230" s="207" t="s">
        <v>4442</v>
      </c>
      <c r="O230" s="202" t="s">
        <v>4409</v>
      </c>
      <c r="P230" s="202" t="s">
        <v>4409</v>
      </c>
      <c r="Q230" s="202" t="s">
        <v>4409</v>
      </c>
      <c r="R230" s="202" t="s">
        <v>4409</v>
      </c>
      <c r="S230" s="202" t="s">
        <v>4409</v>
      </c>
      <c r="T230" s="202" t="s">
        <v>4409</v>
      </c>
      <c r="U230" s="202" t="s">
        <v>4409</v>
      </c>
      <c r="V230" s="202" t="s">
        <v>4409</v>
      </c>
      <c r="W230" s="202" t="s">
        <v>4409</v>
      </c>
      <c r="X230" s="202" t="s">
        <v>4409</v>
      </c>
      <c r="Y230" s="202"/>
      <c r="Z230" s="202"/>
      <c r="AA230" s="215"/>
      <c r="AB230" s="214"/>
      <c r="AC230" s="214"/>
      <c r="AD230" s="217"/>
      <c r="AE230" s="207"/>
      <c r="AF230" s="218"/>
      <c r="AG230" s="218"/>
      <c r="AH230" s="207"/>
      <c r="AI230" s="214" t="s">
        <v>4411</v>
      </c>
      <c r="AJ230" s="207"/>
      <c r="AK230" s="316">
        <v>46134</v>
      </c>
      <c r="AL230" s="316">
        <v>46134</v>
      </c>
      <c r="AM230" s="316">
        <v>46134</v>
      </c>
      <c r="AN230" s="316">
        <v>46134</v>
      </c>
      <c r="AO230" s="316">
        <v>46134</v>
      </c>
      <c r="AP230" s="316">
        <v>46134</v>
      </c>
      <c r="AQ230" s="314"/>
      <c r="AR230" s="315" t="str">
        <f t="shared" si="16"/>
        <v>FINALIZADO</v>
      </c>
      <c r="AS230" s="207"/>
      <c r="AT230" s="207"/>
      <c r="AU230" s="220"/>
      <c r="AV230" s="207"/>
      <c r="AW230" s="207"/>
      <c r="AX230" s="228"/>
      <c r="AY230" s="160"/>
      <c r="AZ230" s="267"/>
      <c r="BA230" s="219"/>
      <c r="BB230" s="207"/>
      <c r="BC230" s="202"/>
      <c r="BD230" s="208"/>
      <c r="BE230" s="202"/>
      <c r="BF230" s="207"/>
      <c r="BG230" s="229"/>
      <c r="BH230" s="321" t="str">
        <f t="shared" si="17"/>
        <v/>
      </c>
      <c r="BI230" s="98" t="str">
        <f t="shared" si="18"/>
        <v>INDENIZAÇÃO</v>
      </c>
      <c r="BJ230" s="98" t="str">
        <f t="shared" si="19"/>
        <v>NÃO</v>
      </c>
      <c r="BK230" s="230"/>
      <c r="BL230" s="230"/>
      <c r="BM230" s="230"/>
      <c r="BN230" s="230"/>
      <c r="BO230" s="230"/>
      <c r="BP230" s="230"/>
      <c r="BQ230" s="230"/>
      <c r="BR230" s="234"/>
    </row>
    <row r="231" spans="1:72" s="240" customFormat="1" ht="27" hidden="1" customHeight="1">
      <c r="A231" s="207">
        <v>227</v>
      </c>
      <c r="B231" s="197" t="s">
        <v>4396</v>
      </c>
      <c r="C231" s="207" t="s">
        <v>4427</v>
      </c>
      <c r="D231" s="207">
        <v>1</v>
      </c>
      <c r="E231" s="207" t="s">
        <v>4398</v>
      </c>
      <c r="F231" s="214" t="s">
        <v>5421</v>
      </c>
      <c r="G231" s="207" t="s">
        <v>4400</v>
      </c>
      <c r="H231" s="207" t="s">
        <v>4401</v>
      </c>
      <c r="I231" s="217" t="s">
        <v>4414</v>
      </c>
      <c r="J231" s="215" t="s">
        <v>5422</v>
      </c>
      <c r="K231" s="215" t="s">
        <v>5423</v>
      </c>
      <c r="L231" s="215" t="s">
        <v>5424</v>
      </c>
      <c r="M231" s="207" t="s">
        <v>4405</v>
      </c>
      <c r="N231" s="207" t="s">
        <v>4406</v>
      </c>
      <c r="O231" s="202">
        <v>46002</v>
      </c>
      <c r="P231" s="202" t="s">
        <v>4407</v>
      </c>
      <c r="Q231" s="202">
        <v>45999</v>
      </c>
      <c r="R231" s="202">
        <v>46006</v>
      </c>
      <c r="S231" s="202">
        <v>46006</v>
      </c>
      <c r="T231" s="202">
        <v>46009</v>
      </c>
      <c r="U231" s="202" t="s">
        <v>4408</v>
      </c>
      <c r="V231" s="202" t="s">
        <v>4408</v>
      </c>
      <c r="W231" s="202">
        <v>46014</v>
      </c>
      <c r="X231" s="202">
        <v>46017</v>
      </c>
      <c r="Y231" s="202"/>
      <c r="Z231" s="202"/>
      <c r="AA231" s="215" t="s">
        <v>5425</v>
      </c>
      <c r="AB231" s="214" t="s">
        <v>5426</v>
      </c>
      <c r="AC231" s="214" t="s">
        <v>5427</v>
      </c>
      <c r="AD231" s="217" t="s">
        <v>4421</v>
      </c>
      <c r="AE231" s="207" t="s">
        <v>4405</v>
      </c>
      <c r="AF231" s="218">
        <v>39365.589999999997</v>
      </c>
      <c r="AG231" s="218">
        <v>39365.589999999997</v>
      </c>
      <c r="AH231" s="207" t="s">
        <v>14</v>
      </c>
      <c r="AI231" s="214" t="s">
        <v>4411</v>
      </c>
      <c r="AJ231" s="207"/>
      <c r="AK231" s="316">
        <v>45986</v>
      </c>
      <c r="AL231" s="316">
        <v>45986</v>
      </c>
      <c r="AM231" s="316">
        <v>45986</v>
      </c>
      <c r="AN231" s="316">
        <v>45986</v>
      </c>
      <c r="AO231" s="316">
        <v>45986</v>
      </c>
      <c r="AP231" s="316">
        <v>45986</v>
      </c>
      <c r="AQ231" s="314"/>
      <c r="AR231" s="315" t="str">
        <f t="shared" si="16"/>
        <v>FINALIZADO</v>
      </c>
      <c r="AS231" s="207"/>
      <c r="AT231" s="207" t="s">
        <v>5417</v>
      </c>
      <c r="AU231" s="220"/>
      <c r="AV231" s="207"/>
      <c r="AW231" s="207"/>
      <c r="AX231" s="228"/>
      <c r="AY231" s="160"/>
      <c r="AZ231" s="267"/>
      <c r="BA231" s="219"/>
      <c r="BB231" s="207"/>
      <c r="BC231" s="202"/>
      <c r="BD231" s="208"/>
      <c r="BE231" s="202"/>
      <c r="BF231" s="207"/>
      <c r="BG231" s="229"/>
      <c r="BH231" s="321" t="str">
        <f t="shared" si="17"/>
        <v/>
      </c>
      <c r="BI231" s="98" t="str">
        <f t="shared" si="18"/>
        <v>INDENIZAÇÃO</v>
      </c>
      <c r="BJ231" s="98" t="str">
        <f t="shared" si="19"/>
        <v>NÃO</v>
      </c>
      <c r="BK231" s="230"/>
      <c r="BL231" s="230"/>
      <c r="BM231" s="230"/>
      <c r="BN231" s="230"/>
      <c r="BO231" s="230"/>
      <c r="BP231" s="230"/>
      <c r="BQ231" s="230"/>
      <c r="BR231" s="234"/>
    </row>
    <row r="232" spans="1:72" s="240" customFormat="1" ht="27" hidden="1" customHeight="1">
      <c r="A232" s="207">
        <v>228</v>
      </c>
      <c r="B232" s="197" t="s">
        <v>4396</v>
      </c>
      <c r="C232" s="207" t="s">
        <v>5297</v>
      </c>
      <c r="D232" s="207">
        <v>1</v>
      </c>
      <c r="E232" s="207" t="s">
        <v>4398</v>
      </c>
      <c r="F232" s="214" t="s">
        <v>5428</v>
      </c>
      <c r="G232" s="207" t="s">
        <v>4400</v>
      </c>
      <c r="H232" s="207" t="s">
        <v>4401</v>
      </c>
      <c r="I232" s="217" t="s">
        <v>4402</v>
      </c>
      <c r="J232" s="215" t="s">
        <v>5429</v>
      </c>
      <c r="K232" s="215" t="s">
        <v>5430</v>
      </c>
      <c r="L232" s="215" t="s">
        <v>5431</v>
      </c>
      <c r="M232" s="207" t="s">
        <v>4405</v>
      </c>
      <c r="N232" s="207" t="s">
        <v>4406</v>
      </c>
      <c r="O232" s="202">
        <v>45986</v>
      </c>
      <c r="P232" s="203" t="s">
        <v>4407</v>
      </c>
      <c r="Q232" s="203">
        <v>45985</v>
      </c>
      <c r="R232" s="203">
        <v>45986</v>
      </c>
      <c r="S232" s="203">
        <v>45987</v>
      </c>
      <c r="T232" s="203">
        <v>45992</v>
      </c>
      <c r="U232" s="202" t="s">
        <v>4408</v>
      </c>
      <c r="V232" s="202" t="s">
        <v>4408</v>
      </c>
      <c r="W232" s="202">
        <v>45999</v>
      </c>
      <c r="X232" s="202">
        <v>46000</v>
      </c>
      <c r="Y232" s="202">
        <v>46017</v>
      </c>
      <c r="Z232" s="207"/>
      <c r="AA232" s="215" t="s">
        <v>5429</v>
      </c>
      <c r="AB232" s="215" t="s">
        <v>5430</v>
      </c>
      <c r="AC232" s="215" t="s">
        <v>5431</v>
      </c>
      <c r="AD232" s="241" t="s">
        <v>4402</v>
      </c>
      <c r="AE232" s="241" t="s">
        <v>4405</v>
      </c>
      <c r="AF232" s="242" t="s">
        <v>4409</v>
      </c>
      <c r="AG232" s="242" t="s">
        <v>4409</v>
      </c>
      <c r="AH232" s="241" t="s">
        <v>4410</v>
      </c>
      <c r="AI232" s="214" t="s">
        <v>4411</v>
      </c>
      <c r="AJ232" s="207"/>
      <c r="AK232" s="316">
        <v>45979</v>
      </c>
      <c r="AL232" s="316">
        <v>45979</v>
      </c>
      <c r="AM232" s="316">
        <v>45979</v>
      </c>
      <c r="AN232" s="316">
        <v>45979</v>
      </c>
      <c r="AO232" s="316">
        <v>45979</v>
      </c>
      <c r="AP232" s="316">
        <v>45979</v>
      </c>
      <c r="AQ232" s="314"/>
      <c r="AR232" s="315" t="str">
        <f t="shared" si="16"/>
        <v>FINALIZADO</v>
      </c>
      <c r="AS232" s="207"/>
      <c r="AT232" s="207"/>
      <c r="AU232" s="220"/>
      <c r="AV232" s="207"/>
      <c r="AW232" s="207"/>
      <c r="AX232" s="228"/>
      <c r="AY232" s="207"/>
      <c r="AZ232" s="202"/>
      <c r="BA232" s="219"/>
      <c r="BB232" s="207"/>
      <c r="BC232" s="202"/>
      <c r="BD232" s="208"/>
      <c r="BE232" s="239">
        <v>46017</v>
      </c>
      <c r="BF232" s="207" t="s">
        <v>4412</v>
      </c>
      <c r="BG232" s="229"/>
      <c r="BH232" s="321" t="str">
        <f t="shared" si="17"/>
        <v/>
      </c>
      <c r="BI232" s="98" t="str">
        <f t="shared" si="18"/>
        <v>AA</v>
      </c>
      <c r="BJ232" s="98" t="str">
        <f t="shared" si="19"/>
        <v>NÃO</v>
      </c>
      <c r="BK232" s="230"/>
      <c r="BL232" s="230"/>
      <c r="BM232" s="230"/>
      <c r="BN232" s="230"/>
      <c r="BO232" s="230"/>
      <c r="BP232" s="230"/>
      <c r="BQ232" s="230"/>
      <c r="BR232" s="234"/>
    </row>
    <row r="233" spans="1:72" s="240" customFormat="1" ht="27" hidden="1" customHeight="1">
      <c r="A233" s="207">
        <v>229</v>
      </c>
      <c r="B233" s="197" t="s">
        <v>4396</v>
      </c>
      <c r="C233" s="207" t="s">
        <v>4427</v>
      </c>
      <c r="D233" s="207">
        <v>1</v>
      </c>
      <c r="E233" s="207" t="s">
        <v>4398</v>
      </c>
      <c r="F233" s="214" t="s">
        <v>5432</v>
      </c>
      <c r="G233" s="207" t="s">
        <v>4400</v>
      </c>
      <c r="H233" s="207" t="s">
        <v>4583</v>
      </c>
      <c r="I233" s="217" t="s">
        <v>4402</v>
      </c>
      <c r="J233" s="215" t="s">
        <v>5433</v>
      </c>
      <c r="K233" s="215" t="s">
        <v>5434</v>
      </c>
      <c r="L233" s="215" t="s">
        <v>5435</v>
      </c>
      <c r="M233" s="207" t="s">
        <v>4405</v>
      </c>
      <c r="N233" s="207" t="s">
        <v>4406</v>
      </c>
      <c r="O233" s="202">
        <v>46065</v>
      </c>
      <c r="P233" s="203" t="s">
        <v>4407</v>
      </c>
      <c r="Q233" s="202">
        <v>46072</v>
      </c>
      <c r="R233" s="203">
        <v>46072</v>
      </c>
      <c r="S233" s="203">
        <v>46080</v>
      </c>
      <c r="T233" s="202">
        <v>46083</v>
      </c>
      <c r="U233" s="202" t="s">
        <v>4408</v>
      </c>
      <c r="V233" s="202" t="s">
        <v>4408</v>
      </c>
      <c r="W233" s="203">
        <v>46055</v>
      </c>
      <c r="X233" s="203">
        <v>46092</v>
      </c>
      <c r="Y233" s="202"/>
      <c r="Z233" s="207"/>
      <c r="AA233" s="215" t="s">
        <v>5433</v>
      </c>
      <c r="AB233" s="215" t="s">
        <v>5434</v>
      </c>
      <c r="AC233" s="215" t="s">
        <v>5435</v>
      </c>
      <c r="AD233" s="197" t="s">
        <v>4402</v>
      </c>
      <c r="AE233" s="197" t="s">
        <v>4405</v>
      </c>
      <c r="AF233" s="205" t="s">
        <v>4409</v>
      </c>
      <c r="AG233" s="205" t="s">
        <v>4409</v>
      </c>
      <c r="AH233" s="197" t="s">
        <v>4410</v>
      </c>
      <c r="AI233" s="214" t="s">
        <v>4411</v>
      </c>
      <c r="AJ233" s="207"/>
      <c r="AK233" s="316"/>
      <c r="AL233" s="316"/>
      <c r="AM233" s="316"/>
      <c r="AN233" s="316"/>
      <c r="AO233" s="316"/>
      <c r="AP233" s="316"/>
      <c r="AQ233" s="314"/>
      <c r="AR233" s="315" t="str">
        <f t="shared" si="16"/>
        <v/>
      </c>
      <c r="AS233" s="207"/>
      <c r="AT233" s="207"/>
      <c r="AU233" s="220"/>
      <c r="AV233" s="207"/>
      <c r="AW233" s="207"/>
      <c r="AX233" s="228"/>
      <c r="AY233" s="207"/>
      <c r="AZ233" s="202"/>
      <c r="BA233" s="219"/>
      <c r="BB233" s="207"/>
      <c r="BC233" s="202"/>
      <c r="BD233" s="208"/>
      <c r="BE233" s="201"/>
      <c r="BF233" s="197"/>
      <c r="BG233" s="229"/>
      <c r="BH233" s="321" t="str">
        <f t="shared" si="17"/>
        <v/>
      </c>
      <c r="BI233" s="98" t="str">
        <f t="shared" si="18"/>
        <v>AA</v>
      </c>
      <c r="BJ233" s="98" t="str">
        <f t="shared" si="19"/>
        <v>NÃO</v>
      </c>
      <c r="BK233" s="230"/>
      <c r="BL233" s="230"/>
      <c r="BM233" s="230"/>
      <c r="BN233" s="230"/>
      <c r="BO233" s="230"/>
      <c r="BP233" s="230"/>
      <c r="BQ233" s="230"/>
      <c r="BR233" s="234"/>
    </row>
    <row r="234" spans="1:72" s="240" customFormat="1" ht="27" hidden="1" customHeight="1">
      <c r="A234" s="197">
        <v>230</v>
      </c>
      <c r="B234" s="197" t="s">
        <v>4396</v>
      </c>
      <c r="C234" s="207" t="s">
        <v>4427</v>
      </c>
      <c r="D234" s="207">
        <v>1</v>
      </c>
      <c r="E234" s="207" t="s">
        <v>4398</v>
      </c>
      <c r="F234" s="214" t="s">
        <v>5436</v>
      </c>
      <c r="G234" s="207" t="s">
        <v>4400</v>
      </c>
      <c r="H234" s="207" t="s">
        <v>4401</v>
      </c>
      <c r="I234" s="217" t="s">
        <v>4402</v>
      </c>
      <c r="J234" s="215" t="s">
        <v>5437</v>
      </c>
      <c r="K234" s="215" t="s">
        <v>5438</v>
      </c>
      <c r="L234" s="215" t="s">
        <v>5439</v>
      </c>
      <c r="M234" s="207" t="s">
        <v>4405</v>
      </c>
      <c r="N234" s="207" t="s">
        <v>4442</v>
      </c>
      <c r="O234" s="202" t="s">
        <v>4409</v>
      </c>
      <c r="P234" s="202" t="s">
        <v>4409</v>
      </c>
      <c r="Q234" s="202" t="s">
        <v>4409</v>
      </c>
      <c r="R234" s="202" t="s">
        <v>4409</v>
      </c>
      <c r="S234" s="202" t="s">
        <v>4409</v>
      </c>
      <c r="T234" s="202" t="s">
        <v>4409</v>
      </c>
      <c r="U234" s="202" t="s">
        <v>4409</v>
      </c>
      <c r="V234" s="202" t="s">
        <v>4409</v>
      </c>
      <c r="W234" s="202" t="s">
        <v>4409</v>
      </c>
      <c r="X234" s="202" t="s">
        <v>4409</v>
      </c>
      <c r="Y234" s="202"/>
      <c r="Z234" s="202"/>
      <c r="AA234" s="215" t="s">
        <v>5437</v>
      </c>
      <c r="AB234" s="214" t="s">
        <v>5438</v>
      </c>
      <c r="AC234" s="214" t="s">
        <v>5439</v>
      </c>
      <c r="AD234" s="207" t="s">
        <v>4402</v>
      </c>
      <c r="AE234" s="207" t="s">
        <v>4405</v>
      </c>
      <c r="AF234" s="243">
        <v>67529.31</v>
      </c>
      <c r="AG234" s="243">
        <v>67529.31</v>
      </c>
      <c r="AH234" s="207" t="s">
        <v>4433</v>
      </c>
      <c r="AI234" s="214" t="s">
        <v>4411</v>
      </c>
      <c r="AJ234" s="207">
        <v>148263063</v>
      </c>
      <c r="AK234" s="316">
        <v>46038</v>
      </c>
      <c r="AL234" s="316">
        <v>46038</v>
      </c>
      <c r="AM234" s="316">
        <v>46038</v>
      </c>
      <c r="AN234" s="316">
        <v>46038</v>
      </c>
      <c r="AO234" s="316">
        <v>46038</v>
      </c>
      <c r="AP234" s="316">
        <v>46038</v>
      </c>
      <c r="AQ234" s="314"/>
      <c r="AR234" s="315" t="str">
        <f t="shared" si="16"/>
        <v>FINALIZADO</v>
      </c>
      <c r="AS234" s="207" t="s">
        <v>4423</v>
      </c>
      <c r="AT234" s="207"/>
      <c r="AU234" s="220" t="s">
        <v>5440</v>
      </c>
      <c r="AV234" s="207" t="s">
        <v>4425</v>
      </c>
      <c r="AW234" s="207" t="s">
        <v>4425</v>
      </c>
      <c r="AX234" s="250" t="s">
        <v>4425</v>
      </c>
      <c r="AY234" s="207" t="s">
        <v>4425</v>
      </c>
      <c r="AZ234" s="202">
        <v>46118</v>
      </c>
      <c r="BA234" s="207" t="s">
        <v>4425</v>
      </c>
      <c r="BB234" s="207" t="s">
        <v>4425</v>
      </c>
      <c r="BC234" s="202">
        <v>46122</v>
      </c>
      <c r="BD234" s="227">
        <v>46122</v>
      </c>
      <c r="BE234" s="227" t="s">
        <v>4435</v>
      </c>
      <c r="BF234" s="228" t="s">
        <v>4436</v>
      </c>
      <c r="BG234" s="229" t="s">
        <v>4425</v>
      </c>
      <c r="BH234" s="321">
        <f t="shared" si="17"/>
        <v>84</v>
      </c>
      <c r="BI234" s="98" t="str">
        <f t="shared" si="18"/>
        <v>INDENIZAÇÃO</v>
      </c>
      <c r="BJ234" s="98" t="str">
        <f t="shared" si="19"/>
        <v>NÃO</v>
      </c>
      <c r="BK234" s="219" t="s">
        <v>4437</v>
      </c>
      <c r="BL234" s="219" t="s">
        <v>4437</v>
      </c>
      <c r="BM234" s="219" t="s">
        <v>4437</v>
      </c>
      <c r="BN234" s="207" t="s">
        <v>4425</v>
      </c>
      <c r="BO234" s="257" t="s">
        <v>4435</v>
      </c>
      <c r="BP234" s="257"/>
      <c r="BQ234" s="257"/>
      <c r="BR234" s="258"/>
    </row>
    <row r="235" spans="1:72" s="240" customFormat="1" ht="27" hidden="1" customHeight="1">
      <c r="A235" s="197">
        <v>231</v>
      </c>
      <c r="B235" s="197" t="s">
        <v>4396</v>
      </c>
      <c r="C235" s="207" t="s">
        <v>4427</v>
      </c>
      <c r="D235" s="207">
        <v>1</v>
      </c>
      <c r="E235" s="207" t="s">
        <v>4398</v>
      </c>
      <c r="F235" s="214" t="s">
        <v>5441</v>
      </c>
      <c r="G235" s="207" t="s">
        <v>4400</v>
      </c>
      <c r="H235" s="207" t="s">
        <v>4401</v>
      </c>
      <c r="I235" s="217" t="s">
        <v>4402</v>
      </c>
      <c r="J235" s="215" t="s">
        <v>5442</v>
      </c>
      <c r="K235" s="215" t="s">
        <v>5443</v>
      </c>
      <c r="L235" s="215" t="s">
        <v>5444</v>
      </c>
      <c r="M235" s="207" t="s">
        <v>4405</v>
      </c>
      <c r="N235" s="207" t="s">
        <v>4442</v>
      </c>
      <c r="O235" s="202" t="s">
        <v>4409</v>
      </c>
      <c r="P235" s="202" t="s">
        <v>4409</v>
      </c>
      <c r="Q235" s="202" t="s">
        <v>4409</v>
      </c>
      <c r="R235" s="202" t="s">
        <v>4409</v>
      </c>
      <c r="S235" s="202" t="s">
        <v>4409</v>
      </c>
      <c r="T235" s="202" t="s">
        <v>4409</v>
      </c>
      <c r="U235" s="202" t="s">
        <v>4409</v>
      </c>
      <c r="V235" s="202" t="s">
        <v>4409</v>
      </c>
      <c r="W235" s="202" t="s">
        <v>4409</v>
      </c>
      <c r="X235" s="202" t="s">
        <v>4409</v>
      </c>
      <c r="Y235" s="202"/>
      <c r="Z235" s="202"/>
      <c r="AA235" s="215" t="s">
        <v>5442</v>
      </c>
      <c r="AB235" s="214" t="s">
        <v>5443</v>
      </c>
      <c r="AC235" s="214" t="s">
        <v>5444</v>
      </c>
      <c r="AD235" s="207" t="s">
        <v>4402</v>
      </c>
      <c r="AE235" s="207" t="s">
        <v>4405</v>
      </c>
      <c r="AF235" s="218">
        <v>60481.1</v>
      </c>
      <c r="AG235" s="218">
        <v>60481.1</v>
      </c>
      <c r="AH235" s="207" t="s">
        <v>4433</v>
      </c>
      <c r="AI235" s="214" t="s">
        <v>4411</v>
      </c>
      <c r="AJ235" s="207">
        <v>148263429</v>
      </c>
      <c r="AK235" s="316">
        <v>46038</v>
      </c>
      <c r="AL235" s="316">
        <v>46038</v>
      </c>
      <c r="AM235" s="316">
        <v>46038</v>
      </c>
      <c r="AN235" s="316">
        <v>46038</v>
      </c>
      <c r="AO235" s="316">
        <v>46038</v>
      </c>
      <c r="AP235" s="316">
        <v>46038</v>
      </c>
      <c r="AQ235" s="314"/>
      <c r="AR235" s="315" t="str">
        <f t="shared" si="16"/>
        <v>FINALIZADO</v>
      </c>
      <c r="AS235" s="207" t="s">
        <v>4423</v>
      </c>
      <c r="AT235" s="207"/>
      <c r="AU235" s="220" t="s">
        <v>5445</v>
      </c>
      <c r="AV235" s="207" t="s">
        <v>4425</v>
      </c>
      <c r="AW235" s="207" t="s">
        <v>4425</v>
      </c>
      <c r="AX235" s="250" t="s">
        <v>4425</v>
      </c>
      <c r="AY235" s="207" t="s">
        <v>4425</v>
      </c>
      <c r="AZ235" s="202">
        <v>46125</v>
      </c>
      <c r="BA235" s="207" t="s">
        <v>4425</v>
      </c>
      <c r="BB235" s="207" t="s">
        <v>4425</v>
      </c>
      <c r="BC235" s="202">
        <v>46139</v>
      </c>
      <c r="BD235" s="227">
        <v>46139</v>
      </c>
      <c r="BE235" s="227" t="s">
        <v>4435</v>
      </c>
      <c r="BF235" s="228" t="s">
        <v>4436</v>
      </c>
      <c r="BG235" s="229" t="s">
        <v>4425</v>
      </c>
      <c r="BH235" s="321">
        <f t="shared" si="17"/>
        <v>101</v>
      </c>
      <c r="BI235" s="98" t="str">
        <f t="shared" si="18"/>
        <v>INDENIZAÇÃO</v>
      </c>
      <c r="BJ235" s="98" t="str">
        <f t="shared" si="19"/>
        <v>NÃO</v>
      </c>
      <c r="BK235" s="219" t="s">
        <v>4437</v>
      </c>
      <c r="BL235" s="219" t="s">
        <v>4437</v>
      </c>
      <c r="BM235" s="219" t="s">
        <v>4437</v>
      </c>
      <c r="BN235" s="207" t="s">
        <v>4425</v>
      </c>
      <c r="BO235" s="257" t="s">
        <v>4435</v>
      </c>
      <c r="BP235" s="257"/>
      <c r="BQ235" s="257"/>
      <c r="BR235" s="258"/>
      <c r="BS235" s="223"/>
      <c r="BT235" s="223"/>
    </row>
    <row r="236" spans="1:72" s="240" customFormat="1" ht="27" hidden="1" customHeight="1">
      <c r="A236" s="207">
        <v>232</v>
      </c>
      <c r="B236" s="197" t="s">
        <v>4396</v>
      </c>
      <c r="C236" s="207" t="s">
        <v>5297</v>
      </c>
      <c r="D236" s="207">
        <v>1</v>
      </c>
      <c r="E236" s="207" t="s">
        <v>4398</v>
      </c>
      <c r="F236" s="214" t="s">
        <v>5446</v>
      </c>
      <c r="G236" s="207" t="s">
        <v>4400</v>
      </c>
      <c r="H236" s="207" t="s">
        <v>4401</v>
      </c>
      <c r="I236" s="217" t="s">
        <v>4402</v>
      </c>
      <c r="J236" s="215" t="s">
        <v>5447</v>
      </c>
      <c r="K236" s="215" t="s">
        <v>5448</v>
      </c>
      <c r="L236" s="215" t="s">
        <v>5449</v>
      </c>
      <c r="M236" s="207" t="s">
        <v>4405</v>
      </c>
      <c r="N236" s="207" t="s">
        <v>4442</v>
      </c>
      <c r="O236" s="202" t="s">
        <v>4409</v>
      </c>
      <c r="P236" s="202" t="s">
        <v>4409</v>
      </c>
      <c r="Q236" s="202" t="s">
        <v>4409</v>
      </c>
      <c r="R236" s="202" t="s">
        <v>4409</v>
      </c>
      <c r="S236" s="202" t="s">
        <v>4409</v>
      </c>
      <c r="T236" s="202" t="s">
        <v>4409</v>
      </c>
      <c r="U236" s="202" t="s">
        <v>4409</v>
      </c>
      <c r="V236" s="202" t="s">
        <v>4409</v>
      </c>
      <c r="W236" s="202" t="s">
        <v>4409</v>
      </c>
      <c r="X236" s="202" t="s">
        <v>4409</v>
      </c>
      <c r="Y236" s="202"/>
      <c r="Z236" s="207"/>
      <c r="AA236" s="215" t="s">
        <v>5447</v>
      </c>
      <c r="AB236" s="215" t="s">
        <v>5448</v>
      </c>
      <c r="AC236" s="215" t="s">
        <v>5449</v>
      </c>
      <c r="AD236" s="241" t="s">
        <v>4402</v>
      </c>
      <c r="AE236" s="241" t="s">
        <v>4405</v>
      </c>
      <c r="AF236" s="218">
        <v>13517.83</v>
      </c>
      <c r="AG236" s="218">
        <f>AF236+30000</f>
        <v>43517.83</v>
      </c>
      <c r="AH236" s="207" t="s">
        <v>4433</v>
      </c>
      <c r="AI236" s="214" t="s">
        <v>4411</v>
      </c>
      <c r="AJ236" s="207">
        <v>146041333</v>
      </c>
      <c r="AK236" s="316">
        <v>45979</v>
      </c>
      <c r="AL236" s="316">
        <v>45979</v>
      </c>
      <c r="AM236" s="316">
        <v>45979</v>
      </c>
      <c r="AN236" s="316">
        <v>45979</v>
      </c>
      <c r="AO236" s="316">
        <v>45979</v>
      </c>
      <c r="AP236" s="316">
        <v>45979</v>
      </c>
      <c r="AQ236" s="314"/>
      <c r="AR236" s="315" t="str">
        <f t="shared" si="16"/>
        <v>FINALIZADO</v>
      </c>
      <c r="AS236" s="207" t="s">
        <v>4423</v>
      </c>
      <c r="AT236" s="207"/>
      <c r="AU236" s="220" t="s">
        <v>5450</v>
      </c>
      <c r="AV236" s="207" t="s">
        <v>4425</v>
      </c>
      <c r="AW236" s="207" t="s">
        <v>4425</v>
      </c>
      <c r="AX236" s="250" t="s">
        <v>4425</v>
      </c>
      <c r="AY236" s="207" t="s">
        <v>4425</v>
      </c>
      <c r="AZ236" s="202">
        <v>46014</v>
      </c>
      <c r="BA236" s="219" t="s">
        <v>4425</v>
      </c>
      <c r="BB236" s="207" t="s">
        <v>4425</v>
      </c>
      <c r="BC236" s="202">
        <v>46021</v>
      </c>
      <c r="BD236" s="227">
        <v>46021</v>
      </c>
      <c r="BE236" s="239">
        <v>46017</v>
      </c>
      <c r="BF236" s="207" t="s">
        <v>4412</v>
      </c>
      <c r="BG236" s="229" t="s">
        <v>4425</v>
      </c>
      <c r="BH236" s="321">
        <f t="shared" si="17"/>
        <v>42</v>
      </c>
      <c r="BI236" s="98" t="str">
        <f t="shared" si="18"/>
        <v>INDENIZAÇÃO</v>
      </c>
      <c r="BJ236" s="98" t="str">
        <f t="shared" si="19"/>
        <v>NÃO</v>
      </c>
      <c r="BK236" s="230" t="s">
        <v>4437</v>
      </c>
      <c r="BL236" s="230" t="s">
        <v>4437</v>
      </c>
      <c r="BM236" s="230" t="s">
        <v>4437</v>
      </c>
      <c r="BN236" s="207" t="s">
        <v>4425</v>
      </c>
      <c r="BO236" s="207" t="s">
        <v>4425</v>
      </c>
      <c r="BP236" s="202">
        <v>46205</v>
      </c>
      <c r="BQ236" s="207" t="s">
        <v>4425</v>
      </c>
      <c r="BR236" s="232" t="s">
        <v>4435</v>
      </c>
      <c r="BS236" s="223"/>
      <c r="BT236" s="223"/>
    </row>
    <row r="237" spans="1:72" s="240" customFormat="1" ht="27" hidden="1" customHeight="1">
      <c r="A237" s="207">
        <v>233</v>
      </c>
      <c r="B237" s="197" t="s">
        <v>4396</v>
      </c>
      <c r="C237" s="207" t="s">
        <v>4427</v>
      </c>
      <c r="D237" s="207">
        <v>1</v>
      </c>
      <c r="E237" s="207" t="s">
        <v>4398</v>
      </c>
      <c r="F237" s="214" t="s">
        <v>5451</v>
      </c>
      <c r="G237" s="207" t="s">
        <v>4400</v>
      </c>
      <c r="H237" s="207" t="s">
        <v>4401</v>
      </c>
      <c r="I237" s="217" t="s">
        <v>4402</v>
      </c>
      <c r="J237" s="215" t="s">
        <v>5452</v>
      </c>
      <c r="K237" s="215" t="s">
        <v>5453</v>
      </c>
      <c r="L237" s="215" t="s">
        <v>5454</v>
      </c>
      <c r="M237" s="207" t="s">
        <v>4405</v>
      </c>
      <c r="N237" s="207" t="s">
        <v>4442</v>
      </c>
      <c r="O237" s="202" t="s">
        <v>4409</v>
      </c>
      <c r="P237" s="202" t="s">
        <v>4409</v>
      </c>
      <c r="Q237" s="202" t="s">
        <v>4409</v>
      </c>
      <c r="R237" s="202" t="s">
        <v>4409</v>
      </c>
      <c r="S237" s="202" t="s">
        <v>4409</v>
      </c>
      <c r="T237" s="202" t="s">
        <v>4409</v>
      </c>
      <c r="U237" s="202" t="s">
        <v>4409</v>
      </c>
      <c r="V237" s="202" t="s">
        <v>4409</v>
      </c>
      <c r="W237" s="202" t="s">
        <v>4409</v>
      </c>
      <c r="X237" s="202" t="s">
        <v>4409</v>
      </c>
      <c r="Y237" s="202"/>
      <c r="Z237" s="207"/>
      <c r="AA237" s="215" t="s">
        <v>5452</v>
      </c>
      <c r="AB237" s="214" t="s">
        <v>5453</v>
      </c>
      <c r="AC237" s="214" t="s">
        <v>5454</v>
      </c>
      <c r="AD237" s="197" t="s">
        <v>4402</v>
      </c>
      <c r="AE237" s="197" t="s">
        <v>4405</v>
      </c>
      <c r="AF237" s="218">
        <v>40492.53</v>
      </c>
      <c r="AG237" s="218">
        <v>60000</v>
      </c>
      <c r="AH237" s="207" t="s">
        <v>4433</v>
      </c>
      <c r="AI237" s="214" t="s">
        <v>4411</v>
      </c>
      <c r="AJ237" s="207">
        <v>149646688</v>
      </c>
      <c r="AK237" s="316">
        <v>46059</v>
      </c>
      <c r="AL237" s="316">
        <v>46059</v>
      </c>
      <c r="AM237" s="316">
        <v>46059</v>
      </c>
      <c r="AN237" s="316">
        <v>46059</v>
      </c>
      <c r="AO237" s="316">
        <v>46059</v>
      </c>
      <c r="AP237" s="316">
        <v>46059</v>
      </c>
      <c r="AQ237" s="314"/>
      <c r="AR237" s="315" t="str">
        <f t="shared" si="16"/>
        <v>FINALIZADO</v>
      </c>
      <c r="AS237" s="207" t="s">
        <v>4423</v>
      </c>
      <c r="AT237" s="207"/>
      <c r="AU237" s="220" t="s">
        <v>5455</v>
      </c>
      <c r="AV237" s="207" t="s">
        <v>4425</v>
      </c>
      <c r="AW237" s="207" t="s">
        <v>4425</v>
      </c>
      <c r="AX237" s="250" t="s">
        <v>4425</v>
      </c>
      <c r="AY237" s="207" t="s">
        <v>4425</v>
      </c>
      <c r="AZ237" s="202">
        <v>46153</v>
      </c>
      <c r="BA237" s="207" t="s">
        <v>4425</v>
      </c>
      <c r="BB237" s="207" t="s">
        <v>4425</v>
      </c>
      <c r="BC237" s="202">
        <v>46160</v>
      </c>
      <c r="BD237" s="227">
        <v>46160</v>
      </c>
      <c r="BE237" s="245" t="s">
        <v>4435</v>
      </c>
      <c r="BF237" s="245" t="s">
        <v>4436</v>
      </c>
      <c r="BG237" s="219" t="s">
        <v>4425</v>
      </c>
      <c r="BH237" s="321">
        <f t="shared" si="17"/>
        <v>101</v>
      </c>
      <c r="BI237" s="98" t="str">
        <f t="shared" si="18"/>
        <v>INDENIZAÇÃO</v>
      </c>
      <c r="BJ237" s="98" t="str">
        <f t="shared" si="19"/>
        <v>NÃO</v>
      </c>
      <c r="BK237" s="219" t="s">
        <v>4437</v>
      </c>
      <c r="BL237" s="219" t="s">
        <v>4437</v>
      </c>
      <c r="BM237" s="219" t="s">
        <v>4437</v>
      </c>
      <c r="BN237" s="207" t="s">
        <v>4425</v>
      </c>
      <c r="BO237" s="257" t="s">
        <v>4435</v>
      </c>
      <c r="BP237" s="257"/>
      <c r="BQ237" s="257"/>
      <c r="BR237" s="258"/>
    </row>
    <row r="238" spans="1:72" s="240" customFormat="1" ht="27" hidden="1" customHeight="1">
      <c r="A238" s="207">
        <v>234</v>
      </c>
      <c r="B238" s="197" t="s">
        <v>4396</v>
      </c>
      <c r="C238" s="207" t="s">
        <v>4427</v>
      </c>
      <c r="D238" s="207">
        <v>1</v>
      </c>
      <c r="E238" s="207" t="s">
        <v>4398</v>
      </c>
      <c r="F238" s="214" t="s">
        <v>5456</v>
      </c>
      <c r="G238" s="207" t="s">
        <v>4400</v>
      </c>
      <c r="H238" s="207" t="s">
        <v>4401</v>
      </c>
      <c r="I238" s="217" t="s">
        <v>4402</v>
      </c>
      <c r="J238" s="215" t="s">
        <v>5457</v>
      </c>
      <c r="K238" s="215" t="s">
        <v>5458</v>
      </c>
      <c r="L238" s="215" t="s">
        <v>5459</v>
      </c>
      <c r="M238" s="207" t="s">
        <v>4405</v>
      </c>
      <c r="N238" s="207" t="s">
        <v>4442</v>
      </c>
      <c r="O238" s="202" t="s">
        <v>4409</v>
      </c>
      <c r="P238" s="202" t="s">
        <v>4409</v>
      </c>
      <c r="Q238" s="202" t="s">
        <v>4409</v>
      </c>
      <c r="R238" s="202" t="s">
        <v>4409</v>
      </c>
      <c r="S238" s="202" t="s">
        <v>4409</v>
      </c>
      <c r="T238" s="202" t="s">
        <v>4409</v>
      </c>
      <c r="U238" s="202" t="s">
        <v>4409</v>
      </c>
      <c r="V238" s="202" t="s">
        <v>4409</v>
      </c>
      <c r="W238" s="202" t="s">
        <v>4409</v>
      </c>
      <c r="X238" s="202" t="s">
        <v>4409</v>
      </c>
      <c r="Y238" s="202"/>
      <c r="Z238" s="202"/>
      <c r="AA238" s="215" t="s">
        <v>5457</v>
      </c>
      <c r="AB238" s="214" t="s">
        <v>5458</v>
      </c>
      <c r="AC238" s="214" t="s">
        <v>5459</v>
      </c>
      <c r="AD238" s="207" t="s">
        <v>4402</v>
      </c>
      <c r="AE238" s="207" t="s">
        <v>4405</v>
      </c>
      <c r="AF238" s="218">
        <v>72048.3</v>
      </c>
      <c r="AG238" s="218">
        <v>72048.3</v>
      </c>
      <c r="AH238" s="207" t="s">
        <v>4433</v>
      </c>
      <c r="AI238" s="214" t="s">
        <v>4411</v>
      </c>
      <c r="AJ238" s="207">
        <v>147039412</v>
      </c>
      <c r="AK238" s="316">
        <v>45996</v>
      </c>
      <c r="AL238" s="316">
        <v>45996</v>
      </c>
      <c r="AM238" s="316">
        <v>45996</v>
      </c>
      <c r="AN238" s="316">
        <v>45996</v>
      </c>
      <c r="AO238" s="316">
        <v>45996</v>
      </c>
      <c r="AP238" s="316">
        <v>45996</v>
      </c>
      <c r="AQ238" s="314"/>
      <c r="AR238" s="315" t="str">
        <f t="shared" si="16"/>
        <v>FINALIZADO</v>
      </c>
      <c r="AS238" s="207" t="s">
        <v>4423</v>
      </c>
      <c r="AT238" s="207"/>
      <c r="AU238" s="220" t="s">
        <v>5460</v>
      </c>
      <c r="AV238" s="207" t="s">
        <v>4425</v>
      </c>
      <c r="AW238" s="207" t="s">
        <v>4425</v>
      </c>
      <c r="AX238" s="250" t="s">
        <v>4425</v>
      </c>
      <c r="AY238" s="197" t="s">
        <v>4425</v>
      </c>
      <c r="AZ238" s="202">
        <v>46009</v>
      </c>
      <c r="BA238" s="219" t="s">
        <v>4425</v>
      </c>
      <c r="BB238" s="207" t="s">
        <v>4425</v>
      </c>
      <c r="BC238" s="202">
        <v>46021</v>
      </c>
      <c r="BD238" s="227">
        <v>46021</v>
      </c>
      <c r="BE238" s="227" t="s">
        <v>4435</v>
      </c>
      <c r="BF238" s="228" t="s">
        <v>4436</v>
      </c>
      <c r="BG238" s="229" t="s">
        <v>4425</v>
      </c>
      <c r="BH238" s="321">
        <f t="shared" si="17"/>
        <v>25</v>
      </c>
      <c r="BI238" s="98" t="str">
        <f t="shared" si="18"/>
        <v>INDENIZAÇÃO</v>
      </c>
      <c r="BJ238" s="98" t="str">
        <f t="shared" si="19"/>
        <v>NÃO</v>
      </c>
      <c r="BK238" s="230" t="s">
        <v>4437</v>
      </c>
      <c r="BL238" s="230" t="s">
        <v>4437</v>
      </c>
      <c r="BM238" s="230" t="s">
        <v>4437</v>
      </c>
      <c r="BN238" s="207" t="s">
        <v>4425</v>
      </c>
      <c r="BO238" s="207" t="s">
        <v>4425</v>
      </c>
      <c r="BP238" s="202">
        <v>46205</v>
      </c>
      <c r="BQ238" s="207" t="s">
        <v>4425</v>
      </c>
      <c r="BR238" s="232" t="s">
        <v>4435</v>
      </c>
    </row>
    <row r="239" spans="1:72" s="240" customFormat="1" ht="27" hidden="1" customHeight="1">
      <c r="A239" s="197">
        <v>235</v>
      </c>
      <c r="B239" s="197" t="s">
        <v>4396</v>
      </c>
      <c r="C239" s="207" t="s">
        <v>4427</v>
      </c>
      <c r="D239" s="207">
        <v>1</v>
      </c>
      <c r="E239" s="207" t="s">
        <v>4398</v>
      </c>
      <c r="F239" s="214" t="s">
        <v>5461</v>
      </c>
      <c r="G239" s="207" t="s">
        <v>4400</v>
      </c>
      <c r="H239" s="207" t="s">
        <v>4401</v>
      </c>
      <c r="I239" s="217" t="s">
        <v>4402</v>
      </c>
      <c r="J239" s="215" t="s">
        <v>5462</v>
      </c>
      <c r="K239" s="215" t="s">
        <v>5463</v>
      </c>
      <c r="L239" s="215" t="s">
        <v>5464</v>
      </c>
      <c r="M239" s="207" t="s">
        <v>4405</v>
      </c>
      <c r="N239" s="207" t="s">
        <v>4442</v>
      </c>
      <c r="O239" s="202" t="s">
        <v>4409</v>
      </c>
      <c r="P239" s="202" t="s">
        <v>4409</v>
      </c>
      <c r="Q239" s="202" t="s">
        <v>4409</v>
      </c>
      <c r="R239" s="202" t="s">
        <v>4409</v>
      </c>
      <c r="S239" s="202" t="s">
        <v>4409</v>
      </c>
      <c r="T239" s="202" t="s">
        <v>4409</v>
      </c>
      <c r="U239" s="202" t="s">
        <v>4409</v>
      </c>
      <c r="V239" s="202" t="s">
        <v>4409</v>
      </c>
      <c r="W239" s="202" t="s">
        <v>4409</v>
      </c>
      <c r="X239" s="202" t="s">
        <v>4409</v>
      </c>
      <c r="Y239" s="202"/>
      <c r="Z239" s="202"/>
      <c r="AA239" s="215" t="s">
        <v>5462</v>
      </c>
      <c r="AB239" s="214" t="s">
        <v>5463</v>
      </c>
      <c r="AC239" s="214" t="s">
        <v>5464</v>
      </c>
      <c r="AD239" s="207" t="s">
        <v>4402</v>
      </c>
      <c r="AE239" s="207" t="s">
        <v>4405</v>
      </c>
      <c r="AF239" s="218">
        <v>70103.820000000007</v>
      </c>
      <c r="AG239" s="218">
        <v>70103.820000000007</v>
      </c>
      <c r="AH239" s="207" t="s">
        <v>4433</v>
      </c>
      <c r="AI239" s="214" t="s">
        <v>4411</v>
      </c>
      <c r="AJ239" s="207">
        <v>152013359</v>
      </c>
      <c r="AK239" s="316">
        <v>46059</v>
      </c>
      <c r="AL239" s="316">
        <v>46059</v>
      </c>
      <c r="AM239" s="316">
        <v>46059</v>
      </c>
      <c r="AN239" s="316">
        <v>46059</v>
      </c>
      <c r="AO239" s="316">
        <v>46059</v>
      </c>
      <c r="AP239" s="316">
        <v>46059</v>
      </c>
      <c r="AQ239" s="314"/>
      <c r="AR239" s="315" t="str">
        <f t="shared" si="16"/>
        <v>FINALIZADO</v>
      </c>
      <c r="AS239" s="207" t="s">
        <v>4423</v>
      </c>
      <c r="AT239" s="207"/>
      <c r="AU239" s="220" t="s">
        <v>5465</v>
      </c>
      <c r="AV239" s="207" t="s">
        <v>4425</v>
      </c>
      <c r="AW239" s="207" t="s">
        <v>4425</v>
      </c>
      <c r="AX239" s="250" t="s">
        <v>4425</v>
      </c>
      <c r="AY239" s="207" t="s">
        <v>4425</v>
      </c>
      <c r="AZ239" s="202">
        <v>46118</v>
      </c>
      <c r="BA239" s="207" t="s">
        <v>4425</v>
      </c>
      <c r="BB239" s="207" t="s">
        <v>4425</v>
      </c>
      <c r="BC239" s="202">
        <v>46122</v>
      </c>
      <c r="BD239" s="227">
        <v>46122</v>
      </c>
      <c r="BE239" s="227" t="s">
        <v>4435</v>
      </c>
      <c r="BF239" s="228" t="s">
        <v>4436</v>
      </c>
      <c r="BG239" s="229" t="s">
        <v>4425</v>
      </c>
      <c r="BH239" s="321">
        <f t="shared" si="17"/>
        <v>63</v>
      </c>
      <c r="BI239" s="98" t="str">
        <f t="shared" si="18"/>
        <v>INDENIZAÇÃO</v>
      </c>
      <c r="BJ239" s="98" t="str">
        <f t="shared" si="19"/>
        <v>NÃO</v>
      </c>
      <c r="BK239" s="219" t="s">
        <v>4437</v>
      </c>
      <c r="BL239" s="219" t="s">
        <v>4437</v>
      </c>
      <c r="BM239" s="219" t="s">
        <v>4437</v>
      </c>
      <c r="BN239" s="207" t="s">
        <v>4425</v>
      </c>
      <c r="BO239" s="257" t="s">
        <v>4435</v>
      </c>
      <c r="BP239" s="257"/>
      <c r="BQ239" s="257"/>
      <c r="BR239" s="258"/>
    </row>
    <row r="240" spans="1:72" s="240" customFormat="1" ht="27" hidden="1" customHeight="1">
      <c r="A240" s="197">
        <v>236</v>
      </c>
      <c r="B240" s="197" t="s">
        <v>4396</v>
      </c>
      <c r="C240" s="207" t="s">
        <v>4427</v>
      </c>
      <c r="D240" s="207">
        <v>1</v>
      </c>
      <c r="E240" s="207" t="s">
        <v>4398</v>
      </c>
      <c r="F240" s="214" t="s">
        <v>5466</v>
      </c>
      <c r="G240" s="207" t="s">
        <v>4400</v>
      </c>
      <c r="H240" s="207" t="s">
        <v>4401</v>
      </c>
      <c r="I240" s="217" t="s">
        <v>4402</v>
      </c>
      <c r="J240" s="215" t="s">
        <v>5467</v>
      </c>
      <c r="K240" s="215" t="s">
        <v>5468</v>
      </c>
      <c r="L240" s="215" t="s">
        <v>5469</v>
      </c>
      <c r="M240" s="207" t="s">
        <v>4405</v>
      </c>
      <c r="N240" s="207" t="s">
        <v>4442</v>
      </c>
      <c r="O240" s="202" t="s">
        <v>4409</v>
      </c>
      <c r="P240" s="202" t="s">
        <v>4409</v>
      </c>
      <c r="Q240" s="202" t="s">
        <v>4409</v>
      </c>
      <c r="R240" s="202" t="s">
        <v>4409</v>
      </c>
      <c r="S240" s="202" t="s">
        <v>4409</v>
      </c>
      <c r="T240" s="202" t="s">
        <v>4409</v>
      </c>
      <c r="U240" s="202" t="s">
        <v>4409</v>
      </c>
      <c r="V240" s="202" t="s">
        <v>4409</v>
      </c>
      <c r="W240" s="202" t="s">
        <v>4409</v>
      </c>
      <c r="X240" s="202" t="s">
        <v>4409</v>
      </c>
      <c r="Y240" s="202"/>
      <c r="Z240" s="202"/>
      <c r="AA240" s="215" t="s">
        <v>5467</v>
      </c>
      <c r="AB240" s="214" t="s">
        <v>5468</v>
      </c>
      <c r="AC240" s="214" t="s">
        <v>5469</v>
      </c>
      <c r="AD240" s="207" t="s">
        <v>4402</v>
      </c>
      <c r="AE240" s="207" t="s">
        <v>4405</v>
      </c>
      <c r="AF240" s="218">
        <v>12093.09</v>
      </c>
      <c r="AG240" s="218">
        <f>AF240+30000</f>
        <v>42093.09</v>
      </c>
      <c r="AH240" s="207" t="s">
        <v>4433</v>
      </c>
      <c r="AI240" s="214" t="s">
        <v>4411</v>
      </c>
      <c r="AJ240" s="207">
        <v>149097459</v>
      </c>
      <c r="AK240" s="316">
        <v>46045</v>
      </c>
      <c r="AL240" s="316">
        <v>46045</v>
      </c>
      <c r="AM240" s="316">
        <v>46045</v>
      </c>
      <c r="AN240" s="316">
        <v>46045</v>
      </c>
      <c r="AO240" s="316">
        <v>46045</v>
      </c>
      <c r="AP240" s="316">
        <v>46045</v>
      </c>
      <c r="AQ240" s="314"/>
      <c r="AR240" s="315" t="str">
        <f t="shared" si="16"/>
        <v>FINALIZADO</v>
      </c>
      <c r="AS240" s="207" t="s">
        <v>4423</v>
      </c>
      <c r="AT240" s="207"/>
      <c r="AU240" s="220" t="s">
        <v>5470</v>
      </c>
      <c r="AV240" s="207" t="s">
        <v>4425</v>
      </c>
      <c r="AW240" s="207" t="s">
        <v>4425</v>
      </c>
      <c r="AX240" s="250" t="s">
        <v>4425</v>
      </c>
      <c r="AY240" s="207" t="s">
        <v>4425</v>
      </c>
      <c r="AZ240" s="202">
        <v>46111</v>
      </c>
      <c r="BA240" s="207" t="s">
        <v>4425</v>
      </c>
      <c r="BB240" s="207" t="s">
        <v>4425</v>
      </c>
      <c r="BC240" s="202">
        <v>46114</v>
      </c>
      <c r="BD240" s="227">
        <v>46114</v>
      </c>
      <c r="BE240" s="227" t="s">
        <v>4435</v>
      </c>
      <c r="BF240" s="228" t="s">
        <v>4436</v>
      </c>
      <c r="BG240" s="229" t="s">
        <v>4425</v>
      </c>
      <c r="BH240" s="321">
        <f t="shared" si="17"/>
        <v>69</v>
      </c>
      <c r="BI240" s="98" t="str">
        <f t="shared" si="18"/>
        <v>INDENIZAÇÃO</v>
      </c>
      <c r="BJ240" s="98" t="str">
        <f t="shared" si="19"/>
        <v>NÃO</v>
      </c>
      <c r="BK240" s="230" t="s">
        <v>4437</v>
      </c>
      <c r="BL240" s="230" t="s">
        <v>4437</v>
      </c>
      <c r="BM240" s="230" t="s">
        <v>4437</v>
      </c>
      <c r="BN240" s="207" t="s">
        <v>4425</v>
      </c>
      <c r="BO240" s="257" t="s">
        <v>4435</v>
      </c>
      <c r="BP240" s="265"/>
      <c r="BQ240" s="265"/>
      <c r="BR240" s="231"/>
      <c r="BS240" s="223"/>
      <c r="BT240" s="223"/>
    </row>
    <row r="241" spans="1:112" s="240" customFormat="1" ht="27" hidden="1" customHeight="1">
      <c r="A241" s="207">
        <v>237</v>
      </c>
      <c r="B241" s="197" t="s">
        <v>4396</v>
      </c>
      <c r="C241" s="207" t="s">
        <v>5297</v>
      </c>
      <c r="D241" s="207">
        <v>1</v>
      </c>
      <c r="E241" s="207" t="s">
        <v>4398</v>
      </c>
      <c r="F241" s="214" t="s">
        <v>5471</v>
      </c>
      <c r="G241" s="207" t="s">
        <v>4400</v>
      </c>
      <c r="H241" s="207" t="s">
        <v>4401</v>
      </c>
      <c r="I241" s="217" t="s">
        <v>4402</v>
      </c>
      <c r="J241" s="215" t="s">
        <v>5472</v>
      </c>
      <c r="K241" s="215" t="s">
        <v>5473</v>
      </c>
      <c r="L241" s="215" t="s">
        <v>5474</v>
      </c>
      <c r="M241" s="207" t="s">
        <v>4405</v>
      </c>
      <c r="N241" s="207" t="s">
        <v>4406</v>
      </c>
      <c r="O241" s="203">
        <v>46045</v>
      </c>
      <c r="P241" s="203" t="s">
        <v>4407</v>
      </c>
      <c r="Q241" s="203">
        <v>46045</v>
      </c>
      <c r="R241" s="203">
        <v>46045</v>
      </c>
      <c r="S241" s="203">
        <v>46048</v>
      </c>
      <c r="T241" s="203">
        <v>46059</v>
      </c>
      <c r="U241" s="203" t="s">
        <v>4408</v>
      </c>
      <c r="V241" s="203" t="s">
        <v>4408</v>
      </c>
      <c r="W241" s="203">
        <v>46073</v>
      </c>
      <c r="X241" s="203">
        <v>46066</v>
      </c>
      <c r="Y241" s="202">
        <v>46017</v>
      </c>
      <c r="Z241" s="219"/>
      <c r="AA241" s="215" t="s">
        <v>5472</v>
      </c>
      <c r="AB241" s="215" t="s">
        <v>5473</v>
      </c>
      <c r="AC241" s="215" t="s">
        <v>5474</v>
      </c>
      <c r="AD241" s="241" t="s">
        <v>4402</v>
      </c>
      <c r="AE241" s="241" t="s">
        <v>4405</v>
      </c>
      <c r="AF241" s="242" t="s">
        <v>4409</v>
      </c>
      <c r="AG241" s="242" t="s">
        <v>4409</v>
      </c>
      <c r="AH241" s="241" t="s">
        <v>4410</v>
      </c>
      <c r="AI241" s="214" t="s">
        <v>4411</v>
      </c>
      <c r="AJ241" s="207"/>
      <c r="AK241" s="316">
        <v>46041</v>
      </c>
      <c r="AL241" s="316">
        <v>46041</v>
      </c>
      <c r="AM241" s="316">
        <v>46041</v>
      </c>
      <c r="AN241" s="316">
        <v>46041</v>
      </c>
      <c r="AO241" s="316">
        <v>46041</v>
      </c>
      <c r="AP241" s="316">
        <v>46041</v>
      </c>
      <c r="AQ241" s="314"/>
      <c r="AR241" s="315" t="str">
        <f t="shared" si="16"/>
        <v>FINALIZADO</v>
      </c>
      <c r="AS241" s="207"/>
      <c r="AT241" s="219"/>
      <c r="AU241" s="220"/>
      <c r="AV241" s="207"/>
      <c r="AW241" s="207"/>
      <c r="AX241" s="228"/>
      <c r="AY241" s="219"/>
      <c r="AZ241" s="219"/>
      <c r="BA241" s="219"/>
      <c r="BB241" s="219"/>
      <c r="BC241" s="219"/>
      <c r="BD241" s="208"/>
      <c r="BE241" s="239">
        <v>46017</v>
      </c>
      <c r="BF241" s="207" t="s">
        <v>4412</v>
      </c>
      <c r="BG241" s="219"/>
      <c r="BH241" s="321" t="str">
        <f t="shared" si="17"/>
        <v/>
      </c>
      <c r="BI241" s="98" t="str">
        <f t="shared" si="18"/>
        <v>AA</v>
      </c>
      <c r="BJ241" s="98" t="str">
        <f t="shared" si="19"/>
        <v>NÃO</v>
      </c>
      <c r="BK241" s="219"/>
      <c r="BL241" s="221"/>
      <c r="BM241" s="221"/>
      <c r="BN241" s="219"/>
      <c r="BO241" s="219"/>
      <c r="BP241" s="219"/>
      <c r="BQ241" s="219"/>
      <c r="BR241" s="222"/>
    </row>
    <row r="242" spans="1:112" s="240" customFormat="1" ht="27" hidden="1" customHeight="1">
      <c r="A242" s="207">
        <v>238</v>
      </c>
      <c r="B242" s="197" t="s">
        <v>4396</v>
      </c>
      <c r="C242" s="207" t="s">
        <v>4427</v>
      </c>
      <c r="D242" s="207">
        <v>1</v>
      </c>
      <c r="E242" s="207" t="s">
        <v>4398</v>
      </c>
      <c r="F242" s="214" t="s">
        <v>5475</v>
      </c>
      <c r="G242" s="207" t="s">
        <v>4400</v>
      </c>
      <c r="H242" s="207" t="s">
        <v>4401</v>
      </c>
      <c r="I242" s="217" t="s">
        <v>4402</v>
      </c>
      <c r="J242" s="215" t="s">
        <v>5476</v>
      </c>
      <c r="K242" s="215" t="s">
        <v>5477</v>
      </c>
      <c r="L242" s="215" t="s">
        <v>5478</v>
      </c>
      <c r="M242" s="207" t="s">
        <v>4405</v>
      </c>
      <c r="N242" s="207" t="s">
        <v>4442</v>
      </c>
      <c r="O242" s="202" t="s">
        <v>4409</v>
      </c>
      <c r="P242" s="202" t="s">
        <v>4409</v>
      </c>
      <c r="Q242" s="202" t="s">
        <v>4409</v>
      </c>
      <c r="R242" s="202" t="s">
        <v>4409</v>
      </c>
      <c r="S242" s="202" t="s">
        <v>4409</v>
      </c>
      <c r="T242" s="202" t="s">
        <v>4409</v>
      </c>
      <c r="U242" s="202" t="s">
        <v>4409</v>
      </c>
      <c r="V242" s="202" t="s">
        <v>4409</v>
      </c>
      <c r="W242" s="202" t="s">
        <v>4409</v>
      </c>
      <c r="X242" s="202" t="s">
        <v>4409</v>
      </c>
      <c r="Y242" s="202"/>
      <c r="Z242" s="202"/>
      <c r="AA242" s="215" t="s">
        <v>5476</v>
      </c>
      <c r="AB242" s="215" t="s">
        <v>5477</v>
      </c>
      <c r="AC242" s="215" t="s">
        <v>5478</v>
      </c>
      <c r="AD242" s="197" t="s">
        <v>4402</v>
      </c>
      <c r="AE242" s="197" t="s">
        <v>4405</v>
      </c>
      <c r="AF242" s="243">
        <v>97512.55</v>
      </c>
      <c r="AG242" s="243">
        <v>97512.55</v>
      </c>
      <c r="AH242" s="197" t="s">
        <v>4433</v>
      </c>
      <c r="AI242" s="214" t="s">
        <v>4411</v>
      </c>
      <c r="AJ242" s="207">
        <v>147041642</v>
      </c>
      <c r="AK242" s="316">
        <v>46001</v>
      </c>
      <c r="AL242" s="316">
        <v>46001</v>
      </c>
      <c r="AM242" s="316">
        <v>46001</v>
      </c>
      <c r="AN242" s="316">
        <v>46001</v>
      </c>
      <c r="AO242" s="316">
        <v>46001</v>
      </c>
      <c r="AP242" s="316">
        <v>46001</v>
      </c>
      <c r="AQ242" s="314"/>
      <c r="AR242" s="315" t="str">
        <f t="shared" si="16"/>
        <v>FINALIZADO</v>
      </c>
      <c r="AS242" s="207" t="s">
        <v>4423</v>
      </c>
      <c r="AT242" s="207"/>
      <c r="AU242" s="220" t="s">
        <v>5479</v>
      </c>
      <c r="AV242" s="207" t="s">
        <v>4425</v>
      </c>
      <c r="AW242" s="207" t="s">
        <v>4425</v>
      </c>
      <c r="AX242" s="250" t="s">
        <v>4425</v>
      </c>
      <c r="AY242" s="207" t="s">
        <v>4425</v>
      </c>
      <c r="AZ242" s="203">
        <v>46017</v>
      </c>
      <c r="BA242" s="219" t="s">
        <v>4425</v>
      </c>
      <c r="BB242" s="207" t="s">
        <v>4425</v>
      </c>
      <c r="BC242" s="203">
        <v>46024</v>
      </c>
      <c r="BD242" s="227">
        <v>46024</v>
      </c>
      <c r="BE242" s="274" t="s">
        <v>4435</v>
      </c>
      <c r="BF242" s="245" t="s">
        <v>4436</v>
      </c>
      <c r="BG242" s="229" t="s">
        <v>4425</v>
      </c>
      <c r="BH242" s="321">
        <f t="shared" si="17"/>
        <v>23</v>
      </c>
      <c r="BI242" s="98" t="str">
        <f t="shared" si="18"/>
        <v>INDENIZAÇÃO</v>
      </c>
      <c r="BJ242" s="98" t="str">
        <f t="shared" si="19"/>
        <v>NÃO</v>
      </c>
      <c r="BK242" s="230" t="s">
        <v>4437</v>
      </c>
      <c r="BL242" s="230" t="s">
        <v>4437</v>
      </c>
      <c r="BM242" s="230" t="s">
        <v>4437</v>
      </c>
      <c r="BN242" s="207" t="s">
        <v>4425</v>
      </c>
      <c r="BO242" s="207" t="s">
        <v>4425</v>
      </c>
      <c r="BP242" s="202">
        <v>46205</v>
      </c>
      <c r="BQ242" s="207" t="s">
        <v>4425</v>
      </c>
      <c r="BR242" s="232" t="s">
        <v>4435</v>
      </c>
    </row>
    <row r="243" spans="1:112" s="240" customFormat="1" ht="27" hidden="1" customHeight="1">
      <c r="A243" s="207">
        <v>239</v>
      </c>
      <c r="B243" s="197" t="s">
        <v>4396</v>
      </c>
      <c r="C243" s="207" t="s">
        <v>5297</v>
      </c>
      <c r="D243" s="207">
        <v>1</v>
      </c>
      <c r="E243" s="207" t="s">
        <v>4398</v>
      </c>
      <c r="F243" s="214" t="s">
        <v>5480</v>
      </c>
      <c r="G243" s="207" t="s">
        <v>4400</v>
      </c>
      <c r="H243" s="207" t="s">
        <v>4401</v>
      </c>
      <c r="I243" s="217" t="s">
        <v>4402</v>
      </c>
      <c r="J243" s="242" t="s">
        <v>5481</v>
      </c>
      <c r="K243" s="215" t="s">
        <v>4398</v>
      </c>
      <c r="L243" s="215" t="s">
        <v>5482</v>
      </c>
      <c r="M243" s="207" t="s">
        <v>4405</v>
      </c>
      <c r="N243" s="207" t="s">
        <v>4406</v>
      </c>
      <c r="O243" s="202">
        <v>46031</v>
      </c>
      <c r="P243" s="202" t="s">
        <v>4407</v>
      </c>
      <c r="Q243" s="202">
        <v>46023</v>
      </c>
      <c r="R243" s="202">
        <v>46023</v>
      </c>
      <c r="S243" s="202">
        <v>46036</v>
      </c>
      <c r="T243" s="202">
        <v>46045</v>
      </c>
      <c r="U243" s="202" t="s">
        <v>4408</v>
      </c>
      <c r="V243" s="202" t="s">
        <v>4408</v>
      </c>
      <c r="W243" s="202">
        <v>46055</v>
      </c>
      <c r="X243" s="202">
        <v>46055</v>
      </c>
      <c r="Y243" s="202">
        <v>46017</v>
      </c>
      <c r="Z243" s="202"/>
      <c r="AA243" s="242" t="s">
        <v>5481</v>
      </c>
      <c r="AB243" s="215" t="s">
        <v>4398</v>
      </c>
      <c r="AC243" s="215" t="s">
        <v>5482</v>
      </c>
      <c r="AD243" s="241" t="s">
        <v>4402</v>
      </c>
      <c r="AE243" s="241" t="s">
        <v>4405</v>
      </c>
      <c r="AF243" s="242" t="s">
        <v>4409</v>
      </c>
      <c r="AG243" s="242" t="s">
        <v>4409</v>
      </c>
      <c r="AH243" s="241" t="s">
        <v>4410</v>
      </c>
      <c r="AI243" s="214" t="s">
        <v>4411</v>
      </c>
      <c r="AJ243" s="207"/>
      <c r="AK243" s="316">
        <v>46041</v>
      </c>
      <c r="AL243" s="316">
        <v>46041</v>
      </c>
      <c r="AM243" s="316">
        <v>46041</v>
      </c>
      <c r="AN243" s="316">
        <v>46041</v>
      </c>
      <c r="AO243" s="316">
        <v>46041</v>
      </c>
      <c r="AP243" s="316">
        <v>46041</v>
      </c>
      <c r="AQ243" s="314"/>
      <c r="AR243" s="315" t="str">
        <f t="shared" si="16"/>
        <v>FINALIZADO</v>
      </c>
      <c r="AS243" s="207"/>
      <c r="AT243" s="207"/>
      <c r="AU243" s="220"/>
      <c r="AV243" s="207"/>
      <c r="AW243" s="207"/>
      <c r="AX243" s="228"/>
      <c r="AY243" s="207"/>
      <c r="AZ243" s="203"/>
      <c r="BA243" s="219"/>
      <c r="BB243" s="207"/>
      <c r="BC243" s="203"/>
      <c r="BD243" s="208"/>
      <c r="BE243" s="239">
        <v>46017</v>
      </c>
      <c r="BF243" s="207" t="s">
        <v>4412</v>
      </c>
      <c r="BG243" s="229"/>
      <c r="BH243" s="321" t="str">
        <f t="shared" si="17"/>
        <v/>
      </c>
      <c r="BI243" s="98" t="str">
        <f t="shared" si="18"/>
        <v>AA</v>
      </c>
      <c r="BJ243" s="98" t="str">
        <f t="shared" si="19"/>
        <v>NÃO</v>
      </c>
      <c r="BK243" s="230"/>
      <c r="BL243" s="230"/>
      <c r="BM243" s="230"/>
      <c r="BN243" s="230"/>
      <c r="BO243" s="230"/>
      <c r="BP243" s="230"/>
      <c r="BQ243" s="230"/>
      <c r="BR243" s="234"/>
    </row>
    <row r="244" spans="1:112" s="240" customFormat="1" ht="27" hidden="1" customHeight="1">
      <c r="A244" s="197">
        <v>240</v>
      </c>
      <c r="B244" s="197" t="s">
        <v>4396</v>
      </c>
      <c r="C244" s="207" t="s">
        <v>4427</v>
      </c>
      <c r="D244" s="207">
        <v>1</v>
      </c>
      <c r="E244" s="250" t="s">
        <v>4398</v>
      </c>
      <c r="F244" s="214" t="s">
        <v>5483</v>
      </c>
      <c r="G244" s="207" t="s">
        <v>4400</v>
      </c>
      <c r="H244" s="207" t="s">
        <v>4401</v>
      </c>
      <c r="I244" s="217" t="s">
        <v>4402</v>
      </c>
      <c r="J244" s="242" t="s">
        <v>5484</v>
      </c>
      <c r="K244" s="215" t="s">
        <v>5485</v>
      </c>
      <c r="L244" s="215" t="s">
        <v>5486</v>
      </c>
      <c r="M244" s="207" t="s">
        <v>4405</v>
      </c>
      <c r="N244" s="207" t="s">
        <v>4442</v>
      </c>
      <c r="O244" s="202" t="s">
        <v>4409</v>
      </c>
      <c r="P244" s="202" t="s">
        <v>4409</v>
      </c>
      <c r="Q244" s="202" t="s">
        <v>4409</v>
      </c>
      <c r="R244" s="202" t="s">
        <v>4409</v>
      </c>
      <c r="S244" s="202" t="s">
        <v>4409</v>
      </c>
      <c r="T244" s="202" t="s">
        <v>4409</v>
      </c>
      <c r="U244" s="202" t="s">
        <v>4409</v>
      </c>
      <c r="V244" s="202" t="s">
        <v>4409</v>
      </c>
      <c r="W244" s="202" t="s">
        <v>4409</v>
      </c>
      <c r="X244" s="202" t="s">
        <v>4409</v>
      </c>
      <c r="Y244" s="202" t="s">
        <v>4409</v>
      </c>
      <c r="Z244" s="202"/>
      <c r="AA244" s="242" t="s">
        <v>5484</v>
      </c>
      <c r="AB244" s="215" t="s">
        <v>5485</v>
      </c>
      <c r="AC244" s="215" t="s">
        <v>5486</v>
      </c>
      <c r="AD244" s="241" t="s">
        <v>4402</v>
      </c>
      <c r="AE244" s="241" t="s">
        <v>4405</v>
      </c>
      <c r="AF244" s="243">
        <v>81223.97</v>
      </c>
      <c r="AG244" s="243">
        <v>81223.97</v>
      </c>
      <c r="AH244" s="241" t="s">
        <v>4433</v>
      </c>
      <c r="AI244" s="214" t="s">
        <v>4411</v>
      </c>
      <c r="AJ244" s="207">
        <v>160440907</v>
      </c>
      <c r="AK244" s="316">
        <v>46219</v>
      </c>
      <c r="AL244" s="316">
        <v>46219</v>
      </c>
      <c r="AM244" s="316">
        <v>46219</v>
      </c>
      <c r="AN244" s="316">
        <v>46219</v>
      </c>
      <c r="AO244" s="316">
        <v>46219</v>
      </c>
      <c r="AP244" s="316">
        <v>46219</v>
      </c>
      <c r="AQ244" s="314"/>
      <c r="AR244" s="315" t="str">
        <f t="shared" si="16"/>
        <v>FINALIZADO</v>
      </c>
      <c r="AS244" s="207" t="s">
        <v>4423</v>
      </c>
      <c r="AT244" s="207"/>
      <c r="AU244" s="220" t="s">
        <v>4435</v>
      </c>
      <c r="AV244" s="219" t="s">
        <v>5487</v>
      </c>
      <c r="AW244" s="207"/>
      <c r="AX244" s="228"/>
      <c r="AY244" s="207"/>
      <c r="AZ244" s="203"/>
      <c r="BA244" s="219"/>
      <c r="BB244" s="207"/>
      <c r="BC244" s="203"/>
      <c r="BD244" s="208"/>
      <c r="BE244" s="209"/>
      <c r="BF244" s="197"/>
      <c r="BG244" s="229"/>
      <c r="BH244" s="321" t="str">
        <f t="shared" si="17"/>
        <v/>
      </c>
      <c r="BI244" s="98" t="str">
        <f t="shared" si="18"/>
        <v>INDENIZAÇÃO</v>
      </c>
      <c r="BJ244" s="98" t="str">
        <f t="shared" si="19"/>
        <v>NÃO</v>
      </c>
      <c r="BK244" s="230"/>
      <c r="BL244" s="230"/>
      <c r="BM244" s="230"/>
      <c r="BN244" s="230"/>
      <c r="BO244" s="230"/>
      <c r="BP244" s="230"/>
      <c r="BQ244" s="230"/>
      <c r="BR244" s="234"/>
    </row>
    <row r="245" spans="1:112" s="240" customFormat="1" ht="27" hidden="1" customHeight="1">
      <c r="A245" s="197">
        <v>241</v>
      </c>
      <c r="B245" s="197" t="s">
        <v>4396</v>
      </c>
      <c r="C245" s="207" t="s">
        <v>5297</v>
      </c>
      <c r="D245" s="207">
        <v>1</v>
      </c>
      <c r="E245" s="207" t="s">
        <v>4398</v>
      </c>
      <c r="F245" s="214" t="s">
        <v>5488</v>
      </c>
      <c r="G245" s="207" t="s">
        <v>4400</v>
      </c>
      <c r="H245" s="207" t="s">
        <v>4401</v>
      </c>
      <c r="I245" s="217" t="s">
        <v>4402</v>
      </c>
      <c r="J245" s="242" t="s">
        <v>5489</v>
      </c>
      <c r="K245" s="215" t="s">
        <v>5490</v>
      </c>
      <c r="L245" s="215" t="s">
        <v>5491</v>
      </c>
      <c r="M245" s="207" t="s">
        <v>4405</v>
      </c>
      <c r="N245" s="207" t="s">
        <v>4442</v>
      </c>
      <c r="O245" s="202" t="s">
        <v>4409</v>
      </c>
      <c r="P245" s="202" t="s">
        <v>4409</v>
      </c>
      <c r="Q245" s="202" t="s">
        <v>4409</v>
      </c>
      <c r="R245" s="202" t="s">
        <v>4409</v>
      </c>
      <c r="S245" s="202" t="s">
        <v>4409</v>
      </c>
      <c r="T245" s="202" t="s">
        <v>4409</v>
      </c>
      <c r="U245" s="202" t="s">
        <v>4409</v>
      </c>
      <c r="V245" s="202" t="s">
        <v>4409</v>
      </c>
      <c r="W245" s="202" t="s">
        <v>4409</v>
      </c>
      <c r="X245" s="202" t="s">
        <v>4409</v>
      </c>
      <c r="Y245" s="202"/>
      <c r="Z245" s="207"/>
      <c r="AA245" s="242" t="s">
        <v>5489</v>
      </c>
      <c r="AB245" s="214" t="s">
        <v>5490</v>
      </c>
      <c r="AC245" s="242" t="s">
        <v>5491</v>
      </c>
      <c r="AD245" s="204" t="s">
        <v>4402</v>
      </c>
      <c r="AE245" s="204" t="s">
        <v>4405</v>
      </c>
      <c r="AF245" s="218">
        <v>24189.58</v>
      </c>
      <c r="AG245" s="218">
        <f>AF245+30000</f>
        <v>54189.58</v>
      </c>
      <c r="AH245" s="207" t="s">
        <v>4433</v>
      </c>
      <c r="AI245" s="214" t="s">
        <v>4411</v>
      </c>
      <c r="AJ245" s="207">
        <v>146041972</v>
      </c>
      <c r="AK245" s="316">
        <v>45979</v>
      </c>
      <c r="AL245" s="316">
        <v>45979</v>
      </c>
      <c r="AM245" s="316">
        <v>45979</v>
      </c>
      <c r="AN245" s="316">
        <v>45979</v>
      </c>
      <c r="AO245" s="316">
        <v>45979</v>
      </c>
      <c r="AP245" s="316">
        <v>45979</v>
      </c>
      <c r="AQ245" s="314"/>
      <c r="AR245" s="315" t="str">
        <f t="shared" si="16"/>
        <v>FINALIZADO</v>
      </c>
      <c r="AS245" s="207" t="s">
        <v>4423</v>
      </c>
      <c r="AT245" s="207"/>
      <c r="AU245" s="220" t="s">
        <v>5492</v>
      </c>
      <c r="AV245" s="207" t="s">
        <v>4425</v>
      </c>
      <c r="AW245" s="207" t="s">
        <v>4425</v>
      </c>
      <c r="AX245" s="250" t="s">
        <v>4425</v>
      </c>
      <c r="AY245" s="207" t="s">
        <v>4425</v>
      </c>
      <c r="AZ245" s="202">
        <v>46014</v>
      </c>
      <c r="BA245" s="219" t="s">
        <v>4425</v>
      </c>
      <c r="BB245" s="207" t="s">
        <v>4425</v>
      </c>
      <c r="BC245" s="202">
        <v>46021</v>
      </c>
      <c r="BD245" s="227">
        <v>46021</v>
      </c>
      <c r="BE245" s="209">
        <v>46017</v>
      </c>
      <c r="BF245" s="197" t="s">
        <v>4412</v>
      </c>
      <c r="BG245" s="229" t="s">
        <v>4425</v>
      </c>
      <c r="BH245" s="321">
        <f t="shared" si="17"/>
        <v>42</v>
      </c>
      <c r="BI245" s="98" t="str">
        <f t="shared" si="18"/>
        <v>INDENIZAÇÃO</v>
      </c>
      <c r="BJ245" s="98" t="str">
        <f t="shared" si="19"/>
        <v>NÃO</v>
      </c>
      <c r="BK245" s="230" t="s">
        <v>4437</v>
      </c>
      <c r="BL245" s="230" t="s">
        <v>4437</v>
      </c>
      <c r="BM245" s="230" t="s">
        <v>4437</v>
      </c>
      <c r="BN245" s="207" t="s">
        <v>4425</v>
      </c>
      <c r="BO245" s="207" t="s">
        <v>4425</v>
      </c>
      <c r="BP245" s="202">
        <v>46205</v>
      </c>
      <c r="BQ245" s="207" t="s">
        <v>4425</v>
      </c>
      <c r="BR245" s="232" t="s">
        <v>4435</v>
      </c>
    </row>
    <row r="246" spans="1:112" s="275" customFormat="1" ht="27" hidden="1" customHeight="1">
      <c r="A246" s="207">
        <v>242</v>
      </c>
      <c r="B246" s="197" t="s">
        <v>4396</v>
      </c>
      <c r="C246" s="207" t="s">
        <v>5297</v>
      </c>
      <c r="D246" s="207">
        <v>1</v>
      </c>
      <c r="E246" s="207" t="s">
        <v>4398</v>
      </c>
      <c r="F246" s="214" t="s">
        <v>5493</v>
      </c>
      <c r="G246" s="207" t="s">
        <v>4400</v>
      </c>
      <c r="H246" s="207" t="s">
        <v>4401</v>
      </c>
      <c r="I246" s="217" t="s">
        <v>4402</v>
      </c>
      <c r="J246" s="242" t="s">
        <v>5494</v>
      </c>
      <c r="K246" s="215" t="s">
        <v>5495</v>
      </c>
      <c r="L246" s="215" t="s">
        <v>5496</v>
      </c>
      <c r="M246" s="207" t="s">
        <v>4405</v>
      </c>
      <c r="N246" s="207" t="s">
        <v>4406</v>
      </c>
      <c r="O246" s="202">
        <v>46002</v>
      </c>
      <c r="P246" s="202" t="s">
        <v>4407</v>
      </c>
      <c r="Q246" s="202">
        <v>45999</v>
      </c>
      <c r="R246" s="202">
        <v>46006</v>
      </c>
      <c r="S246" s="202">
        <v>46006</v>
      </c>
      <c r="T246" s="202">
        <v>46009</v>
      </c>
      <c r="U246" s="202" t="s">
        <v>4408</v>
      </c>
      <c r="V246" s="202" t="s">
        <v>4408</v>
      </c>
      <c r="W246" s="202">
        <v>46014</v>
      </c>
      <c r="X246" s="202">
        <v>46017</v>
      </c>
      <c r="Y246" s="202">
        <v>46017</v>
      </c>
      <c r="Z246" s="207"/>
      <c r="AA246" s="242" t="s">
        <v>5494</v>
      </c>
      <c r="AB246" s="215" t="s">
        <v>5495</v>
      </c>
      <c r="AC246" s="215" t="s">
        <v>5496</v>
      </c>
      <c r="AD246" s="204" t="s">
        <v>4402</v>
      </c>
      <c r="AE246" s="204" t="s">
        <v>4405</v>
      </c>
      <c r="AF246" s="205" t="s">
        <v>4409</v>
      </c>
      <c r="AG246" s="205" t="s">
        <v>4409</v>
      </c>
      <c r="AH246" s="204" t="s">
        <v>4410</v>
      </c>
      <c r="AI246" s="214" t="s">
        <v>4411</v>
      </c>
      <c r="AJ246" s="207"/>
      <c r="AK246" s="316">
        <v>45996</v>
      </c>
      <c r="AL246" s="316">
        <v>45996</v>
      </c>
      <c r="AM246" s="316">
        <v>45996</v>
      </c>
      <c r="AN246" s="316">
        <v>45996</v>
      </c>
      <c r="AO246" s="316">
        <v>45996</v>
      </c>
      <c r="AP246" s="316">
        <v>45996</v>
      </c>
      <c r="AQ246" s="314"/>
      <c r="AR246" s="315" t="str">
        <f t="shared" si="16"/>
        <v>FINALIZADO</v>
      </c>
      <c r="AS246" s="207"/>
      <c r="AT246" s="207"/>
      <c r="AU246" s="220"/>
      <c r="AV246" s="207"/>
      <c r="AW246" s="207"/>
      <c r="AX246" s="228"/>
      <c r="AY246" s="228"/>
      <c r="AZ246" s="227"/>
      <c r="BA246" s="219"/>
      <c r="BB246" s="228"/>
      <c r="BC246" s="227"/>
      <c r="BD246" s="208"/>
      <c r="BE246" s="209">
        <v>46017</v>
      </c>
      <c r="BF246" s="197" t="s">
        <v>4412</v>
      </c>
      <c r="BG246" s="229"/>
      <c r="BH246" s="321" t="str">
        <f t="shared" si="17"/>
        <v/>
      </c>
      <c r="BI246" s="98" t="str">
        <f t="shared" si="18"/>
        <v>AA</v>
      </c>
      <c r="BJ246" s="98" t="str">
        <f t="shared" si="19"/>
        <v>NÃO</v>
      </c>
      <c r="BK246" s="230"/>
      <c r="BL246" s="230"/>
      <c r="BM246" s="230"/>
      <c r="BN246" s="230"/>
      <c r="BO246" s="230"/>
      <c r="BP246" s="230"/>
      <c r="BQ246" s="230"/>
      <c r="BR246" s="234"/>
      <c r="BS246" s="240"/>
      <c r="BT246" s="240"/>
      <c r="BU246" s="240"/>
      <c r="BV246" s="240"/>
      <c r="BW246" s="240"/>
      <c r="BX246" s="240"/>
      <c r="BY246" s="240"/>
      <c r="BZ246" s="240"/>
      <c r="CA246" s="240"/>
      <c r="CB246" s="240"/>
      <c r="CC246" s="240"/>
      <c r="CD246" s="240"/>
      <c r="CE246" s="240"/>
      <c r="CF246" s="240"/>
      <c r="CG246" s="240"/>
      <c r="CH246" s="240"/>
      <c r="CI246" s="240"/>
      <c r="CJ246" s="240"/>
      <c r="CK246" s="240"/>
      <c r="CL246" s="240"/>
      <c r="CM246" s="240"/>
      <c r="CN246" s="240"/>
      <c r="CO246" s="240"/>
      <c r="CP246" s="240"/>
      <c r="CQ246" s="240"/>
      <c r="CR246" s="240"/>
      <c r="CS246" s="240"/>
      <c r="CT246" s="240"/>
      <c r="CU246" s="240"/>
      <c r="CV246" s="240"/>
      <c r="CW246" s="240"/>
      <c r="CX246" s="240"/>
      <c r="CY246" s="240"/>
      <c r="CZ246" s="240"/>
      <c r="DA246" s="240"/>
      <c r="DB246" s="240"/>
      <c r="DC246" s="240"/>
      <c r="DD246" s="240"/>
      <c r="DE246" s="240"/>
      <c r="DF246" s="240"/>
      <c r="DG246" s="240"/>
      <c r="DH246" s="240"/>
    </row>
    <row r="247" spans="1:112" s="240" customFormat="1" ht="27" hidden="1" customHeight="1">
      <c r="A247" s="207">
        <v>243</v>
      </c>
      <c r="B247" s="197" t="s">
        <v>4396</v>
      </c>
      <c r="C247" s="207" t="s">
        <v>5297</v>
      </c>
      <c r="D247" s="207">
        <v>1</v>
      </c>
      <c r="E247" s="207" t="s">
        <v>4398</v>
      </c>
      <c r="F247" s="214" t="s">
        <v>5497</v>
      </c>
      <c r="G247" s="207" t="s">
        <v>4400</v>
      </c>
      <c r="H247" s="207" t="s">
        <v>4401</v>
      </c>
      <c r="I247" s="217" t="s">
        <v>4402</v>
      </c>
      <c r="J247" s="242" t="s">
        <v>5498</v>
      </c>
      <c r="K247" s="215" t="s">
        <v>5499</v>
      </c>
      <c r="L247" s="215" t="s">
        <v>5500</v>
      </c>
      <c r="M247" s="207" t="s">
        <v>4405</v>
      </c>
      <c r="N247" s="207" t="s">
        <v>4406</v>
      </c>
      <c r="O247" s="202">
        <v>46002</v>
      </c>
      <c r="P247" s="202" t="s">
        <v>4407</v>
      </c>
      <c r="Q247" s="202">
        <v>45999</v>
      </c>
      <c r="R247" s="202">
        <v>46006</v>
      </c>
      <c r="S247" s="202">
        <v>46006</v>
      </c>
      <c r="T247" s="202">
        <v>46009</v>
      </c>
      <c r="U247" s="202" t="s">
        <v>4408</v>
      </c>
      <c r="V247" s="202" t="s">
        <v>4408</v>
      </c>
      <c r="W247" s="202">
        <v>46014</v>
      </c>
      <c r="X247" s="202">
        <v>46017</v>
      </c>
      <c r="Y247" s="202">
        <v>46017</v>
      </c>
      <c r="Z247" s="207"/>
      <c r="AA247" s="242" t="s">
        <v>5498</v>
      </c>
      <c r="AB247" s="215" t="s">
        <v>5499</v>
      </c>
      <c r="AC247" s="215" t="s">
        <v>5500</v>
      </c>
      <c r="AD247" s="204" t="s">
        <v>4402</v>
      </c>
      <c r="AE247" s="204" t="s">
        <v>4405</v>
      </c>
      <c r="AF247" s="205" t="s">
        <v>4409</v>
      </c>
      <c r="AG247" s="205" t="s">
        <v>4409</v>
      </c>
      <c r="AH247" s="204" t="s">
        <v>4410</v>
      </c>
      <c r="AI247" s="214" t="s">
        <v>4411</v>
      </c>
      <c r="AJ247" s="207"/>
      <c r="AK247" s="316">
        <v>45996</v>
      </c>
      <c r="AL247" s="316">
        <v>45996</v>
      </c>
      <c r="AM247" s="316">
        <v>45996</v>
      </c>
      <c r="AN247" s="316">
        <v>45996</v>
      </c>
      <c r="AO247" s="316">
        <v>45996</v>
      </c>
      <c r="AP247" s="316">
        <v>45996</v>
      </c>
      <c r="AQ247" s="314"/>
      <c r="AR247" s="315" t="str">
        <f t="shared" si="16"/>
        <v>FINALIZADO</v>
      </c>
      <c r="AS247" s="207"/>
      <c r="AT247" s="207"/>
      <c r="AU247" s="220"/>
      <c r="AV247" s="207"/>
      <c r="AW247" s="207"/>
      <c r="AX247" s="228"/>
      <c r="AY247" s="228"/>
      <c r="AZ247" s="227"/>
      <c r="BA247" s="219"/>
      <c r="BB247" s="228"/>
      <c r="BC247" s="227"/>
      <c r="BD247" s="208"/>
      <c r="BE247" s="209">
        <v>46017</v>
      </c>
      <c r="BF247" s="197" t="s">
        <v>4412</v>
      </c>
      <c r="BG247" s="229"/>
      <c r="BH247" s="321" t="str">
        <f t="shared" si="17"/>
        <v/>
      </c>
      <c r="BI247" s="98" t="str">
        <f t="shared" si="18"/>
        <v>AA</v>
      </c>
      <c r="BJ247" s="98" t="str">
        <f t="shared" si="19"/>
        <v>NÃO</v>
      </c>
      <c r="BK247" s="230"/>
      <c r="BL247" s="230"/>
      <c r="BM247" s="230"/>
      <c r="BN247" s="230"/>
      <c r="BO247" s="230"/>
      <c r="BP247" s="230"/>
      <c r="BQ247" s="230"/>
      <c r="BR247" s="234"/>
    </row>
    <row r="248" spans="1:112" s="240" customFormat="1" ht="27" hidden="1" customHeight="1">
      <c r="A248" s="207">
        <v>244</v>
      </c>
      <c r="B248" s="197" t="s">
        <v>4396</v>
      </c>
      <c r="C248" s="207" t="s">
        <v>5297</v>
      </c>
      <c r="D248" s="207">
        <v>1</v>
      </c>
      <c r="E248" s="207" t="s">
        <v>4398</v>
      </c>
      <c r="F248" s="214" t="s">
        <v>5501</v>
      </c>
      <c r="G248" s="207" t="s">
        <v>4400</v>
      </c>
      <c r="H248" s="207" t="s">
        <v>4401</v>
      </c>
      <c r="I248" s="217" t="s">
        <v>4402</v>
      </c>
      <c r="J248" s="242" t="s">
        <v>5502</v>
      </c>
      <c r="K248" s="215" t="s">
        <v>5503</v>
      </c>
      <c r="L248" s="215" t="s">
        <v>5504</v>
      </c>
      <c r="M248" s="207" t="s">
        <v>4405</v>
      </c>
      <c r="N248" s="207" t="s">
        <v>4442</v>
      </c>
      <c r="O248" s="202" t="s">
        <v>4409</v>
      </c>
      <c r="P248" s="202" t="s">
        <v>4409</v>
      </c>
      <c r="Q248" s="202" t="s">
        <v>4409</v>
      </c>
      <c r="R248" s="202" t="s">
        <v>4409</v>
      </c>
      <c r="S248" s="202" t="s">
        <v>4409</v>
      </c>
      <c r="T248" s="202" t="s">
        <v>4409</v>
      </c>
      <c r="U248" s="202" t="s">
        <v>4409</v>
      </c>
      <c r="V248" s="202" t="s">
        <v>4409</v>
      </c>
      <c r="W248" s="202" t="s">
        <v>4409</v>
      </c>
      <c r="X248" s="202" t="s">
        <v>4409</v>
      </c>
      <c r="Y248" s="202"/>
      <c r="Z248" s="202"/>
      <c r="AA248" s="242" t="s">
        <v>5502</v>
      </c>
      <c r="AB248" s="214" t="s">
        <v>5503</v>
      </c>
      <c r="AC248" s="214" t="s">
        <v>5504</v>
      </c>
      <c r="AD248" s="204" t="s">
        <v>4402</v>
      </c>
      <c r="AE248" s="204" t="s">
        <v>4405</v>
      </c>
      <c r="AF248" s="243">
        <v>29031.33</v>
      </c>
      <c r="AG248" s="243">
        <f>AF248+30000</f>
        <v>59031.33</v>
      </c>
      <c r="AH248" s="197" t="s">
        <v>4433</v>
      </c>
      <c r="AI248" s="214" t="s">
        <v>4411</v>
      </c>
      <c r="AJ248" s="207">
        <v>146042065</v>
      </c>
      <c r="AK248" s="316">
        <v>45979</v>
      </c>
      <c r="AL248" s="316">
        <v>45979</v>
      </c>
      <c r="AM248" s="316">
        <v>45979</v>
      </c>
      <c r="AN248" s="316">
        <v>45979</v>
      </c>
      <c r="AO248" s="316">
        <v>45979</v>
      </c>
      <c r="AP248" s="316">
        <v>45979</v>
      </c>
      <c r="AQ248" s="314"/>
      <c r="AR248" s="315" t="str">
        <f t="shared" si="16"/>
        <v>FINALIZADO</v>
      </c>
      <c r="AS248" s="207" t="s">
        <v>4423</v>
      </c>
      <c r="AT248" s="207"/>
      <c r="AU248" s="220" t="s">
        <v>5505</v>
      </c>
      <c r="AV248" s="207" t="s">
        <v>4425</v>
      </c>
      <c r="AW248" s="207" t="s">
        <v>4425</v>
      </c>
      <c r="AX248" s="250" t="s">
        <v>4425</v>
      </c>
      <c r="AY248" s="207" t="s">
        <v>4425</v>
      </c>
      <c r="AZ248" s="202">
        <v>46008</v>
      </c>
      <c r="BA248" s="219" t="s">
        <v>4425</v>
      </c>
      <c r="BB248" s="207" t="s">
        <v>4425</v>
      </c>
      <c r="BC248" s="202">
        <v>46014</v>
      </c>
      <c r="BD248" s="227">
        <v>46014</v>
      </c>
      <c r="BE248" s="209">
        <v>46017</v>
      </c>
      <c r="BF248" s="197" t="s">
        <v>4412</v>
      </c>
      <c r="BG248" s="229" t="s">
        <v>4425</v>
      </c>
      <c r="BH248" s="321">
        <f t="shared" si="17"/>
        <v>35</v>
      </c>
      <c r="BI248" s="98" t="str">
        <f t="shared" si="18"/>
        <v>INDENIZAÇÃO</v>
      </c>
      <c r="BJ248" s="98" t="str">
        <f t="shared" si="19"/>
        <v>NÃO</v>
      </c>
      <c r="BK248" s="230" t="s">
        <v>4437</v>
      </c>
      <c r="BL248" s="230" t="s">
        <v>4437</v>
      </c>
      <c r="BM248" s="230" t="s">
        <v>4437</v>
      </c>
      <c r="BN248" s="207" t="s">
        <v>4425</v>
      </c>
      <c r="BO248" s="207" t="s">
        <v>4425</v>
      </c>
      <c r="BP248" s="202">
        <v>46205</v>
      </c>
      <c r="BQ248" s="207" t="s">
        <v>4425</v>
      </c>
      <c r="BR248" s="232" t="s">
        <v>4435</v>
      </c>
    </row>
    <row r="249" spans="1:112" s="240" customFormat="1" ht="27" hidden="1" customHeight="1">
      <c r="A249" s="197">
        <v>245</v>
      </c>
      <c r="B249" s="197" t="s">
        <v>4396</v>
      </c>
      <c r="C249" s="207" t="s">
        <v>4427</v>
      </c>
      <c r="D249" s="207">
        <v>1</v>
      </c>
      <c r="E249" s="207" t="s">
        <v>4398</v>
      </c>
      <c r="F249" s="214" t="s">
        <v>5501</v>
      </c>
      <c r="G249" s="207" t="s">
        <v>4400</v>
      </c>
      <c r="H249" s="207" t="s">
        <v>4401</v>
      </c>
      <c r="I249" s="217" t="s">
        <v>4402</v>
      </c>
      <c r="J249" s="215" t="s">
        <v>5506</v>
      </c>
      <c r="K249" s="215" t="s">
        <v>5507</v>
      </c>
      <c r="L249" s="215" t="s">
        <v>5508</v>
      </c>
      <c r="M249" s="207" t="s">
        <v>4405</v>
      </c>
      <c r="N249" s="207" t="s">
        <v>4406</v>
      </c>
      <c r="O249" s="202">
        <v>46084</v>
      </c>
      <c r="P249" s="202" t="s">
        <v>4407</v>
      </c>
      <c r="Q249" s="202">
        <v>46083</v>
      </c>
      <c r="R249" s="203">
        <v>46084</v>
      </c>
      <c r="S249" s="203">
        <v>46087</v>
      </c>
      <c r="T249" s="203">
        <v>46090</v>
      </c>
      <c r="U249" s="202" t="s">
        <v>4408</v>
      </c>
      <c r="V249" s="202" t="s">
        <v>4408</v>
      </c>
      <c r="W249" s="202">
        <v>46101</v>
      </c>
      <c r="X249" s="202">
        <v>46101</v>
      </c>
      <c r="Y249" s="202"/>
      <c r="Z249" s="202"/>
      <c r="AA249" s="215" t="s">
        <v>5506</v>
      </c>
      <c r="AB249" s="215" t="s">
        <v>5507</v>
      </c>
      <c r="AC249" s="215" t="s">
        <v>5508</v>
      </c>
      <c r="AD249" s="207" t="s">
        <v>4402</v>
      </c>
      <c r="AE249" s="207" t="s">
        <v>4405</v>
      </c>
      <c r="AF249" s="218" t="s">
        <v>4409</v>
      </c>
      <c r="AG249" s="218" t="s">
        <v>4409</v>
      </c>
      <c r="AH249" s="207" t="s">
        <v>4410</v>
      </c>
      <c r="AI249" s="214" t="s">
        <v>4411</v>
      </c>
      <c r="AJ249" s="207"/>
      <c r="AK249" s="316">
        <v>45996</v>
      </c>
      <c r="AL249" s="316">
        <v>45996</v>
      </c>
      <c r="AM249" s="316">
        <v>45996</v>
      </c>
      <c r="AN249" s="316">
        <v>45996</v>
      </c>
      <c r="AO249" s="316">
        <v>45996</v>
      </c>
      <c r="AP249" s="316">
        <v>45996</v>
      </c>
      <c r="AQ249" s="314"/>
      <c r="AR249" s="315" t="str">
        <f t="shared" si="16"/>
        <v>FINALIZADO</v>
      </c>
      <c r="AS249" s="207"/>
      <c r="AT249" s="207"/>
      <c r="AU249" s="220"/>
      <c r="AV249" s="207"/>
      <c r="AW249" s="207"/>
      <c r="AX249" s="228"/>
      <c r="AY249" s="228"/>
      <c r="AZ249" s="227"/>
      <c r="BA249" s="219"/>
      <c r="BB249" s="228"/>
      <c r="BC249" s="228"/>
      <c r="BD249" s="208"/>
      <c r="BE249" s="227"/>
      <c r="BF249" s="228"/>
      <c r="BG249" s="229"/>
      <c r="BH249" s="321" t="str">
        <f t="shared" si="17"/>
        <v/>
      </c>
      <c r="BI249" s="98" t="str">
        <f t="shared" si="18"/>
        <v>AA</v>
      </c>
      <c r="BJ249" s="98" t="str">
        <f t="shared" si="19"/>
        <v>NÃO</v>
      </c>
      <c r="BK249" s="230"/>
      <c r="BL249" s="230"/>
      <c r="BM249" s="230"/>
      <c r="BN249" s="230"/>
      <c r="BO249" s="230"/>
      <c r="BP249" s="230"/>
      <c r="BQ249" s="230"/>
      <c r="BR249" s="234"/>
    </row>
    <row r="250" spans="1:112" s="240" customFormat="1" ht="27" hidden="1" customHeight="1">
      <c r="A250" s="197">
        <v>246</v>
      </c>
      <c r="B250" s="197" t="s">
        <v>4396</v>
      </c>
      <c r="C250" s="207" t="s">
        <v>4427</v>
      </c>
      <c r="D250" s="207">
        <v>1</v>
      </c>
      <c r="E250" s="207" t="s">
        <v>4398</v>
      </c>
      <c r="F250" s="214" t="s">
        <v>5509</v>
      </c>
      <c r="G250" s="207" t="s">
        <v>4400</v>
      </c>
      <c r="H250" s="207" t="s">
        <v>4401</v>
      </c>
      <c r="I250" s="217" t="s">
        <v>4402</v>
      </c>
      <c r="J250" s="215" t="s">
        <v>5510</v>
      </c>
      <c r="K250" s="215" t="s">
        <v>5511</v>
      </c>
      <c r="L250" s="215" t="s">
        <v>5512</v>
      </c>
      <c r="M250" s="207" t="s">
        <v>4405</v>
      </c>
      <c r="N250" s="207" t="s">
        <v>4406</v>
      </c>
      <c r="O250" s="202">
        <v>46002</v>
      </c>
      <c r="P250" s="202" t="s">
        <v>4407</v>
      </c>
      <c r="Q250" s="202">
        <v>45999</v>
      </c>
      <c r="R250" s="202">
        <v>46006</v>
      </c>
      <c r="S250" s="202">
        <v>46006</v>
      </c>
      <c r="T250" s="202">
        <v>46009</v>
      </c>
      <c r="U250" s="202" t="s">
        <v>4408</v>
      </c>
      <c r="V250" s="202" t="s">
        <v>4408</v>
      </c>
      <c r="W250" s="202">
        <v>46014</v>
      </c>
      <c r="X250" s="202">
        <v>46017</v>
      </c>
      <c r="Y250" s="202"/>
      <c r="Z250" s="202"/>
      <c r="AA250" s="215" t="s">
        <v>5510</v>
      </c>
      <c r="AB250" s="215" t="s">
        <v>5511</v>
      </c>
      <c r="AC250" s="215" t="s">
        <v>5512</v>
      </c>
      <c r="AD250" s="199" t="s">
        <v>4402</v>
      </c>
      <c r="AE250" s="197" t="s">
        <v>4405</v>
      </c>
      <c r="AF250" s="243" t="s">
        <v>4409</v>
      </c>
      <c r="AG250" s="243" t="s">
        <v>4409</v>
      </c>
      <c r="AH250" s="197" t="s">
        <v>4410</v>
      </c>
      <c r="AI250" s="214" t="s">
        <v>4411</v>
      </c>
      <c r="AJ250" s="207"/>
      <c r="AK250" s="316">
        <v>45986</v>
      </c>
      <c r="AL250" s="316">
        <v>45986</v>
      </c>
      <c r="AM250" s="316">
        <v>45986</v>
      </c>
      <c r="AN250" s="316">
        <v>45986</v>
      </c>
      <c r="AO250" s="316">
        <v>45986</v>
      </c>
      <c r="AP250" s="316">
        <v>45986</v>
      </c>
      <c r="AQ250" s="314"/>
      <c r="AR250" s="315" t="str">
        <f t="shared" si="16"/>
        <v>FINALIZADO</v>
      </c>
      <c r="AS250" s="207"/>
      <c r="AT250" s="207"/>
      <c r="AU250" s="220"/>
      <c r="AV250" s="207"/>
      <c r="AW250" s="207"/>
      <c r="AX250" s="228"/>
      <c r="AY250" s="207"/>
      <c r="AZ250" s="202"/>
      <c r="BA250" s="219"/>
      <c r="BB250" s="207"/>
      <c r="BC250" s="202"/>
      <c r="BD250" s="208"/>
      <c r="BE250" s="201"/>
      <c r="BF250" s="197"/>
      <c r="BG250" s="229"/>
      <c r="BH250" s="321" t="str">
        <f t="shared" si="17"/>
        <v/>
      </c>
      <c r="BI250" s="98" t="str">
        <f t="shared" si="18"/>
        <v>AA</v>
      </c>
      <c r="BJ250" s="98" t="str">
        <f t="shared" si="19"/>
        <v>NÃO</v>
      </c>
      <c r="BK250" s="230"/>
      <c r="BL250" s="230"/>
      <c r="BM250" s="230"/>
      <c r="BN250" s="230"/>
      <c r="BO250" s="230"/>
      <c r="BP250" s="230"/>
      <c r="BQ250" s="230"/>
      <c r="BR250" s="234"/>
    </row>
    <row r="251" spans="1:112" s="240" customFormat="1" ht="27" hidden="1" customHeight="1">
      <c r="A251" s="207">
        <v>247</v>
      </c>
      <c r="B251" s="197" t="s">
        <v>4396</v>
      </c>
      <c r="C251" s="207" t="s">
        <v>4427</v>
      </c>
      <c r="D251" s="207">
        <v>1</v>
      </c>
      <c r="E251" s="207" t="s">
        <v>4398</v>
      </c>
      <c r="F251" s="214" t="s">
        <v>5513</v>
      </c>
      <c r="G251" s="207" t="s">
        <v>4400</v>
      </c>
      <c r="H251" s="207" t="s">
        <v>4401</v>
      </c>
      <c r="I251" s="217" t="s">
        <v>4402</v>
      </c>
      <c r="J251" s="215" t="s">
        <v>5514</v>
      </c>
      <c r="K251" s="215" t="s">
        <v>5515</v>
      </c>
      <c r="L251" s="215" t="s">
        <v>5516</v>
      </c>
      <c r="M251" s="207" t="s">
        <v>4405</v>
      </c>
      <c r="N251" s="207" t="s">
        <v>4406</v>
      </c>
      <c r="O251" s="202">
        <v>46002</v>
      </c>
      <c r="P251" s="202" t="s">
        <v>4407</v>
      </c>
      <c r="Q251" s="202">
        <v>45999</v>
      </c>
      <c r="R251" s="202">
        <v>46006</v>
      </c>
      <c r="S251" s="202">
        <v>46006</v>
      </c>
      <c r="T251" s="202">
        <v>46009</v>
      </c>
      <c r="U251" s="202" t="s">
        <v>4408</v>
      </c>
      <c r="V251" s="202" t="s">
        <v>4408</v>
      </c>
      <c r="W251" s="202">
        <v>46014</v>
      </c>
      <c r="X251" s="202">
        <v>46017</v>
      </c>
      <c r="Y251" s="202"/>
      <c r="Z251" s="202"/>
      <c r="AA251" s="215" t="s">
        <v>5514</v>
      </c>
      <c r="AB251" s="215" t="s">
        <v>5515</v>
      </c>
      <c r="AC251" s="215" t="s">
        <v>5516</v>
      </c>
      <c r="AD251" s="217" t="s">
        <v>4402</v>
      </c>
      <c r="AE251" s="207" t="s">
        <v>4405</v>
      </c>
      <c r="AF251" s="218" t="s">
        <v>4409</v>
      </c>
      <c r="AG251" s="218" t="s">
        <v>4409</v>
      </c>
      <c r="AH251" s="207" t="s">
        <v>4410</v>
      </c>
      <c r="AI251" s="214" t="s">
        <v>4411</v>
      </c>
      <c r="AJ251" s="207"/>
      <c r="AK251" s="316">
        <v>45986</v>
      </c>
      <c r="AL251" s="316">
        <v>45986</v>
      </c>
      <c r="AM251" s="316">
        <v>45986</v>
      </c>
      <c r="AN251" s="316">
        <v>45986</v>
      </c>
      <c r="AO251" s="316">
        <v>45986</v>
      </c>
      <c r="AP251" s="316">
        <v>45986</v>
      </c>
      <c r="AQ251" s="314"/>
      <c r="AR251" s="315" t="str">
        <f t="shared" si="16"/>
        <v>FINALIZADO</v>
      </c>
      <c r="AS251" s="207"/>
      <c r="AT251" s="207"/>
      <c r="AU251" s="220"/>
      <c r="AV251" s="207"/>
      <c r="AW251" s="207"/>
      <c r="AX251" s="228"/>
      <c r="AY251" s="207"/>
      <c r="AZ251" s="202"/>
      <c r="BA251" s="219"/>
      <c r="BB251" s="207"/>
      <c r="BC251" s="202"/>
      <c r="BD251" s="208"/>
      <c r="BE251" s="202"/>
      <c r="BF251" s="207"/>
      <c r="BG251" s="229"/>
      <c r="BH251" s="321" t="str">
        <f t="shared" si="17"/>
        <v/>
      </c>
      <c r="BI251" s="98" t="str">
        <f t="shared" si="18"/>
        <v>AA</v>
      </c>
      <c r="BJ251" s="98" t="str">
        <f t="shared" si="19"/>
        <v>NÃO</v>
      </c>
      <c r="BK251" s="230"/>
      <c r="BL251" s="230"/>
      <c r="BM251" s="230"/>
      <c r="BN251" s="230"/>
      <c r="BO251" s="230"/>
      <c r="BP251" s="230"/>
      <c r="BQ251" s="230"/>
      <c r="BR251" s="234"/>
    </row>
    <row r="252" spans="1:112" s="240" customFormat="1" ht="27" hidden="1" customHeight="1">
      <c r="A252" s="207">
        <v>248</v>
      </c>
      <c r="B252" s="197" t="s">
        <v>4396</v>
      </c>
      <c r="C252" s="207" t="s">
        <v>5297</v>
      </c>
      <c r="D252" s="207">
        <v>1</v>
      </c>
      <c r="E252" s="207" t="s">
        <v>4398</v>
      </c>
      <c r="F252" s="214" t="s">
        <v>5513</v>
      </c>
      <c r="G252" s="207" t="s">
        <v>4400</v>
      </c>
      <c r="H252" s="207" t="s">
        <v>4401</v>
      </c>
      <c r="I252" s="217" t="s">
        <v>4402</v>
      </c>
      <c r="J252" s="215" t="s">
        <v>5517</v>
      </c>
      <c r="K252" s="215" t="s">
        <v>5518</v>
      </c>
      <c r="L252" s="215" t="s">
        <v>5519</v>
      </c>
      <c r="M252" s="207" t="s">
        <v>4405</v>
      </c>
      <c r="N252" s="207" t="s">
        <v>4406</v>
      </c>
      <c r="O252" s="202">
        <v>46002</v>
      </c>
      <c r="P252" s="202" t="s">
        <v>4407</v>
      </c>
      <c r="Q252" s="202">
        <v>45999</v>
      </c>
      <c r="R252" s="202">
        <v>46006</v>
      </c>
      <c r="S252" s="202">
        <v>46006</v>
      </c>
      <c r="T252" s="202">
        <v>46009</v>
      </c>
      <c r="U252" s="202" t="s">
        <v>4408</v>
      </c>
      <c r="V252" s="202" t="s">
        <v>4408</v>
      </c>
      <c r="W252" s="202">
        <v>46014</v>
      </c>
      <c r="X252" s="202">
        <v>46017</v>
      </c>
      <c r="Y252" s="202">
        <v>46017</v>
      </c>
      <c r="Z252" s="202"/>
      <c r="AA252" s="215" t="s">
        <v>5517</v>
      </c>
      <c r="AB252" s="215" t="s">
        <v>5518</v>
      </c>
      <c r="AC252" s="215" t="s">
        <v>5519</v>
      </c>
      <c r="AD252" s="241" t="s">
        <v>4402</v>
      </c>
      <c r="AE252" s="241" t="s">
        <v>4405</v>
      </c>
      <c r="AF252" s="242" t="s">
        <v>4409</v>
      </c>
      <c r="AG252" s="242" t="s">
        <v>4409</v>
      </c>
      <c r="AH252" s="241" t="s">
        <v>4410</v>
      </c>
      <c r="AI252" s="214" t="s">
        <v>4411</v>
      </c>
      <c r="AJ252" s="207"/>
      <c r="AK252" s="316">
        <v>45996</v>
      </c>
      <c r="AL252" s="316">
        <v>45996</v>
      </c>
      <c r="AM252" s="316">
        <v>45996</v>
      </c>
      <c r="AN252" s="316">
        <v>45996</v>
      </c>
      <c r="AO252" s="316">
        <v>45996</v>
      </c>
      <c r="AP252" s="316">
        <v>45996</v>
      </c>
      <c r="AQ252" s="314"/>
      <c r="AR252" s="315" t="str">
        <f t="shared" si="16"/>
        <v>FINALIZADO</v>
      </c>
      <c r="AS252" s="207"/>
      <c r="AT252" s="207"/>
      <c r="AU252" s="220"/>
      <c r="AV252" s="207"/>
      <c r="AW252" s="207"/>
      <c r="AX252" s="228"/>
      <c r="AY252" s="207"/>
      <c r="AZ252" s="202"/>
      <c r="BA252" s="219"/>
      <c r="BB252" s="207"/>
      <c r="BC252" s="202"/>
      <c r="BD252" s="208"/>
      <c r="BE252" s="239">
        <v>46017</v>
      </c>
      <c r="BF252" s="207" t="s">
        <v>4412</v>
      </c>
      <c r="BG252" s="229"/>
      <c r="BH252" s="321" t="str">
        <f t="shared" si="17"/>
        <v/>
      </c>
      <c r="BI252" s="98" t="str">
        <f t="shared" si="18"/>
        <v>AA</v>
      </c>
      <c r="BJ252" s="98" t="str">
        <f t="shared" si="19"/>
        <v>NÃO</v>
      </c>
      <c r="BK252" s="230"/>
      <c r="BL252" s="230"/>
      <c r="BM252" s="230"/>
      <c r="BN252" s="230"/>
      <c r="BO252" s="230"/>
      <c r="BP252" s="230"/>
      <c r="BQ252" s="230"/>
      <c r="BR252" s="234"/>
    </row>
    <row r="253" spans="1:112" s="240" customFormat="1" ht="27" hidden="1" customHeight="1">
      <c r="A253" s="207">
        <v>249</v>
      </c>
      <c r="B253" s="197" t="s">
        <v>4396</v>
      </c>
      <c r="C253" s="207" t="s">
        <v>4427</v>
      </c>
      <c r="D253" s="207">
        <v>1</v>
      </c>
      <c r="E253" s="207" t="s">
        <v>4398</v>
      </c>
      <c r="F253" s="214" t="s">
        <v>5520</v>
      </c>
      <c r="G253" s="207" t="s">
        <v>4400</v>
      </c>
      <c r="H253" s="207" t="s">
        <v>4401</v>
      </c>
      <c r="I253" s="217" t="s">
        <v>4536</v>
      </c>
      <c r="J253" s="255" t="s">
        <v>5521</v>
      </c>
      <c r="K253" s="215" t="s">
        <v>4398</v>
      </c>
      <c r="L253" s="215" t="s">
        <v>5522</v>
      </c>
      <c r="M253" s="207" t="s">
        <v>4405</v>
      </c>
      <c r="N253" s="207" t="s">
        <v>4406</v>
      </c>
      <c r="O253" s="202">
        <v>46002</v>
      </c>
      <c r="P253" s="202" t="s">
        <v>4407</v>
      </c>
      <c r="Q253" s="202">
        <v>45999</v>
      </c>
      <c r="R253" s="202">
        <v>46006</v>
      </c>
      <c r="S253" s="202">
        <v>46006</v>
      </c>
      <c r="T253" s="202">
        <v>46009</v>
      </c>
      <c r="U253" s="202" t="s">
        <v>4408</v>
      </c>
      <c r="V253" s="202" t="s">
        <v>4408</v>
      </c>
      <c r="W253" s="202">
        <v>46014</v>
      </c>
      <c r="X253" s="202">
        <v>46017</v>
      </c>
      <c r="Y253" s="203"/>
      <c r="Z253" s="219"/>
      <c r="AA253" s="255" t="s">
        <v>5521</v>
      </c>
      <c r="AB253" s="215" t="s">
        <v>4398</v>
      </c>
      <c r="AC253" s="215" t="s">
        <v>5522</v>
      </c>
      <c r="AD253" s="252" t="s">
        <v>4402</v>
      </c>
      <c r="AE253" s="254" t="s">
        <v>4405</v>
      </c>
      <c r="AF253" s="243" t="s">
        <v>4409</v>
      </c>
      <c r="AG253" s="243" t="s">
        <v>4409</v>
      </c>
      <c r="AH253" s="207" t="s">
        <v>4433</v>
      </c>
      <c r="AI253" s="214" t="s">
        <v>4411</v>
      </c>
      <c r="AJ253" s="207"/>
      <c r="AK253" s="316">
        <v>45988</v>
      </c>
      <c r="AL253" s="316">
        <v>45988</v>
      </c>
      <c r="AM253" s="316">
        <v>45988</v>
      </c>
      <c r="AN253" s="316">
        <v>45988</v>
      </c>
      <c r="AO253" s="316">
        <v>45988</v>
      </c>
      <c r="AP253" s="316">
        <v>45988</v>
      </c>
      <c r="AQ253" s="314"/>
      <c r="AR253" s="315" t="str">
        <f t="shared" si="16"/>
        <v>FINALIZADO</v>
      </c>
      <c r="AS253" s="207"/>
      <c r="AT253" s="219"/>
      <c r="AU253" s="220"/>
      <c r="AV253" s="207"/>
      <c r="AW253" s="207"/>
      <c r="AX253" s="228"/>
      <c r="AY253" s="219"/>
      <c r="AZ253" s="219"/>
      <c r="BA253" s="219"/>
      <c r="BB253" s="219"/>
      <c r="BC253" s="219"/>
      <c r="BD253" s="208"/>
      <c r="BE253" s="253"/>
      <c r="BF253" s="254"/>
      <c r="BG253" s="219"/>
      <c r="BH253" s="321" t="str">
        <f t="shared" si="17"/>
        <v/>
      </c>
      <c r="BI253" s="98" t="str">
        <f t="shared" si="18"/>
        <v>INDENIZAÇÃO</v>
      </c>
      <c r="BJ253" s="98" t="str">
        <f t="shared" si="19"/>
        <v>NÃO</v>
      </c>
      <c r="BK253" s="219"/>
      <c r="BL253" s="221"/>
      <c r="BM253" s="221"/>
      <c r="BN253" s="219"/>
      <c r="BO253" s="219"/>
      <c r="BP253" s="219"/>
      <c r="BQ253" s="219"/>
      <c r="BR253" s="222"/>
    </row>
    <row r="254" spans="1:112" s="240" customFormat="1" ht="27" hidden="1" customHeight="1">
      <c r="A254" s="197">
        <v>250</v>
      </c>
      <c r="B254" s="197" t="s">
        <v>4396</v>
      </c>
      <c r="C254" s="207" t="s">
        <v>4427</v>
      </c>
      <c r="D254" s="207">
        <v>1</v>
      </c>
      <c r="E254" s="250" t="s">
        <v>4398</v>
      </c>
      <c r="F254" s="214" t="s">
        <v>5523</v>
      </c>
      <c r="G254" s="207" t="s">
        <v>4400</v>
      </c>
      <c r="H254" s="207" t="s">
        <v>4401</v>
      </c>
      <c r="I254" s="217" t="s">
        <v>4402</v>
      </c>
      <c r="J254" s="215" t="s">
        <v>5524</v>
      </c>
      <c r="K254" s="215" t="s">
        <v>5525</v>
      </c>
      <c r="L254" s="215" t="s">
        <v>5526</v>
      </c>
      <c r="M254" s="207" t="s">
        <v>4405</v>
      </c>
      <c r="N254" s="207" t="s">
        <v>4442</v>
      </c>
      <c r="O254" s="202" t="s">
        <v>4409</v>
      </c>
      <c r="P254" s="202" t="s">
        <v>4409</v>
      </c>
      <c r="Q254" s="202" t="s">
        <v>4409</v>
      </c>
      <c r="R254" s="202" t="s">
        <v>4409</v>
      </c>
      <c r="S254" s="202" t="s">
        <v>4409</v>
      </c>
      <c r="T254" s="202" t="s">
        <v>4409</v>
      </c>
      <c r="U254" s="202" t="s">
        <v>4409</v>
      </c>
      <c r="V254" s="202" t="s">
        <v>4409</v>
      </c>
      <c r="W254" s="202" t="s">
        <v>4409</v>
      </c>
      <c r="X254" s="202" t="s">
        <v>4409</v>
      </c>
      <c r="Y254" s="202"/>
      <c r="Z254" s="202"/>
      <c r="AA254" s="215" t="s">
        <v>5524</v>
      </c>
      <c r="AB254" s="215" t="s">
        <v>5525</v>
      </c>
      <c r="AC254" s="215" t="s">
        <v>5526</v>
      </c>
      <c r="AD254" s="207" t="s">
        <v>4402</v>
      </c>
      <c r="AE254" s="207" t="s">
        <v>4405</v>
      </c>
      <c r="AF254" s="218">
        <v>27624.44</v>
      </c>
      <c r="AG254" s="218">
        <f>AF254+30000</f>
        <v>57624.44</v>
      </c>
      <c r="AH254" s="207" t="s">
        <v>4433</v>
      </c>
      <c r="AI254" s="214" t="s">
        <v>4411</v>
      </c>
      <c r="AJ254" s="207">
        <v>148264159</v>
      </c>
      <c r="AK254" s="316">
        <v>46269</v>
      </c>
      <c r="AL254" s="316">
        <v>46274</v>
      </c>
      <c r="AM254" s="316"/>
      <c r="AN254" s="316"/>
      <c r="AO254" s="316"/>
      <c r="AP254" s="316"/>
      <c r="AQ254" s="314"/>
      <c r="AR254" s="315" t="str">
        <f t="shared" si="16"/>
        <v>AGUARDANDO ENVIO ASSINATURA CTS</v>
      </c>
      <c r="AS254" s="207"/>
      <c r="AT254" s="207" t="s">
        <v>5527</v>
      </c>
      <c r="AU254" s="220"/>
      <c r="AV254" s="219"/>
      <c r="AW254" s="207"/>
      <c r="AX254" s="228"/>
      <c r="AY254" s="228"/>
      <c r="AZ254" s="227"/>
      <c r="BA254" s="257"/>
      <c r="BB254" s="228"/>
      <c r="BC254" s="227"/>
      <c r="BD254" s="208"/>
      <c r="BE254" s="227"/>
      <c r="BF254" s="228" t="s">
        <v>4400</v>
      </c>
      <c r="BG254" s="229"/>
      <c r="BH254" s="321" t="str">
        <f t="shared" si="17"/>
        <v/>
      </c>
      <c r="BI254" s="98" t="str">
        <f t="shared" si="18"/>
        <v>INDENIZAÇÃO</v>
      </c>
      <c r="BJ254" s="98" t="str">
        <f t="shared" si="19"/>
        <v>NÃO</v>
      </c>
      <c r="BK254" s="230"/>
      <c r="BL254" s="230"/>
      <c r="BM254" s="230"/>
      <c r="BN254" s="230"/>
      <c r="BO254" s="230"/>
      <c r="BP254" s="230"/>
      <c r="BQ254" s="230"/>
      <c r="BR254" s="234"/>
    </row>
    <row r="255" spans="1:112" s="240" customFormat="1" ht="27" hidden="1" customHeight="1">
      <c r="A255" s="197">
        <v>251</v>
      </c>
      <c r="B255" s="197" t="s">
        <v>4396</v>
      </c>
      <c r="C255" s="207" t="s">
        <v>4427</v>
      </c>
      <c r="D255" s="207">
        <v>1</v>
      </c>
      <c r="E255" s="207" t="s">
        <v>4398</v>
      </c>
      <c r="F255" s="214" t="s">
        <v>5528</v>
      </c>
      <c r="G255" s="207" t="s">
        <v>4400</v>
      </c>
      <c r="H255" s="207" t="s">
        <v>4401</v>
      </c>
      <c r="I255" s="217" t="s">
        <v>4402</v>
      </c>
      <c r="J255" s="215" t="s">
        <v>5529</v>
      </c>
      <c r="K255" s="215" t="s">
        <v>5530</v>
      </c>
      <c r="L255" s="215" t="s">
        <v>5531</v>
      </c>
      <c r="M255" s="207" t="s">
        <v>4405</v>
      </c>
      <c r="N255" s="207" t="s">
        <v>4406</v>
      </c>
      <c r="O255" s="202">
        <v>46002</v>
      </c>
      <c r="P255" s="202" t="s">
        <v>4407</v>
      </c>
      <c r="Q255" s="202">
        <v>45999</v>
      </c>
      <c r="R255" s="202">
        <v>46006</v>
      </c>
      <c r="S255" s="202">
        <v>46006</v>
      </c>
      <c r="T255" s="202">
        <v>46009</v>
      </c>
      <c r="U255" s="202" t="s">
        <v>4408</v>
      </c>
      <c r="V255" s="202" t="s">
        <v>4408</v>
      </c>
      <c r="W255" s="202">
        <v>46014</v>
      </c>
      <c r="X255" s="202">
        <v>46017</v>
      </c>
      <c r="Y255" s="202"/>
      <c r="Z255" s="202"/>
      <c r="AA255" s="215" t="s">
        <v>5529</v>
      </c>
      <c r="AB255" s="215" t="s">
        <v>5530</v>
      </c>
      <c r="AC255" s="215" t="s">
        <v>5531</v>
      </c>
      <c r="AD255" s="217" t="s">
        <v>4402</v>
      </c>
      <c r="AE255" s="207" t="s">
        <v>4405</v>
      </c>
      <c r="AF255" s="218" t="s">
        <v>4409</v>
      </c>
      <c r="AG255" s="218" t="s">
        <v>4409</v>
      </c>
      <c r="AH255" s="207" t="s">
        <v>4410</v>
      </c>
      <c r="AI255" s="214" t="s">
        <v>4411</v>
      </c>
      <c r="AJ255" s="207"/>
      <c r="AK255" s="316">
        <v>45986</v>
      </c>
      <c r="AL255" s="316">
        <v>45986</v>
      </c>
      <c r="AM255" s="316">
        <v>45986</v>
      </c>
      <c r="AN255" s="316">
        <v>45986</v>
      </c>
      <c r="AO255" s="316">
        <v>45986</v>
      </c>
      <c r="AP255" s="316">
        <v>45986</v>
      </c>
      <c r="AQ255" s="314"/>
      <c r="AR255" s="315" t="str">
        <f t="shared" si="16"/>
        <v>FINALIZADO</v>
      </c>
      <c r="AS255" s="207"/>
      <c r="AT255" s="207"/>
      <c r="AU255" s="220"/>
      <c r="AV255" s="207"/>
      <c r="AW255" s="207"/>
      <c r="AX255" s="228"/>
      <c r="AY255" s="207"/>
      <c r="AZ255" s="202"/>
      <c r="BA255" s="219"/>
      <c r="BB255" s="207"/>
      <c r="BC255" s="202"/>
      <c r="BD255" s="208"/>
      <c r="BE255" s="202"/>
      <c r="BF255" s="207"/>
      <c r="BG255" s="229"/>
      <c r="BH255" s="321" t="str">
        <f t="shared" si="17"/>
        <v/>
      </c>
      <c r="BI255" s="98" t="str">
        <f t="shared" si="18"/>
        <v>AA</v>
      </c>
      <c r="BJ255" s="98" t="str">
        <f t="shared" si="19"/>
        <v>NÃO</v>
      </c>
      <c r="BK255" s="230"/>
      <c r="BL255" s="230"/>
      <c r="BM255" s="230"/>
      <c r="BN255" s="230"/>
      <c r="BO255" s="230"/>
      <c r="BP255" s="230"/>
      <c r="BQ255" s="230"/>
      <c r="BR255" s="234"/>
    </row>
    <row r="256" spans="1:112" s="240" customFormat="1" ht="27" hidden="1" customHeight="1">
      <c r="A256" s="207">
        <v>252</v>
      </c>
      <c r="B256" s="197" t="s">
        <v>4396</v>
      </c>
      <c r="C256" s="207" t="s">
        <v>5297</v>
      </c>
      <c r="D256" s="207">
        <v>1</v>
      </c>
      <c r="E256" s="207" t="s">
        <v>4398</v>
      </c>
      <c r="F256" s="214" t="s">
        <v>5528</v>
      </c>
      <c r="G256" s="207" t="s">
        <v>4400</v>
      </c>
      <c r="H256" s="207" t="s">
        <v>4401</v>
      </c>
      <c r="I256" s="217" t="s">
        <v>4402</v>
      </c>
      <c r="J256" s="215" t="s">
        <v>5532</v>
      </c>
      <c r="K256" s="215" t="s">
        <v>5533</v>
      </c>
      <c r="L256" s="215" t="s">
        <v>5534</v>
      </c>
      <c r="M256" s="207" t="s">
        <v>4405</v>
      </c>
      <c r="N256" s="207" t="s">
        <v>4406</v>
      </c>
      <c r="O256" s="202">
        <v>45986</v>
      </c>
      <c r="P256" s="203" t="s">
        <v>4407</v>
      </c>
      <c r="Q256" s="203">
        <v>45985</v>
      </c>
      <c r="R256" s="203">
        <v>45986</v>
      </c>
      <c r="S256" s="203">
        <v>45987</v>
      </c>
      <c r="T256" s="203">
        <v>45992</v>
      </c>
      <c r="U256" s="202" t="s">
        <v>4408</v>
      </c>
      <c r="V256" s="202" t="s">
        <v>4408</v>
      </c>
      <c r="W256" s="202">
        <v>45999</v>
      </c>
      <c r="X256" s="202">
        <v>46000</v>
      </c>
      <c r="Y256" s="202">
        <v>46017</v>
      </c>
      <c r="Z256" s="207"/>
      <c r="AA256" s="215" t="s">
        <v>5532</v>
      </c>
      <c r="AB256" s="215" t="s">
        <v>5533</v>
      </c>
      <c r="AC256" s="215" t="s">
        <v>5534</v>
      </c>
      <c r="AD256" s="241" t="s">
        <v>4402</v>
      </c>
      <c r="AE256" s="241" t="s">
        <v>4405</v>
      </c>
      <c r="AF256" s="242" t="s">
        <v>4409</v>
      </c>
      <c r="AG256" s="242" t="s">
        <v>4409</v>
      </c>
      <c r="AH256" s="241" t="s">
        <v>4410</v>
      </c>
      <c r="AI256" s="214" t="s">
        <v>4411</v>
      </c>
      <c r="AJ256" s="207"/>
      <c r="AK256" s="316">
        <v>45979</v>
      </c>
      <c r="AL256" s="316">
        <v>45979</v>
      </c>
      <c r="AM256" s="316">
        <v>45979</v>
      </c>
      <c r="AN256" s="316">
        <v>45979</v>
      </c>
      <c r="AO256" s="316">
        <v>45979</v>
      </c>
      <c r="AP256" s="316">
        <v>45979</v>
      </c>
      <c r="AQ256" s="314"/>
      <c r="AR256" s="315" t="str">
        <f t="shared" si="16"/>
        <v>FINALIZADO</v>
      </c>
      <c r="AS256" s="207"/>
      <c r="AT256" s="207"/>
      <c r="AU256" s="220"/>
      <c r="AV256" s="207"/>
      <c r="AW256" s="207"/>
      <c r="AX256" s="228"/>
      <c r="AY256" s="207"/>
      <c r="AZ256" s="202"/>
      <c r="BA256" s="219"/>
      <c r="BB256" s="207"/>
      <c r="BC256" s="202"/>
      <c r="BD256" s="208"/>
      <c r="BE256" s="239">
        <v>46017</v>
      </c>
      <c r="BF256" s="207" t="s">
        <v>4412</v>
      </c>
      <c r="BG256" s="229"/>
      <c r="BH256" s="321" t="str">
        <f t="shared" si="17"/>
        <v/>
      </c>
      <c r="BI256" s="98" t="str">
        <f t="shared" si="18"/>
        <v>AA</v>
      </c>
      <c r="BJ256" s="98" t="str">
        <f t="shared" si="19"/>
        <v>NÃO</v>
      </c>
      <c r="BK256" s="230"/>
      <c r="BL256" s="230"/>
      <c r="BM256" s="230"/>
      <c r="BN256" s="230"/>
      <c r="BO256" s="230"/>
      <c r="BP256" s="230"/>
      <c r="BQ256" s="230"/>
      <c r="BR256" s="234"/>
      <c r="BS256" s="275"/>
      <c r="BT256" s="275"/>
      <c r="BU256" s="275"/>
      <c r="BV256" s="275"/>
      <c r="BW256" s="275"/>
      <c r="BX256" s="275"/>
      <c r="BY256" s="275"/>
      <c r="BZ256" s="275"/>
      <c r="CA256" s="275"/>
      <c r="CB256" s="275"/>
      <c r="CC256" s="275"/>
      <c r="CD256" s="275"/>
      <c r="CE256" s="275"/>
      <c r="CF256" s="275"/>
      <c r="CG256" s="275"/>
      <c r="CH256" s="275"/>
      <c r="CI256" s="275"/>
      <c r="CJ256" s="275"/>
      <c r="CK256" s="275"/>
      <c r="CL256" s="275"/>
      <c r="CM256" s="275"/>
      <c r="CN256" s="275"/>
      <c r="CO256" s="275"/>
      <c r="CP256" s="275"/>
      <c r="CQ256" s="275"/>
      <c r="CR256" s="275"/>
      <c r="CS256" s="275"/>
      <c r="CT256" s="275"/>
      <c r="CU256" s="275"/>
      <c r="CV256" s="275"/>
      <c r="CW256" s="275"/>
      <c r="CX256" s="275"/>
      <c r="CY256" s="275"/>
      <c r="CZ256" s="275"/>
      <c r="DA256" s="275"/>
      <c r="DB256" s="275"/>
      <c r="DC256" s="275"/>
      <c r="DD256" s="275"/>
      <c r="DE256" s="275"/>
      <c r="DF256" s="275"/>
      <c r="DG256" s="275"/>
      <c r="DH256" s="275"/>
    </row>
    <row r="257" spans="1:72" s="240" customFormat="1" ht="27" hidden="1" customHeight="1">
      <c r="A257" s="207">
        <v>253</v>
      </c>
      <c r="B257" s="197" t="s">
        <v>4396</v>
      </c>
      <c r="C257" s="207" t="s">
        <v>4427</v>
      </c>
      <c r="D257" s="207">
        <v>1</v>
      </c>
      <c r="E257" s="207" t="s">
        <v>4398</v>
      </c>
      <c r="F257" s="214" t="s">
        <v>5535</v>
      </c>
      <c r="G257" s="207" t="s">
        <v>4400</v>
      </c>
      <c r="H257" s="207" t="s">
        <v>4401</v>
      </c>
      <c r="I257" s="217" t="s">
        <v>4402</v>
      </c>
      <c r="J257" s="255" t="s">
        <v>5536</v>
      </c>
      <c r="K257" s="215" t="s">
        <v>5537</v>
      </c>
      <c r="L257" s="215" t="s">
        <v>5538</v>
      </c>
      <c r="M257" s="207" t="s">
        <v>4405</v>
      </c>
      <c r="N257" s="207" t="s">
        <v>4406</v>
      </c>
      <c r="O257" s="203">
        <v>46031</v>
      </c>
      <c r="P257" s="203" t="s">
        <v>4407</v>
      </c>
      <c r="Q257" s="203">
        <v>46030</v>
      </c>
      <c r="R257" s="203">
        <v>46031</v>
      </c>
      <c r="S257" s="203">
        <v>46036</v>
      </c>
      <c r="T257" s="203">
        <v>46045</v>
      </c>
      <c r="U257" s="203" t="s">
        <v>4408</v>
      </c>
      <c r="V257" s="203" t="s">
        <v>4408</v>
      </c>
      <c r="W257" s="202">
        <v>46055</v>
      </c>
      <c r="X257" s="202">
        <v>46056</v>
      </c>
      <c r="Y257" s="203"/>
      <c r="Z257" s="219"/>
      <c r="AA257" s="255" t="s">
        <v>5536</v>
      </c>
      <c r="AB257" s="215" t="s">
        <v>5537</v>
      </c>
      <c r="AC257" s="215" t="s">
        <v>5538</v>
      </c>
      <c r="AD257" s="252" t="s">
        <v>4402</v>
      </c>
      <c r="AE257" s="254" t="s">
        <v>4405</v>
      </c>
      <c r="AF257" s="243" t="s">
        <v>4409</v>
      </c>
      <c r="AG257" s="243" t="s">
        <v>4409</v>
      </c>
      <c r="AH257" s="197" t="s">
        <v>4410</v>
      </c>
      <c r="AI257" s="214" t="s">
        <v>4411</v>
      </c>
      <c r="AJ257" s="207"/>
      <c r="AK257" s="317"/>
      <c r="AL257" s="317"/>
      <c r="AM257" s="317"/>
      <c r="AN257" s="317"/>
      <c r="AO257" s="317"/>
      <c r="AP257" s="317"/>
      <c r="AQ257" s="314"/>
      <c r="AR257" s="315" t="str">
        <f t="shared" si="16"/>
        <v/>
      </c>
      <c r="AS257" s="207"/>
      <c r="AT257" s="219"/>
      <c r="AU257" s="220"/>
      <c r="AV257" s="207"/>
      <c r="AW257" s="207"/>
      <c r="AX257" s="228"/>
      <c r="AY257" s="219"/>
      <c r="AZ257" s="219"/>
      <c r="BA257" s="219"/>
      <c r="BB257" s="219"/>
      <c r="BC257" s="219"/>
      <c r="BD257" s="208"/>
      <c r="BE257" s="253"/>
      <c r="BF257" s="254"/>
      <c r="BG257" s="219"/>
      <c r="BH257" s="321" t="str">
        <f t="shared" si="17"/>
        <v/>
      </c>
      <c r="BI257" s="98" t="str">
        <f t="shared" si="18"/>
        <v>AA</v>
      </c>
      <c r="BJ257" s="98" t="str">
        <f t="shared" si="19"/>
        <v>NÃO</v>
      </c>
      <c r="BK257" s="219"/>
      <c r="BL257" s="221"/>
      <c r="BM257" s="221"/>
      <c r="BN257" s="219"/>
      <c r="BO257" s="219"/>
      <c r="BP257" s="219"/>
      <c r="BQ257" s="219"/>
      <c r="BR257" s="222"/>
    </row>
    <row r="258" spans="1:72" s="240" customFormat="1" ht="27" hidden="1" customHeight="1">
      <c r="A258" s="207">
        <v>254</v>
      </c>
      <c r="B258" s="197" t="s">
        <v>4396</v>
      </c>
      <c r="C258" s="207" t="s">
        <v>4427</v>
      </c>
      <c r="D258" s="207">
        <v>1</v>
      </c>
      <c r="E258" s="207" t="s">
        <v>4398</v>
      </c>
      <c r="F258" s="214" t="s">
        <v>5539</v>
      </c>
      <c r="G258" s="207" t="s">
        <v>4400</v>
      </c>
      <c r="H258" s="207" t="s">
        <v>4401</v>
      </c>
      <c r="I258" s="217" t="s">
        <v>4536</v>
      </c>
      <c r="J258" s="255" t="s">
        <v>5540</v>
      </c>
      <c r="K258" s="215" t="s">
        <v>5541</v>
      </c>
      <c r="L258" s="215" t="s">
        <v>5542</v>
      </c>
      <c r="M258" s="207" t="s">
        <v>4405</v>
      </c>
      <c r="N258" s="207" t="s">
        <v>4406</v>
      </c>
      <c r="O258" s="203">
        <v>46031</v>
      </c>
      <c r="P258" s="202" t="s">
        <v>4407</v>
      </c>
      <c r="Q258" s="203">
        <v>46030</v>
      </c>
      <c r="R258" s="203">
        <v>46031</v>
      </c>
      <c r="S258" s="203">
        <v>46036</v>
      </c>
      <c r="T258" s="203">
        <v>46045</v>
      </c>
      <c r="U258" s="203" t="s">
        <v>4408</v>
      </c>
      <c r="V258" s="203" t="s">
        <v>4408</v>
      </c>
      <c r="W258" s="202">
        <v>46055</v>
      </c>
      <c r="X258" s="202">
        <v>46063</v>
      </c>
      <c r="Y258" s="203"/>
      <c r="Z258" s="219"/>
      <c r="AA258" s="255" t="s">
        <v>5540</v>
      </c>
      <c r="AB258" s="215" t="s">
        <v>5541</v>
      </c>
      <c r="AC258" s="215" t="s">
        <v>5542</v>
      </c>
      <c r="AD258" s="233" t="s">
        <v>4402</v>
      </c>
      <c r="AE258" s="219" t="s">
        <v>4405</v>
      </c>
      <c r="AF258" s="218" t="s">
        <v>4409</v>
      </c>
      <c r="AG258" s="218" t="s">
        <v>4409</v>
      </c>
      <c r="AH258" s="207" t="s">
        <v>4433</v>
      </c>
      <c r="AI258" s="214" t="s">
        <v>4411</v>
      </c>
      <c r="AJ258" s="207"/>
      <c r="AK258" s="317"/>
      <c r="AL258" s="317"/>
      <c r="AM258" s="317"/>
      <c r="AN258" s="317"/>
      <c r="AO258" s="317"/>
      <c r="AP258" s="317"/>
      <c r="AQ258" s="314"/>
      <c r="AR258" s="315" t="str">
        <f t="shared" si="16"/>
        <v/>
      </c>
      <c r="AS258" s="207"/>
      <c r="AT258" s="219"/>
      <c r="AU258" s="220"/>
      <c r="AV258" s="207"/>
      <c r="AW258" s="207"/>
      <c r="AX258" s="228"/>
      <c r="AY258" s="219"/>
      <c r="AZ258" s="219"/>
      <c r="BA258" s="219"/>
      <c r="BB258" s="219"/>
      <c r="BC258" s="219"/>
      <c r="BD258" s="208"/>
      <c r="BE258" s="203"/>
      <c r="BF258" s="219"/>
      <c r="BG258" s="219"/>
      <c r="BH258" s="321" t="str">
        <f t="shared" si="17"/>
        <v/>
      </c>
      <c r="BI258" s="98" t="str">
        <f t="shared" si="18"/>
        <v>INDENIZAÇÃO</v>
      </c>
      <c r="BJ258" s="98" t="str">
        <f t="shared" si="19"/>
        <v>NÃO</v>
      </c>
      <c r="BK258" s="219"/>
      <c r="BL258" s="221"/>
      <c r="BM258" s="221"/>
      <c r="BN258" s="219"/>
      <c r="BO258" s="219"/>
      <c r="BP258" s="219"/>
      <c r="BQ258" s="219"/>
      <c r="BR258" s="222"/>
    </row>
    <row r="259" spans="1:72" s="240" customFormat="1" ht="27" hidden="1" customHeight="1">
      <c r="A259" s="197">
        <v>255</v>
      </c>
      <c r="B259" s="197" t="s">
        <v>4396</v>
      </c>
      <c r="C259" s="207" t="s">
        <v>4427</v>
      </c>
      <c r="D259" s="207">
        <v>1</v>
      </c>
      <c r="E259" s="207" t="s">
        <v>4398</v>
      </c>
      <c r="F259" s="214" t="s">
        <v>5543</v>
      </c>
      <c r="G259" s="207" t="s">
        <v>4400</v>
      </c>
      <c r="H259" s="207" t="s">
        <v>4401</v>
      </c>
      <c r="I259" s="217" t="s">
        <v>4402</v>
      </c>
      <c r="J259" s="215" t="s">
        <v>5544</v>
      </c>
      <c r="K259" s="215" t="s">
        <v>5545</v>
      </c>
      <c r="L259" s="215" t="s">
        <v>5546</v>
      </c>
      <c r="M259" s="207" t="s">
        <v>4405</v>
      </c>
      <c r="N259" s="207" t="s">
        <v>4406</v>
      </c>
      <c r="O259" s="202">
        <v>46002</v>
      </c>
      <c r="P259" s="202" t="s">
        <v>4407</v>
      </c>
      <c r="Q259" s="202">
        <v>45999</v>
      </c>
      <c r="R259" s="202">
        <v>46006</v>
      </c>
      <c r="S259" s="202">
        <v>46006</v>
      </c>
      <c r="T259" s="202">
        <v>46009</v>
      </c>
      <c r="U259" s="202" t="s">
        <v>4408</v>
      </c>
      <c r="V259" s="202" t="s">
        <v>4408</v>
      </c>
      <c r="W259" s="202">
        <v>46014</v>
      </c>
      <c r="X259" s="202">
        <v>46017</v>
      </c>
      <c r="Y259" s="202"/>
      <c r="Z259" s="202"/>
      <c r="AA259" s="215" t="s">
        <v>5544</v>
      </c>
      <c r="AB259" s="215" t="s">
        <v>5545</v>
      </c>
      <c r="AC259" s="215" t="s">
        <v>5546</v>
      </c>
      <c r="AD259" s="217" t="s">
        <v>4402</v>
      </c>
      <c r="AE259" s="207" t="s">
        <v>4405</v>
      </c>
      <c r="AF259" s="218" t="s">
        <v>4409</v>
      </c>
      <c r="AG259" s="218" t="s">
        <v>4409</v>
      </c>
      <c r="AH259" s="207" t="s">
        <v>4410</v>
      </c>
      <c r="AI259" s="214" t="s">
        <v>4411</v>
      </c>
      <c r="AJ259" s="207"/>
      <c r="AK259" s="316">
        <v>45986</v>
      </c>
      <c r="AL259" s="316">
        <v>45986</v>
      </c>
      <c r="AM259" s="316">
        <v>45986</v>
      </c>
      <c r="AN259" s="316">
        <v>45986</v>
      </c>
      <c r="AO259" s="316">
        <v>45986</v>
      </c>
      <c r="AP259" s="316">
        <v>45986</v>
      </c>
      <c r="AQ259" s="314"/>
      <c r="AR259" s="315" t="str">
        <f t="shared" si="16"/>
        <v>FINALIZADO</v>
      </c>
      <c r="AS259" s="207"/>
      <c r="AT259" s="207"/>
      <c r="AU259" s="220"/>
      <c r="AV259" s="207"/>
      <c r="AW259" s="207"/>
      <c r="AX259" s="228"/>
      <c r="AY259" s="207"/>
      <c r="AZ259" s="202"/>
      <c r="BA259" s="219"/>
      <c r="BB259" s="207"/>
      <c r="BC259" s="202"/>
      <c r="BD259" s="208"/>
      <c r="BE259" s="202"/>
      <c r="BF259" s="207"/>
      <c r="BG259" s="229"/>
      <c r="BH259" s="321" t="str">
        <f t="shared" si="17"/>
        <v/>
      </c>
      <c r="BI259" s="98" t="str">
        <f t="shared" si="18"/>
        <v>AA</v>
      </c>
      <c r="BJ259" s="98" t="str">
        <f t="shared" si="19"/>
        <v>NÃO</v>
      </c>
      <c r="BK259" s="230"/>
      <c r="BL259" s="230"/>
      <c r="BM259" s="230"/>
      <c r="BN259" s="230"/>
      <c r="BO259" s="230"/>
      <c r="BP259" s="230"/>
      <c r="BQ259" s="230"/>
      <c r="BR259" s="234"/>
    </row>
    <row r="260" spans="1:72" s="240" customFormat="1" ht="27" hidden="1" customHeight="1">
      <c r="A260" s="197">
        <v>256</v>
      </c>
      <c r="B260" s="197" t="s">
        <v>4396</v>
      </c>
      <c r="C260" s="207" t="s">
        <v>5297</v>
      </c>
      <c r="D260" s="207">
        <v>1</v>
      </c>
      <c r="E260" s="207" t="s">
        <v>4398</v>
      </c>
      <c r="F260" s="214" t="s">
        <v>5543</v>
      </c>
      <c r="G260" s="207" t="s">
        <v>4400</v>
      </c>
      <c r="H260" s="207" t="s">
        <v>4401</v>
      </c>
      <c r="I260" s="217" t="s">
        <v>4402</v>
      </c>
      <c r="J260" s="215" t="s">
        <v>5547</v>
      </c>
      <c r="K260" s="215" t="s">
        <v>5548</v>
      </c>
      <c r="L260" s="215" t="s">
        <v>5549</v>
      </c>
      <c r="M260" s="207" t="s">
        <v>4405</v>
      </c>
      <c r="N260" s="207" t="s">
        <v>4406</v>
      </c>
      <c r="O260" s="202">
        <v>45986</v>
      </c>
      <c r="P260" s="203" t="s">
        <v>4407</v>
      </c>
      <c r="Q260" s="203">
        <v>45985</v>
      </c>
      <c r="R260" s="203">
        <v>45986</v>
      </c>
      <c r="S260" s="203">
        <v>45987</v>
      </c>
      <c r="T260" s="203">
        <v>45992</v>
      </c>
      <c r="U260" s="202" t="s">
        <v>4408</v>
      </c>
      <c r="V260" s="202" t="s">
        <v>4408</v>
      </c>
      <c r="W260" s="202">
        <v>45999</v>
      </c>
      <c r="X260" s="202">
        <v>46001</v>
      </c>
      <c r="Y260" s="202">
        <v>46017</v>
      </c>
      <c r="Z260" s="207"/>
      <c r="AA260" s="215" t="s">
        <v>5547</v>
      </c>
      <c r="AB260" s="215" t="s">
        <v>5548</v>
      </c>
      <c r="AC260" s="215" t="s">
        <v>5549</v>
      </c>
      <c r="AD260" s="241" t="s">
        <v>4402</v>
      </c>
      <c r="AE260" s="241" t="s">
        <v>4405</v>
      </c>
      <c r="AF260" s="242" t="s">
        <v>4409</v>
      </c>
      <c r="AG260" s="242" t="s">
        <v>4409</v>
      </c>
      <c r="AH260" s="241" t="s">
        <v>4410</v>
      </c>
      <c r="AI260" s="214" t="s">
        <v>4411</v>
      </c>
      <c r="AJ260" s="207"/>
      <c r="AK260" s="316">
        <v>45979</v>
      </c>
      <c r="AL260" s="316">
        <v>45979</v>
      </c>
      <c r="AM260" s="316">
        <v>45979</v>
      </c>
      <c r="AN260" s="316">
        <v>45979</v>
      </c>
      <c r="AO260" s="316">
        <v>45979</v>
      </c>
      <c r="AP260" s="316">
        <v>45979</v>
      </c>
      <c r="AQ260" s="314"/>
      <c r="AR260" s="315" t="str">
        <f t="shared" si="16"/>
        <v>FINALIZADO</v>
      </c>
      <c r="AS260" s="207"/>
      <c r="AT260" s="207"/>
      <c r="AU260" s="220"/>
      <c r="AV260" s="207"/>
      <c r="AW260" s="207"/>
      <c r="AX260" s="228"/>
      <c r="AY260" s="207"/>
      <c r="AZ260" s="202"/>
      <c r="BA260" s="219"/>
      <c r="BB260" s="207"/>
      <c r="BC260" s="202"/>
      <c r="BD260" s="208"/>
      <c r="BE260" s="239">
        <v>46017</v>
      </c>
      <c r="BF260" s="207" t="s">
        <v>4412</v>
      </c>
      <c r="BG260" s="229"/>
      <c r="BH260" s="321" t="str">
        <f t="shared" si="17"/>
        <v/>
      </c>
      <c r="BI260" s="98" t="str">
        <f t="shared" si="18"/>
        <v>AA</v>
      </c>
      <c r="BJ260" s="98" t="str">
        <f t="shared" si="19"/>
        <v>NÃO</v>
      </c>
      <c r="BK260" s="230"/>
      <c r="BL260" s="230"/>
      <c r="BM260" s="230"/>
      <c r="BN260" s="230"/>
      <c r="BO260" s="230"/>
      <c r="BP260" s="230"/>
      <c r="BQ260" s="230"/>
      <c r="BR260" s="234"/>
    </row>
    <row r="261" spans="1:72" s="240" customFormat="1" ht="27" hidden="1" customHeight="1">
      <c r="A261" s="207">
        <v>257</v>
      </c>
      <c r="B261" s="197" t="s">
        <v>4396</v>
      </c>
      <c r="C261" s="207" t="s">
        <v>4453</v>
      </c>
      <c r="D261" s="207">
        <v>1</v>
      </c>
      <c r="E261" s="207" t="s">
        <v>4398</v>
      </c>
      <c r="F261" s="214" t="s">
        <v>5550</v>
      </c>
      <c r="G261" s="207" t="s">
        <v>4546</v>
      </c>
      <c r="H261" s="207" t="s">
        <v>4546</v>
      </c>
      <c r="I261" s="233" t="s">
        <v>4421</v>
      </c>
      <c r="J261" s="215" t="s">
        <v>5551</v>
      </c>
      <c r="K261" s="215" t="s">
        <v>5552</v>
      </c>
      <c r="L261" s="215" t="s">
        <v>5553</v>
      </c>
      <c r="M261" s="207" t="s">
        <v>4405</v>
      </c>
      <c r="N261" s="207" t="s">
        <v>4442</v>
      </c>
      <c r="O261" s="202" t="s">
        <v>4409</v>
      </c>
      <c r="P261" s="202" t="s">
        <v>4409</v>
      </c>
      <c r="Q261" s="202" t="s">
        <v>4409</v>
      </c>
      <c r="R261" s="202" t="s">
        <v>4409</v>
      </c>
      <c r="S261" s="202" t="s">
        <v>4409</v>
      </c>
      <c r="T261" s="202" t="s">
        <v>4409</v>
      </c>
      <c r="U261" s="202" t="s">
        <v>4409</v>
      </c>
      <c r="V261" s="202" t="s">
        <v>4409</v>
      </c>
      <c r="W261" s="202" t="s">
        <v>4409</v>
      </c>
      <c r="X261" s="202" t="s">
        <v>4409</v>
      </c>
      <c r="Y261" s="202"/>
      <c r="Z261" s="202"/>
      <c r="AA261" s="215" t="s">
        <v>5551</v>
      </c>
      <c r="AB261" s="214" t="s">
        <v>5552</v>
      </c>
      <c r="AC261" s="214" t="s">
        <v>5553</v>
      </c>
      <c r="AD261" s="252" t="s">
        <v>4421</v>
      </c>
      <c r="AE261" s="197" t="s">
        <v>4405</v>
      </c>
      <c r="AF261" s="243">
        <v>4819.3</v>
      </c>
      <c r="AG261" s="243">
        <v>34819.300000000003</v>
      </c>
      <c r="AH261" s="197" t="s">
        <v>4433</v>
      </c>
      <c r="AI261" s="214" t="s">
        <v>4411</v>
      </c>
      <c r="AJ261" s="207">
        <v>146042181</v>
      </c>
      <c r="AK261" s="316">
        <v>46000</v>
      </c>
      <c r="AL261" s="316">
        <v>46000</v>
      </c>
      <c r="AM261" s="316">
        <v>46000</v>
      </c>
      <c r="AN261" s="316">
        <v>46000</v>
      </c>
      <c r="AO261" s="316">
        <v>46000</v>
      </c>
      <c r="AP261" s="316">
        <v>46000</v>
      </c>
      <c r="AQ261" s="314"/>
      <c r="AR261" s="315" t="str">
        <f t="shared" si="16"/>
        <v>FINALIZADO</v>
      </c>
      <c r="AS261" s="207" t="s">
        <v>4423</v>
      </c>
      <c r="AT261" s="207"/>
      <c r="AU261" s="220" t="s">
        <v>5554</v>
      </c>
      <c r="AV261" s="207" t="s">
        <v>4425</v>
      </c>
      <c r="AW261" s="207" t="s">
        <v>4425</v>
      </c>
      <c r="AX261" s="250" t="s">
        <v>4425</v>
      </c>
      <c r="AY261" s="207" t="s">
        <v>4425</v>
      </c>
      <c r="AZ261" s="202">
        <v>46014</v>
      </c>
      <c r="BA261" s="219" t="s">
        <v>4425</v>
      </c>
      <c r="BB261" s="207" t="s">
        <v>4425</v>
      </c>
      <c r="BC261" s="202">
        <v>46021</v>
      </c>
      <c r="BD261" s="227">
        <v>46021</v>
      </c>
      <c r="BE261" s="209">
        <v>46017</v>
      </c>
      <c r="BF261" s="197" t="s">
        <v>4762</v>
      </c>
      <c r="BG261" s="229" t="s">
        <v>4425</v>
      </c>
      <c r="BH261" s="321">
        <f t="shared" si="17"/>
        <v>21</v>
      </c>
      <c r="BI261" s="98" t="str">
        <f t="shared" si="18"/>
        <v>INDENIZAÇÃO</v>
      </c>
      <c r="BJ261" s="98" t="str">
        <f t="shared" si="19"/>
        <v>NÃO</v>
      </c>
      <c r="BK261" s="230" t="s">
        <v>4437</v>
      </c>
      <c r="BL261" s="230" t="s">
        <v>4437</v>
      </c>
      <c r="BM261" s="230" t="s">
        <v>4437</v>
      </c>
      <c r="BN261" s="207" t="s">
        <v>4425</v>
      </c>
      <c r="BO261" s="207" t="s">
        <v>4425</v>
      </c>
      <c r="BP261" s="202">
        <v>46205</v>
      </c>
      <c r="BQ261" s="207" t="s">
        <v>4425</v>
      </c>
      <c r="BR261" s="232" t="s">
        <v>4435</v>
      </c>
    </row>
    <row r="262" spans="1:72" s="240" customFormat="1" ht="27" hidden="1" customHeight="1">
      <c r="A262" s="207">
        <v>258</v>
      </c>
      <c r="B262" s="197" t="s">
        <v>4396</v>
      </c>
      <c r="C262" s="207" t="s">
        <v>4427</v>
      </c>
      <c r="D262" s="207">
        <v>1</v>
      </c>
      <c r="E262" s="207" t="s">
        <v>4398</v>
      </c>
      <c r="F262" s="214" t="s">
        <v>5550</v>
      </c>
      <c r="G262" s="207" t="s">
        <v>4400</v>
      </c>
      <c r="H262" s="207" t="s">
        <v>4401</v>
      </c>
      <c r="I262" s="217" t="s">
        <v>4402</v>
      </c>
      <c r="J262" s="215" t="s">
        <v>5555</v>
      </c>
      <c r="K262" s="215" t="s">
        <v>5556</v>
      </c>
      <c r="L262" s="215" t="s">
        <v>5557</v>
      </c>
      <c r="M262" s="207" t="s">
        <v>4405</v>
      </c>
      <c r="N262" s="207" t="s">
        <v>4442</v>
      </c>
      <c r="O262" s="202" t="s">
        <v>4409</v>
      </c>
      <c r="P262" s="202" t="s">
        <v>4409</v>
      </c>
      <c r="Q262" s="202" t="s">
        <v>4409</v>
      </c>
      <c r="R262" s="202" t="s">
        <v>4409</v>
      </c>
      <c r="S262" s="202" t="s">
        <v>4409</v>
      </c>
      <c r="T262" s="202" t="s">
        <v>4409</v>
      </c>
      <c r="U262" s="202" t="s">
        <v>4409</v>
      </c>
      <c r="V262" s="202" t="s">
        <v>4409</v>
      </c>
      <c r="W262" s="202" t="s">
        <v>4409</v>
      </c>
      <c r="X262" s="202" t="s">
        <v>4409</v>
      </c>
      <c r="Y262" s="202"/>
      <c r="Z262" s="202"/>
      <c r="AA262" s="215" t="s">
        <v>5555</v>
      </c>
      <c r="AB262" s="214" t="s">
        <v>5556</v>
      </c>
      <c r="AC262" s="214" t="s">
        <v>5557</v>
      </c>
      <c r="AD262" s="207" t="s">
        <v>4402</v>
      </c>
      <c r="AE262" s="207" t="s">
        <v>4405</v>
      </c>
      <c r="AF262" s="218">
        <v>87857.51</v>
      </c>
      <c r="AG262" s="218">
        <v>87857.51</v>
      </c>
      <c r="AH262" s="207" t="s">
        <v>4433</v>
      </c>
      <c r="AI262" s="214" t="s">
        <v>4411</v>
      </c>
      <c r="AJ262" s="207">
        <v>148264241</v>
      </c>
      <c r="AK262" s="316">
        <v>46045</v>
      </c>
      <c r="AL262" s="316">
        <v>46045</v>
      </c>
      <c r="AM262" s="316">
        <v>46045</v>
      </c>
      <c r="AN262" s="316">
        <v>46045</v>
      </c>
      <c r="AO262" s="316">
        <v>46045</v>
      </c>
      <c r="AP262" s="316">
        <v>46045</v>
      </c>
      <c r="AQ262" s="314"/>
      <c r="AR262" s="315" t="str">
        <f t="shared" ref="AR262:AR325" si="20">IF(AQ262="SIM","AGUARDANDO CORREÇÃO",IF(AP262&lt;&gt;"","FINALIZADO",IF(AO262&lt;&gt;"","AGUARDANDO ENVIO DTS",IF(AN262&lt;&gt;"","AGUARDANDO ASSINATURA GAB",IF(AM262&lt;&gt;"","AGUARDANDO ASSINATURA CTS",IF(AL262&lt;&gt;"","AGUARDANDO ENVIO ASSINATURA CTS",IF(AK262&lt;&gt;"","AGUARDANDO CONFERÊNCIA","")))))))</f>
        <v>FINALIZADO</v>
      </c>
      <c r="AS262" s="207" t="s">
        <v>4423</v>
      </c>
      <c r="AT262" s="207"/>
      <c r="AU262" s="220" t="s">
        <v>5558</v>
      </c>
      <c r="AV262" s="207" t="s">
        <v>4425</v>
      </c>
      <c r="AW262" s="207" t="s">
        <v>4425</v>
      </c>
      <c r="AX262" s="207" t="s">
        <v>4425</v>
      </c>
      <c r="AY262" s="207" t="s">
        <v>4425</v>
      </c>
      <c r="AZ262" s="202">
        <v>46170</v>
      </c>
      <c r="BA262" s="207" t="s">
        <v>4425</v>
      </c>
      <c r="BB262" s="207" t="s">
        <v>4425</v>
      </c>
      <c r="BC262" s="202">
        <v>46182</v>
      </c>
      <c r="BD262" s="227">
        <v>46182</v>
      </c>
      <c r="BE262" s="235" t="s">
        <v>4435</v>
      </c>
      <c r="BF262" s="236" t="s">
        <v>4436</v>
      </c>
      <c r="BG262" s="237" t="s">
        <v>4425</v>
      </c>
      <c r="BH262" s="321">
        <f t="shared" ref="BH262:BH325" si="21">IFERROR(IF(BD262-KI262=0,"",BD262-AK262),"")</f>
        <v>137</v>
      </c>
      <c r="BI262" s="98" t="str">
        <f t="shared" ref="BI262:BI325" si="22">IF(AND(AH262&lt;&gt;"SIM",AH262="UH"),"AA","INDENIZAÇÃO")</f>
        <v>INDENIZAÇÃO</v>
      </c>
      <c r="BJ262" s="98" t="str">
        <f t="shared" ref="BJ262:BJ325" si="23">IF(AND(BD262&lt;&gt;"AGUARDANDO",BD262&lt;&gt;"",N262="AUXÍLIO ALUGUEL ATÉ INDENIZAÇÃO"),"SIM","NÃO")</f>
        <v>NÃO</v>
      </c>
      <c r="BK262" s="238" t="s">
        <v>4437</v>
      </c>
      <c r="BL262" s="238" t="s">
        <v>4437</v>
      </c>
      <c r="BM262" s="238" t="s">
        <v>4437</v>
      </c>
      <c r="BN262" s="207" t="s">
        <v>4425</v>
      </c>
      <c r="BO262" s="257" t="s">
        <v>4435</v>
      </c>
      <c r="BP262" s="265"/>
      <c r="BQ262" s="265"/>
      <c r="BR262" s="231"/>
      <c r="BS262" s="223"/>
    </row>
    <row r="263" spans="1:72" s="240" customFormat="1" ht="27" hidden="1" customHeight="1">
      <c r="A263" s="207">
        <v>259</v>
      </c>
      <c r="B263" s="197" t="s">
        <v>4396</v>
      </c>
      <c r="C263" s="207" t="s">
        <v>4427</v>
      </c>
      <c r="D263" s="207">
        <v>1</v>
      </c>
      <c r="E263" s="207" t="s">
        <v>4398</v>
      </c>
      <c r="F263" s="214" t="s">
        <v>5559</v>
      </c>
      <c r="G263" s="207" t="s">
        <v>4400</v>
      </c>
      <c r="H263" s="207" t="s">
        <v>4583</v>
      </c>
      <c r="I263" s="249" t="s">
        <v>4402</v>
      </c>
      <c r="J263" s="242" t="s">
        <v>5560</v>
      </c>
      <c r="K263" s="215" t="s">
        <v>5561</v>
      </c>
      <c r="L263" s="215" t="s">
        <v>5562</v>
      </c>
      <c r="M263" s="207" t="s">
        <v>4405</v>
      </c>
      <c r="N263" s="207" t="s">
        <v>4442</v>
      </c>
      <c r="O263" s="202" t="s">
        <v>4409</v>
      </c>
      <c r="P263" s="202" t="s">
        <v>4409</v>
      </c>
      <c r="Q263" s="202" t="s">
        <v>4409</v>
      </c>
      <c r="R263" s="202" t="s">
        <v>4409</v>
      </c>
      <c r="S263" s="202" t="s">
        <v>4409</v>
      </c>
      <c r="T263" s="202" t="s">
        <v>4409</v>
      </c>
      <c r="U263" s="202" t="s">
        <v>4409</v>
      </c>
      <c r="V263" s="202" t="s">
        <v>4409</v>
      </c>
      <c r="W263" s="202" t="s">
        <v>4409</v>
      </c>
      <c r="X263" s="202" t="s">
        <v>4409</v>
      </c>
      <c r="Y263" s="202"/>
      <c r="Z263" s="202"/>
      <c r="AA263" s="242" t="s">
        <v>5560</v>
      </c>
      <c r="AB263" s="215" t="s">
        <v>5561</v>
      </c>
      <c r="AC263" s="215" t="s">
        <v>5562</v>
      </c>
      <c r="AD263" s="207" t="s">
        <v>4402</v>
      </c>
      <c r="AE263" s="207" t="s">
        <v>4405</v>
      </c>
      <c r="AF263" s="218">
        <v>65063.06</v>
      </c>
      <c r="AG263" s="218">
        <v>65063.06</v>
      </c>
      <c r="AH263" s="207" t="s">
        <v>4433</v>
      </c>
      <c r="AI263" s="214" t="s">
        <v>4411</v>
      </c>
      <c r="AJ263" s="207">
        <v>150959327</v>
      </c>
      <c r="AK263" s="316">
        <v>46076</v>
      </c>
      <c r="AL263" s="316">
        <v>46076</v>
      </c>
      <c r="AM263" s="316">
        <v>46076</v>
      </c>
      <c r="AN263" s="316">
        <v>46076</v>
      </c>
      <c r="AO263" s="316">
        <v>46076</v>
      </c>
      <c r="AP263" s="316">
        <v>46076</v>
      </c>
      <c r="AQ263" s="314"/>
      <c r="AR263" s="315" t="str">
        <f t="shared" si="20"/>
        <v>FINALIZADO</v>
      </c>
      <c r="AS263" s="207" t="s">
        <v>4423</v>
      </c>
      <c r="AT263" s="207"/>
      <c r="AU263" s="220" t="s">
        <v>5563</v>
      </c>
      <c r="AV263" s="207" t="s">
        <v>4425</v>
      </c>
      <c r="AW263" s="207" t="s">
        <v>4425</v>
      </c>
      <c r="AX263" s="250" t="s">
        <v>4425</v>
      </c>
      <c r="AY263" s="207" t="s">
        <v>4425</v>
      </c>
      <c r="AZ263" s="202">
        <v>46118</v>
      </c>
      <c r="BA263" s="207" t="s">
        <v>4425</v>
      </c>
      <c r="BB263" s="207" t="s">
        <v>4425</v>
      </c>
      <c r="BC263" s="202">
        <v>46122</v>
      </c>
      <c r="BD263" s="227">
        <v>46122</v>
      </c>
      <c r="BE263" s="244" t="s">
        <v>4435</v>
      </c>
      <c r="BF263" s="228" t="s">
        <v>4436</v>
      </c>
      <c r="BG263" s="229" t="s">
        <v>4425</v>
      </c>
      <c r="BH263" s="321">
        <f t="shared" si="21"/>
        <v>46</v>
      </c>
      <c r="BI263" s="98" t="str">
        <f t="shared" si="22"/>
        <v>INDENIZAÇÃO</v>
      </c>
      <c r="BJ263" s="98" t="str">
        <f t="shared" si="23"/>
        <v>NÃO</v>
      </c>
      <c r="BK263" s="219" t="s">
        <v>4437</v>
      </c>
      <c r="BL263" s="219" t="s">
        <v>4437</v>
      </c>
      <c r="BM263" s="219" t="s">
        <v>4437</v>
      </c>
      <c r="BN263" s="207" t="s">
        <v>4425</v>
      </c>
      <c r="BO263" s="257" t="s">
        <v>4435</v>
      </c>
      <c r="BP263" s="257"/>
      <c r="BQ263" s="257"/>
      <c r="BR263" s="258"/>
    </row>
    <row r="264" spans="1:72" s="240" customFormat="1" ht="27" hidden="1" customHeight="1">
      <c r="A264" s="197">
        <v>260</v>
      </c>
      <c r="B264" s="197" t="s">
        <v>4396</v>
      </c>
      <c r="C264" s="207" t="s">
        <v>4453</v>
      </c>
      <c r="D264" s="207">
        <v>1</v>
      </c>
      <c r="E264" s="207" t="s">
        <v>4398</v>
      </c>
      <c r="F264" s="214" t="s">
        <v>5559</v>
      </c>
      <c r="G264" s="207" t="s">
        <v>4400</v>
      </c>
      <c r="H264" s="207" t="s">
        <v>4401</v>
      </c>
      <c r="I264" s="217" t="s">
        <v>4402</v>
      </c>
      <c r="J264" s="242" t="s">
        <v>5564</v>
      </c>
      <c r="K264" s="215" t="s">
        <v>5565</v>
      </c>
      <c r="L264" s="215" t="s">
        <v>5566</v>
      </c>
      <c r="M264" s="207" t="s">
        <v>4405</v>
      </c>
      <c r="N264" s="207" t="s">
        <v>4406</v>
      </c>
      <c r="O264" s="202">
        <v>45986</v>
      </c>
      <c r="P264" s="203" t="s">
        <v>4407</v>
      </c>
      <c r="Q264" s="203">
        <v>45985</v>
      </c>
      <c r="R264" s="203">
        <v>45986</v>
      </c>
      <c r="S264" s="203">
        <v>45987</v>
      </c>
      <c r="T264" s="203">
        <v>45992</v>
      </c>
      <c r="U264" s="202" t="s">
        <v>4408</v>
      </c>
      <c r="V264" s="202" t="s">
        <v>4408</v>
      </c>
      <c r="W264" s="202">
        <v>45999</v>
      </c>
      <c r="X264" s="202">
        <v>46000</v>
      </c>
      <c r="Y264" s="202">
        <v>46017</v>
      </c>
      <c r="Z264" s="207"/>
      <c r="AA264" s="242" t="s">
        <v>5564</v>
      </c>
      <c r="AB264" s="215" t="s">
        <v>5565</v>
      </c>
      <c r="AC264" s="215" t="s">
        <v>5566</v>
      </c>
      <c r="AD264" s="241" t="s">
        <v>4402</v>
      </c>
      <c r="AE264" s="241" t="s">
        <v>4405</v>
      </c>
      <c r="AF264" s="242" t="s">
        <v>4409</v>
      </c>
      <c r="AG264" s="242" t="s">
        <v>4409</v>
      </c>
      <c r="AH264" s="241" t="s">
        <v>4410</v>
      </c>
      <c r="AI264" s="214" t="s">
        <v>4411</v>
      </c>
      <c r="AJ264" s="207"/>
      <c r="AK264" s="316">
        <v>45979</v>
      </c>
      <c r="AL264" s="316">
        <v>45979</v>
      </c>
      <c r="AM264" s="316">
        <v>45979</v>
      </c>
      <c r="AN264" s="316">
        <v>45979</v>
      </c>
      <c r="AO264" s="316">
        <v>45979</v>
      </c>
      <c r="AP264" s="316">
        <v>45979</v>
      </c>
      <c r="AQ264" s="314"/>
      <c r="AR264" s="315" t="str">
        <f t="shared" si="20"/>
        <v>FINALIZADO</v>
      </c>
      <c r="AS264" s="207"/>
      <c r="AT264" s="207"/>
      <c r="AU264" s="220"/>
      <c r="AV264" s="207"/>
      <c r="AW264" s="207"/>
      <c r="AX264" s="228"/>
      <c r="AY264" s="207"/>
      <c r="AZ264" s="202"/>
      <c r="BA264" s="219"/>
      <c r="BB264" s="207"/>
      <c r="BC264" s="202"/>
      <c r="BD264" s="208"/>
      <c r="BE264" s="239">
        <v>46017</v>
      </c>
      <c r="BF264" s="207" t="s">
        <v>4412</v>
      </c>
      <c r="BG264" s="229"/>
      <c r="BH264" s="321" t="str">
        <f t="shared" si="21"/>
        <v/>
      </c>
      <c r="BI264" s="98" t="str">
        <f t="shared" si="22"/>
        <v>AA</v>
      </c>
      <c r="BJ264" s="98" t="str">
        <f t="shared" si="23"/>
        <v>NÃO</v>
      </c>
      <c r="BK264" s="230"/>
      <c r="BL264" s="230"/>
      <c r="BM264" s="230"/>
      <c r="BN264" s="230"/>
      <c r="BO264" s="230"/>
      <c r="BP264" s="230"/>
      <c r="BQ264" s="230"/>
      <c r="BR264" s="234"/>
      <c r="BS264" s="223"/>
      <c r="BT264" s="223"/>
    </row>
    <row r="265" spans="1:72" s="240" customFormat="1" ht="27" hidden="1" customHeight="1">
      <c r="A265" s="197">
        <v>261</v>
      </c>
      <c r="B265" s="197" t="s">
        <v>4396</v>
      </c>
      <c r="C265" s="207" t="s">
        <v>4427</v>
      </c>
      <c r="D265" s="207">
        <v>1</v>
      </c>
      <c r="E265" s="207" t="s">
        <v>4398</v>
      </c>
      <c r="F265" s="214" t="s">
        <v>5567</v>
      </c>
      <c r="G265" s="207" t="s">
        <v>4400</v>
      </c>
      <c r="H265" s="207" t="s">
        <v>4401</v>
      </c>
      <c r="I265" s="217" t="s">
        <v>4402</v>
      </c>
      <c r="J265" s="242" t="s">
        <v>5568</v>
      </c>
      <c r="K265" s="215" t="s">
        <v>5569</v>
      </c>
      <c r="L265" s="215" t="s">
        <v>5570</v>
      </c>
      <c r="M265" s="207" t="s">
        <v>4405</v>
      </c>
      <c r="N265" s="207" t="s">
        <v>4442</v>
      </c>
      <c r="O265" s="202" t="s">
        <v>4409</v>
      </c>
      <c r="P265" s="202" t="s">
        <v>4409</v>
      </c>
      <c r="Q265" s="202" t="s">
        <v>4409</v>
      </c>
      <c r="R265" s="202" t="s">
        <v>4409</v>
      </c>
      <c r="S265" s="202" t="s">
        <v>4409</v>
      </c>
      <c r="T265" s="202" t="s">
        <v>4409</v>
      </c>
      <c r="U265" s="202" t="s">
        <v>4409</v>
      </c>
      <c r="V265" s="202" t="s">
        <v>4409</v>
      </c>
      <c r="W265" s="202" t="s">
        <v>4409</v>
      </c>
      <c r="X265" s="202" t="s">
        <v>4409</v>
      </c>
      <c r="Y265" s="202"/>
      <c r="Z265" s="207"/>
      <c r="AA265" s="242" t="s">
        <v>5568</v>
      </c>
      <c r="AB265" s="246" t="s">
        <v>5569</v>
      </c>
      <c r="AC265" s="246" t="s">
        <v>5570</v>
      </c>
      <c r="AD265" s="197" t="s">
        <v>4402</v>
      </c>
      <c r="AE265" s="197" t="s">
        <v>4405</v>
      </c>
      <c r="AF265" s="243">
        <v>32310.01</v>
      </c>
      <c r="AG265" s="243">
        <v>60000</v>
      </c>
      <c r="AH265" s="197" t="s">
        <v>4433</v>
      </c>
      <c r="AI265" s="214" t="s">
        <v>4411</v>
      </c>
      <c r="AJ265" s="207">
        <v>148264320</v>
      </c>
      <c r="AK265" s="316">
        <v>46059</v>
      </c>
      <c r="AL265" s="316">
        <v>46059</v>
      </c>
      <c r="AM265" s="316">
        <v>46059</v>
      </c>
      <c r="AN265" s="316">
        <v>46059</v>
      </c>
      <c r="AO265" s="316">
        <v>46059</v>
      </c>
      <c r="AP265" s="316">
        <v>46059</v>
      </c>
      <c r="AQ265" s="314"/>
      <c r="AR265" s="315" t="str">
        <f t="shared" si="20"/>
        <v>FINALIZADO</v>
      </c>
      <c r="AS265" s="207" t="s">
        <v>4423</v>
      </c>
      <c r="AT265" s="207"/>
      <c r="AU265" s="220" t="s">
        <v>5571</v>
      </c>
      <c r="AV265" s="207" t="s">
        <v>4425</v>
      </c>
      <c r="AW265" s="207" t="s">
        <v>4425</v>
      </c>
      <c r="AX265" s="250" t="s">
        <v>4425</v>
      </c>
      <c r="AY265" s="207" t="s">
        <v>4425</v>
      </c>
      <c r="AZ265" s="202">
        <v>46118</v>
      </c>
      <c r="BA265" s="207" t="s">
        <v>4425</v>
      </c>
      <c r="BB265" s="207" t="s">
        <v>4425</v>
      </c>
      <c r="BC265" s="202">
        <v>46122</v>
      </c>
      <c r="BD265" s="227">
        <v>46122</v>
      </c>
      <c r="BE265" s="244" t="s">
        <v>4435</v>
      </c>
      <c r="BF265" s="245" t="s">
        <v>4436</v>
      </c>
      <c r="BG265" s="229" t="s">
        <v>4425</v>
      </c>
      <c r="BH265" s="321">
        <f t="shared" si="21"/>
        <v>63</v>
      </c>
      <c r="BI265" s="98" t="str">
        <f t="shared" si="22"/>
        <v>INDENIZAÇÃO</v>
      </c>
      <c r="BJ265" s="98" t="str">
        <f t="shared" si="23"/>
        <v>NÃO</v>
      </c>
      <c r="BK265" s="219" t="s">
        <v>4437</v>
      </c>
      <c r="BL265" s="219" t="s">
        <v>4437</v>
      </c>
      <c r="BM265" s="219" t="s">
        <v>4437</v>
      </c>
      <c r="BN265" s="207" t="s">
        <v>4425</v>
      </c>
      <c r="BO265" s="257" t="s">
        <v>4435</v>
      </c>
      <c r="BP265" s="257"/>
      <c r="BQ265" s="257"/>
      <c r="BR265" s="258"/>
    </row>
    <row r="266" spans="1:72" s="240" customFormat="1" ht="27" hidden="1" customHeight="1">
      <c r="A266" s="207">
        <v>262</v>
      </c>
      <c r="B266" s="197" t="s">
        <v>4396</v>
      </c>
      <c r="C266" s="207" t="s">
        <v>4453</v>
      </c>
      <c r="D266" s="207">
        <v>1</v>
      </c>
      <c r="E266" s="207" t="s">
        <v>4398</v>
      </c>
      <c r="F266" s="214" t="s">
        <v>5567</v>
      </c>
      <c r="G266" s="207" t="s">
        <v>4400</v>
      </c>
      <c r="H266" s="207" t="s">
        <v>4401</v>
      </c>
      <c r="I266" s="217" t="s">
        <v>4402</v>
      </c>
      <c r="J266" s="215" t="s">
        <v>5572</v>
      </c>
      <c r="K266" s="215" t="s">
        <v>5573</v>
      </c>
      <c r="L266" s="215" t="s">
        <v>5574</v>
      </c>
      <c r="M266" s="207" t="s">
        <v>4405</v>
      </c>
      <c r="N266" s="207" t="s">
        <v>4406</v>
      </c>
      <c r="O266" s="202">
        <v>45986</v>
      </c>
      <c r="P266" s="203" t="s">
        <v>4407</v>
      </c>
      <c r="Q266" s="203">
        <v>45985</v>
      </c>
      <c r="R266" s="203">
        <v>45986</v>
      </c>
      <c r="S266" s="203">
        <v>45987</v>
      </c>
      <c r="T266" s="203">
        <v>45992</v>
      </c>
      <c r="U266" s="202" t="s">
        <v>4408</v>
      </c>
      <c r="V266" s="202" t="s">
        <v>4408</v>
      </c>
      <c r="W266" s="202">
        <v>45999</v>
      </c>
      <c r="X266" s="202">
        <v>46000</v>
      </c>
      <c r="Y266" s="202">
        <v>46017</v>
      </c>
      <c r="Z266" s="207"/>
      <c r="AA266" s="215" t="s">
        <v>5572</v>
      </c>
      <c r="AB266" s="215" t="s">
        <v>5573</v>
      </c>
      <c r="AC266" s="215" t="s">
        <v>5574</v>
      </c>
      <c r="AD266" s="241" t="s">
        <v>4402</v>
      </c>
      <c r="AE266" s="241" t="s">
        <v>4405</v>
      </c>
      <c r="AF266" s="242" t="s">
        <v>4409</v>
      </c>
      <c r="AG266" s="242" t="s">
        <v>4409</v>
      </c>
      <c r="AH266" s="241" t="s">
        <v>4410</v>
      </c>
      <c r="AI266" s="214" t="s">
        <v>4411</v>
      </c>
      <c r="AJ266" s="207"/>
      <c r="AK266" s="316">
        <v>45979</v>
      </c>
      <c r="AL266" s="316">
        <v>45979</v>
      </c>
      <c r="AM266" s="316">
        <v>45979</v>
      </c>
      <c r="AN266" s="316">
        <v>45979</v>
      </c>
      <c r="AO266" s="316">
        <v>45979</v>
      </c>
      <c r="AP266" s="316">
        <v>45979</v>
      </c>
      <c r="AQ266" s="314"/>
      <c r="AR266" s="315" t="str">
        <f t="shared" si="20"/>
        <v>FINALIZADO</v>
      </c>
      <c r="AS266" s="207"/>
      <c r="AT266" s="207"/>
      <c r="AU266" s="220"/>
      <c r="AV266" s="207"/>
      <c r="AW266" s="207"/>
      <c r="AX266" s="228"/>
      <c r="AY266" s="207"/>
      <c r="AZ266" s="202"/>
      <c r="BA266" s="219"/>
      <c r="BB266" s="207"/>
      <c r="BC266" s="202"/>
      <c r="BD266" s="208"/>
      <c r="BE266" s="239">
        <v>46017</v>
      </c>
      <c r="BF266" s="207" t="s">
        <v>4412</v>
      </c>
      <c r="BG266" s="229"/>
      <c r="BH266" s="321" t="str">
        <f t="shared" si="21"/>
        <v/>
      </c>
      <c r="BI266" s="98" t="str">
        <f t="shared" si="22"/>
        <v>AA</v>
      </c>
      <c r="BJ266" s="98" t="str">
        <f t="shared" si="23"/>
        <v>NÃO</v>
      </c>
      <c r="BK266" s="230"/>
      <c r="BL266" s="230"/>
      <c r="BM266" s="230"/>
      <c r="BN266" s="230"/>
      <c r="BO266" s="230"/>
      <c r="BP266" s="230"/>
      <c r="BQ266" s="230"/>
      <c r="BR266" s="234"/>
      <c r="BS266" s="223"/>
      <c r="BT266" s="223"/>
    </row>
    <row r="267" spans="1:72" s="240" customFormat="1" ht="27" hidden="1" customHeight="1">
      <c r="A267" s="207">
        <v>263</v>
      </c>
      <c r="B267" s="197" t="s">
        <v>4396</v>
      </c>
      <c r="C267" s="207" t="s">
        <v>4453</v>
      </c>
      <c r="D267" s="207">
        <v>1</v>
      </c>
      <c r="E267" s="207" t="s">
        <v>4398</v>
      </c>
      <c r="F267" s="214" t="s">
        <v>5575</v>
      </c>
      <c r="G267" s="207" t="s">
        <v>4400</v>
      </c>
      <c r="H267" s="207" t="s">
        <v>4401</v>
      </c>
      <c r="I267" s="217" t="s">
        <v>4402</v>
      </c>
      <c r="J267" s="242" t="s">
        <v>5576</v>
      </c>
      <c r="K267" s="215" t="s">
        <v>4398</v>
      </c>
      <c r="L267" s="215" t="s">
        <v>5577</v>
      </c>
      <c r="M267" s="207" t="s">
        <v>4405</v>
      </c>
      <c r="N267" s="207" t="s">
        <v>4406</v>
      </c>
      <c r="O267" s="202">
        <v>45986</v>
      </c>
      <c r="P267" s="203" t="s">
        <v>4407</v>
      </c>
      <c r="Q267" s="203">
        <v>45985</v>
      </c>
      <c r="R267" s="203">
        <v>45986</v>
      </c>
      <c r="S267" s="203">
        <v>45987</v>
      </c>
      <c r="T267" s="203">
        <v>45992</v>
      </c>
      <c r="U267" s="202" t="s">
        <v>4408</v>
      </c>
      <c r="V267" s="202" t="s">
        <v>4408</v>
      </c>
      <c r="W267" s="202">
        <v>45999</v>
      </c>
      <c r="X267" s="202">
        <v>46000</v>
      </c>
      <c r="Y267" s="202">
        <v>46017</v>
      </c>
      <c r="Z267" s="207"/>
      <c r="AA267" s="242" t="s">
        <v>5576</v>
      </c>
      <c r="AB267" s="215" t="s">
        <v>4398</v>
      </c>
      <c r="AC267" s="215" t="s">
        <v>5577</v>
      </c>
      <c r="AD267" s="204" t="s">
        <v>4402</v>
      </c>
      <c r="AE267" s="204" t="s">
        <v>4405</v>
      </c>
      <c r="AF267" s="205" t="s">
        <v>4409</v>
      </c>
      <c r="AG267" s="205" t="s">
        <v>4409</v>
      </c>
      <c r="AH267" s="204" t="s">
        <v>4410</v>
      </c>
      <c r="AI267" s="214" t="s">
        <v>4411</v>
      </c>
      <c r="AJ267" s="207"/>
      <c r="AK267" s="316">
        <v>45979</v>
      </c>
      <c r="AL267" s="316">
        <v>45979</v>
      </c>
      <c r="AM267" s="316">
        <v>45979</v>
      </c>
      <c r="AN267" s="316">
        <v>45979</v>
      </c>
      <c r="AO267" s="316">
        <v>45979</v>
      </c>
      <c r="AP267" s="316">
        <v>45979</v>
      </c>
      <c r="AQ267" s="314"/>
      <c r="AR267" s="315" t="str">
        <f t="shared" si="20"/>
        <v>FINALIZADO</v>
      </c>
      <c r="AS267" s="207"/>
      <c r="AT267" s="207"/>
      <c r="AU267" s="220"/>
      <c r="AV267" s="207"/>
      <c r="AW267" s="207"/>
      <c r="AX267" s="228"/>
      <c r="AY267" s="207"/>
      <c r="AZ267" s="202"/>
      <c r="BA267" s="219"/>
      <c r="BB267" s="207"/>
      <c r="BC267" s="202"/>
      <c r="BD267" s="208"/>
      <c r="BE267" s="209">
        <v>46017</v>
      </c>
      <c r="BF267" s="197" t="s">
        <v>4412</v>
      </c>
      <c r="BG267" s="229"/>
      <c r="BH267" s="321" t="str">
        <f t="shared" si="21"/>
        <v/>
      </c>
      <c r="BI267" s="98" t="str">
        <f t="shared" si="22"/>
        <v>AA</v>
      </c>
      <c r="BJ267" s="98" t="str">
        <f t="shared" si="23"/>
        <v>NÃO</v>
      </c>
      <c r="BK267" s="230"/>
      <c r="BL267" s="230"/>
      <c r="BM267" s="230"/>
      <c r="BN267" s="230"/>
      <c r="BO267" s="230"/>
      <c r="BP267" s="230"/>
      <c r="BQ267" s="230"/>
      <c r="BR267" s="234"/>
    </row>
    <row r="268" spans="1:72" s="240" customFormat="1" ht="27" hidden="1" customHeight="1">
      <c r="A268" s="207">
        <v>264</v>
      </c>
      <c r="B268" s="197" t="s">
        <v>4396</v>
      </c>
      <c r="C268" s="207" t="s">
        <v>4427</v>
      </c>
      <c r="D268" s="207">
        <v>1</v>
      </c>
      <c r="E268" s="207" t="s">
        <v>4398</v>
      </c>
      <c r="F268" s="214" t="s">
        <v>5575</v>
      </c>
      <c r="G268" s="207" t="s">
        <v>4400</v>
      </c>
      <c r="H268" s="207" t="s">
        <v>4401</v>
      </c>
      <c r="I268" s="217" t="s">
        <v>4402</v>
      </c>
      <c r="J268" s="215" t="s">
        <v>5578</v>
      </c>
      <c r="K268" s="215" t="s">
        <v>5579</v>
      </c>
      <c r="L268" s="215" t="s">
        <v>5580</v>
      </c>
      <c r="M268" s="207" t="s">
        <v>4405</v>
      </c>
      <c r="N268" s="207" t="s">
        <v>4442</v>
      </c>
      <c r="O268" s="202" t="s">
        <v>4409</v>
      </c>
      <c r="P268" s="202" t="s">
        <v>4409</v>
      </c>
      <c r="Q268" s="202" t="s">
        <v>4409</v>
      </c>
      <c r="R268" s="202" t="s">
        <v>4409</v>
      </c>
      <c r="S268" s="202" t="s">
        <v>4409</v>
      </c>
      <c r="T268" s="202" t="s">
        <v>4409</v>
      </c>
      <c r="U268" s="202" t="s">
        <v>4409</v>
      </c>
      <c r="V268" s="202" t="s">
        <v>4409</v>
      </c>
      <c r="W268" s="202" t="s">
        <v>4409</v>
      </c>
      <c r="X268" s="202" t="s">
        <v>4409</v>
      </c>
      <c r="Y268" s="202"/>
      <c r="Z268" s="207"/>
      <c r="AA268" s="215" t="s">
        <v>5578</v>
      </c>
      <c r="AB268" s="214" t="s">
        <v>5579</v>
      </c>
      <c r="AC268" s="214" t="s">
        <v>5580</v>
      </c>
      <c r="AD268" s="207" t="s">
        <v>4402</v>
      </c>
      <c r="AE268" s="207" t="s">
        <v>4405</v>
      </c>
      <c r="AF268" s="218">
        <v>25490.22</v>
      </c>
      <c r="AG268" s="218">
        <f>AF268+30000</f>
        <v>55490.22</v>
      </c>
      <c r="AH268" s="207" t="s">
        <v>4433</v>
      </c>
      <c r="AI268" s="214" t="s">
        <v>4411</v>
      </c>
      <c r="AJ268" s="207">
        <v>148264453</v>
      </c>
      <c r="AK268" s="316">
        <v>46045</v>
      </c>
      <c r="AL268" s="316">
        <v>46045</v>
      </c>
      <c r="AM268" s="316">
        <v>46045</v>
      </c>
      <c r="AN268" s="316">
        <v>46045</v>
      </c>
      <c r="AO268" s="316">
        <v>46045</v>
      </c>
      <c r="AP268" s="316">
        <v>46045</v>
      </c>
      <c r="AQ268" s="314"/>
      <c r="AR268" s="315" t="str">
        <f t="shared" si="20"/>
        <v>FINALIZADO</v>
      </c>
      <c r="AS268" s="207" t="s">
        <v>4423</v>
      </c>
      <c r="AT268" s="207"/>
      <c r="AU268" s="220" t="s">
        <v>5581</v>
      </c>
      <c r="AV268" s="207" t="s">
        <v>4425</v>
      </c>
      <c r="AW268" s="207" t="s">
        <v>4425</v>
      </c>
      <c r="AX268" s="207" t="s">
        <v>4425</v>
      </c>
      <c r="AY268" s="197" t="s">
        <v>4425</v>
      </c>
      <c r="AZ268" s="202">
        <v>46153</v>
      </c>
      <c r="BA268" s="207" t="s">
        <v>4425</v>
      </c>
      <c r="BB268" s="207" t="s">
        <v>4425</v>
      </c>
      <c r="BC268" s="202">
        <v>46182</v>
      </c>
      <c r="BD268" s="227">
        <v>46182</v>
      </c>
      <c r="BE268" s="235" t="s">
        <v>4435</v>
      </c>
      <c r="BF268" s="236" t="s">
        <v>4436</v>
      </c>
      <c r="BG268" s="237" t="s">
        <v>4425</v>
      </c>
      <c r="BH268" s="321">
        <f t="shared" si="21"/>
        <v>137</v>
      </c>
      <c r="BI268" s="98" t="str">
        <f t="shared" si="22"/>
        <v>INDENIZAÇÃO</v>
      </c>
      <c r="BJ268" s="98" t="str">
        <f t="shared" si="23"/>
        <v>NÃO</v>
      </c>
      <c r="BK268" s="238" t="s">
        <v>4437</v>
      </c>
      <c r="BL268" s="238" t="s">
        <v>4437</v>
      </c>
      <c r="BM268" s="238" t="s">
        <v>4437</v>
      </c>
      <c r="BN268" s="207" t="s">
        <v>4425</v>
      </c>
      <c r="BO268" s="257" t="s">
        <v>4435</v>
      </c>
      <c r="BP268" s="265"/>
      <c r="BQ268" s="265"/>
      <c r="BR268" s="231"/>
      <c r="BS268" s="223"/>
    </row>
    <row r="269" spans="1:72" s="240" customFormat="1" ht="27" hidden="1" customHeight="1">
      <c r="A269" s="197">
        <v>265</v>
      </c>
      <c r="B269" s="197" t="s">
        <v>4396</v>
      </c>
      <c r="C269" s="207" t="s">
        <v>4453</v>
      </c>
      <c r="D269" s="207">
        <v>1</v>
      </c>
      <c r="E269" s="207" t="s">
        <v>4398</v>
      </c>
      <c r="F269" s="214" t="s">
        <v>5582</v>
      </c>
      <c r="G269" s="207" t="s">
        <v>4400</v>
      </c>
      <c r="H269" s="207" t="s">
        <v>4401</v>
      </c>
      <c r="I269" s="217" t="s">
        <v>4402</v>
      </c>
      <c r="J269" s="242" t="s">
        <v>5583</v>
      </c>
      <c r="K269" s="215" t="s">
        <v>5584</v>
      </c>
      <c r="L269" s="215" t="s">
        <v>5585</v>
      </c>
      <c r="M269" s="207" t="s">
        <v>4405</v>
      </c>
      <c r="N269" s="207" t="s">
        <v>4442</v>
      </c>
      <c r="O269" s="202" t="s">
        <v>4409</v>
      </c>
      <c r="P269" s="202" t="s">
        <v>4409</v>
      </c>
      <c r="Q269" s="202" t="s">
        <v>4409</v>
      </c>
      <c r="R269" s="202" t="s">
        <v>4409</v>
      </c>
      <c r="S269" s="202" t="s">
        <v>4409</v>
      </c>
      <c r="T269" s="202" t="s">
        <v>4409</v>
      </c>
      <c r="U269" s="202" t="s">
        <v>4409</v>
      </c>
      <c r="V269" s="202" t="s">
        <v>4409</v>
      </c>
      <c r="W269" s="202" t="s">
        <v>4409</v>
      </c>
      <c r="X269" s="202" t="s">
        <v>4409</v>
      </c>
      <c r="Y269" s="202"/>
      <c r="Z269" s="207"/>
      <c r="AA269" s="242" t="s">
        <v>5583</v>
      </c>
      <c r="AB269" s="214" t="s">
        <v>5584</v>
      </c>
      <c r="AC269" s="246" t="s">
        <v>5585</v>
      </c>
      <c r="AD269" s="204" t="s">
        <v>4402</v>
      </c>
      <c r="AE269" s="204" t="s">
        <v>4405</v>
      </c>
      <c r="AF269" s="243">
        <v>60000</v>
      </c>
      <c r="AG269" s="243">
        <v>60000</v>
      </c>
      <c r="AH269" s="197" t="s">
        <v>4433</v>
      </c>
      <c r="AI269" s="214" t="s">
        <v>4411</v>
      </c>
      <c r="AJ269">
        <v>149914514</v>
      </c>
      <c r="AK269" s="316">
        <v>45996</v>
      </c>
      <c r="AL269" s="316">
        <v>45996</v>
      </c>
      <c r="AM269" s="316">
        <v>45996</v>
      </c>
      <c r="AN269" s="316">
        <v>45996</v>
      </c>
      <c r="AO269" s="316">
        <v>45996</v>
      </c>
      <c r="AP269" s="316">
        <v>45996</v>
      </c>
      <c r="AQ269" s="314"/>
      <c r="AR269" s="315" t="str">
        <f t="shared" si="20"/>
        <v>FINALIZADO</v>
      </c>
      <c r="AS269" s="207" t="s">
        <v>4423</v>
      </c>
      <c r="AT269" s="207"/>
      <c r="AU269" s="220" t="s">
        <v>5586</v>
      </c>
      <c r="AV269" s="207" t="s">
        <v>4425</v>
      </c>
      <c r="AW269" s="207" t="s">
        <v>4425</v>
      </c>
      <c r="AX269" s="250" t="s">
        <v>4425</v>
      </c>
      <c r="AY269" s="160" t="s">
        <v>4425</v>
      </c>
      <c r="AZ269" s="267">
        <v>46062</v>
      </c>
      <c r="BA269" s="219" t="s">
        <v>4425</v>
      </c>
      <c r="BB269" s="207" t="s">
        <v>4425</v>
      </c>
      <c r="BC269" s="239">
        <v>46066</v>
      </c>
      <c r="BD269" s="227">
        <v>46066</v>
      </c>
      <c r="BE269" s="209">
        <v>46017</v>
      </c>
      <c r="BF269" s="197" t="s">
        <v>4412</v>
      </c>
      <c r="BG269" s="229" t="s">
        <v>4425</v>
      </c>
      <c r="BH269" s="321">
        <f t="shared" si="21"/>
        <v>70</v>
      </c>
      <c r="BI269" s="98" t="str">
        <f t="shared" si="22"/>
        <v>INDENIZAÇÃO</v>
      </c>
      <c r="BJ269" s="98" t="str">
        <f t="shared" si="23"/>
        <v>NÃO</v>
      </c>
      <c r="BK269" s="230" t="s">
        <v>4437</v>
      </c>
      <c r="BL269" s="230" t="s">
        <v>4437</v>
      </c>
      <c r="BM269" s="230" t="s">
        <v>4437</v>
      </c>
      <c r="BN269" s="207" t="s">
        <v>4425</v>
      </c>
      <c r="BO269" s="257" t="s">
        <v>4435</v>
      </c>
      <c r="BP269" s="265"/>
      <c r="BQ269" s="265"/>
      <c r="BR269" s="231"/>
    </row>
    <row r="270" spans="1:72" s="240" customFormat="1" ht="27" hidden="1" customHeight="1">
      <c r="A270" s="197">
        <v>266</v>
      </c>
      <c r="B270" s="197" t="s">
        <v>4396</v>
      </c>
      <c r="C270" s="207" t="s">
        <v>4427</v>
      </c>
      <c r="D270" s="207">
        <v>1</v>
      </c>
      <c r="E270" s="207" t="s">
        <v>4398</v>
      </c>
      <c r="F270" s="214" t="s">
        <v>5582</v>
      </c>
      <c r="G270" s="207" t="s">
        <v>4400</v>
      </c>
      <c r="H270" s="207" t="s">
        <v>4401</v>
      </c>
      <c r="I270" s="217" t="s">
        <v>4402</v>
      </c>
      <c r="J270" s="215" t="s">
        <v>5587</v>
      </c>
      <c r="K270" s="215" t="s">
        <v>4440</v>
      </c>
      <c r="L270" s="215" t="s">
        <v>5588</v>
      </c>
      <c r="M270" s="207" t="s">
        <v>4405</v>
      </c>
      <c r="N270" s="207" t="s">
        <v>4406</v>
      </c>
      <c r="O270" s="202">
        <v>46065</v>
      </c>
      <c r="P270" s="203" t="s">
        <v>4407</v>
      </c>
      <c r="Q270" s="202">
        <v>46072</v>
      </c>
      <c r="R270" s="203">
        <v>46072</v>
      </c>
      <c r="S270" s="203">
        <v>46080</v>
      </c>
      <c r="T270" s="202">
        <v>46083</v>
      </c>
      <c r="U270" s="202" t="s">
        <v>4408</v>
      </c>
      <c r="V270" s="202" t="s">
        <v>4408</v>
      </c>
      <c r="W270" s="203">
        <v>46055</v>
      </c>
      <c r="X270" s="203">
        <v>46091</v>
      </c>
      <c r="Y270" s="202"/>
      <c r="Z270" s="219"/>
      <c r="AA270" s="215" t="s">
        <v>5587</v>
      </c>
      <c r="AB270" s="215" t="s">
        <v>4440</v>
      </c>
      <c r="AC270" s="215" t="s">
        <v>5588</v>
      </c>
      <c r="AD270" s="197" t="s">
        <v>4402</v>
      </c>
      <c r="AE270" s="197" t="s">
        <v>4405</v>
      </c>
      <c r="AF270" s="243" t="s">
        <v>4409</v>
      </c>
      <c r="AG270" s="243" t="s">
        <v>4409</v>
      </c>
      <c r="AH270" s="197" t="s">
        <v>4410</v>
      </c>
      <c r="AI270" s="214" t="s">
        <v>4411</v>
      </c>
      <c r="AJ270" s="207"/>
      <c r="AK270" s="316">
        <v>46041</v>
      </c>
      <c r="AL270" s="316">
        <v>46041</v>
      </c>
      <c r="AM270" s="316">
        <v>46041</v>
      </c>
      <c r="AN270" s="316">
        <v>46041</v>
      </c>
      <c r="AO270" s="316">
        <v>46041</v>
      </c>
      <c r="AP270" s="316">
        <v>46041</v>
      </c>
      <c r="AQ270" s="314"/>
      <c r="AR270" s="315" t="str">
        <f t="shared" si="20"/>
        <v>FINALIZADO</v>
      </c>
      <c r="AS270" s="207"/>
      <c r="AT270" s="219"/>
      <c r="AU270" s="220"/>
      <c r="AV270" s="207"/>
      <c r="AW270" s="207"/>
      <c r="AX270" s="228"/>
      <c r="AY270" s="219"/>
      <c r="AZ270" s="219"/>
      <c r="BA270" s="219"/>
      <c r="BB270" s="219"/>
      <c r="BC270" s="219"/>
      <c r="BD270" s="208"/>
      <c r="BE270" s="253"/>
      <c r="BF270" s="254"/>
      <c r="BG270" s="219"/>
      <c r="BH270" s="321" t="str">
        <f t="shared" si="21"/>
        <v/>
      </c>
      <c r="BI270" s="98" t="str">
        <f t="shared" si="22"/>
        <v>AA</v>
      </c>
      <c r="BJ270" s="98" t="str">
        <f t="shared" si="23"/>
        <v>NÃO</v>
      </c>
      <c r="BK270" s="219"/>
      <c r="BL270" s="221"/>
      <c r="BM270" s="221"/>
      <c r="BN270" s="219"/>
      <c r="BO270" s="219"/>
      <c r="BP270" s="219"/>
      <c r="BQ270" s="219"/>
      <c r="BR270" s="222"/>
    </row>
    <row r="271" spans="1:72" s="240" customFormat="1" ht="27" hidden="1" customHeight="1">
      <c r="A271" s="207">
        <v>267</v>
      </c>
      <c r="B271" s="197" t="s">
        <v>4396</v>
      </c>
      <c r="C271" s="207" t="s">
        <v>4427</v>
      </c>
      <c r="D271" s="207">
        <v>1</v>
      </c>
      <c r="E271" s="207" t="s">
        <v>4398</v>
      </c>
      <c r="F271" s="214" t="s">
        <v>5589</v>
      </c>
      <c r="G271" s="207" t="s">
        <v>4400</v>
      </c>
      <c r="H271" s="207" t="s">
        <v>4401</v>
      </c>
      <c r="I271" s="217" t="s">
        <v>4402</v>
      </c>
      <c r="J271" s="242" t="s">
        <v>5590</v>
      </c>
      <c r="K271" s="215" t="s">
        <v>5591</v>
      </c>
      <c r="L271" s="215" t="s">
        <v>5592</v>
      </c>
      <c r="M271" s="207" t="s">
        <v>4405</v>
      </c>
      <c r="N271" s="207" t="s">
        <v>4442</v>
      </c>
      <c r="O271" s="202" t="s">
        <v>4409</v>
      </c>
      <c r="P271" s="202" t="s">
        <v>4409</v>
      </c>
      <c r="Q271" s="202" t="s">
        <v>4409</v>
      </c>
      <c r="R271" s="202" t="s">
        <v>4409</v>
      </c>
      <c r="S271" s="202" t="s">
        <v>4409</v>
      </c>
      <c r="T271" s="202" t="s">
        <v>4409</v>
      </c>
      <c r="U271" s="202" t="s">
        <v>4409</v>
      </c>
      <c r="V271" s="202" t="s">
        <v>4409</v>
      </c>
      <c r="W271" s="202" t="s">
        <v>4409</v>
      </c>
      <c r="X271" s="202" t="s">
        <v>4409</v>
      </c>
      <c r="Y271" s="202"/>
      <c r="Z271" s="207"/>
      <c r="AA271" s="242" t="s">
        <v>5590</v>
      </c>
      <c r="AB271" s="215" t="s">
        <v>5591</v>
      </c>
      <c r="AC271" s="215" t="s">
        <v>5592</v>
      </c>
      <c r="AD271" s="207" t="s">
        <v>4402</v>
      </c>
      <c r="AE271" s="207" t="s">
        <v>4405</v>
      </c>
      <c r="AF271" s="218">
        <v>26392.99</v>
      </c>
      <c r="AG271" s="218">
        <v>56392.99</v>
      </c>
      <c r="AH271" s="207" t="s">
        <v>4433</v>
      </c>
      <c r="AI271" s="214" t="s">
        <v>4411</v>
      </c>
      <c r="AJ271" s="207">
        <v>149655132</v>
      </c>
      <c r="AK271" s="316">
        <v>46185</v>
      </c>
      <c r="AL271" s="316">
        <v>46185</v>
      </c>
      <c r="AM271" s="316">
        <v>46185</v>
      </c>
      <c r="AN271" s="316">
        <v>46185</v>
      </c>
      <c r="AO271" s="316">
        <v>46185</v>
      </c>
      <c r="AP271" s="316">
        <v>46185</v>
      </c>
      <c r="AQ271" s="314"/>
      <c r="AR271" s="315" t="str">
        <f t="shared" si="20"/>
        <v>FINALIZADO</v>
      </c>
      <c r="AS271" s="207" t="s">
        <v>4423</v>
      </c>
      <c r="AT271" s="207"/>
      <c r="AU271" s="220" t="s">
        <v>4435</v>
      </c>
      <c r="AV271" s="228" t="s">
        <v>5487</v>
      </c>
      <c r="AW271" s="228"/>
      <c r="AX271" s="228"/>
      <c r="AY271" s="228"/>
      <c r="AZ271" s="227"/>
      <c r="BA271" s="257"/>
      <c r="BB271" s="228"/>
      <c r="BC271" s="227"/>
      <c r="BD271" s="226"/>
      <c r="BE271" s="227"/>
      <c r="BF271" s="228" t="s">
        <v>4400</v>
      </c>
      <c r="BG271" s="229"/>
      <c r="BH271" s="321" t="str">
        <f t="shared" si="21"/>
        <v/>
      </c>
      <c r="BI271" s="98" t="str">
        <f t="shared" si="22"/>
        <v>INDENIZAÇÃO</v>
      </c>
      <c r="BJ271" s="98" t="str">
        <f t="shared" si="23"/>
        <v>NÃO</v>
      </c>
      <c r="BK271" s="230"/>
      <c r="BL271" s="230"/>
      <c r="BM271" s="230"/>
      <c r="BN271" s="230"/>
      <c r="BO271" s="230"/>
      <c r="BP271" s="230"/>
      <c r="BQ271" s="230"/>
      <c r="BR271" s="234"/>
    </row>
    <row r="272" spans="1:72" s="240" customFormat="1" ht="27" hidden="1" customHeight="1">
      <c r="A272" s="207">
        <v>268</v>
      </c>
      <c r="B272" s="197" t="s">
        <v>4396</v>
      </c>
      <c r="C272" s="207" t="s">
        <v>4427</v>
      </c>
      <c r="D272" s="207">
        <v>1</v>
      </c>
      <c r="E272" s="207" t="s">
        <v>4398</v>
      </c>
      <c r="F272" s="214" t="s">
        <v>5593</v>
      </c>
      <c r="G272" s="207" t="s">
        <v>4400</v>
      </c>
      <c r="H272" s="207" t="s">
        <v>4401</v>
      </c>
      <c r="I272" s="217" t="s">
        <v>4402</v>
      </c>
      <c r="J272" s="242" t="s">
        <v>5594</v>
      </c>
      <c r="K272" s="215" t="s">
        <v>4398</v>
      </c>
      <c r="L272" s="215" t="s">
        <v>5595</v>
      </c>
      <c r="M272" s="207" t="s">
        <v>4405</v>
      </c>
      <c r="N272" s="207" t="s">
        <v>4442</v>
      </c>
      <c r="O272" s="202" t="s">
        <v>4409</v>
      </c>
      <c r="P272" s="202" t="s">
        <v>4409</v>
      </c>
      <c r="Q272" s="202" t="s">
        <v>4409</v>
      </c>
      <c r="R272" s="202" t="s">
        <v>4409</v>
      </c>
      <c r="S272" s="202" t="s">
        <v>4409</v>
      </c>
      <c r="T272" s="202" t="s">
        <v>4409</v>
      </c>
      <c r="U272" s="202" t="s">
        <v>4409</v>
      </c>
      <c r="V272" s="202" t="s">
        <v>4409</v>
      </c>
      <c r="W272" s="202" t="s">
        <v>4409</v>
      </c>
      <c r="X272" s="202" t="s">
        <v>4409</v>
      </c>
      <c r="Y272" s="202"/>
      <c r="Z272" s="207"/>
      <c r="AA272" s="242" t="s">
        <v>5594</v>
      </c>
      <c r="AB272" s="214" t="s">
        <v>4398</v>
      </c>
      <c r="AC272" s="246" t="s">
        <v>5595</v>
      </c>
      <c r="AD272" s="207" t="s">
        <v>4402</v>
      </c>
      <c r="AE272" s="207" t="s">
        <v>4405</v>
      </c>
      <c r="AF272" s="218">
        <v>30346.959999999999</v>
      </c>
      <c r="AG272" s="218">
        <v>60000</v>
      </c>
      <c r="AH272" s="207" t="s">
        <v>4433</v>
      </c>
      <c r="AI272" s="214" t="s">
        <v>4411</v>
      </c>
      <c r="AJ272" s="207">
        <v>149655325</v>
      </c>
      <c r="AK272" s="316">
        <v>46059</v>
      </c>
      <c r="AL272" s="316">
        <v>46059</v>
      </c>
      <c r="AM272" s="316">
        <v>46059</v>
      </c>
      <c r="AN272" s="316">
        <v>46059</v>
      </c>
      <c r="AO272" s="316">
        <v>46059</v>
      </c>
      <c r="AP272" s="316">
        <v>46059</v>
      </c>
      <c r="AQ272" s="314"/>
      <c r="AR272" s="315" t="str">
        <f t="shared" si="20"/>
        <v>FINALIZADO</v>
      </c>
      <c r="AS272" s="207" t="s">
        <v>4423</v>
      </c>
      <c r="AT272" s="207"/>
      <c r="AU272" s="220" t="s">
        <v>5596</v>
      </c>
      <c r="AV272" s="207" t="s">
        <v>4425</v>
      </c>
      <c r="AW272" s="207" t="s">
        <v>4425</v>
      </c>
      <c r="AX272" s="250" t="s">
        <v>4425</v>
      </c>
      <c r="AY272" s="207" t="s">
        <v>4425</v>
      </c>
      <c r="AZ272" s="202">
        <v>46118</v>
      </c>
      <c r="BA272" s="207" t="s">
        <v>4425</v>
      </c>
      <c r="BB272" s="207" t="s">
        <v>4425</v>
      </c>
      <c r="BC272" s="202">
        <v>46122</v>
      </c>
      <c r="BD272" s="227">
        <v>46122</v>
      </c>
      <c r="BE272" s="227" t="s">
        <v>4435</v>
      </c>
      <c r="BF272" s="228" t="s">
        <v>4436</v>
      </c>
      <c r="BG272" s="229" t="s">
        <v>4425</v>
      </c>
      <c r="BH272" s="321">
        <f t="shared" si="21"/>
        <v>63</v>
      </c>
      <c r="BI272" s="98" t="str">
        <f t="shared" si="22"/>
        <v>INDENIZAÇÃO</v>
      </c>
      <c r="BJ272" s="98" t="str">
        <f t="shared" si="23"/>
        <v>NÃO</v>
      </c>
      <c r="BK272" s="219" t="s">
        <v>4437</v>
      </c>
      <c r="BL272" s="219" t="s">
        <v>4437</v>
      </c>
      <c r="BM272" s="219" t="s">
        <v>4437</v>
      </c>
      <c r="BN272" s="207" t="s">
        <v>4425</v>
      </c>
      <c r="BO272" s="257" t="s">
        <v>4435</v>
      </c>
      <c r="BP272" s="257"/>
      <c r="BQ272" s="257"/>
      <c r="BR272" s="258"/>
    </row>
    <row r="273" spans="1:72" s="240" customFormat="1" ht="27" hidden="1" customHeight="1">
      <c r="A273" s="207">
        <v>269</v>
      </c>
      <c r="B273" s="197" t="s">
        <v>4396</v>
      </c>
      <c r="C273" s="207" t="s">
        <v>4453</v>
      </c>
      <c r="D273" s="207">
        <v>1</v>
      </c>
      <c r="E273" s="207" t="s">
        <v>4398</v>
      </c>
      <c r="F273" s="214" t="s">
        <v>5593</v>
      </c>
      <c r="G273" s="207" t="s">
        <v>4400</v>
      </c>
      <c r="H273" s="207" t="s">
        <v>4401</v>
      </c>
      <c r="I273" s="217" t="s">
        <v>4402</v>
      </c>
      <c r="J273" s="242" t="s">
        <v>5597</v>
      </c>
      <c r="K273" s="215" t="s">
        <v>5598</v>
      </c>
      <c r="L273" s="215" t="s">
        <v>5599</v>
      </c>
      <c r="M273" s="207" t="s">
        <v>4405</v>
      </c>
      <c r="N273" s="207" t="s">
        <v>4406</v>
      </c>
      <c r="O273" s="202">
        <v>46002</v>
      </c>
      <c r="P273" s="202" t="s">
        <v>4407</v>
      </c>
      <c r="Q273" s="202">
        <v>45999</v>
      </c>
      <c r="R273" s="202">
        <v>46006</v>
      </c>
      <c r="S273" s="202">
        <v>46006</v>
      </c>
      <c r="T273" s="202">
        <v>46009</v>
      </c>
      <c r="U273" s="202" t="s">
        <v>4408</v>
      </c>
      <c r="V273" s="202" t="s">
        <v>4408</v>
      </c>
      <c r="W273" s="202">
        <v>46014</v>
      </c>
      <c r="X273" s="202">
        <v>46020</v>
      </c>
      <c r="Y273" s="202">
        <v>46017</v>
      </c>
      <c r="Z273" s="207"/>
      <c r="AA273" s="242" t="s">
        <v>5597</v>
      </c>
      <c r="AB273" s="215" t="s">
        <v>5598</v>
      </c>
      <c r="AC273" s="215" t="s">
        <v>5599</v>
      </c>
      <c r="AD273" s="241" t="s">
        <v>4402</v>
      </c>
      <c r="AE273" s="241" t="s">
        <v>4405</v>
      </c>
      <c r="AF273" s="242" t="s">
        <v>4409</v>
      </c>
      <c r="AG273" s="242" t="s">
        <v>4409</v>
      </c>
      <c r="AH273" s="241" t="s">
        <v>4410</v>
      </c>
      <c r="AI273" s="214" t="s">
        <v>4411</v>
      </c>
      <c r="AJ273" s="207"/>
      <c r="AK273" s="316">
        <v>45996</v>
      </c>
      <c r="AL273" s="316">
        <v>45996</v>
      </c>
      <c r="AM273" s="316">
        <v>45996</v>
      </c>
      <c r="AN273" s="316">
        <v>45996</v>
      </c>
      <c r="AO273" s="316">
        <v>45996</v>
      </c>
      <c r="AP273" s="316">
        <v>45996</v>
      </c>
      <c r="AQ273" s="314"/>
      <c r="AR273" s="315" t="str">
        <f t="shared" si="20"/>
        <v>FINALIZADO</v>
      </c>
      <c r="AS273" s="207"/>
      <c r="AT273" s="207"/>
      <c r="AU273" s="220"/>
      <c r="AV273" s="207"/>
      <c r="AW273" s="207"/>
      <c r="AX273" s="228"/>
      <c r="AY273" s="207"/>
      <c r="AZ273" s="202"/>
      <c r="BA273" s="219"/>
      <c r="BB273" s="207"/>
      <c r="BC273" s="202"/>
      <c r="BD273" s="208"/>
      <c r="BE273" s="239">
        <v>46017</v>
      </c>
      <c r="BF273" s="207" t="s">
        <v>4412</v>
      </c>
      <c r="BG273" s="229"/>
      <c r="BH273" s="321" t="str">
        <f t="shared" si="21"/>
        <v/>
      </c>
      <c r="BI273" s="98" t="str">
        <f t="shared" si="22"/>
        <v>AA</v>
      </c>
      <c r="BJ273" s="98" t="str">
        <f t="shared" si="23"/>
        <v>NÃO</v>
      </c>
      <c r="BK273" s="230"/>
      <c r="BL273" s="230"/>
      <c r="BM273" s="230"/>
      <c r="BN273" s="230"/>
      <c r="BO273" s="230"/>
      <c r="BP273" s="230"/>
      <c r="BQ273" s="230"/>
      <c r="BR273" s="234"/>
      <c r="BS273" s="223"/>
      <c r="BT273" s="223"/>
    </row>
    <row r="274" spans="1:72" s="240" customFormat="1" ht="27" hidden="1" customHeight="1">
      <c r="A274" s="197">
        <v>270</v>
      </c>
      <c r="B274" s="197" t="s">
        <v>4396</v>
      </c>
      <c r="C274" s="207" t="s">
        <v>4427</v>
      </c>
      <c r="D274" s="207">
        <v>1</v>
      </c>
      <c r="E274" s="207" t="s">
        <v>4398</v>
      </c>
      <c r="F274" s="214" t="s">
        <v>5600</v>
      </c>
      <c r="G274" s="207" t="s">
        <v>4400</v>
      </c>
      <c r="H274" s="207" t="s">
        <v>4401</v>
      </c>
      <c r="I274" s="217" t="s">
        <v>4402</v>
      </c>
      <c r="J274" s="242" t="s">
        <v>5601</v>
      </c>
      <c r="K274" s="215" t="s">
        <v>4398</v>
      </c>
      <c r="L274" s="215" t="s">
        <v>5602</v>
      </c>
      <c r="M274" s="207" t="s">
        <v>4405</v>
      </c>
      <c r="N274" s="207" t="s">
        <v>4442</v>
      </c>
      <c r="O274" s="202" t="s">
        <v>4409</v>
      </c>
      <c r="P274" s="202" t="s">
        <v>4409</v>
      </c>
      <c r="Q274" s="202" t="s">
        <v>4409</v>
      </c>
      <c r="R274" s="202" t="s">
        <v>4409</v>
      </c>
      <c r="S274" s="202" t="s">
        <v>4409</v>
      </c>
      <c r="T274" s="202" t="s">
        <v>4409</v>
      </c>
      <c r="U274" s="202" t="s">
        <v>4409</v>
      </c>
      <c r="V274" s="202" t="s">
        <v>4409</v>
      </c>
      <c r="W274" s="202" t="s">
        <v>4409</v>
      </c>
      <c r="X274" s="202" t="s">
        <v>4409</v>
      </c>
      <c r="Y274" s="202"/>
      <c r="Z274" s="207"/>
      <c r="AA274" s="242" t="s">
        <v>5601</v>
      </c>
      <c r="AB274" s="214" t="s">
        <v>4398</v>
      </c>
      <c r="AC274" s="246" t="s">
        <v>5602</v>
      </c>
      <c r="AD274" s="197" t="s">
        <v>4402</v>
      </c>
      <c r="AE274" s="197" t="s">
        <v>4405</v>
      </c>
      <c r="AF274" s="243">
        <v>13143.47</v>
      </c>
      <c r="AG274" s="243">
        <f>AF274+30000</f>
        <v>43143.47</v>
      </c>
      <c r="AH274" s="197" t="s">
        <v>4433</v>
      </c>
      <c r="AI274" s="214" t="s">
        <v>4411</v>
      </c>
      <c r="AJ274" s="207">
        <v>149655427</v>
      </c>
      <c r="AK274" s="316">
        <v>46059</v>
      </c>
      <c r="AL274" s="316">
        <v>46059</v>
      </c>
      <c r="AM274" s="316">
        <v>46059</v>
      </c>
      <c r="AN274" s="316">
        <v>46059</v>
      </c>
      <c r="AO274" s="316">
        <v>46059</v>
      </c>
      <c r="AP274" s="316">
        <v>46059</v>
      </c>
      <c r="AQ274" s="314"/>
      <c r="AR274" s="315" t="str">
        <f t="shared" si="20"/>
        <v>FINALIZADO</v>
      </c>
      <c r="AS274" s="207" t="s">
        <v>4423</v>
      </c>
      <c r="AT274" s="207"/>
      <c r="AU274" s="220" t="s">
        <v>5603</v>
      </c>
      <c r="AV274" s="207" t="s">
        <v>4425</v>
      </c>
      <c r="AW274" s="207" t="s">
        <v>4425</v>
      </c>
      <c r="AX274" s="250" t="s">
        <v>4425</v>
      </c>
      <c r="AY274" s="207" t="s">
        <v>4425</v>
      </c>
      <c r="AZ274" s="202">
        <v>46118</v>
      </c>
      <c r="BA274" s="207" t="s">
        <v>4425</v>
      </c>
      <c r="BB274" s="207" t="s">
        <v>4425</v>
      </c>
      <c r="BC274" s="202">
        <v>46122</v>
      </c>
      <c r="BD274" s="227">
        <v>46122</v>
      </c>
      <c r="BE274" s="244" t="s">
        <v>4435</v>
      </c>
      <c r="BF274" s="245" t="s">
        <v>4436</v>
      </c>
      <c r="BG274" s="229" t="s">
        <v>4425</v>
      </c>
      <c r="BH274" s="321">
        <f t="shared" si="21"/>
        <v>63</v>
      </c>
      <c r="BI274" s="98" t="str">
        <f t="shared" si="22"/>
        <v>INDENIZAÇÃO</v>
      </c>
      <c r="BJ274" s="98" t="str">
        <f t="shared" si="23"/>
        <v>NÃO</v>
      </c>
      <c r="BK274" s="230" t="s">
        <v>4437</v>
      </c>
      <c r="BL274" s="230" t="s">
        <v>4437</v>
      </c>
      <c r="BM274" s="230" t="s">
        <v>4437</v>
      </c>
      <c r="BN274" s="207" t="s">
        <v>4425</v>
      </c>
      <c r="BO274" s="257" t="s">
        <v>4435</v>
      </c>
      <c r="BP274" s="265"/>
      <c r="BQ274" s="265"/>
      <c r="BR274" s="231"/>
    </row>
    <row r="275" spans="1:72" s="240" customFormat="1" ht="27" hidden="1" customHeight="1">
      <c r="A275" s="197">
        <v>271</v>
      </c>
      <c r="B275" s="197" t="s">
        <v>4396</v>
      </c>
      <c r="C275" s="207" t="s">
        <v>4427</v>
      </c>
      <c r="D275" s="207">
        <v>1</v>
      </c>
      <c r="E275" s="207" t="s">
        <v>4398</v>
      </c>
      <c r="F275" s="214" t="s">
        <v>5604</v>
      </c>
      <c r="G275" s="207" t="s">
        <v>4400</v>
      </c>
      <c r="H275" s="207" t="s">
        <v>4401</v>
      </c>
      <c r="I275" s="217" t="s">
        <v>4402</v>
      </c>
      <c r="J275" s="242" t="s">
        <v>5605</v>
      </c>
      <c r="K275" s="215" t="s">
        <v>5606</v>
      </c>
      <c r="L275" s="215" t="s">
        <v>5607</v>
      </c>
      <c r="M275" s="207" t="s">
        <v>4405</v>
      </c>
      <c r="N275" s="207" t="s">
        <v>4442</v>
      </c>
      <c r="O275" s="202" t="s">
        <v>4409</v>
      </c>
      <c r="P275" s="202" t="s">
        <v>4409</v>
      </c>
      <c r="Q275" s="202" t="s">
        <v>4409</v>
      </c>
      <c r="R275" s="202" t="s">
        <v>4409</v>
      </c>
      <c r="S275" s="202" t="s">
        <v>4409</v>
      </c>
      <c r="T275" s="202" t="s">
        <v>4409</v>
      </c>
      <c r="U275" s="202" t="s">
        <v>4409</v>
      </c>
      <c r="V275" s="202" t="s">
        <v>4409</v>
      </c>
      <c r="W275" s="202" t="s">
        <v>4409</v>
      </c>
      <c r="X275" s="202" t="s">
        <v>4409</v>
      </c>
      <c r="Y275" s="202"/>
      <c r="Z275" s="207"/>
      <c r="AA275" s="242" t="s">
        <v>5605</v>
      </c>
      <c r="AB275" s="246" t="s">
        <v>5606</v>
      </c>
      <c r="AC275" s="246" t="s">
        <v>5607</v>
      </c>
      <c r="AD275" s="207" t="s">
        <v>4402</v>
      </c>
      <c r="AE275" s="207" t="s">
        <v>4405</v>
      </c>
      <c r="AF275" s="218">
        <v>41381.94</v>
      </c>
      <c r="AG275" s="218">
        <v>60000</v>
      </c>
      <c r="AH275" s="207" t="s">
        <v>4433</v>
      </c>
      <c r="AI275" s="214" t="s">
        <v>4411</v>
      </c>
      <c r="AJ275" s="207">
        <v>148264579</v>
      </c>
      <c r="AK275" s="316">
        <v>46059</v>
      </c>
      <c r="AL275" s="316">
        <v>46059</v>
      </c>
      <c r="AM275" s="316">
        <v>46059</v>
      </c>
      <c r="AN275" s="316">
        <v>46059</v>
      </c>
      <c r="AO275" s="316">
        <v>46059</v>
      </c>
      <c r="AP275" s="316">
        <v>46059</v>
      </c>
      <c r="AQ275" s="314"/>
      <c r="AR275" s="315" t="str">
        <f t="shared" si="20"/>
        <v>FINALIZADO</v>
      </c>
      <c r="AS275" s="207" t="s">
        <v>4423</v>
      </c>
      <c r="AT275" s="207"/>
      <c r="AU275" s="220" t="s">
        <v>5608</v>
      </c>
      <c r="AV275" s="207" t="s">
        <v>4425</v>
      </c>
      <c r="AW275" s="207" t="s">
        <v>4425</v>
      </c>
      <c r="AX275" s="250" t="s">
        <v>4425</v>
      </c>
      <c r="AY275" s="160" t="s">
        <v>4425</v>
      </c>
      <c r="AZ275" s="267">
        <v>46118</v>
      </c>
      <c r="BA275" s="207" t="s">
        <v>4425</v>
      </c>
      <c r="BB275" s="207" t="s">
        <v>4425</v>
      </c>
      <c r="BC275" s="202">
        <v>46122</v>
      </c>
      <c r="BD275" s="227">
        <v>46122</v>
      </c>
      <c r="BE275" s="227" t="s">
        <v>4435</v>
      </c>
      <c r="BF275" s="228" t="s">
        <v>4436</v>
      </c>
      <c r="BG275" s="229" t="s">
        <v>4425</v>
      </c>
      <c r="BH275" s="321">
        <f t="shared" si="21"/>
        <v>63</v>
      </c>
      <c r="BI275" s="98" t="str">
        <f t="shared" si="22"/>
        <v>INDENIZAÇÃO</v>
      </c>
      <c r="BJ275" s="98" t="str">
        <f t="shared" si="23"/>
        <v>NÃO</v>
      </c>
      <c r="BK275" s="219" t="s">
        <v>4437</v>
      </c>
      <c r="BL275" s="219" t="s">
        <v>4437</v>
      </c>
      <c r="BM275" s="219" t="s">
        <v>4437</v>
      </c>
      <c r="BN275" s="207" t="s">
        <v>4425</v>
      </c>
      <c r="BO275" s="257" t="s">
        <v>4435</v>
      </c>
      <c r="BP275" s="257"/>
      <c r="BQ275" s="257"/>
      <c r="BR275" s="258"/>
      <c r="BS275" s="223"/>
      <c r="BT275" s="223"/>
    </row>
    <row r="276" spans="1:72" s="240" customFormat="1" ht="27" hidden="1" customHeight="1">
      <c r="A276" s="207">
        <v>272</v>
      </c>
      <c r="B276" s="197" t="s">
        <v>4396</v>
      </c>
      <c r="C276" s="207" t="s">
        <v>4453</v>
      </c>
      <c r="D276" s="207">
        <v>1</v>
      </c>
      <c r="E276" s="207" t="s">
        <v>4398</v>
      </c>
      <c r="F276" s="214" t="s">
        <v>5604</v>
      </c>
      <c r="G276" s="207" t="s">
        <v>4400</v>
      </c>
      <c r="H276" s="207" t="s">
        <v>4401</v>
      </c>
      <c r="I276" s="217" t="s">
        <v>4402</v>
      </c>
      <c r="J276" s="215" t="s">
        <v>5609</v>
      </c>
      <c r="K276" s="215" t="s">
        <v>4398</v>
      </c>
      <c r="L276" s="215" t="s">
        <v>5610</v>
      </c>
      <c r="M276" s="207" t="s">
        <v>4405</v>
      </c>
      <c r="N276" s="207" t="s">
        <v>4406</v>
      </c>
      <c r="O276" s="202">
        <v>45986</v>
      </c>
      <c r="P276" s="203" t="s">
        <v>4407</v>
      </c>
      <c r="Q276" s="203">
        <v>45985</v>
      </c>
      <c r="R276" s="203">
        <v>45986</v>
      </c>
      <c r="S276" s="203">
        <v>45987</v>
      </c>
      <c r="T276" s="203">
        <v>45992</v>
      </c>
      <c r="U276" s="202" t="s">
        <v>4408</v>
      </c>
      <c r="V276" s="202" t="s">
        <v>4408</v>
      </c>
      <c r="W276" s="202">
        <v>45999</v>
      </c>
      <c r="X276" s="202">
        <v>46001</v>
      </c>
      <c r="Y276" s="202">
        <v>46017</v>
      </c>
      <c r="Z276" s="207"/>
      <c r="AA276" s="215" t="s">
        <v>5609</v>
      </c>
      <c r="AB276" s="215" t="s">
        <v>4398</v>
      </c>
      <c r="AC276" s="215" t="s">
        <v>5610</v>
      </c>
      <c r="AD276" s="241" t="s">
        <v>4402</v>
      </c>
      <c r="AE276" s="241" t="s">
        <v>4405</v>
      </c>
      <c r="AF276" s="242" t="s">
        <v>4409</v>
      </c>
      <c r="AG276" s="242" t="s">
        <v>4409</v>
      </c>
      <c r="AH276" s="241" t="s">
        <v>4409</v>
      </c>
      <c r="AI276" s="214" t="s">
        <v>4411</v>
      </c>
      <c r="AJ276" s="207"/>
      <c r="AK276" s="316">
        <v>45979</v>
      </c>
      <c r="AL276" s="316">
        <v>45979</v>
      </c>
      <c r="AM276" s="316">
        <v>45979</v>
      </c>
      <c r="AN276" s="316">
        <v>45979</v>
      </c>
      <c r="AO276" s="316">
        <v>45979</v>
      </c>
      <c r="AP276" s="316">
        <v>45979</v>
      </c>
      <c r="AQ276" s="314"/>
      <c r="AR276" s="315" t="str">
        <f t="shared" si="20"/>
        <v>FINALIZADO</v>
      </c>
      <c r="AS276" s="207"/>
      <c r="AT276" s="207"/>
      <c r="AU276" s="220"/>
      <c r="AV276" s="207"/>
      <c r="AW276" s="207"/>
      <c r="AX276" s="228"/>
      <c r="AY276" s="160"/>
      <c r="AZ276" s="267"/>
      <c r="BA276" s="219"/>
      <c r="BB276" s="207"/>
      <c r="BC276" s="202"/>
      <c r="BD276" s="208"/>
      <c r="BE276" s="239">
        <v>46017</v>
      </c>
      <c r="BF276" s="207" t="s">
        <v>4412</v>
      </c>
      <c r="BG276" s="229"/>
      <c r="BH276" s="321" t="str">
        <f t="shared" si="21"/>
        <v/>
      </c>
      <c r="BI276" s="98" t="str">
        <f t="shared" si="22"/>
        <v>INDENIZAÇÃO</v>
      </c>
      <c r="BJ276" s="98" t="str">
        <f t="shared" si="23"/>
        <v>NÃO</v>
      </c>
      <c r="BK276" s="230"/>
      <c r="BL276" s="230"/>
      <c r="BM276" s="230"/>
      <c r="BN276" s="230"/>
      <c r="BO276" s="230"/>
      <c r="BP276" s="230"/>
      <c r="BQ276" s="230"/>
      <c r="BR276" s="234"/>
    </row>
    <row r="277" spans="1:72" s="240" customFormat="1" ht="27" hidden="1" customHeight="1">
      <c r="A277" s="207">
        <v>273</v>
      </c>
      <c r="B277" s="197" t="s">
        <v>4396</v>
      </c>
      <c r="C277" s="207" t="s">
        <v>4453</v>
      </c>
      <c r="D277" s="207">
        <v>1</v>
      </c>
      <c r="E277" s="207" t="s">
        <v>4398</v>
      </c>
      <c r="F277" s="214" t="s">
        <v>5611</v>
      </c>
      <c r="G277" s="207" t="s">
        <v>4400</v>
      </c>
      <c r="H277" s="207" t="s">
        <v>4401</v>
      </c>
      <c r="I277" s="217" t="s">
        <v>4536</v>
      </c>
      <c r="J277" s="242" t="s">
        <v>5612</v>
      </c>
      <c r="K277" s="215" t="s">
        <v>4440</v>
      </c>
      <c r="L277" s="215" t="s">
        <v>5613</v>
      </c>
      <c r="M277" s="207" t="s">
        <v>4405</v>
      </c>
      <c r="N277" s="207" t="s">
        <v>4406</v>
      </c>
      <c r="O277" s="203">
        <v>46045</v>
      </c>
      <c r="P277" s="202" t="s">
        <v>4407</v>
      </c>
      <c r="Q277" s="203">
        <v>46045</v>
      </c>
      <c r="R277" s="203">
        <v>46045</v>
      </c>
      <c r="S277" s="203">
        <v>46048</v>
      </c>
      <c r="T277" s="203">
        <v>46059</v>
      </c>
      <c r="U277" s="202" t="s">
        <v>4408</v>
      </c>
      <c r="V277" s="202" t="s">
        <v>4408</v>
      </c>
      <c r="W277" s="203">
        <v>46073</v>
      </c>
      <c r="X277" s="202">
        <v>46078</v>
      </c>
      <c r="Y277" s="202"/>
      <c r="Z277" s="207"/>
      <c r="AA277" s="242" t="s">
        <v>5612</v>
      </c>
      <c r="AB277" s="215" t="s">
        <v>4440</v>
      </c>
      <c r="AC277" s="215" t="s">
        <v>5613</v>
      </c>
      <c r="AD277" s="199" t="s">
        <v>4402</v>
      </c>
      <c r="AE277" s="197" t="s">
        <v>4405</v>
      </c>
      <c r="AF277" s="243" t="s">
        <v>4409</v>
      </c>
      <c r="AG277" s="243" t="s">
        <v>4409</v>
      </c>
      <c r="AH277" s="197" t="s">
        <v>4410</v>
      </c>
      <c r="AI277" s="214" t="s">
        <v>4411</v>
      </c>
      <c r="AJ277" s="207"/>
      <c r="AK277" s="316">
        <v>46041</v>
      </c>
      <c r="AL277" s="316">
        <v>46041</v>
      </c>
      <c r="AM277" s="316">
        <v>46041</v>
      </c>
      <c r="AN277" s="316">
        <v>46041</v>
      </c>
      <c r="AO277" s="316">
        <v>46041</v>
      </c>
      <c r="AP277" s="316">
        <v>46041</v>
      </c>
      <c r="AQ277" s="314"/>
      <c r="AR277" s="315" t="str">
        <f t="shared" si="20"/>
        <v>FINALIZADO</v>
      </c>
      <c r="AS277" s="207"/>
      <c r="AT277" s="207"/>
      <c r="AU277" s="220"/>
      <c r="AV277" s="207"/>
      <c r="AW277" s="207"/>
      <c r="AX277" s="228"/>
      <c r="AY277" s="207"/>
      <c r="AZ277" s="202"/>
      <c r="BA277" s="219"/>
      <c r="BB277" s="207"/>
      <c r="BC277" s="202"/>
      <c r="BD277" s="208"/>
      <c r="BE277" s="209">
        <v>46017</v>
      </c>
      <c r="BF277" s="197" t="s">
        <v>4412</v>
      </c>
      <c r="BG277" s="229"/>
      <c r="BH277" s="321" t="str">
        <f t="shared" si="21"/>
        <v/>
      </c>
      <c r="BI277" s="98" t="str">
        <f t="shared" si="22"/>
        <v>AA</v>
      </c>
      <c r="BJ277" s="98" t="str">
        <f t="shared" si="23"/>
        <v>NÃO</v>
      </c>
      <c r="BK277" s="230"/>
      <c r="BL277" s="230"/>
      <c r="BM277" s="230"/>
      <c r="BN277" s="230"/>
      <c r="BO277" s="230"/>
      <c r="BP277" s="230"/>
      <c r="BQ277" s="230"/>
      <c r="BR277" s="234"/>
    </row>
    <row r="278" spans="1:72" s="240" customFormat="1" ht="27" hidden="1" customHeight="1">
      <c r="A278" s="207">
        <v>274</v>
      </c>
      <c r="B278" s="197" t="s">
        <v>4396</v>
      </c>
      <c r="C278" s="207" t="s">
        <v>4427</v>
      </c>
      <c r="D278" s="207">
        <v>1</v>
      </c>
      <c r="E278" s="207" t="s">
        <v>4398</v>
      </c>
      <c r="F278" s="214" t="s">
        <v>5614</v>
      </c>
      <c r="G278" s="207" t="s">
        <v>4400</v>
      </c>
      <c r="H278" s="207" t="s">
        <v>4401</v>
      </c>
      <c r="I278" s="217" t="s">
        <v>4402</v>
      </c>
      <c r="J278" s="215" t="s">
        <v>5615</v>
      </c>
      <c r="K278" s="215" t="s">
        <v>5616</v>
      </c>
      <c r="L278" s="215" t="s">
        <v>5617</v>
      </c>
      <c r="M278" s="207" t="s">
        <v>4405</v>
      </c>
      <c r="N278" s="207" t="s">
        <v>4442</v>
      </c>
      <c r="O278" s="202" t="s">
        <v>4409</v>
      </c>
      <c r="P278" s="202" t="s">
        <v>4409</v>
      </c>
      <c r="Q278" s="202" t="s">
        <v>4409</v>
      </c>
      <c r="R278" s="202" t="s">
        <v>4409</v>
      </c>
      <c r="S278" s="202" t="s">
        <v>4409</v>
      </c>
      <c r="T278" s="202" t="s">
        <v>4409</v>
      </c>
      <c r="U278" s="202" t="s">
        <v>4409</v>
      </c>
      <c r="V278" s="202" t="s">
        <v>4409</v>
      </c>
      <c r="W278" s="202" t="s">
        <v>4409</v>
      </c>
      <c r="X278" s="202" t="s">
        <v>4409</v>
      </c>
      <c r="Y278" s="202"/>
      <c r="Z278" s="202"/>
      <c r="AA278" s="215" t="s">
        <v>5615</v>
      </c>
      <c r="AB278" s="214" t="s">
        <v>5616</v>
      </c>
      <c r="AC278" s="214" t="s">
        <v>5617</v>
      </c>
      <c r="AD278" s="207" t="s">
        <v>4402</v>
      </c>
      <c r="AE278" s="207" t="s">
        <v>4405</v>
      </c>
      <c r="AF278" s="218">
        <v>20751.849999999999</v>
      </c>
      <c r="AG278" s="218">
        <f>AF278+30000</f>
        <v>50751.85</v>
      </c>
      <c r="AH278" s="207" t="s">
        <v>4433</v>
      </c>
      <c r="AI278" s="214" t="s">
        <v>4411</v>
      </c>
      <c r="AJ278" s="207">
        <v>148264683</v>
      </c>
      <c r="AK278" s="316">
        <v>46045</v>
      </c>
      <c r="AL278" s="316">
        <v>46045</v>
      </c>
      <c r="AM278" s="316">
        <v>46045</v>
      </c>
      <c r="AN278" s="316">
        <v>46045</v>
      </c>
      <c r="AO278" s="316">
        <v>46045</v>
      </c>
      <c r="AP278" s="316">
        <v>46045</v>
      </c>
      <c r="AQ278" s="314"/>
      <c r="AR278" s="315" t="str">
        <f t="shared" si="20"/>
        <v>FINALIZADO</v>
      </c>
      <c r="AS278" s="207" t="s">
        <v>4423</v>
      </c>
      <c r="AT278" s="207"/>
      <c r="AU278" s="220" t="s">
        <v>5618</v>
      </c>
      <c r="AV278" s="207" t="s">
        <v>4425</v>
      </c>
      <c r="AW278" s="207" t="s">
        <v>4425</v>
      </c>
      <c r="AX278" s="250" t="s">
        <v>4425</v>
      </c>
      <c r="AY278" s="207" t="s">
        <v>4425</v>
      </c>
      <c r="AZ278" s="202">
        <v>46111</v>
      </c>
      <c r="BA278" s="207" t="s">
        <v>4425</v>
      </c>
      <c r="BB278" s="207" t="s">
        <v>4425</v>
      </c>
      <c r="BC278" s="202">
        <v>46114</v>
      </c>
      <c r="BD278" s="227">
        <v>46114</v>
      </c>
      <c r="BE278" s="244" t="s">
        <v>4435</v>
      </c>
      <c r="BF278" s="228" t="s">
        <v>4436</v>
      </c>
      <c r="BG278" s="229" t="s">
        <v>4425</v>
      </c>
      <c r="BH278" s="321">
        <f t="shared" si="21"/>
        <v>69</v>
      </c>
      <c r="BI278" s="98" t="str">
        <f t="shared" si="22"/>
        <v>INDENIZAÇÃO</v>
      </c>
      <c r="BJ278" s="98" t="str">
        <f t="shared" si="23"/>
        <v>NÃO</v>
      </c>
      <c r="BK278" s="230" t="s">
        <v>4437</v>
      </c>
      <c r="BL278" s="230" t="s">
        <v>4437</v>
      </c>
      <c r="BM278" s="230" t="s">
        <v>4437</v>
      </c>
      <c r="BN278" s="207" t="s">
        <v>4425</v>
      </c>
      <c r="BO278" s="257" t="s">
        <v>4435</v>
      </c>
      <c r="BP278" s="265"/>
      <c r="BQ278" s="265"/>
      <c r="BR278" s="231"/>
    </row>
    <row r="279" spans="1:72" s="240" customFormat="1" ht="27" hidden="1" customHeight="1">
      <c r="A279" s="197">
        <v>275</v>
      </c>
      <c r="B279" s="197" t="s">
        <v>4396</v>
      </c>
      <c r="C279" s="207" t="s">
        <v>4453</v>
      </c>
      <c r="D279" s="207">
        <v>1</v>
      </c>
      <c r="E279" s="207" t="s">
        <v>4398</v>
      </c>
      <c r="F279" s="214" t="s">
        <v>5614</v>
      </c>
      <c r="G279" s="207" t="s">
        <v>4400</v>
      </c>
      <c r="H279" s="207" t="s">
        <v>4401</v>
      </c>
      <c r="I279" s="217" t="s">
        <v>4402</v>
      </c>
      <c r="J279" s="215" t="s">
        <v>5619</v>
      </c>
      <c r="K279" s="215" t="s">
        <v>4398</v>
      </c>
      <c r="L279" s="215" t="s">
        <v>5620</v>
      </c>
      <c r="M279" s="207" t="s">
        <v>4405</v>
      </c>
      <c r="N279" s="207" t="s">
        <v>4406</v>
      </c>
      <c r="O279" s="202">
        <v>46002</v>
      </c>
      <c r="P279" s="202" t="s">
        <v>4407</v>
      </c>
      <c r="Q279" s="202">
        <v>45999</v>
      </c>
      <c r="R279" s="202">
        <v>46006</v>
      </c>
      <c r="S279" s="202">
        <v>46006</v>
      </c>
      <c r="T279" s="202">
        <v>46009</v>
      </c>
      <c r="U279" s="202" t="s">
        <v>4408</v>
      </c>
      <c r="V279" s="202" t="s">
        <v>4408</v>
      </c>
      <c r="W279" s="202">
        <v>46014</v>
      </c>
      <c r="X279" s="202">
        <v>46017</v>
      </c>
      <c r="Y279" s="202">
        <v>46017</v>
      </c>
      <c r="Z279" s="207"/>
      <c r="AA279" s="215" t="s">
        <v>5619</v>
      </c>
      <c r="AB279" s="215" t="s">
        <v>4398</v>
      </c>
      <c r="AC279" s="215" t="s">
        <v>5620</v>
      </c>
      <c r="AD279" s="241" t="s">
        <v>4402</v>
      </c>
      <c r="AE279" s="241" t="s">
        <v>4405</v>
      </c>
      <c r="AF279" s="242" t="s">
        <v>4409</v>
      </c>
      <c r="AG279" s="242" t="s">
        <v>4409</v>
      </c>
      <c r="AH279" s="241" t="s">
        <v>4410</v>
      </c>
      <c r="AI279" s="214" t="s">
        <v>4411</v>
      </c>
      <c r="AJ279" s="207"/>
      <c r="AK279" s="316">
        <v>45988</v>
      </c>
      <c r="AL279" s="316">
        <v>45988</v>
      </c>
      <c r="AM279" s="316">
        <v>45988</v>
      </c>
      <c r="AN279" s="316">
        <v>45988</v>
      </c>
      <c r="AO279" s="316">
        <v>45988</v>
      </c>
      <c r="AP279" s="316">
        <v>45988</v>
      </c>
      <c r="AQ279" s="314"/>
      <c r="AR279" s="315" t="str">
        <f t="shared" si="20"/>
        <v>FINALIZADO</v>
      </c>
      <c r="AS279" s="207"/>
      <c r="AT279" s="207"/>
      <c r="AU279" s="220"/>
      <c r="AV279" s="207"/>
      <c r="AW279" s="207"/>
      <c r="AX279" s="228"/>
      <c r="AY279" s="207"/>
      <c r="AZ279" s="202"/>
      <c r="BA279" s="219"/>
      <c r="BB279" s="207"/>
      <c r="BC279" s="202"/>
      <c r="BD279" s="208"/>
      <c r="BE279" s="239">
        <v>46017</v>
      </c>
      <c r="BF279" s="207" t="s">
        <v>4412</v>
      </c>
      <c r="BG279" s="229"/>
      <c r="BH279" s="321" t="str">
        <f t="shared" si="21"/>
        <v/>
      </c>
      <c r="BI279" s="98" t="str">
        <f t="shared" si="22"/>
        <v>AA</v>
      </c>
      <c r="BJ279" s="98" t="str">
        <f t="shared" si="23"/>
        <v>NÃO</v>
      </c>
      <c r="BK279" s="230"/>
      <c r="BL279" s="230"/>
      <c r="BM279" s="230"/>
      <c r="BN279" s="230"/>
      <c r="BO279" s="230"/>
      <c r="BP279" s="230"/>
      <c r="BQ279" s="230"/>
      <c r="BR279" s="234"/>
    </row>
    <row r="280" spans="1:72" s="240" customFormat="1" ht="27" hidden="1" customHeight="1">
      <c r="A280" s="197">
        <v>276</v>
      </c>
      <c r="B280" s="197" t="s">
        <v>4396</v>
      </c>
      <c r="C280" s="207" t="s">
        <v>4427</v>
      </c>
      <c r="D280" s="207">
        <v>1</v>
      </c>
      <c r="E280" s="207" t="s">
        <v>4398</v>
      </c>
      <c r="F280" s="214" t="s">
        <v>5621</v>
      </c>
      <c r="G280" s="207" t="s">
        <v>4400</v>
      </c>
      <c r="H280" s="207" t="s">
        <v>4401</v>
      </c>
      <c r="I280" s="217" t="s">
        <v>4402</v>
      </c>
      <c r="J280" s="215" t="s">
        <v>5622</v>
      </c>
      <c r="K280" s="215" t="s">
        <v>4440</v>
      </c>
      <c r="L280" s="215" t="s">
        <v>5623</v>
      </c>
      <c r="M280" s="207" t="s">
        <v>4405</v>
      </c>
      <c r="N280" s="207"/>
      <c r="O280" s="202" t="s">
        <v>4417</v>
      </c>
      <c r="P280" s="202" t="s">
        <v>4407</v>
      </c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  <c r="AA280" s="215" t="s">
        <v>5622</v>
      </c>
      <c r="AB280" s="215" t="s">
        <v>4440</v>
      </c>
      <c r="AC280" s="215" t="s">
        <v>5623</v>
      </c>
      <c r="AD280" s="207" t="s">
        <v>4402</v>
      </c>
      <c r="AE280" s="207" t="s">
        <v>4405</v>
      </c>
      <c r="AF280" s="243"/>
      <c r="AG280" s="243"/>
      <c r="AH280" s="197"/>
      <c r="AI280" s="214" t="s">
        <v>4411</v>
      </c>
      <c r="AJ280" s="207"/>
      <c r="AK280" s="316"/>
      <c r="AL280" s="316"/>
      <c r="AM280" s="316"/>
      <c r="AN280" s="316"/>
      <c r="AO280" s="316"/>
      <c r="AP280" s="316"/>
      <c r="AQ280" s="314"/>
      <c r="AR280" s="315" t="str">
        <f t="shared" si="20"/>
        <v/>
      </c>
      <c r="AS280" s="207"/>
      <c r="AT280" s="207"/>
      <c r="AU280" s="220"/>
      <c r="AV280" s="207"/>
      <c r="AW280" s="207"/>
      <c r="AX280" s="228"/>
      <c r="AY280" s="207"/>
      <c r="AZ280" s="202"/>
      <c r="BA280" s="207"/>
      <c r="BB280" s="207"/>
      <c r="BC280" s="202"/>
      <c r="BD280" s="208"/>
      <c r="BE280" s="244"/>
      <c r="BF280" s="245"/>
      <c r="BG280" s="229"/>
      <c r="BH280" s="321" t="str">
        <f t="shared" si="21"/>
        <v/>
      </c>
      <c r="BI280" s="98" t="str">
        <f t="shared" si="22"/>
        <v>INDENIZAÇÃO</v>
      </c>
      <c r="BJ280" s="98" t="str">
        <f t="shared" si="23"/>
        <v>NÃO</v>
      </c>
      <c r="BK280" s="230"/>
      <c r="BL280" s="230"/>
      <c r="BM280" s="230"/>
      <c r="BN280" s="230"/>
      <c r="BO280" s="230"/>
      <c r="BP280" s="230"/>
      <c r="BQ280" s="230"/>
      <c r="BR280" s="234"/>
    </row>
    <row r="281" spans="1:72" s="240" customFormat="1" ht="27" hidden="1" customHeight="1">
      <c r="A281" s="207">
        <v>277</v>
      </c>
      <c r="B281" s="197" t="s">
        <v>4396</v>
      </c>
      <c r="C281" s="207" t="s">
        <v>4427</v>
      </c>
      <c r="D281" s="207">
        <v>1</v>
      </c>
      <c r="E281" s="207" t="s">
        <v>4398</v>
      </c>
      <c r="F281" s="214" t="s">
        <v>5624</v>
      </c>
      <c r="G281" s="207" t="s">
        <v>4400</v>
      </c>
      <c r="H281" s="207" t="s">
        <v>4401</v>
      </c>
      <c r="I281" s="217" t="s">
        <v>4402</v>
      </c>
      <c r="J281" s="215" t="s">
        <v>5625</v>
      </c>
      <c r="K281" s="215" t="s">
        <v>5626</v>
      </c>
      <c r="L281" s="215" t="s">
        <v>5627</v>
      </c>
      <c r="M281" s="207" t="s">
        <v>4405</v>
      </c>
      <c r="N281" s="207" t="s">
        <v>4406</v>
      </c>
      <c r="O281" s="202">
        <v>46002</v>
      </c>
      <c r="P281" s="202" t="s">
        <v>4407</v>
      </c>
      <c r="Q281" s="202">
        <v>45999</v>
      </c>
      <c r="R281" s="202">
        <v>46006</v>
      </c>
      <c r="S281" s="202">
        <v>46006</v>
      </c>
      <c r="T281" s="202">
        <v>46009</v>
      </c>
      <c r="U281" s="202" t="s">
        <v>4408</v>
      </c>
      <c r="V281" s="202" t="s">
        <v>4408</v>
      </c>
      <c r="W281" s="202">
        <v>46014</v>
      </c>
      <c r="X281" s="202">
        <v>46017</v>
      </c>
      <c r="Y281" s="202"/>
      <c r="Z281" s="207"/>
      <c r="AA281" s="215" t="s">
        <v>5625</v>
      </c>
      <c r="AB281" s="215" t="s">
        <v>5626</v>
      </c>
      <c r="AC281" s="215" t="s">
        <v>5627</v>
      </c>
      <c r="AD281" s="217" t="s">
        <v>4402</v>
      </c>
      <c r="AE281" s="207" t="s">
        <v>4405</v>
      </c>
      <c r="AF281" s="218" t="s">
        <v>4409</v>
      </c>
      <c r="AG281" s="218" t="s">
        <v>4409</v>
      </c>
      <c r="AH281" s="207" t="s">
        <v>4410</v>
      </c>
      <c r="AI281" s="214" t="s">
        <v>4411</v>
      </c>
      <c r="AJ281" s="207"/>
      <c r="AK281" s="316">
        <v>45996</v>
      </c>
      <c r="AL281" s="316">
        <v>45996</v>
      </c>
      <c r="AM281" s="316">
        <v>45996</v>
      </c>
      <c r="AN281" s="316">
        <v>45996</v>
      </c>
      <c r="AO281" s="316">
        <v>45996</v>
      </c>
      <c r="AP281" s="316">
        <v>45996</v>
      </c>
      <c r="AQ281" s="314"/>
      <c r="AR281" s="315" t="str">
        <f t="shared" si="20"/>
        <v>FINALIZADO</v>
      </c>
      <c r="AS281" s="207"/>
      <c r="AT281" s="207"/>
      <c r="AU281" s="220"/>
      <c r="AV281" s="207"/>
      <c r="AW281" s="207"/>
      <c r="AX281" s="228"/>
      <c r="AY281" s="207"/>
      <c r="AZ281" s="202"/>
      <c r="BA281" s="219"/>
      <c r="BB281" s="207"/>
      <c r="BC281" s="202"/>
      <c r="BD281" s="208"/>
      <c r="BE281" s="202"/>
      <c r="BF281" s="207"/>
      <c r="BG281" s="229"/>
      <c r="BH281" s="321" t="str">
        <f t="shared" si="21"/>
        <v/>
      </c>
      <c r="BI281" s="98" t="str">
        <f t="shared" si="22"/>
        <v>AA</v>
      </c>
      <c r="BJ281" s="98" t="str">
        <f t="shared" si="23"/>
        <v>NÃO</v>
      </c>
      <c r="BK281" s="230"/>
      <c r="BL281" s="230"/>
      <c r="BM281" s="230"/>
      <c r="BN281" s="230"/>
      <c r="BO281" s="230"/>
      <c r="BP281" s="230"/>
      <c r="BQ281" s="230"/>
      <c r="BR281" s="234"/>
    </row>
    <row r="282" spans="1:72" s="240" customFormat="1" ht="27" hidden="1" customHeight="1">
      <c r="A282" s="207">
        <v>278</v>
      </c>
      <c r="B282" s="197" t="s">
        <v>4396</v>
      </c>
      <c r="C282" s="207" t="s">
        <v>4453</v>
      </c>
      <c r="D282" s="207">
        <v>1</v>
      </c>
      <c r="E282" s="207" t="s">
        <v>4398</v>
      </c>
      <c r="F282" s="214" t="s">
        <v>5624</v>
      </c>
      <c r="G282" s="207" t="s">
        <v>4400</v>
      </c>
      <c r="H282" s="207" t="s">
        <v>4401</v>
      </c>
      <c r="I282" s="217" t="s">
        <v>4402</v>
      </c>
      <c r="J282" s="242" t="s">
        <v>5628</v>
      </c>
      <c r="K282" s="215" t="s">
        <v>5629</v>
      </c>
      <c r="L282" s="215" t="s">
        <v>5630</v>
      </c>
      <c r="M282" s="207" t="s">
        <v>4405</v>
      </c>
      <c r="N282" s="207" t="s">
        <v>4406</v>
      </c>
      <c r="O282" s="202">
        <v>45986</v>
      </c>
      <c r="P282" s="203" t="s">
        <v>4407</v>
      </c>
      <c r="Q282" s="203">
        <v>45985</v>
      </c>
      <c r="R282" s="203">
        <v>45986</v>
      </c>
      <c r="S282" s="203">
        <v>45987</v>
      </c>
      <c r="T282" s="203">
        <v>45992</v>
      </c>
      <c r="U282" s="202" t="s">
        <v>4408</v>
      </c>
      <c r="V282" s="202" t="s">
        <v>4408</v>
      </c>
      <c r="W282" s="202">
        <v>45999</v>
      </c>
      <c r="X282" s="202">
        <v>46001</v>
      </c>
      <c r="Y282" s="202">
        <v>46017</v>
      </c>
      <c r="Z282" s="207"/>
      <c r="AA282" s="242" t="s">
        <v>5628</v>
      </c>
      <c r="AB282" s="215" t="s">
        <v>5629</v>
      </c>
      <c r="AC282" s="215" t="s">
        <v>5630</v>
      </c>
      <c r="AD282" s="241" t="s">
        <v>4402</v>
      </c>
      <c r="AE282" s="241" t="s">
        <v>4405</v>
      </c>
      <c r="AF282" s="242" t="s">
        <v>4409</v>
      </c>
      <c r="AG282" s="242" t="s">
        <v>4409</v>
      </c>
      <c r="AH282" s="241" t="s">
        <v>4410</v>
      </c>
      <c r="AI282" s="214" t="s">
        <v>4411</v>
      </c>
      <c r="AJ282" s="207"/>
      <c r="AK282" s="316">
        <v>45979</v>
      </c>
      <c r="AL282" s="316">
        <v>45979</v>
      </c>
      <c r="AM282" s="316">
        <v>45979</v>
      </c>
      <c r="AN282" s="316">
        <v>45979</v>
      </c>
      <c r="AO282" s="316">
        <v>45979</v>
      </c>
      <c r="AP282" s="316">
        <v>45979</v>
      </c>
      <c r="AQ282" s="314"/>
      <c r="AR282" s="315" t="str">
        <f t="shared" si="20"/>
        <v>FINALIZADO</v>
      </c>
      <c r="AS282" s="207"/>
      <c r="AT282" s="207"/>
      <c r="AU282" s="220"/>
      <c r="AV282" s="207"/>
      <c r="AW282" s="207"/>
      <c r="AX282" s="228"/>
      <c r="AY282" s="207"/>
      <c r="AZ282" s="202"/>
      <c r="BA282" s="219"/>
      <c r="BB282" s="207"/>
      <c r="BC282" s="202"/>
      <c r="BD282" s="208"/>
      <c r="BE282" s="239">
        <v>46017</v>
      </c>
      <c r="BF282" s="207" t="s">
        <v>4412</v>
      </c>
      <c r="BG282" s="229"/>
      <c r="BH282" s="321" t="str">
        <f t="shared" si="21"/>
        <v/>
      </c>
      <c r="BI282" s="98" t="str">
        <f t="shared" si="22"/>
        <v>AA</v>
      </c>
      <c r="BJ282" s="98" t="str">
        <f t="shared" si="23"/>
        <v>NÃO</v>
      </c>
      <c r="BK282" s="230"/>
      <c r="BL282" s="230"/>
      <c r="BM282" s="230"/>
      <c r="BN282" s="230"/>
      <c r="BO282" s="230"/>
      <c r="BP282" s="230"/>
      <c r="BQ282" s="230"/>
      <c r="BR282" s="234"/>
    </row>
    <row r="283" spans="1:72" s="240" customFormat="1" ht="27" hidden="1" customHeight="1">
      <c r="A283" s="207">
        <v>279</v>
      </c>
      <c r="B283" s="197" t="s">
        <v>4396</v>
      </c>
      <c r="C283" s="207" t="s">
        <v>4427</v>
      </c>
      <c r="D283" s="207">
        <v>1</v>
      </c>
      <c r="E283" s="207" t="s">
        <v>4398</v>
      </c>
      <c r="F283" s="214" t="s">
        <v>5631</v>
      </c>
      <c r="G283" s="207" t="s">
        <v>4400</v>
      </c>
      <c r="H283" s="207" t="s">
        <v>4401</v>
      </c>
      <c r="I283" s="217" t="s">
        <v>4402</v>
      </c>
      <c r="J283" s="215" t="s">
        <v>5632</v>
      </c>
      <c r="K283" s="215" t="s">
        <v>5633</v>
      </c>
      <c r="L283" s="215" t="s">
        <v>5634</v>
      </c>
      <c r="M283" s="207" t="s">
        <v>4405</v>
      </c>
      <c r="N283" s="207" t="s">
        <v>4442</v>
      </c>
      <c r="O283" s="202" t="s">
        <v>4409</v>
      </c>
      <c r="P283" s="202" t="s">
        <v>4409</v>
      </c>
      <c r="Q283" s="202" t="s">
        <v>4409</v>
      </c>
      <c r="R283" s="202" t="s">
        <v>4409</v>
      </c>
      <c r="S283" s="202" t="s">
        <v>4409</v>
      </c>
      <c r="T283" s="202" t="s">
        <v>4409</v>
      </c>
      <c r="U283" s="202" t="s">
        <v>4409</v>
      </c>
      <c r="V283" s="202" t="s">
        <v>4409</v>
      </c>
      <c r="W283" s="202" t="s">
        <v>4409</v>
      </c>
      <c r="X283" s="202" t="s">
        <v>4409</v>
      </c>
      <c r="Y283" s="202"/>
      <c r="Z283" s="207"/>
      <c r="AA283" s="215" t="s">
        <v>5632</v>
      </c>
      <c r="AB283" s="214" t="s">
        <v>5633</v>
      </c>
      <c r="AC283" s="214" t="s">
        <v>5634</v>
      </c>
      <c r="AD283" s="197" t="s">
        <v>4402</v>
      </c>
      <c r="AE283" s="197" t="s">
        <v>4405</v>
      </c>
      <c r="AF283" s="243">
        <v>43498.5</v>
      </c>
      <c r="AG283" s="243">
        <v>60000</v>
      </c>
      <c r="AH283" s="197" t="s">
        <v>4433</v>
      </c>
      <c r="AI283" s="214" t="s">
        <v>4411</v>
      </c>
      <c r="AJ283" s="207">
        <v>148264803</v>
      </c>
      <c r="AK283" s="316">
        <v>45996</v>
      </c>
      <c r="AL283" s="316">
        <v>45996</v>
      </c>
      <c r="AM283" s="316">
        <v>45996</v>
      </c>
      <c r="AN283" s="316">
        <v>45996</v>
      </c>
      <c r="AO283" s="316">
        <v>45996</v>
      </c>
      <c r="AP283" s="316">
        <v>45996</v>
      </c>
      <c r="AQ283" s="314"/>
      <c r="AR283" s="315" t="str">
        <f t="shared" si="20"/>
        <v>FINALIZADO</v>
      </c>
      <c r="AS283" s="207" t="s">
        <v>4423</v>
      </c>
      <c r="AT283" s="207"/>
      <c r="AU283" s="220" t="s">
        <v>5635</v>
      </c>
      <c r="AV283" s="207" t="s">
        <v>4425</v>
      </c>
      <c r="AW283" s="207" t="s">
        <v>4425</v>
      </c>
      <c r="AX283" s="250" t="s">
        <v>4425</v>
      </c>
      <c r="AY283" s="207" t="s">
        <v>4425</v>
      </c>
      <c r="AZ283" s="202">
        <v>46071</v>
      </c>
      <c r="BA283" s="219" t="s">
        <v>4425</v>
      </c>
      <c r="BB283" s="219" t="s">
        <v>4425</v>
      </c>
      <c r="BC283" s="239">
        <v>46093</v>
      </c>
      <c r="BD283" s="227">
        <v>46093</v>
      </c>
      <c r="BE283" s="244" t="s">
        <v>4435</v>
      </c>
      <c r="BF283" s="245" t="s">
        <v>4436</v>
      </c>
      <c r="BG283" s="229" t="s">
        <v>4425</v>
      </c>
      <c r="BH283" s="321">
        <f t="shared" si="21"/>
        <v>97</v>
      </c>
      <c r="BI283" s="98" t="str">
        <f t="shared" si="22"/>
        <v>INDENIZAÇÃO</v>
      </c>
      <c r="BJ283" s="98" t="str">
        <f t="shared" si="23"/>
        <v>NÃO</v>
      </c>
      <c r="BK283" s="230" t="s">
        <v>4437</v>
      </c>
      <c r="BL283" s="230" t="s">
        <v>4437</v>
      </c>
      <c r="BM283" s="230" t="s">
        <v>4437</v>
      </c>
      <c r="BN283" s="207" t="s">
        <v>4425</v>
      </c>
      <c r="BO283" s="257" t="s">
        <v>4435</v>
      </c>
      <c r="BP283" s="265"/>
      <c r="BQ283" s="265"/>
      <c r="BR283" s="231"/>
    </row>
    <row r="284" spans="1:72" s="240" customFormat="1" ht="27" hidden="1" customHeight="1">
      <c r="A284" s="197">
        <v>280</v>
      </c>
      <c r="B284" s="197" t="s">
        <v>4396</v>
      </c>
      <c r="C284" s="207" t="s">
        <v>4453</v>
      </c>
      <c r="D284" s="207">
        <v>1</v>
      </c>
      <c r="E284" s="207" t="s">
        <v>4398</v>
      </c>
      <c r="F284" s="214" t="s">
        <v>5631</v>
      </c>
      <c r="G284" s="207" t="s">
        <v>4400</v>
      </c>
      <c r="H284" s="207" t="s">
        <v>4401</v>
      </c>
      <c r="I284" s="217" t="s">
        <v>4402</v>
      </c>
      <c r="J284" s="215" t="s">
        <v>5636</v>
      </c>
      <c r="K284" s="215" t="s">
        <v>5637</v>
      </c>
      <c r="L284" s="215" t="s">
        <v>5638</v>
      </c>
      <c r="M284" s="207" t="s">
        <v>4405</v>
      </c>
      <c r="N284" s="207" t="s">
        <v>4406</v>
      </c>
      <c r="O284" s="202">
        <v>46106</v>
      </c>
      <c r="P284" s="202" t="s">
        <v>4407</v>
      </c>
      <c r="Q284" s="202">
        <v>46106</v>
      </c>
      <c r="R284" s="202">
        <v>46107</v>
      </c>
      <c r="S284" s="202">
        <v>46111</v>
      </c>
      <c r="T284" s="202">
        <v>46087</v>
      </c>
      <c r="U284" s="202" t="s">
        <v>4408</v>
      </c>
      <c r="V284" s="202" t="s">
        <v>4408</v>
      </c>
      <c r="W284" s="202">
        <v>46132</v>
      </c>
      <c r="X284" s="202">
        <v>46129</v>
      </c>
      <c r="Y284" s="202">
        <v>46017</v>
      </c>
      <c r="Z284" s="207"/>
      <c r="AA284" s="215" t="s">
        <v>5636</v>
      </c>
      <c r="AB284" s="215" t="s">
        <v>5637</v>
      </c>
      <c r="AC284" s="215" t="s">
        <v>5638</v>
      </c>
      <c r="AD284" s="241" t="s">
        <v>4402</v>
      </c>
      <c r="AE284" s="241" t="s">
        <v>4405</v>
      </c>
      <c r="AF284" s="242" t="s">
        <v>4409</v>
      </c>
      <c r="AG284" s="242" t="s">
        <v>4409</v>
      </c>
      <c r="AH284" s="241" t="s">
        <v>4410</v>
      </c>
      <c r="AI284" s="214" t="s">
        <v>4411</v>
      </c>
      <c r="AJ284" s="207"/>
      <c r="AK284" s="316">
        <v>46050</v>
      </c>
      <c r="AL284" s="316">
        <v>46050</v>
      </c>
      <c r="AM284" s="316">
        <v>46050</v>
      </c>
      <c r="AN284" s="316">
        <v>46050</v>
      </c>
      <c r="AO284" s="316">
        <v>46050</v>
      </c>
      <c r="AP284" s="316">
        <v>46050</v>
      </c>
      <c r="AQ284" s="314"/>
      <c r="AR284" s="315" t="str">
        <f t="shared" si="20"/>
        <v>FINALIZADO</v>
      </c>
      <c r="AS284" s="207"/>
      <c r="AT284" s="207"/>
      <c r="AU284" s="220"/>
      <c r="AV284" s="207"/>
      <c r="AW284" s="207"/>
      <c r="AX284" s="228"/>
      <c r="AY284" s="228"/>
      <c r="AZ284" s="227"/>
      <c r="BA284" s="219"/>
      <c r="BB284" s="228"/>
      <c r="BC284" s="228"/>
      <c r="BD284" s="208"/>
      <c r="BE284" s="239">
        <v>46017</v>
      </c>
      <c r="BF284" s="207" t="s">
        <v>4412</v>
      </c>
      <c r="BG284" s="229"/>
      <c r="BH284" s="321" t="str">
        <f t="shared" si="21"/>
        <v/>
      </c>
      <c r="BI284" s="98" t="str">
        <f t="shared" si="22"/>
        <v>AA</v>
      </c>
      <c r="BJ284" s="98" t="str">
        <f t="shared" si="23"/>
        <v>NÃO</v>
      </c>
      <c r="BK284" s="230"/>
      <c r="BL284" s="230"/>
      <c r="BM284" s="230"/>
      <c r="BN284" s="230"/>
      <c r="BO284" s="230"/>
      <c r="BP284" s="230"/>
      <c r="BQ284" s="230"/>
      <c r="BR284" s="234"/>
    </row>
    <row r="285" spans="1:72" s="240" customFormat="1" ht="27" hidden="1" customHeight="1">
      <c r="A285" s="197">
        <v>281</v>
      </c>
      <c r="B285" s="197" t="s">
        <v>4396</v>
      </c>
      <c r="C285" s="207" t="s">
        <v>4427</v>
      </c>
      <c r="D285" s="207">
        <v>1</v>
      </c>
      <c r="E285" s="207" t="s">
        <v>4398</v>
      </c>
      <c r="F285" s="214" t="s">
        <v>5639</v>
      </c>
      <c r="G285" s="207" t="s">
        <v>4400</v>
      </c>
      <c r="H285" s="207" t="s">
        <v>4401</v>
      </c>
      <c r="I285" s="217" t="s">
        <v>4402</v>
      </c>
      <c r="J285" s="215" t="s">
        <v>5640</v>
      </c>
      <c r="K285" s="215" t="s">
        <v>4398</v>
      </c>
      <c r="L285" s="215" t="s">
        <v>5641</v>
      </c>
      <c r="M285" s="207" t="s">
        <v>4405</v>
      </c>
      <c r="N285" s="207" t="s">
        <v>4442</v>
      </c>
      <c r="O285" s="202" t="s">
        <v>4409</v>
      </c>
      <c r="P285" s="202" t="s">
        <v>4409</v>
      </c>
      <c r="Q285" s="202" t="s">
        <v>4409</v>
      </c>
      <c r="R285" s="202" t="s">
        <v>4409</v>
      </c>
      <c r="S285" s="202" t="s">
        <v>4409</v>
      </c>
      <c r="T285" s="202" t="s">
        <v>4409</v>
      </c>
      <c r="U285" s="202" t="s">
        <v>4409</v>
      </c>
      <c r="V285" s="202" t="s">
        <v>4409</v>
      </c>
      <c r="W285" s="202" t="s">
        <v>4409</v>
      </c>
      <c r="X285" s="202" t="s">
        <v>4409</v>
      </c>
      <c r="Y285" s="202"/>
      <c r="Z285" s="207"/>
      <c r="AA285" s="215" t="s">
        <v>5640</v>
      </c>
      <c r="AB285" s="214" t="s">
        <v>4398</v>
      </c>
      <c r="AC285" s="214" t="s">
        <v>5641</v>
      </c>
      <c r="AD285" s="197" t="s">
        <v>4402</v>
      </c>
      <c r="AE285" s="197" t="s">
        <v>4405</v>
      </c>
      <c r="AF285" s="218">
        <v>63448.61</v>
      </c>
      <c r="AG285" s="218">
        <v>63448.61</v>
      </c>
      <c r="AH285" s="207" t="s">
        <v>4433</v>
      </c>
      <c r="AI285" s="214" t="s">
        <v>4411</v>
      </c>
      <c r="AJ285" s="207">
        <v>151379243</v>
      </c>
      <c r="AK285" s="316">
        <v>46077</v>
      </c>
      <c r="AL285" s="316">
        <v>46077</v>
      </c>
      <c r="AM285" s="316">
        <v>46077</v>
      </c>
      <c r="AN285" s="316">
        <v>46077</v>
      </c>
      <c r="AO285" s="316">
        <v>46077</v>
      </c>
      <c r="AP285" s="316">
        <v>46077</v>
      </c>
      <c r="AQ285" s="314"/>
      <c r="AR285" s="315" t="str">
        <f t="shared" si="20"/>
        <v>FINALIZADO</v>
      </c>
      <c r="AS285" s="207" t="s">
        <v>4423</v>
      </c>
      <c r="AT285" s="207"/>
      <c r="AU285" s="220" t="s">
        <v>5642</v>
      </c>
      <c r="AV285" s="207" t="s">
        <v>4425</v>
      </c>
      <c r="AW285" s="207" t="s">
        <v>4425</v>
      </c>
      <c r="AX285" s="250" t="s">
        <v>4425</v>
      </c>
      <c r="AY285" s="207" t="s">
        <v>4425</v>
      </c>
      <c r="AZ285" s="202">
        <v>46111</v>
      </c>
      <c r="BA285" s="207" t="s">
        <v>4425</v>
      </c>
      <c r="BB285" s="207" t="s">
        <v>4425</v>
      </c>
      <c r="BC285" s="239">
        <v>46118</v>
      </c>
      <c r="BD285" s="227">
        <v>46118</v>
      </c>
      <c r="BE285" s="244" t="s">
        <v>4435</v>
      </c>
      <c r="BF285" s="245" t="s">
        <v>4436</v>
      </c>
      <c r="BG285" s="229" t="s">
        <v>4425</v>
      </c>
      <c r="BH285" s="321">
        <f t="shared" si="21"/>
        <v>41</v>
      </c>
      <c r="BI285" s="98" t="str">
        <f t="shared" si="22"/>
        <v>INDENIZAÇÃO</v>
      </c>
      <c r="BJ285" s="98" t="str">
        <f t="shared" si="23"/>
        <v>NÃO</v>
      </c>
      <c r="BK285" s="230" t="s">
        <v>4437</v>
      </c>
      <c r="BL285" s="230" t="s">
        <v>4437</v>
      </c>
      <c r="BM285" s="230" t="s">
        <v>4437</v>
      </c>
      <c r="BN285" s="207" t="s">
        <v>4425</v>
      </c>
      <c r="BO285" s="257" t="s">
        <v>4435</v>
      </c>
      <c r="BP285" s="265"/>
      <c r="BQ285" s="265"/>
      <c r="BR285" s="231"/>
    </row>
    <row r="286" spans="1:72" s="240" customFormat="1" ht="27" hidden="1" customHeight="1">
      <c r="A286" s="207">
        <v>282</v>
      </c>
      <c r="B286" s="197" t="s">
        <v>4396</v>
      </c>
      <c r="C286" s="207" t="s">
        <v>4427</v>
      </c>
      <c r="D286" s="207">
        <v>1</v>
      </c>
      <c r="E286" s="207" t="s">
        <v>4398</v>
      </c>
      <c r="F286" s="214" t="s">
        <v>5643</v>
      </c>
      <c r="G286" s="207" t="s">
        <v>4400</v>
      </c>
      <c r="H286" s="207" t="s">
        <v>4401</v>
      </c>
      <c r="I286" s="217" t="s">
        <v>4402</v>
      </c>
      <c r="J286" s="215" t="s">
        <v>5644</v>
      </c>
      <c r="K286" s="215" t="s">
        <v>5645</v>
      </c>
      <c r="L286" s="215" t="s">
        <v>5646</v>
      </c>
      <c r="M286" s="207" t="s">
        <v>4405</v>
      </c>
      <c r="N286" s="207" t="s">
        <v>4442</v>
      </c>
      <c r="O286" s="202" t="s">
        <v>4409</v>
      </c>
      <c r="P286" s="202" t="s">
        <v>4409</v>
      </c>
      <c r="Q286" s="202" t="s">
        <v>4409</v>
      </c>
      <c r="R286" s="202" t="s">
        <v>4409</v>
      </c>
      <c r="S286" s="202" t="s">
        <v>4409</v>
      </c>
      <c r="T286" s="202" t="s">
        <v>4409</v>
      </c>
      <c r="U286" s="202" t="s">
        <v>4409</v>
      </c>
      <c r="V286" s="202" t="s">
        <v>4409</v>
      </c>
      <c r="W286" s="202" t="s">
        <v>4409</v>
      </c>
      <c r="X286" s="202" t="s">
        <v>4409</v>
      </c>
      <c r="Y286" s="202"/>
      <c r="Z286" s="202"/>
      <c r="AA286" s="215" t="s">
        <v>5644</v>
      </c>
      <c r="AB286" s="214" t="s">
        <v>5645</v>
      </c>
      <c r="AC286" s="214" t="s">
        <v>5646</v>
      </c>
      <c r="AD286" s="241" t="s">
        <v>4402</v>
      </c>
      <c r="AE286" s="241" t="s">
        <v>4405</v>
      </c>
      <c r="AF286" s="218">
        <v>31960.69</v>
      </c>
      <c r="AG286" s="218">
        <v>60000</v>
      </c>
      <c r="AH286" s="207" t="s">
        <v>4433</v>
      </c>
      <c r="AI286" s="214" t="s">
        <v>4411</v>
      </c>
      <c r="AJ286" s="207">
        <v>147041833</v>
      </c>
      <c r="AK286" s="316">
        <v>45986</v>
      </c>
      <c r="AL286" s="316">
        <v>45986</v>
      </c>
      <c r="AM286" s="316">
        <v>45986</v>
      </c>
      <c r="AN286" s="316">
        <v>45986</v>
      </c>
      <c r="AO286" s="316">
        <v>45986</v>
      </c>
      <c r="AP286" s="316">
        <v>45986</v>
      </c>
      <c r="AQ286" s="314"/>
      <c r="AR286" s="315" t="str">
        <f t="shared" si="20"/>
        <v>FINALIZADO</v>
      </c>
      <c r="AS286" s="207" t="s">
        <v>4423</v>
      </c>
      <c r="AT286" s="207"/>
      <c r="AU286" s="220" t="s">
        <v>5647</v>
      </c>
      <c r="AV286" s="207" t="s">
        <v>4425</v>
      </c>
      <c r="AW286" s="207" t="s">
        <v>4425</v>
      </c>
      <c r="AX286" s="250" t="s">
        <v>4425</v>
      </c>
      <c r="AY286" s="207" t="s">
        <v>4425</v>
      </c>
      <c r="AZ286" s="202">
        <v>46008</v>
      </c>
      <c r="BA286" s="219" t="s">
        <v>4425</v>
      </c>
      <c r="BB286" s="207" t="s">
        <v>4425</v>
      </c>
      <c r="BC286" s="239">
        <v>46021</v>
      </c>
      <c r="BD286" s="227">
        <v>46021</v>
      </c>
      <c r="BE286" s="227" t="s">
        <v>4435</v>
      </c>
      <c r="BF286" s="228" t="s">
        <v>4436</v>
      </c>
      <c r="BG286" s="229" t="s">
        <v>4425</v>
      </c>
      <c r="BH286" s="321">
        <f t="shared" si="21"/>
        <v>35</v>
      </c>
      <c r="BI286" s="98" t="str">
        <f t="shared" si="22"/>
        <v>INDENIZAÇÃO</v>
      </c>
      <c r="BJ286" s="98" t="str">
        <f t="shared" si="23"/>
        <v>NÃO</v>
      </c>
      <c r="BK286" s="230" t="s">
        <v>4437</v>
      </c>
      <c r="BL286" s="230" t="s">
        <v>4437</v>
      </c>
      <c r="BM286" s="230" t="s">
        <v>4437</v>
      </c>
      <c r="BN286" s="207" t="s">
        <v>4425</v>
      </c>
      <c r="BO286" s="207" t="s">
        <v>4425</v>
      </c>
      <c r="BP286" s="202">
        <v>46205</v>
      </c>
      <c r="BQ286" s="207" t="s">
        <v>4425</v>
      </c>
      <c r="BR286" s="232" t="s">
        <v>4435</v>
      </c>
    </row>
    <row r="287" spans="1:72" s="240" customFormat="1" ht="27" hidden="1" customHeight="1">
      <c r="A287" s="207">
        <v>283</v>
      </c>
      <c r="B287" s="197" t="s">
        <v>4396</v>
      </c>
      <c r="C287" s="207" t="s">
        <v>4453</v>
      </c>
      <c r="D287" s="207">
        <v>1</v>
      </c>
      <c r="E287" s="207" t="s">
        <v>4398</v>
      </c>
      <c r="F287" s="214" t="s">
        <v>5643</v>
      </c>
      <c r="G287" s="207" t="s">
        <v>4400</v>
      </c>
      <c r="H287" s="207" t="s">
        <v>4401</v>
      </c>
      <c r="I287" s="217" t="s">
        <v>4402</v>
      </c>
      <c r="J287" s="215" t="s">
        <v>5648</v>
      </c>
      <c r="K287" s="215" t="s">
        <v>5649</v>
      </c>
      <c r="L287" s="215" t="s">
        <v>5650</v>
      </c>
      <c r="M287" s="207" t="s">
        <v>4405</v>
      </c>
      <c r="N287" s="207" t="s">
        <v>4406</v>
      </c>
      <c r="O287" s="202">
        <v>45986</v>
      </c>
      <c r="P287" s="203" t="s">
        <v>4407</v>
      </c>
      <c r="Q287" s="203">
        <v>45985</v>
      </c>
      <c r="R287" s="203">
        <v>45986</v>
      </c>
      <c r="S287" s="203">
        <v>45987</v>
      </c>
      <c r="T287" s="203">
        <v>45992</v>
      </c>
      <c r="U287" s="203" t="s">
        <v>4408</v>
      </c>
      <c r="V287" s="203" t="s">
        <v>4408</v>
      </c>
      <c r="W287" s="202">
        <v>45999</v>
      </c>
      <c r="X287" s="202">
        <v>46006</v>
      </c>
      <c r="Y287" s="202">
        <v>46017</v>
      </c>
      <c r="Z287" s="207"/>
      <c r="AA287" s="215" t="s">
        <v>5648</v>
      </c>
      <c r="AB287" s="215" t="s">
        <v>5649</v>
      </c>
      <c r="AC287" s="215" t="s">
        <v>5650</v>
      </c>
      <c r="AD287" s="204" t="s">
        <v>4402</v>
      </c>
      <c r="AE287" s="204" t="s">
        <v>4405</v>
      </c>
      <c r="AF287" s="205" t="s">
        <v>4409</v>
      </c>
      <c r="AG287" s="205" t="s">
        <v>4409</v>
      </c>
      <c r="AH287" s="204" t="s">
        <v>4410</v>
      </c>
      <c r="AI287" s="214" t="s">
        <v>4411</v>
      </c>
      <c r="AJ287" s="207"/>
      <c r="AK287" s="316">
        <v>45979</v>
      </c>
      <c r="AL287" s="316">
        <v>45979</v>
      </c>
      <c r="AM287" s="316">
        <v>45979</v>
      </c>
      <c r="AN287" s="316">
        <v>45979</v>
      </c>
      <c r="AO287" s="316">
        <v>45979</v>
      </c>
      <c r="AP287" s="316">
        <v>45979</v>
      </c>
      <c r="AQ287" s="314"/>
      <c r="AR287" s="315" t="str">
        <f t="shared" si="20"/>
        <v>FINALIZADO</v>
      </c>
      <c r="AS287" s="207"/>
      <c r="AT287" s="217"/>
      <c r="AU287" s="220"/>
      <c r="AV287" s="207"/>
      <c r="AW287" s="207"/>
      <c r="AX287" s="228"/>
      <c r="AY287" s="207"/>
      <c r="AZ287" s="202"/>
      <c r="BA287" s="219"/>
      <c r="BB287" s="207"/>
      <c r="BC287" s="202"/>
      <c r="BD287" s="208"/>
      <c r="BE287" s="209">
        <v>46017</v>
      </c>
      <c r="BF287" s="197" t="s">
        <v>4412</v>
      </c>
      <c r="BG287" s="229"/>
      <c r="BH287" s="321" t="str">
        <f t="shared" si="21"/>
        <v/>
      </c>
      <c r="BI287" s="98" t="str">
        <f t="shared" si="22"/>
        <v>AA</v>
      </c>
      <c r="BJ287" s="98" t="str">
        <f t="shared" si="23"/>
        <v>NÃO</v>
      </c>
      <c r="BK287" s="230"/>
      <c r="BL287" s="230"/>
      <c r="BM287" s="230"/>
      <c r="BN287" s="230"/>
      <c r="BO287" s="230"/>
      <c r="BP287" s="230"/>
      <c r="BQ287" s="230"/>
      <c r="BR287" s="234"/>
    </row>
    <row r="288" spans="1:72" s="240" customFormat="1" ht="27" hidden="1" customHeight="1">
      <c r="A288" s="207">
        <v>284</v>
      </c>
      <c r="B288" s="197" t="s">
        <v>4396</v>
      </c>
      <c r="C288" s="207" t="s">
        <v>4453</v>
      </c>
      <c r="D288" s="207">
        <v>1</v>
      </c>
      <c r="E288" s="207" t="s">
        <v>4398</v>
      </c>
      <c r="F288" s="214" t="s">
        <v>5651</v>
      </c>
      <c r="G288" s="207" t="s">
        <v>4400</v>
      </c>
      <c r="H288" s="207" t="s">
        <v>4401</v>
      </c>
      <c r="I288" s="217" t="s">
        <v>4402</v>
      </c>
      <c r="J288" s="215" t="s">
        <v>5652</v>
      </c>
      <c r="K288" s="215" t="s">
        <v>4398</v>
      </c>
      <c r="L288" s="215" t="s">
        <v>5653</v>
      </c>
      <c r="M288" s="207" t="s">
        <v>4405</v>
      </c>
      <c r="N288" s="207" t="s">
        <v>4406</v>
      </c>
      <c r="O288" s="203">
        <v>46044</v>
      </c>
      <c r="P288" s="203" t="s">
        <v>4407</v>
      </c>
      <c r="Q288" s="203">
        <v>46043</v>
      </c>
      <c r="R288" s="203">
        <v>46044</v>
      </c>
      <c r="S288" s="203">
        <v>46045</v>
      </c>
      <c r="T288" s="203">
        <v>46155</v>
      </c>
      <c r="U288" s="202" t="s">
        <v>4408</v>
      </c>
      <c r="V288" s="202" t="s">
        <v>4408</v>
      </c>
      <c r="W288" s="202">
        <v>46055</v>
      </c>
      <c r="X288" s="202">
        <v>46063</v>
      </c>
      <c r="Y288" s="202">
        <v>46017</v>
      </c>
      <c r="Z288" s="202"/>
      <c r="AA288" s="215" t="s">
        <v>5652</v>
      </c>
      <c r="AB288" s="215" t="s">
        <v>4398</v>
      </c>
      <c r="AC288" s="215" t="s">
        <v>5653</v>
      </c>
      <c r="AD288" s="204" t="s">
        <v>4402</v>
      </c>
      <c r="AE288" s="204" t="s">
        <v>4405</v>
      </c>
      <c r="AF288" s="205" t="s">
        <v>4409</v>
      </c>
      <c r="AG288" s="205" t="s">
        <v>4409</v>
      </c>
      <c r="AH288" s="204" t="s">
        <v>4410</v>
      </c>
      <c r="AI288" s="214" t="s">
        <v>4411</v>
      </c>
      <c r="AJ288" s="207"/>
      <c r="AK288" s="316">
        <v>46041</v>
      </c>
      <c r="AL288" s="316">
        <v>46041</v>
      </c>
      <c r="AM288" s="316">
        <v>46041</v>
      </c>
      <c r="AN288" s="316">
        <v>46041</v>
      </c>
      <c r="AO288" s="316">
        <v>46041</v>
      </c>
      <c r="AP288" s="316">
        <v>46041</v>
      </c>
      <c r="AQ288" s="314"/>
      <c r="AR288" s="315" t="str">
        <f t="shared" si="20"/>
        <v>FINALIZADO</v>
      </c>
      <c r="AS288" s="207"/>
      <c r="AT288" s="207"/>
      <c r="AU288" s="220"/>
      <c r="AV288" s="207"/>
      <c r="AW288" s="207"/>
      <c r="AX288" s="228"/>
      <c r="AY288" s="207"/>
      <c r="AZ288" s="202"/>
      <c r="BA288" s="219"/>
      <c r="BB288" s="207"/>
      <c r="BC288" s="202"/>
      <c r="BD288" s="208"/>
      <c r="BE288" s="209">
        <v>46017</v>
      </c>
      <c r="BF288" s="197" t="s">
        <v>4412</v>
      </c>
      <c r="BG288" s="229"/>
      <c r="BH288" s="321" t="str">
        <f t="shared" si="21"/>
        <v/>
      </c>
      <c r="BI288" s="98" t="str">
        <f t="shared" si="22"/>
        <v>AA</v>
      </c>
      <c r="BJ288" s="98" t="str">
        <f t="shared" si="23"/>
        <v>NÃO</v>
      </c>
      <c r="BK288" s="230"/>
      <c r="BL288" s="230"/>
      <c r="BM288" s="230"/>
      <c r="BN288" s="265"/>
      <c r="BO288" s="265"/>
      <c r="BP288" s="265"/>
      <c r="BQ288" s="265"/>
      <c r="BR288" s="231"/>
    </row>
    <row r="289" spans="1:80" s="240" customFormat="1" ht="27" hidden="1" customHeight="1">
      <c r="A289" s="197">
        <v>285</v>
      </c>
      <c r="B289" s="197" t="s">
        <v>4396</v>
      </c>
      <c r="C289" s="207" t="s">
        <v>4453</v>
      </c>
      <c r="D289" s="207">
        <v>1</v>
      </c>
      <c r="E289" s="207" t="s">
        <v>4398</v>
      </c>
      <c r="F289" s="214" t="s">
        <v>5654</v>
      </c>
      <c r="G289" s="207" t="s">
        <v>4400</v>
      </c>
      <c r="H289" s="207" t="s">
        <v>4401</v>
      </c>
      <c r="I289" s="217" t="s">
        <v>4402</v>
      </c>
      <c r="J289" s="215" t="s">
        <v>5655</v>
      </c>
      <c r="K289" s="215" t="s">
        <v>5656</v>
      </c>
      <c r="L289" s="215" t="s">
        <v>5657</v>
      </c>
      <c r="M289" s="207" t="s">
        <v>4405</v>
      </c>
      <c r="N289" s="207" t="s">
        <v>4442</v>
      </c>
      <c r="O289" s="202" t="s">
        <v>4409</v>
      </c>
      <c r="P289" s="202" t="s">
        <v>4409</v>
      </c>
      <c r="Q289" s="202" t="s">
        <v>4409</v>
      </c>
      <c r="R289" s="202" t="s">
        <v>4409</v>
      </c>
      <c r="S289" s="202" t="s">
        <v>4409</v>
      </c>
      <c r="T289" s="202" t="s">
        <v>4409</v>
      </c>
      <c r="U289" s="202" t="s">
        <v>4409</v>
      </c>
      <c r="V289" s="202" t="s">
        <v>4409</v>
      </c>
      <c r="W289" s="202" t="s">
        <v>4409</v>
      </c>
      <c r="X289" s="202" t="s">
        <v>4409</v>
      </c>
      <c r="Y289" s="202"/>
      <c r="Z289" s="202"/>
      <c r="AA289" s="215" t="s">
        <v>5655</v>
      </c>
      <c r="AB289" s="215" t="s">
        <v>5656</v>
      </c>
      <c r="AC289" s="215" t="s">
        <v>5657</v>
      </c>
      <c r="AD289" s="204" t="s">
        <v>4402</v>
      </c>
      <c r="AE289" s="204" t="s">
        <v>4405</v>
      </c>
      <c r="AF289" s="243">
        <v>28298.76</v>
      </c>
      <c r="AG289" s="243">
        <f>AF289+30000</f>
        <v>58298.759999999995</v>
      </c>
      <c r="AH289" s="197" t="s">
        <v>4433</v>
      </c>
      <c r="AI289" s="214" t="s">
        <v>4411</v>
      </c>
      <c r="AJ289" s="207">
        <v>149817884</v>
      </c>
      <c r="AK289" s="316">
        <v>46050</v>
      </c>
      <c r="AL289" s="316">
        <v>46050</v>
      </c>
      <c r="AM289" s="316">
        <v>46050</v>
      </c>
      <c r="AN289" s="316">
        <v>46050</v>
      </c>
      <c r="AO289" s="316">
        <v>46050</v>
      </c>
      <c r="AP289" s="316">
        <v>46050</v>
      </c>
      <c r="AQ289" s="314"/>
      <c r="AR289" s="315" t="str">
        <f t="shared" si="20"/>
        <v>FINALIZADO</v>
      </c>
      <c r="AS289" s="207" t="s">
        <v>4423</v>
      </c>
      <c r="AT289" s="207"/>
      <c r="AU289" s="220" t="s">
        <v>5658</v>
      </c>
      <c r="AV289" s="207" t="s">
        <v>4425</v>
      </c>
      <c r="AW289" s="207" t="s">
        <v>4425</v>
      </c>
      <c r="AX289" s="250" t="s">
        <v>4425</v>
      </c>
      <c r="AY289" s="207" t="s">
        <v>4425</v>
      </c>
      <c r="AZ289" s="202">
        <v>46078</v>
      </c>
      <c r="BA289" s="219" t="s">
        <v>4425</v>
      </c>
      <c r="BB289" s="219" t="s">
        <v>4425</v>
      </c>
      <c r="BC289" s="239">
        <v>46092</v>
      </c>
      <c r="BD289" s="227">
        <v>46092</v>
      </c>
      <c r="BE289" s="209">
        <v>46017</v>
      </c>
      <c r="BF289" s="197" t="s">
        <v>4412</v>
      </c>
      <c r="BG289" s="229" t="s">
        <v>4425</v>
      </c>
      <c r="BH289" s="321">
        <f t="shared" si="21"/>
        <v>42</v>
      </c>
      <c r="BI289" s="98" t="str">
        <f t="shared" si="22"/>
        <v>INDENIZAÇÃO</v>
      </c>
      <c r="BJ289" s="98" t="str">
        <f t="shared" si="23"/>
        <v>NÃO</v>
      </c>
      <c r="BK289" s="230" t="s">
        <v>4437</v>
      </c>
      <c r="BL289" s="230" t="s">
        <v>4437</v>
      </c>
      <c r="BM289" s="230" t="s">
        <v>4437</v>
      </c>
      <c r="BN289" s="207" t="s">
        <v>4425</v>
      </c>
      <c r="BO289" s="257" t="s">
        <v>4435</v>
      </c>
      <c r="BP289" s="265"/>
      <c r="BQ289" s="265"/>
      <c r="BR289" s="231"/>
    </row>
    <row r="290" spans="1:80" s="240" customFormat="1" ht="27" hidden="1" customHeight="1">
      <c r="A290" s="197">
        <v>286</v>
      </c>
      <c r="B290" s="197" t="s">
        <v>4396</v>
      </c>
      <c r="C290" s="207" t="s">
        <v>4453</v>
      </c>
      <c r="D290" s="207">
        <v>1</v>
      </c>
      <c r="E290" s="207" t="s">
        <v>4398</v>
      </c>
      <c r="F290" s="214" t="s">
        <v>5659</v>
      </c>
      <c r="G290" s="207" t="s">
        <v>4400</v>
      </c>
      <c r="H290" s="207" t="s">
        <v>4401</v>
      </c>
      <c r="I290" s="217" t="s">
        <v>4402</v>
      </c>
      <c r="J290" s="215" t="s">
        <v>5660</v>
      </c>
      <c r="K290" s="215" t="s">
        <v>5661</v>
      </c>
      <c r="L290" s="215" t="s">
        <v>5662</v>
      </c>
      <c r="M290" s="207" t="s">
        <v>4405</v>
      </c>
      <c r="N290" s="207" t="s">
        <v>4406</v>
      </c>
      <c r="O290" s="202">
        <v>46058</v>
      </c>
      <c r="P290" s="203" t="s">
        <v>4407</v>
      </c>
      <c r="Q290" s="202">
        <v>46058</v>
      </c>
      <c r="R290" s="202">
        <v>46058</v>
      </c>
      <c r="S290" s="202">
        <v>46059</v>
      </c>
      <c r="T290" s="202">
        <v>46063</v>
      </c>
      <c r="U290" s="202" t="s">
        <v>4408</v>
      </c>
      <c r="V290" s="202" t="s">
        <v>4408</v>
      </c>
      <c r="W290" s="203">
        <v>46073</v>
      </c>
      <c r="X290" s="202">
        <v>46073</v>
      </c>
      <c r="Y290" s="202">
        <v>46017</v>
      </c>
      <c r="Z290" s="202"/>
      <c r="AA290" s="215" t="s">
        <v>5660</v>
      </c>
      <c r="AB290" s="215" t="s">
        <v>5661</v>
      </c>
      <c r="AC290" s="215" t="s">
        <v>5662</v>
      </c>
      <c r="AD290" s="204" t="s">
        <v>4402</v>
      </c>
      <c r="AE290" s="204" t="s">
        <v>4405</v>
      </c>
      <c r="AF290" s="205" t="s">
        <v>4409</v>
      </c>
      <c r="AG290" s="205" t="s">
        <v>4409</v>
      </c>
      <c r="AH290" s="204" t="s">
        <v>4410</v>
      </c>
      <c r="AI290" s="214" t="s">
        <v>4411</v>
      </c>
      <c r="AJ290" s="207"/>
      <c r="AK290" s="316">
        <v>46050</v>
      </c>
      <c r="AL290" s="316">
        <v>46050</v>
      </c>
      <c r="AM290" s="316">
        <v>46050</v>
      </c>
      <c r="AN290" s="316">
        <v>46050</v>
      </c>
      <c r="AO290" s="316">
        <v>46050</v>
      </c>
      <c r="AP290" s="316">
        <v>46050</v>
      </c>
      <c r="AQ290" s="314"/>
      <c r="AR290" s="315" t="str">
        <f t="shared" si="20"/>
        <v>FINALIZADO</v>
      </c>
      <c r="AS290" s="207"/>
      <c r="AT290" s="207"/>
      <c r="AU290" s="220"/>
      <c r="AV290" s="207"/>
      <c r="AW290" s="207"/>
      <c r="AX290" s="228"/>
      <c r="AY290" s="207"/>
      <c r="AZ290" s="202"/>
      <c r="BA290" s="219"/>
      <c r="BB290" s="207"/>
      <c r="BC290" s="202"/>
      <c r="BD290" s="208"/>
      <c r="BE290" s="209">
        <v>46017</v>
      </c>
      <c r="BF290" s="197" t="s">
        <v>4412</v>
      </c>
      <c r="BG290" s="229"/>
      <c r="BH290" s="321" t="str">
        <f t="shared" si="21"/>
        <v/>
      </c>
      <c r="BI290" s="98" t="str">
        <f t="shared" si="22"/>
        <v>AA</v>
      </c>
      <c r="BJ290" s="98" t="str">
        <f t="shared" si="23"/>
        <v>NÃO</v>
      </c>
      <c r="BK290" s="230"/>
      <c r="BL290" s="230"/>
      <c r="BM290" s="230"/>
      <c r="BN290" s="265"/>
      <c r="BO290" s="265"/>
      <c r="BP290" s="265"/>
      <c r="BQ290" s="265"/>
      <c r="BR290" s="231"/>
    </row>
    <row r="291" spans="1:80" s="240" customFormat="1" ht="27" hidden="1" customHeight="1">
      <c r="A291" s="207">
        <v>287</v>
      </c>
      <c r="B291" s="197" t="s">
        <v>4396</v>
      </c>
      <c r="C291" s="207" t="s">
        <v>4453</v>
      </c>
      <c r="D291" s="207">
        <v>1</v>
      </c>
      <c r="E291" s="207" t="s">
        <v>4398</v>
      </c>
      <c r="F291" s="214" t="s">
        <v>5663</v>
      </c>
      <c r="G291" s="207" t="s">
        <v>4400</v>
      </c>
      <c r="H291" s="207" t="s">
        <v>4401</v>
      </c>
      <c r="I291" s="217" t="s">
        <v>4402</v>
      </c>
      <c r="J291" s="215" t="s">
        <v>5664</v>
      </c>
      <c r="K291" s="215" t="s">
        <v>5665</v>
      </c>
      <c r="L291" s="215" t="s">
        <v>5666</v>
      </c>
      <c r="M291" s="207" t="s">
        <v>4405</v>
      </c>
      <c r="N291" s="207" t="s">
        <v>4442</v>
      </c>
      <c r="O291" s="202" t="s">
        <v>4409</v>
      </c>
      <c r="P291" s="202" t="s">
        <v>4409</v>
      </c>
      <c r="Q291" s="202" t="s">
        <v>4409</v>
      </c>
      <c r="R291" s="202" t="s">
        <v>4409</v>
      </c>
      <c r="S291" s="202" t="s">
        <v>4409</v>
      </c>
      <c r="T291" s="202" t="s">
        <v>4409</v>
      </c>
      <c r="U291" s="202" t="s">
        <v>4409</v>
      </c>
      <c r="V291" s="202" t="s">
        <v>4409</v>
      </c>
      <c r="W291" s="202" t="s">
        <v>4409</v>
      </c>
      <c r="X291" s="202" t="s">
        <v>4409</v>
      </c>
      <c r="Y291" s="202"/>
      <c r="Z291" s="207"/>
      <c r="AA291" s="215" t="s">
        <v>5664</v>
      </c>
      <c r="AB291" s="214" t="s">
        <v>5665</v>
      </c>
      <c r="AC291" s="246" t="s">
        <v>5666</v>
      </c>
      <c r="AD291" s="204" t="s">
        <v>4402</v>
      </c>
      <c r="AE291" s="204" t="s">
        <v>4405</v>
      </c>
      <c r="AF291" s="243">
        <v>12046</v>
      </c>
      <c r="AG291" s="243">
        <f>AF291+30000</f>
        <v>42046</v>
      </c>
      <c r="AH291" s="197" t="s">
        <v>4433</v>
      </c>
      <c r="AI291" s="214" t="s">
        <v>4411</v>
      </c>
      <c r="AJ291" s="207">
        <v>146668154</v>
      </c>
      <c r="AK291" s="316">
        <v>45979</v>
      </c>
      <c r="AL291" s="316">
        <v>45979</v>
      </c>
      <c r="AM291" s="316">
        <v>45979</v>
      </c>
      <c r="AN291" s="316">
        <v>45979</v>
      </c>
      <c r="AO291" s="316">
        <v>45979</v>
      </c>
      <c r="AP291" s="316">
        <v>45979</v>
      </c>
      <c r="AQ291" s="314"/>
      <c r="AR291" s="315" t="str">
        <f t="shared" si="20"/>
        <v>FINALIZADO</v>
      </c>
      <c r="AS291" s="207" t="s">
        <v>4423</v>
      </c>
      <c r="AT291" s="207"/>
      <c r="AU291" s="220" t="s">
        <v>5667</v>
      </c>
      <c r="AV291" s="207" t="s">
        <v>4425</v>
      </c>
      <c r="AW291" s="207" t="s">
        <v>4425</v>
      </c>
      <c r="AX291" s="250" t="s">
        <v>4425</v>
      </c>
      <c r="AY291" s="207" t="s">
        <v>4425</v>
      </c>
      <c r="AZ291" s="202">
        <v>46014</v>
      </c>
      <c r="BA291" s="219" t="s">
        <v>4425</v>
      </c>
      <c r="BB291" s="207" t="s">
        <v>4425</v>
      </c>
      <c r="BC291" s="239">
        <v>46042</v>
      </c>
      <c r="BD291" s="226">
        <v>46042</v>
      </c>
      <c r="BE291" s="209">
        <v>46017</v>
      </c>
      <c r="BF291" s="197" t="s">
        <v>4412</v>
      </c>
      <c r="BG291" s="229" t="s">
        <v>4425</v>
      </c>
      <c r="BH291" s="321">
        <f t="shared" si="21"/>
        <v>63</v>
      </c>
      <c r="BI291" s="98" t="str">
        <f t="shared" si="22"/>
        <v>INDENIZAÇÃO</v>
      </c>
      <c r="BJ291" s="98" t="str">
        <f t="shared" si="23"/>
        <v>NÃO</v>
      </c>
      <c r="BK291" s="230" t="s">
        <v>4437</v>
      </c>
      <c r="BL291" s="230" t="s">
        <v>4437</v>
      </c>
      <c r="BM291" s="230" t="s">
        <v>4437</v>
      </c>
      <c r="BN291" s="207" t="s">
        <v>4425</v>
      </c>
      <c r="BO291" s="257" t="s">
        <v>4435</v>
      </c>
      <c r="BP291" s="265"/>
      <c r="BQ291" s="265"/>
      <c r="BR291" s="231"/>
    </row>
    <row r="292" spans="1:80" s="240" customFormat="1" ht="27" hidden="1" customHeight="1">
      <c r="A292" s="207">
        <v>288</v>
      </c>
      <c r="B292" s="197" t="s">
        <v>4396</v>
      </c>
      <c r="C292" s="207" t="s">
        <v>4453</v>
      </c>
      <c r="D292" s="207">
        <v>1</v>
      </c>
      <c r="E292" s="207" t="s">
        <v>4398</v>
      </c>
      <c r="F292" s="214" t="s">
        <v>5668</v>
      </c>
      <c r="G292" s="207" t="s">
        <v>4400</v>
      </c>
      <c r="H292" s="207" t="s">
        <v>4401</v>
      </c>
      <c r="I292" s="217" t="s">
        <v>4402</v>
      </c>
      <c r="J292" s="242" t="s">
        <v>5669</v>
      </c>
      <c r="K292" s="215" t="s">
        <v>5670</v>
      </c>
      <c r="L292" s="215" t="s">
        <v>5671</v>
      </c>
      <c r="M292" s="207" t="s">
        <v>4405</v>
      </c>
      <c r="N292" s="207" t="s">
        <v>4442</v>
      </c>
      <c r="O292" s="202" t="s">
        <v>4409</v>
      </c>
      <c r="P292" s="202" t="s">
        <v>4409</v>
      </c>
      <c r="Q292" s="202" t="s">
        <v>4409</v>
      </c>
      <c r="R292" s="202" t="s">
        <v>4409</v>
      </c>
      <c r="S292" s="202" t="s">
        <v>4409</v>
      </c>
      <c r="T292" s="202" t="s">
        <v>4409</v>
      </c>
      <c r="U292" s="202" t="s">
        <v>4409</v>
      </c>
      <c r="V292" s="202" t="s">
        <v>4409</v>
      </c>
      <c r="W292" s="202" t="s">
        <v>4409</v>
      </c>
      <c r="X292" s="202" t="s">
        <v>4409</v>
      </c>
      <c r="Y292" s="202"/>
      <c r="Z292" s="207"/>
      <c r="AA292" s="242" t="s">
        <v>5669</v>
      </c>
      <c r="AB292" s="242" t="s">
        <v>5670</v>
      </c>
      <c r="AC292" s="242" t="s">
        <v>5671</v>
      </c>
      <c r="AD292" s="204" t="s">
        <v>4402</v>
      </c>
      <c r="AE292" s="204" t="s">
        <v>4405</v>
      </c>
      <c r="AF292" s="243">
        <v>20212.93</v>
      </c>
      <c r="AG292" s="243">
        <f>AF292+30000</f>
        <v>50212.93</v>
      </c>
      <c r="AH292" s="197" t="s">
        <v>4433</v>
      </c>
      <c r="AI292" s="214" t="s">
        <v>4411</v>
      </c>
      <c r="AJ292" s="207">
        <v>150349588</v>
      </c>
      <c r="AK292" s="316">
        <v>46052</v>
      </c>
      <c r="AL292" s="316">
        <v>46052</v>
      </c>
      <c r="AM292" s="316">
        <v>46052</v>
      </c>
      <c r="AN292" s="316">
        <v>46052</v>
      </c>
      <c r="AO292" s="316">
        <v>46052</v>
      </c>
      <c r="AP292" s="316">
        <v>46052</v>
      </c>
      <c r="AQ292" s="314"/>
      <c r="AR292" s="315" t="str">
        <f t="shared" si="20"/>
        <v>FINALIZADO</v>
      </c>
      <c r="AS292" s="207" t="s">
        <v>4423</v>
      </c>
      <c r="AT292" s="207"/>
      <c r="AU292" s="220" t="s">
        <v>5672</v>
      </c>
      <c r="AV292" s="207" t="s">
        <v>4425</v>
      </c>
      <c r="AW292" s="207" t="s">
        <v>4425</v>
      </c>
      <c r="AX292" s="250" t="s">
        <v>4425</v>
      </c>
      <c r="AY292" s="207" t="s">
        <v>4425</v>
      </c>
      <c r="AZ292" s="202">
        <v>46062</v>
      </c>
      <c r="BA292" s="219" t="s">
        <v>4425</v>
      </c>
      <c r="BB292" s="207" t="s">
        <v>4425</v>
      </c>
      <c r="BC292" s="239">
        <v>46066</v>
      </c>
      <c r="BD292" s="226">
        <v>46066</v>
      </c>
      <c r="BE292" s="209">
        <v>46017</v>
      </c>
      <c r="BF292" s="197" t="s">
        <v>4412</v>
      </c>
      <c r="BG292" s="229" t="s">
        <v>4425</v>
      </c>
      <c r="BH292" s="321">
        <f t="shared" si="21"/>
        <v>14</v>
      </c>
      <c r="BI292" s="98" t="str">
        <f t="shared" si="22"/>
        <v>INDENIZAÇÃO</v>
      </c>
      <c r="BJ292" s="98" t="str">
        <f t="shared" si="23"/>
        <v>NÃO</v>
      </c>
      <c r="BK292" s="230" t="s">
        <v>4437</v>
      </c>
      <c r="BL292" s="230" t="s">
        <v>4437</v>
      </c>
      <c r="BM292" s="230" t="s">
        <v>4437</v>
      </c>
      <c r="BN292" s="207" t="s">
        <v>4425</v>
      </c>
      <c r="BO292" s="257" t="s">
        <v>4435</v>
      </c>
      <c r="BP292" s="265"/>
      <c r="BQ292" s="265"/>
      <c r="BR292" s="231"/>
    </row>
    <row r="293" spans="1:80" s="240" customFormat="1" ht="27" hidden="1" customHeight="1">
      <c r="A293" s="207">
        <v>289</v>
      </c>
      <c r="B293" s="197" t="s">
        <v>4396</v>
      </c>
      <c r="C293" s="207" t="s">
        <v>4453</v>
      </c>
      <c r="D293" s="207">
        <v>1</v>
      </c>
      <c r="E293" s="207" t="s">
        <v>4398</v>
      </c>
      <c r="F293" s="214" t="s">
        <v>5673</v>
      </c>
      <c r="G293" s="207" t="s">
        <v>4400</v>
      </c>
      <c r="H293" s="207" t="s">
        <v>4401</v>
      </c>
      <c r="I293" s="217" t="s">
        <v>4402</v>
      </c>
      <c r="J293" s="242" t="s">
        <v>5674</v>
      </c>
      <c r="K293" s="215" t="s">
        <v>5675</v>
      </c>
      <c r="L293" s="215" t="s">
        <v>5676</v>
      </c>
      <c r="M293" s="207" t="s">
        <v>4405</v>
      </c>
      <c r="N293" s="207" t="s">
        <v>4406</v>
      </c>
      <c r="O293" s="202">
        <v>45986</v>
      </c>
      <c r="P293" s="203" t="s">
        <v>4407</v>
      </c>
      <c r="Q293" s="203">
        <v>45985</v>
      </c>
      <c r="R293" s="203">
        <v>45986</v>
      </c>
      <c r="S293" s="203">
        <v>45987</v>
      </c>
      <c r="T293" s="203">
        <v>45992</v>
      </c>
      <c r="U293" s="202" t="s">
        <v>4408</v>
      </c>
      <c r="V293" s="202" t="s">
        <v>4408</v>
      </c>
      <c r="W293" s="202">
        <v>45999</v>
      </c>
      <c r="X293" s="202">
        <v>46003</v>
      </c>
      <c r="Y293" s="202">
        <v>46017</v>
      </c>
      <c r="Z293" s="207"/>
      <c r="AA293" s="242" t="s">
        <v>5674</v>
      </c>
      <c r="AB293" s="215" t="s">
        <v>5675</v>
      </c>
      <c r="AC293" s="215" t="s">
        <v>5676</v>
      </c>
      <c r="AD293" s="204" t="s">
        <v>4402</v>
      </c>
      <c r="AE293" s="204" t="s">
        <v>4405</v>
      </c>
      <c r="AF293" s="205" t="s">
        <v>4409</v>
      </c>
      <c r="AG293" s="205" t="s">
        <v>4409</v>
      </c>
      <c r="AH293" s="204" t="s">
        <v>4410</v>
      </c>
      <c r="AI293" s="214" t="s">
        <v>4411</v>
      </c>
      <c r="AJ293" s="207"/>
      <c r="AK293" s="316">
        <v>45979</v>
      </c>
      <c r="AL293" s="316">
        <v>45979</v>
      </c>
      <c r="AM293" s="316">
        <v>45979</v>
      </c>
      <c r="AN293" s="316">
        <v>45979</v>
      </c>
      <c r="AO293" s="316">
        <v>45979</v>
      </c>
      <c r="AP293" s="316">
        <v>45979</v>
      </c>
      <c r="AQ293" s="314"/>
      <c r="AR293" s="315" t="str">
        <f t="shared" si="20"/>
        <v>FINALIZADO</v>
      </c>
      <c r="AS293" s="207"/>
      <c r="AT293" s="207"/>
      <c r="AU293" s="220"/>
      <c r="AV293" s="207"/>
      <c r="AW293" s="207"/>
      <c r="AX293" s="228"/>
      <c r="AY293" s="207"/>
      <c r="AZ293" s="202"/>
      <c r="BA293" s="219"/>
      <c r="BB293" s="207"/>
      <c r="BC293" s="202"/>
      <c r="BD293" s="208"/>
      <c r="BE293" s="209">
        <v>46017</v>
      </c>
      <c r="BF293" s="197" t="s">
        <v>4412</v>
      </c>
      <c r="BG293" s="229"/>
      <c r="BH293" s="321" t="str">
        <f t="shared" si="21"/>
        <v/>
      </c>
      <c r="BI293" s="98" t="str">
        <f t="shared" si="22"/>
        <v>AA</v>
      </c>
      <c r="BJ293" s="98" t="str">
        <f t="shared" si="23"/>
        <v>NÃO</v>
      </c>
      <c r="BK293" s="230"/>
      <c r="BL293" s="230"/>
      <c r="BM293" s="230"/>
      <c r="BN293" s="230"/>
      <c r="BO293" s="230"/>
      <c r="BP293" s="230"/>
      <c r="BQ293" s="230"/>
      <c r="BR293" s="234"/>
    </row>
    <row r="294" spans="1:80" s="240" customFormat="1" ht="27" hidden="1" customHeight="1">
      <c r="A294" s="197">
        <v>290</v>
      </c>
      <c r="B294" s="197" t="s">
        <v>4396</v>
      </c>
      <c r="C294" s="207" t="s">
        <v>4453</v>
      </c>
      <c r="D294" s="207">
        <v>1</v>
      </c>
      <c r="E294" s="207" t="s">
        <v>4398</v>
      </c>
      <c r="F294" s="214" t="s">
        <v>5677</v>
      </c>
      <c r="G294" s="207" t="s">
        <v>4400</v>
      </c>
      <c r="H294" s="207" t="s">
        <v>4401</v>
      </c>
      <c r="I294" s="217" t="s">
        <v>4402</v>
      </c>
      <c r="J294" s="242" t="s">
        <v>5678</v>
      </c>
      <c r="K294" s="215" t="s">
        <v>5679</v>
      </c>
      <c r="L294" s="215" t="s">
        <v>5680</v>
      </c>
      <c r="M294" s="207" t="s">
        <v>4405</v>
      </c>
      <c r="N294" s="207" t="s">
        <v>4406</v>
      </c>
      <c r="O294" s="202">
        <v>45986</v>
      </c>
      <c r="P294" s="203" t="s">
        <v>4407</v>
      </c>
      <c r="Q294" s="203">
        <v>45985</v>
      </c>
      <c r="R294" s="203">
        <v>45986</v>
      </c>
      <c r="S294" s="203">
        <v>45987</v>
      </c>
      <c r="T294" s="203">
        <v>45992</v>
      </c>
      <c r="U294" s="202" t="s">
        <v>4408</v>
      </c>
      <c r="V294" s="202" t="s">
        <v>4408</v>
      </c>
      <c r="W294" s="202">
        <v>45999</v>
      </c>
      <c r="X294" s="202">
        <v>46000</v>
      </c>
      <c r="Y294" s="202">
        <v>46017</v>
      </c>
      <c r="Z294" s="207"/>
      <c r="AA294" s="242" t="s">
        <v>5678</v>
      </c>
      <c r="AB294" s="215" t="s">
        <v>5679</v>
      </c>
      <c r="AC294" s="215" t="s">
        <v>5680</v>
      </c>
      <c r="AD294" s="204" t="s">
        <v>4402</v>
      </c>
      <c r="AE294" s="204" t="s">
        <v>4405</v>
      </c>
      <c r="AF294" s="205" t="s">
        <v>4409</v>
      </c>
      <c r="AG294" s="205" t="s">
        <v>4409</v>
      </c>
      <c r="AH294" s="204" t="s">
        <v>4410</v>
      </c>
      <c r="AI294" s="214" t="s">
        <v>4411</v>
      </c>
      <c r="AJ294" s="207"/>
      <c r="AK294" s="316">
        <v>45979</v>
      </c>
      <c r="AL294" s="316">
        <v>45979</v>
      </c>
      <c r="AM294" s="316">
        <v>45979</v>
      </c>
      <c r="AN294" s="316">
        <v>45979</v>
      </c>
      <c r="AO294" s="316">
        <v>45979</v>
      </c>
      <c r="AP294" s="316">
        <v>45979</v>
      </c>
      <c r="AQ294" s="314"/>
      <c r="AR294" s="315" t="str">
        <f t="shared" si="20"/>
        <v>FINALIZADO</v>
      </c>
      <c r="AS294" s="207"/>
      <c r="AT294" s="207"/>
      <c r="AU294" s="220"/>
      <c r="AV294" s="207"/>
      <c r="AW294" s="207"/>
      <c r="AX294" s="228"/>
      <c r="AY294" s="207"/>
      <c r="AZ294" s="202"/>
      <c r="BA294" s="219"/>
      <c r="BB294" s="207"/>
      <c r="BC294" s="202"/>
      <c r="BD294" s="208"/>
      <c r="BE294" s="209">
        <v>46017</v>
      </c>
      <c r="BF294" s="197" t="s">
        <v>4412</v>
      </c>
      <c r="BG294" s="229"/>
      <c r="BH294" s="321" t="str">
        <f t="shared" si="21"/>
        <v/>
      </c>
      <c r="BI294" s="98" t="str">
        <f t="shared" si="22"/>
        <v>AA</v>
      </c>
      <c r="BJ294" s="98" t="str">
        <f t="shared" si="23"/>
        <v>NÃO</v>
      </c>
      <c r="BK294" s="230"/>
      <c r="BL294" s="230"/>
      <c r="BM294" s="230"/>
      <c r="BN294" s="230"/>
      <c r="BO294" s="230"/>
      <c r="BP294" s="230"/>
      <c r="BQ294" s="230"/>
      <c r="BR294" s="234"/>
    </row>
    <row r="295" spans="1:80" s="240" customFormat="1" ht="27" hidden="1" customHeight="1">
      <c r="A295" s="197">
        <v>291</v>
      </c>
      <c r="B295" s="197" t="s">
        <v>4396</v>
      </c>
      <c r="C295" s="207" t="s">
        <v>4453</v>
      </c>
      <c r="D295" s="207">
        <v>1</v>
      </c>
      <c r="E295" s="207" t="s">
        <v>4398</v>
      </c>
      <c r="F295" s="214" t="s">
        <v>5681</v>
      </c>
      <c r="G295" s="207" t="s">
        <v>4400</v>
      </c>
      <c r="H295" s="207" t="s">
        <v>4401</v>
      </c>
      <c r="I295" s="217" t="s">
        <v>4402</v>
      </c>
      <c r="J295" s="215" t="s">
        <v>5682</v>
      </c>
      <c r="K295" s="215" t="s">
        <v>5683</v>
      </c>
      <c r="L295" s="215" t="s">
        <v>5684</v>
      </c>
      <c r="M295" s="207" t="s">
        <v>4405</v>
      </c>
      <c r="N295" s="207" t="s">
        <v>4406</v>
      </c>
      <c r="O295" s="202">
        <v>45986</v>
      </c>
      <c r="P295" s="203" t="s">
        <v>4407</v>
      </c>
      <c r="Q295" s="203">
        <v>45985</v>
      </c>
      <c r="R295" s="203">
        <v>45986</v>
      </c>
      <c r="S295" s="203">
        <v>45987</v>
      </c>
      <c r="T295" s="203">
        <v>45992</v>
      </c>
      <c r="U295" s="202" t="s">
        <v>4408</v>
      </c>
      <c r="V295" s="202" t="s">
        <v>4408</v>
      </c>
      <c r="W295" s="202">
        <v>45999</v>
      </c>
      <c r="X295" s="202">
        <v>46044</v>
      </c>
      <c r="Y295" s="202">
        <v>46017</v>
      </c>
      <c r="Z295" s="207"/>
      <c r="AA295" s="215" t="s">
        <v>5682</v>
      </c>
      <c r="AB295" s="215" t="s">
        <v>5683</v>
      </c>
      <c r="AC295" s="215" t="s">
        <v>5684</v>
      </c>
      <c r="AD295" s="204" t="s">
        <v>4402</v>
      </c>
      <c r="AE295" s="204" t="s">
        <v>4405</v>
      </c>
      <c r="AF295" s="205" t="s">
        <v>4409</v>
      </c>
      <c r="AG295" s="205" t="s">
        <v>4409</v>
      </c>
      <c r="AH295" s="204" t="s">
        <v>4410</v>
      </c>
      <c r="AI295" s="214" t="s">
        <v>4411</v>
      </c>
      <c r="AJ295" s="207"/>
      <c r="AK295" s="316">
        <v>45979</v>
      </c>
      <c r="AL295" s="316">
        <v>45979</v>
      </c>
      <c r="AM295" s="316">
        <v>45979</v>
      </c>
      <c r="AN295" s="316">
        <v>45979</v>
      </c>
      <c r="AO295" s="316">
        <v>45979</v>
      </c>
      <c r="AP295" s="316">
        <v>45979</v>
      </c>
      <c r="AQ295" s="314"/>
      <c r="AR295" s="315" t="str">
        <f t="shared" si="20"/>
        <v>FINALIZADO</v>
      </c>
      <c r="AS295" s="207"/>
      <c r="AT295" s="207"/>
      <c r="AU295" s="220"/>
      <c r="AV295" s="207"/>
      <c r="AW295" s="207"/>
      <c r="AX295" s="228"/>
      <c r="AY295" s="207"/>
      <c r="AZ295" s="202"/>
      <c r="BA295" s="219"/>
      <c r="BB295" s="207"/>
      <c r="BC295" s="202"/>
      <c r="BD295" s="208"/>
      <c r="BE295" s="209">
        <v>46017</v>
      </c>
      <c r="BF295" s="197" t="s">
        <v>4412</v>
      </c>
      <c r="BG295" s="229"/>
      <c r="BH295" s="321" t="str">
        <f t="shared" si="21"/>
        <v/>
      </c>
      <c r="BI295" s="98" t="str">
        <f t="shared" si="22"/>
        <v>AA</v>
      </c>
      <c r="BJ295" s="98" t="str">
        <f t="shared" si="23"/>
        <v>NÃO</v>
      </c>
      <c r="BK295" s="230"/>
      <c r="BL295" s="230"/>
      <c r="BM295" s="230"/>
      <c r="BN295" s="230"/>
      <c r="BO295" s="230"/>
      <c r="BP295" s="230"/>
      <c r="BQ295" s="230"/>
      <c r="BR295" s="234"/>
    </row>
    <row r="296" spans="1:80" s="240" customFormat="1" ht="27" hidden="1" customHeight="1">
      <c r="A296" s="207">
        <v>292</v>
      </c>
      <c r="B296" s="197" t="s">
        <v>4396</v>
      </c>
      <c r="C296" s="250" t="s">
        <v>4453</v>
      </c>
      <c r="D296" s="250">
        <v>1</v>
      </c>
      <c r="E296" s="250" t="s">
        <v>4398</v>
      </c>
      <c r="F296" s="261" t="s">
        <v>5685</v>
      </c>
      <c r="G296" s="250" t="s">
        <v>4400</v>
      </c>
      <c r="H296" s="250" t="s">
        <v>4401</v>
      </c>
      <c r="I296" s="276" t="s">
        <v>4922</v>
      </c>
      <c r="J296" s="215" t="s">
        <v>5686</v>
      </c>
      <c r="K296" s="224" t="s">
        <v>5687</v>
      </c>
      <c r="L296" s="224" t="s">
        <v>5688</v>
      </c>
      <c r="M296" s="250" t="s">
        <v>4405</v>
      </c>
      <c r="N296" s="207" t="s">
        <v>4406</v>
      </c>
      <c r="O296" s="239">
        <v>45986</v>
      </c>
      <c r="P296" s="208" t="s">
        <v>4407</v>
      </c>
      <c r="Q296" s="208">
        <v>45985</v>
      </c>
      <c r="R296" s="208">
        <v>45986</v>
      </c>
      <c r="S296" s="208">
        <v>45987</v>
      </c>
      <c r="T296" s="208">
        <v>45992</v>
      </c>
      <c r="U296" s="239" t="s">
        <v>4408</v>
      </c>
      <c r="V296" s="239" t="s">
        <v>4408</v>
      </c>
      <c r="W296" s="202">
        <v>45999</v>
      </c>
      <c r="X296" s="239">
        <v>46000</v>
      </c>
      <c r="Y296" s="202">
        <v>46017</v>
      </c>
      <c r="Z296" s="239"/>
      <c r="AA296" s="224" t="s">
        <v>5689</v>
      </c>
      <c r="AB296" s="261" t="s">
        <v>5690</v>
      </c>
      <c r="AC296" s="261" t="s">
        <v>5691</v>
      </c>
      <c r="AD296" s="199" t="s">
        <v>4421</v>
      </c>
      <c r="AE296" s="270" t="s">
        <v>4405</v>
      </c>
      <c r="AF296" s="243">
        <v>32557.040000000001</v>
      </c>
      <c r="AG296" s="243">
        <v>32557.040000000001</v>
      </c>
      <c r="AH296" s="270" t="s">
        <v>4433</v>
      </c>
      <c r="AI296" s="261" t="s">
        <v>4411</v>
      </c>
      <c r="AJ296" s="250">
        <v>146668575</v>
      </c>
      <c r="AK296" s="316">
        <v>45979</v>
      </c>
      <c r="AL296" s="316">
        <v>45979</v>
      </c>
      <c r="AM296" s="316">
        <v>45979</v>
      </c>
      <c r="AN296" s="316">
        <v>45979</v>
      </c>
      <c r="AO296" s="316">
        <v>45979</v>
      </c>
      <c r="AP296" s="316">
        <v>45979</v>
      </c>
      <c r="AQ296" s="314"/>
      <c r="AR296" s="315" t="str">
        <f t="shared" si="20"/>
        <v>FINALIZADO</v>
      </c>
      <c r="AS296" s="207" t="s">
        <v>4423</v>
      </c>
      <c r="AT296" s="250"/>
      <c r="AU296" s="220" t="s">
        <v>5692</v>
      </c>
      <c r="AV296" s="207" t="s">
        <v>4425</v>
      </c>
      <c r="AW296" s="207" t="s">
        <v>4425</v>
      </c>
      <c r="AX296" s="250" t="s">
        <v>4425</v>
      </c>
      <c r="AY296" s="207" t="s">
        <v>4425</v>
      </c>
      <c r="AZ296" s="202">
        <v>46118</v>
      </c>
      <c r="BA296" s="207" t="s">
        <v>4425</v>
      </c>
      <c r="BB296" s="207" t="s">
        <v>4425</v>
      </c>
      <c r="BC296" s="202">
        <v>46126</v>
      </c>
      <c r="BD296" s="227">
        <v>46126</v>
      </c>
      <c r="BE296" s="209">
        <v>46017</v>
      </c>
      <c r="BF296" s="197" t="s">
        <v>4762</v>
      </c>
      <c r="BG296" s="229" t="s">
        <v>4425</v>
      </c>
      <c r="BH296" s="321">
        <f t="shared" si="21"/>
        <v>147</v>
      </c>
      <c r="BI296" s="98" t="str">
        <f t="shared" si="22"/>
        <v>INDENIZAÇÃO</v>
      </c>
      <c r="BJ296" s="98" t="str">
        <f t="shared" si="23"/>
        <v>NÃO</v>
      </c>
      <c r="BK296" s="230" t="s">
        <v>4437</v>
      </c>
      <c r="BL296" s="230" t="s">
        <v>4437</v>
      </c>
      <c r="BM296" s="230" t="s">
        <v>4437</v>
      </c>
      <c r="BN296" s="207" t="s">
        <v>4425</v>
      </c>
      <c r="BO296" s="257" t="s">
        <v>4435</v>
      </c>
      <c r="BP296" s="265"/>
      <c r="BQ296" s="265"/>
      <c r="BR296" s="231"/>
    </row>
    <row r="297" spans="1:80" s="240" customFormat="1" ht="27" hidden="1" customHeight="1">
      <c r="A297" s="207">
        <v>293</v>
      </c>
      <c r="B297" s="197" t="s">
        <v>4396</v>
      </c>
      <c r="C297" s="207" t="s">
        <v>4453</v>
      </c>
      <c r="D297" s="207">
        <v>1</v>
      </c>
      <c r="E297" s="207" t="s">
        <v>4398</v>
      </c>
      <c r="F297" s="214" t="s">
        <v>5693</v>
      </c>
      <c r="G297" s="207" t="s">
        <v>4400</v>
      </c>
      <c r="H297" s="207" t="s">
        <v>4401</v>
      </c>
      <c r="I297" s="217" t="s">
        <v>4402</v>
      </c>
      <c r="J297" s="215" t="s">
        <v>5694</v>
      </c>
      <c r="K297" s="215" t="s">
        <v>5695</v>
      </c>
      <c r="L297" s="215" t="s">
        <v>5696</v>
      </c>
      <c r="M297" s="207" t="s">
        <v>4405</v>
      </c>
      <c r="N297" s="207" t="s">
        <v>4442</v>
      </c>
      <c r="O297" s="202" t="s">
        <v>4409</v>
      </c>
      <c r="P297" s="202" t="s">
        <v>4409</v>
      </c>
      <c r="Q297" s="202" t="s">
        <v>4409</v>
      </c>
      <c r="R297" s="202" t="s">
        <v>4409</v>
      </c>
      <c r="S297" s="202" t="s">
        <v>4409</v>
      </c>
      <c r="T297" s="202" t="s">
        <v>4409</v>
      </c>
      <c r="U297" s="202" t="s">
        <v>4409</v>
      </c>
      <c r="V297" s="202" t="s">
        <v>4409</v>
      </c>
      <c r="W297" s="202" t="s">
        <v>4409</v>
      </c>
      <c r="X297" s="202" t="s">
        <v>4409</v>
      </c>
      <c r="Y297" s="202"/>
      <c r="Z297" s="202"/>
      <c r="AA297" s="215" t="s">
        <v>5694</v>
      </c>
      <c r="AB297" s="215" t="s">
        <v>5695</v>
      </c>
      <c r="AC297" s="215" t="s">
        <v>5696</v>
      </c>
      <c r="AD297" s="241" t="s">
        <v>4402</v>
      </c>
      <c r="AE297" s="241" t="s">
        <v>4405</v>
      </c>
      <c r="AF297" s="218">
        <v>25936.93</v>
      </c>
      <c r="AG297" s="218">
        <f>AF297+30000</f>
        <v>55936.93</v>
      </c>
      <c r="AH297" s="207" t="s">
        <v>4433</v>
      </c>
      <c r="AI297" s="214" t="s">
        <v>4411</v>
      </c>
      <c r="AJ297" s="207">
        <v>149883983</v>
      </c>
      <c r="AK297" s="316">
        <v>46041</v>
      </c>
      <c r="AL297" s="316">
        <v>46041</v>
      </c>
      <c r="AM297" s="316">
        <v>46041</v>
      </c>
      <c r="AN297" s="316">
        <v>46041</v>
      </c>
      <c r="AO297" s="316">
        <v>46041</v>
      </c>
      <c r="AP297" s="316">
        <v>46041</v>
      </c>
      <c r="AQ297" s="314"/>
      <c r="AR297" s="315" t="str">
        <f t="shared" si="20"/>
        <v>FINALIZADO</v>
      </c>
      <c r="AS297" s="207" t="s">
        <v>4423</v>
      </c>
      <c r="AT297" s="207"/>
      <c r="AU297" s="220" t="s">
        <v>5697</v>
      </c>
      <c r="AV297" s="207" t="s">
        <v>4425</v>
      </c>
      <c r="AW297" s="207" t="s">
        <v>4425</v>
      </c>
      <c r="AX297" s="250" t="s">
        <v>4425</v>
      </c>
      <c r="AY297" s="207" t="s">
        <v>4425</v>
      </c>
      <c r="AZ297" s="202">
        <v>46062</v>
      </c>
      <c r="BA297" s="219" t="s">
        <v>4425</v>
      </c>
      <c r="BB297" s="207" t="s">
        <v>4425</v>
      </c>
      <c r="BC297" s="239">
        <v>46066</v>
      </c>
      <c r="BD297" s="227">
        <v>46066</v>
      </c>
      <c r="BE297" s="209">
        <v>46017</v>
      </c>
      <c r="BF297" s="207" t="s">
        <v>4412</v>
      </c>
      <c r="BG297" s="229" t="s">
        <v>4425</v>
      </c>
      <c r="BH297" s="321">
        <f t="shared" si="21"/>
        <v>25</v>
      </c>
      <c r="BI297" s="98" t="str">
        <f t="shared" si="22"/>
        <v>INDENIZAÇÃO</v>
      </c>
      <c r="BJ297" s="98" t="str">
        <f t="shared" si="23"/>
        <v>NÃO</v>
      </c>
      <c r="BK297" s="230" t="s">
        <v>4437</v>
      </c>
      <c r="BL297" s="230" t="s">
        <v>4437</v>
      </c>
      <c r="BM297" s="230" t="s">
        <v>4437</v>
      </c>
      <c r="BN297" s="207" t="s">
        <v>4425</v>
      </c>
      <c r="BO297" s="257" t="s">
        <v>4435</v>
      </c>
      <c r="BP297" s="265"/>
      <c r="BQ297" s="265"/>
      <c r="BR297" s="231"/>
      <c r="BS297" s="277"/>
      <c r="BT297" s="277"/>
      <c r="BU297" s="277"/>
      <c r="BV297" s="277"/>
      <c r="BW297" s="277"/>
      <c r="BX297" s="277"/>
      <c r="BY297" s="277"/>
      <c r="BZ297" s="277"/>
      <c r="CA297" s="277"/>
      <c r="CB297" s="277"/>
    </row>
    <row r="298" spans="1:80" s="240" customFormat="1" ht="27" hidden="1" customHeight="1">
      <c r="A298" s="207">
        <v>294</v>
      </c>
      <c r="B298" s="197" t="s">
        <v>4396</v>
      </c>
      <c r="C298" s="207" t="s">
        <v>4453</v>
      </c>
      <c r="D298" s="207">
        <v>1</v>
      </c>
      <c r="E298" s="207" t="s">
        <v>4398</v>
      </c>
      <c r="F298" s="214" t="s">
        <v>5698</v>
      </c>
      <c r="G298" s="207" t="s">
        <v>4546</v>
      </c>
      <c r="H298" s="207" t="s">
        <v>4546</v>
      </c>
      <c r="I298" s="233" t="s">
        <v>4421</v>
      </c>
      <c r="J298" s="215" t="s">
        <v>5699</v>
      </c>
      <c r="K298" s="215" t="s">
        <v>5700</v>
      </c>
      <c r="L298" s="215" t="s">
        <v>5701</v>
      </c>
      <c r="M298" s="207" t="s">
        <v>4405</v>
      </c>
      <c r="N298" s="207" t="s">
        <v>4442</v>
      </c>
      <c r="O298" s="202" t="s">
        <v>4409</v>
      </c>
      <c r="P298" s="202" t="s">
        <v>4409</v>
      </c>
      <c r="Q298" s="202" t="s">
        <v>4409</v>
      </c>
      <c r="R298" s="202" t="s">
        <v>4409</v>
      </c>
      <c r="S298" s="202" t="s">
        <v>4409</v>
      </c>
      <c r="T298" s="202" t="s">
        <v>4409</v>
      </c>
      <c r="U298" s="202" t="s">
        <v>4409</v>
      </c>
      <c r="V298" s="202" t="s">
        <v>4409</v>
      </c>
      <c r="W298" s="202" t="s">
        <v>4409</v>
      </c>
      <c r="X298" s="202" t="s">
        <v>4409</v>
      </c>
      <c r="Y298" s="202"/>
      <c r="Z298" s="202"/>
      <c r="AA298" s="215" t="s">
        <v>5699</v>
      </c>
      <c r="AB298" s="215" t="s">
        <v>5700</v>
      </c>
      <c r="AC298" s="215" t="s">
        <v>5701</v>
      </c>
      <c r="AD298" s="252" t="s">
        <v>4421</v>
      </c>
      <c r="AE298" s="197" t="s">
        <v>4405</v>
      </c>
      <c r="AF298" s="243">
        <v>2131.8000000000002</v>
      </c>
      <c r="AG298" s="243">
        <v>2131.8000000000002</v>
      </c>
      <c r="AH298" s="197" t="s">
        <v>4433</v>
      </c>
      <c r="AI298" s="214" t="s">
        <v>4411</v>
      </c>
      <c r="AJ298" s="207">
        <v>151574569</v>
      </c>
      <c r="AK298" s="316">
        <v>46076</v>
      </c>
      <c r="AL298" s="316">
        <v>46076</v>
      </c>
      <c r="AM298" s="316">
        <v>46076</v>
      </c>
      <c r="AN298" s="316">
        <v>46076</v>
      </c>
      <c r="AO298" s="316">
        <v>46076</v>
      </c>
      <c r="AP298" s="316">
        <v>46076</v>
      </c>
      <c r="AQ298" s="314"/>
      <c r="AR298" s="315" t="str">
        <f t="shared" si="20"/>
        <v>FINALIZADO</v>
      </c>
      <c r="AS298" s="207" t="s">
        <v>4423</v>
      </c>
      <c r="AT298" s="207"/>
      <c r="AU298" s="220" t="s">
        <v>5702</v>
      </c>
      <c r="AV298" s="207" t="s">
        <v>4425</v>
      </c>
      <c r="AW298" s="207" t="s">
        <v>4425</v>
      </c>
      <c r="AX298" s="219" t="s">
        <v>4425</v>
      </c>
      <c r="AY298" s="219" t="s">
        <v>4425</v>
      </c>
      <c r="AZ298" s="202">
        <v>46216</v>
      </c>
      <c r="BA298" s="262" t="s">
        <v>4425</v>
      </c>
      <c r="BB298" s="262" t="s">
        <v>4425</v>
      </c>
      <c r="BC298" s="202">
        <v>46223</v>
      </c>
      <c r="BD298" s="264">
        <v>46223</v>
      </c>
      <c r="BE298" s="278" t="s">
        <v>4435</v>
      </c>
      <c r="BF298" s="245" t="s">
        <v>4436</v>
      </c>
      <c r="BG298" s="229" t="s">
        <v>4425</v>
      </c>
      <c r="BH298" s="321">
        <f t="shared" si="21"/>
        <v>147</v>
      </c>
      <c r="BI298" s="98" t="str">
        <f t="shared" si="22"/>
        <v>INDENIZAÇÃO</v>
      </c>
      <c r="BJ298" s="98" t="str">
        <f t="shared" si="23"/>
        <v>NÃO</v>
      </c>
      <c r="BK298" s="230" t="s">
        <v>4437</v>
      </c>
      <c r="BL298" s="230" t="s">
        <v>4437</v>
      </c>
      <c r="BM298" s="230" t="s">
        <v>4437</v>
      </c>
      <c r="BN298" s="207" t="s">
        <v>4425</v>
      </c>
      <c r="BO298" s="257" t="s">
        <v>4435</v>
      </c>
      <c r="BP298" s="265"/>
      <c r="BQ298" s="265"/>
      <c r="BR298" s="231"/>
    </row>
    <row r="299" spans="1:80" s="240" customFormat="1" ht="27" hidden="1" customHeight="1">
      <c r="A299" s="197">
        <v>295</v>
      </c>
      <c r="B299" s="197" t="s">
        <v>4396</v>
      </c>
      <c r="C299" s="207" t="s">
        <v>4453</v>
      </c>
      <c r="D299" s="207">
        <v>1</v>
      </c>
      <c r="E299" s="207" t="s">
        <v>4398</v>
      </c>
      <c r="F299" s="214" t="s">
        <v>5703</v>
      </c>
      <c r="G299" s="207" t="s">
        <v>4400</v>
      </c>
      <c r="H299" s="207" t="s">
        <v>4401</v>
      </c>
      <c r="I299" s="249" t="s">
        <v>4402</v>
      </c>
      <c r="J299" s="215" t="s">
        <v>5704</v>
      </c>
      <c r="K299" s="215" t="s">
        <v>5705</v>
      </c>
      <c r="L299" s="215" t="s">
        <v>5706</v>
      </c>
      <c r="M299" s="207" t="s">
        <v>4405</v>
      </c>
      <c r="N299" s="207" t="s">
        <v>4442</v>
      </c>
      <c r="O299" s="202">
        <v>46044</v>
      </c>
      <c r="P299" s="203" t="s">
        <v>4407</v>
      </c>
      <c r="Q299" s="203">
        <v>46043</v>
      </c>
      <c r="R299" s="203">
        <v>46044</v>
      </c>
      <c r="S299" s="203">
        <v>46045</v>
      </c>
      <c r="T299" s="202"/>
      <c r="U299" s="202" t="s">
        <v>4408</v>
      </c>
      <c r="V299" s="202" t="s">
        <v>4408</v>
      </c>
      <c r="W299" s="202">
        <v>46055</v>
      </c>
      <c r="X299" s="202" t="s">
        <v>4440</v>
      </c>
      <c r="Y299" s="202"/>
      <c r="Z299" s="216" t="s">
        <v>5707</v>
      </c>
      <c r="AA299" s="215" t="s">
        <v>5704</v>
      </c>
      <c r="AB299" s="215" t="s">
        <v>5705</v>
      </c>
      <c r="AC299" s="215" t="s">
        <v>5706</v>
      </c>
      <c r="AD299" s="241" t="s">
        <v>4402</v>
      </c>
      <c r="AE299" s="241" t="s">
        <v>4405</v>
      </c>
      <c r="AF299" s="218">
        <v>18378.73</v>
      </c>
      <c r="AG299" s="218">
        <f>AF299+30000</f>
        <v>48378.729999999996</v>
      </c>
      <c r="AH299" s="207" t="s">
        <v>4433</v>
      </c>
      <c r="AI299" s="214" t="s">
        <v>4411</v>
      </c>
      <c r="AJ299" s="207">
        <v>149884111</v>
      </c>
      <c r="AK299" s="316">
        <v>46008</v>
      </c>
      <c r="AL299" s="316">
        <v>46008</v>
      </c>
      <c r="AM299" s="316">
        <v>46008</v>
      </c>
      <c r="AN299" s="316">
        <v>46008</v>
      </c>
      <c r="AO299" s="316">
        <v>46008</v>
      </c>
      <c r="AP299" s="316">
        <v>46008</v>
      </c>
      <c r="AQ299" s="314"/>
      <c r="AR299" s="315" t="str">
        <f t="shared" si="20"/>
        <v>FINALIZADO</v>
      </c>
      <c r="AS299" s="207" t="s">
        <v>4423</v>
      </c>
      <c r="AT299" s="207"/>
      <c r="AU299" s="220" t="s">
        <v>5708</v>
      </c>
      <c r="AV299" s="207" t="s">
        <v>4425</v>
      </c>
      <c r="AW299" s="207" t="s">
        <v>4425</v>
      </c>
      <c r="AX299" s="250" t="s">
        <v>4425</v>
      </c>
      <c r="AY299" s="207" t="s">
        <v>4425</v>
      </c>
      <c r="AZ299" s="202">
        <v>46062</v>
      </c>
      <c r="BA299" s="219" t="s">
        <v>4425</v>
      </c>
      <c r="BB299" s="207" t="s">
        <v>4425</v>
      </c>
      <c r="BC299" s="239">
        <v>46066</v>
      </c>
      <c r="BD299" s="226">
        <v>46066</v>
      </c>
      <c r="BE299" s="209">
        <v>46017</v>
      </c>
      <c r="BF299" s="207" t="s">
        <v>4412</v>
      </c>
      <c r="BG299" s="229" t="s">
        <v>4425</v>
      </c>
      <c r="BH299" s="321">
        <f t="shared" si="21"/>
        <v>58</v>
      </c>
      <c r="BI299" s="98" t="str">
        <f t="shared" si="22"/>
        <v>INDENIZAÇÃO</v>
      </c>
      <c r="BJ299" s="98" t="str">
        <f t="shared" si="23"/>
        <v>NÃO</v>
      </c>
      <c r="BK299" s="230" t="s">
        <v>4437</v>
      </c>
      <c r="BL299" s="230" t="s">
        <v>4437</v>
      </c>
      <c r="BM299" s="230" t="s">
        <v>4437</v>
      </c>
      <c r="BN299" s="207" t="s">
        <v>4425</v>
      </c>
      <c r="BO299" s="257" t="s">
        <v>4435</v>
      </c>
      <c r="BP299" s="265"/>
      <c r="BQ299" s="265"/>
      <c r="BR299" s="231"/>
    </row>
    <row r="300" spans="1:80" s="240" customFormat="1" ht="27" hidden="1" customHeight="1">
      <c r="A300" s="197">
        <v>296</v>
      </c>
      <c r="B300" s="197" t="s">
        <v>4396</v>
      </c>
      <c r="C300" s="207" t="s">
        <v>4453</v>
      </c>
      <c r="D300" s="207">
        <v>1</v>
      </c>
      <c r="E300" s="207" t="s">
        <v>4398</v>
      </c>
      <c r="F300" s="214" t="s">
        <v>5709</v>
      </c>
      <c r="G300" s="207" t="s">
        <v>4400</v>
      </c>
      <c r="H300" s="207" t="s">
        <v>4401</v>
      </c>
      <c r="I300" s="217" t="s">
        <v>4922</v>
      </c>
      <c r="J300" s="215" t="s">
        <v>5710</v>
      </c>
      <c r="K300" s="215" t="s">
        <v>5711</v>
      </c>
      <c r="L300" s="215" t="s">
        <v>5712</v>
      </c>
      <c r="M300" s="207" t="s">
        <v>4405</v>
      </c>
      <c r="N300" s="207" t="s">
        <v>4406</v>
      </c>
      <c r="O300" s="203">
        <v>46044</v>
      </c>
      <c r="P300" s="203" t="s">
        <v>4407</v>
      </c>
      <c r="Q300" s="203">
        <v>46043</v>
      </c>
      <c r="R300" s="203">
        <v>46044</v>
      </c>
      <c r="S300" s="203">
        <v>46045</v>
      </c>
      <c r="T300" s="203">
        <v>46155</v>
      </c>
      <c r="U300" s="202" t="s">
        <v>4408</v>
      </c>
      <c r="V300" s="202" t="s">
        <v>4408</v>
      </c>
      <c r="W300" s="202">
        <v>46055</v>
      </c>
      <c r="X300" s="202">
        <v>46058</v>
      </c>
      <c r="Y300" s="202">
        <v>46020</v>
      </c>
      <c r="Z300" s="202"/>
      <c r="AA300" s="215" t="s">
        <v>5713</v>
      </c>
      <c r="AB300" s="215" t="s">
        <v>5714</v>
      </c>
      <c r="AC300" s="215" t="s">
        <v>5715</v>
      </c>
      <c r="AD300" s="199" t="s">
        <v>4421</v>
      </c>
      <c r="AE300" s="197" t="s">
        <v>4405</v>
      </c>
      <c r="AF300" s="243">
        <v>17203.490000000002</v>
      </c>
      <c r="AG300" s="243">
        <v>17203.490000000002</v>
      </c>
      <c r="AH300" s="197" t="s">
        <v>4433</v>
      </c>
      <c r="AI300" s="214" t="s">
        <v>4411</v>
      </c>
      <c r="AJ300" s="207">
        <v>149818082</v>
      </c>
      <c r="AK300" s="316">
        <v>46048</v>
      </c>
      <c r="AL300" s="316">
        <v>46048</v>
      </c>
      <c r="AM300" s="316">
        <v>46048</v>
      </c>
      <c r="AN300" s="316">
        <v>46048</v>
      </c>
      <c r="AO300" s="316">
        <v>46048</v>
      </c>
      <c r="AP300" s="316">
        <v>46048</v>
      </c>
      <c r="AQ300" s="314"/>
      <c r="AR300" s="315" t="str">
        <f t="shared" si="20"/>
        <v>FINALIZADO</v>
      </c>
      <c r="AS300" s="207" t="s">
        <v>4423</v>
      </c>
      <c r="AT300" s="207"/>
      <c r="AU300" s="220" t="s">
        <v>5716</v>
      </c>
      <c r="AV300" s="207" t="s">
        <v>4425</v>
      </c>
      <c r="AW300" s="207" t="s">
        <v>4425</v>
      </c>
      <c r="AX300" s="207" t="s">
        <v>4425</v>
      </c>
      <c r="AY300" s="207" t="s">
        <v>4425</v>
      </c>
      <c r="AZ300" s="202">
        <v>46062</v>
      </c>
      <c r="BA300" s="219" t="s">
        <v>4425</v>
      </c>
      <c r="BB300" s="207" t="s">
        <v>4425</v>
      </c>
      <c r="BC300" s="239">
        <v>46066</v>
      </c>
      <c r="BD300" s="226">
        <v>46066</v>
      </c>
      <c r="BE300" s="209">
        <v>46017</v>
      </c>
      <c r="BF300" s="197" t="s">
        <v>4762</v>
      </c>
      <c r="BG300" s="229" t="s">
        <v>4425</v>
      </c>
      <c r="BH300" s="321">
        <f t="shared" si="21"/>
        <v>18</v>
      </c>
      <c r="BI300" s="98" t="str">
        <f t="shared" si="22"/>
        <v>INDENIZAÇÃO</v>
      </c>
      <c r="BJ300" s="98" t="str">
        <f t="shared" si="23"/>
        <v>NÃO</v>
      </c>
      <c r="BK300" s="230" t="s">
        <v>4437</v>
      </c>
      <c r="BL300" s="230" t="s">
        <v>4437</v>
      </c>
      <c r="BM300" s="230" t="s">
        <v>4437</v>
      </c>
      <c r="BN300" s="207" t="s">
        <v>4425</v>
      </c>
      <c r="BO300" s="207" t="s">
        <v>4425</v>
      </c>
      <c r="BP300" s="202">
        <v>46182</v>
      </c>
      <c r="BQ300" s="207" t="s">
        <v>4425</v>
      </c>
      <c r="BR300" s="256" t="s">
        <v>4435</v>
      </c>
    </row>
    <row r="301" spans="1:80" s="240" customFormat="1" ht="27" hidden="1" customHeight="1">
      <c r="A301" s="207">
        <v>297</v>
      </c>
      <c r="B301" s="197" t="s">
        <v>4396</v>
      </c>
      <c r="C301" s="207" t="s">
        <v>4453</v>
      </c>
      <c r="D301" s="207">
        <v>1</v>
      </c>
      <c r="E301" s="207" t="s">
        <v>4398</v>
      </c>
      <c r="F301" s="214" t="s">
        <v>5717</v>
      </c>
      <c r="G301" s="207" t="s">
        <v>4546</v>
      </c>
      <c r="H301" s="207" t="s">
        <v>4546</v>
      </c>
      <c r="I301" s="233" t="s">
        <v>4421</v>
      </c>
      <c r="J301" s="215" t="s">
        <v>5718</v>
      </c>
      <c r="K301" s="215" t="s">
        <v>5719</v>
      </c>
      <c r="L301" s="215" t="s">
        <v>5720</v>
      </c>
      <c r="M301" s="207" t="s">
        <v>4405</v>
      </c>
      <c r="N301" s="207" t="s">
        <v>4442</v>
      </c>
      <c r="O301" s="202" t="s">
        <v>4409</v>
      </c>
      <c r="P301" s="202" t="s">
        <v>4409</v>
      </c>
      <c r="Q301" s="202" t="s">
        <v>4409</v>
      </c>
      <c r="R301" s="202" t="s">
        <v>4409</v>
      </c>
      <c r="S301" s="202" t="s">
        <v>4409</v>
      </c>
      <c r="T301" s="202" t="s">
        <v>4409</v>
      </c>
      <c r="U301" s="202" t="s">
        <v>4409</v>
      </c>
      <c r="V301" s="202" t="s">
        <v>4409</v>
      </c>
      <c r="W301" s="202" t="s">
        <v>4409</v>
      </c>
      <c r="X301" s="202" t="s">
        <v>4409</v>
      </c>
      <c r="Y301" s="202"/>
      <c r="Z301" s="202"/>
      <c r="AA301" s="215" t="s">
        <v>5718</v>
      </c>
      <c r="AB301" s="215" t="s">
        <v>5719</v>
      </c>
      <c r="AC301" s="215" t="s">
        <v>5720</v>
      </c>
      <c r="AD301" s="233" t="s">
        <v>4421</v>
      </c>
      <c r="AE301" s="207" t="s">
        <v>4405</v>
      </c>
      <c r="AF301" s="218">
        <v>5840.58</v>
      </c>
      <c r="AG301" s="218">
        <v>5840.58</v>
      </c>
      <c r="AH301" s="207" t="s">
        <v>4433</v>
      </c>
      <c r="AI301" s="214" t="s">
        <v>4411</v>
      </c>
      <c r="AJ301">
        <v>149821681</v>
      </c>
      <c r="AK301" s="316">
        <v>46051</v>
      </c>
      <c r="AL301" s="316">
        <v>46051</v>
      </c>
      <c r="AM301" s="316">
        <v>46051</v>
      </c>
      <c r="AN301" s="316">
        <v>46051</v>
      </c>
      <c r="AO301" s="316">
        <v>46051</v>
      </c>
      <c r="AP301" s="316">
        <v>46051</v>
      </c>
      <c r="AQ301" s="314"/>
      <c r="AR301" s="315" t="str">
        <f t="shared" si="20"/>
        <v>FINALIZADO</v>
      </c>
      <c r="AS301" s="207" t="s">
        <v>4423</v>
      </c>
      <c r="AT301" s="207"/>
      <c r="AU301" s="220" t="s">
        <v>5721</v>
      </c>
      <c r="AV301" s="207" t="s">
        <v>4425</v>
      </c>
      <c r="AW301" s="207" t="s">
        <v>4425</v>
      </c>
      <c r="AX301" s="250" t="s">
        <v>4425</v>
      </c>
      <c r="AY301" s="207" t="s">
        <v>4425</v>
      </c>
      <c r="AZ301" s="202">
        <v>46066</v>
      </c>
      <c r="BA301" s="219" t="s">
        <v>4425</v>
      </c>
      <c r="BB301" s="219" t="s">
        <v>4425</v>
      </c>
      <c r="BC301" s="239">
        <v>46093</v>
      </c>
      <c r="BD301" s="226">
        <v>46093</v>
      </c>
      <c r="BE301" s="209">
        <v>46017</v>
      </c>
      <c r="BF301" s="207" t="s">
        <v>4762</v>
      </c>
      <c r="BG301" s="229" t="s">
        <v>4425</v>
      </c>
      <c r="BH301" s="321">
        <f t="shared" si="21"/>
        <v>42</v>
      </c>
      <c r="BI301" s="98" t="str">
        <f t="shared" si="22"/>
        <v>INDENIZAÇÃO</v>
      </c>
      <c r="BJ301" s="98" t="str">
        <f t="shared" si="23"/>
        <v>NÃO</v>
      </c>
      <c r="BK301" s="230" t="s">
        <v>4437</v>
      </c>
      <c r="BL301" s="230" t="s">
        <v>4437</v>
      </c>
      <c r="BM301" s="230" t="s">
        <v>4437</v>
      </c>
      <c r="BN301" s="207" t="s">
        <v>4425</v>
      </c>
      <c r="BO301" s="257" t="s">
        <v>4435</v>
      </c>
      <c r="BP301" s="265"/>
      <c r="BQ301" s="265"/>
      <c r="BR301" s="231"/>
    </row>
    <row r="302" spans="1:80" s="240" customFormat="1" ht="27" hidden="1" customHeight="1">
      <c r="A302" s="207">
        <v>298</v>
      </c>
      <c r="B302" s="197" t="s">
        <v>4396</v>
      </c>
      <c r="C302" s="207" t="s">
        <v>4453</v>
      </c>
      <c r="D302" s="207">
        <v>1</v>
      </c>
      <c r="E302" s="207" t="s">
        <v>4398</v>
      </c>
      <c r="F302" s="214" t="s">
        <v>5722</v>
      </c>
      <c r="G302" s="207" t="s">
        <v>4400</v>
      </c>
      <c r="H302" s="207" t="s">
        <v>4401</v>
      </c>
      <c r="I302" s="249" t="s">
        <v>4402</v>
      </c>
      <c r="J302" s="215" t="s">
        <v>5723</v>
      </c>
      <c r="K302" s="215" t="s">
        <v>5724</v>
      </c>
      <c r="L302" s="215" t="s">
        <v>5725</v>
      </c>
      <c r="M302" s="207" t="s">
        <v>4405</v>
      </c>
      <c r="N302" s="207" t="s">
        <v>4442</v>
      </c>
      <c r="O302" s="202" t="s">
        <v>4409</v>
      </c>
      <c r="P302" s="202" t="s">
        <v>4409</v>
      </c>
      <c r="Q302" s="202" t="s">
        <v>4409</v>
      </c>
      <c r="R302" s="202" t="s">
        <v>4409</v>
      </c>
      <c r="S302" s="202" t="s">
        <v>4409</v>
      </c>
      <c r="T302" s="202" t="s">
        <v>4409</v>
      </c>
      <c r="U302" s="202" t="s">
        <v>4409</v>
      </c>
      <c r="V302" s="202" t="s">
        <v>4409</v>
      </c>
      <c r="W302" s="202" t="s">
        <v>4409</v>
      </c>
      <c r="X302" s="202" t="s">
        <v>4409</v>
      </c>
      <c r="Y302" s="202"/>
      <c r="Z302" s="202"/>
      <c r="AA302" s="215" t="s">
        <v>5723</v>
      </c>
      <c r="AB302" s="215" t="s">
        <v>5724</v>
      </c>
      <c r="AC302" s="215" t="s">
        <v>5725</v>
      </c>
      <c r="AD302" s="241" t="s">
        <v>4402</v>
      </c>
      <c r="AE302" s="241" t="s">
        <v>4405</v>
      </c>
      <c r="AF302" s="218">
        <v>15801.58</v>
      </c>
      <c r="AG302" s="218">
        <f>AF302+30000</f>
        <v>45801.58</v>
      </c>
      <c r="AH302" s="207" t="s">
        <v>4433</v>
      </c>
      <c r="AI302" s="214" t="s">
        <v>4411</v>
      </c>
      <c r="AJ302" s="207">
        <v>149884243</v>
      </c>
      <c r="AK302" s="316">
        <v>46041</v>
      </c>
      <c r="AL302" s="316">
        <v>46041</v>
      </c>
      <c r="AM302" s="316">
        <v>46041</v>
      </c>
      <c r="AN302" s="316">
        <v>46041</v>
      </c>
      <c r="AO302" s="316">
        <v>46041</v>
      </c>
      <c r="AP302" s="316">
        <v>46041</v>
      </c>
      <c r="AQ302" s="314"/>
      <c r="AR302" s="315" t="str">
        <f t="shared" si="20"/>
        <v>FINALIZADO</v>
      </c>
      <c r="AS302" s="207" t="s">
        <v>4423</v>
      </c>
      <c r="AT302" s="207"/>
      <c r="AU302" s="220" t="s">
        <v>5726</v>
      </c>
      <c r="AV302" s="207" t="s">
        <v>4425</v>
      </c>
      <c r="AW302" s="207" t="s">
        <v>4425</v>
      </c>
      <c r="AX302" s="250" t="s">
        <v>4425</v>
      </c>
      <c r="AY302" s="207" t="s">
        <v>4425</v>
      </c>
      <c r="AZ302" s="202">
        <v>46062</v>
      </c>
      <c r="BA302" s="219" t="s">
        <v>4425</v>
      </c>
      <c r="BB302" s="207" t="s">
        <v>4425</v>
      </c>
      <c r="BC302" s="239">
        <v>46066</v>
      </c>
      <c r="BD302" s="226">
        <v>46066</v>
      </c>
      <c r="BE302" s="209">
        <v>46017</v>
      </c>
      <c r="BF302" s="207" t="s">
        <v>4412</v>
      </c>
      <c r="BG302" s="229" t="s">
        <v>4425</v>
      </c>
      <c r="BH302" s="321">
        <f t="shared" si="21"/>
        <v>25</v>
      </c>
      <c r="BI302" s="98" t="str">
        <f t="shared" si="22"/>
        <v>INDENIZAÇÃO</v>
      </c>
      <c r="BJ302" s="98" t="str">
        <f t="shared" si="23"/>
        <v>NÃO</v>
      </c>
      <c r="BK302" s="230" t="s">
        <v>4437</v>
      </c>
      <c r="BL302" s="230" t="s">
        <v>4437</v>
      </c>
      <c r="BM302" s="230" t="s">
        <v>4437</v>
      </c>
      <c r="BN302" s="207" t="s">
        <v>4425</v>
      </c>
      <c r="BO302" s="257" t="s">
        <v>4435</v>
      </c>
      <c r="BP302" s="265"/>
      <c r="BQ302" s="265"/>
      <c r="BR302" s="231"/>
    </row>
    <row r="303" spans="1:80" s="240" customFormat="1" ht="27" hidden="1" customHeight="1">
      <c r="A303" s="207">
        <v>299</v>
      </c>
      <c r="B303" s="197" t="s">
        <v>4396</v>
      </c>
      <c r="C303" s="207" t="s">
        <v>4453</v>
      </c>
      <c r="D303" s="207">
        <v>1</v>
      </c>
      <c r="E303" s="207" t="s">
        <v>4398</v>
      </c>
      <c r="F303" s="214" t="s">
        <v>5727</v>
      </c>
      <c r="G303" s="207" t="s">
        <v>4400</v>
      </c>
      <c r="H303" s="207" t="s">
        <v>4401</v>
      </c>
      <c r="I303" s="217" t="s">
        <v>4402</v>
      </c>
      <c r="J303" s="215" t="s">
        <v>5728</v>
      </c>
      <c r="K303" s="215" t="s">
        <v>5729</v>
      </c>
      <c r="L303" s="215" t="s">
        <v>5730</v>
      </c>
      <c r="M303" s="207" t="s">
        <v>4405</v>
      </c>
      <c r="N303" s="207" t="s">
        <v>4442</v>
      </c>
      <c r="O303" s="202" t="s">
        <v>4409</v>
      </c>
      <c r="P303" s="202" t="s">
        <v>4409</v>
      </c>
      <c r="Q303" s="202" t="s">
        <v>4409</v>
      </c>
      <c r="R303" s="202" t="s">
        <v>4409</v>
      </c>
      <c r="S303" s="202" t="s">
        <v>4409</v>
      </c>
      <c r="T303" s="202" t="s">
        <v>4409</v>
      </c>
      <c r="U303" s="202" t="s">
        <v>4409</v>
      </c>
      <c r="V303" s="202" t="s">
        <v>4409</v>
      </c>
      <c r="W303" s="202" t="s">
        <v>4409</v>
      </c>
      <c r="X303" s="202" t="s">
        <v>4409</v>
      </c>
      <c r="Y303" s="202"/>
      <c r="Z303" s="202"/>
      <c r="AA303" s="215" t="s">
        <v>5728</v>
      </c>
      <c r="AB303" s="215" t="s">
        <v>5729</v>
      </c>
      <c r="AC303" s="215" t="s">
        <v>5730</v>
      </c>
      <c r="AD303" s="204" t="s">
        <v>4402</v>
      </c>
      <c r="AE303" s="204" t="s">
        <v>4405</v>
      </c>
      <c r="AF303" s="243">
        <v>29296.91</v>
      </c>
      <c r="AG303" s="243">
        <f>AF303+30000</f>
        <v>59296.91</v>
      </c>
      <c r="AH303" s="197" t="s">
        <v>4433</v>
      </c>
      <c r="AI303" s="214" t="s">
        <v>4411</v>
      </c>
      <c r="AJ303" s="207">
        <v>150002718</v>
      </c>
      <c r="AK303" s="316">
        <v>46077</v>
      </c>
      <c r="AL303" s="316">
        <v>46077</v>
      </c>
      <c r="AM303" s="316">
        <v>46077</v>
      </c>
      <c r="AN303" s="316">
        <v>46077</v>
      </c>
      <c r="AO303" s="316">
        <v>46077</v>
      </c>
      <c r="AP303" s="316">
        <v>46077</v>
      </c>
      <c r="AQ303" s="314"/>
      <c r="AR303" s="315" t="str">
        <f t="shared" si="20"/>
        <v>FINALIZADO</v>
      </c>
      <c r="AS303" s="207" t="s">
        <v>4423</v>
      </c>
      <c r="AT303" s="207"/>
      <c r="AU303" s="220" t="s">
        <v>5731</v>
      </c>
      <c r="AV303" s="207" t="s">
        <v>4425</v>
      </c>
      <c r="AW303" s="207" t="s">
        <v>4425</v>
      </c>
      <c r="AX303" s="250" t="s">
        <v>4425</v>
      </c>
      <c r="AY303" s="207" t="s">
        <v>4425</v>
      </c>
      <c r="AZ303" s="202">
        <v>46083</v>
      </c>
      <c r="BA303" s="219" t="s">
        <v>4425</v>
      </c>
      <c r="BB303" s="219" t="s">
        <v>4425</v>
      </c>
      <c r="BC303" s="239">
        <v>46091</v>
      </c>
      <c r="BD303" s="226">
        <v>46091</v>
      </c>
      <c r="BE303" s="209">
        <v>46017</v>
      </c>
      <c r="BF303" s="197" t="s">
        <v>4412</v>
      </c>
      <c r="BG303" s="229" t="s">
        <v>4425</v>
      </c>
      <c r="BH303" s="321">
        <f t="shared" si="21"/>
        <v>14</v>
      </c>
      <c r="BI303" s="98" t="str">
        <f t="shared" si="22"/>
        <v>INDENIZAÇÃO</v>
      </c>
      <c r="BJ303" s="98" t="str">
        <f t="shared" si="23"/>
        <v>NÃO</v>
      </c>
      <c r="BK303" s="230" t="s">
        <v>4437</v>
      </c>
      <c r="BL303" s="230" t="s">
        <v>4437</v>
      </c>
      <c r="BM303" s="230" t="s">
        <v>4437</v>
      </c>
      <c r="BN303" s="265" t="s">
        <v>5732</v>
      </c>
      <c r="BO303" s="265"/>
      <c r="BP303" s="265"/>
      <c r="BQ303" s="265"/>
      <c r="BR303" s="231"/>
    </row>
    <row r="304" spans="1:80" s="240" customFormat="1" ht="27" hidden="1" customHeight="1">
      <c r="A304" s="197">
        <v>300</v>
      </c>
      <c r="B304" s="197" t="s">
        <v>4396</v>
      </c>
      <c r="C304" s="207" t="s">
        <v>4453</v>
      </c>
      <c r="D304" s="207">
        <v>1</v>
      </c>
      <c r="E304" s="207" t="s">
        <v>4398</v>
      </c>
      <c r="F304" s="214" t="s">
        <v>5733</v>
      </c>
      <c r="G304" s="207" t="s">
        <v>4400</v>
      </c>
      <c r="H304" s="207" t="s">
        <v>4401</v>
      </c>
      <c r="I304" s="217" t="s">
        <v>4402</v>
      </c>
      <c r="J304" s="215" t="s">
        <v>5734</v>
      </c>
      <c r="K304" s="215" t="s">
        <v>5735</v>
      </c>
      <c r="L304" s="215" t="s">
        <v>5736</v>
      </c>
      <c r="M304" s="207" t="s">
        <v>4405</v>
      </c>
      <c r="N304" s="207" t="s">
        <v>4406</v>
      </c>
      <c r="O304" s="202">
        <v>46058</v>
      </c>
      <c r="P304" s="203" t="s">
        <v>4407</v>
      </c>
      <c r="Q304" s="202">
        <v>46058</v>
      </c>
      <c r="R304" s="202">
        <v>46058</v>
      </c>
      <c r="S304" s="202">
        <v>46059</v>
      </c>
      <c r="T304" s="202">
        <v>46063</v>
      </c>
      <c r="U304" s="202" t="s">
        <v>4408</v>
      </c>
      <c r="V304" s="202" t="s">
        <v>4408</v>
      </c>
      <c r="W304" s="203">
        <v>46073</v>
      </c>
      <c r="X304" s="202">
        <v>46078</v>
      </c>
      <c r="Y304" s="202">
        <v>46017</v>
      </c>
      <c r="Z304" s="202"/>
      <c r="AA304" s="215" t="s">
        <v>5734</v>
      </c>
      <c r="AB304" s="215" t="s">
        <v>5735</v>
      </c>
      <c r="AC304" s="215" t="s">
        <v>5736</v>
      </c>
      <c r="AD304" s="204" t="s">
        <v>4402</v>
      </c>
      <c r="AE304" s="204" t="s">
        <v>4405</v>
      </c>
      <c r="AF304" s="205" t="s">
        <v>4409</v>
      </c>
      <c r="AG304" s="205" t="s">
        <v>4409</v>
      </c>
      <c r="AH304" s="204" t="s">
        <v>4410</v>
      </c>
      <c r="AI304" s="214" t="s">
        <v>4411</v>
      </c>
      <c r="AJ304" s="207"/>
      <c r="AK304" s="316">
        <v>46050</v>
      </c>
      <c r="AL304" s="316">
        <v>46050</v>
      </c>
      <c r="AM304" s="316">
        <v>46050</v>
      </c>
      <c r="AN304" s="316">
        <v>46050</v>
      </c>
      <c r="AO304" s="316">
        <v>46050</v>
      </c>
      <c r="AP304" s="316">
        <v>46050</v>
      </c>
      <c r="AQ304" s="314"/>
      <c r="AR304" s="315" t="str">
        <f t="shared" si="20"/>
        <v>FINALIZADO</v>
      </c>
      <c r="AS304" s="207"/>
      <c r="AT304" s="207"/>
      <c r="AU304" s="220"/>
      <c r="AV304" s="207"/>
      <c r="AW304" s="207"/>
      <c r="AX304" s="228"/>
      <c r="AY304" s="228"/>
      <c r="AZ304" s="227"/>
      <c r="BA304" s="219"/>
      <c r="BB304" s="228"/>
      <c r="BC304" s="228"/>
      <c r="BD304" s="208"/>
      <c r="BE304" s="209">
        <v>46017</v>
      </c>
      <c r="BF304" s="197" t="s">
        <v>4412</v>
      </c>
      <c r="BG304" s="229"/>
      <c r="BH304" s="321" t="str">
        <f t="shared" si="21"/>
        <v/>
      </c>
      <c r="BI304" s="98" t="str">
        <f t="shared" si="22"/>
        <v>AA</v>
      </c>
      <c r="BJ304" s="98" t="str">
        <f t="shared" si="23"/>
        <v>NÃO</v>
      </c>
      <c r="BK304" s="230"/>
      <c r="BL304" s="230"/>
      <c r="BM304" s="230"/>
      <c r="BN304" s="230"/>
      <c r="BO304" s="230"/>
      <c r="BP304" s="230"/>
      <c r="BQ304" s="230"/>
      <c r="BR304" s="234"/>
    </row>
    <row r="305" spans="1:70" s="240" customFormat="1" ht="27" hidden="1" customHeight="1">
      <c r="A305" s="197">
        <v>301</v>
      </c>
      <c r="B305" s="197" t="s">
        <v>4396</v>
      </c>
      <c r="C305" s="207" t="s">
        <v>4427</v>
      </c>
      <c r="D305" s="207">
        <v>1</v>
      </c>
      <c r="E305" s="207" t="s">
        <v>4398</v>
      </c>
      <c r="F305" s="214" t="s">
        <v>5737</v>
      </c>
      <c r="G305" s="207" t="s">
        <v>4400</v>
      </c>
      <c r="H305" s="207" t="s">
        <v>4401</v>
      </c>
      <c r="I305" s="217" t="s">
        <v>4402</v>
      </c>
      <c r="J305" s="215" t="s">
        <v>5738</v>
      </c>
      <c r="K305" s="215" t="s">
        <v>5739</v>
      </c>
      <c r="L305" s="215" t="s">
        <v>5740</v>
      </c>
      <c r="M305" s="207" t="s">
        <v>4405</v>
      </c>
      <c r="N305" s="207" t="s">
        <v>4442</v>
      </c>
      <c r="O305" s="202" t="s">
        <v>4409</v>
      </c>
      <c r="P305" s="202" t="s">
        <v>4409</v>
      </c>
      <c r="Q305" s="202" t="s">
        <v>4409</v>
      </c>
      <c r="R305" s="202" t="s">
        <v>4409</v>
      </c>
      <c r="S305" s="202" t="s">
        <v>4409</v>
      </c>
      <c r="T305" s="202" t="s">
        <v>4409</v>
      </c>
      <c r="U305" s="202" t="s">
        <v>4409</v>
      </c>
      <c r="V305" s="202" t="s">
        <v>4409</v>
      </c>
      <c r="W305" s="202" t="s">
        <v>4409</v>
      </c>
      <c r="X305" s="202" t="s">
        <v>4409</v>
      </c>
      <c r="Y305" s="202"/>
      <c r="Z305" s="202"/>
      <c r="AA305" s="215" t="s">
        <v>5738</v>
      </c>
      <c r="AB305" s="214" t="s">
        <v>5739</v>
      </c>
      <c r="AC305" s="214" t="s">
        <v>5740</v>
      </c>
      <c r="AD305" s="197" t="s">
        <v>4402</v>
      </c>
      <c r="AE305" s="197" t="s">
        <v>4405</v>
      </c>
      <c r="AF305" s="243">
        <v>89294.19</v>
      </c>
      <c r="AG305" s="243">
        <v>89294.19</v>
      </c>
      <c r="AH305" s="197" t="s">
        <v>4433</v>
      </c>
      <c r="AI305" s="214" t="s">
        <v>4411</v>
      </c>
      <c r="AJ305" s="207">
        <v>147041970</v>
      </c>
      <c r="AK305" s="316">
        <v>46045</v>
      </c>
      <c r="AL305" s="316">
        <v>46045</v>
      </c>
      <c r="AM305" s="316">
        <v>46045</v>
      </c>
      <c r="AN305" s="316">
        <v>46045</v>
      </c>
      <c r="AO305" s="316">
        <v>46045</v>
      </c>
      <c r="AP305" s="316">
        <v>46045</v>
      </c>
      <c r="AQ305" s="314"/>
      <c r="AR305" s="315" t="str">
        <f t="shared" si="20"/>
        <v>FINALIZADO</v>
      </c>
      <c r="AS305" s="207" t="s">
        <v>4423</v>
      </c>
      <c r="AT305" s="207"/>
      <c r="AU305" s="220" t="s">
        <v>5741</v>
      </c>
      <c r="AV305" s="207" t="s">
        <v>4425</v>
      </c>
      <c r="AW305" s="207" t="s">
        <v>4425</v>
      </c>
      <c r="AX305" s="250" t="s">
        <v>4425</v>
      </c>
      <c r="AY305" s="207" t="s">
        <v>4425</v>
      </c>
      <c r="AZ305" s="202">
        <v>46098</v>
      </c>
      <c r="BA305" s="207" t="s">
        <v>4425</v>
      </c>
      <c r="BB305" s="207" t="s">
        <v>4425</v>
      </c>
      <c r="BC305" s="202">
        <v>46114</v>
      </c>
      <c r="BD305" s="227">
        <v>46114</v>
      </c>
      <c r="BE305" s="244" t="s">
        <v>4435</v>
      </c>
      <c r="BF305" s="245" t="s">
        <v>4436</v>
      </c>
      <c r="BG305" s="229" t="s">
        <v>4425</v>
      </c>
      <c r="BH305" s="321">
        <f t="shared" si="21"/>
        <v>69</v>
      </c>
      <c r="BI305" s="98" t="str">
        <f t="shared" si="22"/>
        <v>INDENIZAÇÃO</v>
      </c>
      <c r="BJ305" s="98" t="str">
        <f t="shared" si="23"/>
        <v>NÃO</v>
      </c>
      <c r="BK305" s="230" t="s">
        <v>4437</v>
      </c>
      <c r="BL305" s="230" t="s">
        <v>4437</v>
      </c>
      <c r="BM305" s="230" t="s">
        <v>4437</v>
      </c>
      <c r="BN305" s="265" t="s">
        <v>5732</v>
      </c>
      <c r="BO305" s="265"/>
      <c r="BP305" s="265"/>
      <c r="BQ305" s="265"/>
      <c r="BR305" s="231"/>
    </row>
    <row r="306" spans="1:70" s="240" customFormat="1" ht="27" hidden="1" customHeight="1">
      <c r="A306" s="207">
        <v>302</v>
      </c>
      <c r="B306" s="197" t="s">
        <v>4396</v>
      </c>
      <c r="C306" s="207" t="s">
        <v>4427</v>
      </c>
      <c r="D306" s="207">
        <v>1</v>
      </c>
      <c r="E306" s="207" t="s">
        <v>4398</v>
      </c>
      <c r="F306" s="214" t="s">
        <v>5742</v>
      </c>
      <c r="G306" s="207" t="s">
        <v>4400</v>
      </c>
      <c r="H306" s="207" t="s">
        <v>4401</v>
      </c>
      <c r="I306" s="217" t="s">
        <v>4402</v>
      </c>
      <c r="J306" s="215" t="s">
        <v>5743</v>
      </c>
      <c r="K306" s="215" t="s">
        <v>5744</v>
      </c>
      <c r="L306" s="215" t="s">
        <v>5745</v>
      </c>
      <c r="M306" s="207" t="s">
        <v>4405</v>
      </c>
      <c r="N306" s="207" t="s">
        <v>4442</v>
      </c>
      <c r="O306" s="202" t="s">
        <v>4409</v>
      </c>
      <c r="P306" s="202" t="s">
        <v>4409</v>
      </c>
      <c r="Q306" s="202" t="s">
        <v>4409</v>
      </c>
      <c r="R306" s="202" t="s">
        <v>4409</v>
      </c>
      <c r="S306" s="202" t="s">
        <v>4409</v>
      </c>
      <c r="T306" s="202" t="s">
        <v>4409</v>
      </c>
      <c r="U306" s="202" t="s">
        <v>4409</v>
      </c>
      <c r="V306" s="202" t="s">
        <v>4409</v>
      </c>
      <c r="W306" s="202" t="s">
        <v>4409</v>
      </c>
      <c r="X306" s="202" t="s">
        <v>4409</v>
      </c>
      <c r="Y306" s="202"/>
      <c r="Z306" s="202"/>
      <c r="AA306" s="215" t="s">
        <v>5743</v>
      </c>
      <c r="AB306" s="214" t="s">
        <v>5744</v>
      </c>
      <c r="AC306" s="214" t="s">
        <v>5745</v>
      </c>
      <c r="AD306" s="207" t="s">
        <v>4402</v>
      </c>
      <c r="AE306" s="207" t="s">
        <v>4405</v>
      </c>
      <c r="AF306" s="218">
        <v>18221.38</v>
      </c>
      <c r="AG306" s="218">
        <f>AF306+30000</f>
        <v>48221.380000000005</v>
      </c>
      <c r="AH306" s="207" t="s">
        <v>4433</v>
      </c>
      <c r="AI306" s="214" t="s">
        <v>4411</v>
      </c>
      <c r="AJ306" s="207">
        <v>147042681</v>
      </c>
      <c r="AK306" s="316">
        <v>46001</v>
      </c>
      <c r="AL306" s="316">
        <v>46001</v>
      </c>
      <c r="AM306" s="316">
        <v>46001</v>
      </c>
      <c r="AN306" s="316">
        <v>46001</v>
      </c>
      <c r="AO306" s="316">
        <v>46001</v>
      </c>
      <c r="AP306" s="316">
        <v>46001</v>
      </c>
      <c r="AQ306" s="314"/>
      <c r="AR306" s="315" t="str">
        <f t="shared" si="20"/>
        <v>FINALIZADO</v>
      </c>
      <c r="AS306" s="207" t="s">
        <v>4423</v>
      </c>
      <c r="AT306" s="207"/>
      <c r="AU306" s="220" t="s">
        <v>5746</v>
      </c>
      <c r="AV306" s="207" t="s">
        <v>4425</v>
      </c>
      <c r="AW306" s="207" t="s">
        <v>4425</v>
      </c>
      <c r="AX306" s="250" t="s">
        <v>4425</v>
      </c>
      <c r="AY306" s="207" t="s">
        <v>4425</v>
      </c>
      <c r="AZ306" s="203">
        <v>46017</v>
      </c>
      <c r="BA306" s="219" t="s">
        <v>4425</v>
      </c>
      <c r="BB306" s="207" t="s">
        <v>4425</v>
      </c>
      <c r="BC306" s="208">
        <v>46024</v>
      </c>
      <c r="BD306" s="227">
        <v>46024</v>
      </c>
      <c r="BE306" s="226" t="s">
        <v>4435</v>
      </c>
      <c r="BF306" s="228" t="s">
        <v>4436</v>
      </c>
      <c r="BG306" s="229" t="s">
        <v>4425</v>
      </c>
      <c r="BH306" s="321">
        <f t="shared" si="21"/>
        <v>23</v>
      </c>
      <c r="BI306" s="98" t="str">
        <f t="shared" si="22"/>
        <v>INDENIZAÇÃO</v>
      </c>
      <c r="BJ306" s="98" t="str">
        <f t="shared" si="23"/>
        <v>NÃO</v>
      </c>
      <c r="BK306" s="230" t="s">
        <v>4437</v>
      </c>
      <c r="BL306" s="230" t="s">
        <v>4437</v>
      </c>
      <c r="BM306" s="230" t="s">
        <v>4437</v>
      </c>
      <c r="BN306" s="207" t="s">
        <v>4425</v>
      </c>
      <c r="BO306" s="207" t="s">
        <v>4425</v>
      </c>
      <c r="BP306" s="202">
        <v>46205</v>
      </c>
      <c r="BQ306" s="207" t="s">
        <v>4425</v>
      </c>
      <c r="BR306" s="232" t="s">
        <v>4435</v>
      </c>
    </row>
    <row r="307" spans="1:70" s="240" customFormat="1" ht="27" hidden="1" customHeight="1">
      <c r="A307" s="207">
        <v>303</v>
      </c>
      <c r="B307" s="197" t="s">
        <v>4396</v>
      </c>
      <c r="C307" s="207" t="s">
        <v>4427</v>
      </c>
      <c r="D307" s="207">
        <v>1</v>
      </c>
      <c r="E307" s="207" t="s">
        <v>4398</v>
      </c>
      <c r="F307" s="214" t="s">
        <v>5747</v>
      </c>
      <c r="G307" s="207" t="s">
        <v>4400</v>
      </c>
      <c r="H307" s="207" t="s">
        <v>4401</v>
      </c>
      <c r="I307" s="217" t="s">
        <v>4402</v>
      </c>
      <c r="J307" s="215" t="s">
        <v>5748</v>
      </c>
      <c r="K307" s="215" t="s">
        <v>5749</v>
      </c>
      <c r="L307" s="215" t="s">
        <v>5750</v>
      </c>
      <c r="M307" s="207" t="s">
        <v>4405</v>
      </c>
      <c r="N307" s="207" t="s">
        <v>4442</v>
      </c>
      <c r="O307" s="202" t="s">
        <v>4409</v>
      </c>
      <c r="P307" s="202" t="s">
        <v>4409</v>
      </c>
      <c r="Q307" s="202" t="s">
        <v>4409</v>
      </c>
      <c r="R307" s="202" t="s">
        <v>4409</v>
      </c>
      <c r="S307" s="202" t="s">
        <v>4409</v>
      </c>
      <c r="T307" s="202" t="s">
        <v>4409</v>
      </c>
      <c r="U307" s="202" t="s">
        <v>4409</v>
      </c>
      <c r="V307" s="202" t="s">
        <v>4409</v>
      </c>
      <c r="W307" s="202" t="s">
        <v>4409</v>
      </c>
      <c r="X307" s="202" t="s">
        <v>4409</v>
      </c>
      <c r="Y307" s="202"/>
      <c r="Z307" s="202"/>
      <c r="AA307" s="215" t="s">
        <v>5748</v>
      </c>
      <c r="AB307" s="214" t="s">
        <v>4398</v>
      </c>
      <c r="AC307" s="214" t="s">
        <v>5750</v>
      </c>
      <c r="AD307" s="207" t="s">
        <v>4402</v>
      </c>
      <c r="AE307" s="207" t="s">
        <v>4405</v>
      </c>
      <c r="AF307" s="218">
        <v>53466.1</v>
      </c>
      <c r="AG307" s="218">
        <v>60000</v>
      </c>
      <c r="AH307" s="207" t="s">
        <v>4433</v>
      </c>
      <c r="AI307" s="214" t="s">
        <v>4411</v>
      </c>
      <c r="AJ307" s="207">
        <v>147042839</v>
      </c>
      <c r="AK307" s="316">
        <v>45986</v>
      </c>
      <c r="AL307" s="316">
        <v>45986</v>
      </c>
      <c r="AM307" s="316">
        <v>45986</v>
      </c>
      <c r="AN307" s="316">
        <v>45986</v>
      </c>
      <c r="AO307" s="316">
        <v>45986</v>
      </c>
      <c r="AP307" s="316">
        <v>45986</v>
      </c>
      <c r="AQ307" s="314"/>
      <c r="AR307" s="315" t="str">
        <f t="shared" si="20"/>
        <v>FINALIZADO</v>
      </c>
      <c r="AS307" s="207" t="s">
        <v>4423</v>
      </c>
      <c r="AT307" s="207"/>
      <c r="AU307" s="220" t="s">
        <v>5751</v>
      </c>
      <c r="AV307" s="207" t="s">
        <v>4425</v>
      </c>
      <c r="AW307" s="207" t="s">
        <v>4425</v>
      </c>
      <c r="AX307" s="250" t="s">
        <v>4425</v>
      </c>
      <c r="AY307" s="207" t="s">
        <v>4425</v>
      </c>
      <c r="AZ307" s="203">
        <v>46017</v>
      </c>
      <c r="BA307" s="219" t="s">
        <v>4425</v>
      </c>
      <c r="BB307" s="207" t="s">
        <v>4425</v>
      </c>
      <c r="BC307" s="208">
        <v>46024</v>
      </c>
      <c r="BD307" s="226">
        <v>46024</v>
      </c>
      <c r="BE307" s="226" t="s">
        <v>4435</v>
      </c>
      <c r="BF307" s="228" t="s">
        <v>4436</v>
      </c>
      <c r="BG307" s="229" t="s">
        <v>4425</v>
      </c>
      <c r="BH307" s="321">
        <f t="shared" si="21"/>
        <v>38</v>
      </c>
      <c r="BI307" s="98" t="str">
        <f t="shared" si="22"/>
        <v>INDENIZAÇÃO</v>
      </c>
      <c r="BJ307" s="98" t="str">
        <f t="shared" si="23"/>
        <v>NÃO</v>
      </c>
      <c r="BK307" s="230" t="s">
        <v>4437</v>
      </c>
      <c r="BL307" s="230" t="s">
        <v>4437</v>
      </c>
      <c r="BM307" s="230" t="s">
        <v>4437</v>
      </c>
      <c r="BN307" s="207" t="s">
        <v>4425</v>
      </c>
      <c r="BO307" s="207" t="s">
        <v>4425</v>
      </c>
      <c r="BP307" s="202">
        <v>46205</v>
      </c>
      <c r="BQ307" s="207" t="s">
        <v>4425</v>
      </c>
      <c r="BR307" s="232" t="s">
        <v>4435</v>
      </c>
    </row>
    <row r="308" spans="1:70" s="240" customFormat="1" ht="27" hidden="1" customHeight="1">
      <c r="A308" s="207">
        <v>304</v>
      </c>
      <c r="B308" s="197" t="s">
        <v>4396</v>
      </c>
      <c r="C308" s="207" t="s">
        <v>4427</v>
      </c>
      <c r="D308" s="207">
        <v>1</v>
      </c>
      <c r="E308" s="207" t="s">
        <v>4398</v>
      </c>
      <c r="F308" s="214" t="s">
        <v>5752</v>
      </c>
      <c r="G308" s="207" t="s">
        <v>4400</v>
      </c>
      <c r="H308" s="207" t="s">
        <v>4401</v>
      </c>
      <c r="I308" s="217" t="s">
        <v>4402</v>
      </c>
      <c r="J308" s="215" t="s">
        <v>5753</v>
      </c>
      <c r="K308" s="215" t="s">
        <v>5754</v>
      </c>
      <c r="L308" s="215" t="s">
        <v>5755</v>
      </c>
      <c r="M308" s="207" t="s">
        <v>4405</v>
      </c>
      <c r="N308" s="207" t="s">
        <v>4442</v>
      </c>
      <c r="O308" s="202" t="s">
        <v>4409</v>
      </c>
      <c r="P308" s="202" t="s">
        <v>4409</v>
      </c>
      <c r="Q308" s="202" t="s">
        <v>4409</v>
      </c>
      <c r="R308" s="202" t="s">
        <v>4409</v>
      </c>
      <c r="S308" s="202" t="s">
        <v>4409</v>
      </c>
      <c r="T308" s="202" t="s">
        <v>4409</v>
      </c>
      <c r="U308" s="202" t="s">
        <v>4409</v>
      </c>
      <c r="V308" s="202" t="s">
        <v>4409</v>
      </c>
      <c r="W308" s="202" t="s">
        <v>4409</v>
      </c>
      <c r="X308" s="202" t="s">
        <v>4409</v>
      </c>
      <c r="Y308" s="202"/>
      <c r="Z308" s="202"/>
      <c r="AA308" s="215" t="s">
        <v>5753</v>
      </c>
      <c r="AB308" s="214" t="s">
        <v>5754</v>
      </c>
      <c r="AC308" s="214" t="s">
        <v>5755</v>
      </c>
      <c r="AD308" s="207" t="s">
        <v>4402</v>
      </c>
      <c r="AE308" s="207" t="s">
        <v>4405</v>
      </c>
      <c r="AF308" s="218">
        <v>36525.11</v>
      </c>
      <c r="AG308" s="218">
        <v>60000</v>
      </c>
      <c r="AH308" s="207" t="s">
        <v>4433</v>
      </c>
      <c r="AI308" s="214" t="s">
        <v>4411</v>
      </c>
      <c r="AJ308" s="207">
        <v>147042956</v>
      </c>
      <c r="AK308" s="316">
        <v>45986</v>
      </c>
      <c r="AL308" s="316">
        <v>45986</v>
      </c>
      <c r="AM308" s="316">
        <v>45986</v>
      </c>
      <c r="AN308" s="316">
        <v>45986</v>
      </c>
      <c r="AO308" s="316">
        <v>45986</v>
      </c>
      <c r="AP308" s="316">
        <v>45986</v>
      </c>
      <c r="AQ308" s="314"/>
      <c r="AR308" s="315" t="str">
        <f t="shared" si="20"/>
        <v>FINALIZADO</v>
      </c>
      <c r="AS308" s="207" t="s">
        <v>4423</v>
      </c>
      <c r="AT308" s="207"/>
      <c r="AU308" s="220" t="s">
        <v>5756</v>
      </c>
      <c r="AV308" s="207" t="s">
        <v>4425</v>
      </c>
      <c r="AW308" s="207" t="s">
        <v>4425</v>
      </c>
      <c r="AX308" s="250" t="s">
        <v>4425</v>
      </c>
      <c r="AY308" s="207" t="s">
        <v>4425</v>
      </c>
      <c r="AZ308" s="202">
        <v>46014</v>
      </c>
      <c r="BA308" s="219" t="s">
        <v>4425</v>
      </c>
      <c r="BB308" s="207" t="s">
        <v>4425</v>
      </c>
      <c r="BC308" s="239">
        <v>46021</v>
      </c>
      <c r="BD308" s="226">
        <v>46021</v>
      </c>
      <c r="BE308" s="227" t="s">
        <v>4435</v>
      </c>
      <c r="BF308" s="228" t="s">
        <v>4436</v>
      </c>
      <c r="BG308" s="229" t="s">
        <v>4425</v>
      </c>
      <c r="BH308" s="321">
        <f t="shared" si="21"/>
        <v>35</v>
      </c>
      <c r="BI308" s="98" t="str">
        <f t="shared" si="22"/>
        <v>INDENIZAÇÃO</v>
      </c>
      <c r="BJ308" s="98" t="str">
        <f t="shared" si="23"/>
        <v>NÃO</v>
      </c>
      <c r="BK308" s="230" t="s">
        <v>4437</v>
      </c>
      <c r="BL308" s="230" t="s">
        <v>4437</v>
      </c>
      <c r="BM308" s="230" t="s">
        <v>4437</v>
      </c>
      <c r="BN308" s="207" t="s">
        <v>4425</v>
      </c>
      <c r="BO308" s="207" t="s">
        <v>4425</v>
      </c>
      <c r="BP308" s="202">
        <v>46205</v>
      </c>
      <c r="BQ308" s="207" t="s">
        <v>4425</v>
      </c>
      <c r="BR308" s="232" t="s">
        <v>4435</v>
      </c>
    </row>
    <row r="309" spans="1:70" s="240" customFormat="1" ht="27" hidden="1" customHeight="1">
      <c r="A309" s="197">
        <v>305</v>
      </c>
      <c r="B309" s="197" t="s">
        <v>4396</v>
      </c>
      <c r="C309" s="207" t="s">
        <v>4427</v>
      </c>
      <c r="D309" s="207">
        <v>1</v>
      </c>
      <c r="E309" s="207" t="s">
        <v>4398</v>
      </c>
      <c r="F309" s="214" t="s">
        <v>5757</v>
      </c>
      <c r="G309" s="207" t="s">
        <v>4400</v>
      </c>
      <c r="H309" s="207" t="s">
        <v>4401</v>
      </c>
      <c r="I309" s="217" t="s">
        <v>4402</v>
      </c>
      <c r="J309" s="215" t="s">
        <v>5758</v>
      </c>
      <c r="K309" s="215" t="s">
        <v>5759</v>
      </c>
      <c r="L309" s="215" t="s">
        <v>5760</v>
      </c>
      <c r="M309" s="207" t="s">
        <v>4405</v>
      </c>
      <c r="N309" s="207" t="s">
        <v>4406</v>
      </c>
      <c r="O309" s="203">
        <v>46031</v>
      </c>
      <c r="P309" s="202" t="s">
        <v>4407</v>
      </c>
      <c r="Q309" s="203">
        <v>46030</v>
      </c>
      <c r="R309" s="203">
        <v>46031</v>
      </c>
      <c r="S309" s="203">
        <v>46036</v>
      </c>
      <c r="T309" s="203">
        <v>46045</v>
      </c>
      <c r="U309" s="203" t="s">
        <v>4408</v>
      </c>
      <c r="V309" s="203" t="s">
        <v>4408</v>
      </c>
      <c r="W309" s="202">
        <v>46055</v>
      </c>
      <c r="X309" s="202">
        <v>46057</v>
      </c>
      <c r="Y309" s="202"/>
      <c r="Z309" s="202"/>
      <c r="AA309" s="215" t="s">
        <v>5758</v>
      </c>
      <c r="AB309" s="214" t="s">
        <v>5759</v>
      </c>
      <c r="AC309" s="214" t="s">
        <v>5760</v>
      </c>
      <c r="AD309" s="207" t="s">
        <v>4402</v>
      </c>
      <c r="AE309" s="207" t="s">
        <v>4405</v>
      </c>
      <c r="AF309" s="242" t="s">
        <v>4409</v>
      </c>
      <c r="AG309" s="242" t="s">
        <v>4409</v>
      </c>
      <c r="AH309" s="207" t="s">
        <v>4410</v>
      </c>
      <c r="AI309" s="214" t="s">
        <v>4411</v>
      </c>
      <c r="AJ309" s="207"/>
      <c r="AK309" s="316"/>
      <c r="AL309" s="316"/>
      <c r="AM309" s="316"/>
      <c r="AN309" s="316"/>
      <c r="AO309" s="316"/>
      <c r="AP309" s="316"/>
      <c r="AQ309" s="314"/>
      <c r="AR309" s="315" t="str">
        <f t="shared" si="20"/>
        <v/>
      </c>
      <c r="AS309" s="207"/>
      <c r="AT309" s="207"/>
      <c r="AU309" s="220"/>
      <c r="AV309" s="207"/>
      <c r="AW309" s="207"/>
      <c r="AX309" s="228"/>
      <c r="AY309" s="207"/>
      <c r="AZ309" s="202"/>
      <c r="BA309" s="219"/>
      <c r="BB309" s="207"/>
      <c r="BC309" s="202"/>
      <c r="BD309" s="208"/>
      <c r="BE309" s="202"/>
      <c r="BF309" s="207"/>
      <c r="BG309" s="229"/>
      <c r="BH309" s="321" t="str">
        <f t="shared" si="21"/>
        <v/>
      </c>
      <c r="BI309" s="98" t="str">
        <f t="shared" si="22"/>
        <v>AA</v>
      </c>
      <c r="BJ309" s="98" t="str">
        <f t="shared" si="23"/>
        <v>NÃO</v>
      </c>
      <c r="BK309" s="230"/>
      <c r="BL309" s="230"/>
      <c r="BM309" s="230"/>
      <c r="BN309" s="230"/>
      <c r="BO309" s="230"/>
      <c r="BP309" s="230"/>
      <c r="BQ309" s="230"/>
      <c r="BR309" s="234"/>
    </row>
    <row r="310" spans="1:70" s="240" customFormat="1" ht="27" hidden="1" customHeight="1">
      <c r="A310" s="197">
        <v>306</v>
      </c>
      <c r="B310" s="197" t="s">
        <v>4396</v>
      </c>
      <c r="C310" s="207" t="s">
        <v>4427</v>
      </c>
      <c r="D310" s="207">
        <v>1</v>
      </c>
      <c r="E310" s="207" t="s">
        <v>4398</v>
      </c>
      <c r="F310" s="214" t="s">
        <v>5761</v>
      </c>
      <c r="G310" s="207" t="s">
        <v>4400</v>
      </c>
      <c r="H310" s="207" t="s">
        <v>4401</v>
      </c>
      <c r="I310" s="217" t="s">
        <v>4402</v>
      </c>
      <c r="J310" s="215" t="s">
        <v>5762</v>
      </c>
      <c r="K310" s="215" t="s">
        <v>5763</v>
      </c>
      <c r="L310" s="215" t="s">
        <v>5764</v>
      </c>
      <c r="M310" s="207" t="s">
        <v>4405</v>
      </c>
      <c r="N310" s="207" t="s">
        <v>4442</v>
      </c>
      <c r="O310" s="202" t="s">
        <v>4409</v>
      </c>
      <c r="P310" s="202" t="s">
        <v>4409</v>
      </c>
      <c r="Q310" s="202" t="s">
        <v>4409</v>
      </c>
      <c r="R310" s="202" t="s">
        <v>4409</v>
      </c>
      <c r="S310" s="202" t="s">
        <v>4409</v>
      </c>
      <c r="T310" s="202" t="s">
        <v>4409</v>
      </c>
      <c r="U310" s="202" t="s">
        <v>4409</v>
      </c>
      <c r="V310" s="202" t="s">
        <v>4409</v>
      </c>
      <c r="W310" s="202" t="s">
        <v>4409</v>
      </c>
      <c r="X310" s="202" t="s">
        <v>4409</v>
      </c>
      <c r="Y310" s="202"/>
      <c r="Z310" s="202"/>
      <c r="AA310" s="215" t="s">
        <v>5762</v>
      </c>
      <c r="AB310" s="215" t="s">
        <v>5763</v>
      </c>
      <c r="AC310" s="215" t="s">
        <v>5764</v>
      </c>
      <c r="AD310" s="207" t="s">
        <v>4402</v>
      </c>
      <c r="AE310" s="207" t="s">
        <v>4405</v>
      </c>
      <c r="AF310" s="243"/>
      <c r="AG310" s="243"/>
      <c r="AH310" s="207"/>
      <c r="AI310" s="214" t="s">
        <v>4411</v>
      </c>
      <c r="AJ310" s="207"/>
      <c r="AK310" s="316"/>
      <c r="AL310" s="316"/>
      <c r="AM310" s="316"/>
      <c r="AN310" s="316"/>
      <c r="AO310" s="316"/>
      <c r="AP310" s="316"/>
      <c r="AQ310" s="314"/>
      <c r="AR310" s="315" t="str">
        <f t="shared" si="20"/>
        <v/>
      </c>
      <c r="AS310" s="207"/>
      <c r="AT310" s="207"/>
      <c r="AU310" s="220"/>
      <c r="AV310" s="207"/>
      <c r="AW310" s="207"/>
      <c r="AX310" s="228"/>
      <c r="AY310" s="207"/>
      <c r="AZ310" s="202"/>
      <c r="BA310" s="219"/>
      <c r="BB310" s="207"/>
      <c r="BC310" s="202"/>
      <c r="BD310" s="208"/>
      <c r="BE310" s="202"/>
      <c r="BF310" s="207"/>
      <c r="BG310" s="229"/>
      <c r="BH310" s="321" t="str">
        <f t="shared" si="21"/>
        <v/>
      </c>
      <c r="BI310" s="98" t="str">
        <f t="shared" si="22"/>
        <v>INDENIZAÇÃO</v>
      </c>
      <c r="BJ310" s="98" t="str">
        <f t="shared" si="23"/>
        <v>NÃO</v>
      </c>
      <c r="BK310" s="230"/>
      <c r="BL310" s="230"/>
      <c r="BM310" s="230"/>
      <c r="BN310" s="230"/>
      <c r="BO310" s="230"/>
      <c r="BP310" s="230"/>
      <c r="BQ310" s="230"/>
      <c r="BR310" s="234"/>
    </row>
    <row r="311" spans="1:70" s="240" customFormat="1" ht="27" hidden="1" customHeight="1">
      <c r="A311" s="207">
        <v>307</v>
      </c>
      <c r="B311" s="197" t="s">
        <v>4396</v>
      </c>
      <c r="C311" s="207" t="s">
        <v>4427</v>
      </c>
      <c r="D311" s="207">
        <v>1</v>
      </c>
      <c r="E311" s="207" t="s">
        <v>4398</v>
      </c>
      <c r="F311" s="214" t="s">
        <v>5765</v>
      </c>
      <c r="G311" s="207" t="s">
        <v>4400</v>
      </c>
      <c r="H311" s="207" t="s">
        <v>4583</v>
      </c>
      <c r="I311" s="217" t="s">
        <v>4402</v>
      </c>
      <c r="J311" s="215" t="s">
        <v>5766</v>
      </c>
      <c r="K311" s="215" t="s">
        <v>4398</v>
      </c>
      <c r="L311" s="215" t="s">
        <v>5767</v>
      </c>
      <c r="M311" s="207" t="s">
        <v>4405</v>
      </c>
      <c r="N311" s="207" t="s">
        <v>4406</v>
      </c>
      <c r="O311" s="202">
        <v>46065</v>
      </c>
      <c r="P311" s="203" t="s">
        <v>4407</v>
      </c>
      <c r="Q311" s="202">
        <v>46072</v>
      </c>
      <c r="R311" s="202">
        <v>46065</v>
      </c>
      <c r="S311" s="202">
        <v>46080</v>
      </c>
      <c r="T311" s="202">
        <v>46083</v>
      </c>
      <c r="U311" s="202" t="s">
        <v>4408</v>
      </c>
      <c r="V311" s="202" t="s">
        <v>4408</v>
      </c>
      <c r="W311" s="203">
        <v>46055</v>
      </c>
      <c r="X311" s="203">
        <v>46091</v>
      </c>
      <c r="Y311" s="202"/>
      <c r="Z311" s="202"/>
      <c r="AA311" s="215" t="s">
        <v>5766</v>
      </c>
      <c r="AB311" s="215" t="s">
        <v>4398</v>
      </c>
      <c r="AC311" s="215" t="s">
        <v>5767</v>
      </c>
      <c r="AD311" s="217" t="s">
        <v>4402</v>
      </c>
      <c r="AE311" s="207" t="s">
        <v>4405</v>
      </c>
      <c r="AF311" s="242" t="s">
        <v>4409</v>
      </c>
      <c r="AG311" s="242" t="s">
        <v>4409</v>
      </c>
      <c r="AH311" s="207" t="s">
        <v>4410</v>
      </c>
      <c r="AI311" s="214" t="s">
        <v>4411</v>
      </c>
      <c r="AJ311" s="207"/>
      <c r="AK311" s="316">
        <v>46064</v>
      </c>
      <c r="AL311" s="316">
        <v>46064</v>
      </c>
      <c r="AM311" s="316">
        <v>46064</v>
      </c>
      <c r="AN311" s="316">
        <v>46064</v>
      </c>
      <c r="AO311" s="316">
        <v>46064</v>
      </c>
      <c r="AP311" s="316">
        <v>46064</v>
      </c>
      <c r="AQ311" s="314"/>
      <c r="AR311" s="315" t="str">
        <f t="shared" si="20"/>
        <v>FINALIZADO</v>
      </c>
      <c r="AS311" s="207"/>
      <c r="AT311" s="207"/>
      <c r="AU311" s="220"/>
      <c r="AV311" s="207"/>
      <c r="AW311" s="207"/>
      <c r="AX311" s="228"/>
      <c r="AY311" s="207"/>
      <c r="AZ311" s="202"/>
      <c r="BA311" s="219"/>
      <c r="BB311" s="207"/>
      <c r="BC311" s="202"/>
      <c r="BD311" s="208"/>
      <c r="BE311" s="202"/>
      <c r="BF311" s="207"/>
      <c r="BG311" s="229"/>
      <c r="BH311" s="321" t="str">
        <f t="shared" si="21"/>
        <v/>
      </c>
      <c r="BI311" s="98" t="str">
        <f t="shared" si="22"/>
        <v>AA</v>
      </c>
      <c r="BJ311" s="98" t="str">
        <f t="shared" si="23"/>
        <v>NÃO</v>
      </c>
      <c r="BK311" s="230"/>
      <c r="BL311" s="230"/>
      <c r="BM311" s="230"/>
      <c r="BN311" s="230"/>
      <c r="BO311" s="230"/>
      <c r="BP311" s="230"/>
      <c r="BQ311" s="230"/>
      <c r="BR311" s="234"/>
    </row>
    <row r="312" spans="1:70" s="240" customFormat="1" ht="27" hidden="1" customHeight="1">
      <c r="A312" s="207">
        <v>308</v>
      </c>
      <c r="B312" s="197" t="s">
        <v>4396</v>
      </c>
      <c r="C312" s="207" t="s">
        <v>4427</v>
      </c>
      <c r="D312" s="207">
        <v>1</v>
      </c>
      <c r="E312" s="207" t="s">
        <v>4398</v>
      </c>
      <c r="F312" s="214" t="s">
        <v>5768</v>
      </c>
      <c r="G312" s="207" t="s">
        <v>4400</v>
      </c>
      <c r="H312" s="207" t="s">
        <v>4401</v>
      </c>
      <c r="I312" s="217" t="s">
        <v>4402</v>
      </c>
      <c r="J312" s="215" t="s">
        <v>5769</v>
      </c>
      <c r="K312" s="215" t="s">
        <v>5770</v>
      </c>
      <c r="L312" s="215" t="s">
        <v>5771</v>
      </c>
      <c r="M312" s="207" t="s">
        <v>4405</v>
      </c>
      <c r="N312" s="207" t="s">
        <v>4406</v>
      </c>
      <c r="O312" s="202">
        <v>46002</v>
      </c>
      <c r="P312" s="202" t="s">
        <v>4407</v>
      </c>
      <c r="Q312" s="202">
        <v>45999</v>
      </c>
      <c r="R312" s="202">
        <v>46006</v>
      </c>
      <c r="S312" s="202">
        <v>46006</v>
      </c>
      <c r="T312" s="202">
        <v>46009</v>
      </c>
      <c r="U312" s="202" t="s">
        <v>4408</v>
      </c>
      <c r="V312" s="202" t="s">
        <v>4408</v>
      </c>
      <c r="W312" s="202">
        <v>46014</v>
      </c>
      <c r="X312" s="202">
        <v>46027</v>
      </c>
      <c r="Y312" s="202"/>
      <c r="Z312" s="202"/>
      <c r="AA312" s="215" t="s">
        <v>5769</v>
      </c>
      <c r="AB312" s="215" t="s">
        <v>5770</v>
      </c>
      <c r="AC312" s="215" t="s">
        <v>5771</v>
      </c>
      <c r="AD312" s="217" t="s">
        <v>4402</v>
      </c>
      <c r="AE312" s="217" t="s">
        <v>4405</v>
      </c>
      <c r="AF312" s="243" t="s">
        <v>4409</v>
      </c>
      <c r="AG312" s="243" t="s">
        <v>4409</v>
      </c>
      <c r="AH312" s="207" t="s">
        <v>4410</v>
      </c>
      <c r="AI312" s="214" t="s">
        <v>4411</v>
      </c>
      <c r="AJ312" s="207"/>
      <c r="AK312" s="316">
        <v>45986</v>
      </c>
      <c r="AL312" s="316">
        <v>45986</v>
      </c>
      <c r="AM312" s="316">
        <v>45986</v>
      </c>
      <c r="AN312" s="316">
        <v>45986</v>
      </c>
      <c r="AO312" s="316">
        <v>45986</v>
      </c>
      <c r="AP312" s="316">
        <v>45986</v>
      </c>
      <c r="AQ312" s="314"/>
      <c r="AR312" s="315" t="str">
        <f t="shared" si="20"/>
        <v>FINALIZADO</v>
      </c>
      <c r="AS312" s="207"/>
      <c r="AT312" s="207"/>
      <c r="AU312" s="220"/>
      <c r="AV312" s="207"/>
      <c r="AW312" s="207"/>
      <c r="AX312" s="228"/>
      <c r="AY312" s="207"/>
      <c r="AZ312" s="202"/>
      <c r="BA312" s="219"/>
      <c r="BB312" s="207"/>
      <c r="BC312" s="202"/>
      <c r="BD312" s="208"/>
      <c r="BE312" s="202"/>
      <c r="BF312" s="207"/>
      <c r="BG312" s="229"/>
      <c r="BH312" s="321" t="str">
        <f t="shared" si="21"/>
        <v/>
      </c>
      <c r="BI312" s="98" t="str">
        <f t="shared" si="22"/>
        <v>AA</v>
      </c>
      <c r="BJ312" s="98" t="str">
        <f t="shared" si="23"/>
        <v>NÃO</v>
      </c>
      <c r="BK312" s="230"/>
      <c r="BL312" s="230"/>
      <c r="BM312" s="230"/>
      <c r="BN312" s="230"/>
      <c r="BO312" s="230"/>
      <c r="BP312" s="230"/>
      <c r="BQ312" s="230"/>
      <c r="BR312" s="234"/>
    </row>
    <row r="313" spans="1:70" s="240" customFormat="1" ht="27" hidden="1" customHeight="1">
      <c r="A313" s="207">
        <v>309</v>
      </c>
      <c r="B313" s="197" t="s">
        <v>4396</v>
      </c>
      <c r="C313" s="207" t="s">
        <v>4427</v>
      </c>
      <c r="D313" s="207">
        <v>1</v>
      </c>
      <c r="E313" s="207" t="s">
        <v>4398</v>
      </c>
      <c r="F313" s="214" t="s">
        <v>5772</v>
      </c>
      <c r="G313" s="207" t="s">
        <v>4400</v>
      </c>
      <c r="H313" s="207" t="s">
        <v>4401</v>
      </c>
      <c r="I313" s="217" t="s">
        <v>4402</v>
      </c>
      <c r="J313" s="215" t="s">
        <v>5773</v>
      </c>
      <c r="K313" s="215" t="s">
        <v>5774</v>
      </c>
      <c r="L313" s="215" t="s">
        <v>5775</v>
      </c>
      <c r="M313" s="207" t="s">
        <v>4405</v>
      </c>
      <c r="N313" s="207" t="s">
        <v>4442</v>
      </c>
      <c r="O313" s="202" t="s">
        <v>4409</v>
      </c>
      <c r="P313" s="202" t="s">
        <v>4409</v>
      </c>
      <c r="Q313" s="202" t="s">
        <v>4409</v>
      </c>
      <c r="R313" s="202" t="s">
        <v>4409</v>
      </c>
      <c r="S313" s="202" t="s">
        <v>4409</v>
      </c>
      <c r="T313" s="202" t="s">
        <v>4409</v>
      </c>
      <c r="U313" s="202" t="s">
        <v>4409</v>
      </c>
      <c r="V313" s="202" t="s">
        <v>4409</v>
      </c>
      <c r="W313" s="202" t="s">
        <v>4409</v>
      </c>
      <c r="X313" s="202" t="s">
        <v>4409</v>
      </c>
      <c r="Y313" s="202"/>
      <c r="Z313" s="202"/>
      <c r="AA313" s="215" t="s">
        <v>5773</v>
      </c>
      <c r="AB313" s="214" t="s">
        <v>5774</v>
      </c>
      <c r="AC313" s="214" t="s">
        <v>5775</v>
      </c>
      <c r="AD313" s="207" t="s">
        <v>4402</v>
      </c>
      <c r="AE313" s="207" t="s">
        <v>4405</v>
      </c>
      <c r="AF313" s="218">
        <v>34925.14</v>
      </c>
      <c r="AG313" s="218">
        <v>60000</v>
      </c>
      <c r="AH313" s="207" t="s">
        <v>4433</v>
      </c>
      <c r="AI313" s="214" t="s">
        <v>4411</v>
      </c>
      <c r="AJ313" s="207">
        <v>147043485</v>
      </c>
      <c r="AK313" s="316">
        <v>46001</v>
      </c>
      <c r="AL313" s="316">
        <v>46001</v>
      </c>
      <c r="AM313" s="316">
        <v>46001</v>
      </c>
      <c r="AN313" s="316">
        <v>46001</v>
      </c>
      <c r="AO313" s="316">
        <v>46001</v>
      </c>
      <c r="AP313" s="316">
        <v>46001</v>
      </c>
      <c r="AQ313" s="314"/>
      <c r="AR313" s="315" t="str">
        <f t="shared" si="20"/>
        <v>FINALIZADO</v>
      </c>
      <c r="AS313" s="207" t="s">
        <v>4423</v>
      </c>
      <c r="AT313" s="207"/>
      <c r="AU313" s="220" t="s">
        <v>5776</v>
      </c>
      <c r="AV313" s="207" t="s">
        <v>4425</v>
      </c>
      <c r="AW313" s="207" t="s">
        <v>4425</v>
      </c>
      <c r="AX313" s="250" t="s">
        <v>4425</v>
      </c>
      <c r="AY313" s="207" t="s">
        <v>4425</v>
      </c>
      <c r="AZ313" s="202">
        <v>46056</v>
      </c>
      <c r="BA313" s="219" t="s">
        <v>4425</v>
      </c>
      <c r="BB313" s="207" t="s">
        <v>4425</v>
      </c>
      <c r="BC313" s="239">
        <v>46064</v>
      </c>
      <c r="BD313" s="226">
        <v>46064</v>
      </c>
      <c r="BE313" s="227" t="s">
        <v>4435</v>
      </c>
      <c r="BF313" s="228" t="s">
        <v>4436</v>
      </c>
      <c r="BG313" s="229" t="s">
        <v>4425</v>
      </c>
      <c r="BH313" s="321">
        <f t="shared" si="21"/>
        <v>63</v>
      </c>
      <c r="BI313" s="98" t="str">
        <f t="shared" si="22"/>
        <v>INDENIZAÇÃO</v>
      </c>
      <c r="BJ313" s="98" t="str">
        <f t="shared" si="23"/>
        <v>NÃO</v>
      </c>
      <c r="BK313" s="230" t="s">
        <v>4437</v>
      </c>
      <c r="BL313" s="230" t="s">
        <v>4437</v>
      </c>
      <c r="BM313" s="230" t="s">
        <v>4437</v>
      </c>
      <c r="BN313" s="265" t="s">
        <v>5732</v>
      </c>
      <c r="BO313" s="265"/>
      <c r="BP313" s="265"/>
      <c r="BQ313" s="265"/>
      <c r="BR313" s="231"/>
    </row>
    <row r="314" spans="1:70" s="240" customFormat="1" ht="27" hidden="1" customHeight="1">
      <c r="A314" s="197">
        <v>310</v>
      </c>
      <c r="B314" s="197" t="s">
        <v>4396</v>
      </c>
      <c r="C314" s="207" t="s">
        <v>4427</v>
      </c>
      <c r="D314" s="207">
        <v>1</v>
      </c>
      <c r="E314" s="207" t="s">
        <v>4398</v>
      </c>
      <c r="F314" s="214" t="s">
        <v>5777</v>
      </c>
      <c r="G314" s="207" t="s">
        <v>4400</v>
      </c>
      <c r="H314" s="207" t="s">
        <v>4401</v>
      </c>
      <c r="I314" s="217" t="s">
        <v>4402</v>
      </c>
      <c r="J314" s="215" t="s">
        <v>5778</v>
      </c>
      <c r="K314" s="215" t="s">
        <v>4398</v>
      </c>
      <c r="L314" s="215" t="s">
        <v>5779</v>
      </c>
      <c r="M314" s="207" t="s">
        <v>4405</v>
      </c>
      <c r="N314" s="207" t="s">
        <v>4406</v>
      </c>
      <c r="O314" s="202">
        <v>45986</v>
      </c>
      <c r="P314" s="203" t="s">
        <v>4407</v>
      </c>
      <c r="Q314" s="203">
        <v>45985</v>
      </c>
      <c r="R314" s="203">
        <v>45986</v>
      </c>
      <c r="S314" s="203">
        <v>45987</v>
      </c>
      <c r="T314" s="203">
        <v>45992</v>
      </c>
      <c r="U314" s="202" t="s">
        <v>4408</v>
      </c>
      <c r="V314" s="202" t="s">
        <v>4408</v>
      </c>
      <c r="W314" s="202">
        <v>45999</v>
      </c>
      <c r="X314" s="202">
        <v>46001</v>
      </c>
      <c r="Y314" s="202"/>
      <c r="Z314" s="207"/>
      <c r="AA314" s="215" t="s">
        <v>5778</v>
      </c>
      <c r="AB314" s="215" t="s">
        <v>4398</v>
      </c>
      <c r="AC314" s="215" t="s">
        <v>5779</v>
      </c>
      <c r="AD314" s="217" t="s">
        <v>4402</v>
      </c>
      <c r="AE314" s="217" t="s">
        <v>4405</v>
      </c>
      <c r="AF314" s="218" t="s">
        <v>4409</v>
      </c>
      <c r="AG314" s="218" t="s">
        <v>4409</v>
      </c>
      <c r="AH314" s="207" t="s">
        <v>4410</v>
      </c>
      <c r="AI314" s="214" t="s">
        <v>4411</v>
      </c>
      <c r="AJ314" s="207"/>
      <c r="AK314" s="316">
        <v>45980</v>
      </c>
      <c r="AL314" s="316">
        <v>45980</v>
      </c>
      <c r="AM314" s="316">
        <v>45980</v>
      </c>
      <c r="AN314" s="316">
        <v>45980</v>
      </c>
      <c r="AO314" s="316">
        <v>45980</v>
      </c>
      <c r="AP314" s="316">
        <v>45980</v>
      </c>
      <c r="AQ314" s="314"/>
      <c r="AR314" s="315" t="str">
        <f t="shared" si="20"/>
        <v>FINALIZADO</v>
      </c>
      <c r="AS314" s="207"/>
      <c r="AT314" s="207"/>
      <c r="AU314" s="220"/>
      <c r="AV314" s="207" t="s">
        <v>4409</v>
      </c>
      <c r="AW314" s="207" t="s">
        <v>4409</v>
      </c>
      <c r="AX314" s="228" t="s">
        <v>4409</v>
      </c>
      <c r="AY314" s="207" t="s">
        <v>4409</v>
      </c>
      <c r="AZ314" s="207" t="s">
        <v>4409</v>
      </c>
      <c r="BA314" s="207" t="s">
        <v>4409</v>
      </c>
      <c r="BB314" s="207"/>
      <c r="BC314" s="202"/>
      <c r="BD314" s="208"/>
      <c r="BE314" s="202"/>
      <c r="BF314" s="207"/>
      <c r="BG314" s="229"/>
      <c r="BH314" s="321" t="str">
        <f t="shared" si="21"/>
        <v/>
      </c>
      <c r="BI314" s="98" t="str">
        <f t="shared" si="22"/>
        <v>AA</v>
      </c>
      <c r="BJ314" s="98" t="str">
        <f t="shared" si="23"/>
        <v>NÃO</v>
      </c>
      <c r="BK314" s="230"/>
      <c r="BL314" s="230"/>
      <c r="BM314" s="230"/>
      <c r="BN314" s="230"/>
      <c r="BO314" s="230"/>
      <c r="BP314" s="230"/>
      <c r="BQ314" s="230"/>
      <c r="BR314" s="234"/>
    </row>
    <row r="315" spans="1:70" s="240" customFormat="1" ht="27" hidden="1" customHeight="1">
      <c r="A315" s="197">
        <v>311</v>
      </c>
      <c r="B315" s="197" t="s">
        <v>4396</v>
      </c>
      <c r="C315" s="207" t="s">
        <v>4427</v>
      </c>
      <c r="D315" s="207">
        <v>1</v>
      </c>
      <c r="E315" s="207" t="s">
        <v>4398</v>
      </c>
      <c r="F315" s="214" t="s">
        <v>5780</v>
      </c>
      <c r="G315" s="207" t="s">
        <v>4400</v>
      </c>
      <c r="H315" s="207" t="s">
        <v>4401</v>
      </c>
      <c r="I315" s="217" t="s">
        <v>4402</v>
      </c>
      <c r="J315" s="215" t="s">
        <v>5781</v>
      </c>
      <c r="K315" s="215" t="s">
        <v>5782</v>
      </c>
      <c r="L315" s="215" t="s">
        <v>5783</v>
      </c>
      <c r="M315" s="207" t="s">
        <v>4405</v>
      </c>
      <c r="N315" s="207" t="s">
        <v>4406</v>
      </c>
      <c r="O315" s="202">
        <v>46002</v>
      </c>
      <c r="P315" s="202" t="s">
        <v>4407</v>
      </c>
      <c r="Q315" s="202">
        <v>45999</v>
      </c>
      <c r="R315" s="202">
        <v>46006</v>
      </c>
      <c r="S315" s="202">
        <v>46006</v>
      </c>
      <c r="T315" s="202">
        <v>46009</v>
      </c>
      <c r="U315" s="202" t="s">
        <v>4408</v>
      </c>
      <c r="V315" s="202" t="s">
        <v>4408</v>
      </c>
      <c r="W315" s="202">
        <v>46014</v>
      </c>
      <c r="X315" s="202">
        <v>46027</v>
      </c>
      <c r="Y315" s="202"/>
      <c r="Z315" s="207"/>
      <c r="AA315" s="215" t="s">
        <v>5781</v>
      </c>
      <c r="AB315" s="215" t="s">
        <v>5782</v>
      </c>
      <c r="AC315" s="215" t="s">
        <v>5783</v>
      </c>
      <c r="AD315" s="217" t="s">
        <v>4402</v>
      </c>
      <c r="AE315" s="207" t="s">
        <v>4405</v>
      </c>
      <c r="AF315" s="218" t="s">
        <v>4409</v>
      </c>
      <c r="AG315" s="218" t="s">
        <v>4409</v>
      </c>
      <c r="AH315" s="207" t="s">
        <v>4410</v>
      </c>
      <c r="AI315" s="214" t="s">
        <v>4411</v>
      </c>
      <c r="AJ315" s="207"/>
      <c r="AK315" s="316">
        <v>45986</v>
      </c>
      <c r="AL315" s="316">
        <v>45986</v>
      </c>
      <c r="AM315" s="316">
        <v>45986</v>
      </c>
      <c r="AN315" s="316">
        <v>45986</v>
      </c>
      <c r="AO315" s="316">
        <v>45986</v>
      </c>
      <c r="AP315" s="316">
        <v>45986</v>
      </c>
      <c r="AQ315" s="314"/>
      <c r="AR315" s="315" t="str">
        <f t="shared" si="20"/>
        <v>FINALIZADO</v>
      </c>
      <c r="AS315" s="207"/>
      <c r="AT315" s="207"/>
      <c r="AU315" s="220"/>
      <c r="AV315" s="207"/>
      <c r="AW315" s="207"/>
      <c r="AX315" s="228"/>
      <c r="AY315" s="207"/>
      <c r="AZ315" s="202"/>
      <c r="BA315" s="219"/>
      <c r="BB315" s="207"/>
      <c r="BC315" s="202"/>
      <c r="BD315" s="208"/>
      <c r="BE315" s="202"/>
      <c r="BF315" s="207"/>
      <c r="BG315" s="229"/>
      <c r="BH315" s="321" t="str">
        <f t="shared" si="21"/>
        <v/>
      </c>
      <c r="BI315" s="98" t="str">
        <f t="shared" si="22"/>
        <v>AA</v>
      </c>
      <c r="BJ315" s="98" t="str">
        <f t="shared" si="23"/>
        <v>NÃO</v>
      </c>
      <c r="BK315" s="230"/>
      <c r="BL315" s="230"/>
      <c r="BM315" s="230"/>
      <c r="BN315" s="230"/>
      <c r="BO315" s="230"/>
      <c r="BP315" s="230"/>
      <c r="BQ315" s="230"/>
      <c r="BR315" s="234"/>
    </row>
    <row r="316" spans="1:70" s="240" customFormat="1" ht="27" hidden="1" customHeight="1">
      <c r="A316" s="207">
        <v>312</v>
      </c>
      <c r="B316" s="197" t="s">
        <v>4396</v>
      </c>
      <c r="C316" s="207" t="s">
        <v>4397</v>
      </c>
      <c r="D316" s="207">
        <v>1</v>
      </c>
      <c r="E316" s="207" t="s">
        <v>4398</v>
      </c>
      <c r="F316" s="214" t="s">
        <v>5780</v>
      </c>
      <c r="G316" s="207" t="s">
        <v>4400</v>
      </c>
      <c r="H316" s="207" t="s">
        <v>4401</v>
      </c>
      <c r="I316" s="217" t="s">
        <v>4402</v>
      </c>
      <c r="J316" s="215" t="s">
        <v>5784</v>
      </c>
      <c r="K316" s="215" t="s">
        <v>5785</v>
      </c>
      <c r="L316" s="215" t="s">
        <v>5786</v>
      </c>
      <c r="M316" s="207" t="s">
        <v>4405</v>
      </c>
      <c r="N316" s="207" t="s">
        <v>4406</v>
      </c>
      <c r="O316" s="202">
        <v>46217</v>
      </c>
      <c r="P316" s="202" t="s">
        <v>4407</v>
      </c>
      <c r="Q316" s="202">
        <v>46211</v>
      </c>
      <c r="R316" s="202">
        <v>46217</v>
      </c>
      <c r="S316" s="202"/>
      <c r="T316" s="202"/>
      <c r="U316" s="202"/>
      <c r="V316" s="202"/>
      <c r="W316" s="202"/>
      <c r="X316" s="202"/>
      <c r="Y316" s="202"/>
      <c r="Z316" s="207"/>
      <c r="AA316" s="215" t="s">
        <v>5784</v>
      </c>
      <c r="AB316" s="215" t="s">
        <v>5785</v>
      </c>
      <c r="AC316" s="215" t="s">
        <v>5786</v>
      </c>
      <c r="AD316" s="217" t="s">
        <v>4402</v>
      </c>
      <c r="AE316" s="207" t="s">
        <v>4405</v>
      </c>
      <c r="AF316" s="218" t="s">
        <v>4409</v>
      </c>
      <c r="AG316" s="218" t="s">
        <v>4409</v>
      </c>
      <c r="AH316" s="207" t="s">
        <v>4410</v>
      </c>
      <c r="AI316" s="214" t="s">
        <v>4411</v>
      </c>
      <c r="AJ316" s="207"/>
      <c r="AK316" s="316">
        <v>46217</v>
      </c>
      <c r="AL316" s="316">
        <v>46217</v>
      </c>
      <c r="AM316" s="316">
        <v>46217</v>
      </c>
      <c r="AN316" s="316">
        <v>46217</v>
      </c>
      <c r="AO316" s="316">
        <v>46217</v>
      </c>
      <c r="AP316" s="316">
        <v>46217</v>
      </c>
      <c r="AQ316" s="314"/>
      <c r="AR316" s="315" t="str">
        <f t="shared" si="20"/>
        <v>FINALIZADO</v>
      </c>
      <c r="AS316" s="207"/>
      <c r="AT316" s="207"/>
      <c r="AU316" s="220"/>
      <c r="AV316" s="207"/>
      <c r="AW316" s="207"/>
      <c r="AX316" s="228"/>
      <c r="AY316" s="207"/>
      <c r="AZ316" s="202"/>
      <c r="BA316" s="219"/>
      <c r="BB316" s="207"/>
      <c r="BC316" s="202"/>
      <c r="BD316" s="208"/>
      <c r="BE316" s="202"/>
      <c r="BF316" s="207"/>
      <c r="BG316" s="229"/>
      <c r="BH316" s="321" t="str">
        <f t="shared" si="21"/>
        <v/>
      </c>
      <c r="BI316" s="98" t="str">
        <f t="shared" si="22"/>
        <v>AA</v>
      </c>
      <c r="BJ316" s="98" t="str">
        <f t="shared" si="23"/>
        <v>NÃO</v>
      </c>
      <c r="BK316" s="230"/>
      <c r="BL316" s="230"/>
      <c r="BM316" s="230"/>
      <c r="BN316" s="230"/>
      <c r="BO316" s="230"/>
      <c r="BP316" s="230"/>
      <c r="BQ316" s="230"/>
      <c r="BR316" s="234"/>
    </row>
    <row r="317" spans="1:70" s="240" customFormat="1" ht="27" hidden="1" customHeight="1">
      <c r="A317" s="207">
        <v>313</v>
      </c>
      <c r="B317" s="197" t="s">
        <v>4396</v>
      </c>
      <c r="C317" s="207" t="s">
        <v>4397</v>
      </c>
      <c r="D317" s="207">
        <v>1</v>
      </c>
      <c r="E317" s="207" t="s">
        <v>4398</v>
      </c>
      <c r="F317" s="214" t="s">
        <v>5787</v>
      </c>
      <c r="G317" s="207" t="s">
        <v>4400</v>
      </c>
      <c r="H317" s="207" t="s">
        <v>4401</v>
      </c>
      <c r="I317" s="217" t="s">
        <v>4402</v>
      </c>
      <c r="J317" s="215" t="s">
        <v>5788</v>
      </c>
      <c r="K317" s="215" t="s">
        <v>5789</v>
      </c>
      <c r="L317" s="215" t="s">
        <v>5790</v>
      </c>
      <c r="M317" s="207" t="s">
        <v>4405</v>
      </c>
      <c r="N317" s="207" t="s">
        <v>4406</v>
      </c>
      <c r="O317" s="202">
        <v>46217</v>
      </c>
      <c r="P317" s="202" t="s">
        <v>4407</v>
      </c>
      <c r="Q317" s="202">
        <v>46211</v>
      </c>
      <c r="R317" s="202">
        <v>46217</v>
      </c>
      <c r="S317" s="202"/>
      <c r="T317" s="202"/>
      <c r="U317" s="202"/>
      <c r="V317" s="202"/>
      <c r="W317" s="202"/>
      <c r="X317" s="202"/>
      <c r="Y317" s="202"/>
      <c r="Z317" s="207"/>
      <c r="AA317" s="215" t="s">
        <v>5788</v>
      </c>
      <c r="AB317" s="215" t="s">
        <v>5789</v>
      </c>
      <c r="AC317" s="215" t="s">
        <v>5790</v>
      </c>
      <c r="AD317" s="217" t="s">
        <v>4402</v>
      </c>
      <c r="AE317" s="207" t="s">
        <v>4405</v>
      </c>
      <c r="AF317" s="218" t="s">
        <v>4409</v>
      </c>
      <c r="AG317" s="218" t="s">
        <v>4409</v>
      </c>
      <c r="AH317" s="207" t="s">
        <v>4410</v>
      </c>
      <c r="AI317" s="214" t="s">
        <v>4411</v>
      </c>
      <c r="AJ317" s="207"/>
      <c r="AK317" s="316">
        <v>46217</v>
      </c>
      <c r="AL317" s="316">
        <v>46217</v>
      </c>
      <c r="AM317" s="316">
        <v>46217</v>
      </c>
      <c r="AN317" s="316">
        <v>46217</v>
      </c>
      <c r="AO317" s="316">
        <v>46217</v>
      </c>
      <c r="AP317" s="316">
        <v>46217</v>
      </c>
      <c r="AQ317" s="314"/>
      <c r="AR317" s="315" t="str">
        <f t="shared" si="20"/>
        <v>FINALIZADO</v>
      </c>
      <c r="AS317" s="207"/>
      <c r="AT317" s="207"/>
      <c r="AU317" s="220"/>
      <c r="AV317" s="207"/>
      <c r="AW317" s="207"/>
      <c r="AX317" s="228"/>
      <c r="AY317" s="207"/>
      <c r="AZ317" s="202"/>
      <c r="BA317" s="219"/>
      <c r="BB317" s="207"/>
      <c r="BC317" s="202"/>
      <c r="BD317" s="208"/>
      <c r="BE317" s="202"/>
      <c r="BF317" s="207"/>
      <c r="BG317" s="229"/>
      <c r="BH317" s="321" t="str">
        <f t="shared" si="21"/>
        <v/>
      </c>
      <c r="BI317" s="98" t="str">
        <f t="shared" si="22"/>
        <v>AA</v>
      </c>
      <c r="BJ317" s="98" t="str">
        <f t="shared" si="23"/>
        <v>NÃO</v>
      </c>
      <c r="BK317" s="230"/>
      <c r="BL317" s="230"/>
      <c r="BM317" s="230"/>
      <c r="BN317" s="230"/>
      <c r="BO317" s="230"/>
      <c r="BP317" s="230"/>
      <c r="BQ317" s="230"/>
      <c r="BR317" s="234"/>
    </row>
    <row r="318" spans="1:70" s="240" customFormat="1" ht="27" hidden="1" customHeight="1">
      <c r="A318" s="207">
        <v>314</v>
      </c>
      <c r="B318" s="197" t="s">
        <v>4396</v>
      </c>
      <c r="C318" s="207" t="s">
        <v>4427</v>
      </c>
      <c r="D318" s="207">
        <v>1</v>
      </c>
      <c r="E318" s="207" t="s">
        <v>4398</v>
      </c>
      <c r="F318" s="214" t="s">
        <v>5791</v>
      </c>
      <c r="G318" s="207" t="s">
        <v>4400</v>
      </c>
      <c r="H318" s="207" t="s">
        <v>4401</v>
      </c>
      <c r="I318" s="217" t="s">
        <v>4402</v>
      </c>
      <c r="J318" s="215" t="s">
        <v>5792</v>
      </c>
      <c r="K318" s="215" t="s">
        <v>5793</v>
      </c>
      <c r="L318" s="215" t="s">
        <v>5794</v>
      </c>
      <c r="M318" s="207" t="s">
        <v>4405</v>
      </c>
      <c r="N318" s="207" t="s">
        <v>4406</v>
      </c>
      <c r="O318" s="202">
        <v>46106</v>
      </c>
      <c r="P318" s="202" t="s">
        <v>4407</v>
      </c>
      <c r="Q318" s="202">
        <v>46106</v>
      </c>
      <c r="R318" s="202">
        <v>46107</v>
      </c>
      <c r="S318" s="202">
        <v>46111</v>
      </c>
      <c r="T318" s="202">
        <v>46087</v>
      </c>
      <c r="U318" s="202" t="s">
        <v>4408</v>
      </c>
      <c r="V318" s="202" t="s">
        <v>4408</v>
      </c>
      <c r="W318" s="202">
        <v>46132</v>
      </c>
      <c r="X318" s="202">
        <v>46129</v>
      </c>
      <c r="Y318" s="202"/>
      <c r="Z318" s="207"/>
      <c r="AA318" s="215" t="s">
        <v>5792</v>
      </c>
      <c r="AB318" s="215" t="s">
        <v>5793</v>
      </c>
      <c r="AC318" s="215" t="s">
        <v>5794</v>
      </c>
      <c r="AD318" s="207" t="s">
        <v>4402</v>
      </c>
      <c r="AE318" s="207" t="s">
        <v>4405</v>
      </c>
      <c r="AF318" s="218" t="s">
        <v>4409</v>
      </c>
      <c r="AG318" s="218" t="s">
        <v>4409</v>
      </c>
      <c r="AH318" s="207" t="s">
        <v>4410</v>
      </c>
      <c r="AI318" s="214" t="s">
        <v>4411</v>
      </c>
      <c r="AJ318" s="207"/>
      <c r="AK318" s="316">
        <v>45996</v>
      </c>
      <c r="AL318" s="316">
        <v>45996</v>
      </c>
      <c r="AM318" s="316">
        <v>45996</v>
      </c>
      <c r="AN318" s="316">
        <v>45996</v>
      </c>
      <c r="AO318" s="316">
        <v>45996</v>
      </c>
      <c r="AP318" s="316">
        <v>45996</v>
      </c>
      <c r="AQ318" s="314"/>
      <c r="AR318" s="315" t="str">
        <f t="shared" si="20"/>
        <v>FINALIZADO</v>
      </c>
      <c r="AS318" s="207"/>
      <c r="AT318" s="207"/>
      <c r="AU318" s="220"/>
      <c r="AV318" s="207"/>
      <c r="AW318" s="207"/>
      <c r="AX318" s="228"/>
      <c r="AY318" s="207"/>
      <c r="AZ318" s="202"/>
      <c r="BA318" s="219"/>
      <c r="BB318" s="207"/>
      <c r="BC318" s="202"/>
      <c r="BD318" s="208"/>
      <c r="BE318" s="202"/>
      <c r="BF318" s="207"/>
      <c r="BG318" s="229"/>
      <c r="BH318" s="321" t="str">
        <f t="shared" si="21"/>
        <v/>
      </c>
      <c r="BI318" s="98" t="str">
        <f t="shared" si="22"/>
        <v>AA</v>
      </c>
      <c r="BJ318" s="98" t="str">
        <f t="shared" si="23"/>
        <v>NÃO</v>
      </c>
      <c r="BK318" s="230"/>
      <c r="BL318" s="230"/>
      <c r="BM318" s="230"/>
      <c r="BN318" s="230"/>
      <c r="BO318" s="230"/>
      <c r="BP318" s="230"/>
      <c r="BQ318" s="230"/>
      <c r="BR318" s="234"/>
    </row>
    <row r="319" spans="1:70" s="240" customFormat="1" ht="27" customHeight="1">
      <c r="A319" s="197">
        <v>315</v>
      </c>
      <c r="B319" s="197" t="s">
        <v>4396</v>
      </c>
      <c r="C319" s="207" t="s">
        <v>4413</v>
      </c>
      <c r="D319" s="207">
        <v>1</v>
      </c>
      <c r="E319" s="207" t="s">
        <v>4398</v>
      </c>
      <c r="F319" s="214" t="s">
        <v>5791</v>
      </c>
      <c r="G319" s="207" t="s">
        <v>4400</v>
      </c>
      <c r="H319" s="207" t="s">
        <v>4401</v>
      </c>
      <c r="I319" s="207" t="s">
        <v>4402</v>
      </c>
      <c r="J319" s="215" t="s">
        <v>5795</v>
      </c>
      <c r="K319" s="215" t="s">
        <v>5796</v>
      </c>
      <c r="L319" s="215" t="s">
        <v>5797</v>
      </c>
      <c r="M319" s="207" t="s">
        <v>4405</v>
      </c>
      <c r="N319" s="207" t="s">
        <v>4442</v>
      </c>
      <c r="O319" s="202" t="s">
        <v>4409</v>
      </c>
      <c r="P319" s="202" t="s">
        <v>4409</v>
      </c>
      <c r="Q319" s="202" t="s">
        <v>4409</v>
      </c>
      <c r="R319" s="202" t="s">
        <v>4409</v>
      </c>
      <c r="S319" s="202" t="s">
        <v>4409</v>
      </c>
      <c r="T319" s="202" t="s">
        <v>4409</v>
      </c>
      <c r="U319" s="202" t="s">
        <v>4409</v>
      </c>
      <c r="V319" s="202" t="s">
        <v>4409</v>
      </c>
      <c r="W319" s="202" t="s">
        <v>4409</v>
      </c>
      <c r="X319" s="202" t="s">
        <v>4409</v>
      </c>
      <c r="Y319" s="202"/>
      <c r="Z319" s="219"/>
      <c r="AA319" s="215" t="s">
        <v>5795</v>
      </c>
      <c r="AB319" s="215" t="s">
        <v>5796</v>
      </c>
      <c r="AC319" s="215" t="s">
        <v>5797</v>
      </c>
      <c r="AD319" s="207" t="s">
        <v>4402</v>
      </c>
      <c r="AE319" s="207" t="s">
        <v>4405</v>
      </c>
      <c r="AF319" s="218">
        <v>107456.92</v>
      </c>
      <c r="AG319" s="218">
        <v>107456.92</v>
      </c>
      <c r="AH319" s="207" t="s">
        <v>4422</v>
      </c>
      <c r="AI319" s="214" t="s">
        <v>4411</v>
      </c>
      <c r="AJ319" s="207">
        <v>153002140</v>
      </c>
      <c r="AK319" s="316">
        <v>46112</v>
      </c>
      <c r="AL319" s="316">
        <v>46112</v>
      </c>
      <c r="AM319" s="316">
        <v>46112</v>
      </c>
      <c r="AN319" s="316">
        <v>46112</v>
      </c>
      <c r="AO319" s="316">
        <v>46112</v>
      </c>
      <c r="AP319" s="316">
        <v>46112</v>
      </c>
      <c r="AQ319" s="314"/>
      <c r="AR319" s="315" t="str">
        <f t="shared" si="20"/>
        <v>FINALIZADO</v>
      </c>
      <c r="AS319" s="207" t="s">
        <v>4423</v>
      </c>
      <c r="AT319" s="207"/>
      <c r="AU319" s="220" t="s">
        <v>5798</v>
      </c>
      <c r="AV319" s="207" t="s">
        <v>4425</v>
      </c>
      <c r="AW319" s="207" t="s">
        <v>4425</v>
      </c>
      <c r="AX319" s="207" t="s">
        <v>4425</v>
      </c>
      <c r="AY319" s="207" t="s">
        <v>4425</v>
      </c>
      <c r="AZ319" s="202">
        <v>46189</v>
      </c>
      <c r="BA319" s="207" t="s">
        <v>4425</v>
      </c>
      <c r="BB319" s="207" t="s">
        <v>4425</v>
      </c>
      <c r="BC319" s="202">
        <v>46196</v>
      </c>
      <c r="BD319" s="226">
        <v>46196</v>
      </c>
      <c r="BE319" s="227" t="s">
        <v>4435</v>
      </c>
      <c r="BF319" s="228" t="s">
        <v>4436</v>
      </c>
      <c r="BG319" s="219" t="s">
        <v>4425</v>
      </c>
      <c r="BH319" s="321">
        <f t="shared" si="21"/>
        <v>84</v>
      </c>
      <c r="BI319" s="98" t="str">
        <f t="shared" si="22"/>
        <v>INDENIZAÇÃO</v>
      </c>
      <c r="BJ319" s="98" t="str">
        <f t="shared" si="23"/>
        <v>NÃO</v>
      </c>
      <c r="BK319" s="219" t="s">
        <v>4437</v>
      </c>
      <c r="BL319" s="219" t="s">
        <v>4437</v>
      </c>
      <c r="BM319" s="219" t="s">
        <v>4437</v>
      </c>
      <c r="BN319" s="257" t="s">
        <v>5732</v>
      </c>
      <c r="BO319" s="257"/>
      <c r="BP319" s="257"/>
      <c r="BQ319" s="257"/>
      <c r="BR319" s="258"/>
    </row>
    <row r="320" spans="1:70" s="240" customFormat="1" ht="27" hidden="1" customHeight="1">
      <c r="A320" s="197">
        <v>316</v>
      </c>
      <c r="B320" s="197" t="s">
        <v>4396</v>
      </c>
      <c r="C320" s="207" t="s">
        <v>4397</v>
      </c>
      <c r="D320" s="207">
        <v>1</v>
      </c>
      <c r="E320" s="207" t="s">
        <v>4398</v>
      </c>
      <c r="F320" s="214" t="s">
        <v>5791</v>
      </c>
      <c r="G320" s="207" t="s">
        <v>4400</v>
      </c>
      <c r="H320" s="207" t="s">
        <v>4401</v>
      </c>
      <c r="I320" s="217" t="s">
        <v>4402</v>
      </c>
      <c r="J320" s="215" t="s">
        <v>5799</v>
      </c>
      <c r="K320" s="215" t="s">
        <v>5800</v>
      </c>
      <c r="L320" s="215" t="s">
        <v>5801</v>
      </c>
      <c r="M320" s="207" t="s">
        <v>4405</v>
      </c>
      <c r="N320" s="207" t="s">
        <v>4442</v>
      </c>
      <c r="O320" s="202" t="s">
        <v>4409</v>
      </c>
      <c r="P320" s="202" t="s">
        <v>4409</v>
      </c>
      <c r="Q320" s="202" t="s">
        <v>4409</v>
      </c>
      <c r="R320" s="202" t="s">
        <v>4409</v>
      </c>
      <c r="S320" s="202" t="s">
        <v>4409</v>
      </c>
      <c r="T320" s="202" t="s">
        <v>4409</v>
      </c>
      <c r="U320" s="202" t="s">
        <v>4409</v>
      </c>
      <c r="V320" s="202" t="s">
        <v>4409</v>
      </c>
      <c r="W320" s="202" t="s">
        <v>4409</v>
      </c>
      <c r="X320" s="202" t="s">
        <v>4409</v>
      </c>
      <c r="Y320" s="202"/>
      <c r="Z320" s="202"/>
      <c r="AA320" s="215" t="s">
        <v>5799</v>
      </c>
      <c r="AB320" s="215" t="s">
        <v>5800</v>
      </c>
      <c r="AC320" s="215" t="s">
        <v>5801</v>
      </c>
      <c r="AD320" s="207" t="s">
        <v>4402</v>
      </c>
      <c r="AE320" s="207" t="s">
        <v>4405</v>
      </c>
      <c r="AF320" s="218">
        <v>65393.440000000002</v>
      </c>
      <c r="AG320" s="218">
        <v>65393.440000000002</v>
      </c>
      <c r="AH320" s="207" t="s">
        <v>4433</v>
      </c>
      <c r="AI320" s="214" t="s">
        <v>4411</v>
      </c>
      <c r="AJ320" s="207">
        <v>151550519</v>
      </c>
      <c r="AK320" s="316">
        <v>46142</v>
      </c>
      <c r="AL320" s="316">
        <v>46142</v>
      </c>
      <c r="AM320" s="316">
        <v>46142</v>
      </c>
      <c r="AN320" s="316">
        <v>46142</v>
      </c>
      <c r="AO320" s="316">
        <v>46142</v>
      </c>
      <c r="AP320" s="316">
        <v>46142</v>
      </c>
      <c r="AQ320" s="314"/>
      <c r="AR320" s="315" t="str">
        <f t="shared" si="20"/>
        <v>FINALIZADO</v>
      </c>
      <c r="AS320" s="207" t="s">
        <v>4423</v>
      </c>
      <c r="AT320" s="262"/>
      <c r="AU320" s="220" t="s">
        <v>5802</v>
      </c>
      <c r="AV320" s="262" t="s">
        <v>4425</v>
      </c>
      <c r="AW320" s="219" t="s">
        <v>4425</v>
      </c>
      <c r="AX320" s="219" t="s">
        <v>4425</v>
      </c>
      <c r="AY320" s="219" t="s">
        <v>4425</v>
      </c>
      <c r="AZ320" s="202">
        <v>46216</v>
      </c>
      <c r="BA320" s="262" t="s">
        <v>4425</v>
      </c>
      <c r="BB320" s="262" t="s">
        <v>4425</v>
      </c>
      <c r="BC320" s="202">
        <v>46223</v>
      </c>
      <c r="BD320" s="264">
        <v>46223</v>
      </c>
      <c r="BE320" s="257" t="s">
        <v>4435</v>
      </c>
      <c r="BF320" s="228" t="s">
        <v>4436</v>
      </c>
      <c r="BG320" s="229" t="s">
        <v>4425</v>
      </c>
      <c r="BH320" s="321">
        <f t="shared" si="21"/>
        <v>81</v>
      </c>
      <c r="BI320" s="98" t="str">
        <f t="shared" si="22"/>
        <v>INDENIZAÇÃO</v>
      </c>
      <c r="BJ320" s="98" t="str">
        <f t="shared" si="23"/>
        <v>NÃO</v>
      </c>
      <c r="BK320" s="230" t="s">
        <v>4437</v>
      </c>
      <c r="BL320" s="230" t="s">
        <v>4437</v>
      </c>
      <c r="BM320" s="230" t="s">
        <v>4437</v>
      </c>
      <c r="BN320" s="265" t="s">
        <v>5732</v>
      </c>
      <c r="BO320" s="265"/>
      <c r="BP320" s="265"/>
      <c r="BQ320" s="265"/>
      <c r="BR320" s="231"/>
    </row>
    <row r="321" spans="1:72" s="240" customFormat="1" ht="27" hidden="1" customHeight="1">
      <c r="A321" s="207">
        <v>317</v>
      </c>
      <c r="B321" s="197" t="s">
        <v>4396</v>
      </c>
      <c r="C321" s="207" t="s">
        <v>4397</v>
      </c>
      <c r="D321" s="207">
        <v>1</v>
      </c>
      <c r="E321" s="207" t="s">
        <v>4398</v>
      </c>
      <c r="F321" s="214" t="s">
        <v>5803</v>
      </c>
      <c r="G321" s="207" t="s">
        <v>4400</v>
      </c>
      <c r="H321" s="207" t="s">
        <v>4401</v>
      </c>
      <c r="I321" s="217" t="s">
        <v>4402</v>
      </c>
      <c r="J321" s="215" t="s">
        <v>5804</v>
      </c>
      <c r="K321" s="215" t="s">
        <v>4440</v>
      </c>
      <c r="L321" s="215" t="s">
        <v>5805</v>
      </c>
      <c r="M321" s="207" t="s">
        <v>4405</v>
      </c>
      <c r="N321" s="207" t="s">
        <v>4406</v>
      </c>
      <c r="O321" s="202">
        <v>46084</v>
      </c>
      <c r="P321" s="202" t="s">
        <v>4407</v>
      </c>
      <c r="Q321" s="202">
        <v>46083</v>
      </c>
      <c r="R321" s="203">
        <v>46084</v>
      </c>
      <c r="S321" s="203">
        <v>46087</v>
      </c>
      <c r="T321" s="203">
        <v>46090</v>
      </c>
      <c r="U321" s="202" t="s">
        <v>4408</v>
      </c>
      <c r="V321" s="202" t="s">
        <v>4408</v>
      </c>
      <c r="W321" s="202">
        <v>46101</v>
      </c>
      <c r="X321" s="202">
        <v>46101</v>
      </c>
      <c r="Y321" s="203"/>
      <c r="Z321" s="219"/>
      <c r="AA321" s="215" t="s">
        <v>5804</v>
      </c>
      <c r="AB321" s="215" t="s">
        <v>4440</v>
      </c>
      <c r="AC321" s="215" t="s">
        <v>5805</v>
      </c>
      <c r="AD321" s="217" t="s">
        <v>4402</v>
      </c>
      <c r="AE321" s="207" t="s">
        <v>4405</v>
      </c>
      <c r="AF321" s="218" t="s">
        <v>4409</v>
      </c>
      <c r="AG321" s="218" t="s">
        <v>4409</v>
      </c>
      <c r="AH321" s="207" t="s">
        <v>4410</v>
      </c>
      <c r="AI321" s="214" t="s">
        <v>4411</v>
      </c>
      <c r="AJ321" s="207"/>
      <c r="AK321" s="316">
        <v>46080</v>
      </c>
      <c r="AL321" s="316">
        <v>46080</v>
      </c>
      <c r="AM321" s="316">
        <v>46080</v>
      </c>
      <c r="AN321" s="316">
        <v>46080</v>
      </c>
      <c r="AO321" s="316">
        <v>46080</v>
      </c>
      <c r="AP321" s="316">
        <v>46080</v>
      </c>
      <c r="AQ321" s="314"/>
      <c r="AR321" s="315" t="str">
        <f t="shared" si="20"/>
        <v>FINALIZADO</v>
      </c>
      <c r="AS321" s="207"/>
      <c r="AT321" s="219"/>
      <c r="AU321" s="220"/>
      <c r="AV321" s="219"/>
      <c r="AW321" s="219"/>
      <c r="AX321" s="219"/>
      <c r="AY321" s="219"/>
      <c r="AZ321" s="219"/>
      <c r="BA321" s="219"/>
      <c r="BB321" s="219"/>
      <c r="BC321" s="219"/>
      <c r="BD321" s="208"/>
      <c r="BE321" s="203"/>
      <c r="BF321" s="219"/>
      <c r="BG321" s="219"/>
      <c r="BH321" s="321" t="str">
        <f t="shared" si="21"/>
        <v/>
      </c>
      <c r="BI321" s="98" t="str">
        <f t="shared" si="22"/>
        <v>AA</v>
      </c>
      <c r="BJ321" s="98" t="str">
        <f t="shared" si="23"/>
        <v>NÃO</v>
      </c>
      <c r="BK321" s="219"/>
      <c r="BL321" s="221"/>
      <c r="BM321" s="221"/>
      <c r="BN321" s="219"/>
      <c r="BO321" s="219"/>
      <c r="BP321" s="219"/>
      <c r="BQ321" s="219"/>
      <c r="BR321" s="222"/>
    </row>
    <row r="322" spans="1:72" s="240" customFormat="1" ht="27" hidden="1" customHeight="1">
      <c r="A322" s="207">
        <v>318</v>
      </c>
      <c r="B322" s="197" t="s">
        <v>4396</v>
      </c>
      <c r="C322" s="207" t="s">
        <v>4427</v>
      </c>
      <c r="D322" s="207">
        <v>1</v>
      </c>
      <c r="E322" s="207" t="s">
        <v>4398</v>
      </c>
      <c r="F322" s="214" t="s">
        <v>5806</v>
      </c>
      <c r="G322" s="207" t="s">
        <v>4400</v>
      </c>
      <c r="H322" s="207" t="s">
        <v>4401</v>
      </c>
      <c r="I322" s="217" t="s">
        <v>4402</v>
      </c>
      <c r="J322" s="215" t="s">
        <v>5807</v>
      </c>
      <c r="K322" s="215" t="s">
        <v>5808</v>
      </c>
      <c r="L322" s="215" t="s">
        <v>5809</v>
      </c>
      <c r="M322" s="207" t="s">
        <v>4405</v>
      </c>
      <c r="N322" s="207" t="s">
        <v>4406</v>
      </c>
      <c r="O322" s="202">
        <v>46002</v>
      </c>
      <c r="P322" s="202" t="s">
        <v>4407</v>
      </c>
      <c r="Q322" s="202">
        <v>45999</v>
      </c>
      <c r="R322" s="202">
        <v>46006</v>
      </c>
      <c r="S322" s="202">
        <v>46006</v>
      </c>
      <c r="T322" s="202">
        <v>46009</v>
      </c>
      <c r="U322" s="202" t="s">
        <v>4408</v>
      </c>
      <c r="V322" s="202" t="s">
        <v>4408</v>
      </c>
      <c r="W322" s="202">
        <v>46014</v>
      </c>
      <c r="X322" s="202">
        <v>46017</v>
      </c>
      <c r="Y322" s="202"/>
      <c r="Z322" s="207"/>
      <c r="AA322" s="215" t="s">
        <v>5807</v>
      </c>
      <c r="AB322" s="215" t="s">
        <v>5808</v>
      </c>
      <c r="AC322" s="215" t="s">
        <v>5809</v>
      </c>
      <c r="AD322" s="217" t="s">
        <v>4402</v>
      </c>
      <c r="AE322" s="207" t="s">
        <v>4405</v>
      </c>
      <c r="AF322" s="218" t="s">
        <v>4409</v>
      </c>
      <c r="AG322" s="218" t="s">
        <v>4409</v>
      </c>
      <c r="AH322" s="207" t="s">
        <v>4410</v>
      </c>
      <c r="AI322" s="214" t="s">
        <v>4411</v>
      </c>
      <c r="AJ322" s="207"/>
      <c r="AK322" s="316">
        <v>45986</v>
      </c>
      <c r="AL322" s="316">
        <v>45986</v>
      </c>
      <c r="AM322" s="316">
        <v>45986</v>
      </c>
      <c r="AN322" s="316">
        <v>45986</v>
      </c>
      <c r="AO322" s="316">
        <v>45986</v>
      </c>
      <c r="AP322" s="316">
        <v>45986</v>
      </c>
      <c r="AQ322" s="314"/>
      <c r="AR322" s="315" t="str">
        <f t="shared" si="20"/>
        <v>FINALIZADO</v>
      </c>
      <c r="AS322" s="207"/>
      <c r="AT322" s="207"/>
      <c r="AU322" s="220"/>
      <c r="AV322" s="207"/>
      <c r="AW322" s="207"/>
      <c r="AX322" s="207"/>
      <c r="AY322" s="207"/>
      <c r="AZ322" s="202"/>
      <c r="BA322" s="219"/>
      <c r="BB322" s="207"/>
      <c r="BC322" s="202"/>
      <c r="BD322" s="208"/>
      <c r="BE322" s="202"/>
      <c r="BF322" s="207"/>
      <c r="BG322" s="229"/>
      <c r="BH322" s="321" t="str">
        <f t="shared" si="21"/>
        <v/>
      </c>
      <c r="BI322" s="98" t="str">
        <f t="shared" si="22"/>
        <v>AA</v>
      </c>
      <c r="BJ322" s="98" t="str">
        <f t="shared" si="23"/>
        <v>NÃO</v>
      </c>
      <c r="BK322" s="230"/>
      <c r="BL322" s="230"/>
      <c r="BM322" s="230"/>
      <c r="BN322" s="230"/>
      <c r="BO322" s="230"/>
      <c r="BP322" s="230"/>
      <c r="BQ322" s="230"/>
      <c r="BR322" s="234"/>
    </row>
    <row r="323" spans="1:72" s="240" customFormat="1" ht="27" customHeight="1">
      <c r="A323" s="207">
        <v>319</v>
      </c>
      <c r="B323" s="197" t="s">
        <v>4396</v>
      </c>
      <c r="C323" s="207" t="s">
        <v>4413</v>
      </c>
      <c r="D323" s="207">
        <v>1</v>
      </c>
      <c r="E323" s="207" t="s">
        <v>4398</v>
      </c>
      <c r="F323" s="214" t="s">
        <v>5806</v>
      </c>
      <c r="G323" s="207" t="s">
        <v>4400</v>
      </c>
      <c r="H323" s="207" t="s">
        <v>4401</v>
      </c>
      <c r="I323" s="207" t="s">
        <v>4402</v>
      </c>
      <c r="J323" s="215" t="s">
        <v>5810</v>
      </c>
      <c r="K323" s="215" t="s">
        <v>5811</v>
      </c>
      <c r="L323" s="215" t="s">
        <v>5812</v>
      </c>
      <c r="M323" s="207" t="s">
        <v>4405</v>
      </c>
      <c r="N323" s="207" t="s">
        <v>4442</v>
      </c>
      <c r="O323" s="202" t="s">
        <v>4409</v>
      </c>
      <c r="P323" s="202" t="s">
        <v>4409</v>
      </c>
      <c r="Q323" s="202" t="s">
        <v>4409</v>
      </c>
      <c r="R323" s="202" t="s">
        <v>4409</v>
      </c>
      <c r="S323" s="202" t="s">
        <v>4409</v>
      </c>
      <c r="T323" s="202" t="s">
        <v>4409</v>
      </c>
      <c r="U323" s="202" t="s">
        <v>4409</v>
      </c>
      <c r="V323" s="202" t="s">
        <v>4409</v>
      </c>
      <c r="W323" s="202" t="s">
        <v>4409</v>
      </c>
      <c r="X323" s="202" t="s">
        <v>4409</v>
      </c>
      <c r="Y323" s="202"/>
      <c r="Z323" s="219"/>
      <c r="AA323" s="215" t="s">
        <v>5810</v>
      </c>
      <c r="AB323" s="215" t="s">
        <v>5811</v>
      </c>
      <c r="AC323" s="215" t="s">
        <v>5812</v>
      </c>
      <c r="AD323" s="207" t="s">
        <v>4402</v>
      </c>
      <c r="AE323" s="207" t="s">
        <v>4405</v>
      </c>
      <c r="AF323" s="218">
        <v>47777.760000000002</v>
      </c>
      <c r="AG323" s="218">
        <v>60000</v>
      </c>
      <c r="AH323" s="207" t="s">
        <v>4422</v>
      </c>
      <c r="AI323" s="214" t="s">
        <v>4411</v>
      </c>
      <c r="AJ323" s="207">
        <v>153002206</v>
      </c>
      <c r="AK323" s="316">
        <v>46112</v>
      </c>
      <c r="AL323" s="316">
        <v>46112</v>
      </c>
      <c r="AM323" s="316">
        <v>46112</v>
      </c>
      <c r="AN323" s="316">
        <v>46112</v>
      </c>
      <c r="AO323" s="316">
        <v>46112</v>
      </c>
      <c r="AP323" s="316">
        <v>46112</v>
      </c>
      <c r="AQ323" s="314"/>
      <c r="AR323" s="315" t="str">
        <f t="shared" si="20"/>
        <v>FINALIZADO</v>
      </c>
      <c r="AS323" s="207" t="s">
        <v>4423</v>
      </c>
      <c r="AT323" s="207"/>
      <c r="AU323" s="220" t="s">
        <v>5813</v>
      </c>
      <c r="AV323" s="160" t="s">
        <v>4425</v>
      </c>
      <c r="AW323" s="207" t="s">
        <v>4425</v>
      </c>
      <c r="AX323" s="250" t="s">
        <v>4425</v>
      </c>
      <c r="AY323" s="207" t="s">
        <v>4425</v>
      </c>
      <c r="AZ323" s="202">
        <v>46153</v>
      </c>
      <c r="BA323" s="207" t="s">
        <v>4425</v>
      </c>
      <c r="BB323" s="207" t="s">
        <v>4425</v>
      </c>
      <c r="BC323" s="202">
        <v>46160</v>
      </c>
      <c r="BD323" s="227">
        <v>46160</v>
      </c>
      <c r="BE323" s="228" t="s">
        <v>4435</v>
      </c>
      <c r="BF323" s="228" t="s">
        <v>4436</v>
      </c>
      <c r="BG323" s="219" t="s">
        <v>4425</v>
      </c>
      <c r="BH323" s="321">
        <f t="shared" si="21"/>
        <v>48</v>
      </c>
      <c r="BI323" s="98" t="str">
        <f t="shared" si="22"/>
        <v>INDENIZAÇÃO</v>
      </c>
      <c r="BJ323" s="98" t="str">
        <f t="shared" si="23"/>
        <v>NÃO</v>
      </c>
      <c r="BK323" s="219" t="s">
        <v>4437</v>
      </c>
      <c r="BL323" s="219" t="s">
        <v>4437</v>
      </c>
      <c r="BM323" s="219" t="s">
        <v>4437</v>
      </c>
      <c r="BN323" s="257" t="s">
        <v>5732</v>
      </c>
      <c r="BO323" s="257"/>
      <c r="BP323" s="257"/>
      <c r="BQ323" s="257"/>
      <c r="BR323" s="258"/>
    </row>
    <row r="324" spans="1:72" s="240" customFormat="1" ht="27" hidden="1" customHeight="1">
      <c r="A324" s="197">
        <v>320</v>
      </c>
      <c r="B324" s="197" t="s">
        <v>4396</v>
      </c>
      <c r="C324" s="207" t="s">
        <v>4427</v>
      </c>
      <c r="D324" s="207">
        <v>1</v>
      </c>
      <c r="E324" s="207" t="s">
        <v>4398</v>
      </c>
      <c r="F324" s="214" t="s">
        <v>5814</v>
      </c>
      <c r="G324" s="207" t="s">
        <v>4400</v>
      </c>
      <c r="H324" s="207" t="s">
        <v>4401</v>
      </c>
      <c r="I324" s="217" t="s">
        <v>4402</v>
      </c>
      <c r="J324" s="215" t="s">
        <v>5815</v>
      </c>
      <c r="K324" s="215" t="s">
        <v>4398</v>
      </c>
      <c r="L324" s="215" t="s">
        <v>5816</v>
      </c>
      <c r="M324" s="207" t="s">
        <v>4405</v>
      </c>
      <c r="N324" s="207" t="s">
        <v>4442</v>
      </c>
      <c r="O324" s="202" t="s">
        <v>4409</v>
      </c>
      <c r="P324" s="202" t="s">
        <v>4409</v>
      </c>
      <c r="Q324" s="202" t="s">
        <v>4409</v>
      </c>
      <c r="R324" s="202" t="s">
        <v>4409</v>
      </c>
      <c r="S324" s="202" t="s">
        <v>4409</v>
      </c>
      <c r="T324" s="202" t="s">
        <v>4409</v>
      </c>
      <c r="U324" s="202" t="s">
        <v>4409</v>
      </c>
      <c r="V324" s="202" t="s">
        <v>4409</v>
      </c>
      <c r="W324" s="202" t="s">
        <v>4409</v>
      </c>
      <c r="X324" s="202" t="s">
        <v>4409</v>
      </c>
      <c r="Y324" s="202"/>
      <c r="Z324" s="207"/>
      <c r="AA324" s="215" t="s">
        <v>5815</v>
      </c>
      <c r="AB324" s="215" t="s">
        <v>4398</v>
      </c>
      <c r="AC324" s="215" t="s">
        <v>5816</v>
      </c>
      <c r="AD324" s="207" t="s">
        <v>4402</v>
      </c>
      <c r="AE324" s="207" t="s">
        <v>4405</v>
      </c>
      <c r="AF324" s="218">
        <v>21556.67</v>
      </c>
      <c r="AG324" s="218">
        <f>AF324+30000</f>
        <v>51556.67</v>
      </c>
      <c r="AH324" s="207" t="s">
        <v>4433</v>
      </c>
      <c r="AI324" s="214" t="s">
        <v>4411</v>
      </c>
      <c r="AJ324" s="207">
        <v>147043603</v>
      </c>
      <c r="AK324" s="316">
        <v>46064</v>
      </c>
      <c r="AL324" s="316">
        <v>46064</v>
      </c>
      <c r="AM324" s="316">
        <v>46064</v>
      </c>
      <c r="AN324" s="316">
        <v>46064</v>
      </c>
      <c r="AO324" s="316">
        <v>46064</v>
      </c>
      <c r="AP324" s="316">
        <v>46064</v>
      </c>
      <c r="AQ324" s="314"/>
      <c r="AR324" s="315" t="str">
        <f t="shared" si="20"/>
        <v>FINALIZADO</v>
      </c>
      <c r="AS324" s="207" t="s">
        <v>4423</v>
      </c>
      <c r="AT324" s="207"/>
      <c r="AU324" s="220" t="s">
        <v>5817</v>
      </c>
      <c r="AV324" s="207" t="s">
        <v>4425</v>
      </c>
      <c r="AW324" s="197" t="s">
        <v>4425</v>
      </c>
      <c r="AX324" s="250" t="s">
        <v>4425</v>
      </c>
      <c r="AY324" s="197" t="s">
        <v>4425</v>
      </c>
      <c r="AZ324" s="202">
        <v>46118</v>
      </c>
      <c r="BA324" s="207" t="s">
        <v>4425</v>
      </c>
      <c r="BB324" s="207" t="s">
        <v>4425</v>
      </c>
      <c r="BC324" s="202">
        <v>46126</v>
      </c>
      <c r="BD324" s="227">
        <v>46126</v>
      </c>
      <c r="BE324" s="227" t="s">
        <v>4435</v>
      </c>
      <c r="BF324" s="228" t="s">
        <v>4436</v>
      </c>
      <c r="BG324" s="229" t="s">
        <v>4425</v>
      </c>
      <c r="BH324" s="321">
        <f t="shared" si="21"/>
        <v>62</v>
      </c>
      <c r="BI324" s="98" t="str">
        <f t="shared" si="22"/>
        <v>INDENIZAÇÃO</v>
      </c>
      <c r="BJ324" s="98" t="str">
        <f t="shared" si="23"/>
        <v>NÃO</v>
      </c>
      <c r="BK324" s="219" t="s">
        <v>4437</v>
      </c>
      <c r="BL324" s="219" t="s">
        <v>4437</v>
      </c>
      <c r="BM324" s="219" t="s">
        <v>4437</v>
      </c>
      <c r="BN324" s="257" t="s">
        <v>5732</v>
      </c>
      <c r="BO324" s="257"/>
      <c r="BP324" s="257"/>
      <c r="BQ324" s="257"/>
      <c r="BR324" s="258"/>
    </row>
    <row r="325" spans="1:72" s="240" customFormat="1" ht="27" hidden="1" customHeight="1">
      <c r="A325" s="197">
        <v>321</v>
      </c>
      <c r="B325" s="197" t="s">
        <v>4396</v>
      </c>
      <c r="C325" s="207" t="s">
        <v>4397</v>
      </c>
      <c r="D325" s="207">
        <v>1</v>
      </c>
      <c r="E325" s="207" t="s">
        <v>4398</v>
      </c>
      <c r="F325" s="214" t="s">
        <v>5814</v>
      </c>
      <c r="G325" s="207" t="s">
        <v>4400</v>
      </c>
      <c r="H325" s="207" t="s">
        <v>4401</v>
      </c>
      <c r="I325" s="217" t="s">
        <v>4402</v>
      </c>
      <c r="J325" s="215" t="s">
        <v>5818</v>
      </c>
      <c r="K325" s="215" t="s">
        <v>5819</v>
      </c>
      <c r="L325" s="215" t="s">
        <v>5820</v>
      </c>
      <c r="M325" s="207" t="s">
        <v>4405</v>
      </c>
      <c r="N325" s="207" t="s">
        <v>4406</v>
      </c>
      <c r="O325" s="202">
        <v>46084</v>
      </c>
      <c r="P325" s="202" t="s">
        <v>4407</v>
      </c>
      <c r="Q325" s="202">
        <v>46083</v>
      </c>
      <c r="R325" s="203">
        <v>46084</v>
      </c>
      <c r="S325" s="203">
        <v>46087</v>
      </c>
      <c r="T325" s="203">
        <v>46090</v>
      </c>
      <c r="U325" s="202" t="s">
        <v>4408</v>
      </c>
      <c r="V325" s="202" t="s">
        <v>4408</v>
      </c>
      <c r="W325" s="202">
        <v>46101</v>
      </c>
      <c r="X325" s="202">
        <v>46101</v>
      </c>
      <c r="Y325" s="203"/>
      <c r="Z325" s="219"/>
      <c r="AA325" s="215" t="s">
        <v>5818</v>
      </c>
      <c r="AB325" s="215" t="s">
        <v>5819</v>
      </c>
      <c r="AC325" s="215" t="s">
        <v>5820</v>
      </c>
      <c r="AD325" s="217" t="s">
        <v>4402</v>
      </c>
      <c r="AE325" s="207" t="s">
        <v>4405</v>
      </c>
      <c r="AF325" s="218" t="s">
        <v>4409</v>
      </c>
      <c r="AG325" s="218" t="s">
        <v>4409</v>
      </c>
      <c r="AH325" s="207" t="s">
        <v>4410</v>
      </c>
      <c r="AI325" s="214" t="s">
        <v>4411</v>
      </c>
      <c r="AJ325" s="207"/>
      <c r="AK325" s="316"/>
      <c r="AL325" s="316"/>
      <c r="AM325" s="316"/>
      <c r="AN325" s="316"/>
      <c r="AO325" s="316"/>
      <c r="AP325" s="316"/>
      <c r="AQ325" s="314"/>
      <c r="AR325" s="315" t="str">
        <f t="shared" si="20"/>
        <v/>
      </c>
      <c r="AS325" s="207"/>
      <c r="AT325" s="219"/>
      <c r="AU325" s="220"/>
      <c r="AV325" s="161"/>
      <c r="AW325" s="254"/>
      <c r="AX325" s="219"/>
      <c r="AY325" s="254"/>
      <c r="AZ325" s="219"/>
      <c r="BA325" s="219"/>
      <c r="BB325" s="219"/>
      <c r="BC325" s="219"/>
      <c r="BD325" s="208"/>
      <c r="BE325" s="203"/>
      <c r="BF325" s="219"/>
      <c r="BG325" s="219"/>
      <c r="BH325" s="321" t="str">
        <f t="shared" si="21"/>
        <v/>
      </c>
      <c r="BI325" s="98" t="str">
        <f t="shared" si="22"/>
        <v>AA</v>
      </c>
      <c r="BJ325" s="98" t="str">
        <f t="shared" si="23"/>
        <v>NÃO</v>
      </c>
      <c r="BK325" s="219"/>
      <c r="BL325" s="221"/>
      <c r="BM325" s="221"/>
      <c r="BN325" s="219"/>
      <c r="BO325" s="219"/>
      <c r="BP325" s="219"/>
      <c r="BQ325" s="219"/>
      <c r="BR325" s="222"/>
    </row>
    <row r="326" spans="1:72" s="240" customFormat="1" ht="27" customHeight="1">
      <c r="A326" s="207">
        <v>322</v>
      </c>
      <c r="B326" s="197" t="s">
        <v>4396</v>
      </c>
      <c r="C326" s="207" t="s">
        <v>4413</v>
      </c>
      <c r="D326" s="207">
        <v>1</v>
      </c>
      <c r="E326" s="207" t="s">
        <v>4398</v>
      </c>
      <c r="F326" s="214" t="s">
        <v>5814</v>
      </c>
      <c r="G326" s="207" t="s">
        <v>4400</v>
      </c>
      <c r="H326" s="207" t="s">
        <v>4401</v>
      </c>
      <c r="I326" s="217" t="s">
        <v>4402</v>
      </c>
      <c r="J326" s="215" t="s">
        <v>5821</v>
      </c>
      <c r="K326" s="215"/>
      <c r="L326" s="215" t="s">
        <v>5822</v>
      </c>
      <c r="M326" s="207" t="s">
        <v>4405</v>
      </c>
      <c r="N326" s="207" t="s">
        <v>4432</v>
      </c>
      <c r="O326" s="202"/>
      <c r="P326" s="202" t="s">
        <v>4409</v>
      </c>
      <c r="Q326" s="202" t="s">
        <v>4409</v>
      </c>
      <c r="R326" s="202" t="s">
        <v>4409</v>
      </c>
      <c r="S326" s="202" t="s">
        <v>4409</v>
      </c>
      <c r="T326" s="202" t="s">
        <v>4409</v>
      </c>
      <c r="U326" s="202" t="s">
        <v>4409</v>
      </c>
      <c r="V326" s="202" t="s">
        <v>4409</v>
      </c>
      <c r="W326" s="202" t="s">
        <v>4409</v>
      </c>
      <c r="X326" s="202" t="s">
        <v>4409</v>
      </c>
      <c r="Y326" s="203"/>
      <c r="Z326" s="219"/>
      <c r="AA326" s="215" t="s">
        <v>5821</v>
      </c>
      <c r="AB326" s="215"/>
      <c r="AC326" s="215" t="s">
        <v>5822</v>
      </c>
      <c r="AD326" s="217" t="s">
        <v>4402</v>
      </c>
      <c r="AE326" s="207" t="s">
        <v>4405</v>
      </c>
      <c r="AF326" s="218">
        <v>58404.87</v>
      </c>
      <c r="AG326" s="218">
        <v>60000</v>
      </c>
      <c r="AH326" s="207" t="s">
        <v>4433</v>
      </c>
      <c r="AI326" s="214" t="s">
        <v>4411</v>
      </c>
      <c r="AJ326" s="207">
        <v>158037280</v>
      </c>
      <c r="AK326" s="316">
        <v>46188</v>
      </c>
      <c r="AL326" s="316">
        <v>46188</v>
      </c>
      <c r="AM326" s="316">
        <v>46188</v>
      </c>
      <c r="AN326" s="316">
        <v>46188</v>
      </c>
      <c r="AO326" s="316">
        <v>46188</v>
      </c>
      <c r="AP326" s="316">
        <v>46188</v>
      </c>
      <c r="AQ326" s="314"/>
      <c r="AR326" s="315" t="str">
        <f t="shared" ref="AR326:AR389" si="24">IF(AQ326="SIM","AGUARDANDO CORREÇÃO",IF(AP326&lt;&gt;"","FINALIZADO",IF(AO326&lt;&gt;"","AGUARDANDO ENVIO DTS",IF(AN326&lt;&gt;"","AGUARDANDO ASSINATURA GAB",IF(AM326&lt;&gt;"","AGUARDANDO ASSINATURA CTS",IF(AL326&lt;&gt;"","AGUARDANDO ENVIO ASSINATURA CTS",IF(AK326&lt;&gt;"","AGUARDANDO CONFERÊNCIA","")))))))</f>
        <v>FINALIZADO</v>
      </c>
      <c r="AS326" s="207" t="s">
        <v>4423</v>
      </c>
      <c r="AT326" s="219"/>
      <c r="AU326" s="220" t="s">
        <v>5823</v>
      </c>
      <c r="AV326" s="207" t="s">
        <v>4425</v>
      </c>
      <c r="AW326" s="197" t="s">
        <v>4425</v>
      </c>
      <c r="AX326" s="207" t="s">
        <v>4818</v>
      </c>
      <c r="AY326" s="207" t="s">
        <v>4818</v>
      </c>
      <c r="AZ326" s="202">
        <v>46233</v>
      </c>
      <c r="BA326" s="207" t="s">
        <v>4818</v>
      </c>
      <c r="BB326" s="207" t="s">
        <v>4818</v>
      </c>
      <c r="BC326" s="202">
        <v>46237</v>
      </c>
      <c r="BD326" s="226">
        <v>46237</v>
      </c>
      <c r="BE326" s="257" t="s">
        <v>4435</v>
      </c>
      <c r="BF326" s="257" t="s">
        <v>4436</v>
      </c>
      <c r="BG326" s="219" t="s">
        <v>4425</v>
      </c>
      <c r="BH326" s="321">
        <f t="shared" ref="BH326:BH389" si="25">IFERROR(IF(BD326-KI326=0,"",BD326-AK326),"")</f>
        <v>49</v>
      </c>
      <c r="BI326" s="98" t="str">
        <f t="shared" ref="BI326:BI389" si="26">IF(AND(AH326&lt;&gt;"SIM",AH326="UH"),"AA","INDENIZAÇÃO")</f>
        <v>INDENIZAÇÃO</v>
      </c>
      <c r="BJ326" s="98" t="str">
        <f t="shared" ref="BJ326:BJ389" si="27">IF(AND(BD326&lt;&gt;"AGUARDANDO",BD326&lt;&gt;"",N326="AUXÍLIO ALUGUEL ATÉ INDENIZAÇÃO"),"SIM","NÃO")</f>
        <v>NÃO</v>
      </c>
      <c r="BK326" s="219" t="s">
        <v>4437</v>
      </c>
      <c r="BL326" s="219" t="s">
        <v>4437</v>
      </c>
      <c r="BM326" s="219" t="s">
        <v>4437</v>
      </c>
      <c r="BN326" s="257" t="s">
        <v>5732</v>
      </c>
      <c r="BO326" s="257"/>
      <c r="BP326" s="257"/>
      <c r="BQ326" s="257"/>
      <c r="BR326" s="258"/>
      <c r="BS326" s="223"/>
      <c r="BT326" s="223"/>
    </row>
    <row r="327" spans="1:72" s="240" customFormat="1" ht="27" customHeight="1">
      <c r="A327" s="207">
        <v>323</v>
      </c>
      <c r="B327" s="197" t="s">
        <v>4396</v>
      </c>
      <c r="C327" s="207" t="s">
        <v>4413</v>
      </c>
      <c r="D327" s="207">
        <v>1</v>
      </c>
      <c r="E327" s="207" t="s">
        <v>4398</v>
      </c>
      <c r="F327" s="214" t="s">
        <v>5824</v>
      </c>
      <c r="G327" s="207" t="s">
        <v>4400</v>
      </c>
      <c r="H327" s="207" t="s">
        <v>4401</v>
      </c>
      <c r="I327" s="207" t="s">
        <v>4402</v>
      </c>
      <c r="J327" s="215" t="s">
        <v>5825</v>
      </c>
      <c r="K327" s="215" t="s">
        <v>5826</v>
      </c>
      <c r="L327" s="215" t="s">
        <v>5827</v>
      </c>
      <c r="M327" s="207" t="s">
        <v>4405</v>
      </c>
      <c r="N327" s="207" t="s">
        <v>4406</v>
      </c>
      <c r="O327" s="202">
        <v>46084</v>
      </c>
      <c r="P327" s="202" t="s">
        <v>4407</v>
      </c>
      <c r="Q327" s="202">
        <v>46083</v>
      </c>
      <c r="R327" s="203">
        <v>46084</v>
      </c>
      <c r="S327" s="203">
        <v>46087</v>
      </c>
      <c r="T327" s="203">
        <v>46090</v>
      </c>
      <c r="U327" s="202" t="s">
        <v>4408</v>
      </c>
      <c r="V327" s="202" t="s">
        <v>4408</v>
      </c>
      <c r="W327" s="202">
        <v>46101</v>
      </c>
      <c r="X327" s="202">
        <v>46101</v>
      </c>
      <c r="Y327" s="202"/>
      <c r="Z327" s="202"/>
      <c r="AA327" s="215" t="s">
        <v>5825</v>
      </c>
      <c r="AB327" s="215" t="s">
        <v>5826</v>
      </c>
      <c r="AC327" s="215" t="s">
        <v>5827</v>
      </c>
      <c r="AD327" s="217" t="s">
        <v>4402</v>
      </c>
      <c r="AE327" s="207" t="s">
        <v>4405</v>
      </c>
      <c r="AF327" s="218" t="s">
        <v>4409</v>
      </c>
      <c r="AG327" s="218" t="s">
        <v>4409</v>
      </c>
      <c r="AH327" s="207" t="s">
        <v>4410</v>
      </c>
      <c r="AI327" s="214" t="s">
        <v>4411</v>
      </c>
      <c r="AJ327" s="207"/>
      <c r="AK327" s="316">
        <v>46080</v>
      </c>
      <c r="AL327" s="316">
        <v>46080</v>
      </c>
      <c r="AM327" s="316">
        <v>46080</v>
      </c>
      <c r="AN327" s="316">
        <v>46080</v>
      </c>
      <c r="AO327" s="316">
        <v>46080</v>
      </c>
      <c r="AP327" s="316">
        <v>46080</v>
      </c>
      <c r="AQ327" s="314"/>
      <c r="AR327" s="315" t="str">
        <f t="shared" si="24"/>
        <v>FINALIZADO</v>
      </c>
      <c r="AS327" s="207"/>
      <c r="AT327" s="219"/>
      <c r="AU327" s="220"/>
      <c r="AV327" s="219"/>
      <c r="AW327" s="219"/>
      <c r="AX327" s="219"/>
      <c r="AY327" s="219"/>
      <c r="AZ327" s="219"/>
      <c r="BA327" s="219"/>
      <c r="BB327" s="219"/>
      <c r="BC327" s="219"/>
      <c r="BD327" s="208"/>
      <c r="BE327" s="203"/>
      <c r="BF327" s="219"/>
      <c r="BG327" s="219"/>
      <c r="BH327" s="321" t="str">
        <f t="shared" si="25"/>
        <v/>
      </c>
      <c r="BI327" s="98" t="str">
        <f t="shared" si="26"/>
        <v>AA</v>
      </c>
      <c r="BJ327" s="98" t="str">
        <f t="shared" si="27"/>
        <v>NÃO</v>
      </c>
      <c r="BK327" s="219"/>
      <c r="BL327" s="221"/>
      <c r="BM327" s="221"/>
      <c r="BN327" s="219"/>
      <c r="BO327" s="219"/>
      <c r="BP327" s="219"/>
      <c r="BQ327" s="219"/>
      <c r="BR327" s="222"/>
    </row>
    <row r="328" spans="1:72" s="240" customFormat="1" ht="27" hidden="1" customHeight="1">
      <c r="A328" s="207">
        <v>324</v>
      </c>
      <c r="B328" s="197" t="s">
        <v>4396</v>
      </c>
      <c r="C328" s="207" t="s">
        <v>4427</v>
      </c>
      <c r="D328" s="207">
        <v>1</v>
      </c>
      <c r="E328" s="207" t="s">
        <v>4398</v>
      </c>
      <c r="F328" s="214" t="s">
        <v>5824</v>
      </c>
      <c r="G328" s="207" t="s">
        <v>4400</v>
      </c>
      <c r="H328" s="207" t="s">
        <v>4401</v>
      </c>
      <c r="I328" s="207" t="s">
        <v>4402</v>
      </c>
      <c r="J328" s="215" t="s">
        <v>5828</v>
      </c>
      <c r="K328" s="215" t="s">
        <v>5829</v>
      </c>
      <c r="L328" s="215" t="s">
        <v>5830</v>
      </c>
      <c r="M328" s="207" t="s">
        <v>4405</v>
      </c>
      <c r="N328" s="207" t="s">
        <v>4442</v>
      </c>
      <c r="O328" s="202" t="s">
        <v>4409</v>
      </c>
      <c r="P328" s="202" t="s">
        <v>4409</v>
      </c>
      <c r="Q328" s="202" t="s">
        <v>4409</v>
      </c>
      <c r="R328" s="202" t="s">
        <v>4409</v>
      </c>
      <c r="S328" s="202" t="s">
        <v>4409</v>
      </c>
      <c r="T328" s="202" t="s">
        <v>4409</v>
      </c>
      <c r="U328" s="202" t="s">
        <v>4409</v>
      </c>
      <c r="V328" s="202" t="s">
        <v>4409</v>
      </c>
      <c r="W328" s="202" t="s">
        <v>4409</v>
      </c>
      <c r="X328" s="202" t="s">
        <v>4409</v>
      </c>
      <c r="Y328" s="202"/>
      <c r="Z328" s="260"/>
      <c r="AA328" s="215" t="s">
        <v>5828</v>
      </c>
      <c r="AB328" s="215" t="s">
        <v>5829</v>
      </c>
      <c r="AC328" s="215" t="s">
        <v>5830</v>
      </c>
      <c r="AD328" s="207" t="s">
        <v>4402</v>
      </c>
      <c r="AE328" s="207" t="s">
        <v>4405</v>
      </c>
      <c r="AF328" s="218">
        <v>9221.56</v>
      </c>
      <c r="AG328" s="218">
        <v>39221.56</v>
      </c>
      <c r="AH328" s="207" t="s">
        <v>4433</v>
      </c>
      <c r="AI328" s="214" t="s">
        <v>4411</v>
      </c>
      <c r="AJ328" s="207">
        <v>151380072</v>
      </c>
      <c r="AK328" s="316">
        <v>46111</v>
      </c>
      <c r="AL328" s="316">
        <v>46111</v>
      </c>
      <c r="AM328" s="316">
        <v>46111</v>
      </c>
      <c r="AN328" s="316">
        <v>46111</v>
      </c>
      <c r="AO328" s="316">
        <v>46111</v>
      </c>
      <c r="AP328" s="316">
        <v>46111</v>
      </c>
      <c r="AQ328" s="314"/>
      <c r="AR328" s="315" t="str">
        <f t="shared" si="24"/>
        <v>FINALIZADO</v>
      </c>
      <c r="AS328" s="207" t="s">
        <v>4423</v>
      </c>
      <c r="AT328" s="207"/>
      <c r="AU328" s="220" t="s">
        <v>5831</v>
      </c>
      <c r="AV328" s="207" t="s">
        <v>4425</v>
      </c>
      <c r="AW328" s="207" t="s">
        <v>4425</v>
      </c>
      <c r="AX328" s="207" t="s">
        <v>4425</v>
      </c>
      <c r="AY328" s="207" t="s">
        <v>4425</v>
      </c>
      <c r="AZ328" s="202">
        <v>46170</v>
      </c>
      <c r="BA328" s="207" t="s">
        <v>4425</v>
      </c>
      <c r="BB328" s="207" t="s">
        <v>4425</v>
      </c>
      <c r="BC328" s="202">
        <v>46182</v>
      </c>
      <c r="BD328" s="227">
        <v>46182</v>
      </c>
      <c r="BE328" s="235" t="s">
        <v>4435</v>
      </c>
      <c r="BF328" s="236" t="s">
        <v>4436</v>
      </c>
      <c r="BG328" s="237" t="s">
        <v>4425</v>
      </c>
      <c r="BH328" s="321">
        <f t="shared" si="25"/>
        <v>71</v>
      </c>
      <c r="BI328" s="98" t="str">
        <f t="shared" si="26"/>
        <v>INDENIZAÇÃO</v>
      </c>
      <c r="BJ328" s="98" t="str">
        <f t="shared" si="27"/>
        <v>NÃO</v>
      </c>
      <c r="BK328" s="238" t="s">
        <v>4437</v>
      </c>
      <c r="BL328" s="238" t="s">
        <v>4437</v>
      </c>
      <c r="BM328" s="238" t="s">
        <v>4437</v>
      </c>
      <c r="BN328" s="273" t="s">
        <v>5732</v>
      </c>
      <c r="BO328" s="265"/>
      <c r="BP328" s="265"/>
      <c r="BQ328" s="265"/>
      <c r="BR328" s="231"/>
    </row>
    <row r="329" spans="1:72" s="240" customFormat="1" ht="27" customHeight="1">
      <c r="A329" s="197">
        <v>325</v>
      </c>
      <c r="B329" s="197" t="s">
        <v>4396</v>
      </c>
      <c r="C329" s="207" t="s">
        <v>4413</v>
      </c>
      <c r="D329" s="207">
        <v>1</v>
      </c>
      <c r="E329" s="207" t="s">
        <v>4398</v>
      </c>
      <c r="F329" s="214" t="s">
        <v>5832</v>
      </c>
      <c r="G329" s="207" t="s">
        <v>4400</v>
      </c>
      <c r="H329" s="207" t="s">
        <v>4401</v>
      </c>
      <c r="I329" s="207" t="s">
        <v>4402</v>
      </c>
      <c r="J329" s="215" t="s">
        <v>5833</v>
      </c>
      <c r="K329" s="215" t="s">
        <v>5834</v>
      </c>
      <c r="L329" s="215" t="s">
        <v>5835</v>
      </c>
      <c r="M329" s="207" t="s">
        <v>4405</v>
      </c>
      <c r="N329" s="207" t="s">
        <v>4406</v>
      </c>
      <c r="O329" s="202">
        <v>46084</v>
      </c>
      <c r="P329" s="202" t="s">
        <v>4407</v>
      </c>
      <c r="Q329" s="202">
        <v>46083</v>
      </c>
      <c r="R329" s="203">
        <v>46084</v>
      </c>
      <c r="S329" s="203">
        <v>46087</v>
      </c>
      <c r="T329" s="203">
        <v>46090</v>
      </c>
      <c r="U329" s="202" t="s">
        <v>4408</v>
      </c>
      <c r="V329" s="202" t="s">
        <v>4408</v>
      </c>
      <c r="W329" s="202">
        <v>46101</v>
      </c>
      <c r="X329" s="202">
        <v>46101</v>
      </c>
      <c r="Y329" s="202"/>
      <c r="Z329" s="202"/>
      <c r="AA329" s="215" t="s">
        <v>5833</v>
      </c>
      <c r="AB329" s="215" t="s">
        <v>5834</v>
      </c>
      <c r="AC329" s="215" t="s">
        <v>5835</v>
      </c>
      <c r="AD329" s="217" t="s">
        <v>4402</v>
      </c>
      <c r="AE329" s="207" t="s">
        <v>4405</v>
      </c>
      <c r="AF329" s="218" t="s">
        <v>4409</v>
      </c>
      <c r="AG329" s="218" t="s">
        <v>4409</v>
      </c>
      <c r="AH329" s="207" t="s">
        <v>4410</v>
      </c>
      <c r="AI329" s="214" t="s">
        <v>4411</v>
      </c>
      <c r="AJ329" s="207"/>
      <c r="AK329" s="316">
        <v>46080</v>
      </c>
      <c r="AL329" s="316">
        <v>46080</v>
      </c>
      <c r="AM329" s="316">
        <v>46080</v>
      </c>
      <c r="AN329" s="316">
        <v>46080</v>
      </c>
      <c r="AO329" s="316">
        <v>46080</v>
      </c>
      <c r="AP329" s="316">
        <v>46080</v>
      </c>
      <c r="AQ329" s="314"/>
      <c r="AR329" s="315" t="str">
        <f t="shared" si="24"/>
        <v>FINALIZADO</v>
      </c>
      <c r="AS329" s="207"/>
      <c r="AT329" s="219"/>
      <c r="AU329" s="220"/>
      <c r="AV329" s="219"/>
      <c r="AW329" s="219"/>
      <c r="AX329" s="219"/>
      <c r="AY329" s="219"/>
      <c r="AZ329" s="219"/>
      <c r="BA329" s="219"/>
      <c r="BB329" s="219"/>
      <c r="BC329" s="219"/>
      <c r="BD329" s="208"/>
      <c r="BE329" s="203"/>
      <c r="BF329" s="219"/>
      <c r="BG329" s="219"/>
      <c r="BH329" s="321" t="str">
        <f t="shared" si="25"/>
        <v/>
      </c>
      <c r="BI329" s="98" t="str">
        <f t="shared" si="26"/>
        <v>AA</v>
      </c>
      <c r="BJ329" s="98" t="str">
        <f t="shared" si="27"/>
        <v>NÃO</v>
      </c>
      <c r="BK329" s="219"/>
      <c r="BL329" s="221"/>
      <c r="BM329" s="221"/>
      <c r="BN329" s="219"/>
      <c r="BO329" s="219"/>
      <c r="BP329" s="219"/>
      <c r="BQ329" s="219"/>
      <c r="BR329" s="222"/>
    </row>
    <row r="330" spans="1:72" s="240" customFormat="1" ht="27" hidden="1" customHeight="1">
      <c r="A330" s="197">
        <v>326</v>
      </c>
      <c r="B330" s="197" t="s">
        <v>4396</v>
      </c>
      <c r="C330" s="207" t="s">
        <v>4427</v>
      </c>
      <c r="D330" s="207">
        <v>1</v>
      </c>
      <c r="E330" s="207" t="s">
        <v>4398</v>
      </c>
      <c r="F330" s="214" t="s">
        <v>5832</v>
      </c>
      <c r="G330" s="207" t="s">
        <v>4546</v>
      </c>
      <c r="H330" s="207" t="s">
        <v>4546</v>
      </c>
      <c r="I330" s="233" t="s">
        <v>4421</v>
      </c>
      <c r="J330" s="215" t="s">
        <v>5836</v>
      </c>
      <c r="K330" s="215" t="s">
        <v>5837</v>
      </c>
      <c r="L330" s="215" t="s">
        <v>5838</v>
      </c>
      <c r="M330" s="207" t="s">
        <v>4405</v>
      </c>
      <c r="N330" s="207" t="s">
        <v>4442</v>
      </c>
      <c r="O330" s="202" t="s">
        <v>4409</v>
      </c>
      <c r="P330" s="202" t="s">
        <v>4409</v>
      </c>
      <c r="Q330" s="202" t="s">
        <v>4409</v>
      </c>
      <c r="R330" s="202" t="s">
        <v>4409</v>
      </c>
      <c r="S330" s="202" t="s">
        <v>4409</v>
      </c>
      <c r="T330" s="202" t="s">
        <v>4409</v>
      </c>
      <c r="U330" s="202" t="s">
        <v>4409</v>
      </c>
      <c r="V330" s="202" t="s">
        <v>4409</v>
      </c>
      <c r="W330" s="202" t="s">
        <v>4409</v>
      </c>
      <c r="X330" s="202" t="s">
        <v>4409</v>
      </c>
      <c r="Y330" s="202"/>
      <c r="Z330" s="202"/>
      <c r="AA330" s="215" t="s">
        <v>5836</v>
      </c>
      <c r="AB330" s="215" t="s">
        <v>5837</v>
      </c>
      <c r="AC330" s="215" t="s">
        <v>5838</v>
      </c>
      <c r="AD330" s="233" t="s">
        <v>4421</v>
      </c>
      <c r="AE330" s="207" t="s">
        <v>4405</v>
      </c>
      <c r="AF330" s="218">
        <v>13505.97</v>
      </c>
      <c r="AG330" s="218">
        <v>43505.97</v>
      </c>
      <c r="AH330" s="207" t="s">
        <v>4433</v>
      </c>
      <c r="AI330" s="214" t="s">
        <v>4411</v>
      </c>
      <c r="AJ330" s="207">
        <v>151551053</v>
      </c>
      <c r="AK330" s="316">
        <v>46111</v>
      </c>
      <c r="AL330" s="316">
        <v>46111</v>
      </c>
      <c r="AM330" s="316">
        <v>46111</v>
      </c>
      <c r="AN330" s="316">
        <v>46111</v>
      </c>
      <c r="AO330" s="316">
        <v>46111</v>
      </c>
      <c r="AP330" s="316">
        <v>46111</v>
      </c>
      <c r="AQ330" s="314"/>
      <c r="AR330" s="315" t="str">
        <f t="shared" si="24"/>
        <v>FINALIZADO</v>
      </c>
      <c r="AS330" s="207" t="s">
        <v>4423</v>
      </c>
      <c r="AT330" s="207"/>
      <c r="AU330" s="220" t="s">
        <v>5839</v>
      </c>
      <c r="AV330" s="207" t="s">
        <v>4425</v>
      </c>
      <c r="AW330" s="207" t="s">
        <v>4425</v>
      </c>
      <c r="AX330" s="250" t="s">
        <v>4425</v>
      </c>
      <c r="AY330" s="197" t="s">
        <v>4425</v>
      </c>
      <c r="AZ330" s="202">
        <v>46153</v>
      </c>
      <c r="BA330" s="207" t="s">
        <v>4425</v>
      </c>
      <c r="BB330" s="207" t="s">
        <v>4425</v>
      </c>
      <c r="BC330" s="202">
        <v>46160</v>
      </c>
      <c r="BD330" s="227">
        <v>46160</v>
      </c>
      <c r="BE330" s="227" t="s">
        <v>4435</v>
      </c>
      <c r="BF330" s="228" t="s">
        <v>4436</v>
      </c>
      <c r="BG330" s="219" t="s">
        <v>4425</v>
      </c>
      <c r="BH330" s="321">
        <f t="shared" si="25"/>
        <v>49</v>
      </c>
      <c r="BI330" s="98" t="str">
        <f t="shared" si="26"/>
        <v>INDENIZAÇÃO</v>
      </c>
      <c r="BJ330" s="98" t="str">
        <f t="shared" si="27"/>
        <v>NÃO</v>
      </c>
      <c r="BK330" s="219" t="s">
        <v>4437</v>
      </c>
      <c r="BL330" s="219" t="s">
        <v>4437</v>
      </c>
      <c r="BM330" s="219" t="s">
        <v>4437</v>
      </c>
      <c r="BN330" s="257" t="s">
        <v>5732</v>
      </c>
      <c r="BO330" s="257"/>
      <c r="BP330" s="257"/>
      <c r="BQ330" s="257"/>
      <c r="BR330" s="258"/>
      <c r="BS330" s="223"/>
      <c r="BT330" s="223"/>
    </row>
    <row r="331" spans="1:72" s="240" customFormat="1" ht="27" customHeight="1">
      <c r="A331" s="207">
        <v>327</v>
      </c>
      <c r="B331" s="197" t="s">
        <v>4396</v>
      </c>
      <c r="C331" s="207" t="s">
        <v>4413</v>
      </c>
      <c r="D331" s="207">
        <v>1</v>
      </c>
      <c r="E331" s="207" t="s">
        <v>4398</v>
      </c>
      <c r="F331" s="214" t="s">
        <v>5840</v>
      </c>
      <c r="G331" s="207" t="s">
        <v>4400</v>
      </c>
      <c r="H331" s="207" t="s">
        <v>4401</v>
      </c>
      <c r="I331" s="160" t="s">
        <v>4402</v>
      </c>
      <c r="J331" s="215" t="s">
        <v>5841</v>
      </c>
      <c r="K331" s="215" t="s">
        <v>5842</v>
      </c>
      <c r="L331" s="215" t="s">
        <v>5843</v>
      </c>
      <c r="M331" s="207" t="s">
        <v>4405</v>
      </c>
      <c r="N331" s="207" t="s">
        <v>4406</v>
      </c>
      <c r="O331" s="202">
        <v>46084</v>
      </c>
      <c r="P331" s="202" t="s">
        <v>4407</v>
      </c>
      <c r="Q331" s="202">
        <v>46083</v>
      </c>
      <c r="R331" s="203">
        <v>46084</v>
      </c>
      <c r="S331" s="203">
        <v>46087</v>
      </c>
      <c r="T331" s="203">
        <v>46090</v>
      </c>
      <c r="U331" s="202" t="s">
        <v>4408</v>
      </c>
      <c r="V331" s="202" t="s">
        <v>4408</v>
      </c>
      <c r="W331" s="202">
        <v>46101</v>
      </c>
      <c r="X331" s="202">
        <v>46101</v>
      </c>
      <c r="Y331" s="202"/>
      <c r="Z331" s="202"/>
      <c r="AA331" s="215" t="s">
        <v>5841</v>
      </c>
      <c r="AB331" s="215" t="s">
        <v>5842</v>
      </c>
      <c r="AC331" s="215" t="s">
        <v>5843</v>
      </c>
      <c r="AD331" s="217" t="s">
        <v>4402</v>
      </c>
      <c r="AE331" s="207" t="s">
        <v>4405</v>
      </c>
      <c r="AF331" s="218" t="s">
        <v>4409</v>
      </c>
      <c r="AG331" s="218" t="s">
        <v>4409</v>
      </c>
      <c r="AH331" s="207" t="s">
        <v>4410</v>
      </c>
      <c r="AI331" s="214" t="s">
        <v>4411</v>
      </c>
      <c r="AJ331" s="207"/>
      <c r="AK331" s="316">
        <v>46080</v>
      </c>
      <c r="AL331" s="316">
        <v>46080</v>
      </c>
      <c r="AM331" s="316">
        <v>46080</v>
      </c>
      <c r="AN331" s="316">
        <v>46080</v>
      </c>
      <c r="AO331" s="316">
        <v>46080</v>
      </c>
      <c r="AP331" s="316">
        <v>46080</v>
      </c>
      <c r="AQ331" s="314"/>
      <c r="AR331" s="315" t="str">
        <f t="shared" si="24"/>
        <v>FINALIZADO</v>
      </c>
      <c r="AS331" s="207"/>
      <c r="AT331" s="219"/>
      <c r="AU331" s="220"/>
      <c r="AV331" s="161"/>
      <c r="AW331" s="219"/>
      <c r="AX331" s="219"/>
      <c r="AY331" s="219"/>
      <c r="AZ331" s="219"/>
      <c r="BA331" s="219"/>
      <c r="BB331" s="219"/>
      <c r="BC331" s="219"/>
      <c r="BD331" s="208"/>
      <c r="BE331" s="203"/>
      <c r="BF331" s="219"/>
      <c r="BG331" s="219"/>
      <c r="BH331" s="321" t="str">
        <f t="shared" si="25"/>
        <v/>
      </c>
      <c r="BI331" s="98" t="str">
        <f t="shared" si="26"/>
        <v>AA</v>
      </c>
      <c r="BJ331" s="98" t="str">
        <f t="shared" si="27"/>
        <v>NÃO</v>
      </c>
      <c r="BK331" s="219"/>
      <c r="BL331" s="221"/>
      <c r="BM331" s="221"/>
      <c r="BN331" s="219"/>
      <c r="BO331" s="219"/>
      <c r="BP331" s="219"/>
      <c r="BQ331" s="219"/>
      <c r="BR331" s="222"/>
    </row>
    <row r="332" spans="1:72" s="240" customFormat="1" ht="27" customHeight="1">
      <c r="A332" s="207">
        <v>328</v>
      </c>
      <c r="B332" s="197" t="s">
        <v>4396</v>
      </c>
      <c r="C332" s="207" t="s">
        <v>4413</v>
      </c>
      <c r="D332" s="207">
        <v>1</v>
      </c>
      <c r="E332" s="207" t="s">
        <v>4398</v>
      </c>
      <c r="F332" s="214" t="s">
        <v>5844</v>
      </c>
      <c r="G332" s="207" t="s">
        <v>4400</v>
      </c>
      <c r="H332" s="207" t="s">
        <v>4401</v>
      </c>
      <c r="I332" s="207" t="s">
        <v>4402</v>
      </c>
      <c r="J332" s="215" t="s">
        <v>5845</v>
      </c>
      <c r="K332" s="215" t="s">
        <v>5846</v>
      </c>
      <c r="L332" s="215" t="s">
        <v>5847</v>
      </c>
      <c r="M332" s="207" t="s">
        <v>4405</v>
      </c>
      <c r="N332" s="207" t="s">
        <v>4406</v>
      </c>
      <c r="O332" s="202">
        <v>46084</v>
      </c>
      <c r="P332" s="202" t="s">
        <v>4407</v>
      </c>
      <c r="Q332" s="202">
        <v>46083</v>
      </c>
      <c r="R332" s="203">
        <v>46084</v>
      </c>
      <c r="S332" s="203">
        <v>46087</v>
      </c>
      <c r="T332" s="203">
        <v>46090</v>
      </c>
      <c r="U332" s="202" t="s">
        <v>4408</v>
      </c>
      <c r="V332" s="202" t="s">
        <v>4408</v>
      </c>
      <c r="W332" s="202">
        <v>46101</v>
      </c>
      <c r="X332" s="202">
        <v>46101</v>
      </c>
      <c r="Y332" s="202"/>
      <c r="Z332" s="202"/>
      <c r="AA332" s="215" t="s">
        <v>5845</v>
      </c>
      <c r="AB332" s="215" t="s">
        <v>5846</v>
      </c>
      <c r="AC332" s="215" t="s">
        <v>5847</v>
      </c>
      <c r="AD332" s="217" t="s">
        <v>4402</v>
      </c>
      <c r="AE332" s="207" t="s">
        <v>4405</v>
      </c>
      <c r="AF332" s="218" t="s">
        <v>4409</v>
      </c>
      <c r="AG332" s="218" t="s">
        <v>4409</v>
      </c>
      <c r="AH332" s="207" t="s">
        <v>4410</v>
      </c>
      <c r="AI332" s="214" t="s">
        <v>4411</v>
      </c>
      <c r="AJ332" s="207"/>
      <c r="AK332" s="316">
        <v>46080</v>
      </c>
      <c r="AL332" s="316">
        <v>46080</v>
      </c>
      <c r="AM332" s="316">
        <v>46080</v>
      </c>
      <c r="AN332" s="316">
        <v>46080</v>
      </c>
      <c r="AO332" s="316">
        <v>46080</v>
      </c>
      <c r="AP332" s="316">
        <v>46080</v>
      </c>
      <c r="AQ332" s="314"/>
      <c r="AR332" s="315" t="str">
        <f t="shared" si="24"/>
        <v>FINALIZADO</v>
      </c>
      <c r="AS332" s="207"/>
      <c r="AT332" s="219"/>
      <c r="AU332" s="220"/>
      <c r="AV332" s="219"/>
      <c r="AW332" s="219"/>
      <c r="AX332" s="219"/>
      <c r="AY332" s="219"/>
      <c r="AZ332" s="219"/>
      <c r="BA332" s="219"/>
      <c r="BB332" s="219"/>
      <c r="BC332" s="219"/>
      <c r="BD332" s="208"/>
      <c r="BE332" s="203"/>
      <c r="BF332" s="219"/>
      <c r="BG332" s="219"/>
      <c r="BH332" s="321" t="str">
        <f t="shared" si="25"/>
        <v/>
      </c>
      <c r="BI332" s="98" t="str">
        <f t="shared" si="26"/>
        <v>AA</v>
      </c>
      <c r="BJ332" s="98" t="str">
        <f t="shared" si="27"/>
        <v>NÃO</v>
      </c>
      <c r="BK332" s="219"/>
      <c r="BL332" s="221"/>
      <c r="BM332" s="221"/>
      <c r="BN332" s="219"/>
      <c r="BO332" s="219"/>
      <c r="BP332" s="219"/>
      <c r="BQ332" s="219"/>
      <c r="BR332" s="222"/>
    </row>
    <row r="333" spans="1:72" s="240" customFormat="1" ht="27" hidden="1" customHeight="1">
      <c r="A333" s="207">
        <v>329</v>
      </c>
      <c r="B333" s="197" t="s">
        <v>4396</v>
      </c>
      <c r="C333" s="207" t="s">
        <v>4427</v>
      </c>
      <c r="D333" s="207">
        <v>1</v>
      </c>
      <c r="E333" s="207" t="s">
        <v>4398</v>
      </c>
      <c r="F333" s="214" t="s">
        <v>5848</v>
      </c>
      <c r="G333" s="207" t="s">
        <v>4400</v>
      </c>
      <c r="H333" s="207" t="s">
        <v>4401</v>
      </c>
      <c r="I333" s="217" t="s">
        <v>4402</v>
      </c>
      <c r="J333" s="215" t="s">
        <v>5849</v>
      </c>
      <c r="K333" s="215" t="s">
        <v>5850</v>
      </c>
      <c r="L333" s="215" t="s">
        <v>5851</v>
      </c>
      <c r="M333" s="207" t="s">
        <v>4405</v>
      </c>
      <c r="N333" s="207" t="s">
        <v>4442</v>
      </c>
      <c r="O333" s="202" t="s">
        <v>4409</v>
      </c>
      <c r="P333" s="202" t="s">
        <v>4409</v>
      </c>
      <c r="Q333" s="202" t="s">
        <v>4409</v>
      </c>
      <c r="R333" s="202" t="s">
        <v>4409</v>
      </c>
      <c r="S333" s="202" t="s">
        <v>4409</v>
      </c>
      <c r="T333" s="202" t="s">
        <v>4409</v>
      </c>
      <c r="U333" s="202" t="s">
        <v>4409</v>
      </c>
      <c r="V333" s="202" t="s">
        <v>4409</v>
      </c>
      <c r="W333" s="202" t="s">
        <v>4409</v>
      </c>
      <c r="X333" s="202" t="s">
        <v>4409</v>
      </c>
      <c r="Y333" s="202"/>
      <c r="Z333" s="207"/>
      <c r="AA333" s="215" t="s">
        <v>5849</v>
      </c>
      <c r="AB333" s="215" t="s">
        <v>5850</v>
      </c>
      <c r="AC333" s="215" t="s">
        <v>5851</v>
      </c>
      <c r="AD333" s="207" t="s">
        <v>4402</v>
      </c>
      <c r="AE333" s="207" t="s">
        <v>4405</v>
      </c>
      <c r="AF333" s="218">
        <v>11796.06</v>
      </c>
      <c r="AG333" s="218">
        <f>AF333+30000</f>
        <v>41796.06</v>
      </c>
      <c r="AH333" s="207" t="s">
        <v>4433</v>
      </c>
      <c r="AI333" s="214" t="s">
        <v>4411</v>
      </c>
      <c r="AJ333" s="207">
        <v>147043798</v>
      </c>
      <c r="AK333" s="316">
        <v>45986</v>
      </c>
      <c r="AL333" s="316">
        <v>45986</v>
      </c>
      <c r="AM333" s="316">
        <v>45986</v>
      </c>
      <c r="AN333" s="316">
        <v>45986</v>
      </c>
      <c r="AO333" s="316">
        <v>45986</v>
      </c>
      <c r="AP333" s="316">
        <v>45986</v>
      </c>
      <c r="AQ333" s="314"/>
      <c r="AR333" s="315" t="str">
        <f t="shared" si="24"/>
        <v>FINALIZADO</v>
      </c>
      <c r="AS333" s="207" t="s">
        <v>4423</v>
      </c>
      <c r="AT333" s="207"/>
      <c r="AU333" s="220" t="s">
        <v>5852</v>
      </c>
      <c r="AV333" s="160" t="s">
        <v>4425</v>
      </c>
      <c r="AW333" s="207" t="s">
        <v>4425</v>
      </c>
      <c r="AX333" s="250" t="s">
        <v>4425</v>
      </c>
      <c r="AY333" s="207" t="s">
        <v>4425</v>
      </c>
      <c r="AZ333" s="202">
        <v>46020</v>
      </c>
      <c r="BA333" s="219" t="s">
        <v>4425</v>
      </c>
      <c r="BB333" s="207" t="s">
        <v>4425</v>
      </c>
      <c r="BC333" s="208">
        <v>46024</v>
      </c>
      <c r="BD333" s="227">
        <v>46024</v>
      </c>
      <c r="BE333" s="226" t="s">
        <v>4435</v>
      </c>
      <c r="BF333" s="228" t="s">
        <v>4436</v>
      </c>
      <c r="BG333" s="229" t="s">
        <v>4425</v>
      </c>
      <c r="BH333" s="321">
        <f t="shared" si="25"/>
        <v>38</v>
      </c>
      <c r="BI333" s="98" t="str">
        <f t="shared" si="26"/>
        <v>INDENIZAÇÃO</v>
      </c>
      <c r="BJ333" s="98" t="str">
        <f t="shared" si="27"/>
        <v>NÃO</v>
      </c>
      <c r="BK333" s="230" t="s">
        <v>4437</v>
      </c>
      <c r="BL333" s="230" t="s">
        <v>4437</v>
      </c>
      <c r="BM333" s="230" t="s">
        <v>4437</v>
      </c>
      <c r="BN333" s="207" t="s">
        <v>4425</v>
      </c>
      <c r="BO333" s="207" t="s">
        <v>4425</v>
      </c>
      <c r="BP333" s="202">
        <v>46205</v>
      </c>
      <c r="BQ333" s="207" t="s">
        <v>4425</v>
      </c>
      <c r="BR333" s="232" t="s">
        <v>4435</v>
      </c>
    </row>
    <row r="334" spans="1:72" s="240" customFormat="1" ht="27" customHeight="1">
      <c r="A334" s="197">
        <v>330</v>
      </c>
      <c r="B334" s="197" t="s">
        <v>4396</v>
      </c>
      <c r="C334" s="207" t="s">
        <v>4413</v>
      </c>
      <c r="D334" s="207">
        <v>1</v>
      </c>
      <c r="E334" s="207" t="s">
        <v>4398</v>
      </c>
      <c r="F334" s="214" t="s">
        <v>5848</v>
      </c>
      <c r="G334" s="207" t="s">
        <v>4400</v>
      </c>
      <c r="H334" s="207" t="s">
        <v>4401</v>
      </c>
      <c r="I334" s="207" t="s">
        <v>4402</v>
      </c>
      <c r="J334" s="215" t="s">
        <v>5853</v>
      </c>
      <c r="K334" s="215" t="s">
        <v>5854</v>
      </c>
      <c r="L334" s="215" t="s">
        <v>5855</v>
      </c>
      <c r="M334" s="207" t="s">
        <v>4405</v>
      </c>
      <c r="N334" s="207" t="s">
        <v>4406</v>
      </c>
      <c r="O334" s="202">
        <v>46084</v>
      </c>
      <c r="P334" s="202" t="s">
        <v>4407</v>
      </c>
      <c r="Q334" s="202">
        <v>46083</v>
      </c>
      <c r="R334" s="203">
        <v>46084</v>
      </c>
      <c r="S334" s="203">
        <v>46087</v>
      </c>
      <c r="T334" s="203">
        <v>46090</v>
      </c>
      <c r="U334" s="202" t="s">
        <v>4408</v>
      </c>
      <c r="V334" s="202" t="s">
        <v>4408</v>
      </c>
      <c r="W334" s="202">
        <v>46101</v>
      </c>
      <c r="X334" s="202">
        <v>46101</v>
      </c>
      <c r="Y334" s="202"/>
      <c r="Z334" s="202"/>
      <c r="AA334" s="215" t="s">
        <v>5853</v>
      </c>
      <c r="AB334" s="215" t="s">
        <v>5854</v>
      </c>
      <c r="AC334" s="215" t="s">
        <v>5855</v>
      </c>
      <c r="AD334" s="217" t="s">
        <v>4402</v>
      </c>
      <c r="AE334" s="207" t="s">
        <v>4405</v>
      </c>
      <c r="AF334" s="218" t="s">
        <v>4409</v>
      </c>
      <c r="AG334" s="218" t="s">
        <v>4409</v>
      </c>
      <c r="AH334" s="207" t="s">
        <v>4410</v>
      </c>
      <c r="AI334" s="214" t="s">
        <v>4411</v>
      </c>
      <c r="AJ334" s="207"/>
      <c r="AK334" s="316">
        <v>46080</v>
      </c>
      <c r="AL334" s="316">
        <v>46080</v>
      </c>
      <c r="AM334" s="316">
        <v>46080</v>
      </c>
      <c r="AN334" s="316">
        <v>46080</v>
      </c>
      <c r="AO334" s="316">
        <v>46080</v>
      </c>
      <c r="AP334" s="316">
        <v>46080</v>
      </c>
      <c r="AQ334" s="314"/>
      <c r="AR334" s="315" t="str">
        <f t="shared" si="24"/>
        <v>FINALIZADO</v>
      </c>
      <c r="AS334" s="207"/>
      <c r="AT334" s="219"/>
      <c r="AU334" s="220"/>
      <c r="AV334" s="219"/>
      <c r="AW334" s="219"/>
      <c r="AX334" s="219"/>
      <c r="AY334" s="219"/>
      <c r="AZ334" s="219"/>
      <c r="BA334" s="219"/>
      <c r="BB334" s="219"/>
      <c r="BC334" s="219"/>
      <c r="BD334" s="208"/>
      <c r="BE334" s="203"/>
      <c r="BF334" s="219"/>
      <c r="BG334" s="219"/>
      <c r="BH334" s="321" t="str">
        <f t="shared" si="25"/>
        <v/>
      </c>
      <c r="BI334" s="98" t="str">
        <f t="shared" si="26"/>
        <v>AA</v>
      </c>
      <c r="BJ334" s="98" t="str">
        <f t="shared" si="27"/>
        <v>NÃO</v>
      </c>
      <c r="BK334" s="219"/>
      <c r="BL334" s="221"/>
      <c r="BM334" s="221"/>
      <c r="BN334" s="219"/>
      <c r="BO334" s="219"/>
      <c r="BP334" s="219"/>
      <c r="BQ334" s="219"/>
      <c r="BR334" s="222"/>
    </row>
    <row r="335" spans="1:72" s="240" customFormat="1" ht="27" hidden="1" customHeight="1">
      <c r="A335" s="197">
        <v>331</v>
      </c>
      <c r="B335" s="197" t="s">
        <v>4396</v>
      </c>
      <c r="C335" s="207" t="s">
        <v>4427</v>
      </c>
      <c r="D335" s="207">
        <v>1</v>
      </c>
      <c r="E335" s="207" t="s">
        <v>4398</v>
      </c>
      <c r="F335" s="214" t="s">
        <v>5856</v>
      </c>
      <c r="G335" s="207" t="s">
        <v>4400</v>
      </c>
      <c r="H335" s="207" t="s">
        <v>4401</v>
      </c>
      <c r="I335" s="217" t="s">
        <v>4402</v>
      </c>
      <c r="J335" s="215" t="s">
        <v>5857</v>
      </c>
      <c r="K335" s="215" t="s">
        <v>5858</v>
      </c>
      <c r="L335" s="215" t="s">
        <v>5859</v>
      </c>
      <c r="M335" s="207" t="s">
        <v>4405</v>
      </c>
      <c r="N335" s="207" t="s">
        <v>4442</v>
      </c>
      <c r="O335" s="202" t="s">
        <v>4409</v>
      </c>
      <c r="P335" s="202" t="s">
        <v>4409</v>
      </c>
      <c r="Q335" s="202" t="s">
        <v>4409</v>
      </c>
      <c r="R335" s="202" t="s">
        <v>4409</v>
      </c>
      <c r="S335" s="202" t="s">
        <v>4409</v>
      </c>
      <c r="T335" s="202" t="s">
        <v>4409</v>
      </c>
      <c r="U335" s="202" t="s">
        <v>4409</v>
      </c>
      <c r="V335" s="202" t="s">
        <v>4409</v>
      </c>
      <c r="W335" s="202" t="s">
        <v>4409</v>
      </c>
      <c r="X335" s="202" t="s">
        <v>4409</v>
      </c>
      <c r="Y335" s="202"/>
      <c r="Z335" s="207"/>
      <c r="AA335" s="215" t="s">
        <v>5857</v>
      </c>
      <c r="AB335" s="215" t="s">
        <v>5858</v>
      </c>
      <c r="AC335" s="215" t="s">
        <v>5859</v>
      </c>
      <c r="AD335" s="207" t="s">
        <v>4402</v>
      </c>
      <c r="AE335" s="207" t="s">
        <v>4405</v>
      </c>
      <c r="AF335" s="218">
        <v>12914.81</v>
      </c>
      <c r="AG335" s="218">
        <f>AF335+30000</f>
        <v>42914.81</v>
      </c>
      <c r="AH335" s="207" t="s">
        <v>4433</v>
      </c>
      <c r="AI335" s="214" t="s">
        <v>4411</v>
      </c>
      <c r="AJ335" s="207">
        <v>147043968</v>
      </c>
      <c r="AK335" s="316">
        <v>45986</v>
      </c>
      <c r="AL335" s="316">
        <v>45986</v>
      </c>
      <c r="AM335" s="316">
        <v>45986</v>
      </c>
      <c r="AN335" s="316">
        <v>45986</v>
      </c>
      <c r="AO335" s="316">
        <v>45986</v>
      </c>
      <c r="AP335" s="316">
        <v>45986</v>
      </c>
      <c r="AQ335" s="314"/>
      <c r="AR335" s="315" t="str">
        <f t="shared" si="24"/>
        <v>FINALIZADO</v>
      </c>
      <c r="AS335" s="207" t="s">
        <v>4423</v>
      </c>
      <c r="AT335" s="207"/>
      <c r="AU335" s="220" t="s">
        <v>5860</v>
      </c>
      <c r="AV335" s="207" t="s">
        <v>4425</v>
      </c>
      <c r="AW335" s="207" t="s">
        <v>4425</v>
      </c>
      <c r="AX335" s="250" t="s">
        <v>4425</v>
      </c>
      <c r="AY335" s="207" t="s">
        <v>4425</v>
      </c>
      <c r="AZ335" s="202">
        <v>46021</v>
      </c>
      <c r="BA335" s="219" t="s">
        <v>4425</v>
      </c>
      <c r="BB335" s="207" t="s">
        <v>4425</v>
      </c>
      <c r="BC335" s="208">
        <v>46063</v>
      </c>
      <c r="BD335" s="227">
        <v>46063</v>
      </c>
      <c r="BE335" s="227" t="s">
        <v>4435</v>
      </c>
      <c r="BF335" s="228" t="s">
        <v>4436</v>
      </c>
      <c r="BG335" s="229" t="s">
        <v>4425</v>
      </c>
      <c r="BH335" s="321">
        <f t="shared" si="25"/>
        <v>77</v>
      </c>
      <c r="BI335" s="98" t="str">
        <f t="shared" si="26"/>
        <v>INDENIZAÇÃO</v>
      </c>
      <c r="BJ335" s="98" t="str">
        <f t="shared" si="27"/>
        <v>NÃO</v>
      </c>
      <c r="BK335" s="230" t="s">
        <v>4437</v>
      </c>
      <c r="BL335" s="230" t="s">
        <v>4437</v>
      </c>
      <c r="BM335" s="230" t="s">
        <v>4437</v>
      </c>
      <c r="BN335" s="265" t="s">
        <v>5732</v>
      </c>
      <c r="BO335" s="265"/>
      <c r="BP335" s="265"/>
      <c r="BQ335" s="265"/>
      <c r="BR335" s="231"/>
    </row>
    <row r="336" spans="1:72" s="240" customFormat="1" ht="27" customHeight="1">
      <c r="A336" s="207">
        <v>332</v>
      </c>
      <c r="B336" s="197" t="s">
        <v>4396</v>
      </c>
      <c r="C336" s="207" t="s">
        <v>4413</v>
      </c>
      <c r="D336" s="207">
        <v>1</v>
      </c>
      <c r="E336" s="207" t="s">
        <v>4398</v>
      </c>
      <c r="F336" s="214" t="s">
        <v>5856</v>
      </c>
      <c r="G336" s="207" t="s">
        <v>4400</v>
      </c>
      <c r="H336" s="207" t="s">
        <v>4401</v>
      </c>
      <c r="I336" s="207" t="s">
        <v>4402</v>
      </c>
      <c r="J336" s="215" t="s">
        <v>5861</v>
      </c>
      <c r="K336" s="215" t="s">
        <v>5862</v>
      </c>
      <c r="L336" s="215" t="s">
        <v>5863</v>
      </c>
      <c r="M336" s="207" t="s">
        <v>4405</v>
      </c>
      <c r="N336" s="207" t="s">
        <v>4406</v>
      </c>
      <c r="O336" s="202">
        <v>46084</v>
      </c>
      <c r="P336" s="202" t="s">
        <v>4407</v>
      </c>
      <c r="Q336" s="202">
        <v>46083</v>
      </c>
      <c r="R336" s="203">
        <v>46084</v>
      </c>
      <c r="S336" s="203">
        <v>46087</v>
      </c>
      <c r="T336" s="203">
        <v>46090</v>
      </c>
      <c r="U336" s="202" t="s">
        <v>4408</v>
      </c>
      <c r="V336" s="202" t="s">
        <v>4408</v>
      </c>
      <c r="W336" s="202">
        <v>46101</v>
      </c>
      <c r="X336" s="202">
        <v>46101</v>
      </c>
      <c r="Y336" s="202"/>
      <c r="Z336" s="202"/>
      <c r="AA336" s="215" t="s">
        <v>5861</v>
      </c>
      <c r="AB336" s="215" t="s">
        <v>5862</v>
      </c>
      <c r="AC336" s="215" t="s">
        <v>5863</v>
      </c>
      <c r="AD336" s="217" t="s">
        <v>4402</v>
      </c>
      <c r="AE336" s="207" t="s">
        <v>4405</v>
      </c>
      <c r="AF336" s="218" t="s">
        <v>4409</v>
      </c>
      <c r="AG336" s="218" t="s">
        <v>4409</v>
      </c>
      <c r="AH336" s="207" t="s">
        <v>4410</v>
      </c>
      <c r="AI336" s="214" t="s">
        <v>4411</v>
      </c>
      <c r="AJ336" s="207"/>
      <c r="AK336" s="316">
        <v>46080</v>
      </c>
      <c r="AL336" s="316">
        <v>46080</v>
      </c>
      <c r="AM336" s="316">
        <v>46080</v>
      </c>
      <c r="AN336" s="316">
        <v>46080</v>
      </c>
      <c r="AO336" s="316">
        <v>46080</v>
      </c>
      <c r="AP336" s="316">
        <v>46080</v>
      </c>
      <c r="AQ336" s="314"/>
      <c r="AR336" s="315" t="str">
        <f t="shared" si="24"/>
        <v>FINALIZADO</v>
      </c>
      <c r="AS336" s="207"/>
      <c r="AT336" s="219"/>
      <c r="AU336" s="220"/>
      <c r="AV336" s="219"/>
      <c r="AW336" s="219"/>
      <c r="AX336" s="219"/>
      <c r="AY336" s="219"/>
      <c r="AZ336" s="219"/>
      <c r="BA336" s="219"/>
      <c r="BB336" s="219"/>
      <c r="BC336" s="219"/>
      <c r="BD336" s="208"/>
      <c r="BE336" s="203"/>
      <c r="BF336" s="219"/>
      <c r="BG336" s="219"/>
      <c r="BH336" s="321" t="str">
        <f t="shared" si="25"/>
        <v/>
      </c>
      <c r="BI336" s="98" t="str">
        <f t="shared" si="26"/>
        <v>AA</v>
      </c>
      <c r="BJ336" s="98" t="str">
        <f t="shared" si="27"/>
        <v>NÃO</v>
      </c>
      <c r="BK336" s="219"/>
      <c r="BL336" s="221"/>
      <c r="BM336" s="221"/>
      <c r="BN336" s="219"/>
      <c r="BO336" s="219"/>
      <c r="BP336" s="219"/>
      <c r="BQ336" s="219"/>
      <c r="BR336" s="222"/>
    </row>
    <row r="337" spans="1:112" s="240" customFormat="1" ht="27" hidden="1" customHeight="1">
      <c r="A337" s="207">
        <v>333</v>
      </c>
      <c r="B337" s="197" t="s">
        <v>4396</v>
      </c>
      <c r="C337" s="207" t="s">
        <v>4427</v>
      </c>
      <c r="D337" s="207">
        <v>1</v>
      </c>
      <c r="E337" s="207" t="s">
        <v>4398</v>
      </c>
      <c r="F337" s="214" t="s">
        <v>5864</v>
      </c>
      <c r="G337" s="207" t="s">
        <v>4400</v>
      </c>
      <c r="H337" s="207" t="s">
        <v>4401</v>
      </c>
      <c r="I337" s="217" t="s">
        <v>4402</v>
      </c>
      <c r="J337" s="215" t="s">
        <v>5865</v>
      </c>
      <c r="K337" s="215" t="s">
        <v>5866</v>
      </c>
      <c r="L337" s="215" t="s">
        <v>5867</v>
      </c>
      <c r="M337" s="207" t="s">
        <v>4405</v>
      </c>
      <c r="N337" s="207" t="s">
        <v>4406</v>
      </c>
      <c r="O337" s="202">
        <v>46002</v>
      </c>
      <c r="P337" s="202" t="s">
        <v>4407</v>
      </c>
      <c r="Q337" s="202">
        <v>45999</v>
      </c>
      <c r="R337" s="202">
        <v>46006</v>
      </c>
      <c r="S337" s="202">
        <v>46006</v>
      </c>
      <c r="T337" s="202">
        <v>46009</v>
      </c>
      <c r="U337" s="202" t="s">
        <v>4408</v>
      </c>
      <c r="V337" s="202" t="s">
        <v>4408</v>
      </c>
      <c r="W337" s="202">
        <v>46014</v>
      </c>
      <c r="X337" s="202">
        <v>46017</v>
      </c>
      <c r="Y337" s="202"/>
      <c r="Z337" s="207"/>
      <c r="AA337" s="215" t="s">
        <v>5865</v>
      </c>
      <c r="AB337" s="215" t="s">
        <v>5866</v>
      </c>
      <c r="AC337" s="215" t="s">
        <v>5867</v>
      </c>
      <c r="AD337" s="217" t="s">
        <v>4402</v>
      </c>
      <c r="AE337" s="207" t="s">
        <v>4405</v>
      </c>
      <c r="AF337" s="218" t="s">
        <v>4409</v>
      </c>
      <c r="AG337" s="218" t="s">
        <v>4409</v>
      </c>
      <c r="AH337" s="207" t="s">
        <v>4410</v>
      </c>
      <c r="AI337" s="214" t="s">
        <v>4411</v>
      </c>
      <c r="AJ337" s="207"/>
      <c r="AK337" s="316">
        <v>45986</v>
      </c>
      <c r="AL337" s="316">
        <v>45986</v>
      </c>
      <c r="AM337" s="316">
        <v>45986</v>
      </c>
      <c r="AN337" s="316">
        <v>45986</v>
      </c>
      <c r="AO337" s="316">
        <v>45986</v>
      </c>
      <c r="AP337" s="316">
        <v>45986</v>
      </c>
      <c r="AQ337" s="314"/>
      <c r="AR337" s="315" t="str">
        <f t="shared" si="24"/>
        <v>FINALIZADO</v>
      </c>
      <c r="AS337" s="207"/>
      <c r="AT337" s="207"/>
      <c r="AU337" s="220"/>
      <c r="AV337" s="207"/>
      <c r="AW337" s="207"/>
      <c r="AX337" s="207"/>
      <c r="AY337" s="207"/>
      <c r="AZ337" s="202"/>
      <c r="BA337" s="219"/>
      <c r="BB337" s="207"/>
      <c r="BC337" s="202"/>
      <c r="BD337" s="208"/>
      <c r="BE337" s="202"/>
      <c r="BF337" s="207"/>
      <c r="BG337" s="229"/>
      <c r="BH337" s="321" t="str">
        <f t="shared" si="25"/>
        <v/>
      </c>
      <c r="BI337" s="98" t="str">
        <f t="shared" si="26"/>
        <v>AA</v>
      </c>
      <c r="BJ337" s="98" t="str">
        <f t="shared" si="27"/>
        <v>NÃO</v>
      </c>
      <c r="BK337" s="230"/>
      <c r="BL337" s="230"/>
      <c r="BM337" s="230"/>
      <c r="BN337" s="230"/>
      <c r="BO337" s="230"/>
      <c r="BP337" s="230"/>
      <c r="BQ337" s="230"/>
      <c r="BR337" s="234"/>
    </row>
    <row r="338" spans="1:112" s="240" customFormat="1" ht="27" customHeight="1">
      <c r="A338" s="207">
        <v>334</v>
      </c>
      <c r="B338" s="197" t="s">
        <v>4396</v>
      </c>
      <c r="C338" s="207" t="s">
        <v>4413</v>
      </c>
      <c r="D338" s="207">
        <v>1</v>
      </c>
      <c r="E338" s="207" t="s">
        <v>4398</v>
      </c>
      <c r="F338" s="214" t="s">
        <v>5864</v>
      </c>
      <c r="G338" s="207" t="s">
        <v>4400</v>
      </c>
      <c r="H338" s="207" t="s">
        <v>4401</v>
      </c>
      <c r="I338" s="207" t="s">
        <v>4402</v>
      </c>
      <c r="J338" s="215" t="s">
        <v>5868</v>
      </c>
      <c r="K338" s="215" t="s">
        <v>5869</v>
      </c>
      <c r="L338" s="215" t="s">
        <v>5870</v>
      </c>
      <c r="M338" s="207" t="s">
        <v>4405</v>
      </c>
      <c r="N338" s="207" t="s">
        <v>4406</v>
      </c>
      <c r="O338" s="202">
        <v>46084</v>
      </c>
      <c r="P338" s="202" t="s">
        <v>4407</v>
      </c>
      <c r="Q338" s="202">
        <v>46083</v>
      </c>
      <c r="R338" s="203">
        <v>46084</v>
      </c>
      <c r="S338" s="203">
        <v>46087</v>
      </c>
      <c r="T338" s="203">
        <v>46090</v>
      </c>
      <c r="U338" s="202" t="s">
        <v>4408</v>
      </c>
      <c r="V338" s="202" t="s">
        <v>4408</v>
      </c>
      <c r="W338" s="202">
        <v>46101</v>
      </c>
      <c r="X338" s="202" t="s">
        <v>4440</v>
      </c>
      <c r="Y338" s="202"/>
      <c r="Z338" s="217" t="s">
        <v>5871</v>
      </c>
      <c r="AA338" s="215" t="s">
        <v>5868</v>
      </c>
      <c r="AB338" s="215" t="s">
        <v>5869</v>
      </c>
      <c r="AC338" s="215" t="s">
        <v>5870</v>
      </c>
      <c r="AD338" s="217" t="s">
        <v>4402</v>
      </c>
      <c r="AE338" s="207" t="s">
        <v>4405</v>
      </c>
      <c r="AF338" s="218" t="s">
        <v>4409</v>
      </c>
      <c r="AG338" s="218" t="s">
        <v>4409</v>
      </c>
      <c r="AH338" s="207" t="s">
        <v>4410</v>
      </c>
      <c r="AI338" s="214" t="s">
        <v>4411</v>
      </c>
      <c r="AJ338" s="207"/>
      <c r="AK338" s="316">
        <v>46080</v>
      </c>
      <c r="AL338" s="316">
        <v>46080</v>
      </c>
      <c r="AM338" s="316">
        <v>46080</v>
      </c>
      <c r="AN338" s="316">
        <v>46080</v>
      </c>
      <c r="AO338" s="316">
        <v>46080</v>
      </c>
      <c r="AP338" s="316">
        <v>46080</v>
      </c>
      <c r="AQ338" s="314"/>
      <c r="AR338" s="315" t="str">
        <f t="shared" si="24"/>
        <v>FINALIZADO</v>
      </c>
      <c r="AS338" s="207"/>
      <c r="AT338" s="219"/>
      <c r="AU338" s="220"/>
      <c r="AV338" s="219"/>
      <c r="AW338" s="219"/>
      <c r="AX338" s="219"/>
      <c r="AY338" s="219"/>
      <c r="AZ338" s="219"/>
      <c r="BA338" s="219"/>
      <c r="BB338" s="219"/>
      <c r="BC338" s="219"/>
      <c r="BD338" s="208"/>
      <c r="BE338" s="203"/>
      <c r="BF338" s="219"/>
      <c r="BG338" s="219"/>
      <c r="BH338" s="321" t="str">
        <f t="shared" si="25"/>
        <v/>
      </c>
      <c r="BI338" s="98" t="str">
        <f t="shared" si="26"/>
        <v>AA</v>
      </c>
      <c r="BJ338" s="98" t="str">
        <f t="shared" si="27"/>
        <v>NÃO</v>
      </c>
      <c r="BK338" s="219"/>
      <c r="BL338" s="221"/>
      <c r="BM338" s="221"/>
      <c r="BN338" s="219"/>
      <c r="BO338" s="219"/>
      <c r="BP338" s="219"/>
      <c r="BQ338" s="219"/>
      <c r="BR338" s="222"/>
    </row>
    <row r="339" spans="1:112" s="240" customFormat="1" ht="27" hidden="1" customHeight="1">
      <c r="A339" s="197">
        <v>335</v>
      </c>
      <c r="B339" s="197" t="s">
        <v>4396</v>
      </c>
      <c r="C339" s="207" t="s">
        <v>4427</v>
      </c>
      <c r="D339" s="207">
        <v>1</v>
      </c>
      <c r="E339" s="250" t="s">
        <v>4398</v>
      </c>
      <c r="F339" s="214" t="s">
        <v>5872</v>
      </c>
      <c r="G339" s="207" t="s">
        <v>4400</v>
      </c>
      <c r="H339" s="207" t="s">
        <v>4401</v>
      </c>
      <c r="I339" s="217" t="s">
        <v>4402</v>
      </c>
      <c r="J339" s="215" t="s">
        <v>5873</v>
      </c>
      <c r="K339" s="215" t="s">
        <v>5874</v>
      </c>
      <c r="L339" s="215" t="s">
        <v>5875</v>
      </c>
      <c r="M339" s="207" t="s">
        <v>4405</v>
      </c>
      <c r="N339" s="207" t="s">
        <v>4442</v>
      </c>
      <c r="O339" s="202" t="s">
        <v>4409</v>
      </c>
      <c r="P339" s="202" t="s">
        <v>4409</v>
      </c>
      <c r="Q339" s="202" t="s">
        <v>4409</v>
      </c>
      <c r="R339" s="202" t="s">
        <v>4409</v>
      </c>
      <c r="S339" s="202" t="s">
        <v>4409</v>
      </c>
      <c r="T339" s="202" t="s">
        <v>4409</v>
      </c>
      <c r="U339" s="202" t="s">
        <v>4409</v>
      </c>
      <c r="V339" s="202" t="s">
        <v>4409</v>
      </c>
      <c r="W339" s="202" t="s">
        <v>4409</v>
      </c>
      <c r="X339" s="202" t="s">
        <v>4409</v>
      </c>
      <c r="Y339" s="202"/>
      <c r="Z339" s="207"/>
      <c r="AA339" s="215" t="s">
        <v>5873</v>
      </c>
      <c r="AB339" s="215" t="s">
        <v>5874</v>
      </c>
      <c r="AC339" s="215" t="s">
        <v>5875</v>
      </c>
      <c r="AD339" s="207" t="s">
        <v>4402</v>
      </c>
      <c r="AE339" s="207" t="s">
        <v>4405</v>
      </c>
      <c r="AF339" s="218">
        <v>1739.16</v>
      </c>
      <c r="AG339" s="218">
        <f>AF339+30000</f>
        <v>31739.16</v>
      </c>
      <c r="AH339" s="207" t="s">
        <v>4433</v>
      </c>
      <c r="AI339" s="214" t="s">
        <v>4411</v>
      </c>
      <c r="AJ339" s="207">
        <v>149655578</v>
      </c>
      <c r="AK339" s="316">
        <v>46059</v>
      </c>
      <c r="AL339" s="316">
        <v>46059</v>
      </c>
      <c r="AM339" s="316">
        <v>46059</v>
      </c>
      <c r="AN339" s="316">
        <v>46059</v>
      </c>
      <c r="AO339" s="316"/>
      <c r="AP339" s="316"/>
      <c r="AQ339" s="314"/>
      <c r="AR339" s="315" t="str">
        <f t="shared" si="24"/>
        <v>AGUARDANDO ASSINATURA GAB</v>
      </c>
      <c r="AS339" s="207" t="s">
        <v>4447</v>
      </c>
      <c r="AT339" s="207"/>
      <c r="AU339" s="220"/>
      <c r="AV339" s="207"/>
      <c r="AW339" s="207"/>
      <c r="AX339" s="207"/>
      <c r="AY339" s="207"/>
      <c r="AZ339" s="202"/>
      <c r="BA339" s="219"/>
      <c r="BB339" s="207"/>
      <c r="BC339" s="202"/>
      <c r="BD339" s="208"/>
      <c r="BE339" s="202"/>
      <c r="BF339" s="207"/>
      <c r="BG339" s="229"/>
      <c r="BH339" s="321" t="str">
        <f t="shared" si="25"/>
        <v/>
      </c>
      <c r="BI339" s="98" t="str">
        <f t="shared" si="26"/>
        <v>INDENIZAÇÃO</v>
      </c>
      <c r="BJ339" s="98" t="str">
        <f t="shared" si="27"/>
        <v>NÃO</v>
      </c>
      <c r="BK339" s="230"/>
      <c r="BL339" s="230"/>
      <c r="BM339" s="230"/>
      <c r="BN339" s="230"/>
      <c r="BO339" s="230"/>
      <c r="BP339" s="230"/>
      <c r="BQ339" s="230"/>
      <c r="BR339" s="234"/>
    </row>
    <row r="340" spans="1:112" s="240" customFormat="1" ht="27" customHeight="1">
      <c r="A340" s="197">
        <v>336</v>
      </c>
      <c r="B340" s="197" t="s">
        <v>4396</v>
      </c>
      <c r="C340" s="207" t="s">
        <v>4413</v>
      </c>
      <c r="D340" s="207">
        <v>1</v>
      </c>
      <c r="E340" s="207" t="s">
        <v>4398</v>
      </c>
      <c r="F340" s="214" t="s">
        <v>5872</v>
      </c>
      <c r="G340" s="207" t="s">
        <v>4400</v>
      </c>
      <c r="H340" s="207" t="s">
        <v>4401</v>
      </c>
      <c r="I340" s="207" t="s">
        <v>4402</v>
      </c>
      <c r="J340" s="215" t="s">
        <v>5876</v>
      </c>
      <c r="K340" s="215" t="s">
        <v>5877</v>
      </c>
      <c r="L340" s="215" t="s">
        <v>5878</v>
      </c>
      <c r="M340" s="207" t="s">
        <v>4405</v>
      </c>
      <c r="N340" s="207" t="s">
        <v>4406</v>
      </c>
      <c r="O340" s="202">
        <v>46147</v>
      </c>
      <c r="P340" s="202" t="s">
        <v>4407</v>
      </c>
      <c r="Q340" s="203">
        <v>46136</v>
      </c>
      <c r="R340" s="202">
        <v>46147</v>
      </c>
      <c r="S340" s="203">
        <v>46156</v>
      </c>
      <c r="T340" s="203">
        <v>46168</v>
      </c>
      <c r="U340" s="203" t="s">
        <v>4408</v>
      </c>
      <c r="V340" s="203" t="s">
        <v>4408</v>
      </c>
      <c r="W340" s="279">
        <v>46196</v>
      </c>
      <c r="X340" s="203">
        <v>46197</v>
      </c>
      <c r="Y340" s="203"/>
      <c r="Z340" s="219"/>
      <c r="AA340" s="215" t="s">
        <v>5876</v>
      </c>
      <c r="AB340" s="215" t="s">
        <v>5877</v>
      </c>
      <c r="AC340" s="215" t="s">
        <v>5878</v>
      </c>
      <c r="AD340" s="217" t="s">
        <v>4402</v>
      </c>
      <c r="AE340" s="207" t="s">
        <v>4405</v>
      </c>
      <c r="AF340" s="218" t="s">
        <v>4409</v>
      </c>
      <c r="AG340" s="218" t="s">
        <v>4409</v>
      </c>
      <c r="AH340" s="207" t="s">
        <v>4410</v>
      </c>
      <c r="AI340" s="214" t="s">
        <v>4411</v>
      </c>
      <c r="AJ340" s="207"/>
      <c r="AK340" s="317">
        <v>46134</v>
      </c>
      <c r="AL340" s="317">
        <v>46134</v>
      </c>
      <c r="AM340" s="317">
        <v>46134</v>
      </c>
      <c r="AN340" s="317">
        <v>46134</v>
      </c>
      <c r="AO340" s="317">
        <v>46134</v>
      </c>
      <c r="AP340" s="317">
        <v>46134</v>
      </c>
      <c r="AQ340" s="314"/>
      <c r="AR340" s="315" t="str">
        <f t="shared" si="24"/>
        <v>FINALIZADO</v>
      </c>
      <c r="AS340" s="207"/>
      <c r="AT340" s="219"/>
      <c r="AU340" s="220"/>
      <c r="AV340" s="161"/>
      <c r="AW340" s="219"/>
      <c r="AX340" s="219"/>
      <c r="AY340" s="219"/>
      <c r="AZ340" s="219"/>
      <c r="BA340" s="219"/>
      <c r="BB340" s="219"/>
      <c r="BC340" s="219"/>
      <c r="BD340" s="208"/>
      <c r="BE340" s="203"/>
      <c r="BF340" s="219"/>
      <c r="BG340" s="219"/>
      <c r="BH340" s="321" t="str">
        <f t="shared" si="25"/>
        <v/>
      </c>
      <c r="BI340" s="98" t="str">
        <f t="shared" si="26"/>
        <v>AA</v>
      </c>
      <c r="BJ340" s="98" t="str">
        <f t="shared" si="27"/>
        <v>NÃO</v>
      </c>
      <c r="BK340" s="219"/>
      <c r="BL340" s="221"/>
      <c r="BM340" s="221"/>
      <c r="BN340" s="219"/>
      <c r="BO340" s="219"/>
      <c r="BP340" s="219"/>
      <c r="BQ340" s="219"/>
      <c r="BR340" s="222"/>
    </row>
    <row r="341" spans="1:112" s="240" customFormat="1" ht="27" hidden="1" customHeight="1">
      <c r="A341" s="207">
        <v>337</v>
      </c>
      <c r="B341" s="197" t="s">
        <v>4396</v>
      </c>
      <c r="C341" s="207" t="s">
        <v>4427</v>
      </c>
      <c r="D341" s="207">
        <v>1</v>
      </c>
      <c r="E341" s="207" t="s">
        <v>4398</v>
      </c>
      <c r="F341" s="214" t="s">
        <v>5879</v>
      </c>
      <c r="G341" s="207" t="s">
        <v>4400</v>
      </c>
      <c r="H341" s="207" t="s">
        <v>4401</v>
      </c>
      <c r="I341" s="217" t="s">
        <v>4402</v>
      </c>
      <c r="J341" s="215" t="s">
        <v>5880</v>
      </c>
      <c r="K341" s="215" t="s">
        <v>5881</v>
      </c>
      <c r="L341" s="215" t="s">
        <v>5882</v>
      </c>
      <c r="M341" s="207" t="s">
        <v>4405</v>
      </c>
      <c r="N341" s="207" t="s">
        <v>4442</v>
      </c>
      <c r="O341" s="202" t="s">
        <v>4409</v>
      </c>
      <c r="P341" s="202" t="s">
        <v>4409</v>
      </c>
      <c r="Q341" s="202" t="s">
        <v>4409</v>
      </c>
      <c r="R341" s="202" t="s">
        <v>4409</v>
      </c>
      <c r="S341" s="202" t="s">
        <v>4409</v>
      </c>
      <c r="T341" s="202" t="s">
        <v>4409</v>
      </c>
      <c r="U341" s="202" t="s">
        <v>4409</v>
      </c>
      <c r="V341" s="202" t="s">
        <v>4409</v>
      </c>
      <c r="W341" s="202" t="s">
        <v>4409</v>
      </c>
      <c r="X341" s="202" t="s">
        <v>4409</v>
      </c>
      <c r="Y341" s="202"/>
      <c r="Z341" s="207"/>
      <c r="AA341" s="215" t="s">
        <v>5880</v>
      </c>
      <c r="AB341" s="215" t="s">
        <v>5881</v>
      </c>
      <c r="AC341" s="215" t="s">
        <v>5882</v>
      </c>
      <c r="AD341" s="207" t="s">
        <v>4402</v>
      </c>
      <c r="AE341" s="207" t="s">
        <v>4405</v>
      </c>
      <c r="AF341" s="218">
        <v>10390.450000000001</v>
      </c>
      <c r="AG341" s="218">
        <f>AF341+30000</f>
        <v>40390.449999999997</v>
      </c>
      <c r="AH341" s="207" t="s">
        <v>4433</v>
      </c>
      <c r="AI341" s="214" t="s">
        <v>4411</v>
      </c>
      <c r="AJ341" s="207">
        <v>147044138</v>
      </c>
      <c r="AK341" s="316">
        <v>46001</v>
      </c>
      <c r="AL341" s="316">
        <v>46001</v>
      </c>
      <c r="AM341" s="316">
        <v>46001</v>
      </c>
      <c r="AN341" s="316">
        <v>46001</v>
      </c>
      <c r="AO341" s="316">
        <v>46001</v>
      </c>
      <c r="AP341" s="316">
        <v>46001</v>
      </c>
      <c r="AQ341" s="314"/>
      <c r="AR341" s="315" t="str">
        <f t="shared" si="24"/>
        <v>FINALIZADO</v>
      </c>
      <c r="AS341" s="207" t="s">
        <v>4423</v>
      </c>
      <c r="AT341" s="207"/>
      <c r="AU341" s="220" t="s">
        <v>5883</v>
      </c>
      <c r="AV341" s="197" t="s">
        <v>4425</v>
      </c>
      <c r="AW341" s="207" t="s">
        <v>4425</v>
      </c>
      <c r="AX341" s="250" t="s">
        <v>4425</v>
      </c>
      <c r="AY341" s="197" t="s">
        <v>4425</v>
      </c>
      <c r="AZ341" s="203">
        <v>46017</v>
      </c>
      <c r="BA341" s="219" t="s">
        <v>4425</v>
      </c>
      <c r="BB341" s="207" t="s">
        <v>4425</v>
      </c>
      <c r="BC341" s="208">
        <v>46024</v>
      </c>
      <c r="BD341" s="227">
        <v>46024</v>
      </c>
      <c r="BE341" s="226" t="s">
        <v>4435</v>
      </c>
      <c r="BF341" s="228" t="s">
        <v>4436</v>
      </c>
      <c r="BG341" s="229" t="s">
        <v>4425</v>
      </c>
      <c r="BH341" s="321">
        <f t="shared" si="25"/>
        <v>23</v>
      </c>
      <c r="BI341" s="98" t="str">
        <f t="shared" si="26"/>
        <v>INDENIZAÇÃO</v>
      </c>
      <c r="BJ341" s="98" t="str">
        <f t="shared" si="27"/>
        <v>NÃO</v>
      </c>
      <c r="BK341" s="230" t="s">
        <v>4437</v>
      </c>
      <c r="BL341" s="230" t="s">
        <v>4437</v>
      </c>
      <c r="BM341" s="230" t="s">
        <v>4437</v>
      </c>
      <c r="BN341" s="207" t="s">
        <v>4425</v>
      </c>
      <c r="BO341" s="207" t="s">
        <v>4425</v>
      </c>
      <c r="BP341" s="202">
        <v>46205</v>
      </c>
      <c r="BQ341" s="207" t="s">
        <v>4425</v>
      </c>
      <c r="BR341" s="232" t="s">
        <v>4435</v>
      </c>
      <c r="BS341" s="161"/>
      <c r="BT341" s="161"/>
      <c r="BU341" s="161"/>
      <c r="BV341" s="161"/>
      <c r="BW341" s="161"/>
      <c r="BX341" s="161"/>
      <c r="BY341" s="161"/>
      <c r="BZ341" s="161"/>
      <c r="CA341" s="161"/>
      <c r="CB341" s="161"/>
      <c r="CC341" s="161"/>
      <c r="CD341" s="161"/>
      <c r="CE341" s="16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61"/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  <c r="DA341" s="161"/>
      <c r="DB341" s="161"/>
      <c r="DC341" s="161"/>
      <c r="DD341" s="161"/>
      <c r="DE341" s="161"/>
      <c r="DF341" s="161"/>
      <c r="DG341" s="161"/>
      <c r="DH341" s="161"/>
    </row>
    <row r="342" spans="1:112" s="240" customFormat="1" ht="27" customHeight="1">
      <c r="A342" s="207">
        <v>338</v>
      </c>
      <c r="B342" s="197" t="s">
        <v>4396</v>
      </c>
      <c r="C342" s="207" t="s">
        <v>4413</v>
      </c>
      <c r="D342" s="207">
        <v>1</v>
      </c>
      <c r="E342" s="207" t="s">
        <v>4398</v>
      </c>
      <c r="F342" s="214" t="s">
        <v>5879</v>
      </c>
      <c r="G342" s="207" t="s">
        <v>4400</v>
      </c>
      <c r="H342" s="207" t="s">
        <v>4428</v>
      </c>
      <c r="I342" s="163" t="s">
        <v>4421</v>
      </c>
      <c r="J342" s="215" t="s">
        <v>5884</v>
      </c>
      <c r="K342" s="215" t="s">
        <v>5885</v>
      </c>
      <c r="L342" s="215" t="s">
        <v>5886</v>
      </c>
      <c r="M342" s="207" t="s">
        <v>4405</v>
      </c>
      <c r="N342" s="207" t="s">
        <v>4442</v>
      </c>
      <c r="O342" s="202" t="s">
        <v>4409</v>
      </c>
      <c r="P342" s="202" t="s">
        <v>4409</v>
      </c>
      <c r="Q342" s="202" t="s">
        <v>4409</v>
      </c>
      <c r="R342" s="202" t="s">
        <v>4409</v>
      </c>
      <c r="S342" s="202" t="s">
        <v>4409</v>
      </c>
      <c r="T342" s="202" t="s">
        <v>4409</v>
      </c>
      <c r="U342" s="202" t="s">
        <v>4409</v>
      </c>
      <c r="V342" s="202" t="s">
        <v>4409</v>
      </c>
      <c r="W342" s="202" t="s">
        <v>4409</v>
      </c>
      <c r="X342" s="202" t="s">
        <v>4409</v>
      </c>
      <c r="Y342" s="202"/>
      <c r="Z342" s="202"/>
      <c r="AA342" s="215" t="s">
        <v>5884</v>
      </c>
      <c r="AB342" s="215" t="s">
        <v>5885</v>
      </c>
      <c r="AC342" s="215" t="s">
        <v>5886</v>
      </c>
      <c r="AD342" s="233" t="s">
        <v>4421</v>
      </c>
      <c r="AE342" s="207" t="s">
        <v>4405</v>
      </c>
      <c r="AF342" s="218">
        <v>42429.85</v>
      </c>
      <c r="AG342" s="218">
        <v>60000</v>
      </c>
      <c r="AH342" s="207" t="s">
        <v>4433</v>
      </c>
      <c r="AI342" s="214" t="s">
        <v>4411</v>
      </c>
      <c r="AJ342" s="207">
        <v>153002282</v>
      </c>
      <c r="AK342" s="316">
        <v>46142</v>
      </c>
      <c r="AL342" s="316">
        <v>46142</v>
      </c>
      <c r="AM342" s="316">
        <v>46142</v>
      </c>
      <c r="AN342" s="316">
        <v>46142</v>
      </c>
      <c r="AO342" s="316">
        <v>46142</v>
      </c>
      <c r="AP342" s="316">
        <v>46142</v>
      </c>
      <c r="AQ342" s="314"/>
      <c r="AR342" s="315" t="str">
        <f t="shared" si="24"/>
        <v>FINALIZADO</v>
      </c>
      <c r="AS342" s="207" t="s">
        <v>4423</v>
      </c>
      <c r="AT342" s="219"/>
      <c r="AU342" s="220" t="s">
        <v>5887</v>
      </c>
      <c r="AV342" s="254" t="s">
        <v>4425</v>
      </c>
      <c r="AW342" s="219" t="s">
        <v>4425</v>
      </c>
      <c r="AX342" s="257" t="s">
        <v>4828</v>
      </c>
      <c r="AY342" s="257"/>
      <c r="AZ342" s="257"/>
      <c r="BA342" s="257"/>
      <c r="BB342" s="257"/>
      <c r="BC342" s="257"/>
      <c r="BD342" s="226"/>
      <c r="BE342" s="226"/>
      <c r="BF342" s="228" t="s">
        <v>4400</v>
      </c>
      <c r="BG342" s="219"/>
      <c r="BH342" s="321" t="str">
        <f t="shared" si="25"/>
        <v/>
      </c>
      <c r="BI342" s="98" t="str">
        <f t="shared" si="26"/>
        <v>INDENIZAÇÃO</v>
      </c>
      <c r="BJ342" s="98" t="str">
        <f t="shared" si="27"/>
        <v>NÃO</v>
      </c>
      <c r="BK342" s="219"/>
      <c r="BL342" s="221"/>
      <c r="BM342" s="221"/>
      <c r="BN342" s="219"/>
      <c r="BO342" s="219"/>
      <c r="BP342" s="219"/>
      <c r="BQ342" s="219"/>
      <c r="BR342" s="222"/>
    </row>
    <row r="343" spans="1:112" s="240" customFormat="1" ht="27" hidden="1" customHeight="1">
      <c r="A343" s="207">
        <v>339</v>
      </c>
      <c r="B343" s="197" t="s">
        <v>4396</v>
      </c>
      <c r="C343" s="207" t="s">
        <v>4427</v>
      </c>
      <c r="D343" s="207">
        <v>1</v>
      </c>
      <c r="E343" s="207" t="s">
        <v>4398</v>
      </c>
      <c r="F343" s="214" t="s">
        <v>5888</v>
      </c>
      <c r="G343" s="207" t="s">
        <v>4400</v>
      </c>
      <c r="H343" s="207" t="s">
        <v>4401</v>
      </c>
      <c r="I343" s="217" t="s">
        <v>4402</v>
      </c>
      <c r="J343" s="215" t="s">
        <v>5889</v>
      </c>
      <c r="K343" s="215" t="s">
        <v>5890</v>
      </c>
      <c r="L343" s="215" t="s">
        <v>5891</v>
      </c>
      <c r="M343" s="207" t="s">
        <v>4405</v>
      </c>
      <c r="N343" s="207" t="s">
        <v>4442</v>
      </c>
      <c r="O343" s="202" t="s">
        <v>4409</v>
      </c>
      <c r="P343" s="202" t="s">
        <v>4409</v>
      </c>
      <c r="Q343" s="202" t="s">
        <v>4409</v>
      </c>
      <c r="R343" s="202" t="s">
        <v>4409</v>
      </c>
      <c r="S343" s="202" t="s">
        <v>4409</v>
      </c>
      <c r="T343" s="202" t="s">
        <v>4409</v>
      </c>
      <c r="U343" s="202" t="s">
        <v>4409</v>
      </c>
      <c r="V343" s="202" t="s">
        <v>4409</v>
      </c>
      <c r="W343" s="202" t="s">
        <v>4409</v>
      </c>
      <c r="X343" s="202" t="s">
        <v>4409</v>
      </c>
      <c r="Y343" s="202"/>
      <c r="Z343" s="207"/>
      <c r="AA343" s="215" t="s">
        <v>5889</v>
      </c>
      <c r="AB343" s="215" t="s">
        <v>5890</v>
      </c>
      <c r="AC343" s="215" t="s">
        <v>5891</v>
      </c>
      <c r="AD343" s="207" t="s">
        <v>4402</v>
      </c>
      <c r="AE343" s="207" t="s">
        <v>4405</v>
      </c>
      <c r="AF343" s="218">
        <v>15670.69</v>
      </c>
      <c r="AG343" s="218">
        <f>AF343+30000</f>
        <v>45670.69</v>
      </c>
      <c r="AH343" s="207" t="s">
        <v>4433</v>
      </c>
      <c r="AI343" s="214" t="s">
        <v>4411</v>
      </c>
      <c r="AJ343" s="207">
        <v>147044299</v>
      </c>
      <c r="AK343" s="316">
        <v>46001</v>
      </c>
      <c r="AL343" s="316">
        <v>46001</v>
      </c>
      <c r="AM343" s="316">
        <v>46001</v>
      </c>
      <c r="AN343" s="316">
        <v>46001</v>
      </c>
      <c r="AO343" s="316">
        <v>46001</v>
      </c>
      <c r="AP343" s="316">
        <v>46001</v>
      </c>
      <c r="AQ343" s="314"/>
      <c r="AR343" s="315" t="str">
        <f t="shared" si="24"/>
        <v>FINALIZADO</v>
      </c>
      <c r="AS343" s="207" t="s">
        <v>4423</v>
      </c>
      <c r="AT343" s="207"/>
      <c r="AU343" s="220" t="s">
        <v>5892</v>
      </c>
      <c r="AV343" s="207" t="s">
        <v>4425</v>
      </c>
      <c r="AW343" s="207" t="s">
        <v>4425</v>
      </c>
      <c r="AX343" s="250" t="s">
        <v>4425</v>
      </c>
      <c r="AY343" s="207" t="s">
        <v>4425</v>
      </c>
      <c r="AZ343" s="202">
        <v>46056</v>
      </c>
      <c r="BA343" s="219" t="s">
        <v>4425</v>
      </c>
      <c r="BB343" s="207" t="s">
        <v>4425</v>
      </c>
      <c r="BC343" s="239">
        <v>46066</v>
      </c>
      <c r="BD343" s="226">
        <v>46066</v>
      </c>
      <c r="BE343" s="227" t="s">
        <v>4435</v>
      </c>
      <c r="BF343" s="228" t="s">
        <v>4436</v>
      </c>
      <c r="BG343" s="229" t="s">
        <v>4425</v>
      </c>
      <c r="BH343" s="321">
        <f t="shared" si="25"/>
        <v>65</v>
      </c>
      <c r="BI343" s="98" t="str">
        <f t="shared" si="26"/>
        <v>INDENIZAÇÃO</v>
      </c>
      <c r="BJ343" s="98" t="str">
        <f t="shared" si="27"/>
        <v>NÃO</v>
      </c>
      <c r="BK343" s="230" t="s">
        <v>4437</v>
      </c>
      <c r="BL343" s="230" t="s">
        <v>4437</v>
      </c>
      <c r="BM343" s="230" t="s">
        <v>4437</v>
      </c>
      <c r="BN343" s="265" t="s">
        <v>5732</v>
      </c>
      <c r="BO343" s="265"/>
      <c r="BP343" s="265"/>
      <c r="BQ343" s="265"/>
      <c r="BR343" s="231"/>
    </row>
    <row r="344" spans="1:112" s="240" customFormat="1" ht="27" customHeight="1">
      <c r="A344" s="197">
        <v>340</v>
      </c>
      <c r="B344" s="197" t="s">
        <v>4396</v>
      </c>
      <c r="C344" s="207" t="s">
        <v>4413</v>
      </c>
      <c r="D344" s="207">
        <v>1</v>
      </c>
      <c r="E344" s="207" t="s">
        <v>4398</v>
      </c>
      <c r="F344" s="214" t="s">
        <v>5888</v>
      </c>
      <c r="G344" s="207" t="s">
        <v>4400</v>
      </c>
      <c r="H344" s="207" t="s">
        <v>4401</v>
      </c>
      <c r="I344" s="207" t="s">
        <v>4402</v>
      </c>
      <c r="J344" s="215" t="s">
        <v>5893</v>
      </c>
      <c r="K344" s="215" t="s">
        <v>4398</v>
      </c>
      <c r="L344" s="215" t="s">
        <v>5894</v>
      </c>
      <c r="M344" s="207" t="s">
        <v>4405</v>
      </c>
      <c r="N344" s="207" t="s">
        <v>4406</v>
      </c>
      <c r="O344" s="202">
        <v>46084</v>
      </c>
      <c r="P344" s="202" t="s">
        <v>4407</v>
      </c>
      <c r="Q344" s="202">
        <v>46083</v>
      </c>
      <c r="R344" s="203">
        <v>46084</v>
      </c>
      <c r="S344" s="203">
        <v>46087</v>
      </c>
      <c r="T344" s="203">
        <v>46090</v>
      </c>
      <c r="U344" s="202" t="s">
        <v>4408</v>
      </c>
      <c r="V344" s="202" t="s">
        <v>4408</v>
      </c>
      <c r="W344" s="202">
        <v>46101</v>
      </c>
      <c r="X344" s="202">
        <v>46101</v>
      </c>
      <c r="Y344" s="202"/>
      <c r="Z344" s="202"/>
      <c r="AA344" s="215" t="s">
        <v>5893</v>
      </c>
      <c r="AB344" s="215" t="s">
        <v>4398</v>
      </c>
      <c r="AC344" s="215" t="s">
        <v>5894</v>
      </c>
      <c r="AD344" s="217" t="s">
        <v>4402</v>
      </c>
      <c r="AE344" s="207" t="s">
        <v>4405</v>
      </c>
      <c r="AF344" s="218" t="s">
        <v>4409</v>
      </c>
      <c r="AG344" s="218" t="s">
        <v>4409</v>
      </c>
      <c r="AH344" s="207" t="s">
        <v>4410</v>
      </c>
      <c r="AI344" s="214" t="s">
        <v>4411</v>
      </c>
      <c r="AJ344" s="207"/>
      <c r="AK344" s="316">
        <v>46080</v>
      </c>
      <c r="AL344" s="316">
        <v>46080</v>
      </c>
      <c r="AM344" s="316">
        <v>46080</v>
      </c>
      <c r="AN344" s="316">
        <v>46080</v>
      </c>
      <c r="AO344" s="316">
        <v>46080</v>
      </c>
      <c r="AP344" s="316">
        <v>46080</v>
      </c>
      <c r="AQ344" s="314"/>
      <c r="AR344" s="315" t="str">
        <f t="shared" si="24"/>
        <v>FINALIZADO</v>
      </c>
      <c r="AS344" s="207"/>
      <c r="AT344" s="219"/>
      <c r="AU344" s="220"/>
      <c r="AV344" s="219"/>
      <c r="AW344" s="219"/>
      <c r="AX344" s="219"/>
      <c r="AY344" s="219"/>
      <c r="AZ344" s="219"/>
      <c r="BA344" s="219"/>
      <c r="BB344" s="219"/>
      <c r="BC344" s="219"/>
      <c r="BD344" s="208"/>
      <c r="BE344" s="203"/>
      <c r="BF344" s="219"/>
      <c r="BG344" s="219"/>
      <c r="BH344" s="321" t="str">
        <f t="shared" si="25"/>
        <v/>
      </c>
      <c r="BI344" s="98" t="str">
        <f t="shared" si="26"/>
        <v>AA</v>
      </c>
      <c r="BJ344" s="98" t="str">
        <f t="shared" si="27"/>
        <v>NÃO</v>
      </c>
      <c r="BK344" s="219"/>
      <c r="BL344" s="221"/>
      <c r="BM344" s="221"/>
      <c r="BN344" s="219"/>
      <c r="BO344" s="219"/>
      <c r="BP344" s="219"/>
      <c r="BQ344" s="219"/>
      <c r="BR344" s="222"/>
    </row>
    <row r="345" spans="1:112" s="240" customFormat="1" ht="27" hidden="1" customHeight="1">
      <c r="A345" s="197">
        <v>341</v>
      </c>
      <c r="B345" s="197" t="s">
        <v>4396</v>
      </c>
      <c r="C345" s="207" t="s">
        <v>4427</v>
      </c>
      <c r="D345" s="207">
        <v>1</v>
      </c>
      <c r="E345" s="207" t="s">
        <v>4398</v>
      </c>
      <c r="F345" s="214" t="s">
        <v>5895</v>
      </c>
      <c r="G345" s="207" t="s">
        <v>4400</v>
      </c>
      <c r="H345" s="207" t="s">
        <v>4401</v>
      </c>
      <c r="I345" s="217" t="s">
        <v>4402</v>
      </c>
      <c r="J345" s="215" t="s">
        <v>5896</v>
      </c>
      <c r="K345" s="215" t="s">
        <v>4398</v>
      </c>
      <c r="L345" s="215" t="s">
        <v>5897</v>
      </c>
      <c r="M345" s="207" t="s">
        <v>4405</v>
      </c>
      <c r="N345" s="207" t="s">
        <v>4406</v>
      </c>
      <c r="O345" s="203">
        <v>46031</v>
      </c>
      <c r="P345" s="202" t="s">
        <v>4407</v>
      </c>
      <c r="Q345" s="203">
        <v>46030</v>
      </c>
      <c r="R345" s="203">
        <v>46031</v>
      </c>
      <c r="S345" s="203">
        <v>46036</v>
      </c>
      <c r="T345" s="203">
        <v>46045</v>
      </c>
      <c r="U345" s="203" t="s">
        <v>4408</v>
      </c>
      <c r="V345" s="203" t="s">
        <v>4408</v>
      </c>
      <c r="W345" s="202">
        <v>46055</v>
      </c>
      <c r="X345" s="202">
        <v>46062</v>
      </c>
      <c r="Y345" s="202"/>
      <c r="Z345" s="207"/>
      <c r="AA345" s="215" t="s">
        <v>5896</v>
      </c>
      <c r="AB345" s="215" t="s">
        <v>4398</v>
      </c>
      <c r="AC345" s="215" t="s">
        <v>5897</v>
      </c>
      <c r="AD345" s="217" t="s">
        <v>4402</v>
      </c>
      <c r="AE345" s="207" t="s">
        <v>4405</v>
      </c>
      <c r="AF345" s="218" t="s">
        <v>4409</v>
      </c>
      <c r="AG345" s="218" t="s">
        <v>4409</v>
      </c>
      <c r="AH345" s="207" t="s">
        <v>4410</v>
      </c>
      <c r="AI345" s="214" t="s">
        <v>4411</v>
      </c>
      <c r="AJ345" s="207"/>
      <c r="AK345" s="316">
        <v>45980</v>
      </c>
      <c r="AL345" s="316">
        <v>45980</v>
      </c>
      <c r="AM345" s="316">
        <v>45980</v>
      </c>
      <c r="AN345" s="316">
        <v>45980</v>
      </c>
      <c r="AO345" s="316">
        <v>45980</v>
      </c>
      <c r="AP345" s="316">
        <v>45980</v>
      </c>
      <c r="AQ345" s="314"/>
      <c r="AR345" s="315" t="str">
        <f t="shared" si="24"/>
        <v>FINALIZADO</v>
      </c>
      <c r="AS345" s="207"/>
      <c r="AT345" s="207"/>
      <c r="AU345" s="220"/>
      <c r="AV345" s="160"/>
      <c r="AW345" s="207"/>
      <c r="AX345" s="207"/>
      <c r="AY345" s="207"/>
      <c r="AZ345" s="202"/>
      <c r="BA345" s="219"/>
      <c r="BB345" s="207"/>
      <c r="BC345" s="202"/>
      <c r="BD345" s="208"/>
      <c r="BE345" s="202"/>
      <c r="BF345" s="207"/>
      <c r="BG345" s="229"/>
      <c r="BH345" s="321" t="str">
        <f t="shared" si="25"/>
        <v/>
      </c>
      <c r="BI345" s="98" t="str">
        <f t="shared" si="26"/>
        <v>AA</v>
      </c>
      <c r="BJ345" s="98" t="str">
        <f t="shared" si="27"/>
        <v>NÃO</v>
      </c>
      <c r="BK345" s="230"/>
      <c r="BL345" s="230"/>
      <c r="BM345" s="230"/>
      <c r="BN345" s="230"/>
      <c r="BO345" s="230"/>
      <c r="BP345" s="230"/>
      <c r="BQ345" s="230"/>
      <c r="BR345" s="234"/>
    </row>
    <row r="346" spans="1:112" s="240" customFormat="1" ht="27" customHeight="1">
      <c r="A346" s="207">
        <v>342</v>
      </c>
      <c r="B346" s="197" t="s">
        <v>4396</v>
      </c>
      <c r="C346" s="207" t="s">
        <v>4413</v>
      </c>
      <c r="D346" s="207">
        <v>1</v>
      </c>
      <c r="E346" s="207" t="s">
        <v>4398</v>
      </c>
      <c r="F346" s="214" t="s">
        <v>5895</v>
      </c>
      <c r="G346" s="207" t="s">
        <v>4400</v>
      </c>
      <c r="H346" s="207" t="s">
        <v>4401</v>
      </c>
      <c r="I346" s="207" t="s">
        <v>4402</v>
      </c>
      <c r="J346" s="215" t="s">
        <v>5898</v>
      </c>
      <c r="K346" s="215" t="s">
        <v>5899</v>
      </c>
      <c r="L346" s="215" t="s">
        <v>5900</v>
      </c>
      <c r="M346" s="207" t="s">
        <v>4405</v>
      </c>
      <c r="N346" s="207" t="s">
        <v>4406</v>
      </c>
      <c r="O346" s="202">
        <v>46084</v>
      </c>
      <c r="P346" s="202" t="s">
        <v>4407</v>
      </c>
      <c r="Q346" s="202">
        <v>46083</v>
      </c>
      <c r="R346" s="203">
        <v>46084</v>
      </c>
      <c r="S346" s="203">
        <v>46087</v>
      </c>
      <c r="T346" s="203">
        <v>46090</v>
      </c>
      <c r="U346" s="202" t="s">
        <v>4408</v>
      </c>
      <c r="V346" s="202" t="s">
        <v>4408</v>
      </c>
      <c r="W346" s="202">
        <v>46101</v>
      </c>
      <c r="X346" s="202">
        <v>46108</v>
      </c>
      <c r="Y346" s="202"/>
      <c r="Z346" s="202"/>
      <c r="AA346" s="215" t="s">
        <v>5898</v>
      </c>
      <c r="AB346" s="215" t="s">
        <v>5899</v>
      </c>
      <c r="AC346" s="215" t="s">
        <v>5900</v>
      </c>
      <c r="AD346" s="217" t="s">
        <v>4402</v>
      </c>
      <c r="AE346" s="207" t="s">
        <v>4405</v>
      </c>
      <c r="AF346" s="218" t="s">
        <v>4409</v>
      </c>
      <c r="AG346" s="218" t="s">
        <v>4409</v>
      </c>
      <c r="AH346" s="207" t="s">
        <v>4410</v>
      </c>
      <c r="AI346" s="214" t="s">
        <v>4411</v>
      </c>
      <c r="AJ346" s="207"/>
      <c r="AK346" s="316">
        <v>46080</v>
      </c>
      <c r="AL346" s="316">
        <v>46080</v>
      </c>
      <c r="AM346" s="316">
        <v>46080</v>
      </c>
      <c r="AN346" s="316">
        <v>46080</v>
      </c>
      <c r="AO346" s="316">
        <v>46080</v>
      </c>
      <c r="AP346" s="316">
        <v>46080</v>
      </c>
      <c r="AQ346" s="314"/>
      <c r="AR346" s="315" t="str">
        <f t="shared" si="24"/>
        <v>FINALIZADO</v>
      </c>
      <c r="AS346" s="207"/>
      <c r="AT346" s="219"/>
      <c r="AU346" s="220"/>
      <c r="AV346" s="219"/>
      <c r="AW346" s="219"/>
      <c r="AX346" s="219"/>
      <c r="AY346" s="219"/>
      <c r="AZ346" s="219"/>
      <c r="BA346" s="219"/>
      <c r="BB346" s="219"/>
      <c r="BC346" s="219"/>
      <c r="BD346" s="208"/>
      <c r="BE346" s="203"/>
      <c r="BF346" s="219"/>
      <c r="BG346" s="219"/>
      <c r="BH346" s="321" t="str">
        <f t="shared" si="25"/>
        <v/>
      </c>
      <c r="BI346" s="98" t="str">
        <f t="shared" si="26"/>
        <v>AA</v>
      </c>
      <c r="BJ346" s="98" t="str">
        <f t="shared" si="27"/>
        <v>NÃO</v>
      </c>
      <c r="BK346" s="219"/>
      <c r="BL346" s="221"/>
      <c r="BM346" s="221"/>
      <c r="BN346" s="219"/>
      <c r="BO346" s="219"/>
      <c r="BP346" s="219"/>
      <c r="BQ346" s="219"/>
      <c r="BR346" s="222"/>
    </row>
    <row r="347" spans="1:112" s="240" customFormat="1" ht="27" hidden="1" customHeight="1">
      <c r="A347" s="207">
        <v>343</v>
      </c>
      <c r="B347" s="197" t="s">
        <v>4396</v>
      </c>
      <c r="C347" s="207" t="s">
        <v>4427</v>
      </c>
      <c r="D347" s="207">
        <v>1</v>
      </c>
      <c r="E347" s="207" t="s">
        <v>4398</v>
      </c>
      <c r="F347" s="214" t="s">
        <v>5901</v>
      </c>
      <c r="G347" s="207" t="s">
        <v>4400</v>
      </c>
      <c r="H347" s="207" t="s">
        <v>4401</v>
      </c>
      <c r="I347" s="217" t="s">
        <v>4402</v>
      </c>
      <c r="J347" s="215" t="s">
        <v>5902</v>
      </c>
      <c r="K347" s="215" t="s">
        <v>5903</v>
      </c>
      <c r="L347" s="215" t="s">
        <v>5904</v>
      </c>
      <c r="M347" s="207" t="s">
        <v>4405</v>
      </c>
      <c r="N347" s="207" t="s">
        <v>4406</v>
      </c>
      <c r="O347" s="202">
        <v>46002</v>
      </c>
      <c r="P347" s="202" t="s">
        <v>4407</v>
      </c>
      <c r="Q347" s="202">
        <v>45999</v>
      </c>
      <c r="R347" s="202">
        <v>46006</v>
      </c>
      <c r="S347" s="202">
        <v>46006</v>
      </c>
      <c r="T347" s="202">
        <v>46009</v>
      </c>
      <c r="U347" s="202" t="s">
        <v>4408</v>
      </c>
      <c r="V347" s="202" t="s">
        <v>4408</v>
      </c>
      <c r="W347" s="202">
        <v>46014</v>
      </c>
      <c r="X347" s="202">
        <v>46027</v>
      </c>
      <c r="Y347" s="202"/>
      <c r="Z347" s="207"/>
      <c r="AA347" s="215" t="s">
        <v>5902</v>
      </c>
      <c r="AB347" s="215" t="s">
        <v>5903</v>
      </c>
      <c r="AC347" s="215" t="s">
        <v>5904</v>
      </c>
      <c r="AD347" s="217" t="s">
        <v>4402</v>
      </c>
      <c r="AE347" s="207" t="s">
        <v>4405</v>
      </c>
      <c r="AF347" s="218" t="s">
        <v>4409</v>
      </c>
      <c r="AG347" s="218" t="s">
        <v>4409</v>
      </c>
      <c r="AH347" s="207" t="s">
        <v>4410</v>
      </c>
      <c r="AI347" s="214" t="s">
        <v>4411</v>
      </c>
      <c r="AJ347" s="207"/>
      <c r="AK347" s="316">
        <v>45986</v>
      </c>
      <c r="AL347" s="316">
        <v>45986</v>
      </c>
      <c r="AM347" s="316">
        <v>45986</v>
      </c>
      <c r="AN347" s="316">
        <v>45986</v>
      </c>
      <c r="AO347" s="316">
        <v>45986</v>
      </c>
      <c r="AP347" s="316">
        <v>45986</v>
      </c>
      <c r="AQ347" s="314"/>
      <c r="AR347" s="315" t="str">
        <f t="shared" si="24"/>
        <v>FINALIZADO</v>
      </c>
      <c r="AS347" s="207"/>
      <c r="AT347" s="207"/>
      <c r="AU347" s="220"/>
      <c r="AV347" s="160"/>
      <c r="AW347" s="207"/>
      <c r="AX347" s="207"/>
      <c r="AY347" s="207"/>
      <c r="AZ347" s="202"/>
      <c r="BA347" s="219"/>
      <c r="BB347" s="207"/>
      <c r="BC347" s="202"/>
      <c r="BD347" s="208"/>
      <c r="BE347" s="202"/>
      <c r="BF347" s="207"/>
      <c r="BG347" s="229"/>
      <c r="BH347" s="321" t="str">
        <f t="shared" si="25"/>
        <v/>
      </c>
      <c r="BI347" s="98" t="str">
        <f t="shared" si="26"/>
        <v>AA</v>
      </c>
      <c r="BJ347" s="98" t="str">
        <f t="shared" si="27"/>
        <v>NÃO</v>
      </c>
      <c r="BK347" s="230"/>
      <c r="BL347" s="230"/>
      <c r="BM347" s="230"/>
      <c r="BN347" s="230"/>
      <c r="BO347" s="230"/>
      <c r="BP347" s="230"/>
      <c r="BQ347" s="230"/>
      <c r="BR347" s="234"/>
    </row>
    <row r="348" spans="1:112" s="240" customFormat="1" ht="27" hidden="1" customHeight="1">
      <c r="A348" s="207">
        <v>344</v>
      </c>
      <c r="B348" s="197" t="s">
        <v>4396</v>
      </c>
      <c r="C348" s="207" t="s">
        <v>4427</v>
      </c>
      <c r="D348" s="207">
        <v>1</v>
      </c>
      <c r="E348" s="207" t="s">
        <v>4398</v>
      </c>
      <c r="F348" s="214" t="s">
        <v>5905</v>
      </c>
      <c r="G348" s="207" t="s">
        <v>4400</v>
      </c>
      <c r="H348" s="207" t="s">
        <v>4401</v>
      </c>
      <c r="I348" s="217" t="s">
        <v>4402</v>
      </c>
      <c r="J348" s="215" t="s">
        <v>5906</v>
      </c>
      <c r="K348" s="215" t="s">
        <v>4398</v>
      </c>
      <c r="L348" s="215" t="s">
        <v>5907</v>
      </c>
      <c r="M348" s="207" t="s">
        <v>4405</v>
      </c>
      <c r="N348" s="207" t="s">
        <v>4442</v>
      </c>
      <c r="O348" s="202" t="s">
        <v>4409</v>
      </c>
      <c r="P348" s="202" t="s">
        <v>4409</v>
      </c>
      <c r="Q348" s="202" t="s">
        <v>4409</v>
      </c>
      <c r="R348" s="202" t="s">
        <v>4409</v>
      </c>
      <c r="S348" s="202" t="s">
        <v>4409</v>
      </c>
      <c r="T348" s="202" t="s">
        <v>4409</v>
      </c>
      <c r="U348" s="202" t="s">
        <v>4409</v>
      </c>
      <c r="V348" s="202" t="s">
        <v>4409</v>
      </c>
      <c r="W348" s="202" t="s">
        <v>4409</v>
      </c>
      <c r="X348" s="202" t="s">
        <v>4409</v>
      </c>
      <c r="Y348" s="202"/>
      <c r="Z348" s="207"/>
      <c r="AA348" s="215" t="s">
        <v>5906</v>
      </c>
      <c r="AB348" s="215" t="s">
        <v>4398</v>
      </c>
      <c r="AC348" s="215" t="s">
        <v>5907</v>
      </c>
      <c r="AD348" s="207" t="s">
        <v>4402</v>
      </c>
      <c r="AE348" s="207" t="s">
        <v>4405</v>
      </c>
      <c r="AF348" s="218"/>
      <c r="AG348" s="218"/>
      <c r="AH348" s="207"/>
      <c r="AI348" s="214" t="s">
        <v>4411</v>
      </c>
      <c r="AJ348" s="207"/>
      <c r="AK348" s="316">
        <v>46041</v>
      </c>
      <c r="AL348" s="316">
        <v>46041</v>
      </c>
      <c r="AM348" s="316">
        <v>46041</v>
      </c>
      <c r="AN348" s="316">
        <v>46041</v>
      </c>
      <c r="AO348" s="316">
        <v>46041</v>
      </c>
      <c r="AP348" s="316">
        <v>46041</v>
      </c>
      <c r="AQ348" s="314"/>
      <c r="AR348" s="315" t="str">
        <f t="shared" si="24"/>
        <v>FINALIZADO</v>
      </c>
      <c r="AS348" s="207"/>
      <c r="AT348" s="207"/>
      <c r="AU348" s="220"/>
      <c r="AV348" s="197"/>
      <c r="AW348" s="207"/>
      <c r="AX348" s="207"/>
      <c r="AY348" s="207"/>
      <c r="AZ348" s="202"/>
      <c r="BA348" s="219"/>
      <c r="BB348" s="207"/>
      <c r="BC348" s="202"/>
      <c r="BD348" s="208"/>
      <c r="BE348" s="202"/>
      <c r="BF348" s="207"/>
      <c r="BG348" s="229"/>
      <c r="BH348" s="321" t="str">
        <f t="shared" si="25"/>
        <v/>
      </c>
      <c r="BI348" s="98" t="str">
        <f t="shared" si="26"/>
        <v>INDENIZAÇÃO</v>
      </c>
      <c r="BJ348" s="98" t="str">
        <f t="shared" si="27"/>
        <v>NÃO</v>
      </c>
      <c r="BK348" s="230"/>
      <c r="BL348" s="230"/>
      <c r="BM348" s="230"/>
      <c r="BN348" s="230"/>
      <c r="BO348" s="230"/>
      <c r="BP348" s="230"/>
      <c r="BQ348" s="230"/>
      <c r="BR348" s="234"/>
    </row>
    <row r="349" spans="1:112" s="240" customFormat="1" ht="27" hidden="1" customHeight="1">
      <c r="A349" s="197">
        <v>345</v>
      </c>
      <c r="B349" s="197" t="s">
        <v>4396</v>
      </c>
      <c r="C349" s="207" t="s">
        <v>4427</v>
      </c>
      <c r="D349" s="207">
        <v>1</v>
      </c>
      <c r="E349" s="207" t="s">
        <v>4398</v>
      </c>
      <c r="F349" s="214" t="s">
        <v>5908</v>
      </c>
      <c r="G349" s="207" t="s">
        <v>4400</v>
      </c>
      <c r="H349" s="207" t="s">
        <v>4401</v>
      </c>
      <c r="I349" s="217" t="s">
        <v>4402</v>
      </c>
      <c r="J349" s="215" t="s">
        <v>5909</v>
      </c>
      <c r="K349" s="215" t="s">
        <v>5910</v>
      </c>
      <c r="L349" s="215" t="s">
        <v>5911</v>
      </c>
      <c r="M349" s="207" t="s">
        <v>4405</v>
      </c>
      <c r="N349" s="207" t="s">
        <v>4406</v>
      </c>
      <c r="O349" s="202">
        <v>46002</v>
      </c>
      <c r="P349" s="202" t="s">
        <v>4407</v>
      </c>
      <c r="Q349" s="202">
        <v>45999</v>
      </c>
      <c r="R349" s="202">
        <v>46006</v>
      </c>
      <c r="S349" s="202">
        <v>46006</v>
      </c>
      <c r="T349" s="202">
        <v>46009</v>
      </c>
      <c r="U349" s="202" t="s">
        <v>4408</v>
      </c>
      <c r="V349" s="202" t="s">
        <v>4408</v>
      </c>
      <c r="W349" s="202">
        <v>46014</v>
      </c>
      <c r="X349" s="202">
        <v>46020</v>
      </c>
      <c r="Y349" s="202"/>
      <c r="Z349" s="207"/>
      <c r="AA349" s="215" t="s">
        <v>5909</v>
      </c>
      <c r="AB349" s="215" t="s">
        <v>5910</v>
      </c>
      <c r="AC349" s="215" t="s">
        <v>5911</v>
      </c>
      <c r="AD349" s="217" t="s">
        <v>4402</v>
      </c>
      <c r="AE349" s="207" t="s">
        <v>4405</v>
      </c>
      <c r="AF349" s="218" t="s">
        <v>4409</v>
      </c>
      <c r="AG349" s="218" t="s">
        <v>4409</v>
      </c>
      <c r="AH349" s="207" t="s">
        <v>4410</v>
      </c>
      <c r="AI349" s="214" t="s">
        <v>4411</v>
      </c>
      <c r="AJ349" s="207"/>
      <c r="AK349" s="316">
        <v>45996</v>
      </c>
      <c r="AL349" s="316">
        <v>45996</v>
      </c>
      <c r="AM349" s="316">
        <v>45996</v>
      </c>
      <c r="AN349" s="316">
        <v>45996</v>
      </c>
      <c r="AO349" s="316">
        <v>45996</v>
      </c>
      <c r="AP349" s="316">
        <v>45996</v>
      </c>
      <c r="AQ349" s="314"/>
      <c r="AR349" s="315" t="str">
        <f t="shared" si="24"/>
        <v>FINALIZADO</v>
      </c>
      <c r="AS349" s="207"/>
      <c r="AT349" s="207"/>
      <c r="AU349" s="220"/>
      <c r="AV349" s="207"/>
      <c r="AW349" s="207"/>
      <c r="AX349" s="207"/>
      <c r="AY349" s="207"/>
      <c r="AZ349" s="202"/>
      <c r="BA349" s="219"/>
      <c r="BB349" s="207"/>
      <c r="BC349" s="202"/>
      <c r="BD349" s="208"/>
      <c r="BE349" s="202"/>
      <c r="BF349" s="207"/>
      <c r="BG349" s="229"/>
      <c r="BH349" s="321" t="str">
        <f t="shared" si="25"/>
        <v/>
      </c>
      <c r="BI349" s="98" t="str">
        <f t="shared" si="26"/>
        <v>AA</v>
      </c>
      <c r="BJ349" s="98" t="str">
        <f t="shared" si="27"/>
        <v>NÃO</v>
      </c>
      <c r="BK349" s="230"/>
      <c r="BL349" s="230"/>
      <c r="BM349" s="230"/>
      <c r="BN349" s="230"/>
      <c r="BO349" s="230"/>
      <c r="BP349" s="230"/>
      <c r="BQ349" s="230"/>
      <c r="BR349" s="234"/>
    </row>
    <row r="350" spans="1:112" s="240" customFormat="1" ht="27" hidden="1" customHeight="1">
      <c r="A350" s="197">
        <v>346</v>
      </c>
      <c r="B350" s="197" t="s">
        <v>4396</v>
      </c>
      <c r="C350" s="207" t="s">
        <v>4427</v>
      </c>
      <c r="D350" s="207">
        <v>1</v>
      </c>
      <c r="E350" s="207" t="s">
        <v>4398</v>
      </c>
      <c r="F350" s="214" t="s">
        <v>5912</v>
      </c>
      <c r="G350" s="207" t="s">
        <v>4400</v>
      </c>
      <c r="H350" s="207" t="s">
        <v>4401</v>
      </c>
      <c r="I350" s="217" t="s">
        <v>4402</v>
      </c>
      <c r="J350" s="215" t="s">
        <v>5913</v>
      </c>
      <c r="K350" s="215" t="s">
        <v>5914</v>
      </c>
      <c r="L350" s="215" t="s">
        <v>5915</v>
      </c>
      <c r="M350" s="207" t="s">
        <v>4405</v>
      </c>
      <c r="N350" s="207" t="s">
        <v>4442</v>
      </c>
      <c r="O350" s="202" t="s">
        <v>4409</v>
      </c>
      <c r="P350" s="202" t="s">
        <v>4409</v>
      </c>
      <c r="Q350" s="202" t="s">
        <v>4409</v>
      </c>
      <c r="R350" s="202" t="s">
        <v>4409</v>
      </c>
      <c r="S350" s="202" t="s">
        <v>4409</v>
      </c>
      <c r="T350" s="202" t="s">
        <v>4409</v>
      </c>
      <c r="U350" s="202" t="s">
        <v>4409</v>
      </c>
      <c r="V350" s="202" t="s">
        <v>4409</v>
      </c>
      <c r="W350" s="202" t="s">
        <v>4409</v>
      </c>
      <c r="X350" s="202" t="s">
        <v>4409</v>
      </c>
      <c r="Y350" s="202"/>
      <c r="Z350" s="207"/>
      <c r="AA350" s="215" t="s">
        <v>5913</v>
      </c>
      <c r="AB350" s="215" t="s">
        <v>5914</v>
      </c>
      <c r="AC350" s="215" t="s">
        <v>5915</v>
      </c>
      <c r="AD350" s="207" t="s">
        <v>4402</v>
      </c>
      <c r="AE350" s="207" t="s">
        <v>4405</v>
      </c>
      <c r="AF350" s="218">
        <v>10593.05</v>
      </c>
      <c r="AG350" s="218">
        <f>AF350+30000</f>
        <v>40593.050000000003</v>
      </c>
      <c r="AH350" s="207" t="s">
        <v>4433</v>
      </c>
      <c r="AI350" s="214" t="s">
        <v>4411</v>
      </c>
      <c r="AJ350" s="207">
        <v>147044697</v>
      </c>
      <c r="AK350" s="316">
        <v>46001</v>
      </c>
      <c r="AL350" s="316">
        <v>46001</v>
      </c>
      <c r="AM350" s="316">
        <v>46001</v>
      </c>
      <c r="AN350" s="316">
        <v>46001</v>
      </c>
      <c r="AO350" s="316">
        <v>46001</v>
      </c>
      <c r="AP350" s="316">
        <v>46001</v>
      </c>
      <c r="AQ350" s="314"/>
      <c r="AR350" s="315" t="str">
        <f t="shared" si="24"/>
        <v>FINALIZADO</v>
      </c>
      <c r="AS350" s="207" t="s">
        <v>4423</v>
      </c>
      <c r="AT350" s="207"/>
      <c r="AU350" s="220" t="s">
        <v>5916</v>
      </c>
      <c r="AV350" s="160" t="s">
        <v>4425</v>
      </c>
      <c r="AW350" s="207" t="s">
        <v>4425</v>
      </c>
      <c r="AX350" s="207" t="s">
        <v>4425</v>
      </c>
      <c r="AY350" s="207" t="s">
        <v>4425</v>
      </c>
      <c r="AZ350" s="203">
        <v>46024</v>
      </c>
      <c r="BA350" s="219" t="s">
        <v>4425</v>
      </c>
      <c r="BB350" s="207" t="s">
        <v>4425</v>
      </c>
      <c r="BC350" s="208">
        <v>46038</v>
      </c>
      <c r="BD350" s="226">
        <v>46038</v>
      </c>
      <c r="BE350" s="227" t="s">
        <v>4435</v>
      </c>
      <c r="BF350" s="228" t="s">
        <v>4436</v>
      </c>
      <c r="BG350" s="229" t="s">
        <v>4425</v>
      </c>
      <c r="BH350" s="321">
        <f t="shared" si="25"/>
        <v>37</v>
      </c>
      <c r="BI350" s="98" t="str">
        <f t="shared" si="26"/>
        <v>INDENIZAÇÃO</v>
      </c>
      <c r="BJ350" s="98" t="str">
        <f t="shared" si="27"/>
        <v>NÃO</v>
      </c>
      <c r="BK350" s="230" t="s">
        <v>4437</v>
      </c>
      <c r="BL350" s="230" t="s">
        <v>4437</v>
      </c>
      <c r="BM350" s="230" t="s">
        <v>4437</v>
      </c>
      <c r="BN350" s="265" t="s">
        <v>5732</v>
      </c>
      <c r="BO350" s="265"/>
      <c r="BP350" s="265"/>
      <c r="BQ350" s="265"/>
      <c r="BR350" s="231"/>
    </row>
    <row r="351" spans="1:112" s="240" customFormat="1" ht="27" hidden="1" customHeight="1">
      <c r="A351" s="207">
        <v>347</v>
      </c>
      <c r="B351" s="197" t="s">
        <v>4396</v>
      </c>
      <c r="C351" s="207" t="s">
        <v>4427</v>
      </c>
      <c r="D351" s="207">
        <v>1</v>
      </c>
      <c r="E351" s="207" t="s">
        <v>4398</v>
      </c>
      <c r="F351" s="214" t="s">
        <v>5917</v>
      </c>
      <c r="G351" s="207" t="s">
        <v>4400</v>
      </c>
      <c r="H351" s="207" t="s">
        <v>4401</v>
      </c>
      <c r="I351" s="217" t="s">
        <v>4402</v>
      </c>
      <c r="J351" s="215" t="s">
        <v>5918</v>
      </c>
      <c r="K351" s="215" t="s">
        <v>5919</v>
      </c>
      <c r="L351" s="215" t="s">
        <v>5920</v>
      </c>
      <c r="M351" s="207" t="s">
        <v>4405</v>
      </c>
      <c r="N351" s="207" t="s">
        <v>4442</v>
      </c>
      <c r="O351" s="202" t="s">
        <v>4409</v>
      </c>
      <c r="P351" s="202" t="s">
        <v>4409</v>
      </c>
      <c r="Q351" s="202" t="s">
        <v>4409</v>
      </c>
      <c r="R351" s="202" t="s">
        <v>4409</v>
      </c>
      <c r="S351" s="202" t="s">
        <v>4409</v>
      </c>
      <c r="T351" s="202" t="s">
        <v>4409</v>
      </c>
      <c r="U351" s="202" t="s">
        <v>4409</v>
      </c>
      <c r="V351" s="202" t="s">
        <v>4409</v>
      </c>
      <c r="W351" s="202" t="s">
        <v>4409</v>
      </c>
      <c r="X351" s="202" t="s">
        <v>4409</v>
      </c>
      <c r="Y351" s="202"/>
      <c r="Z351" s="207"/>
      <c r="AA351" s="215" t="s">
        <v>5918</v>
      </c>
      <c r="AB351" s="215" t="s">
        <v>4398</v>
      </c>
      <c r="AC351" s="215" t="s">
        <v>5920</v>
      </c>
      <c r="AD351" s="207" t="s">
        <v>4402</v>
      </c>
      <c r="AE351" s="207" t="s">
        <v>4405</v>
      </c>
      <c r="AF351" s="218">
        <v>14963.19</v>
      </c>
      <c r="AG351" s="218">
        <f>AF351+30000</f>
        <v>44963.19</v>
      </c>
      <c r="AH351" s="207" t="s">
        <v>4433</v>
      </c>
      <c r="AI351" s="214" t="s">
        <v>4411</v>
      </c>
      <c r="AJ351" s="207">
        <v>147045651</v>
      </c>
      <c r="AK351" s="316">
        <v>46001</v>
      </c>
      <c r="AL351" s="316">
        <v>46001</v>
      </c>
      <c r="AM351" s="316">
        <v>46001</v>
      </c>
      <c r="AN351" s="316">
        <v>46001</v>
      </c>
      <c r="AO351" s="316">
        <v>46001</v>
      </c>
      <c r="AP351" s="316">
        <v>46001</v>
      </c>
      <c r="AQ351" s="314"/>
      <c r="AR351" s="315" t="str">
        <f t="shared" si="24"/>
        <v>FINALIZADO</v>
      </c>
      <c r="AS351" s="207" t="s">
        <v>4423</v>
      </c>
      <c r="AT351" s="207"/>
      <c r="AU351" s="220" t="s">
        <v>5921</v>
      </c>
      <c r="AV351" s="197" t="s">
        <v>4425</v>
      </c>
      <c r="AW351" s="207" t="s">
        <v>4425</v>
      </c>
      <c r="AX351" s="207" t="s">
        <v>4425</v>
      </c>
      <c r="AY351" s="207" t="s">
        <v>4425</v>
      </c>
      <c r="AZ351" s="202">
        <v>46056</v>
      </c>
      <c r="BA351" s="219" t="s">
        <v>4425</v>
      </c>
      <c r="BB351" s="207" t="s">
        <v>4425</v>
      </c>
      <c r="BC351" s="239">
        <v>46065</v>
      </c>
      <c r="BD351" s="226">
        <v>46065</v>
      </c>
      <c r="BE351" s="227" t="s">
        <v>4435</v>
      </c>
      <c r="BF351" s="228" t="s">
        <v>4436</v>
      </c>
      <c r="BG351" s="229" t="s">
        <v>4425</v>
      </c>
      <c r="BH351" s="321">
        <f t="shared" si="25"/>
        <v>64</v>
      </c>
      <c r="BI351" s="98" t="str">
        <f t="shared" si="26"/>
        <v>INDENIZAÇÃO</v>
      </c>
      <c r="BJ351" s="98" t="str">
        <f t="shared" si="27"/>
        <v>NÃO</v>
      </c>
      <c r="BK351" s="230" t="s">
        <v>4437</v>
      </c>
      <c r="BL351" s="230" t="s">
        <v>4437</v>
      </c>
      <c r="BM351" s="230" t="s">
        <v>4437</v>
      </c>
      <c r="BN351" s="265" t="s">
        <v>5732</v>
      </c>
      <c r="BO351" s="265"/>
      <c r="BP351" s="265"/>
      <c r="BQ351" s="265"/>
      <c r="BR351" s="231"/>
    </row>
    <row r="352" spans="1:112" s="240" customFormat="1" ht="27" hidden="1" customHeight="1">
      <c r="A352" s="207">
        <v>348</v>
      </c>
      <c r="B352" s="197" t="s">
        <v>4396</v>
      </c>
      <c r="C352" s="207" t="s">
        <v>4427</v>
      </c>
      <c r="D352" s="207">
        <v>1</v>
      </c>
      <c r="E352" s="207" t="s">
        <v>4398</v>
      </c>
      <c r="F352" s="214" t="s">
        <v>5922</v>
      </c>
      <c r="G352" s="207" t="s">
        <v>4400</v>
      </c>
      <c r="H352" s="207" t="s">
        <v>4401</v>
      </c>
      <c r="I352" s="217" t="s">
        <v>4402</v>
      </c>
      <c r="J352" s="215" t="s">
        <v>5923</v>
      </c>
      <c r="K352" s="215" t="s">
        <v>5924</v>
      </c>
      <c r="L352" s="215" t="s">
        <v>5925</v>
      </c>
      <c r="M352" s="207" t="s">
        <v>4405</v>
      </c>
      <c r="N352" s="207" t="s">
        <v>4442</v>
      </c>
      <c r="O352" s="202" t="s">
        <v>4409</v>
      </c>
      <c r="P352" s="202" t="s">
        <v>4409</v>
      </c>
      <c r="Q352" s="202" t="s">
        <v>4409</v>
      </c>
      <c r="R352" s="202" t="s">
        <v>4409</v>
      </c>
      <c r="S352" s="202" t="s">
        <v>4409</v>
      </c>
      <c r="T352" s="202" t="s">
        <v>4409</v>
      </c>
      <c r="U352" s="202" t="s">
        <v>4409</v>
      </c>
      <c r="V352" s="202" t="s">
        <v>4409</v>
      </c>
      <c r="W352" s="202" t="s">
        <v>4409</v>
      </c>
      <c r="X352" s="202" t="s">
        <v>4409</v>
      </c>
      <c r="Y352" s="202"/>
      <c r="Z352" s="207"/>
      <c r="AA352" s="215" t="s">
        <v>5923</v>
      </c>
      <c r="AB352" s="215" t="s">
        <v>5924</v>
      </c>
      <c r="AC352" s="215" t="s">
        <v>5925</v>
      </c>
      <c r="AD352" s="207" t="s">
        <v>4402</v>
      </c>
      <c r="AE352" s="207" t="s">
        <v>4405</v>
      </c>
      <c r="AF352" s="218">
        <v>18920.009999999998</v>
      </c>
      <c r="AG352" s="218">
        <f>AF352+30000</f>
        <v>48920.009999999995</v>
      </c>
      <c r="AH352" s="207" t="s">
        <v>4433</v>
      </c>
      <c r="AI352" s="214" t="s">
        <v>4411</v>
      </c>
      <c r="AJ352" s="207">
        <v>147045829</v>
      </c>
      <c r="AK352" s="316">
        <v>46001</v>
      </c>
      <c r="AL352" s="316">
        <v>46001</v>
      </c>
      <c r="AM352" s="316">
        <v>46001</v>
      </c>
      <c r="AN352" s="316">
        <v>46001</v>
      </c>
      <c r="AO352" s="316">
        <v>46001</v>
      </c>
      <c r="AP352" s="316">
        <v>46001</v>
      </c>
      <c r="AQ352" s="314"/>
      <c r="AR352" s="315" t="str">
        <f t="shared" si="24"/>
        <v>FINALIZADO</v>
      </c>
      <c r="AS352" s="207" t="s">
        <v>4423</v>
      </c>
      <c r="AT352" s="207"/>
      <c r="AU352" s="220" t="s">
        <v>5926</v>
      </c>
      <c r="AV352" s="207" t="s">
        <v>4425</v>
      </c>
      <c r="AW352" s="207" t="s">
        <v>4425</v>
      </c>
      <c r="AX352" s="207" t="s">
        <v>4425</v>
      </c>
      <c r="AY352" s="207" t="s">
        <v>4425</v>
      </c>
      <c r="AZ352" s="202">
        <v>46020</v>
      </c>
      <c r="BA352" s="219" t="s">
        <v>4425</v>
      </c>
      <c r="BB352" s="207" t="s">
        <v>4425</v>
      </c>
      <c r="BC352" s="208">
        <v>46024</v>
      </c>
      <c r="BD352" s="227">
        <v>46024</v>
      </c>
      <c r="BE352" s="226" t="s">
        <v>4435</v>
      </c>
      <c r="BF352" s="228" t="s">
        <v>4436</v>
      </c>
      <c r="BG352" s="229" t="s">
        <v>4425</v>
      </c>
      <c r="BH352" s="321">
        <f t="shared" si="25"/>
        <v>23</v>
      </c>
      <c r="BI352" s="98" t="str">
        <f t="shared" si="26"/>
        <v>INDENIZAÇÃO</v>
      </c>
      <c r="BJ352" s="98" t="str">
        <f t="shared" si="27"/>
        <v>NÃO</v>
      </c>
      <c r="BK352" s="230" t="s">
        <v>4437</v>
      </c>
      <c r="BL352" s="230" t="s">
        <v>4437</v>
      </c>
      <c r="BM352" s="230" t="s">
        <v>4437</v>
      </c>
      <c r="BN352" s="207" t="s">
        <v>4425</v>
      </c>
      <c r="BO352" s="207" t="s">
        <v>4425</v>
      </c>
      <c r="BP352" s="202">
        <v>46205</v>
      </c>
      <c r="BQ352" s="207" t="s">
        <v>4425</v>
      </c>
      <c r="BR352" s="232" t="s">
        <v>4435</v>
      </c>
    </row>
    <row r="353" spans="1:72" s="240" customFormat="1" ht="27" hidden="1" customHeight="1">
      <c r="A353" s="207">
        <v>349</v>
      </c>
      <c r="B353" s="197" t="s">
        <v>4396</v>
      </c>
      <c r="C353" s="207" t="s">
        <v>4427</v>
      </c>
      <c r="D353" s="207">
        <v>1</v>
      </c>
      <c r="E353" s="207" t="s">
        <v>4398</v>
      </c>
      <c r="F353" s="214" t="s">
        <v>5927</v>
      </c>
      <c r="G353" s="207" t="s">
        <v>4400</v>
      </c>
      <c r="H353" s="207" t="s">
        <v>4401</v>
      </c>
      <c r="I353" s="217" t="s">
        <v>4402</v>
      </c>
      <c r="J353" s="215" t="s">
        <v>5928</v>
      </c>
      <c r="K353" s="215" t="s">
        <v>5929</v>
      </c>
      <c r="L353" s="215" t="s">
        <v>5930</v>
      </c>
      <c r="M353" s="207" t="s">
        <v>4405</v>
      </c>
      <c r="N353" s="207" t="s">
        <v>4406</v>
      </c>
      <c r="O353" s="202">
        <v>46002</v>
      </c>
      <c r="P353" s="202" t="s">
        <v>4407</v>
      </c>
      <c r="Q353" s="202">
        <v>45999</v>
      </c>
      <c r="R353" s="202">
        <v>46006</v>
      </c>
      <c r="S353" s="202">
        <v>46006</v>
      </c>
      <c r="T353" s="202">
        <v>46009</v>
      </c>
      <c r="U353" s="202" t="s">
        <v>4408</v>
      </c>
      <c r="V353" s="202" t="s">
        <v>4408</v>
      </c>
      <c r="W353" s="202">
        <v>46014</v>
      </c>
      <c r="X353" s="202">
        <v>46020</v>
      </c>
      <c r="Y353" s="202"/>
      <c r="Z353" s="207"/>
      <c r="AA353" s="215" t="s">
        <v>5928</v>
      </c>
      <c r="AB353" s="215" t="s">
        <v>5929</v>
      </c>
      <c r="AC353" s="215" t="s">
        <v>5930</v>
      </c>
      <c r="AD353" s="217" t="s">
        <v>4402</v>
      </c>
      <c r="AE353" s="207" t="s">
        <v>4405</v>
      </c>
      <c r="AF353" s="218" t="s">
        <v>4409</v>
      </c>
      <c r="AG353" s="218" t="s">
        <v>4409</v>
      </c>
      <c r="AH353" s="207" t="s">
        <v>4410</v>
      </c>
      <c r="AI353" s="214" t="s">
        <v>4411</v>
      </c>
      <c r="AJ353" s="207"/>
      <c r="AK353" s="316">
        <v>45986</v>
      </c>
      <c r="AL353" s="316">
        <v>45986</v>
      </c>
      <c r="AM353" s="316">
        <v>45986</v>
      </c>
      <c r="AN353" s="316">
        <v>45986</v>
      </c>
      <c r="AO353" s="316">
        <v>45986</v>
      </c>
      <c r="AP353" s="316">
        <v>45986</v>
      </c>
      <c r="AQ353" s="314"/>
      <c r="AR353" s="315" t="str">
        <f t="shared" si="24"/>
        <v>FINALIZADO</v>
      </c>
      <c r="AS353" s="207"/>
      <c r="AT353" s="207"/>
      <c r="AU353" s="220"/>
      <c r="AV353" s="160"/>
      <c r="AW353" s="207"/>
      <c r="AX353" s="207"/>
      <c r="AY353" s="207"/>
      <c r="AZ353" s="202"/>
      <c r="BA353" s="161"/>
      <c r="BB353" s="207"/>
      <c r="BC353" s="202"/>
      <c r="BD353" s="208"/>
      <c r="BE353" s="202"/>
      <c r="BF353" s="207"/>
      <c r="BG353" s="229"/>
      <c r="BH353" s="321" t="str">
        <f t="shared" si="25"/>
        <v/>
      </c>
      <c r="BI353" s="98" t="str">
        <f t="shared" si="26"/>
        <v>AA</v>
      </c>
      <c r="BJ353" s="98" t="str">
        <f t="shared" si="27"/>
        <v>NÃO</v>
      </c>
      <c r="BK353" s="230"/>
      <c r="BL353" s="230"/>
      <c r="BM353" s="230"/>
      <c r="BN353" s="230"/>
      <c r="BO353" s="230"/>
      <c r="BP353" s="230"/>
      <c r="BQ353" s="230"/>
      <c r="BR353" s="234"/>
    </row>
    <row r="354" spans="1:72" s="240" customFormat="1" ht="27" hidden="1" customHeight="1">
      <c r="A354" s="197">
        <v>350</v>
      </c>
      <c r="B354" s="197" t="s">
        <v>4396</v>
      </c>
      <c r="C354" s="207" t="s">
        <v>4427</v>
      </c>
      <c r="D354" s="207">
        <v>1</v>
      </c>
      <c r="E354" s="207" t="s">
        <v>4398</v>
      </c>
      <c r="F354" s="214" t="s">
        <v>5931</v>
      </c>
      <c r="G354" s="207" t="s">
        <v>4400</v>
      </c>
      <c r="H354" s="207" t="s">
        <v>4401</v>
      </c>
      <c r="I354" s="217" t="s">
        <v>4402</v>
      </c>
      <c r="J354" s="215" t="s">
        <v>5932</v>
      </c>
      <c r="K354" s="215" t="s">
        <v>5933</v>
      </c>
      <c r="L354" s="215" t="s">
        <v>5934</v>
      </c>
      <c r="M354" s="207" t="s">
        <v>4405</v>
      </c>
      <c r="N354" s="207" t="s">
        <v>4406</v>
      </c>
      <c r="O354" s="202">
        <v>46084</v>
      </c>
      <c r="P354" s="202" t="s">
        <v>4407</v>
      </c>
      <c r="Q354" s="202">
        <v>46083</v>
      </c>
      <c r="R354" s="203">
        <v>46084</v>
      </c>
      <c r="S354" s="203">
        <v>46087</v>
      </c>
      <c r="T354" s="203">
        <v>46090</v>
      </c>
      <c r="U354" s="202" t="s">
        <v>4408</v>
      </c>
      <c r="V354" s="202" t="s">
        <v>4408</v>
      </c>
      <c r="W354" s="202">
        <v>46101</v>
      </c>
      <c r="X354" s="202">
        <v>46101</v>
      </c>
      <c r="Y354" s="202"/>
      <c r="Z354" s="207"/>
      <c r="AA354" s="215" t="s">
        <v>5932</v>
      </c>
      <c r="AB354" s="215" t="s">
        <v>5933</v>
      </c>
      <c r="AC354" s="215" t="s">
        <v>5934</v>
      </c>
      <c r="AD354" s="207" t="s">
        <v>4402</v>
      </c>
      <c r="AE354" s="207" t="s">
        <v>4405</v>
      </c>
      <c r="AF354" s="218" t="s">
        <v>4409</v>
      </c>
      <c r="AG354" s="218" t="s">
        <v>4409</v>
      </c>
      <c r="AH354" s="207" t="s">
        <v>4410</v>
      </c>
      <c r="AI354" s="214" t="s">
        <v>4411</v>
      </c>
      <c r="AJ354" s="207"/>
      <c r="AK354" s="316">
        <v>45986</v>
      </c>
      <c r="AL354" s="316">
        <v>45986</v>
      </c>
      <c r="AM354" s="316">
        <v>45986</v>
      </c>
      <c r="AN354" s="316">
        <v>45986</v>
      </c>
      <c r="AO354" s="316">
        <v>45986</v>
      </c>
      <c r="AP354" s="316">
        <v>45986</v>
      </c>
      <c r="AQ354" s="314"/>
      <c r="AR354" s="315" t="str">
        <f t="shared" si="24"/>
        <v>FINALIZADO</v>
      </c>
      <c r="AS354" s="207"/>
      <c r="AT354" s="207"/>
      <c r="AU354" s="220"/>
      <c r="AV354" s="207"/>
      <c r="AW354" s="207"/>
      <c r="AX354" s="207"/>
      <c r="AY354" s="207"/>
      <c r="AZ354" s="202"/>
      <c r="BA354" s="219"/>
      <c r="BB354" s="207"/>
      <c r="BC354" s="202"/>
      <c r="BD354" s="208"/>
      <c r="BE354" s="202"/>
      <c r="BF354" s="207"/>
      <c r="BG354" s="229"/>
      <c r="BH354" s="321" t="str">
        <f t="shared" si="25"/>
        <v/>
      </c>
      <c r="BI354" s="98" t="str">
        <f t="shared" si="26"/>
        <v>AA</v>
      </c>
      <c r="BJ354" s="98" t="str">
        <f t="shared" si="27"/>
        <v>NÃO</v>
      </c>
      <c r="BK354" s="230"/>
      <c r="BL354" s="230"/>
      <c r="BM354" s="230"/>
      <c r="BN354" s="230"/>
      <c r="BO354" s="230"/>
      <c r="BP354" s="230"/>
      <c r="BQ354" s="230"/>
      <c r="BR354" s="234"/>
    </row>
    <row r="355" spans="1:72" s="240" customFormat="1" ht="27" hidden="1" customHeight="1">
      <c r="A355" s="197">
        <v>351</v>
      </c>
      <c r="B355" s="197" t="s">
        <v>4396</v>
      </c>
      <c r="C355" s="207" t="s">
        <v>4427</v>
      </c>
      <c r="D355" s="207">
        <v>1</v>
      </c>
      <c r="E355" s="207" t="s">
        <v>4398</v>
      </c>
      <c r="F355" s="214" t="s">
        <v>5935</v>
      </c>
      <c r="G355" s="207" t="s">
        <v>4400</v>
      </c>
      <c r="H355" s="207" t="s">
        <v>4401</v>
      </c>
      <c r="I355" s="217" t="s">
        <v>4414</v>
      </c>
      <c r="J355" s="215" t="s">
        <v>5936</v>
      </c>
      <c r="K355" s="215" t="s">
        <v>5937</v>
      </c>
      <c r="L355" s="215" t="s">
        <v>5938</v>
      </c>
      <c r="M355" s="207" t="s">
        <v>4405</v>
      </c>
      <c r="N355" s="207" t="s">
        <v>4406</v>
      </c>
      <c r="O355" s="202">
        <v>46002</v>
      </c>
      <c r="P355" s="202" t="s">
        <v>4407</v>
      </c>
      <c r="Q355" s="202">
        <v>45999</v>
      </c>
      <c r="R355" s="202">
        <v>46006</v>
      </c>
      <c r="S355" s="202">
        <v>46006</v>
      </c>
      <c r="T355" s="202">
        <v>46009</v>
      </c>
      <c r="U355" s="202" t="s">
        <v>4408</v>
      </c>
      <c r="V355" s="202" t="s">
        <v>4408</v>
      </c>
      <c r="W355" s="202">
        <v>46014</v>
      </c>
      <c r="X355" s="202">
        <v>46049</v>
      </c>
      <c r="Y355" s="202"/>
      <c r="Z355" s="207"/>
      <c r="AA355" s="215" t="s">
        <v>5939</v>
      </c>
      <c r="AB355" s="215" t="s">
        <v>5940</v>
      </c>
      <c r="AC355" s="215" t="s">
        <v>5941</v>
      </c>
      <c r="AD355" s="217" t="s">
        <v>4421</v>
      </c>
      <c r="AE355" s="207" t="s">
        <v>4405</v>
      </c>
      <c r="AF355" s="218">
        <v>16383.53</v>
      </c>
      <c r="AG355" s="218">
        <v>16383.53</v>
      </c>
      <c r="AH355" s="207" t="s">
        <v>4433</v>
      </c>
      <c r="AI355" s="214" t="s">
        <v>4411</v>
      </c>
      <c r="AJ355" s="207">
        <v>147049215</v>
      </c>
      <c r="AK355" s="316">
        <v>45986</v>
      </c>
      <c r="AL355" s="316">
        <v>45986</v>
      </c>
      <c r="AM355" s="316">
        <v>45986</v>
      </c>
      <c r="AN355" s="316">
        <v>45986</v>
      </c>
      <c r="AO355" s="316">
        <v>45986</v>
      </c>
      <c r="AP355" s="316">
        <v>45986</v>
      </c>
      <c r="AQ355" s="314"/>
      <c r="AR355" s="315" t="str">
        <f t="shared" si="24"/>
        <v>FINALIZADO</v>
      </c>
      <c r="AS355" s="207" t="s">
        <v>4423</v>
      </c>
      <c r="AT355" s="207"/>
      <c r="AU355" s="220" t="s">
        <v>5942</v>
      </c>
      <c r="AV355" s="207" t="s">
        <v>4425</v>
      </c>
      <c r="AW355" s="207" t="s">
        <v>4425</v>
      </c>
      <c r="AX355" s="207" t="s">
        <v>4425</v>
      </c>
      <c r="AY355" s="207" t="s">
        <v>4425</v>
      </c>
      <c r="AZ355" s="203">
        <v>46017</v>
      </c>
      <c r="BA355" s="219" t="s">
        <v>4425</v>
      </c>
      <c r="BB355" s="207" t="s">
        <v>4425</v>
      </c>
      <c r="BC355" s="208">
        <v>46024</v>
      </c>
      <c r="BD355" s="227">
        <v>46024</v>
      </c>
      <c r="BE355" s="226" t="s">
        <v>4435</v>
      </c>
      <c r="BF355" s="228" t="s">
        <v>4436</v>
      </c>
      <c r="BG355" s="229" t="s">
        <v>4425</v>
      </c>
      <c r="BH355" s="321">
        <f t="shared" si="25"/>
        <v>38</v>
      </c>
      <c r="BI355" s="98" t="str">
        <f t="shared" si="26"/>
        <v>INDENIZAÇÃO</v>
      </c>
      <c r="BJ355" s="98" t="str">
        <f t="shared" si="27"/>
        <v>NÃO</v>
      </c>
      <c r="BK355" s="230" t="s">
        <v>4437</v>
      </c>
      <c r="BL355" s="230" t="s">
        <v>4437</v>
      </c>
      <c r="BM355" s="230" t="s">
        <v>4437</v>
      </c>
      <c r="BN355" s="207" t="s">
        <v>4425</v>
      </c>
      <c r="BO355" s="207" t="s">
        <v>4425</v>
      </c>
      <c r="BP355" s="202">
        <v>46182</v>
      </c>
      <c r="BQ355" s="207" t="s">
        <v>4425</v>
      </c>
      <c r="BR355" s="256" t="s">
        <v>4435</v>
      </c>
    </row>
    <row r="356" spans="1:72" s="240" customFormat="1" ht="27" hidden="1" customHeight="1">
      <c r="A356" s="207">
        <v>352</v>
      </c>
      <c r="B356" s="197" t="s">
        <v>4396</v>
      </c>
      <c r="C356" s="207" t="s">
        <v>4427</v>
      </c>
      <c r="D356" s="207">
        <v>1</v>
      </c>
      <c r="E356" s="207" t="s">
        <v>4398</v>
      </c>
      <c r="F356" s="214" t="s">
        <v>5943</v>
      </c>
      <c r="G356" s="207" t="s">
        <v>4400</v>
      </c>
      <c r="H356" s="207" t="s">
        <v>4401</v>
      </c>
      <c r="I356" s="217" t="s">
        <v>4414</v>
      </c>
      <c r="J356" s="215" t="s">
        <v>5944</v>
      </c>
      <c r="K356" s="215" t="s">
        <v>5945</v>
      </c>
      <c r="L356" s="215" t="s">
        <v>5946</v>
      </c>
      <c r="M356" s="207" t="s">
        <v>4405</v>
      </c>
      <c r="N356" s="207" t="s">
        <v>4406</v>
      </c>
      <c r="O356" s="202">
        <v>46002</v>
      </c>
      <c r="P356" s="202" t="s">
        <v>4407</v>
      </c>
      <c r="Q356" s="202">
        <v>45999</v>
      </c>
      <c r="R356" s="202">
        <v>46006</v>
      </c>
      <c r="S356" s="202">
        <v>46006</v>
      </c>
      <c r="T356" s="202">
        <v>46009</v>
      </c>
      <c r="U356" s="202" t="s">
        <v>4408</v>
      </c>
      <c r="V356" s="202" t="s">
        <v>4408</v>
      </c>
      <c r="W356" s="202">
        <v>46014</v>
      </c>
      <c r="X356" s="202">
        <v>46024</v>
      </c>
      <c r="Y356" s="202"/>
      <c r="Z356" s="207"/>
      <c r="AA356" s="215" t="s">
        <v>5947</v>
      </c>
      <c r="AB356" s="215" t="s">
        <v>5948</v>
      </c>
      <c r="AC356" s="215" t="s">
        <v>5949</v>
      </c>
      <c r="AD356" s="217" t="s">
        <v>4421</v>
      </c>
      <c r="AE356" s="207" t="s">
        <v>4405</v>
      </c>
      <c r="AF356" s="218">
        <v>20167.82</v>
      </c>
      <c r="AG356" s="218">
        <v>20167.82</v>
      </c>
      <c r="AH356" s="207" t="s">
        <v>14</v>
      </c>
      <c r="AI356" s="214" t="s">
        <v>4411</v>
      </c>
      <c r="AJ356" s="207"/>
      <c r="AK356" s="316">
        <v>45986</v>
      </c>
      <c r="AL356" s="316">
        <v>45986</v>
      </c>
      <c r="AM356" s="316">
        <v>45986</v>
      </c>
      <c r="AN356" s="316">
        <v>45986</v>
      </c>
      <c r="AO356" s="316">
        <v>45986</v>
      </c>
      <c r="AP356" s="316">
        <v>45986</v>
      </c>
      <c r="AQ356" s="314"/>
      <c r="AR356" s="315" t="str">
        <f t="shared" si="24"/>
        <v>FINALIZADO</v>
      </c>
      <c r="AS356" s="207"/>
      <c r="AT356" s="207" t="s">
        <v>5950</v>
      </c>
      <c r="AU356" s="220"/>
      <c r="AV356" s="160"/>
      <c r="AW356" s="207"/>
      <c r="AX356" s="207"/>
      <c r="AY356" s="207"/>
      <c r="AZ356" s="202"/>
      <c r="BA356" s="219"/>
      <c r="BB356" s="207"/>
      <c r="BC356" s="202"/>
      <c r="BD356" s="208"/>
      <c r="BE356" s="202"/>
      <c r="BF356" s="207"/>
      <c r="BG356" s="229"/>
      <c r="BH356" s="321" t="str">
        <f t="shared" si="25"/>
        <v/>
      </c>
      <c r="BI356" s="98" t="str">
        <f t="shared" si="26"/>
        <v>INDENIZAÇÃO</v>
      </c>
      <c r="BJ356" s="98" t="str">
        <f t="shared" si="27"/>
        <v>NÃO</v>
      </c>
      <c r="BK356" s="230"/>
      <c r="BL356" s="230"/>
      <c r="BM356" s="230"/>
      <c r="BN356" s="230"/>
      <c r="BO356" s="230"/>
      <c r="BP356" s="230"/>
      <c r="BQ356" s="230"/>
      <c r="BR356" s="234"/>
    </row>
    <row r="357" spans="1:72" s="240" customFormat="1" ht="27" hidden="1" customHeight="1">
      <c r="A357" s="207">
        <v>353</v>
      </c>
      <c r="B357" s="197" t="s">
        <v>4396</v>
      </c>
      <c r="C357" s="207" t="s">
        <v>4427</v>
      </c>
      <c r="D357" s="207">
        <v>1</v>
      </c>
      <c r="E357" s="207" t="s">
        <v>4398</v>
      </c>
      <c r="F357" s="214" t="s">
        <v>5951</v>
      </c>
      <c r="G357" s="207" t="s">
        <v>4400</v>
      </c>
      <c r="H357" s="207" t="s">
        <v>4401</v>
      </c>
      <c r="I357" s="217" t="s">
        <v>4402</v>
      </c>
      <c r="J357" s="215" t="s">
        <v>5952</v>
      </c>
      <c r="K357" s="215" t="s">
        <v>5953</v>
      </c>
      <c r="L357" s="215" t="s">
        <v>5954</v>
      </c>
      <c r="M357" s="207" t="s">
        <v>4405</v>
      </c>
      <c r="N357" s="207" t="s">
        <v>4442</v>
      </c>
      <c r="O357" s="202" t="s">
        <v>4409</v>
      </c>
      <c r="P357" s="202" t="s">
        <v>4409</v>
      </c>
      <c r="Q357" s="202" t="s">
        <v>4409</v>
      </c>
      <c r="R357" s="202" t="s">
        <v>4409</v>
      </c>
      <c r="S357" s="202" t="s">
        <v>4409</v>
      </c>
      <c r="T357" s="202" t="s">
        <v>4409</v>
      </c>
      <c r="U357" s="202" t="s">
        <v>4409</v>
      </c>
      <c r="V357" s="202" t="s">
        <v>4409</v>
      </c>
      <c r="W357" s="202" t="s">
        <v>4409</v>
      </c>
      <c r="X357" s="202" t="s">
        <v>4409</v>
      </c>
      <c r="Y357" s="202"/>
      <c r="Z357" s="207"/>
      <c r="AA357" s="215" t="s">
        <v>5952</v>
      </c>
      <c r="AB357" s="215" t="s">
        <v>5953</v>
      </c>
      <c r="AC357" s="215" t="s">
        <v>5954</v>
      </c>
      <c r="AD357" s="207" t="s">
        <v>4402</v>
      </c>
      <c r="AE357" s="207" t="s">
        <v>4405</v>
      </c>
      <c r="AF357" s="218">
        <v>68808.5</v>
      </c>
      <c r="AG357" s="218">
        <v>68808.5</v>
      </c>
      <c r="AH357" s="207" t="s">
        <v>4433</v>
      </c>
      <c r="AI357" s="214" t="s">
        <v>4411</v>
      </c>
      <c r="AJ357" s="207">
        <v>148264898</v>
      </c>
      <c r="AK357" s="316">
        <v>46038</v>
      </c>
      <c r="AL357" s="316">
        <v>46038</v>
      </c>
      <c r="AM357" s="316">
        <v>46038</v>
      </c>
      <c r="AN357" s="316">
        <v>46038</v>
      </c>
      <c r="AO357" s="316">
        <v>46038</v>
      </c>
      <c r="AP357" s="316">
        <v>46038</v>
      </c>
      <c r="AQ357" s="314"/>
      <c r="AR357" s="315" t="str">
        <f t="shared" si="24"/>
        <v>FINALIZADO</v>
      </c>
      <c r="AS357" s="207" t="s">
        <v>4423</v>
      </c>
      <c r="AT357" s="207"/>
      <c r="AU357" s="220" t="s">
        <v>5955</v>
      </c>
      <c r="AV357" s="197" t="s">
        <v>4425</v>
      </c>
      <c r="AW357" s="207" t="s">
        <v>4425</v>
      </c>
      <c r="AX357" s="207" t="s">
        <v>4425</v>
      </c>
      <c r="AY357" s="207" t="s">
        <v>4425</v>
      </c>
      <c r="AZ357" s="202">
        <v>46071</v>
      </c>
      <c r="BA357" s="219" t="s">
        <v>4425</v>
      </c>
      <c r="BB357" s="219" t="s">
        <v>4425</v>
      </c>
      <c r="BC357" s="239">
        <v>46093</v>
      </c>
      <c r="BD357" s="226">
        <v>46093</v>
      </c>
      <c r="BE357" s="227" t="s">
        <v>4435</v>
      </c>
      <c r="BF357" s="228" t="s">
        <v>4436</v>
      </c>
      <c r="BG357" s="229" t="s">
        <v>4425</v>
      </c>
      <c r="BH357" s="321">
        <f t="shared" si="25"/>
        <v>55</v>
      </c>
      <c r="BI357" s="98" t="str">
        <f t="shared" si="26"/>
        <v>INDENIZAÇÃO</v>
      </c>
      <c r="BJ357" s="98" t="str">
        <f t="shared" si="27"/>
        <v>NÃO</v>
      </c>
      <c r="BK357" s="230" t="s">
        <v>4437</v>
      </c>
      <c r="BL357" s="230" t="s">
        <v>4437</v>
      </c>
      <c r="BM357" s="230" t="s">
        <v>4437</v>
      </c>
      <c r="BN357" s="265" t="s">
        <v>5732</v>
      </c>
      <c r="BO357" s="265"/>
      <c r="BP357" s="265"/>
      <c r="BQ357" s="265"/>
      <c r="BR357" s="231"/>
    </row>
    <row r="358" spans="1:72" s="240" customFormat="1" ht="27" hidden="1" customHeight="1">
      <c r="A358" s="207">
        <v>354</v>
      </c>
      <c r="B358" s="197" t="s">
        <v>4396</v>
      </c>
      <c r="C358" s="207" t="s">
        <v>4427</v>
      </c>
      <c r="D358" s="207">
        <v>1</v>
      </c>
      <c r="E358" s="207" t="s">
        <v>4398</v>
      </c>
      <c r="F358" s="214" t="s">
        <v>5956</v>
      </c>
      <c r="G358" s="207" t="s">
        <v>4400</v>
      </c>
      <c r="H358" s="207" t="s">
        <v>4401</v>
      </c>
      <c r="I358" s="217" t="s">
        <v>4402</v>
      </c>
      <c r="J358" s="215" t="s">
        <v>5957</v>
      </c>
      <c r="K358" s="215" t="s">
        <v>5958</v>
      </c>
      <c r="L358" s="215" t="s">
        <v>5959</v>
      </c>
      <c r="M358" s="207" t="s">
        <v>4405</v>
      </c>
      <c r="N358" s="207" t="s">
        <v>4442</v>
      </c>
      <c r="O358" s="202" t="s">
        <v>4409</v>
      </c>
      <c r="P358" s="202" t="s">
        <v>4409</v>
      </c>
      <c r="Q358" s="202" t="s">
        <v>4409</v>
      </c>
      <c r="R358" s="202" t="s">
        <v>4409</v>
      </c>
      <c r="S358" s="202" t="s">
        <v>4409</v>
      </c>
      <c r="T358" s="202" t="s">
        <v>4409</v>
      </c>
      <c r="U358" s="202" t="s">
        <v>4409</v>
      </c>
      <c r="V358" s="202" t="s">
        <v>4409</v>
      </c>
      <c r="W358" s="202" t="s">
        <v>4409</v>
      </c>
      <c r="X358" s="202" t="s">
        <v>4409</v>
      </c>
      <c r="Y358" s="202"/>
      <c r="Z358" s="207"/>
      <c r="AA358" s="215" t="s">
        <v>5957</v>
      </c>
      <c r="AB358" s="215" t="s">
        <v>5958</v>
      </c>
      <c r="AC358" s="215" t="s">
        <v>5959</v>
      </c>
      <c r="AD358" s="207" t="s">
        <v>4402</v>
      </c>
      <c r="AE358" s="207" t="s">
        <v>4405</v>
      </c>
      <c r="AF358" s="218">
        <v>57066.87</v>
      </c>
      <c r="AG358" s="218">
        <v>60000</v>
      </c>
      <c r="AH358" s="207" t="s">
        <v>4433</v>
      </c>
      <c r="AI358" s="214" t="s">
        <v>4411</v>
      </c>
      <c r="AJ358" s="207">
        <v>147049654</v>
      </c>
      <c r="AK358" s="316">
        <v>46001</v>
      </c>
      <c r="AL358" s="316">
        <v>46001</v>
      </c>
      <c r="AM358" s="316">
        <v>46001</v>
      </c>
      <c r="AN358" s="316">
        <v>46001</v>
      </c>
      <c r="AO358" s="316">
        <v>46001</v>
      </c>
      <c r="AP358" s="316">
        <v>46001</v>
      </c>
      <c r="AQ358" s="314"/>
      <c r="AR358" s="315" t="str">
        <f t="shared" si="24"/>
        <v>FINALIZADO</v>
      </c>
      <c r="AS358" s="207" t="s">
        <v>4423</v>
      </c>
      <c r="AT358" s="207"/>
      <c r="AU358" s="220" t="s">
        <v>5960</v>
      </c>
      <c r="AV358" s="197" t="s">
        <v>4425</v>
      </c>
      <c r="AW358" s="207" t="s">
        <v>4425</v>
      </c>
      <c r="AX358" s="207" t="s">
        <v>4425</v>
      </c>
      <c r="AY358" s="207" t="s">
        <v>4425</v>
      </c>
      <c r="AZ358" s="203">
        <v>46017</v>
      </c>
      <c r="BA358" s="219" t="s">
        <v>4425</v>
      </c>
      <c r="BB358" s="207" t="s">
        <v>4425</v>
      </c>
      <c r="BC358" s="208">
        <v>46024</v>
      </c>
      <c r="BD358" s="227">
        <v>46024</v>
      </c>
      <c r="BE358" s="226" t="s">
        <v>4435</v>
      </c>
      <c r="BF358" s="228" t="s">
        <v>4436</v>
      </c>
      <c r="BG358" s="229" t="s">
        <v>4425</v>
      </c>
      <c r="BH358" s="321">
        <f t="shared" si="25"/>
        <v>23</v>
      </c>
      <c r="BI358" s="98" t="str">
        <f t="shared" si="26"/>
        <v>INDENIZAÇÃO</v>
      </c>
      <c r="BJ358" s="98" t="str">
        <f t="shared" si="27"/>
        <v>NÃO</v>
      </c>
      <c r="BK358" s="230" t="s">
        <v>4437</v>
      </c>
      <c r="BL358" s="230" t="s">
        <v>4437</v>
      </c>
      <c r="BM358" s="230" t="s">
        <v>4437</v>
      </c>
      <c r="BN358" s="207" t="s">
        <v>4425</v>
      </c>
      <c r="BO358" s="207" t="s">
        <v>4425</v>
      </c>
      <c r="BP358" s="202">
        <v>46205</v>
      </c>
      <c r="BQ358" s="207" t="s">
        <v>4425</v>
      </c>
      <c r="BR358" s="232" t="s">
        <v>4435</v>
      </c>
    </row>
    <row r="359" spans="1:72" s="240" customFormat="1" ht="27" hidden="1" customHeight="1">
      <c r="A359" s="197">
        <v>355</v>
      </c>
      <c r="B359" s="197" t="s">
        <v>4396</v>
      </c>
      <c r="C359" s="207" t="s">
        <v>4427</v>
      </c>
      <c r="D359" s="207">
        <v>1</v>
      </c>
      <c r="E359" s="207" t="s">
        <v>4398</v>
      </c>
      <c r="F359" s="214" t="s">
        <v>5961</v>
      </c>
      <c r="G359" s="207" t="s">
        <v>4400</v>
      </c>
      <c r="H359" s="207" t="s">
        <v>4401</v>
      </c>
      <c r="I359" s="217" t="s">
        <v>4402</v>
      </c>
      <c r="J359" s="215" t="s">
        <v>5962</v>
      </c>
      <c r="K359" s="215" t="s">
        <v>5963</v>
      </c>
      <c r="L359" s="215" t="s">
        <v>5964</v>
      </c>
      <c r="M359" s="207" t="s">
        <v>4405</v>
      </c>
      <c r="N359" s="207" t="s">
        <v>4406</v>
      </c>
      <c r="O359" s="202">
        <v>46002</v>
      </c>
      <c r="P359" s="202" t="s">
        <v>4407</v>
      </c>
      <c r="Q359" s="202">
        <v>45999</v>
      </c>
      <c r="R359" s="202">
        <v>46006</v>
      </c>
      <c r="S359" s="202">
        <v>46006</v>
      </c>
      <c r="T359" s="202">
        <v>46009</v>
      </c>
      <c r="U359" s="202" t="s">
        <v>4408</v>
      </c>
      <c r="V359" s="202" t="s">
        <v>4408</v>
      </c>
      <c r="W359" s="202">
        <v>46014</v>
      </c>
      <c r="X359" s="202">
        <v>46020</v>
      </c>
      <c r="Y359" s="202"/>
      <c r="Z359" s="207"/>
      <c r="AA359" s="215" t="s">
        <v>5962</v>
      </c>
      <c r="AB359" s="215" t="s">
        <v>5963</v>
      </c>
      <c r="AC359" s="215" t="s">
        <v>5964</v>
      </c>
      <c r="AD359" s="217" t="s">
        <v>4402</v>
      </c>
      <c r="AE359" s="207" t="s">
        <v>4405</v>
      </c>
      <c r="AF359" s="218" t="s">
        <v>4409</v>
      </c>
      <c r="AG359" s="218" t="s">
        <v>4409</v>
      </c>
      <c r="AH359" s="207" t="s">
        <v>4410</v>
      </c>
      <c r="AI359" s="214" t="s">
        <v>4411</v>
      </c>
      <c r="AJ359" s="207"/>
      <c r="AK359" s="316">
        <v>45996</v>
      </c>
      <c r="AL359" s="316">
        <v>45996</v>
      </c>
      <c r="AM359" s="316">
        <v>45996</v>
      </c>
      <c r="AN359" s="316">
        <v>45996</v>
      </c>
      <c r="AO359" s="316">
        <v>45996</v>
      </c>
      <c r="AP359" s="316">
        <v>45996</v>
      </c>
      <c r="AQ359" s="314"/>
      <c r="AR359" s="315" t="str">
        <f t="shared" si="24"/>
        <v>FINALIZADO</v>
      </c>
      <c r="AS359" s="207"/>
      <c r="AT359" s="207"/>
      <c r="AU359" s="220"/>
      <c r="AV359" s="197"/>
      <c r="AW359" s="207"/>
      <c r="AX359" s="207"/>
      <c r="AY359" s="207"/>
      <c r="AZ359" s="202"/>
      <c r="BA359" s="219"/>
      <c r="BB359" s="207"/>
      <c r="BC359" s="202"/>
      <c r="BD359" s="208"/>
      <c r="BE359" s="202"/>
      <c r="BF359" s="207"/>
      <c r="BG359" s="229"/>
      <c r="BH359" s="321" t="str">
        <f t="shared" si="25"/>
        <v/>
      </c>
      <c r="BI359" s="98" t="str">
        <f t="shared" si="26"/>
        <v>AA</v>
      </c>
      <c r="BJ359" s="98" t="str">
        <f t="shared" si="27"/>
        <v>NÃO</v>
      </c>
      <c r="BK359" s="230"/>
      <c r="BL359" s="230"/>
      <c r="BM359" s="230"/>
      <c r="BN359" s="230"/>
      <c r="BO359" s="230"/>
      <c r="BP359" s="230"/>
      <c r="BQ359" s="230"/>
      <c r="BR359" s="234"/>
    </row>
    <row r="360" spans="1:72" s="240" customFormat="1" ht="27" hidden="1" customHeight="1">
      <c r="A360" s="197">
        <v>356</v>
      </c>
      <c r="B360" s="197" t="s">
        <v>4396</v>
      </c>
      <c r="C360" s="207" t="s">
        <v>4427</v>
      </c>
      <c r="D360" s="207">
        <v>1</v>
      </c>
      <c r="E360" s="207" t="s">
        <v>4398</v>
      </c>
      <c r="F360" s="214" t="s">
        <v>5965</v>
      </c>
      <c r="G360" s="207" t="s">
        <v>4400</v>
      </c>
      <c r="H360" s="207" t="s">
        <v>4401</v>
      </c>
      <c r="I360" s="217" t="s">
        <v>4402</v>
      </c>
      <c r="J360" s="215" t="s">
        <v>5966</v>
      </c>
      <c r="K360" s="215" t="s">
        <v>5967</v>
      </c>
      <c r="L360" s="215" t="s">
        <v>5968</v>
      </c>
      <c r="M360" s="207" t="s">
        <v>4405</v>
      </c>
      <c r="N360" s="207" t="s">
        <v>4442</v>
      </c>
      <c r="O360" s="202" t="s">
        <v>4409</v>
      </c>
      <c r="P360" s="202" t="s">
        <v>4409</v>
      </c>
      <c r="Q360" s="202" t="s">
        <v>4409</v>
      </c>
      <c r="R360" s="202" t="s">
        <v>4409</v>
      </c>
      <c r="S360" s="202" t="s">
        <v>4409</v>
      </c>
      <c r="T360" s="202" t="s">
        <v>4409</v>
      </c>
      <c r="U360" s="202" t="s">
        <v>4409</v>
      </c>
      <c r="V360" s="202" t="s">
        <v>4409</v>
      </c>
      <c r="W360" s="202" t="s">
        <v>4409</v>
      </c>
      <c r="X360" s="202" t="s">
        <v>4409</v>
      </c>
      <c r="Y360" s="202"/>
      <c r="Z360" s="207"/>
      <c r="AA360" s="215" t="s">
        <v>5966</v>
      </c>
      <c r="AB360" s="215" t="s">
        <v>5967</v>
      </c>
      <c r="AC360" s="215" t="s">
        <v>5968</v>
      </c>
      <c r="AD360" s="207" t="s">
        <v>4402</v>
      </c>
      <c r="AE360" s="207" t="s">
        <v>4405</v>
      </c>
      <c r="AF360" s="218">
        <v>15443.8</v>
      </c>
      <c r="AG360" s="218">
        <f>AF360+30000</f>
        <v>45443.8</v>
      </c>
      <c r="AH360" s="207" t="s">
        <v>4433</v>
      </c>
      <c r="AI360" s="214" t="s">
        <v>4411</v>
      </c>
      <c r="AJ360" s="207">
        <v>147049934</v>
      </c>
      <c r="AK360" s="316">
        <v>45986</v>
      </c>
      <c r="AL360" s="316">
        <v>45986</v>
      </c>
      <c r="AM360" s="316">
        <v>45986</v>
      </c>
      <c r="AN360" s="316">
        <v>45986</v>
      </c>
      <c r="AO360" s="316">
        <v>45986</v>
      </c>
      <c r="AP360" s="316">
        <v>45986</v>
      </c>
      <c r="AQ360" s="314"/>
      <c r="AR360" s="315" t="str">
        <f t="shared" si="24"/>
        <v>FINALIZADO</v>
      </c>
      <c r="AS360" s="207" t="s">
        <v>4423</v>
      </c>
      <c r="AT360" s="207"/>
      <c r="AU360" s="220" t="s">
        <v>5969</v>
      </c>
      <c r="AV360" s="207" t="s">
        <v>4425</v>
      </c>
      <c r="AW360" s="207" t="s">
        <v>4425</v>
      </c>
      <c r="AX360" s="207" t="s">
        <v>4425</v>
      </c>
      <c r="AY360" s="207" t="s">
        <v>4425</v>
      </c>
      <c r="AZ360" s="203">
        <v>46017</v>
      </c>
      <c r="BA360" s="219" t="s">
        <v>4425</v>
      </c>
      <c r="BB360" s="207" t="s">
        <v>4425</v>
      </c>
      <c r="BC360" s="208">
        <v>46027</v>
      </c>
      <c r="BD360" s="227">
        <v>46027</v>
      </c>
      <c r="BE360" s="226" t="s">
        <v>4435</v>
      </c>
      <c r="BF360" s="228" t="s">
        <v>4436</v>
      </c>
      <c r="BG360" s="229" t="s">
        <v>4425</v>
      </c>
      <c r="BH360" s="321">
        <f t="shared" si="25"/>
        <v>41</v>
      </c>
      <c r="BI360" s="98" t="str">
        <f t="shared" si="26"/>
        <v>INDENIZAÇÃO</v>
      </c>
      <c r="BJ360" s="98" t="str">
        <f t="shared" si="27"/>
        <v>NÃO</v>
      </c>
      <c r="BK360" s="230" t="s">
        <v>4437</v>
      </c>
      <c r="BL360" s="230" t="s">
        <v>4437</v>
      </c>
      <c r="BM360" s="230" t="s">
        <v>4437</v>
      </c>
      <c r="BN360" s="265" t="s">
        <v>5732</v>
      </c>
      <c r="BO360" s="265"/>
      <c r="BP360" s="265"/>
      <c r="BQ360" s="265"/>
      <c r="BR360" s="231"/>
    </row>
    <row r="361" spans="1:72" s="240" customFormat="1" ht="27" hidden="1" customHeight="1">
      <c r="A361" s="207">
        <v>357</v>
      </c>
      <c r="B361" s="197" t="s">
        <v>4396</v>
      </c>
      <c r="C361" s="207" t="s">
        <v>4427</v>
      </c>
      <c r="D361" s="207">
        <v>1</v>
      </c>
      <c r="E361" s="207" t="s">
        <v>4398</v>
      </c>
      <c r="F361" s="214" t="s">
        <v>5970</v>
      </c>
      <c r="G361" s="207" t="s">
        <v>4400</v>
      </c>
      <c r="H361" s="207" t="s">
        <v>4401</v>
      </c>
      <c r="I361" s="217" t="s">
        <v>4402</v>
      </c>
      <c r="J361" s="215" t="s">
        <v>5971</v>
      </c>
      <c r="K361" s="215" t="s">
        <v>5972</v>
      </c>
      <c r="L361" s="215" t="s">
        <v>5973</v>
      </c>
      <c r="M361" s="207" t="s">
        <v>4405</v>
      </c>
      <c r="N361" s="207" t="s">
        <v>4442</v>
      </c>
      <c r="O361" s="202" t="s">
        <v>4409</v>
      </c>
      <c r="P361" s="202" t="s">
        <v>4409</v>
      </c>
      <c r="Q361" s="202" t="s">
        <v>4409</v>
      </c>
      <c r="R361" s="202" t="s">
        <v>4409</v>
      </c>
      <c r="S361" s="202" t="s">
        <v>4409</v>
      </c>
      <c r="T361" s="202" t="s">
        <v>4409</v>
      </c>
      <c r="U361" s="202" t="s">
        <v>4409</v>
      </c>
      <c r="V361" s="202" t="s">
        <v>4409</v>
      </c>
      <c r="W361" s="202" t="s">
        <v>4409</v>
      </c>
      <c r="X361" s="202" t="s">
        <v>4409</v>
      </c>
      <c r="Y361" s="202"/>
      <c r="Z361" s="207"/>
      <c r="AA361" s="215" t="s">
        <v>5971</v>
      </c>
      <c r="AB361" s="215" t="s">
        <v>5972</v>
      </c>
      <c r="AC361" s="215" t="s">
        <v>5973</v>
      </c>
      <c r="AD361" s="207" t="s">
        <v>4402</v>
      </c>
      <c r="AE361" s="207" t="s">
        <v>4405</v>
      </c>
      <c r="AF361" s="218">
        <v>15408.46</v>
      </c>
      <c r="AG361" s="218">
        <f>AF361+30000</f>
        <v>45408.46</v>
      </c>
      <c r="AH361" s="207" t="s">
        <v>4433</v>
      </c>
      <c r="AI361" s="214" t="s">
        <v>4411</v>
      </c>
      <c r="AJ361" s="207">
        <v>147050298</v>
      </c>
      <c r="AK361" s="316">
        <v>46001</v>
      </c>
      <c r="AL361" s="316">
        <v>46001</v>
      </c>
      <c r="AM361" s="316">
        <v>46001</v>
      </c>
      <c r="AN361" s="316">
        <v>46001</v>
      </c>
      <c r="AO361" s="316">
        <v>46001</v>
      </c>
      <c r="AP361" s="316">
        <v>46001</v>
      </c>
      <c r="AQ361" s="314"/>
      <c r="AR361" s="315" t="str">
        <f t="shared" si="24"/>
        <v>FINALIZADO</v>
      </c>
      <c r="AS361" s="207" t="s">
        <v>4423</v>
      </c>
      <c r="AT361" s="207"/>
      <c r="AU361" s="220" t="s">
        <v>5974</v>
      </c>
      <c r="AV361" s="160" t="s">
        <v>4425</v>
      </c>
      <c r="AW361" s="207" t="s">
        <v>4425</v>
      </c>
      <c r="AX361" s="207" t="s">
        <v>4425</v>
      </c>
      <c r="AY361" s="207" t="s">
        <v>4425</v>
      </c>
      <c r="AZ361" s="203">
        <v>46017</v>
      </c>
      <c r="BA361" s="219" t="s">
        <v>4425</v>
      </c>
      <c r="BB361" s="207" t="s">
        <v>4425</v>
      </c>
      <c r="BC361" s="208">
        <v>46024</v>
      </c>
      <c r="BD361" s="227">
        <v>46024</v>
      </c>
      <c r="BE361" s="226" t="s">
        <v>4435</v>
      </c>
      <c r="BF361" s="228" t="s">
        <v>4436</v>
      </c>
      <c r="BG361" s="229" t="s">
        <v>4425</v>
      </c>
      <c r="BH361" s="321">
        <f t="shared" si="25"/>
        <v>23</v>
      </c>
      <c r="BI361" s="98" t="str">
        <f t="shared" si="26"/>
        <v>INDENIZAÇÃO</v>
      </c>
      <c r="BJ361" s="98" t="str">
        <f t="shared" si="27"/>
        <v>NÃO</v>
      </c>
      <c r="BK361" s="230" t="s">
        <v>4437</v>
      </c>
      <c r="BL361" s="230" t="s">
        <v>4437</v>
      </c>
      <c r="BM361" s="230" t="s">
        <v>4437</v>
      </c>
      <c r="BN361" s="207" t="s">
        <v>4425</v>
      </c>
      <c r="BO361" s="207" t="s">
        <v>4425</v>
      </c>
      <c r="BP361" s="202">
        <v>46205</v>
      </c>
      <c r="BQ361" s="207" t="s">
        <v>4425</v>
      </c>
      <c r="BR361" s="232" t="s">
        <v>4435</v>
      </c>
    </row>
    <row r="362" spans="1:72" s="240" customFormat="1" ht="27" hidden="1" customHeight="1">
      <c r="A362" s="207">
        <v>358</v>
      </c>
      <c r="B362" s="197" t="s">
        <v>4396</v>
      </c>
      <c r="C362" s="207" t="s">
        <v>4427</v>
      </c>
      <c r="D362" s="207">
        <v>1</v>
      </c>
      <c r="E362" s="207" t="s">
        <v>4398</v>
      </c>
      <c r="F362" s="214" t="s">
        <v>5975</v>
      </c>
      <c r="G362" s="207" t="s">
        <v>4400</v>
      </c>
      <c r="H362" s="207" t="s">
        <v>4401</v>
      </c>
      <c r="I362" s="217" t="s">
        <v>4402</v>
      </c>
      <c r="J362" s="215" t="s">
        <v>5976</v>
      </c>
      <c r="K362" s="215" t="s">
        <v>5977</v>
      </c>
      <c r="L362" s="215" t="s">
        <v>5978</v>
      </c>
      <c r="M362" s="207" t="s">
        <v>4405</v>
      </c>
      <c r="N362" s="207" t="s">
        <v>4442</v>
      </c>
      <c r="O362" s="202" t="s">
        <v>4409</v>
      </c>
      <c r="P362" s="202" t="s">
        <v>4409</v>
      </c>
      <c r="Q362" s="202" t="s">
        <v>4409</v>
      </c>
      <c r="R362" s="202" t="s">
        <v>4409</v>
      </c>
      <c r="S362" s="202" t="s">
        <v>4409</v>
      </c>
      <c r="T362" s="202" t="s">
        <v>4409</v>
      </c>
      <c r="U362" s="202" t="s">
        <v>4409</v>
      </c>
      <c r="V362" s="202" t="s">
        <v>4409</v>
      </c>
      <c r="W362" s="202" t="s">
        <v>4409</v>
      </c>
      <c r="X362" s="202" t="s">
        <v>4409</v>
      </c>
      <c r="Y362" s="202"/>
      <c r="Z362" s="207"/>
      <c r="AA362" s="215" t="s">
        <v>5976</v>
      </c>
      <c r="AB362" s="215" t="s">
        <v>5977</v>
      </c>
      <c r="AC362" s="215" t="s">
        <v>5978</v>
      </c>
      <c r="AD362" s="207" t="s">
        <v>4402</v>
      </c>
      <c r="AE362" s="207" t="s">
        <v>4405</v>
      </c>
      <c r="AF362" s="218">
        <v>15385.36</v>
      </c>
      <c r="AG362" s="218">
        <f>AF362+30000</f>
        <v>45385.36</v>
      </c>
      <c r="AH362" s="207" t="s">
        <v>4433</v>
      </c>
      <c r="AI362" s="214" t="s">
        <v>4411</v>
      </c>
      <c r="AJ362" s="207">
        <v>150604354</v>
      </c>
      <c r="AK362" s="316">
        <v>46066</v>
      </c>
      <c r="AL362" s="316">
        <v>46066</v>
      </c>
      <c r="AM362" s="316">
        <v>46066</v>
      </c>
      <c r="AN362" s="316">
        <v>46066</v>
      </c>
      <c r="AO362" s="316">
        <v>46066</v>
      </c>
      <c r="AP362" s="316">
        <v>46066</v>
      </c>
      <c r="AQ362" s="314"/>
      <c r="AR362" s="315" t="str">
        <f t="shared" si="24"/>
        <v>FINALIZADO</v>
      </c>
      <c r="AS362" s="207" t="s">
        <v>4423</v>
      </c>
      <c r="AT362" s="207"/>
      <c r="AU362" s="220" t="s">
        <v>5979</v>
      </c>
      <c r="AV362" s="250" t="s">
        <v>4425</v>
      </c>
      <c r="AW362" s="250" t="s">
        <v>4425</v>
      </c>
      <c r="AX362" s="207" t="s">
        <v>4425</v>
      </c>
      <c r="AY362" s="207" t="s">
        <v>4425</v>
      </c>
      <c r="AZ362" s="202">
        <v>46153</v>
      </c>
      <c r="BA362" s="207" t="s">
        <v>4425</v>
      </c>
      <c r="BB362" s="207" t="s">
        <v>4425</v>
      </c>
      <c r="BC362" s="202">
        <v>46160</v>
      </c>
      <c r="BD362" s="227">
        <v>46160</v>
      </c>
      <c r="BE362" s="228" t="s">
        <v>4435</v>
      </c>
      <c r="BF362" s="228" t="s">
        <v>4436</v>
      </c>
      <c r="BG362" s="219" t="s">
        <v>4425</v>
      </c>
      <c r="BH362" s="321">
        <f t="shared" si="25"/>
        <v>94</v>
      </c>
      <c r="BI362" s="98" t="str">
        <f t="shared" si="26"/>
        <v>INDENIZAÇÃO</v>
      </c>
      <c r="BJ362" s="98" t="str">
        <f t="shared" si="27"/>
        <v>NÃO</v>
      </c>
      <c r="BK362" s="219" t="s">
        <v>4437</v>
      </c>
      <c r="BL362" s="219" t="s">
        <v>4437</v>
      </c>
      <c r="BM362" s="219" t="s">
        <v>4437</v>
      </c>
      <c r="BN362" s="257" t="s">
        <v>5732</v>
      </c>
      <c r="BO362" s="257"/>
      <c r="BP362" s="257"/>
      <c r="BQ362" s="257"/>
      <c r="BR362" s="258"/>
    </row>
    <row r="363" spans="1:72" s="240" customFormat="1" ht="27" hidden="1" customHeight="1">
      <c r="A363" s="207">
        <v>359</v>
      </c>
      <c r="B363" s="197" t="s">
        <v>4396</v>
      </c>
      <c r="C363" s="207" t="s">
        <v>4427</v>
      </c>
      <c r="D363" s="207">
        <v>1</v>
      </c>
      <c r="E363" s="207" t="s">
        <v>4398</v>
      </c>
      <c r="F363" s="214" t="s">
        <v>5980</v>
      </c>
      <c r="G363" s="207" t="s">
        <v>4400</v>
      </c>
      <c r="H363" s="207" t="s">
        <v>4401</v>
      </c>
      <c r="I363" s="217" t="s">
        <v>4402</v>
      </c>
      <c r="J363" s="215" t="s">
        <v>5981</v>
      </c>
      <c r="K363" s="215" t="s">
        <v>5982</v>
      </c>
      <c r="L363" s="215" t="s">
        <v>5983</v>
      </c>
      <c r="M363" s="207" t="s">
        <v>4405</v>
      </c>
      <c r="N363" s="207" t="s">
        <v>4442</v>
      </c>
      <c r="O363" s="202" t="s">
        <v>4409</v>
      </c>
      <c r="P363" s="202" t="s">
        <v>4409</v>
      </c>
      <c r="Q363" s="202" t="s">
        <v>4409</v>
      </c>
      <c r="R363" s="202" t="s">
        <v>4409</v>
      </c>
      <c r="S363" s="202" t="s">
        <v>4409</v>
      </c>
      <c r="T363" s="202" t="s">
        <v>4409</v>
      </c>
      <c r="U363" s="202" t="s">
        <v>4409</v>
      </c>
      <c r="V363" s="202" t="s">
        <v>4409</v>
      </c>
      <c r="W363" s="202" t="s">
        <v>4409</v>
      </c>
      <c r="X363" s="202" t="s">
        <v>4409</v>
      </c>
      <c r="Y363" s="202"/>
      <c r="Z363" s="207"/>
      <c r="AA363" s="215" t="s">
        <v>5981</v>
      </c>
      <c r="AB363" s="215" t="s">
        <v>5982</v>
      </c>
      <c r="AC363" s="215" t="s">
        <v>5983</v>
      </c>
      <c r="AD363" s="207" t="s">
        <v>4402</v>
      </c>
      <c r="AE363" s="207" t="s">
        <v>4405</v>
      </c>
      <c r="AF363" s="218">
        <v>108073.38</v>
      </c>
      <c r="AG363" s="218">
        <v>108073.38</v>
      </c>
      <c r="AH363" s="207" t="s">
        <v>4433</v>
      </c>
      <c r="AI363" s="214" t="s">
        <v>4411</v>
      </c>
      <c r="AJ363" s="207">
        <v>148265011</v>
      </c>
      <c r="AK363" s="316">
        <v>46045</v>
      </c>
      <c r="AL363" s="316">
        <v>46045</v>
      </c>
      <c r="AM363" s="316">
        <v>46045</v>
      </c>
      <c r="AN363" s="316">
        <v>46045</v>
      </c>
      <c r="AO363" s="316">
        <v>46045</v>
      </c>
      <c r="AP363" s="316">
        <v>46045</v>
      </c>
      <c r="AQ363" s="314"/>
      <c r="AR363" s="315" t="str">
        <f t="shared" si="24"/>
        <v>FINALIZADO</v>
      </c>
      <c r="AS363" s="207" t="s">
        <v>4423</v>
      </c>
      <c r="AT363" s="207"/>
      <c r="AU363" s="220" t="s">
        <v>5984</v>
      </c>
      <c r="AV363" s="160" t="s">
        <v>4425</v>
      </c>
      <c r="AW363" s="207" t="s">
        <v>4425</v>
      </c>
      <c r="AX363" s="207" t="s">
        <v>4425</v>
      </c>
      <c r="AY363" s="197" t="s">
        <v>4425</v>
      </c>
      <c r="AZ363" s="202">
        <v>46125</v>
      </c>
      <c r="BA363" s="207" t="s">
        <v>4425</v>
      </c>
      <c r="BB363" s="160" t="s">
        <v>4425</v>
      </c>
      <c r="BC363" s="202">
        <v>46139</v>
      </c>
      <c r="BD363" s="227">
        <v>46139</v>
      </c>
      <c r="BE363" s="227" t="s">
        <v>4435</v>
      </c>
      <c r="BF363" s="228" t="s">
        <v>4436</v>
      </c>
      <c r="BG363" s="229" t="s">
        <v>4425</v>
      </c>
      <c r="BH363" s="321">
        <f t="shared" si="25"/>
        <v>94</v>
      </c>
      <c r="BI363" s="98" t="str">
        <f t="shared" si="26"/>
        <v>INDENIZAÇÃO</v>
      </c>
      <c r="BJ363" s="98" t="str">
        <f t="shared" si="27"/>
        <v>NÃO</v>
      </c>
      <c r="BK363" s="219" t="s">
        <v>4437</v>
      </c>
      <c r="BL363" s="219" t="s">
        <v>4437</v>
      </c>
      <c r="BM363" s="219" t="s">
        <v>4437</v>
      </c>
      <c r="BN363" s="257" t="s">
        <v>5732</v>
      </c>
      <c r="BO363" s="257"/>
      <c r="BP363" s="257"/>
      <c r="BQ363" s="257"/>
      <c r="BR363" s="258"/>
    </row>
    <row r="364" spans="1:72" s="240" customFormat="1" ht="27" hidden="1" customHeight="1">
      <c r="A364" s="197">
        <v>360</v>
      </c>
      <c r="B364" s="197" t="s">
        <v>4396</v>
      </c>
      <c r="C364" s="207" t="s">
        <v>4427</v>
      </c>
      <c r="D364" s="207">
        <v>1</v>
      </c>
      <c r="E364" s="207" t="s">
        <v>4398</v>
      </c>
      <c r="F364" s="214" t="s">
        <v>5985</v>
      </c>
      <c r="G364" s="207" t="s">
        <v>4400</v>
      </c>
      <c r="H364" s="207" t="s">
        <v>4401</v>
      </c>
      <c r="I364" s="217" t="s">
        <v>4402</v>
      </c>
      <c r="J364" s="255" t="s">
        <v>5986</v>
      </c>
      <c r="K364" s="215" t="s">
        <v>5987</v>
      </c>
      <c r="L364" s="215" t="s">
        <v>5988</v>
      </c>
      <c r="M364" s="207" t="s">
        <v>4405</v>
      </c>
      <c r="N364" s="207" t="s">
        <v>4406</v>
      </c>
      <c r="O364" s="203">
        <v>46031</v>
      </c>
      <c r="P364" s="202" t="s">
        <v>4407</v>
      </c>
      <c r="Q364" s="203">
        <v>46030</v>
      </c>
      <c r="R364" s="203">
        <v>46031</v>
      </c>
      <c r="S364" s="203">
        <v>46036</v>
      </c>
      <c r="T364" s="203">
        <v>46045</v>
      </c>
      <c r="U364" s="203" t="s">
        <v>4408</v>
      </c>
      <c r="V364" s="203" t="s">
        <v>4408</v>
      </c>
      <c r="W364" s="202">
        <v>46055</v>
      </c>
      <c r="X364" s="202">
        <v>46056</v>
      </c>
      <c r="Y364" s="203"/>
      <c r="Z364" s="219"/>
      <c r="AA364" s="255" t="s">
        <v>5986</v>
      </c>
      <c r="AB364" s="215" t="s">
        <v>5987</v>
      </c>
      <c r="AC364" s="215" t="s">
        <v>5988</v>
      </c>
      <c r="AD364" s="217" t="s">
        <v>4402</v>
      </c>
      <c r="AE364" s="207" t="s">
        <v>4405</v>
      </c>
      <c r="AF364" s="218" t="s">
        <v>4409</v>
      </c>
      <c r="AG364" s="218" t="s">
        <v>4409</v>
      </c>
      <c r="AH364" s="207" t="s">
        <v>4410</v>
      </c>
      <c r="AI364" s="214" t="s">
        <v>4411</v>
      </c>
      <c r="AJ364" s="207"/>
      <c r="AK364" s="317"/>
      <c r="AL364" s="317"/>
      <c r="AM364" s="317"/>
      <c r="AN364" s="317"/>
      <c r="AO364" s="317"/>
      <c r="AP364" s="317"/>
      <c r="AQ364" s="314"/>
      <c r="AR364" s="315" t="str">
        <f t="shared" si="24"/>
        <v/>
      </c>
      <c r="AS364" s="207"/>
      <c r="AT364" s="219"/>
      <c r="AU364" s="220"/>
      <c r="AV364" s="219"/>
      <c r="AW364" s="219"/>
      <c r="AX364" s="219"/>
      <c r="AY364" s="219"/>
      <c r="AZ364" s="219"/>
      <c r="BA364" s="219"/>
      <c r="BB364" s="219"/>
      <c r="BC364" s="219"/>
      <c r="BD364" s="208"/>
      <c r="BE364" s="203"/>
      <c r="BF364" s="219"/>
      <c r="BG364" s="219"/>
      <c r="BH364" s="321" t="str">
        <f t="shared" si="25"/>
        <v/>
      </c>
      <c r="BI364" s="98" t="str">
        <f t="shared" si="26"/>
        <v>AA</v>
      </c>
      <c r="BJ364" s="98" t="str">
        <f t="shared" si="27"/>
        <v>NÃO</v>
      </c>
      <c r="BK364" s="219"/>
      <c r="BL364" s="221"/>
      <c r="BM364" s="221"/>
      <c r="BN364" s="219"/>
      <c r="BO364" s="219"/>
      <c r="BP364" s="219"/>
      <c r="BQ364" s="219"/>
      <c r="BR364" s="222"/>
      <c r="BS364" s="223"/>
      <c r="BT364" s="223"/>
    </row>
    <row r="365" spans="1:72" s="240" customFormat="1" ht="27" hidden="1" customHeight="1">
      <c r="A365" s="197">
        <v>361</v>
      </c>
      <c r="B365" s="197" t="s">
        <v>4396</v>
      </c>
      <c r="C365" s="207" t="s">
        <v>4427</v>
      </c>
      <c r="D365" s="207">
        <v>1</v>
      </c>
      <c r="E365" s="207" t="s">
        <v>4398</v>
      </c>
      <c r="F365" s="214" t="s">
        <v>5989</v>
      </c>
      <c r="G365" s="207" t="s">
        <v>4400</v>
      </c>
      <c r="H365" s="207" t="s">
        <v>4401</v>
      </c>
      <c r="I365" s="217" t="s">
        <v>4402</v>
      </c>
      <c r="J365" s="215" t="s">
        <v>5990</v>
      </c>
      <c r="K365" s="215" t="s">
        <v>5991</v>
      </c>
      <c r="L365" s="215" t="s">
        <v>5992</v>
      </c>
      <c r="M365" s="207" t="s">
        <v>4405</v>
      </c>
      <c r="N365" s="207" t="s">
        <v>4406</v>
      </c>
      <c r="O365" s="202">
        <v>46002</v>
      </c>
      <c r="P365" s="202" t="s">
        <v>4407</v>
      </c>
      <c r="Q365" s="202">
        <v>45999</v>
      </c>
      <c r="R365" s="202">
        <v>46006</v>
      </c>
      <c r="S365" s="202">
        <v>46006</v>
      </c>
      <c r="T365" s="202">
        <v>46009</v>
      </c>
      <c r="U365" s="202" t="s">
        <v>4408</v>
      </c>
      <c r="V365" s="202" t="s">
        <v>4408</v>
      </c>
      <c r="W365" s="202">
        <v>46014</v>
      </c>
      <c r="X365" s="202">
        <v>46017</v>
      </c>
      <c r="Y365" s="202"/>
      <c r="Z365" s="207"/>
      <c r="AA365" s="215" t="s">
        <v>5990</v>
      </c>
      <c r="AB365" s="215" t="s">
        <v>5991</v>
      </c>
      <c r="AC365" s="215" t="s">
        <v>5992</v>
      </c>
      <c r="AD365" s="207" t="s">
        <v>4402</v>
      </c>
      <c r="AE365" s="207" t="s">
        <v>4405</v>
      </c>
      <c r="AF365" s="218" t="s">
        <v>4409</v>
      </c>
      <c r="AG365" s="218" t="s">
        <v>4409</v>
      </c>
      <c r="AH365" s="207" t="s">
        <v>4410</v>
      </c>
      <c r="AI365" s="214" t="s">
        <v>4411</v>
      </c>
      <c r="AJ365" s="207"/>
      <c r="AK365" s="316">
        <v>45996</v>
      </c>
      <c r="AL365" s="316">
        <v>45996</v>
      </c>
      <c r="AM365" s="316">
        <v>45996</v>
      </c>
      <c r="AN365" s="316">
        <v>45996</v>
      </c>
      <c r="AO365" s="316">
        <v>45996</v>
      </c>
      <c r="AP365" s="316">
        <v>45996</v>
      </c>
      <c r="AQ365" s="314"/>
      <c r="AR365" s="315" t="str">
        <f t="shared" si="24"/>
        <v>FINALIZADO</v>
      </c>
      <c r="AS365" s="207"/>
      <c r="AT365" s="207"/>
      <c r="AU365" s="220"/>
      <c r="AV365" s="207"/>
      <c r="AW365" s="207"/>
      <c r="AX365" s="207"/>
      <c r="AY365" s="207"/>
      <c r="AZ365" s="202"/>
      <c r="BA365" s="219"/>
      <c r="BB365" s="207"/>
      <c r="BC365" s="202"/>
      <c r="BD365" s="208"/>
      <c r="BE365" s="202"/>
      <c r="BF365" s="207"/>
      <c r="BG365" s="229"/>
      <c r="BH365" s="321" t="str">
        <f t="shared" si="25"/>
        <v/>
      </c>
      <c r="BI365" s="98" t="str">
        <f t="shared" si="26"/>
        <v>AA</v>
      </c>
      <c r="BJ365" s="98" t="str">
        <f t="shared" si="27"/>
        <v>NÃO</v>
      </c>
      <c r="BK365" s="230"/>
      <c r="BL365" s="230"/>
      <c r="BM365" s="230"/>
      <c r="BN365" s="230"/>
      <c r="BO365" s="230"/>
      <c r="BP365" s="230"/>
      <c r="BQ365" s="230"/>
      <c r="BR365" s="234"/>
    </row>
    <row r="366" spans="1:72" s="240" customFormat="1" ht="27" hidden="1" customHeight="1">
      <c r="A366" s="207">
        <v>362</v>
      </c>
      <c r="B366" s="197" t="s">
        <v>4396</v>
      </c>
      <c r="C366" s="207" t="s">
        <v>4427</v>
      </c>
      <c r="D366" s="207">
        <v>1</v>
      </c>
      <c r="E366" s="207" t="s">
        <v>4398</v>
      </c>
      <c r="F366" s="214" t="s">
        <v>5993</v>
      </c>
      <c r="G366" s="207" t="s">
        <v>4400</v>
      </c>
      <c r="H366" s="207" t="s">
        <v>4583</v>
      </c>
      <c r="I366" s="217" t="s">
        <v>4402</v>
      </c>
      <c r="J366" s="215" t="s">
        <v>5994</v>
      </c>
      <c r="K366" s="215" t="s">
        <v>5995</v>
      </c>
      <c r="L366" s="215" t="s">
        <v>5996</v>
      </c>
      <c r="M366" s="207" t="s">
        <v>4405</v>
      </c>
      <c r="N366" s="207" t="s">
        <v>4442</v>
      </c>
      <c r="O366" s="202" t="s">
        <v>4409</v>
      </c>
      <c r="P366" s="202" t="s">
        <v>4409</v>
      </c>
      <c r="Q366" s="202" t="s">
        <v>4409</v>
      </c>
      <c r="R366" s="202" t="s">
        <v>4409</v>
      </c>
      <c r="S366" s="202" t="s">
        <v>4409</v>
      </c>
      <c r="T366" s="202" t="s">
        <v>4409</v>
      </c>
      <c r="U366" s="202" t="s">
        <v>4409</v>
      </c>
      <c r="V366" s="202" t="s">
        <v>4409</v>
      </c>
      <c r="W366" s="202" t="s">
        <v>4409</v>
      </c>
      <c r="X366" s="202" t="s">
        <v>4409</v>
      </c>
      <c r="Y366" s="202"/>
      <c r="Z366" s="207"/>
      <c r="AA366" s="215" t="s">
        <v>5994</v>
      </c>
      <c r="AB366" s="215" t="s">
        <v>5995</v>
      </c>
      <c r="AC366" s="215" t="s">
        <v>5996</v>
      </c>
      <c r="AD366" s="207" t="s">
        <v>4402</v>
      </c>
      <c r="AE366" s="207" t="s">
        <v>4405</v>
      </c>
      <c r="AF366" s="218">
        <v>76482.22</v>
      </c>
      <c r="AG366" s="218">
        <v>76482.22</v>
      </c>
      <c r="AH366" s="207" t="s">
        <v>4433</v>
      </c>
      <c r="AI366" s="214" t="s">
        <v>4411</v>
      </c>
      <c r="AJ366" s="207">
        <v>147055826</v>
      </c>
      <c r="AK366" s="316">
        <v>45996</v>
      </c>
      <c r="AL366" s="316">
        <v>45996</v>
      </c>
      <c r="AM366" s="316">
        <v>45996</v>
      </c>
      <c r="AN366" s="316">
        <v>45996</v>
      </c>
      <c r="AO366" s="316">
        <v>45996</v>
      </c>
      <c r="AP366" s="316">
        <v>45996</v>
      </c>
      <c r="AQ366" s="314"/>
      <c r="AR366" s="315" t="str">
        <f t="shared" si="24"/>
        <v>FINALIZADO</v>
      </c>
      <c r="AS366" s="207" t="s">
        <v>4423</v>
      </c>
      <c r="AT366" s="207"/>
      <c r="AU366" s="220" t="s">
        <v>5997</v>
      </c>
      <c r="AV366" s="160" t="s">
        <v>4425</v>
      </c>
      <c r="AW366" s="207" t="s">
        <v>4425</v>
      </c>
      <c r="AX366" s="207" t="s">
        <v>4425</v>
      </c>
      <c r="AY366" s="207" t="s">
        <v>4425</v>
      </c>
      <c r="AZ366" s="203">
        <v>46017</v>
      </c>
      <c r="BA366" s="219" t="s">
        <v>4425</v>
      </c>
      <c r="BB366" s="207" t="s">
        <v>4425</v>
      </c>
      <c r="BC366" s="208">
        <v>46024</v>
      </c>
      <c r="BD366" s="227">
        <v>46024</v>
      </c>
      <c r="BE366" s="226" t="s">
        <v>4435</v>
      </c>
      <c r="BF366" s="228" t="s">
        <v>4436</v>
      </c>
      <c r="BG366" s="229" t="s">
        <v>4425</v>
      </c>
      <c r="BH366" s="321">
        <f t="shared" si="25"/>
        <v>28</v>
      </c>
      <c r="BI366" s="98" t="str">
        <f t="shared" si="26"/>
        <v>INDENIZAÇÃO</v>
      </c>
      <c r="BJ366" s="98" t="str">
        <f t="shared" si="27"/>
        <v>NÃO</v>
      </c>
      <c r="BK366" s="230" t="s">
        <v>4437</v>
      </c>
      <c r="BL366" s="230" t="s">
        <v>4437</v>
      </c>
      <c r="BM366" s="230" t="s">
        <v>4437</v>
      </c>
      <c r="BN366" s="265" t="s">
        <v>5732</v>
      </c>
      <c r="BO366" s="265"/>
      <c r="BP366" s="265"/>
      <c r="BQ366" s="265"/>
      <c r="BR366" s="231"/>
    </row>
    <row r="367" spans="1:72" s="240" customFormat="1" ht="27" hidden="1" customHeight="1">
      <c r="A367" s="207">
        <v>363</v>
      </c>
      <c r="B367" s="197" t="s">
        <v>4396</v>
      </c>
      <c r="C367" s="207" t="s">
        <v>4427</v>
      </c>
      <c r="D367" s="207">
        <v>1</v>
      </c>
      <c r="E367" s="207" t="s">
        <v>4398</v>
      </c>
      <c r="F367" s="214" t="s">
        <v>5998</v>
      </c>
      <c r="G367" s="207" t="s">
        <v>4400</v>
      </c>
      <c r="H367" s="207" t="s">
        <v>4401</v>
      </c>
      <c r="I367" s="217" t="s">
        <v>4402</v>
      </c>
      <c r="J367" s="215" t="s">
        <v>5999</v>
      </c>
      <c r="K367" s="215" t="s">
        <v>6000</v>
      </c>
      <c r="L367" s="215" t="s">
        <v>6001</v>
      </c>
      <c r="M367" s="207" t="s">
        <v>4405</v>
      </c>
      <c r="N367" s="207" t="s">
        <v>4442</v>
      </c>
      <c r="O367" s="202" t="s">
        <v>4409</v>
      </c>
      <c r="P367" s="202" t="s">
        <v>4409</v>
      </c>
      <c r="Q367" s="202" t="s">
        <v>4409</v>
      </c>
      <c r="R367" s="202" t="s">
        <v>4409</v>
      </c>
      <c r="S367" s="202" t="s">
        <v>4409</v>
      </c>
      <c r="T367" s="202" t="s">
        <v>4409</v>
      </c>
      <c r="U367" s="202" t="s">
        <v>4409</v>
      </c>
      <c r="V367" s="202" t="s">
        <v>4409</v>
      </c>
      <c r="W367" s="202" t="s">
        <v>4409</v>
      </c>
      <c r="X367" s="202" t="s">
        <v>4409</v>
      </c>
      <c r="Y367" s="202"/>
      <c r="Z367" s="207"/>
      <c r="AA367" s="215" t="s">
        <v>5999</v>
      </c>
      <c r="AB367" s="215" t="s">
        <v>6000</v>
      </c>
      <c r="AC367" s="215" t="s">
        <v>6001</v>
      </c>
      <c r="AD367" s="207" t="s">
        <v>4402</v>
      </c>
      <c r="AE367" s="207" t="s">
        <v>4405</v>
      </c>
      <c r="AF367" s="218">
        <v>76127.16</v>
      </c>
      <c r="AG367" s="218">
        <v>76127.16</v>
      </c>
      <c r="AH367" s="207" t="s">
        <v>4433</v>
      </c>
      <c r="AI367" s="214" t="s">
        <v>4411</v>
      </c>
      <c r="AJ367" s="207">
        <v>148265129</v>
      </c>
      <c r="AK367" s="316">
        <v>46045</v>
      </c>
      <c r="AL367" s="316">
        <v>46045</v>
      </c>
      <c r="AM367" s="316">
        <v>46045</v>
      </c>
      <c r="AN367" s="316">
        <v>46045</v>
      </c>
      <c r="AO367" s="316">
        <v>46045</v>
      </c>
      <c r="AP367" s="316">
        <v>46045</v>
      </c>
      <c r="AQ367" s="314"/>
      <c r="AR367" s="315" t="str">
        <f t="shared" si="24"/>
        <v>FINALIZADO</v>
      </c>
      <c r="AS367" s="207" t="s">
        <v>4423</v>
      </c>
      <c r="AT367" s="207"/>
      <c r="AU367" s="220" t="s">
        <v>6002</v>
      </c>
      <c r="AV367" s="197" t="s">
        <v>4425</v>
      </c>
      <c r="AW367" s="207" t="s">
        <v>4425</v>
      </c>
      <c r="AX367" s="207" t="s">
        <v>4425</v>
      </c>
      <c r="AY367" s="207" t="s">
        <v>4425</v>
      </c>
      <c r="AZ367" s="202">
        <v>46153</v>
      </c>
      <c r="BA367" s="207" t="s">
        <v>4425</v>
      </c>
      <c r="BB367" s="207" t="s">
        <v>4425</v>
      </c>
      <c r="BC367" s="202">
        <v>46160</v>
      </c>
      <c r="BD367" s="227">
        <v>46160</v>
      </c>
      <c r="BE367" s="228" t="s">
        <v>4435</v>
      </c>
      <c r="BF367" s="228" t="s">
        <v>4436</v>
      </c>
      <c r="BG367" s="219" t="s">
        <v>4425</v>
      </c>
      <c r="BH367" s="321">
        <f t="shared" si="25"/>
        <v>115</v>
      </c>
      <c r="BI367" s="98" t="str">
        <f t="shared" si="26"/>
        <v>INDENIZAÇÃO</v>
      </c>
      <c r="BJ367" s="98" t="str">
        <f t="shared" si="27"/>
        <v>NÃO</v>
      </c>
      <c r="BK367" s="219" t="s">
        <v>4437</v>
      </c>
      <c r="BL367" s="219" t="s">
        <v>4437</v>
      </c>
      <c r="BM367" s="219" t="s">
        <v>4437</v>
      </c>
      <c r="BN367" s="257" t="s">
        <v>5732</v>
      </c>
      <c r="BO367" s="257"/>
      <c r="BP367" s="257"/>
      <c r="BQ367" s="257"/>
      <c r="BR367" s="258"/>
    </row>
    <row r="368" spans="1:72" s="240" customFormat="1" ht="27" hidden="1" customHeight="1">
      <c r="A368" s="207">
        <v>364</v>
      </c>
      <c r="B368" s="197" t="s">
        <v>4396</v>
      </c>
      <c r="C368" s="207" t="s">
        <v>4427</v>
      </c>
      <c r="D368" s="207">
        <v>1</v>
      </c>
      <c r="E368" s="207" t="s">
        <v>4398</v>
      </c>
      <c r="F368" s="214" t="s">
        <v>6003</v>
      </c>
      <c r="G368" s="207" t="s">
        <v>4400</v>
      </c>
      <c r="H368" s="207" t="s">
        <v>4401</v>
      </c>
      <c r="I368" s="217" t="s">
        <v>4402</v>
      </c>
      <c r="J368" s="215" t="s">
        <v>6004</v>
      </c>
      <c r="K368" s="215" t="s">
        <v>6005</v>
      </c>
      <c r="L368" s="215" t="s">
        <v>6006</v>
      </c>
      <c r="M368" s="207" t="s">
        <v>4405</v>
      </c>
      <c r="N368" s="207" t="s">
        <v>4442</v>
      </c>
      <c r="O368" s="202" t="s">
        <v>4409</v>
      </c>
      <c r="P368" s="202" t="s">
        <v>4409</v>
      </c>
      <c r="Q368" s="202" t="s">
        <v>4409</v>
      </c>
      <c r="R368" s="202" t="s">
        <v>4409</v>
      </c>
      <c r="S368" s="202" t="s">
        <v>4409</v>
      </c>
      <c r="T368" s="202" t="s">
        <v>4409</v>
      </c>
      <c r="U368" s="202" t="s">
        <v>4409</v>
      </c>
      <c r="V368" s="202" t="s">
        <v>4409</v>
      </c>
      <c r="W368" s="202" t="s">
        <v>4409</v>
      </c>
      <c r="X368" s="202" t="s">
        <v>4409</v>
      </c>
      <c r="Y368" s="202"/>
      <c r="Z368" s="207"/>
      <c r="AA368" s="215" t="s">
        <v>6004</v>
      </c>
      <c r="AB368" s="215" t="s">
        <v>6005</v>
      </c>
      <c r="AC368" s="215" t="s">
        <v>6006</v>
      </c>
      <c r="AD368" s="207" t="s">
        <v>4402</v>
      </c>
      <c r="AE368" s="207" t="s">
        <v>4405</v>
      </c>
      <c r="AF368" s="218">
        <v>21612.32</v>
      </c>
      <c r="AG368" s="218">
        <f>AF368+30000</f>
        <v>51612.32</v>
      </c>
      <c r="AH368" s="207" t="s">
        <v>4433</v>
      </c>
      <c r="AI368" s="214" t="s">
        <v>4411</v>
      </c>
      <c r="AJ368" s="207">
        <v>147055964</v>
      </c>
      <c r="AK368" s="316">
        <v>46059</v>
      </c>
      <c r="AL368" s="316">
        <v>46059</v>
      </c>
      <c r="AM368" s="316">
        <v>46059</v>
      </c>
      <c r="AN368" s="316">
        <v>46059</v>
      </c>
      <c r="AO368" s="316">
        <v>46059</v>
      </c>
      <c r="AP368" s="316">
        <v>46059</v>
      </c>
      <c r="AQ368" s="314"/>
      <c r="AR368" s="315" t="str">
        <f t="shared" si="24"/>
        <v>FINALIZADO</v>
      </c>
      <c r="AS368" s="207" t="s">
        <v>4423</v>
      </c>
      <c r="AT368" s="207"/>
      <c r="AU368" s="220" t="s">
        <v>6007</v>
      </c>
      <c r="AV368" s="207" t="s">
        <v>4425</v>
      </c>
      <c r="AW368" s="207" t="s">
        <v>4425</v>
      </c>
      <c r="AX368" s="207" t="s">
        <v>4425</v>
      </c>
      <c r="AY368" s="197" t="s">
        <v>4425</v>
      </c>
      <c r="AZ368" s="202">
        <v>46127</v>
      </c>
      <c r="BA368" s="207" t="s">
        <v>4425</v>
      </c>
      <c r="BB368" s="197" t="s">
        <v>4425</v>
      </c>
      <c r="BC368" s="202">
        <v>46139</v>
      </c>
      <c r="BD368" s="227">
        <v>46139</v>
      </c>
      <c r="BE368" s="227" t="s">
        <v>4435</v>
      </c>
      <c r="BF368" s="228" t="s">
        <v>4436</v>
      </c>
      <c r="BG368" s="229" t="s">
        <v>4425</v>
      </c>
      <c r="BH368" s="321">
        <f t="shared" si="25"/>
        <v>80</v>
      </c>
      <c r="BI368" s="98" t="str">
        <f t="shared" si="26"/>
        <v>INDENIZAÇÃO</v>
      </c>
      <c r="BJ368" s="98" t="str">
        <f t="shared" si="27"/>
        <v>NÃO</v>
      </c>
      <c r="BK368" s="219" t="s">
        <v>4437</v>
      </c>
      <c r="BL368" s="219" t="s">
        <v>4437</v>
      </c>
      <c r="BM368" s="219" t="s">
        <v>4437</v>
      </c>
      <c r="BN368" s="257" t="s">
        <v>5732</v>
      </c>
      <c r="BO368" s="257"/>
      <c r="BP368" s="257"/>
      <c r="BQ368" s="257"/>
      <c r="BR368" s="258"/>
      <c r="BS368" s="223"/>
      <c r="BT368" s="223"/>
    </row>
    <row r="369" spans="1:72" s="240" customFormat="1" ht="27" hidden="1" customHeight="1">
      <c r="A369" s="197">
        <v>365</v>
      </c>
      <c r="B369" s="197" t="s">
        <v>4396</v>
      </c>
      <c r="C369" s="207" t="s">
        <v>4427</v>
      </c>
      <c r="D369" s="207">
        <v>1</v>
      </c>
      <c r="E369" s="207" t="s">
        <v>4398</v>
      </c>
      <c r="F369" s="214" t="s">
        <v>6008</v>
      </c>
      <c r="G369" s="207" t="s">
        <v>4400</v>
      </c>
      <c r="H369" s="207" t="s">
        <v>4401</v>
      </c>
      <c r="I369" s="217" t="s">
        <v>4402</v>
      </c>
      <c r="J369" s="215" t="s">
        <v>6009</v>
      </c>
      <c r="K369" s="215" t="s">
        <v>6010</v>
      </c>
      <c r="L369" s="215" t="s">
        <v>6011</v>
      </c>
      <c r="M369" s="207" t="s">
        <v>4405</v>
      </c>
      <c r="N369" s="207" t="s">
        <v>4442</v>
      </c>
      <c r="O369" s="202" t="s">
        <v>4409</v>
      </c>
      <c r="P369" s="202" t="s">
        <v>4409</v>
      </c>
      <c r="Q369" s="202" t="s">
        <v>4409</v>
      </c>
      <c r="R369" s="202" t="s">
        <v>4409</v>
      </c>
      <c r="S369" s="202" t="s">
        <v>4409</v>
      </c>
      <c r="T369" s="202" t="s">
        <v>4409</v>
      </c>
      <c r="U369" s="202" t="s">
        <v>4409</v>
      </c>
      <c r="V369" s="202" t="s">
        <v>4409</v>
      </c>
      <c r="W369" s="202" t="s">
        <v>4409</v>
      </c>
      <c r="X369" s="202" t="s">
        <v>4409</v>
      </c>
      <c r="Y369" s="202"/>
      <c r="Z369" s="207"/>
      <c r="AA369" s="215" t="s">
        <v>6009</v>
      </c>
      <c r="AB369" s="215" t="s">
        <v>6010</v>
      </c>
      <c r="AC369" s="215" t="s">
        <v>6011</v>
      </c>
      <c r="AD369" s="207" t="s">
        <v>4402</v>
      </c>
      <c r="AE369" s="207" t="s">
        <v>4405</v>
      </c>
      <c r="AF369" s="218">
        <v>10167</v>
      </c>
      <c r="AG369" s="218">
        <v>10167</v>
      </c>
      <c r="AH369" s="207" t="s">
        <v>4433</v>
      </c>
      <c r="AI369" s="214" t="s">
        <v>4411</v>
      </c>
      <c r="AJ369" s="207">
        <v>147056127</v>
      </c>
      <c r="AK369" s="316">
        <v>46001</v>
      </c>
      <c r="AL369" s="316">
        <v>46001</v>
      </c>
      <c r="AM369" s="316">
        <v>46001</v>
      </c>
      <c r="AN369" s="316">
        <v>46001</v>
      </c>
      <c r="AO369" s="316">
        <v>46001</v>
      </c>
      <c r="AP369" s="316">
        <v>46001</v>
      </c>
      <c r="AQ369" s="314"/>
      <c r="AR369" s="315" t="str">
        <f t="shared" si="24"/>
        <v>FINALIZADO</v>
      </c>
      <c r="AS369" s="207" t="s">
        <v>4423</v>
      </c>
      <c r="AT369" s="207"/>
      <c r="AU369" s="220" t="s">
        <v>6012</v>
      </c>
      <c r="AV369" s="207" t="s">
        <v>4425</v>
      </c>
      <c r="AW369" s="207" t="s">
        <v>4425</v>
      </c>
      <c r="AX369" s="207" t="s">
        <v>4425</v>
      </c>
      <c r="AY369" s="207" t="s">
        <v>4425</v>
      </c>
      <c r="AZ369" s="202">
        <v>46020</v>
      </c>
      <c r="BA369" s="219" t="s">
        <v>4425</v>
      </c>
      <c r="BB369" s="207" t="s">
        <v>4425</v>
      </c>
      <c r="BC369" s="208">
        <v>46024</v>
      </c>
      <c r="BD369" s="227">
        <v>46024</v>
      </c>
      <c r="BE369" s="226" t="s">
        <v>4435</v>
      </c>
      <c r="BF369" s="228" t="s">
        <v>4436</v>
      </c>
      <c r="BG369" s="229" t="s">
        <v>4425</v>
      </c>
      <c r="BH369" s="321">
        <f t="shared" si="25"/>
        <v>23</v>
      </c>
      <c r="BI369" s="98" t="str">
        <f t="shared" si="26"/>
        <v>INDENIZAÇÃO</v>
      </c>
      <c r="BJ369" s="98" t="str">
        <f t="shared" si="27"/>
        <v>NÃO</v>
      </c>
      <c r="BK369" s="230" t="s">
        <v>4437</v>
      </c>
      <c r="BL369" s="230" t="s">
        <v>4437</v>
      </c>
      <c r="BM369" s="230" t="s">
        <v>4437</v>
      </c>
      <c r="BN369" s="265" t="s">
        <v>5732</v>
      </c>
      <c r="BO369" s="265"/>
      <c r="BP369" s="265"/>
      <c r="BQ369" s="265"/>
      <c r="BR369" s="231"/>
      <c r="BS369" s="223"/>
      <c r="BT369" s="223"/>
    </row>
    <row r="370" spans="1:72" s="240" customFormat="1" ht="27" hidden="1" customHeight="1">
      <c r="A370" s="197">
        <v>366</v>
      </c>
      <c r="B370" s="197" t="s">
        <v>4396</v>
      </c>
      <c r="C370" s="207" t="s">
        <v>4427</v>
      </c>
      <c r="D370" s="207">
        <v>1</v>
      </c>
      <c r="E370" s="207" t="s">
        <v>4398</v>
      </c>
      <c r="F370" s="214" t="s">
        <v>6013</v>
      </c>
      <c r="G370" s="207" t="s">
        <v>4400</v>
      </c>
      <c r="H370" s="207" t="s">
        <v>4401</v>
      </c>
      <c r="I370" s="217" t="s">
        <v>4402</v>
      </c>
      <c r="J370" s="215" t="s">
        <v>6014</v>
      </c>
      <c r="K370" s="215" t="s">
        <v>6015</v>
      </c>
      <c r="L370" s="215" t="s">
        <v>6016</v>
      </c>
      <c r="M370" s="207" t="s">
        <v>4405</v>
      </c>
      <c r="N370" s="207" t="s">
        <v>4406</v>
      </c>
      <c r="O370" s="202">
        <v>45986</v>
      </c>
      <c r="P370" s="203" t="s">
        <v>4407</v>
      </c>
      <c r="Q370" s="203">
        <v>45985</v>
      </c>
      <c r="R370" s="203">
        <v>45986</v>
      </c>
      <c r="S370" s="203">
        <v>45987</v>
      </c>
      <c r="T370" s="203">
        <v>45992</v>
      </c>
      <c r="U370" s="202" t="s">
        <v>4408</v>
      </c>
      <c r="V370" s="202" t="s">
        <v>4408</v>
      </c>
      <c r="W370" s="202">
        <v>45999</v>
      </c>
      <c r="X370" s="202">
        <v>46000</v>
      </c>
      <c r="Y370" s="202"/>
      <c r="Z370" s="207"/>
      <c r="AA370" s="215" t="s">
        <v>6014</v>
      </c>
      <c r="AB370" s="215" t="s">
        <v>6015</v>
      </c>
      <c r="AC370" s="215" t="s">
        <v>6016</v>
      </c>
      <c r="AD370" s="207" t="s">
        <v>4402</v>
      </c>
      <c r="AE370" s="207" t="s">
        <v>4405</v>
      </c>
      <c r="AF370" s="218" t="s">
        <v>4409</v>
      </c>
      <c r="AG370" s="218" t="s">
        <v>4409</v>
      </c>
      <c r="AH370" s="207" t="s">
        <v>4410</v>
      </c>
      <c r="AI370" s="214" t="s">
        <v>4411</v>
      </c>
      <c r="AJ370" s="207"/>
      <c r="AK370" s="316">
        <v>45980</v>
      </c>
      <c r="AL370" s="316">
        <v>45980</v>
      </c>
      <c r="AM370" s="316">
        <v>45980</v>
      </c>
      <c r="AN370" s="316">
        <v>45980</v>
      </c>
      <c r="AO370" s="316">
        <v>45980</v>
      </c>
      <c r="AP370" s="316">
        <v>45980</v>
      </c>
      <c r="AQ370" s="314"/>
      <c r="AR370" s="315" t="str">
        <f t="shared" si="24"/>
        <v>FINALIZADO</v>
      </c>
      <c r="AS370" s="207"/>
      <c r="AT370" s="207"/>
      <c r="AU370" s="220"/>
      <c r="AV370" s="207"/>
      <c r="AW370" s="207"/>
      <c r="AX370" s="207" t="s">
        <v>4409</v>
      </c>
      <c r="AY370" s="207" t="s">
        <v>4409</v>
      </c>
      <c r="AZ370" s="207" t="s">
        <v>4409</v>
      </c>
      <c r="BA370" s="207" t="s">
        <v>4409</v>
      </c>
      <c r="BB370" s="207"/>
      <c r="BC370" s="202"/>
      <c r="BD370" s="208"/>
      <c r="BE370" s="202"/>
      <c r="BF370" s="207"/>
      <c r="BG370" s="229"/>
      <c r="BH370" s="321" t="str">
        <f t="shared" si="25"/>
        <v/>
      </c>
      <c r="BI370" s="98" t="str">
        <f t="shared" si="26"/>
        <v>AA</v>
      </c>
      <c r="BJ370" s="98" t="str">
        <f t="shared" si="27"/>
        <v>NÃO</v>
      </c>
      <c r="BK370" s="230"/>
      <c r="BL370" s="230"/>
      <c r="BM370" s="230"/>
      <c r="BN370" s="230"/>
      <c r="BO370" s="230"/>
      <c r="BP370" s="230"/>
      <c r="BQ370" s="230"/>
      <c r="BR370" s="234"/>
    </row>
    <row r="371" spans="1:72" s="240" customFormat="1" ht="27" hidden="1" customHeight="1">
      <c r="A371" s="207">
        <v>367</v>
      </c>
      <c r="B371" s="197" t="s">
        <v>4396</v>
      </c>
      <c r="C371" s="207" t="s">
        <v>4427</v>
      </c>
      <c r="D371" s="207">
        <v>1</v>
      </c>
      <c r="E371" s="207" t="s">
        <v>4398</v>
      </c>
      <c r="F371" s="214" t="s">
        <v>6017</v>
      </c>
      <c r="G371" s="207" t="s">
        <v>4400</v>
      </c>
      <c r="H371" s="207" t="s">
        <v>4401</v>
      </c>
      <c r="I371" s="217" t="s">
        <v>4402</v>
      </c>
      <c r="J371" s="215" t="s">
        <v>6018</v>
      </c>
      <c r="K371" s="215" t="s">
        <v>6019</v>
      </c>
      <c r="L371" s="215" t="s">
        <v>6020</v>
      </c>
      <c r="M371" s="207" t="s">
        <v>4405</v>
      </c>
      <c r="N371" s="207" t="s">
        <v>4442</v>
      </c>
      <c r="O371" s="202" t="s">
        <v>4409</v>
      </c>
      <c r="P371" s="202" t="s">
        <v>4409</v>
      </c>
      <c r="Q371" s="202" t="s">
        <v>4409</v>
      </c>
      <c r="R371" s="202" t="s">
        <v>4409</v>
      </c>
      <c r="S371" s="202" t="s">
        <v>4409</v>
      </c>
      <c r="T371" s="202" t="s">
        <v>4409</v>
      </c>
      <c r="U371" s="202" t="s">
        <v>4409</v>
      </c>
      <c r="V371" s="202" t="s">
        <v>4409</v>
      </c>
      <c r="W371" s="202" t="s">
        <v>4409</v>
      </c>
      <c r="X371" s="202" t="s">
        <v>4409</v>
      </c>
      <c r="Y371" s="202"/>
      <c r="Z371" s="207"/>
      <c r="AA371" s="215" t="s">
        <v>6018</v>
      </c>
      <c r="AB371" s="215" t="s">
        <v>6019</v>
      </c>
      <c r="AC371" s="215" t="s">
        <v>6020</v>
      </c>
      <c r="AD371" s="207" t="s">
        <v>4402</v>
      </c>
      <c r="AE371" s="207" t="s">
        <v>4405</v>
      </c>
      <c r="AF371" s="218">
        <v>9466.9699999999993</v>
      </c>
      <c r="AG371" s="218">
        <f>AF371+30000</f>
        <v>39466.97</v>
      </c>
      <c r="AH371" s="207" t="s">
        <v>4433</v>
      </c>
      <c r="AI371" s="214" t="s">
        <v>4411</v>
      </c>
      <c r="AJ371" s="207">
        <v>147056240</v>
      </c>
      <c r="AK371" s="316">
        <v>46001</v>
      </c>
      <c r="AL371" s="316">
        <v>46001</v>
      </c>
      <c r="AM371" s="316">
        <v>46001</v>
      </c>
      <c r="AN371" s="316">
        <v>46001</v>
      </c>
      <c r="AO371" s="316">
        <v>46001</v>
      </c>
      <c r="AP371" s="316">
        <v>46001</v>
      </c>
      <c r="AQ371" s="314"/>
      <c r="AR371" s="315" t="str">
        <f t="shared" si="24"/>
        <v>FINALIZADO</v>
      </c>
      <c r="AS371" s="207" t="s">
        <v>4423</v>
      </c>
      <c r="AT371" s="207"/>
      <c r="AU371" s="220" t="s">
        <v>6021</v>
      </c>
      <c r="AV371" s="207" t="s">
        <v>4425</v>
      </c>
      <c r="AW371" s="207" t="s">
        <v>4425</v>
      </c>
      <c r="AX371" s="207" t="s">
        <v>4425</v>
      </c>
      <c r="AY371" s="207" t="s">
        <v>4425</v>
      </c>
      <c r="AZ371" s="202">
        <v>46021</v>
      </c>
      <c r="BA371" s="219" t="s">
        <v>4425</v>
      </c>
      <c r="BB371" s="207" t="s">
        <v>4425</v>
      </c>
      <c r="BC371" s="208">
        <v>46062</v>
      </c>
      <c r="BD371" s="226">
        <v>46062</v>
      </c>
      <c r="BE371" s="227" t="s">
        <v>4435</v>
      </c>
      <c r="BF371" s="228" t="s">
        <v>4436</v>
      </c>
      <c r="BG371" s="229" t="s">
        <v>4425</v>
      </c>
      <c r="BH371" s="321">
        <f t="shared" si="25"/>
        <v>61</v>
      </c>
      <c r="BI371" s="98" t="str">
        <f t="shared" si="26"/>
        <v>INDENIZAÇÃO</v>
      </c>
      <c r="BJ371" s="98" t="str">
        <f t="shared" si="27"/>
        <v>NÃO</v>
      </c>
      <c r="BK371" s="230" t="s">
        <v>4437</v>
      </c>
      <c r="BL371" s="230" t="s">
        <v>4437</v>
      </c>
      <c r="BM371" s="230" t="s">
        <v>4437</v>
      </c>
      <c r="BN371" s="265" t="s">
        <v>5732</v>
      </c>
      <c r="BO371" s="265"/>
      <c r="BP371" s="265"/>
      <c r="BQ371" s="265"/>
      <c r="BR371" s="231"/>
    </row>
    <row r="372" spans="1:72" s="240" customFormat="1" ht="27" hidden="1" customHeight="1">
      <c r="A372" s="207">
        <v>368</v>
      </c>
      <c r="B372" s="197" t="s">
        <v>4396</v>
      </c>
      <c r="C372" s="207" t="s">
        <v>4427</v>
      </c>
      <c r="D372" s="207">
        <v>1</v>
      </c>
      <c r="E372" s="207" t="s">
        <v>4398</v>
      </c>
      <c r="F372" s="214" t="s">
        <v>6022</v>
      </c>
      <c r="G372" s="207" t="s">
        <v>4400</v>
      </c>
      <c r="H372" s="207" t="s">
        <v>4401</v>
      </c>
      <c r="I372" s="217" t="s">
        <v>4402</v>
      </c>
      <c r="J372" s="215" t="s">
        <v>6023</v>
      </c>
      <c r="K372" s="215" t="s">
        <v>6024</v>
      </c>
      <c r="L372" s="215" t="s">
        <v>6025</v>
      </c>
      <c r="M372" s="207" t="s">
        <v>4405</v>
      </c>
      <c r="N372" s="207" t="s">
        <v>4442</v>
      </c>
      <c r="O372" s="202" t="s">
        <v>4409</v>
      </c>
      <c r="P372" s="202" t="s">
        <v>4409</v>
      </c>
      <c r="Q372" s="202" t="s">
        <v>4409</v>
      </c>
      <c r="R372" s="202" t="s">
        <v>4409</v>
      </c>
      <c r="S372" s="202" t="s">
        <v>4409</v>
      </c>
      <c r="T372" s="202" t="s">
        <v>4409</v>
      </c>
      <c r="U372" s="202" t="s">
        <v>4409</v>
      </c>
      <c r="V372" s="202" t="s">
        <v>4409</v>
      </c>
      <c r="W372" s="202" t="s">
        <v>4409</v>
      </c>
      <c r="X372" s="202" t="s">
        <v>4409</v>
      </c>
      <c r="Y372" s="202"/>
      <c r="Z372" s="202"/>
      <c r="AA372" s="215" t="s">
        <v>6023</v>
      </c>
      <c r="AB372" s="215" t="s">
        <v>6024</v>
      </c>
      <c r="AC372" s="215" t="s">
        <v>6025</v>
      </c>
      <c r="AD372" s="207" t="s">
        <v>4402</v>
      </c>
      <c r="AE372" s="207" t="s">
        <v>4405</v>
      </c>
      <c r="AF372" s="218">
        <v>34765.089999999997</v>
      </c>
      <c r="AG372" s="218">
        <v>60000</v>
      </c>
      <c r="AH372" s="207" t="s">
        <v>4433</v>
      </c>
      <c r="AI372" s="214" t="s">
        <v>4411</v>
      </c>
      <c r="AJ372" s="207">
        <v>149655667</v>
      </c>
      <c r="AK372" s="316">
        <v>46093</v>
      </c>
      <c r="AL372" s="316">
        <v>46093</v>
      </c>
      <c r="AM372" s="316">
        <v>46093</v>
      </c>
      <c r="AN372" s="316">
        <v>46093</v>
      </c>
      <c r="AO372" s="316">
        <v>46093</v>
      </c>
      <c r="AP372" s="316">
        <v>46093</v>
      </c>
      <c r="AQ372" s="314"/>
      <c r="AR372" s="315" t="str">
        <f t="shared" si="24"/>
        <v>FINALIZADO</v>
      </c>
      <c r="AS372" s="207" t="s">
        <v>4423</v>
      </c>
      <c r="AT372" s="207"/>
      <c r="AU372" s="220" t="s">
        <v>6026</v>
      </c>
      <c r="AV372" s="270" t="s">
        <v>4425</v>
      </c>
      <c r="AW372" s="207" t="s">
        <v>4425</v>
      </c>
      <c r="AX372" s="207" t="s">
        <v>4425</v>
      </c>
      <c r="AY372" s="207" t="s">
        <v>4425</v>
      </c>
      <c r="AZ372" s="202">
        <v>46153</v>
      </c>
      <c r="BA372" s="207" t="s">
        <v>4425</v>
      </c>
      <c r="BB372" s="207" t="s">
        <v>4425</v>
      </c>
      <c r="BC372" s="202">
        <v>46161</v>
      </c>
      <c r="BD372" s="227">
        <v>46161</v>
      </c>
      <c r="BE372" s="228" t="s">
        <v>4435</v>
      </c>
      <c r="BF372" s="228" t="s">
        <v>4436</v>
      </c>
      <c r="BG372" s="219" t="s">
        <v>4425</v>
      </c>
      <c r="BH372" s="321">
        <f t="shared" si="25"/>
        <v>68</v>
      </c>
      <c r="BI372" s="98" t="str">
        <f t="shared" si="26"/>
        <v>INDENIZAÇÃO</v>
      </c>
      <c r="BJ372" s="98" t="str">
        <f t="shared" si="27"/>
        <v>NÃO</v>
      </c>
      <c r="BK372" s="219" t="s">
        <v>4437</v>
      </c>
      <c r="BL372" s="219" t="s">
        <v>4437</v>
      </c>
      <c r="BM372" s="219" t="s">
        <v>4437</v>
      </c>
      <c r="BN372" s="257" t="s">
        <v>5732</v>
      </c>
      <c r="BO372" s="257"/>
      <c r="BP372" s="257"/>
      <c r="BQ372" s="257"/>
      <c r="BR372" s="258"/>
    </row>
    <row r="373" spans="1:72" s="240" customFormat="1" ht="27" hidden="1" customHeight="1">
      <c r="A373" s="207">
        <v>369</v>
      </c>
      <c r="B373" s="197" t="s">
        <v>4396</v>
      </c>
      <c r="C373" s="207" t="s">
        <v>4427</v>
      </c>
      <c r="D373" s="207">
        <v>1</v>
      </c>
      <c r="E373" s="207" t="s">
        <v>4398</v>
      </c>
      <c r="F373" s="214" t="s">
        <v>6027</v>
      </c>
      <c r="G373" s="207" t="s">
        <v>4400</v>
      </c>
      <c r="H373" s="207" t="s">
        <v>4401</v>
      </c>
      <c r="I373" s="217" t="s">
        <v>4402</v>
      </c>
      <c r="J373" s="215" t="s">
        <v>6028</v>
      </c>
      <c r="K373" s="215" t="s">
        <v>6029</v>
      </c>
      <c r="L373" s="215" t="s">
        <v>6030</v>
      </c>
      <c r="M373" s="207" t="s">
        <v>4405</v>
      </c>
      <c r="N373" s="207" t="s">
        <v>4442</v>
      </c>
      <c r="O373" s="202" t="s">
        <v>4409</v>
      </c>
      <c r="P373" s="202" t="s">
        <v>4409</v>
      </c>
      <c r="Q373" s="202" t="s">
        <v>4409</v>
      </c>
      <c r="R373" s="202" t="s">
        <v>4409</v>
      </c>
      <c r="S373" s="202" t="s">
        <v>4409</v>
      </c>
      <c r="T373" s="202" t="s">
        <v>4409</v>
      </c>
      <c r="U373" s="202" t="s">
        <v>4409</v>
      </c>
      <c r="V373" s="202" t="s">
        <v>4409</v>
      </c>
      <c r="W373" s="202" t="s">
        <v>4409</v>
      </c>
      <c r="X373" s="202" t="s">
        <v>4409</v>
      </c>
      <c r="Y373" s="202"/>
      <c r="Z373" s="207"/>
      <c r="AA373" s="215" t="s">
        <v>6028</v>
      </c>
      <c r="AB373" s="215" t="s">
        <v>6029</v>
      </c>
      <c r="AC373" s="215" t="s">
        <v>6030</v>
      </c>
      <c r="AD373" s="207" t="s">
        <v>4402</v>
      </c>
      <c r="AE373" s="207" t="s">
        <v>4405</v>
      </c>
      <c r="AF373" s="218">
        <v>22123.439999999999</v>
      </c>
      <c r="AG373" s="218">
        <f>AF373+30000</f>
        <v>52123.44</v>
      </c>
      <c r="AH373" s="207" t="s">
        <v>4433</v>
      </c>
      <c r="AI373" s="214" t="s">
        <v>4411</v>
      </c>
      <c r="AJ373" s="207">
        <v>147056354</v>
      </c>
      <c r="AK373" s="316">
        <v>46001</v>
      </c>
      <c r="AL373" s="316">
        <v>46001</v>
      </c>
      <c r="AM373" s="316">
        <v>46001</v>
      </c>
      <c r="AN373" s="316">
        <v>46001</v>
      </c>
      <c r="AO373" s="316">
        <v>46001</v>
      </c>
      <c r="AP373" s="316">
        <v>46001</v>
      </c>
      <c r="AQ373" s="314"/>
      <c r="AR373" s="315" t="str">
        <f t="shared" si="24"/>
        <v>FINALIZADO</v>
      </c>
      <c r="AS373" s="207" t="s">
        <v>4423</v>
      </c>
      <c r="AT373" s="207"/>
      <c r="AU373" s="220" t="s">
        <v>6031</v>
      </c>
      <c r="AV373" s="207" t="s">
        <v>4425</v>
      </c>
      <c r="AW373" s="207" t="s">
        <v>4425</v>
      </c>
      <c r="AX373" s="207" t="s">
        <v>4425</v>
      </c>
      <c r="AY373" s="197" t="s">
        <v>4425</v>
      </c>
      <c r="AZ373" s="203">
        <v>46017</v>
      </c>
      <c r="BA373" s="219" t="s">
        <v>4425</v>
      </c>
      <c r="BB373" s="207" t="s">
        <v>4425</v>
      </c>
      <c r="BC373" s="208">
        <v>46024</v>
      </c>
      <c r="BD373" s="226">
        <v>46024</v>
      </c>
      <c r="BE373" s="226" t="s">
        <v>4435</v>
      </c>
      <c r="BF373" s="228" t="s">
        <v>4436</v>
      </c>
      <c r="BG373" s="229" t="s">
        <v>4425</v>
      </c>
      <c r="BH373" s="321">
        <f t="shared" si="25"/>
        <v>23</v>
      </c>
      <c r="BI373" s="98" t="str">
        <f t="shared" si="26"/>
        <v>INDENIZAÇÃO</v>
      </c>
      <c r="BJ373" s="98" t="str">
        <f t="shared" si="27"/>
        <v>NÃO</v>
      </c>
      <c r="BK373" s="230" t="s">
        <v>4437</v>
      </c>
      <c r="BL373" s="230" t="s">
        <v>4437</v>
      </c>
      <c r="BM373" s="230" t="s">
        <v>4437</v>
      </c>
      <c r="BN373" s="265" t="s">
        <v>5732</v>
      </c>
      <c r="BO373" s="265"/>
      <c r="BP373" s="265"/>
      <c r="BQ373" s="265"/>
      <c r="BR373" s="231"/>
      <c r="BS373" s="223"/>
      <c r="BT373" s="223"/>
    </row>
    <row r="374" spans="1:72" s="240" customFormat="1" ht="27" hidden="1" customHeight="1">
      <c r="A374" s="197">
        <v>370</v>
      </c>
      <c r="B374" s="197" t="s">
        <v>4396</v>
      </c>
      <c r="C374" s="207" t="s">
        <v>4427</v>
      </c>
      <c r="D374" s="207">
        <v>1</v>
      </c>
      <c r="E374" s="207" t="s">
        <v>4398</v>
      </c>
      <c r="F374" s="214" t="s">
        <v>6032</v>
      </c>
      <c r="G374" s="207" t="s">
        <v>4400</v>
      </c>
      <c r="H374" s="207" t="s">
        <v>4401</v>
      </c>
      <c r="I374" s="217" t="s">
        <v>4402</v>
      </c>
      <c r="J374" s="215" t="s">
        <v>6033</v>
      </c>
      <c r="K374" s="215" t="s">
        <v>6034</v>
      </c>
      <c r="L374" s="215" t="s">
        <v>6035</v>
      </c>
      <c r="M374" s="207" t="s">
        <v>4405</v>
      </c>
      <c r="N374" s="207" t="s">
        <v>4406</v>
      </c>
      <c r="O374" s="202">
        <v>46002</v>
      </c>
      <c r="P374" s="202" t="s">
        <v>4407</v>
      </c>
      <c r="Q374" s="202">
        <v>45999</v>
      </c>
      <c r="R374" s="202">
        <v>46006</v>
      </c>
      <c r="S374" s="202">
        <v>46006</v>
      </c>
      <c r="T374" s="202">
        <v>46009</v>
      </c>
      <c r="U374" s="202" t="s">
        <v>4408</v>
      </c>
      <c r="V374" s="202" t="s">
        <v>4408</v>
      </c>
      <c r="W374" s="202">
        <v>46014</v>
      </c>
      <c r="X374" s="202">
        <v>46017</v>
      </c>
      <c r="Y374" s="202"/>
      <c r="Z374" s="207"/>
      <c r="AA374" s="215" t="s">
        <v>6033</v>
      </c>
      <c r="AB374" s="215" t="s">
        <v>6034</v>
      </c>
      <c r="AC374" s="215" t="s">
        <v>6035</v>
      </c>
      <c r="AD374" s="207" t="s">
        <v>4402</v>
      </c>
      <c r="AE374" s="207" t="s">
        <v>4405</v>
      </c>
      <c r="AF374" s="218" t="s">
        <v>4409</v>
      </c>
      <c r="AG374" s="218" t="s">
        <v>4409</v>
      </c>
      <c r="AH374" s="207" t="s">
        <v>4410</v>
      </c>
      <c r="AI374" s="214" t="s">
        <v>4411</v>
      </c>
      <c r="AJ374" s="207"/>
      <c r="AK374" s="316">
        <v>45996</v>
      </c>
      <c r="AL374" s="316">
        <v>45996</v>
      </c>
      <c r="AM374" s="316">
        <v>45996</v>
      </c>
      <c r="AN374" s="316">
        <v>45996</v>
      </c>
      <c r="AO374" s="316">
        <v>45996</v>
      </c>
      <c r="AP374" s="316">
        <v>45996</v>
      </c>
      <c r="AQ374" s="314"/>
      <c r="AR374" s="315" t="str">
        <f t="shared" si="24"/>
        <v>FINALIZADO</v>
      </c>
      <c r="AS374" s="207"/>
      <c r="AT374" s="207"/>
      <c r="AU374" s="220"/>
      <c r="AV374" s="160"/>
      <c r="AW374" s="207"/>
      <c r="AX374" s="207"/>
      <c r="AY374" s="207"/>
      <c r="AZ374" s="202"/>
      <c r="BA374" s="219"/>
      <c r="BB374" s="207"/>
      <c r="BC374" s="202"/>
      <c r="BD374" s="208"/>
      <c r="BE374" s="202"/>
      <c r="BF374" s="207"/>
      <c r="BG374" s="229"/>
      <c r="BH374" s="321" t="str">
        <f t="shared" si="25"/>
        <v/>
      </c>
      <c r="BI374" s="98" t="str">
        <f t="shared" si="26"/>
        <v>AA</v>
      </c>
      <c r="BJ374" s="98" t="str">
        <f t="shared" si="27"/>
        <v>NÃO</v>
      </c>
      <c r="BK374" s="230"/>
      <c r="BL374" s="230"/>
      <c r="BM374" s="230"/>
      <c r="BN374" s="230"/>
      <c r="BO374" s="230"/>
      <c r="BP374" s="230"/>
      <c r="BQ374" s="230"/>
      <c r="BR374" s="234"/>
    </row>
    <row r="375" spans="1:72" s="240" customFormat="1" ht="27" hidden="1" customHeight="1">
      <c r="A375" s="197">
        <v>371</v>
      </c>
      <c r="B375" s="197" t="s">
        <v>4396</v>
      </c>
      <c r="C375" s="207" t="s">
        <v>4427</v>
      </c>
      <c r="D375" s="207">
        <v>1</v>
      </c>
      <c r="E375" s="207" t="s">
        <v>4398</v>
      </c>
      <c r="F375" s="214" t="s">
        <v>6036</v>
      </c>
      <c r="G375" s="207" t="s">
        <v>4400</v>
      </c>
      <c r="H375" s="207" t="s">
        <v>4401</v>
      </c>
      <c r="I375" s="217" t="s">
        <v>4402</v>
      </c>
      <c r="J375" s="215" t="s">
        <v>6037</v>
      </c>
      <c r="K375" s="215" t="s">
        <v>6038</v>
      </c>
      <c r="L375" s="215" t="s">
        <v>6039</v>
      </c>
      <c r="M375" s="207" t="s">
        <v>4405</v>
      </c>
      <c r="N375" s="207" t="s">
        <v>4442</v>
      </c>
      <c r="O375" s="202" t="s">
        <v>4409</v>
      </c>
      <c r="P375" s="202" t="s">
        <v>4409</v>
      </c>
      <c r="Q375" s="202" t="s">
        <v>4409</v>
      </c>
      <c r="R375" s="202" t="s">
        <v>4409</v>
      </c>
      <c r="S375" s="202" t="s">
        <v>4409</v>
      </c>
      <c r="T375" s="202" t="s">
        <v>4409</v>
      </c>
      <c r="U375" s="202" t="s">
        <v>4409</v>
      </c>
      <c r="V375" s="202" t="s">
        <v>4409</v>
      </c>
      <c r="W375" s="202" t="s">
        <v>4409</v>
      </c>
      <c r="X375" s="202" t="s">
        <v>4409</v>
      </c>
      <c r="Y375" s="202"/>
      <c r="Z375" s="207"/>
      <c r="AA375" s="215" t="s">
        <v>6040</v>
      </c>
      <c r="AB375" s="215" t="s">
        <v>6038</v>
      </c>
      <c r="AC375" s="215" t="s">
        <v>6039</v>
      </c>
      <c r="AD375" s="207" t="s">
        <v>4402</v>
      </c>
      <c r="AE375" s="207" t="s">
        <v>4405</v>
      </c>
      <c r="AF375" s="218"/>
      <c r="AG375" s="218"/>
      <c r="AH375" s="207"/>
      <c r="AI375" s="214" t="s">
        <v>4411</v>
      </c>
      <c r="AJ375" s="207"/>
      <c r="AK375" s="316">
        <v>45980</v>
      </c>
      <c r="AL375" s="316">
        <v>45980</v>
      </c>
      <c r="AM375" s="316">
        <v>45980</v>
      </c>
      <c r="AN375" s="316">
        <v>45980</v>
      </c>
      <c r="AO375" s="316">
        <v>45980</v>
      </c>
      <c r="AP375" s="316">
        <v>45980</v>
      </c>
      <c r="AQ375" s="314"/>
      <c r="AR375" s="315" t="str">
        <f t="shared" si="24"/>
        <v>FINALIZADO</v>
      </c>
      <c r="AS375" s="207"/>
      <c r="AT375" s="207"/>
      <c r="AU375" s="220"/>
      <c r="AV375" s="197"/>
      <c r="AW375" s="207"/>
      <c r="AX375" s="207"/>
      <c r="AY375" s="207"/>
      <c r="AZ375" s="202"/>
      <c r="BA375" s="219"/>
      <c r="BB375" s="207"/>
      <c r="BC375" s="202"/>
      <c r="BD375" s="208"/>
      <c r="BE375" s="202"/>
      <c r="BF375" s="207"/>
      <c r="BG375" s="229"/>
      <c r="BH375" s="321" t="str">
        <f t="shared" si="25"/>
        <v/>
      </c>
      <c r="BI375" s="98" t="str">
        <f t="shared" si="26"/>
        <v>INDENIZAÇÃO</v>
      </c>
      <c r="BJ375" s="98" t="str">
        <f t="shared" si="27"/>
        <v>NÃO</v>
      </c>
      <c r="BK375" s="230"/>
      <c r="BL375" s="230"/>
      <c r="BM375" s="230"/>
      <c r="BN375" s="230"/>
      <c r="BO375" s="230"/>
      <c r="BP375" s="230"/>
      <c r="BQ375" s="230"/>
      <c r="BR375" s="234"/>
    </row>
    <row r="376" spans="1:72" s="240" customFormat="1" ht="27" hidden="1" customHeight="1">
      <c r="A376" s="207">
        <v>372</v>
      </c>
      <c r="B376" s="197" t="s">
        <v>4396</v>
      </c>
      <c r="C376" s="207" t="s">
        <v>4427</v>
      </c>
      <c r="D376" s="207">
        <v>1</v>
      </c>
      <c r="E376" s="207" t="s">
        <v>4398</v>
      </c>
      <c r="F376" s="214" t="s">
        <v>6041</v>
      </c>
      <c r="G376" s="207" t="s">
        <v>4400</v>
      </c>
      <c r="H376" s="207" t="s">
        <v>4401</v>
      </c>
      <c r="I376" s="217" t="s">
        <v>4414</v>
      </c>
      <c r="J376" s="215" t="s">
        <v>6042</v>
      </c>
      <c r="K376" s="215" t="s">
        <v>6043</v>
      </c>
      <c r="L376" s="215" t="s">
        <v>6044</v>
      </c>
      <c r="M376" s="207" t="s">
        <v>4405</v>
      </c>
      <c r="N376" s="207" t="s">
        <v>4406</v>
      </c>
      <c r="O376" s="202">
        <v>45986</v>
      </c>
      <c r="P376" s="203" t="s">
        <v>4407</v>
      </c>
      <c r="Q376" s="203">
        <v>45985</v>
      </c>
      <c r="R376" s="203">
        <v>45986</v>
      </c>
      <c r="S376" s="203">
        <v>45987</v>
      </c>
      <c r="T376" s="203">
        <v>45992</v>
      </c>
      <c r="U376" s="202" t="s">
        <v>4408</v>
      </c>
      <c r="V376" s="202" t="s">
        <v>4408</v>
      </c>
      <c r="W376" s="202">
        <v>45999</v>
      </c>
      <c r="X376" s="202">
        <v>46015</v>
      </c>
      <c r="Y376" s="202"/>
      <c r="Z376" s="207"/>
      <c r="AA376" s="215" t="s">
        <v>6045</v>
      </c>
      <c r="AB376" s="215">
        <v>50431772</v>
      </c>
      <c r="AC376" s="215" t="s">
        <v>6046</v>
      </c>
      <c r="AD376" s="217" t="s">
        <v>4421</v>
      </c>
      <c r="AE376" s="207" t="s">
        <v>4405</v>
      </c>
      <c r="AF376" s="218">
        <v>16615.919999999998</v>
      </c>
      <c r="AG376" s="218">
        <v>16615.919999999998</v>
      </c>
      <c r="AH376" s="207" t="s">
        <v>4433</v>
      </c>
      <c r="AI376" s="214" t="s">
        <v>4411</v>
      </c>
      <c r="AJ376" s="207">
        <v>147056772</v>
      </c>
      <c r="AK376" s="316">
        <v>46001</v>
      </c>
      <c r="AL376" s="316">
        <v>46001</v>
      </c>
      <c r="AM376" s="316">
        <v>46001</v>
      </c>
      <c r="AN376" s="316">
        <v>46001</v>
      </c>
      <c r="AO376" s="316">
        <v>46001</v>
      </c>
      <c r="AP376" s="316">
        <v>46001</v>
      </c>
      <c r="AQ376" s="314"/>
      <c r="AR376" s="315" t="str">
        <f t="shared" si="24"/>
        <v>FINALIZADO</v>
      </c>
      <c r="AS376" s="207" t="s">
        <v>4423</v>
      </c>
      <c r="AT376" s="207"/>
      <c r="AU376" s="220" t="s">
        <v>6047</v>
      </c>
      <c r="AV376" s="207" t="s">
        <v>4425</v>
      </c>
      <c r="AW376" s="207" t="s">
        <v>4425</v>
      </c>
      <c r="AX376" s="207" t="s">
        <v>4425</v>
      </c>
      <c r="AY376" s="207" t="s">
        <v>4425</v>
      </c>
      <c r="AZ376" s="202">
        <v>46021</v>
      </c>
      <c r="BA376" s="219" t="s">
        <v>4425</v>
      </c>
      <c r="BB376" s="207" t="s">
        <v>4425</v>
      </c>
      <c r="BC376" s="239">
        <v>46041</v>
      </c>
      <c r="BD376" s="227">
        <v>46041</v>
      </c>
      <c r="BE376" s="227" t="s">
        <v>4435</v>
      </c>
      <c r="BF376" s="228" t="s">
        <v>4436</v>
      </c>
      <c r="BG376" s="229" t="s">
        <v>4425</v>
      </c>
      <c r="BH376" s="321">
        <f t="shared" si="25"/>
        <v>40</v>
      </c>
      <c r="BI376" s="98" t="str">
        <f t="shared" si="26"/>
        <v>INDENIZAÇÃO</v>
      </c>
      <c r="BJ376" s="98" t="str">
        <f t="shared" si="27"/>
        <v>NÃO</v>
      </c>
      <c r="BK376" s="230" t="s">
        <v>4437</v>
      </c>
      <c r="BL376" s="230" t="s">
        <v>4437</v>
      </c>
      <c r="BM376" s="230" t="s">
        <v>4437</v>
      </c>
      <c r="BN376" s="207" t="s">
        <v>4425</v>
      </c>
      <c r="BO376" s="207" t="s">
        <v>4425</v>
      </c>
      <c r="BP376" s="202">
        <v>46182</v>
      </c>
      <c r="BQ376" s="207" t="s">
        <v>4425</v>
      </c>
      <c r="BR376" s="256" t="s">
        <v>4435</v>
      </c>
    </row>
    <row r="377" spans="1:72" s="240" customFormat="1" ht="27" hidden="1" customHeight="1">
      <c r="A377" s="207">
        <v>373</v>
      </c>
      <c r="B377" s="197" t="s">
        <v>4396</v>
      </c>
      <c r="C377" s="207" t="s">
        <v>4427</v>
      </c>
      <c r="D377" s="207">
        <v>1</v>
      </c>
      <c r="E377" s="207" t="s">
        <v>4398</v>
      </c>
      <c r="F377" s="214" t="s">
        <v>6048</v>
      </c>
      <c r="G377" s="207" t="s">
        <v>4400</v>
      </c>
      <c r="H377" s="207" t="s">
        <v>4401</v>
      </c>
      <c r="I377" s="217" t="s">
        <v>4402</v>
      </c>
      <c r="J377" s="215" t="s">
        <v>6049</v>
      </c>
      <c r="K377" s="215" t="s">
        <v>6050</v>
      </c>
      <c r="L377" s="215" t="s">
        <v>6051</v>
      </c>
      <c r="M377" s="207" t="s">
        <v>4405</v>
      </c>
      <c r="N377" s="207" t="s">
        <v>4442</v>
      </c>
      <c r="O377" s="202" t="s">
        <v>4409</v>
      </c>
      <c r="P377" s="202" t="s">
        <v>4409</v>
      </c>
      <c r="Q377" s="202" t="s">
        <v>4409</v>
      </c>
      <c r="R377" s="202" t="s">
        <v>4409</v>
      </c>
      <c r="S377" s="202" t="s">
        <v>4409</v>
      </c>
      <c r="T377" s="202" t="s">
        <v>4409</v>
      </c>
      <c r="U377" s="202" t="s">
        <v>4409</v>
      </c>
      <c r="V377" s="202" t="s">
        <v>4409</v>
      </c>
      <c r="W377" s="202" t="s">
        <v>4409</v>
      </c>
      <c r="X377" s="202" t="s">
        <v>4409</v>
      </c>
      <c r="Y377" s="202"/>
      <c r="Z377" s="207"/>
      <c r="AA377" s="215" t="s">
        <v>6049</v>
      </c>
      <c r="AB377" s="215" t="s">
        <v>6050</v>
      </c>
      <c r="AC377" s="215" t="s">
        <v>6051</v>
      </c>
      <c r="AD377" s="207" t="s">
        <v>4402</v>
      </c>
      <c r="AE377" s="207" t="s">
        <v>4405</v>
      </c>
      <c r="AF377" s="218">
        <v>27394.66</v>
      </c>
      <c r="AG377" s="218">
        <f>AF377+30000</f>
        <v>57394.66</v>
      </c>
      <c r="AH377" s="207" t="s">
        <v>4433</v>
      </c>
      <c r="AI377" s="214" t="s">
        <v>4411</v>
      </c>
      <c r="AJ377" s="207">
        <v>148265204</v>
      </c>
      <c r="AK377" s="316">
        <v>46059</v>
      </c>
      <c r="AL377" s="316">
        <v>46059</v>
      </c>
      <c r="AM377" s="316">
        <v>46059</v>
      </c>
      <c r="AN377" s="316">
        <v>46059</v>
      </c>
      <c r="AO377" s="316">
        <v>46059</v>
      </c>
      <c r="AP377" s="316">
        <v>46059</v>
      </c>
      <c r="AQ377" s="314"/>
      <c r="AR377" s="315" t="str">
        <f t="shared" si="24"/>
        <v>FINALIZADO</v>
      </c>
      <c r="AS377" s="207" t="s">
        <v>4423</v>
      </c>
      <c r="AT377" s="207"/>
      <c r="AU377" s="220" t="s">
        <v>6052</v>
      </c>
      <c r="AV377" s="207" t="s">
        <v>4425</v>
      </c>
      <c r="AW377" s="207" t="s">
        <v>4425</v>
      </c>
      <c r="AX377" s="207" t="s">
        <v>4425</v>
      </c>
      <c r="AY377" s="207" t="s">
        <v>4425</v>
      </c>
      <c r="AZ377" s="202">
        <v>46125</v>
      </c>
      <c r="BA377" s="207" t="s">
        <v>4425</v>
      </c>
      <c r="BB377" s="207" t="s">
        <v>4425</v>
      </c>
      <c r="BC377" s="202">
        <v>46139</v>
      </c>
      <c r="BD377" s="227">
        <v>46139</v>
      </c>
      <c r="BE377" s="227" t="s">
        <v>4435</v>
      </c>
      <c r="BF377" s="228" t="s">
        <v>4436</v>
      </c>
      <c r="BG377" s="229" t="s">
        <v>4425</v>
      </c>
      <c r="BH377" s="321">
        <f t="shared" si="25"/>
        <v>80</v>
      </c>
      <c r="BI377" s="98" t="str">
        <f t="shared" si="26"/>
        <v>INDENIZAÇÃO</v>
      </c>
      <c r="BJ377" s="98" t="str">
        <f t="shared" si="27"/>
        <v>NÃO</v>
      </c>
      <c r="BK377" s="219" t="s">
        <v>4437</v>
      </c>
      <c r="BL377" s="219" t="s">
        <v>4437</v>
      </c>
      <c r="BM377" s="219" t="s">
        <v>4437</v>
      </c>
      <c r="BN377" s="257" t="s">
        <v>5732</v>
      </c>
      <c r="BO377" s="257"/>
      <c r="BP377" s="257"/>
      <c r="BQ377" s="257"/>
      <c r="BR377" s="258"/>
    </row>
    <row r="378" spans="1:72" s="240" customFormat="1" ht="27" hidden="1" customHeight="1">
      <c r="A378" s="207">
        <v>374</v>
      </c>
      <c r="B378" s="197" t="s">
        <v>4396</v>
      </c>
      <c r="C378" s="207" t="s">
        <v>4427</v>
      </c>
      <c r="D378" s="207">
        <v>1</v>
      </c>
      <c r="E378" s="207" t="s">
        <v>4398</v>
      </c>
      <c r="F378" s="214" t="s">
        <v>6053</v>
      </c>
      <c r="G378" s="207" t="s">
        <v>4400</v>
      </c>
      <c r="H378" s="207" t="s">
        <v>4401</v>
      </c>
      <c r="I378" s="217" t="s">
        <v>4402</v>
      </c>
      <c r="J378" s="215" t="s">
        <v>6054</v>
      </c>
      <c r="K378" s="215" t="s">
        <v>6055</v>
      </c>
      <c r="L378" s="215" t="s">
        <v>6056</v>
      </c>
      <c r="M378" s="207" t="s">
        <v>4405</v>
      </c>
      <c r="N378" s="207" t="s">
        <v>4442</v>
      </c>
      <c r="O378" s="202" t="s">
        <v>4409</v>
      </c>
      <c r="P378" s="202" t="s">
        <v>4409</v>
      </c>
      <c r="Q378" s="202" t="s">
        <v>4409</v>
      </c>
      <c r="R378" s="202" t="s">
        <v>4409</v>
      </c>
      <c r="S378" s="202" t="s">
        <v>4409</v>
      </c>
      <c r="T378" s="202" t="s">
        <v>4409</v>
      </c>
      <c r="U378" s="202" t="s">
        <v>4409</v>
      </c>
      <c r="V378" s="202" t="s">
        <v>4409</v>
      </c>
      <c r="W378" s="202" t="s">
        <v>4409</v>
      </c>
      <c r="X378" s="202" t="s">
        <v>4409</v>
      </c>
      <c r="Y378" s="202"/>
      <c r="Z378" s="207"/>
      <c r="AA378" s="215" t="s">
        <v>6054</v>
      </c>
      <c r="AB378" s="215" t="s">
        <v>6055</v>
      </c>
      <c r="AC378" s="215" t="s">
        <v>6057</v>
      </c>
      <c r="AD378" s="207" t="s">
        <v>4402</v>
      </c>
      <c r="AE378" s="207" t="s">
        <v>4405</v>
      </c>
      <c r="AF378" s="218">
        <v>26336.83</v>
      </c>
      <c r="AG378" s="218">
        <f>AF378+30000</f>
        <v>56336.83</v>
      </c>
      <c r="AH378" s="207" t="s">
        <v>4422</v>
      </c>
      <c r="AI378" s="214" t="s">
        <v>4411</v>
      </c>
      <c r="AJ378" s="207">
        <v>150959397</v>
      </c>
      <c r="AK378" s="316">
        <v>46077</v>
      </c>
      <c r="AL378" s="316">
        <v>46077</v>
      </c>
      <c r="AM378" s="316">
        <v>46077</v>
      </c>
      <c r="AN378" s="316">
        <v>46077</v>
      </c>
      <c r="AO378" s="316">
        <v>46077</v>
      </c>
      <c r="AP378" s="316">
        <v>46077</v>
      </c>
      <c r="AQ378" s="314"/>
      <c r="AR378" s="315" t="str">
        <f t="shared" si="24"/>
        <v>FINALIZADO</v>
      </c>
      <c r="AS378" s="207" t="s">
        <v>4423</v>
      </c>
      <c r="AT378" s="207"/>
      <c r="AU378" s="220" t="s">
        <v>6058</v>
      </c>
      <c r="AV378" s="207" t="s">
        <v>4425</v>
      </c>
      <c r="AW378" s="207" t="s">
        <v>4425</v>
      </c>
      <c r="AX378" s="207" t="s">
        <v>4425</v>
      </c>
      <c r="AY378" s="207" t="s">
        <v>4425</v>
      </c>
      <c r="AZ378" s="202">
        <v>46111</v>
      </c>
      <c r="BA378" s="207" t="s">
        <v>4425</v>
      </c>
      <c r="BB378" s="207" t="s">
        <v>4425</v>
      </c>
      <c r="BC378" s="202">
        <v>46114</v>
      </c>
      <c r="BD378" s="227">
        <v>46114</v>
      </c>
      <c r="BE378" s="227" t="s">
        <v>4435</v>
      </c>
      <c r="BF378" s="228" t="s">
        <v>4436</v>
      </c>
      <c r="BG378" s="229" t="s">
        <v>4425</v>
      </c>
      <c r="BH378" s="321">
        <f t="shared" si="25"/>
        <v>37</v>
      </c>
      <c r="BI378" s="98" t="str">
        <f t="shared" si="26"/>
        <v>INDENIZAÇÃO</v>
      </c>
      <c r="BJ378" s="98" t="str">
        <f t="shared" si="27"/>
        <v>NÃO</v>
      </c>
      <c r="BK378" s="230" t="s">
        <v>4437</v>
      </c>
      <c r="BL378" s="230" t="s">
        <v>4437</v>
      </c>
      <c r="BM378" s="230" t="s">
        <v>4437</v>
      </c>
      <c r="BN378" s="265" t="s">
        <v>5732</v>
      </c>
      <c r="BO378" s="265"/>
      <c r="BP378" s="265"/>
      <c r="BQ378" s="265"/>
      <c r="BR378" s="231"/>
      <c r="BS378" s="223"/>
      <c r="BT378" s="223"/>
    </row>
    <row r="379" spans="1:72" s="240" customFormat="1" ht="27" hidden="1" customHeight="1">
      <c r="A379" s="197">
        <v>375</v>
      </c>
      <c r="B379" s="197" t="s">
        <v>4396</v>
      </c>
      <c r="C379" s="207" t="s">
        <v>4427</v>
      </c>
      <c r="D379" s="207">
        <v>1</v>
      </c>
      <c r="E379" s="207" t="s">
        <v>4398</v>
      </c>
      <c r="F379" s="214" t="s">
        <v>6059</v>
      </c>
      <c r="G379" s="207" t="s">
        <v>4400</v>
      </c>
      <c r="H379" s="207" t="s">
        <v>4401</v>
      </c>
      <c r="I379" s="217" t="s">
        <v>4402</v>
      </c>
      <c r="J379" s="215" t="s">
        <v>6060</v>
      </c>
      <c r="K379" s="215" t="s">
        <v>6061</v>
      </c>
      <c r="L379" s="215" t="s">
        <v>6062</v>
      </c>
      <c r="M379" s="207" t="s">
        <v>4405</v>
      </c>
      <c r="N379" s="207" t="s">
        <v>4406</v>
      </c>
      <c r="O379" s="202">
        <v>46002</v>
      </c>
      <c r="P379" s="202" t="s">
        <v>4407</v>
      </c>
      <c r="Q379" s="202">
        <v>45999</v>
      </c>
      <c r="R379" s="202">
        <v>46006</v>
      </c>
      <c r="S379" s="202">
        <v>46006</v>
      </c>
      <c r="T379" s="202">
        <v>46009</v>
      </c>
      <c r="U379" s="202" t="s">
        <v>4408</v>
      </c>
      <c r="V379" s="202" t="s">
        <v>4408</v>
      </c>
      <c r="W379" s="202">
        <v>46014</v>
      </c>
      <c r="X379" s="202">
        <v>46017</v>
      </c>
      <c r="Y379" s="202"/>
      <c r="Z379" s="207"/>
      <c r="AA379" s="215" t="s">
        <v>6060</v>
      </c>
      <c r="AB379" s="215" t="s">
        <v>6061</v>
      </c>
      <c r="AC379" s="215" t="s">
        <v>6062</v>
      </c>
      <c r="AD379" s="207" t="s">
        <v>4402</v>
      </c>
      <c r="AE379" s="207" t="s">
        <v>4405</v>
      </c>
      <c r="AF379" s="218" t="s">
        <v>4409</v>
      </c>
      <c r="AG379" s="218" t="s">
        <v>4409</v>
      </c>
      <c r="AH379" s="207" t="s">
        <v>4410</v>
      </c>
      <c r="AI379" s="214" t="s">
        <v>4411</v>
      </c>
      <c r="AJ379" s="207"/>
      <c r="AK379" s="316">
        <v>45980</v>
      </c>
      <c r="AL379" s="316">
        <v>45980</v>
      </c>
      <c r="AM379" s="316">
        <v>45980</v>
      </c>
      <c r="AN379" s="316">
        <v>45980</v>
      </c>
      <c r="AO379" s="316">
        <v>45980</v>
      </c>
      <c r="AP379" s="316">
        <v>45980</v>
      </c>
      <c r="AQ379" s="314"/>
      <c r="AR379" s="315" t="str">
        <f t="shared" si="24"/>
        <v>FINALIZADO</v>
      </c>
      <c r="AS379" s="207"/>
      <c r="AT379" s="207"/>
      <c r="AU379" s="220"/>
      <c r="AV379" s="207"/>
      <c r="AW379" s="207"/>
      <c r="AX379" s="207"/>
      <c r="AY379" s="207"/>
      <c r="AZ379" s="202"/>
      <c r="BA379" s="219"/>
      <c r="BB379" s="207"/>
      <c r="BC379" s="202"/>
      <c r="BD379" s="208"/>
      <c r="BE379" s="202"/>
      <c r="BF379" s="207"/>
      <c r="BG379" s="229"/>
      <c r="BH379" s="321" t="str">
        <f t="shared" si="25"/>
        <v/>
      </c>
      <c r="BI379" s="98" t="str">
        <f t="shared" si="26"/>
        <v>AA</v>
      </c>
      <c r="BJ379" s="98" t="str">
        <f t="shared" si="27"/>
        <v>NÃO</v>
      </c>
      <c r="BK379" s="230"/>
      <c r="BL379" s="230"/>
      <c r="BM379" s="230"/>
      <c r="BN379" s="230"/>
      <c r="BO379" s="230"/>
      <c r="BP379" s="230"/>
      <c r="BQ379" s="230"/>
      <c r="BR379" s="234"/>
    </row>
    <row r="380" spans="1:72" s="240" customFormat="1" ht="27" hidden="1" customHeight="1">
      <c r="A380" s="197">
        <v>376</v>
      </c>
      <c r="B380" s="197" t="s">
        <v>4396</v>
      </c>
      <c r="C380" s="207" t="s">
        <v>4427</v>
      </c>
      <c r="D380" s="207">
        <v>1</v>
      </c>
      <c r="E380" s="207" t="s">
        <v>4398</v>
      </c>
      <c r="F380" s="214" t="s">
        <v>6063</v>
      </c>
      <c r="G380" s="207" t="s">
        <v>4400</v>
      </c>
      <c r="H380" s="207" t="s">
        <v>4536</v>
      </c>
      <c r="I380" s="217" t="s">
        <v>4536</v>
      </c>
      <c r="J380" s="215" t="s">
        <v>6064</v>
      </c>
      <c r="K380" s="215" t="s">
        <v>6065</v>
      </c>
      <c r="L380" s="215" t="s">
        <v>6066</v>
      </c>
      <c r="M380" s="207" t="s">
        <v>4405</v>
      </c>
      <c r="N380" s="207" t="s">
        <v>4406</v>
      </c>
      <c r="O380" s="202">
        <v>46217</v>
      </c>
      <c r="P380" s="202" t="s">
        <v>4407</v>
      </c>
      <c r="Q380" s="202">
        <v>46211</v>
      </c>
      <c r="R380" s="202">
        <v>46217</v>
      </c>
      <c r="S380" s="202"/>
      <c r="T380" s="202"/>
      <c r="U380" s="202"/>
      <c r="V380" s="202"/>
      <c r="W380" s="202"/>
      <c r="X380" s="202"/>
      <c r="Y380" s="202"/>
      <c r="Z380" s="207"/>
      <c r="AA380" s="215" t="s">
        <v>6064</v>
      </c>
      <c r="AB380" s="215" t="s">
        <v>6065</v>
      </c>
      <c r="AC380" s="215" t="s">
        <v>6066</v>
      </c>
      <c r="AD380" s="207" t="s">
        <v>4536</v>
      </c>
      <c r="AE380" s="207" t="s">
        <v>4405</v>
      </c>
      <c r="AF380" s="218" t="s">
        <v>4409</v>
      </c>
      <c r="AG380" s="218" t="s">
        <v>4409</v>
      </c>
      <c r="AH380" s="207" t="s">
        <v>4410</v>
      </c>
      <c r="AI380" s="214" t="s">
        <v>4411</v>
      </c>
      <c r="AJ380" s="207"/>
      <c r="AK380" s="316">
        <v>46217</v>
      </c>
      <c r="AL380" s="316">
        <v>46217</v>
      </c>
      <c r="AM380" s="316">
        <v>46217</v>
      </c>
      <c r="AN380" s="316">
        <v>46217</v>
      </c>
      <c r="AO380" s="316">
        <v>46217</v>
      </c>
      <c r="AP380" s="316">
        <v>46217</v>
      </c>
      <c r="AQ380" s="314"/>
      <c r="AR380" s="315" t="str">
        <f t="shared" si="24"/>
        <v>FINALIZADO</v>
      </c>
      <c r="AS380" s="207"/>
      <c r="AT380" s="207"/>
      <c r="AU380" s="220"/>
      <c r="AV380" s="207"/>
      <c r="AW380" s="207"/>
      <c r="AX380" s="207"/>
      <c r="AY380" s="197"/>
      <c r="AZ380" s="202"/>
      <c r="BA380" s="219"/>
      <c r="BB380" s="207"/>
      <c r="BC380" s="202"/>
      <c r="BD380" s="208"/>
      <c r="BE380" s="202"/>
      <c r="BF380" s="207"/>
      <c r="BG380" s="229"/>
      <c r="BH380" s="321" t="str">
        <f t="shared" si="25"/>
        <v/>
      </c>
      <c r="BI380" s="98" t="str">
        <f t="shared" si="26"/>
        <v>AA</v>
      </c>
      <c r="BJ380" s="98" t="str">
        <f t="shared" si="27"/>
        <v>NÃO</v>
      </c>
      <c r="BK380" s="230"/>
      <c r="BL380" s="230"/>
      <c r="BM380" s="230"/>
      <c r="BN380" s="230"/>
      <c r="BO380" s="230"/>
      <c r="BP380" s="230"/>
      <c r="BQ380" s="230"/>
      <c r="BR380" s="234"/>
    </row>
    <row r="381" spans="1:72" s="240" customFormat="1" ht="27" hidden="1" customHeight="1">
      <c r="A381" s="207">
        <v>377</v>
      </c>
      <c r="B381" s="197" t="s">
        <v>4396</v>
      </c>
      <c r="C381" s="207" t="s">
        <v>4427</v>
      </c>
      <c r="D381" s="207">
        <v>1</v>
      </c>
      <c r="E381" s="207" t="s">
        <v>4398</v>
      </c>
      <c r="F381" s="214" t="s">
        <v>6067</v>
      </c>
      <c r="G381" s="207" t="s">
        <v>4400</v>
      </c>
      <c r="H381" s="207" t="s">
        <v>4401</v>
      </c>
      <c r="I381" s="217" t="s">
        <v>4402</v>
      </c>
      <c r="J381" s="215" t="s">
        <v>6068</v>
      </c>
      <c r="K381" s="215" t="s">
        <v>6069</v>
      </c>
      <c r="L381" s="215" t="s">
        <v>6070</v>
      </c>
      <c r="M381" s="207" t="s">
        <v>4405</v>
      </c>
      <c r="N381" s="207" t="s">
        <v>4442</v>
      </c>
      <c r="O381" s="202" t="s">
        <v>4409</v>
      </c>
      <c r="P381" s="202" t="s">
        <v>4409</v>
      </c>
      <c r="Q381" s="202" t="s">
        <v>4409</v>
      </c>
      <c r="R381" s="202" t="s">
        <v>4409</v>
      </c>
      <c r="S381" s="202" t="s">
        <v>4409</v>
      </c>
      <c r="T381" s="202" t="s">
        <v>4409</v>
      </c>
      <c r="U381" s="202" t="s">
        <v>4409</v>
      </c>
      <c r="V381" s="202" t="s">
        <v>4409</v>
      </c>
      <c r="W381" s="202" t="s">
        <v>4409</v>
      </c>
      <c r="X381" s="202" t="s">
        <v>4409</v>
      </c>
      <c r="Y381" s="202"/>
      <c r="Z381" s="207"/>
      <c r="AA381" s="215" t="s">
        <v>6068</v>
      </c>
      <c r="AB381" s="215" t="s">
        <v>6069</v>
      </c>
      <c r="AC381" s="215" t="s">
        <v>6070</v>
      </c>
      <c r="AD381" s="207" t="s">
        <v>4402</v>
      </c>
      <c r="AE381" s="207" t="s">
        <v>4405</v>
      </c>
      <c r="AF381" s="218">
        <v>60000</v>
      </c>
      <c r="AG381" s="218">
        <v>60000</v>
      </c>
      <c r="AH381" s="207" t="s">
        <v>4433</v>
      </c>
      <c r="AI381" s="214" t="s">
        <v>4411</v>
      </c>
      <c r="AJ381" s="207">
        <v>148265288</v>
      </c>
      <c r="AK381" s="316">
        <v>46142</v>
      </c>
      <c r="AL381" s="316">
        <v>46142</v>
      </c>
      <c r="AM381" s="316">
        <v>46142</v>
      </c>
      <c r="AN381" s="316">
        <v>46142</v>
      </c>
      <c r="AO381" s="316">
        <v>46142</v>
      </c>
      <c r="AP381" s="316">
        <v>46142</v>
      </c>
      <c r="AQ381" s="314"/>
      <c r="AR381" s="315" t="str">
        <f t="shared" si="24"/>
        <v>FINALIZADO</v>
      </c>
      <c r="AS381" s="207" t="s">
        <v>4423</v>
      </c>
      <c r="AT381" s="207"/>
      <c r="AU381" s="220" t="s">
        <v>6071</v>
      </c>
      <c r="AV381" s="250" t="s">
        <v>4425</v>
      </c>
      <c r="AW381" s="207" t="s">
        <v>4425</v>
      </c>
      <c r="AX381" s="207" t="s">
        <v>4425</v>
      </c>
      <c r="AY381" s="219" t="s">
        <v>4425</v>
      </c>
      <c r="AZ381" s="202">
        <v>46226</v>
      </c>
      <c r="BA381" s="219" t="s">
        <v>4425</v>
      </c>
      <c r="BB381" s="219" t="s">
        <v>4425</v>
      </c>
      <c r="BC381" s="202">
        <v>46232</v>
      </c>
      <c r="BD381" s="226">
        <v>46232</v>
      </c>
      <c r="BE381" s="257" t="s">
        <v>4435</v>
      </c>
      <c r="BF381" s="257" t="s">
        <v>4436</v>
      </c>
      <c r="BG381" s="219" t="s">
        <v>4425</v>
      </c>
      <c r="BH381" s="321">
        <f t="shared" si="25"/>
        <v>90</v>
      </c>
      <c r="BI381" s="98" t="str">
        <f t="shared" si="26"/>
        <v>INDENIZAÇÃO</v>
      </c>
      <c r="BJ381" s="98" t="str">
        <f t="shared" si="27"/>
        <v>NÃO</v>
      </c>
      <c r="BK381" s="219" t="s">
        <v>4437</v>
      </c>
      <c r="BL381" s="219" t="s">
        <v>4437</v>
      </c>
      <c r="BM381" s="219" t="s">
        <v>4437</v>
      </c>
      <c r="BN381" s="257" t="s">
        <v>5732</v>
      </c>
      <c r="BO381" s="257"/>
      <c r="BP381" s="257"/>
      <c r="BQ381" s="257"/>
      <c r="BR381" s="258"/>
      <c r="BS381" s="223"/>
    </row>
    <row r="382" spans="1:72" s="240" customFormat="1" ht="27" hidden="1" customHeight="1">
      <c r="A382" s="207">
        <v>378</v>
      </c>
      <c r="B382" s="197" t="s">
        <v>4396</v>
      </c>
      <c r="C382" s="207" t="s">
        <v>4427</v>
      </c>
      <c r="D382" s="207">
        <v>1</v>
      </c>
      <c r="E382" s="207" t="s">
        <v>4398</v>
      </c>
      <c r="F382" s="214" t="s">
        <v>6072</v>
      </c>
      <c r="G382" s="207" t="s">
        <v>4400</v>
      </c>
      <c r="H382" s="207" t="s">
        <v>4401</v>
      </c>
      <c r="I382" s="217" t="s">
        <v>4402</v>
      </c>
      <c r="J382" s="215" t="s">
        <v>6073</v>
      </c>
      <c r="K382" s="215" t="s">
        <v>6074</v>
      </c>
      <c r="L382" s="215" t="s">
        <v>6075</v>
      </c>
      <c r="M382" s="207" t="s">
        <v>4405</v>
      </c>
      <c r="N382" s="207" t="s">
        <v>4442</v>
      </c>
      <c r="O382" s="202" t="s">
        <v>4409</v>
      </c>
      <c r="P382" s="202" t="s">
        <v>4409</v>
      </c>
      <c r="Q382" s="202" t="s">
        <v>4409</v>
      </c>
      <c r="R382" s="202" t="s">
        <v>4409</v>
      </c>
      <c r="S382" s="202" t="s">
        <v>4409</v>
      </c>
      <c r="T382" s="202" t="s">
        <v>4409</v>
      </c>
      <c r="U382" s="202" t="s">
        <v>4409</v>
      </c>
      <c r="V382" s="202" t="s">
        <v>4409</v>
      </c>
      <c r="W382" s="202" t="s">
        <v>4409</v>
      </c>
      <c r="X382" s="202" t="s">
        <v>4409</v>
      </c>
      <c r="Y382" s="202"/>
      <c r="Z382" s="207"/>
      <c r="AA382" s="215" t="s">
        <v>6073</v>
      </c>
      <c r="AB382" s="215" t="s">
        <v>6074</v>
      </c>
      <c r="AC382" s="215" t="s">
        <v>6075</v>
      </c>
      <c r="AD382" s="207" t="s">
        <v>4402</v>
      </c>
      <c r="AE382" s="207" t="s">
        <v>4405</v>
      </c>
      <c r="AF382" s="218">
        <v>27577.63</v>
      </c>
      <c r="AG382" s="218">
        <f>AF382+30000</f>
        <v>57577.630000000005</v>
      </c>
      <c r="AH382" s="207" t="s">
        <v>4433</v>
      </c>
      <c r="AI382" s="214" t="s">
        <v>4411</v>
      </c>
      <c r="AJ382" s="207">
        <v>147057200</v>
      </c>
      <c r="AK382" s="316">
        <v>46045</v>
      </c>
      <c r="AL382" s="316">
        <v>46045</v>
      </c>
      <c r="AM382" s="316">
        <v>46045</v>
      </c>
      <c r="AN382" s="316">
        <v>46045</v>
      </c>
      <c r="AO382" s="316">
        <v>46045</v>
      </c>
      <c r="AP382" s="316">
        <v>46045</v>
      </c>
      <c r="AQ382" s="314"/>
      <c r="AR382" s="315" t="str">
        <f t="shared" si="24"/>
        <v>FINALIZADO</v>
      </c>
      <c r="AS382" s="207" t="s">
        <v>4423</v>
      </c>
      <c r="AT382" s="207"/>
      <c r="AU382" s="220" t="s">
        <v>6076</v>
      </c>
      <c r="AV382" s="160" t="s">
        <v>4425</v>
      </c>
      <c r="AW382" s="207" t="s">
        <v>4425</v>
      </c>
      <c r="AX382" s="207" t="s">
        <v>4425</v>
      </c>
      <c r="AY382" s="207" t="s">
        <v>4425</v>
      </c>
      <c r="AZ382" s="202">
        <v>46127</v>
      </c>
      <c r="BA382" s="207" t="s">
        <v>4425</v>
      </c>
      <c r="BB382" s="207" t="s">
        <v>4425</v>
      </c>
      <c r="BC382" s="202">
        <v>46140</v>
      </c>
      <c r="BD382" s="227">
        <v>46140</v>
      </c>
      <c r="BE382" s="227" t="s">
        <v>4435</v>
      </c>
      <c r="BF382" s="228" t="s">
        <v>4436</v>
      </c>
      <c r="BG382" s="229" t="s">
        <v>4425</v>
      </c>
      <c r="BH382" s="321">
        <f t="shared" si="25"/>
        <v>95</v>
      </c>
      <c r="BI382" s="98" t="str">
        <f t="shared" si="26"/>
        <v>INDENIZAÇÃO</v>
      </c>
      <c r="BJ382" s="98" t="str">
        <f t="shared" si="27"/>
        <v>NÃO</v>
      </c>
      <c r="BK382" s="219" t="s">
        <v>4437</v>
      </c>
      <c r="BL382" s="219" t="s">
        <v>4437</v>
      </c>
      <c r="BM382" s="219" t="s">
        <v>4437</v>
      </c>
      <c r="BN382" s="257" t="s">
        <v>5732</v>
      </c>
      <c r="BO382" s="257"/>
      <c r="BP382" s="257"/>
      <c r="BQ382" s="257"/>
      <c r="BR382" s="258"/>
    </row>
    <row r="383" spans="1:72" s="240" customFormat="1" ht="27" hidden="1" customHeight="1">
      <c r="A383" s="207">
        <v>379</v>
      </c>
      <c r="B383" s="197" t="s">
        <v>4396</v>
      </c>
      <c r="C383" s="207" t="s">
        <v>4427</v>
      </c>
      <c r="D383" s="207">
        <v>1</v>
      </c>
      <c r="E383" s="207" t="s">
        <v>4398</v>
      </c>
      <c r="F383" s="214" t="s">
        <v>6077</v>
      </c>
      <c r="G383" s="207" t="s">
        <v>4400</v>
      </c>
      <c r="H383" s="207" t="s">
        <v>4401</v>
      </c>
      <c r="I383" s="217" t="s">
        <v>4402</v>
      </c>
      <c r="J383" s="215" t="s">
        <v>6078</v>
      </c>
      <c r="K383" s="215" t="s">
        <v>6079</v>
      </c>
      <c r="L383" s="215" t="s">
        <v>6080</v>
      </c>
      <c r="M383" s="207" t="s">
        <v>4405</v>
      </c>
      <c r="N383" s="207" t="s">
        <v>4442</v>
      </c>
      <c r="O383" s="202" t="s">
        <v>4409</v>
      </c>
      <c r="P383" s="202" t="s">
        <v>4409</v>
      </c>
      <c r="Q383" s="202" t="s">
        <v>4409</v>
      </c>
      <c r="R383" s="202" t="s">
        <v>4409</v>
      </c>
      <c r="S383" s="202" t="s">
        <v>4409</v>
      </c>
      <c r="T383" s="202" t="s">
        <v>4409</v>
      </c>
      <c r="U383" s="202" t="s">
        <v>4409</v>
      </c>
      <c r="V383" s="202" t="s">
        <v>4409</v>
      </c>
      <c r="W383" s="202" t="s">
        <v>4409</v>
      </c>
      <c r="X383" s="202" t="s">
        <v>4409</v>
      </c>
      <c r="Y383" s="202"/>
      <c r="Z383" s="207"/>
      <c r="AA383" s="215" t="s">
        <v>6078</v>
      </c>
      <c r="AB383" s="215" t="s">
        <v>6079</v>
      </c>
      <c r="AC383" s="215" t="s">
        <v>6080</v>
      </c>
      <c r="AD383" s="207" t="s">
        <v>4402</v>
      </c>
      <c r="AE383" s="207" t="s">
        <v>4405</v>
      </c>
      <c r="AF383" s="218">
        <v>20828.13</v>
      </c>
      <c r="AG383" s="218">
        <f>AF383+30000</f>
        <v>50828.130000000005</v>
      </c>
      <c r="AH383" s="207" t="s">
        <v>4433</v>
      </c>
      <c r="AI383" s="214" t="s">
        <v>4411</v>
      </c>
      <c r="AJ383" s="207">
        <v>147057289</v>
      </c>
      <c r="AK383" s="316">
        <v>46045</v>
      </c>
      <c r="AL383" s="316">
        <v>46045</v>
      </c>
      <c r="AM383" s="316">
        <v>46045</v>
      </c>
      <c r="AN383" s="316">
        <v>46045</v>
      </c>
      <c r="AO383" s="316">
        <v>46045</v>
      </c>
      <c r="AP383" s="316">
        <v>46045</v>
      </c>
      <c r="AQ383" s="314"/>
      <c r="AR383" s="315" t="str">
        <f t="shared" si="24"/>
        <v>FINALIZADO</v>
      </c>
      <c r="AS383" s="207" t="s">
        <v>4423</v>
      </c>
      <c r="AT383" s="207"/>
      <c r="AU383" s="220" t="s">
        <v>6081</v>
      </c>
      <c r="AV383" s="207" t="s">
        <v>4425</v>
      </c>
      <c r="AW383" s="207" t="s">
        <v>4425</v>
      </c>
      <c r="AX383" s="207" t="s">
        <v>4425</v>
      </c>
      <c r="AY383" s="207" t="s">
        <v>4425</v>
      </c>
      <c r="AZ383" s="202">
        <v>46153</v>
      </c>
      <c r="BA383" s="207" t="s">
        <v>4425</v>
      </c>
      <c r="BB383" s="207" t="s">
        <v>4425</v>
      </c>
      <c r="BC383" s="202">
        <v>46161</v>
      </c>
      <c r="BD383" s="227">
        <v>46161</v>
      </c>
      <c r="BE383" s="227" t="s">
        <v>4435</v>
      </c>
      <c r="BF383" s="228" t="s">
        <v>4436</v>
      </c>
      <c r="BG383" s="219" t="s">
        <v>4425</v>
      </c>
      <c r="BH383" s="321">
        <f t="shared" si="25"/>
        <v>116</v>
      </c>
      <c r="BI383" s="98" t="str">
        <f t="shared" si="26"/>
        <v>INDENIZAÇÃO</v>
      </c>
      <c r="BJ383" s="98" t="str">
        <f t="shared" si="27"/>
        <v>NÃO</v>
      </c>
      <c r="BK383" s="219" t="s">
        <v>4437</v>
      </c>
      <c r="BL383" s="219" t="s">
        <v>4437</v>
      </c>
      <c r="BM383" s="219" t="s">
        <v>4437</v>
      </c>
      <c r="BN383" s="257" t="s">
        <v>5732</v>
      </c>
      <c r="BO383" s="257"/>
      <c r="BP383" s="257"/>
      <c r="BQ383" s="257"/>
      <c r="BR383" s="258"/>
    </row>
    <row r="384" spans="1:72" s="240" customFormat="1" ht="27" hidden="1" customHeight="1">
      <c r="A384" s="197">
        <v>380</v>
      </c>
      <c r="B384" s="197" t="s">
        <v>4396</v>
      </c>
      <c r="C384" s="207" t="s">
        <v>4427</v>
      </c>
      <c r="D384" s="207">
        <v>1</v>
      </c>
      <c r="E384" s="207" t="s">
        <v>4398</v>
      </c>
      <c r="F384" s="214" t="s">
        <v>6082</v>
      </c>
      <c r="G384" s="207" t="s">
        <v>4400</v>
      </c>
      <c r="H384" s="207" t="s">
        <v>4401</v>
      </c>
      <c r="I384" s="217" t="s">
        <v>4402</v>
      </c>
      <c r="J384" s="215" t="s">
        <v>6083</v>
      </c>
      <c r="K384" s="215" t="s">
        <v>6084</v>
      </c>
      <c r="L384" s="215" t="s">
        <v>6085</v>
      </c>
      <c r="M384" s="207" t="s">
        <v>4405</v>
      </c>
      <c r="N384" s="207" t="s">
        <v>4442</v>
      </c>
      <c r="O384" s="202" t="s">
        <v>4409</v>
      </c>
      <c r="P384" s="202" t="s">
        <v>4409</v>
      </c>
      <c r="Q384" s="202" t="s">
        <v>4409</v>
      </c>
      <c r="R384" s="202" t="s">
        <v>4409</v>
      </c>
      <c r="S384" s="202" t="s">
        <v>4409</v>
      </c>
      <c r="T384" s="202" t="s">
        <v>4409</v>
      </c>
      <c r="U384" s="202" t="s">
        <v>4409</v>
      </c>
      <c r="V384" s="202" t="s">
        <v>4409</v>
      </c>
      <c r="W384" s="202" t="s">
        <v>4409</v>
      </c>
      <c r="X384" s="202" t="s">
        <v>4409</v>
      </c>
      <c r="Y384" s="202"/>
      <c r="Z384" s="260"/>
      <c r="AA384" s="215" t="s">
        <v>6083</v>
      </c>
      <c r="AB384" s="215" t="s">
        <v>6084</v>
      </c>
      <c r="AC384" s="215" t="s">
        <v>6085</v>
      </c>
      <c r="AD384" s="217" t="s">
        <v>4402</v>
      </c>
      <c r="AE384" s="207" t="s">
        <v>4405</v>
      </c>
      <c r="AF384" s="218">
        <v>179018.85</v>
      </c>
      <c r="AG384" s="218">
        <v>179018.85</v>
      </c>
      <c r="AH384" s="207" t="s">
        <v>4422</v>
      </c>
      <c r="AI384" s="214" t="s">
        <v>4411</v>
      </c>
      <c r="AJ384" s="207">
        <v>154685023</v>
      </c>
      <c r="AK384" s="316">
        <v>46191</v>
      </c>
      <c r="AL384" s="316">
        <v>46191</v>
      </c>
      <c r="AM384" s="316">
        <v>46191</v>
      </c>
      <c r="AN384" s="316">
        <v>46191</v>
      </c>
      <c r="AO384" s="316">
        <v>46191</v>
      </c>
      <c r="AP384" s="316">
        <v>46191</v>
      </c>
      <c r="AQ384" s="314"/>
      <c r="AR384" s="315" t="str">
        <f t="shared" si="24"/>
        <v>FINALIZADO</v>
      </c>
      <c r="AS384" s="207" t="s">
        <v>4423</v>
      </c>
      <c r="AT384" s="262"/>
      <c r="AU384" s="220" t="s">
        <v>6086</v>
      </c>
      <c r="AV384" s="250" t="s">
        <v>4425</v>
      </c>
      <c r="AW384" s="207" t="s">
        <v>4425</v>
      </c>
      <c r="AX384" s="219" t="s">
        <v>4425</v>
      </c>
      <c r="AY384" s="219" t="s">
        <v>4425</v>
      </c>
      <c r="AZ384" s="202">
        <v>46226</v>
      </c>
      <c r="BA384" s="219" t="s">
        <v>4425</v>
      </c>
      <c r="BB384" s="219" t="s">
        <v>4425</v>
      </c>
      <c r="BC384" s="202">
        <v>46232</v>
      </c>
      <c r="BD384" s="226">
        <v>46232</v>
      </c>
      <c r="BE384" s="257" t="s">
        <v>4435</v>
      </c>
      <c r="BF384" s="257" t="s">
        <v>4436</v>
      </c>
      <c r="BG384" s="219" t="s">
        <v>4425</v>
      </c>
      <c r="BH384" s="321">
        <f t="shared" si="25"/>
        <v>41</v>
      </c>
      <c r="BI384" s="98" t="str">
        <f t="shared" si="26"/>
        <v>INDENIZAÇÃO</v>
      </c>
      <c r="BJ384" s="98" t="str">
        <f t="shared" si="27"/>
        <v>NÃO</v>
      </c>
      <c r="BK384" s="219" t="s">
        <v>4437</v>
      </c>
      <c r="BL384" s="219" t="s">
        <v>4437</v>
      </c>
      <c r="BM384" s="219" t="s">
        <v>4437</v>
      </c>
      <c r="BN384" s="257" t="s">
        <v>5732</v>
      </c>
      <c r="BO384" s="257"/>
      <c r="BP384" s="257"/>
      <c r="BQ384" s="257"/>
      <c r="BR384" s="258"/>
      <c r="BS384" s="223"/>
    </row>
    <row r="385" spans="1:70" s="240" customFormat="1" ht="27" hidden="1" customHeight="1">
      <c r="A385" s="197">
        <v>381</v>
      </c>
      <c r="B385" s="197" t="s">
        <v>4396</v>
      </c>
      <c r="C385" s="207" t="s">
        <v>4427</v>
      </c>
      <c r="D385" s="207">
        <v>1</v>
      </c>
      <c r="E385" s="207" t="s">
        <v>4398</v>
      </c>
      <c r="F385" s="214" t="s">
        <v>6087</v>
      </c>
      <c r="G385" s="207" t="s">
        <v>4400</v>
      </c>
      <c r="H385" s="207" t="s">
        <v>4401</v>
      </c>
      <c r="I385" s="217" t="s">
        <v>4402</v>
      </c>
      <c r="J385" s="215" t="s">
        <v>6088</v>
      </c>
      <c r="K385" s="215" t="s">
        <v>4398</v>
      </c>
      <c r="L385" s="215" t="s">
        <v>6089</v>
      </c>
      <c r="M385" s="207" t="s">
        <v>4405</v>
      </c>
      <c r="N385" s="207" t="s">
        <v>4406</v>
      </c>
      <c r="O385" s="202">
        <v>45986</v>
      </c>
      <c r="P385" s="203" t="s">
        <v>4407</v>
      </c>
      <c r="Q385" s="203">
        <v>45985</v>
      </c>
      <c r="R385" s="203">
        <v>45986</v>
      </c>
      <c r="S385" s="203">
        <v>45987</v>
      </c>
      <c r="T385" s="203">
        <v>45992</v>
      </c>
      <c r="U385" s="202" t="s">
        <v>4408</v>
      </c>
      <c r="V385" s="202" t="s">
        <v>4408</v>
      </c>
      <c r="W385" s="202">
        <v>45999</v>
      </c>
      <c r="X385" s="202">
        <v>46000</v>
      </c>
      <c r="Y385" s="202"/>
      <c r="Z385" s="207"/>
      <c r="AA385" s="215" t="s">
        <v>6088</v>
      </c>
      <c r="AB385" s="215" t="s">
        <v>4398</v>
      </c>
      <c r="AC385" s="215" t="s">
        <v>6089</v>
      </c>
      <c r="AD385" s="207" t="s">
        <v>4402</v>
      </c>
      <c r="AE385" s="207" t="s">
        <v>4405</v>
      </c>
      <c r="AF385" s="218" t="s">
        <v>4409</v>
      </c>
      <c r="AG385" s="218" t="s">
        <v>4409</v>
      </c>
      <c r="AH385" s="207" t="s">
        <v>4410</v>
      </c>
      <c r="AI385" s="214" t="s">
        <v>4411</v>
      </c>
      <c r="AJ385" s="207"/>
      <c r="AK385" s="316">
        <v>45980</v>
      </c>
      <c r="AL385" s="316">
        <v>45980</v>
      </c>
      <c r="AM385" s="316">
        <v>45980</v>
      </c>
      <c r="AN385" s="316">
        <v>45980</v>
      </c>
      <c r="AO385" s="316">
        <v>45980</v>
      </c>
      <c r="AP385" s="316">
        <v>45980</v>
      </c>
      <c r="AQ385" s="314"/>
      <c r="AR385" s="315" t="str">
        <f t="shared" si="24"/>
        <v>FINALIZADO</v>
      </c>
      <c r="AS385" s="207"/>
      <c r="AT385" s="207"/>
      <c r="AU385" s="220"/>
      <c r="AV385" s="207" t="s">
        <v>5487</v>
      </c>
      <c r="AW385" s="207"/>
      <c r="AX385" s="207" t="s">
        <v>4409</v>
      </c>
      <c r="AY385" s="207" t="s">
        <v>4409</v>
      </c>
      <c r="AZ385" s="207" t="s">
        <v>4409</v>
      </c>
      <c r="BA385" s="207" t="s">
        <v>4409</v>
      </c>
      <c r="BB385" s="207"/>
      <c r="BC385" s="202"/>
      <c r="BD385" s="208"/>
      <c r="BE385" s="202"/>
      <c r="BF385" s="207"/>
      <c r="BG385" s="229"/>
      <c r="BH385" s="321" t="str">
        <f t="shared" si="25"/>
        <v/>
      </c>
      <c r="BI385" s="98" t="str">
        <f t="shared" si="26"/>
        <v>AA</v>
      </c>
      <c r="BJ385" s="98" t="str">
        <f t="shared" si="27"/>
        <v>NÃO</v>
      </c>
      <c r="BK385" s="230"/>
      <c r="BL385" s="230"/>
      <c r="BM385" s="230"/>
      <c r="BN385" s="230"/>
      <c r="BO385" s="230"/>
      <c r="BP385" s="230"/>
      <c r="BQ385" s="230"/>
      <c r="BR385" s="234"/>
    </row>
    <row r="386" spans="1:70" s="240" customFormat="1" ht="27" hidden="1" customHeight="1">
      <c r="A386" s="207">
        <v>382</v>
      </c>
      <c r="B386" s="197" t="s">
        <v>4396</v>
      </c>
      <c r="C386" s="207" t="s">
        <v>4427</v>
      </c>
      <c r="D386" s="207">
        <v>1</v>
      </c>
      <c r="E386" s="207" t="s">
        <v>4398</v>
      </c>
      <c r="F386" s="214" t="s">
        <v>6090</v>
      </c>
      <c r="G386" s="207" t="s">
        <v>4400</v>
      </c>
      <c r="H386" s="207" t="s">
        <v>4401</v>
      </c>
      <c r="I386" s="217" t="s">
        <v>4402</v>
      </c>
      <c r="J386" s="215" t="s">
        <v>6091</v>
      </c>
      <c r="K386" s="215" t="s">
        <v>6092</v>
      </c>
      <c r="L386" s="215" t="s">
        <v>6093</v>
      </c>
      <c r="M386" s="207" t="s">
        <v>4405</v>
      </c>
      <c r="N386" s="207" t="s">
        <v>4442</v>
      </c>
      <c r="O386" s="202" t="s">
        <v>4409</v>
      </c>
      <c r="P386" s="202" t="s">
        <v>4409</v>
      </c>
      <c r="Q386" s="202" t="s">
        <v>4409</v>
      </c>
      <c r="R386" s="202" t="s">
        <v>4409</v>
      </c>
      <c r="S386" s="202" t="s">
        <v>4409</v>
      </c>
      <c r="T386" s="202" t="s">
        <v>4409</v>
      </c>
      <c r="U386" s="202" t="s">
        <v>4409</v>
      </c>
      <c r="V386" s="202" t="s">
        <v>4409</v>
      </c>
      <c r="W386" s="202" t="s">
        <v>4409</v>
      </c>
      <c r="X386" s="202" t="s">
        <v>4409</v>
      </c>
      <c r="Y386" s="202"/>
      <c r="Z386" s="207"/>
      <c r="AA386" s="215" t="s">
        <v>6091</v>
      </c>
      <c r="AB386" s="215" t="s">
        <v>6092</v>
      </c>
      <c r="AC386" s="215" t="s">
        <v>6093</v>
      </c>
      <c r="AD386" s="207" t="s">
        <v>4402</v>
      </c>
      <c r="AE386" s="207" t="s">
        <v>4405</v>
      </c>
      <c r="AF386" s="218">
        <v>66650.02</v>
      </c>
      <c r="AG386" s="218">
        <v>66650.02</v>
      </c>
      <c r="AH386" s="207" t="s">
        <v>4433</v>
      </c>
      <c r="AI386" s="214" t="s">
        <v>4411</v>
      </c>
      <c r="AJ386" s="207">
        <v>147057425</v>
      </c>
      <c r="AK386" s="316">
        <v>46001</v>
      </c>
      <c r="AL386" s="316">
        <v>46001</v>
      </c>
      <c r="AM386" s="316">
        <v>46001</v>
      </c>
      <c r="AN386" s="316">
        <v>46001</v>
      </c>
      <c r="AO386" s="316">
        <v>46001</v>
      </c>
      <c r="AP386" s="316">
        <v>46001</v>
      </c>
      <c r="AQ386" s="314"/>
      <c r="AR386" s="315" t="str">
        <f t="shared" si="24"/>
        <v>FINALIZADO</v>
      </c>
      <c r="AS386" s="207" t="s">
        <v>4423</v>
      </c>
      <c r="AT386" s="207"/>
      <c r="AU386" s="220" t="s">
        <v>6094</v>
      </c>
      <c r="AV386" s="207" t="s">
        <v>4425</v>
      </c>
      <c r="AW386" s="207" t="s">
        <v>4425</v>
      </c>
      <c r="AX386" s="207" t="s">
        <v>4425</v>
      </c>
      <c r="AY386" s="207" t="s">
        <v>4425</v>
      </c>
      <c r="AZ386" s="202">
        <v>46020</v>
      </c>
      <c r="BA386" s="219" t="s">
        <v>4425</v>
      </c>
      <c r="BB386" s="207" t="s">
        <v>4425</v>
      </c>
      <c r="BC386" s="208">
        <v>46035</v>
      </c>
      <c r="BD386" s="226">
        <v>46066</v>
      </c>
      <c r="BE386" s="227" t="s">
        <v>4435</v>
      </c>
      <c r="BF386" s="228" t="s">
        <v>4436</v>
      </c>
      <c r="BG386" s="229" t="s">
        <v>4425</v>
      </c>
      <c r="BH386" s="321">
        <f t="shared" si="25"/>
        <v>65</v>
      </c>
      <c r="BI386" s="98" t="str">
        <f t="shared" si="26"/>
        <v>INDENIZAÇÃO</v>
      </c>
      <c r="BJ386" s="98" t="str">
        <f t="shared" si="27"/>
        <v>NÃO</v>
      </c>
      <c r="BK386" s="230" t="s">
        <v>4437</v>
      </c>
      <c r="BL386" s="230" t="s">
        <v>4437</v>
      </c>
      <c r="BM386" s="230" t="s">
        <v>4437</v>
      </c>
      <c r="BN386" s="265" t="s">
        <v>5732</v>
      </c>
      <c r="BO386" s="265"/>
      <c r="BP386" s="265"/>
      <c r="BQ386" s="265"/>
      <c r="BR386" s="231"/>
    </row>
    <row r="387" spans="1:70" s="240" customFormat="1" ht="27" hidden="1" customHeight="1">
      <c r="A387" s="207">
        <v>383</v>
      </c>
      <c r="B387" s="197" t="s">
        <v>4396</v>
      </c>
      <c r="C387" s="207" t="s">
        <v>4427</v>
      </c>
      <c r="D387" s="207">
        <v>1</v>
      </c>
      <c r="E387" s="207" t="s">
        <v>4398</v>
      </c>
      <c r="F387" s="214" t="s">
        <v>6095</v>
      </c>
      <c r="G387" s="207" t="s">
        <v>4400</v>
      </c>
      <c r="H387" s="207" t="s">
        <v>4401</v>
      </c>
      <c r="I387" s="217" t="s">
        <v>4402</v>
      </c>
      <c r="J387" s="215" t="s">
        <v>6096</v>
      </c>
      <c r="K387" s="215" t="s">
        <v>6097</v>
      </c>
      <c r="L387" s="215" t="s">
        <v>6098</v>
      </c>
      <c r="M387" s="207" t="s">
        <v>4405</v>
      </c>
      <c r="N387" s="207" t="s">
        <v>4442</v>
      </c>
      <c r="O387" s="202" t="s">
        <v>4409</v>
      </c>
      <c r="P387" s="202" t="s">
        <v>4409</v>
      </c>
      <c r="Q387" s="202" t="s">
        <v>4409</v>
      </c>
      <c r="R387" s="202" t="s">
        <v>4409</v>
      </c>
      <c r="S387" s="202" t="s">
        <v>4409</v>
      </c>
      <c r="T387" s="202" t="s">
        <v>4409</v>
      </c>
      <c r="U387" s="202" t="s">
        <v>4409</v>
      </c>
      <c r="V387" s="202" t="s">
        <v>4409</v>
      </c>
      <c r="W387" s="202" t="s">
        <v>4409</v>
      </c>
      <c r="X387" s="202" t="s">
        <v>4409</v>
      </c>
      <c r="Y387" s="202"/>
      <c r="Z387" s="207"/>
      <c r="AA387" s="215" t="s">
        <v>6096</v>
      </c>
      <c r="AB387" s="215" t="s">
        <v>6097</v>
      </c>
      <c r="AC387" s="215" t="s">
        <v>6098</v>
      </c>
      <c r="AD387" s="207" t="s">
        <v>4402</v>
      </c>
      <c r="AE387" s="207" t="s">
        <v>4405</v>
      </c>
      <c r="AF387" s="218">
        <v>22418.93</v>
      </c>
      <c r="AG387" s="218">
        <f>AF387+30000</f>
        <v>52418.93</v>
      </c>
      <c r="AH387" s="207" t="s">
        <v>4433</v>
      </c>
      <c r="AI387" s="214" t="s">
        <v>4411</v>
      </c>
      <c r="AJ387" s="207">
        <v>147057535</v>
      </c>
      <c r="AK387" s="316">
        <v>46001</v>
      </c>
      <c r="AL387" s="316">
        <v>46001</v>
      </c>
      <c r="AM387" s="316">
        <v>46001</v>
      </c>
      <c r="AN387" s="316">
        <v>46001</v>
      </c>
      <c r="AO387" s="316">
        <v>46001</v>
      </c>
      <c r="AP387" s="316">
        <v>46001</v>
      </c>
      <c r="AQ387" s="314"/>
      <c r="AR387" s="315" t="str">
        <f t="shared" si="24"/>
        <v>FINALIZADO</v>
      </c>
      <c r="AS387" s="207" t="s">
        <v>4423</v>
      </c>
      <c r="AT387" s="207"/>
      <c r="AU387" s="220" t="s">
        <v>6099</v>
      </c>
      <c r="AV387" s="207" t="s">
        <v>4425</v>
      </c>
      <c r="AW387" s="207" t="s">
        <v>4425</v>
      </c>
      <c r="AX387" s="207" t="s">
        <v>4425</v>
      </c>
      <c r="AY387" s="197" t="s">
        <v>4425</v>
      </c>
      <c r="AZ387" s="202">
        <v>46009</v>
      </c>
      <c r="BA387" s="219" t="s">
        <v>4425</v>
      </c>
      <c r="BB387" s="207" t="s">
        <v>4425</v>
      </c>
      <c r="BC387" s="239">
        <v>46021</v>
      </c>
      <c r="BD387" s="227">
        <v>46021</v>
      </c>
      <c r="BE387" s="227" t="s">
        <v>4435</v>
      </c>
      <c r="BF387" s="228" t="s">
        <v>4436</v>
      </c>
      <c r="BG387" s="229" t="s">
        <v>4425</v>
      </c>
      <c r="BH387" s="321">
        <f t="shared" si="25"/>
        <v>20</v>
      </c>
      <c r="BI387" s="98" t="str">
        <f t="shared" si="26"/>
        <v>INDENIZAÇÃO</v>
      </c>
      <c r="BJ387" s="98" t="str">
        <f t="shared" si="27"/>
        <v>NÃO</v>
      </c>
      <c r="BK387" s="230" t="s">
        <v>4437</v>
      </c>
      <c r="BL387" s="230" t="s">
        <v>4437</v>
      </c>
      <c r="BM387" s="230" t="s">
        <v>4437</v>
      </c>
      <c r="BN387" s="207" t="s">
        <v>4425</v>
      </c>
      <c r="BO387" s="207" t="s">
        <v>4425</v>
      </c>
      <c r="BP387" s="202">
        <v>46205</v>
      </c>
      <c r="BQ387" s="207" t="s">
        <v>4425</v>
      </c>
      <c r="BR387" s="232" t="s">
        <v>4435</v>
      </c>
    </row>
    <row r="388" spans="1:70" s="240" customFormat="1" ht="27" hidden="1" customHeight="1">
      <c r="A388" s="207">
        <v>384</v>
      </c>
      <c r="B388" s="197" t="s">
        <v>4396</v>
      </c>
      <c r="C388" s="207" t="s">
        <v>4427</v>
      </c>
      <c r="D388" s="207">
        <v>1</v>
      </c>
      <c r="E388" s="207" t="s">
        <v>4398</v>
      </c>
      <c r="F388" s="214" t="s">
        <v>6100</v>
      </c>
      <c r="G388" s="207" t="s">
        <v>4400</v>
      </c>
      <c r="H388" s="207" t="s">
        <v>4401</v>
      </c>
      <c r="I388" s="217" t="s">
        <v>4402</v>
      </c>
      <c r="J388" s="215" t="s">
        <v>6101</v>
      </c>
      <c r="K388" s="215" t="s">
        <v>6102</v>
      </c>
      <c r="L388" s="215" t="s">
        <v>6103</v>
      </c>
      <c r="M388" s="207" t="s">
        <v>4405</v>
      </c>
      <c r="N388" s="207" t="s">
        <v>4406</v>
      </c>
      <c r="O388" s="202">
        <v>46044</v>
      </c>
      <c r="P388" s="202" t="s">
        <v>4407</v>
      </c>
      <c r="Q388" s="202">
        <v>46043</v>
      </c>
      <c r="R388" s="202">
        <v>46044</v>
      </c>
      <c r="S388" s="202">
        <v>46045</v>
      </c>
      <c r="T388" s="203">
        <v>46155</v>
      </c>
      <c r="U388" s="202" t="s">
        <v>4408</v>
      </c>
      <c r="V388" s="202" t="s">
        <v>4408</v>
      </c>
      <c r="W388" s="202">
        <v>46055</v>
      </c>
      <c r="X388" s="202">
        <v>46057</v>
      </c>
      <c r="Y388" s="202"/>
      <c r="Z388" s="207"/>
      <c r="AA388" s="215" t="s">
        <v>6101</v>
      </c>
      <c r="AB388" s="215" t="s">
        <v>6102</v>
      </c>
      <c r="AC388" s="215" t="s">
        <v>6103</v>
      </c>
      <c r="AD388" s="207" t="s">
        <v>4402</v>
      </c>
      <c r="AE388" s="207" t="s">
        <v>4405</v>
      </c>
      <c r="AF388" s="218" t="s">
        <v>4409</v>
      </c>
      <c r="AG388" s="218" t="s">
        <v>4409</v>
      </c>
      <c r="AH388" s="207" t="s">
        <v>4410</v>
      </c>
      <c r="AI388" s="214" t="s">
        <v>4411</v>
      </c>
      <c r="AJ388" s="207"/>
      <c r="AK388" s="316">
        <v>46041</v>
      </c>
      <c r="AL388" s="316">
        <v>46041</v>
      </c>
      <c r="AM388" s="316">
        <v>46041</v>
      </c>
      <c r="AN388" s="316">
        <v>46041</v>
      </c>
      <c r="AO388" s="316">
        <v>46041</v>
      </c>
      <c r="AP388" s="316">
        <v>46041</v>
      </c>
      <c r="AQ388" s="314"/>
      <c r="AR388" s="315" t="str">
        <f t="shared" si="24"/>
        <v>FINALIZADO</v>
      </c>
      <c r="AS388" s="207"/>
      <c r="AT388" s="207"/>
      <c r="AU388" s="220"/>
      <c r="AV388" s="207"/>
      <c r="AW388" s="207"/>
      <c r="AX388" s="207"/>
      <c r="AY388" s="207"/>
      <c r="AZ388" s="202"/>
      <c r="BA388" s="219"/>
      <c r="BB388" s="207"/>
      <c r="BC388" s="202"/>
      <c r="BD388" s="208"/>
      <c r="BE388" s="227"/>
      <c r="BF388" s="228"/>
      <c r="BG388" s="229"/>
      <c r="BH388" s="321" t="str">
        <f t="shared" si="25"/>
        <v/>
      </c>
      <c r="BI388" s="98" t="str">
        <f t="shared" si="26"/>
        <v>AA</v>
      </c>
      <c r="BJ388" s="98" t="str">
        <f t="shared" si="27"/>
        <v>NÃO</v>
      </c>
      <c r="BK388" s="230"/>
      <c r="BL388" s="230"/>
      <c r="BM388" s="230"/>
      <c r="BN388" s="265"/>
      <c r="BO388" s="265"/>
      <c r="BP388" s="265"/>
      <c r="BQ388" s="265"/>
      <c r="BR388" s="231"/>
    </row>
    <row r="389" spans="1:70" s="240" customFormat="1" ht="27" hidden="1" customHeight="1">
      <c r="A389" s="197">
        <v>385</v>
      </c>
      <c r="B389" s="197" t="s">
        <v>4396</v>
      </c>
      <c r="C389" s="207" t="s">
        <v>4427</v>
      </c>
      <c r="D389" s="207">
        <v>1</v>
      </c>
      <c r="E389" s="207" t="s">
        <v>4398</v>
      </c>
      <c r="F389" s="214" t="s">
        <v>6104</v>
      </c>
      <c r="G389" s="207" t="s">
        <v>4400</v>
      </c>
      <c r="H389" s="207" t="s">
        <v>4401</v>
      </c>
      <c r="I389" s="217" t="s">
        <v>4402</v>
      </c>
      <c r="J389" s="215" t="s">
        <v>6105</v>
      </c>
      <c r="K389" s="215" t="s">
        <v>6106</v>
      </c>
      <c r="L389" s="215" t="s">
        <v>6107</v>
      </c>
      <c r="M389" s="207" t="s">
        <v>4405</v>
      </c>
      <c r="N389" s="207" t="s">
        <v>4432</v>
      </c>
      <c r="O389" s="202" t="s">
        <v>4409</v>
      </c>
      <c r="P389" s="202" t="s">
        <v>4409</v>
      </c>
      <c r="Q389" s="202" t="s">
        <v>4409</v>
      </c>
      <c r="R389" s="202" t="s">
        <v>4409</v>
      </c>
      <c r="S389" s="202" t="s">
        <v>4409</v>
      </c>
      <c r="T389" s="202" t="s">
        <v>4409</v>
      </c>
      <c r="U389" s="202" t="s">
        <v>4409</v>
      </c>
      <c r="V389" s="202" t="s">
        <v>4409</v>
      </c>
      <c r="W389" s="202" t="s">
        <v>4409</v>
      </c>
      <c r="X389" s="202" t="s">
        <v>4409</v>
      </c>
      <c r="Y389" s="202"/>
      <c r="AA389" s="215" t="s">
        <v>6105</v>
      </c>
      <c r="AB389" s="215" t="s">
        <v>6106</v>
      </c>
      <c r="AC389" s="215" t="s">
        <v>6107</v>
      </c>
      <c r="AD389" s="217" t="s">
        <v>4402</v>
      </c>
      <c r="AE389" s="207" t="s">
        <v>4405</v>
      </c>
      <c r="AF389" s="218">
        <v>188565.43</v>
      </c>
      <c r="AG389" s="218">
        <v>188565.43</v>
      </c>
      <c r="AH389" s="207" t="s">
        <v>4422</v>
      </c>
      <c r="AI389" s="214" t="s">
        <v>4411</v>
      </c>
      <c r="AJ389" s="207">
        <v>160441120</v>
      </c>
      <c r="AK389" s="316">
        <v>46253</v>
      </c>
      <c r="AL389" s="316">
        <v>46253</v>
      </c>
      <c r="AM389" s="316">
        <v>46253</v>
      </c>
      <c r="AN389" s="316">
        <v>46253</v>
      </c>
      <c r="AO389" s="316"/>
      <c r="AP389" s="316"/>
      <c r="AQ389" s="314"/>
      <c r="AR389" s="315" t="str">
        <f t="shared" si="24"/>
        <v>AGUARDANDO ASSINATURA GAB</v>
      </c>
      <c r="AS389" s="207" t="s">
        <v>4447</v>
      </c>
      <c r="AT389" s="207"/>
      <c r="AU389" s="220"/>
      <c r="AV389" s="207"/>
      <c r="AW389" s="207"/>
      <c r="AX389" s="207"/>
      <c r="AY389" s="197"/>
      <c r="AZ389" s="202"/>
      <c r="BA389" s="219"/>
      <c r="BB389" s="207"/>
      <c r="BC389" s="202"/>
      <c r="BD389" s="208"/>
      <c r="BE389" s="227"/>
      <c r="BF389" s="228"/>
      <c r="BG389" s="229"/>
      <c r="BH389" s="321" t="str">
        <f t="shared" si="25"/>
        <v/>
      </c>
      <c r="BI389" s="98" t="str">
        <f t="shared" si="26"/>
        <v>INDENIZAÇÃO</v>
      </c>
      <c r="BJ389" s="98" t="str">
        <f t="shared" si="27"/>
        <v>NÃO</v>
      </c>
      <c r="BK389" s="230"/>
      <c r="BL389" s="230"/>
      <c r="BM389" s="230"/>
      <c r="BN389" s="265"/>
      <c r="BO389" s="265"/>
      <c r="BP389" s="265"/>
      <c r="BQ389" s="265"/>
      <c r="BR389" s="231"/>
    </row>
    <row r="390" spans="1:70" s="240" customFormat="1" ht="27" hidden="1" customHeight="1">
      <c r="A390" s="197">
        <v>386</v>
      </c>
      <c r="B390" s="197" t="s">
        <v>4396</v>
      </c>
      <c r="C390" s="207" t="s">
        <v>4427</v>
      </c>
      <c r="D390" s="207">
        <v>2</v>
      </c>
      <c r="E390" s="207" t="s">
        <v>4398</v>
      </c>
      <c r="F390" s="214" t="s">
        <v>6108</v>
      </c>
      <c r="G390" s="207" t="s">
        <v>4400</v>
      </c>
      <c r="H390" s="207" t="s">
        <v>4401</v>
      </c>
      <c r="I390" s="217" t="s">
        <v>4402</v>
      </c>
      <c r="J390" s="215" t="s">
        <v>6109</v>
      </c>
      <c r="K390" s="215" t="s">
        <v>6110</v>
      </c>
      <c r="L390" s="215" t="s">
        <v>6111</v>
      </c>
      <c r="M390" s="207" t="s">
        <v>4405</v>
      </c>
      <c r="N390" s="207" t="s">
        <v>4432</v>
      </c>
      <c r="O390" s="202" t="s">
        <v>4409</v>
      </c>
      <c r="P390" s="202" t="s">
        <v>4409</v>
      </c>
      <c r="Q390" s="202" t="s">
        <v>4409</v>
      </c>
      <c r="R390" s="202" t="s">
        <v>4409</v>
      </c>
      <c r="S390" s="202" t="s">
        <v>4409</v>
      </c>
      <c r="T390" s="202" t="s">
        <v>4409</v>
      </c>
      <c r="U390" s="202" t="s">
        <v>4409</v>
      </c>
      <c r="V390" s="202" t="s">
        <v>4409</v>
      </c>
      <c r="W390" s="202" t="s">
        <v>4409</v>
      </c>
      <c r="X390" s="202" t="s">
        <v>4409</v>
      </c>
      <c r="Y390" s="202"/>
      <c r="AA390" s="215" t="s">
        <v>6109</v>
      </c>
      <c r="AB390" s="215" t="s">
        <v>6110</v>
      </c>
      <c r="AC390" s="215" t="s">
        <v>6111</v>
      </c>
      <c r="AD390" s="217" t="s">
        <v>4402</v>
      </c>
      <c r="AE390" s="207" t="s">
        <v>4405</v>
      </c>
      <c r="AF390" s="218">
        <v>31898.38</v>
      </c>
      <c r="AG390" s="218">
        <v>60000</v>
      </c>
      <c r="AH390" s="207" t="s">
        <v>4433</v>
      </c>
      <c r="AI390" s="214" t="s">
        <v>4411</v>
      </c>
      <c r="AJ390" s="207">
        <v>163067583</v>
      </c>
      <c r="AK390" s="316">
        <v>46253</v>
      </c>
      <c r="AL390" s="316">
        <v>46253</v>
      </c>
      <c r="AM390" s="316">
        <v>46253</v>
      </c>
      <c r="AN390" s="316">
        <v>46253</v>
      </c>
      <c r="AO390" s="316"/>
      <c r="AP390" s="316"/>
      <c r="AQ390" s="314"/>
      <c r="AR390" s="315" t="str">
        <f t="shared" ref="AR390:AR453" si="28">IF(AQ390="SIM","AGUARDANDO CORREÇÃO",IF(AP390&lt;&gt;"","FINALIZADO",IF(AO390&lt;&gt;"","AGUARDANDO ENVIO DTS",IF(AN390&lt;&gt;"","AGUARDANDO ASSINATURA GAB",IF(AM390&lt;&gt;"","AGUARDANDO ASSINATURA CTS",IF(AL390&lt;&gt;"","AGUARDANDO ENVIO ASSINATURA CTS",IF(AK390&lt;&gt;"","AGUARDANDO CONFERÊNCIA","")))))))</f>
        <v>AGUARDANDO ASSINATURA GAB</v>
      </c>
      <c r="AS390" s="207" t="s">
        <v>4447</v>
      </c>
      <c r="AT390" s="207" t="s">
        <v>6112</v>
      </c>
      <c r="AU390" s="220"/>
      <c r="AV390" s="207"/>
      <c r="AW390" s="207"/>
      <c r="AX390" s="207"/>
      <c r="AY390" s="197"/>
      <c r="AZ390" s="202"/>
      <c r="BA390" s="219"/>
      <c r="BB390" s="207"/>
      <c r="BC390" s="202"/>
      <c r="BD390" s="208"/>
      <c r="BE390" s="227"/>
      <c r="BF390" s="228"/>
      <c r="BG390" s="229"/>
      <c r="BH390" s="321" t="str">
        <f t="shared" ref="BH390:BH453" si="29">IFERROR(IF(BD390-KI390=0,"",BD390-AK390),"")</f>
        <v/>
      </c>
      <c r="BI390" s="98" t="str">
        <f t="shared" ref="BI390:BI453" si="30">IF(AND(AH390&lt;&gt;"SIM",AH390="UH"),"AA","INDENIZAÇÃO")</f>
        <v>INDENIZAÇÃO</v>
      </c>
      <c r="BJ390" s="98" t="str">
        <f t="shared" ref="BJ390:BJ453" si="31">IF(AND(BD390&lt;&gt;"AGUARDANDO",BD390&lt;&gt;"",N390="AUXÍLIO ALUGUEL ATÉ INDENIZAÇÃO"),"SIM","NÃO")</f>
        <v>NÃO</v>
      </c>
      <c r="BK390" s="230"/>
      <c r="BL390" s="230"/>
      <c r="BM390" s="230"/>
      <c r="BN390" s="265"/>
      <c r="BO390" s="265"/>
      <c r="BP390" s="265"/>
      <c r="BQ390" s="265"/>
      <c r="BR390" s="231"/>
    </row>
    <row r="391" spans="1:70" s="240" customFormat="1" ht="27" hidden="1" customHeight="1">
      <c r="A391" s="207">
        <v>387</v>
      </c>
      <c r="B391" s="197" t="s">
        <v>4396</v>
      </c>
      <c r="C391" s="207" t="s">
        <v>4427</v>
      </c>
      <c r="D391" s="207">
        <v>1</v>
      </c>
      <c r="E391" s="250" t="s">
        <v>4398</v>
      </c>
      <c r="F391" s="214" t="s">
        <v>6113</v>
      </c>
      <c r="G391" s="207" t="s">
        <v>4400</v>
      </c>
      <c r="H391" s="207" t="s">
        <v>4401</v>
      </c>
      <c r="I391" s="217" t="s">
        <v>4402</v>
      </c>
      <c r="J391" s="215" t="s">
        <v>6114</v>
      </c>
      <c r="K391" s="215" t="s">
        <v>6115</v>
      </c>
      <c r="L391" s="215" t="s">
        <v>6116</v>
      </c>
      <c r="M391" s="207" t="s">
        <v>4405</v>
      </c>
      <c r="N391" s="207" t="s">
        <v>4442</v>
      </c>
      <c r="O391" s="202" t="s">
        <v>4409</v>
      </c>
      <c r="P391" s="202" t="s">
        <v>4409</v>
      </c>
      <c r="Q391" s="202" t="s">
        <v>4409</v>
      </c>
      <c r="R391" s="202" t="s">
        <v>4409</v>
      </c>
      <c r="S391" s="202" t="s">
        <v>4409</v>
      </c>
      <c r="T391" s="202" t="s">
        <v>4409</v>
      </c>
      <c r="U391" s="202" t="s">
        <v>4409</v>
      </c>
      <c r="V391" s="202" t="s">
        <v>4409</v>
      </c>
      <c r="W391" s="202" t="s">
        <v>4409</v>
      </c>
      <c r="X391" s="202" t="s">
        <v>4409</v>
      </c>
      <c r="Y391" s="202"/>
      <c r="Z391" s="207"/>
      <c r="AA391" s="215" t="s">
        <v>6114</v>
      </c>
      <c r="AB391" s="215" t="s">
        <v>6115</v>
      </c>
      <c r="AC391" s="215" t="s">
        <v>6116</v>
      </c>
      <c r="AD391" s="217" t="s">
        <v>6117</v>
      </c>
      <c r="AE391" s="207" t="s">
        <v>4405</v>
      </c>
      <c r="AF391" s="218">
        <v>29342.82</v>
      </c>
      <c r="AG391" s="218">
        <v>59342.82</v>
      </c>
      <c r="AH391" s="207" t="s">
        <v>4422</v>
      </c>
      <c r="AI391" s="214" t="s">
        <v>4411</v>
      </c>
      <c r="AJ391" s="207">
        <v>160441925</v>
      </c>
      <c r="AK391" s="316" t="s">
        <v>6118</v>
      </c>
      <c r="AL391" s="316" t="s">
        <v>6118</v>
      </c>
      <c r="AM391" s="316" t="s">
        <v>6118</v>
      </c>
      <c r="AN391" s="316" t="s">
        <v>6118</v>
      </c>
      <c r="AO391" s="316" t="s">
        <v>6118</v>
      </c>
      <c r="AP391" s="316" t="s">
        <v>6118</v>
      </c>
      <c r="AQ391" s="314"/>
      <c r="AR391" s="315" t="str">
        <f t="shared" si="28"/>
        <v>FINALIZADO</v>
      </c>
      <c r="AS391" s="207" t="s">
        <v>4423</v>
      </c>
      <c r="AT391" s="207"/>
      <c r="AU391" s="220" t="s">
        <v>4435</v>
      </c>
      <c r="AV391" s="219" t="s">
        <v>5487</v>
      </c>
      <c r="AW391" s="207"/>
      <c r="AX391" s="207"/>
      <c r="AY391" s="197"/>
      <c r="AZ391" s="202"/>
      <c r="BA391" s="219"/>
      <c r="BB391" s="207"/>
      <c r="BC391" s="202"/>
      <c r="BD391" s="208"/>
      <c r="BE391" s="227"/>
      <c r="BF391" s="228"/>
      <c r="BG391" s="229"/>
      <c r="BH391" s="321" t="str">
        <f t="shared" si="29"/>
        <v/>
      </c>
      <c r="BI391" s="98" t="str">
        <f t="shared" si="30"/>
        <v>INDENIZAÇÃO</v>
      </c>
      <c r="BJ391" s="98" t="str">
        <f t="shared" si="31"/>
        <v>NÃO</v>
      </c>
      <c r="BK391" s="230"/>
      <c r="BL391" s="230"/>
      <c r="BM391" s="230"/>
      <c r="BN391" s="265"/>
      <c r="BO391" s="265"/>
      <c r="BP391" s="265"/>
      <c r="BQ391" s="265"/>
      <c r="BR391" s="231"/>
    </row>
    <row r="392" spans="1:70" s="240" customFormat="1" ht="27" hidden="1" customHeight="1">
      <c r="A392" s="207">
        <v>388</v>
      </c>
      <c r="B392" s="197" t="s">
        <v>4396</v>
      </c>
      <c r="C392" s="207" t="s">
        <v>4427</v>
      </c>
      <c r="D392" s="207">
        <v>1</v>
      </c>
      <c r="E392" s="250" t="s">
        <v>4398</v>
      </c>
      <c r="F392" s="214" t="s">
        <v>6119</v>
      </c>
      <c r="G392" s="207" t="s">
        <v>4400</v>
      </c>
      <c r="H392" s="207" t="s">
        <v>4401</v>
      </c>
      <c r="I392" s="217" t="s">
        <v>4402</v>
      </c>
      <c r="J392" s="215" t="s">
        <v>6120</v>
      </c>
      <c r="K392" s="215" t="s">
        <v>4440</v>
      </c>
      <c r="L392" s="215" t="s">
        <v>6121</v>
      </c>
      <c r="M392" s="207" t="s">
        <v>4405</v>
      </c>
      <c r="N392" s="207" t="s">
        <v>4442</v>
      </c>
      <c r="O392" s="202" t="s">
        <v>4409</v>
      </c>
      <c r="P392" s="202" t="s">
        <v>4409</v>
      </c>
      <c r="Q392" s="202" t="s">
        <v>4409</v>
      </c>
      <c r="R392" s="202" t="s">
        <v>4409</v>
      </c>
      <c r="S392" s="202" t="s">
        <v>4409</v>
      </c>
      <c r="T392" s="202" t="s">
        <v>4409</v>
      </c>
      <c r="U392" s="202" t="s">
        <v>4409</v>
      </c>
      <c r="V392" s="202" t="s">
        <v>4409</v>
      </c>
      <c r="W392" s="202" t="s">
        <v>4409</v>
      </c>
      <c r="X392" s="202" t="s">
        <v>4409</v>
      </c>
      <c r="Y392" s="202"/>
      <c r="Z392" s="207"/>
      <c r="AA392" s="215" t="s">
        <v>6120</v>
      </c>
      <c r="AB392" s="215" t="s">
        <v>4440</v>
      </c>
      <c r="AC392" s="215" t="s">
        <v>6121</v>
      </c>
      <c r="AD392" s="217" t="s">
        <v>6117</v>
      </c>
      <c r="AE392" s="207" t="s">
        <v>5045</v>
      </c>
      <c r="AF392" s="218">
        <v>18978.2</v>
      </c>
      <c r="AG392" s="218">
        <v>48978.2</v>
      </c>
      <c r="AH392" s="207" t="s">
        <v>4422</v>
      </c>
      <c r="AI392" s="214" t="s">
        <v>4411</v>
      </c>
      <c r="AJ392" s="207">
        <v>160442023</v>
      </c>
      <c r="AK392" s="316" t="s">
        <v>6118</v>
      </c>
      <c r="AL392" s="316" t="s">
        <v>6118</v>
      </c>
      <c r="AM392" s="316" t="s">
        <v>6118</v>
      </c>
      <c r="AN392" s="316" t="s">
        <v>6118</v>
      </c>
      <c r="AO392" s="316" t="s">
        <v>6118</v>
      </c>
      <c r="AP392" s="316" t="s">
        <v>6118</v>
      </c>
      <c r="AQ392" s="314"/>
      <c r="AR392" s="315" t="str">
        <f t="shared" si="28"/>
        <v>FINALIZADO</v>
      </c>
      <c r="AS392" s="207" t="s">
        <v>4423</v>
      </c>
      <c r="AT392" s="207"/>
      <c r="AU392" s="220" t="s">
        <v>4435</v>
      </c>
      <c r="AV392" s="219" t="s">
        <v>5487</v>
      </c>
      <c r="AW392" s="207"/>
      <c r="AX392" s="207"/>
      <c r="AY392" s="197"/>
      <c r="AZ392" s="202"/>
      <c r="BA392" s="219"/>
      <c r="BB392" s="207"/>
      <c r="BC392" s="202"/>
      <c r="BD392" s="208"/>
      <c r="BE392" s="227"/>
      <c r="BF392" s="228"/>
      <c r="BG392" s="229"/>
      <c r="BH392" s="321" t="str">
        <f t="shared" si="29"/>
        <v/>
      </c>
      <c r="BI392" s="98" t="str">
        <f t="shared" si="30"/>
        <v>INDENIZAÇÃO</v>
      </c>
      <c r="BJ392" s="98" t="str">
        <f t="shared" si="31"/>
        <v>NÃO</v>
      </c>
      <c r="BK392" s="230"/>
      <c r="BL392" s="230"/>
      <c r="BM392" s="230"/>
      <c r="BN392" s="265"/>
      <c r="BO392" s="265"/>
      <c r="BP392" s="265"/>
      <c r="BQ392" s="265"/>
      <c r="BR392" s="231"/>
    </row>
    <row r="393" spans="1:70" s="240" customFormat="1" ht="27" hidden="1" customHeight="1">
      <c r="A393" s="207">
        <v>389</v>
      </c>
      <c r="B393" s="197" t="s">
        <v>4396</v>
      </c>
      <c r="C393" s="207" t="s">
        <v>4427</v>
      </c>
      <c r="D393" s="207">
        <v>1</v>
      </c>
      <c r="E393" s="207" t="s">
        <v>4398</v>
      </c>
      <c r="F393" s="214" t="s">
        <v>6122</v>
      </c>
      <c r="G393" s="207" t="s">
        <v>4400</v>
      </c>
      <c r="H393" s="207" t="s">
        <v>4401</v>
      </c>
      <c r="I393" s="217" t="s">
        <v>4402</v>
      </c>
      <c r="J393" s="215" t="s">
        <v>6123</v>
      </c>
      <c r="K393" s="215" t="s">
        <v>6124</v>
      </c>
      <c r="L393" s="215" t="s">
        <v>6125</v>
      </c>
      <c r="M393" s="207" t="s">
        <v>4405</v>
      </c>
      <c r="N393" s="207" t="s">
        <v>4406</v>
      </c>
      <c r="O393" s="202">
        <v>46084</v>
      </c>
      <c r="P393" s="202" t="s">
        <v>4407</v>
      </c>
      <c r="Q393" s="202">
        <v>46083</v>
      </c>
      <c r="R393" s="203">
        <v>46084</v>
      </c>
      <c r="S393" s="203">
        <v>46087</v>
      </c>
      <c r="T393" s="203">
        <v>46090</v>
      </c>
      <c r="U393" s="202" t="s">
        <v>4408</v>
      </c>
      <c r="V393" s="202" t="s">
        <v>4408</v>
      </c>
      <c r="W393" s="202">
        <v>46101</v>
      </c>
      <c r="X393" s="202" t="s">
        <v>4440</v>
      </c>
      <c r="Y393" s="202"/>
      <c r="Z393" s="217" t="s">
        <v>5871</v>
      </c>
      <c r="AA393" s="215" t="s">
        <v>6123</v>
      </c>
      <c r="AB393" s="215" t="s">
        <v>6124</v>
      </c>
      <c r="AC393" s="215" t="s">
        <v>6125</v>
      </c>
      <c r="AD393" s="207" t="s">
        <v>4402</v>
      </c>
      <c r="AE393" s="207" t="s">
        <v>4405</v>
      </c>
      <c r="AF393" s="218" t="s">
        <v>4409</v>
      </c>
      <c r="AG393" s="218" t="s">
        <v>4409</v>
      </c>
      <c r="AH393" s="207" t="s">
        <v>4410</v>
      </c>
      <c r="AI393" s="214" t="s">
        <v>4411</v>
      </c>
      <c r="AJ393" s="207"/>
      <c r="AK393" s="316"/>
      <c r="AL393" s="316"/>
      <c r="AM393" s="316"/>
      <c r="AN393" s="316"/>
      <c r="AO393" s="316"/>
      <c r="AP393" s="316"/>
      <c r="AQ393" s="314"/>
      <c r="AR393" s="315" t="str">
        <f t="shared" si="28"/>
        <v/>
      </c>
      <c r="AS393" s="207"/>
      <c r="AT393" s="207"/>
      <c r="AU393" s="220"/>
      <c r="AV393" s="207"/>
      <c r="AW393" s="207"/>
      <c r="AX393" s="207"/>
      <c r="AY393" s="278"/>
      <c r="AZ393" s="227"/>
      <c r="BA393" s="219"/>
      <c r="BB393" s="228"/>
      <c r="BC393" s="228"/>
      <c r="BD393" s="208"/>
      <c r="BE393" s="227"/>
      <c r="BF393" s="228"/>
      <c r="BG393" s="229"/>
      <c r="BH393" s="321" t="str">
        <f t="shared" si="29"/>
        <v/>
      </c>
      <c r="BI393" s="98" t="str">
        <f t="shared" si="30"/>
        <v>AA</v>
      </c>
      <c r="BJ393" s="98" t="str">
        <f t="shared" si="31"/>
        <v>NÃO</v>
      </c>
      <c r="BK393" s="230"/>
      <c r="BL393" s="230"/>
      <c r="BM393" s="230"/>
      <c r="BN393" s="230"/>
      <c r="BO393" s="230"/>
      <c r="BP393" s="230"/>
      <c r="BQ393" s="230"/>
      <c r="BR393" s="234"/>
    </row>
    <row r="394" spans="1:70" s="240" customFormat="1" ht="27" hidden="1" customHeight="1">
      <c r="A394" s="197">
        <v>390</v>
      </c>
      <c r="B394" s="197" t="s">
        <v>4396</v>
      </c>
      <c r="C394" s="207" t="s">
        <v>4427</v>
      </c>
      <c r="D394" s="207">
        <v>1</v>
      </c>
      <c r="E394" s="207" t="s">
        <v>4398</v>
      </c>
      <c r="F394" s="214" t="s">
        <v>6126</v>
      </c>
      <c r="G394" s="207" t="s">
        <v>4400</v>
      </c>
      <c r="H394" s="207" t="s">
        <v>4401</v>
      </c>
      <c r="I394" s="217" t="s">
        <v>4402</v>
      </c>
      <c r="J394" s="215" t="s">
        <v>6127</v>
      </c>
      <c r="K394" s="215" t="s">
        <v>6128</v>
      </c>
      <c r="L394" s="215" t="s">
        <v>6129</v>
      </c>
      <c r="M394" s="207" t="s">
        <v>4405</v>
      </c>
      <c r="N394" s="207" t="s">
        <v>4442</v>
      </c>
      <c r="O394" s="202" t="s">
        <v>4409</v>
      </c>
      <c r="P394" s="202" t="s">
        <v>4409</v>
      </c>
      <c r="Q394" s="202" t="s">
        <v>4409</v>
      </c>
      <c r="R394" s="202" t="s">
        <v>4409</v>
      </c>
      <c r="S394" s="202" t="s">
        <v>4409</v>
      </c>
      <c r="T394" s="202" t="s">
        <v>4409</v>
      </c>
      <c r="U394" s="202" t="s">
        <v>4409</v>
      </c>
      <c r="V394" s="202" t="s">
        <v>4409</v>
      </c>
      <c r="W394" s="202" t="s">
        <v>4409</v>
      </c>
      <c r="X394" s="202" t="s">
        <v>4409</v>
      </c>
      <c r="Y394" s="202"/>
      <c r="Z394" s="207"/>
      <c r="AA394" s="215" t="s">
        <v>6127</v>
      </c>
      <c r="AB394" s="215" t="s">
        <v>6128</v>
      </c>
      <c r="AC394" s="215" t="s">
        <v>6129</v>
      </c>
      <c r="AD394" s="207" t="s">
        <v>4402</v>
      </c>
      <c r="AE394" s="207" t="s">
        <v>4405</v>
      </c>
      <c r="AF394" s="218"/>
      <c r="AG394" s="218"/>
      <c r="AH394" s="207"/>
      <c r="AI394" s="214" t="s">
        <v>4411</v>
      </c>
      <c r="AJ394" s="207"/>
      <c r="AK394" s="316">
        <v>45996</v>
      </c>
      <c r="AL394" s="316">
        <v>45996</v>
      </c>
      <c r="AM394" s="316">
        <v>45996</v>
      </c>
      <c r="AN394" s="316">
        <v>45996</v>
      </c>
      <c r="AO394" s="316">
        <v>45996</v>
      </c>
      <c r="AP394" s="316">
        <v>45996</v>
      </c>
      <c r="AQ394" s="314"/>
      <c r="AR394" s="315" t="str">
        <f t="shared" si="28"/>
        <v>FINALIZADO</v>
      </c>
      <c r="AS394" s="207"/>
      <c r="AT394" s="207"/>
      <c r="AU394" s="220"/>
      <c r="AV394" s="207"/>
      <c r="AW394" s="207"/>
      <c r="AX394" s="207"/>
      <c r="AY394" s="207"/>
      <c r="AZ394" s="202"/>
      <c r="BA394" s="219"/>
      <c r="BB394" s="207"/>
      <c r="BC394" s="202"/>
      <c r="BD394" s="208"/>
      <c r="BE394" s="202"/>
      <c r="BF394" s="207"/>
      <c r="BG394" s="229"/>
      <c r="BH394" s="321" t="str">
        <f t="shared" si="29"/>
        <v/>
      </c>
      <c r="BI394" s="98" t="str">
        <f t="shared" si="30"/>
        <v>INDENIZAÇÃO</v>
      </c>
      <c r="BJ394" s="98" t="str">
        <f t="shared" si="31"/>
        <v>NÃO</v>
      </c>
      <c r="BK394" s="230"/>
      <c r="BL394" s="230"/>
      <c r="BM394" s="230"/>
      <c r="BN394" s="230"/>
      <c r="BO394" s="230"/>
      <c r="BP394" s="230"/>
      <c r="BQ394" s="230"/>
      <c r="BR394" s="234"/>
    </row>
    <row r="395" spans="1:70" s="240" customFormat="1" ht="27" hidden="1" customHeight="1">
      <c r="A395" s="197">
        <v>391</v>
      </c>
      <c r="B395" s="197" t="s">
        <v>4396</v>
      </c>
      <c r="C395" s="207" t="s">
        <v>4427</v>
      </c>
      <c r="D395" s="207">
        <v>1</v>
      </c>
      <c r="E395" s="207" t="s">
        <v>4398</v>
      </c>
      <c r="F395" s="214" t="s">
        <v>6130</v>
      </c>
      <c r="G395" s="207" t="s">
        <v>4546</v>
      </c>
      <c r="H395" s="207" t="s">
        <v>4546</v>
      </c>
      <c r="I395" s="233" t="s">
        <v>4421</v>
      </c>
      <c r="J395" s="215" t="s">
        <v>6131</v>
      </c>
      <c r="K395" s="215" t="s">
        <v>4398</v>
      </c>
      <c r="L395" s="215" t="s">
        <v>6132</v>
      </c>
      <c r="M395" s="207" t="s">
        <v>4405</v>
      </c>
      <c r="N395" s="207" t="s">
        <v>4442</v>
      </c>
      <c r="O395" s="202" t="s">
        <v>4409</v>
      </c>
      <c r="P395" s="202" t="s">
        <v>4409</v>
      </c>
      <c r="Q395" s="202" t="s">
        <v>4409</v>
      </c>
      <c r="R395" s="202" t="s">
        <v>4409</v>
      </c>
      <c r="S395" s="202" t="s">
        <v>4409</v>
      </c>
      <c r="T395" s="202" t="s">
        <v>4409</v>
      </c>
      <c r="U395" s="202" t="s">
        <v>4409</v>
      </c>
      <c r="V395" s="202" t="s">
        <v>4409</v>
      </c>
      <c r="W395" s="202" t="s">
        <v>4409</v>
      </c>
      <c r="X395" s="202" t="s">
        <v>4409</v>
      </c>
      <c r="Y395" s="202"/>
      <c r="Z395" s="202"/>
      <c r="AA395" s="215" t="s">
        <v>6131</v>
      </c>
      <c r="AB395" s="215" t="s">
        <v>4398</v>
      </c>
      <c r="AC395" s="215" t="s">
        <v>6132</v>
      </c>
      <c r="AD395" s="233" t="s">
        <v>4421</v>
      </c>
      <c r="AE395" s="207" t="s">
        <v>4405</v>
      </c>
      <c r="AF395" s="218"/>
      <c r="AG395" s="218"/>
      <c r="AH395" s="207"/>
      <c r="AI395" s="214" t="s">
        <v>4411</v>
      </c>
      <c r="AJ395" s="207"/>
      <c r="AK395" s="316"/>
      <c r="AL395" s="316"/>
      <c r="AM395" s="316"/>
      <c r="AN395" s="316"/>
      <c r="AO395" s="316"/>
      <c r="AP395" s="316"/>
      <c r="AQ395" s="314"/>
      <c r="AR395" s="315" t="str">
        <f t="shared" si="28"/>
        <v/>
      </c>
      <c r="AS395" s="207"/>
      <c r="AT395" s="207"/>
      <c r="AU395" s="220"/>
      <c r="AV395" s="207"/>
      <c r="AW395" s="207"/>
      <c r="AX395" s="207"/>
      <c r="AY395" s="207"/>
      <c r="AZ395" s="202"/>
      <c r="BA395" s="219"/>
      <c r="BB395" s="207"/>
      <c r="BC395" s="202"/>
      <c r="BD395" s="208"/>
      <c r="BE395" s="202"/>
      <c r="BF395" s="207"/>
      <c r="BG395" s="229"/>
      <c r="BH395" s="321" t="str">
        <f t="shared" si="29"/>
        <v/>
      </c>
      <c r="BI395" s="98" t="str">
        <f t="shared" si="30"/>
        <v>INDENIZAÇÃO</v>
      </c>
      <c r="BJ395" s="98" t="str">
        <f t="shared" si="31"/>
        <v>NÃO</v>
      </c>
      <c r="BK395" s="230"/>
      <c r="BL395" s="230"/>
      <c r="BM395" s="230"/>
      <c r="BN395" s="230"/>
      <c r="BO395" s="230"/>
      <c r="BP395" s="230"/>
      <c r="BQ395" s="230"/>
      <c r="BR395" s="234"/>
    </row>
    <row r="396" spans="1:70" s="240" customFormat="1" ht="27" hidden="1" customHeight="1">
      <c r="A396" s="207">
        <v>392</v>
      </c>
      <c r="B396" s="197" t="s">
        <v>4396</v>
      </c>
      <c r="C396" s="207" t="s">
        <v>4427</v>
      </c>
      <c r="D396" s="207">
        <v>1</v>
      </c>
      <c r="E396" s="207" t="s">
        <v>4398</v>
      </c>
      <c r="F396" s="214" t="s">
        <v>6133</v>
      </c>
      <c r="G396" s="207" t="s">
        <v>4400</v>
      </c>
      <c r="H396" s="207" t="s">
        <v>4401</v>
      </c>
      <c r="I396" s="249" t="s">
        <v>4414</v>
      </c>
      <c r="J396" s="215" t="s">
        <v>6134</v>
      </c>
      <c r="K396" s="215" t="s">
        <v>6135</v>
      </c>
      <c r="L396" s="215" t="s">
        <v>6136</v>
      </c>
      <c r="M396" s="207" t="s">
        <v>4405</v>
      </c>
      <c r="N396" s="207" t="s">
        <v>4406</v>
      </c>
      <c r="O396" s="202">
        <v>46002</v>
      </c>
      <c r="P396" s="202" t="s">
        <v>4407</v>
      </c>
      <c r="Q396" s="202">
        <v>45999</v>
      </c>
      <c r="R396" s="202">
        <v>46006</v>
      </c>
      <c r="S396" s="202">
        <v>46006</v>
      </c>
      <c r="T396" s="202">
        <v>46009</v>
      </c>
      <c r="U396" s="202" t="s">
        <v>4408</v>
      </c>
      <c r="V396" s="202" t="s">
        <v>4408</v>
      </c>
      <c r="W396" s="202">
        <v>46014</v>
      </c>
      <c r="X396" s="280" t="s">
        <v>4440</v>
      </c>
      <c r="Y396" s="202"/>
      <c r="Z396" s="217" t="s">
        <v>6137</v>
      </c>
      <c r="AA396" s="215" t="s">
        <v>6138</v>
      </c>
      <c r="AB396" s="215" t="s">
        <v>4440</v>
      </c>
      <c r="AC396" s="215" t="s">
        <v>4440</v>
      </c>
      <c r="AD396" s="217" t="s">
        <v>4421</v>
      </c>
      <c r="AE396" s="207" t="s">
        <v>6139</v>
      </c>
      <c r="AF396" s="218" t="s">
        <v>4409</v>
      </c>
      <c r="AG396" s="218" t="s">
        <v>4409</v>
      </c>
      <c r="AH396" s="207" t="s">
        <v>6140</v>
      </c>
      <c r="AI396" s="214" t="s">
        <v>4411</v>
      </c>
      <c r="AJ396" s="207"/>
      <c r="AK396" s="316">
        <v>45996</v>
      </c>
      <c r="AL396" s="316">
        <v>45996</v>
      </c>
      <c r="AM396" s="316">
        <v>45996</v>
      </c>
      <c r="AN396" s="316">
        <v>45996</v>
      </c>
      <c r="AO396" s="316">
        <v>45996</v>
      </c>
      <c r="AP396" s="316">
        <v>45996</v>
      </c>
      <c r="AQ396" s="314"/>
      <c r="AR396" s="315" t="str">
        <f t="shared" si="28"/>
        <v>FINALIZADO</v>
      </c>
      <c r="AS396" s="207"/>
      <c r="AT396" s="207"/>
      <c r="AU396" s="220"/>
      <c r="AV396" s="207"/>
      <c r="AW396" s="207"/>
      <c r="AX396" s="207"/>
      <c r="AY396" s="207"/>
      <c r="AZ396" s="202"/>
      <c r="BA396" s="219"/>
      <c r="BB396" s="207"/>
      <c r="BC396" s="202"/>
      <c r="BD396" s="208"/>
      <c r="BE396" s="202"/>
      <c r="BF396" s="207"/>
      <c r="BG396" s="229"/>
      <c r="BH396" s="321" t="str">
        <f t="shared" si="29"/>
        <v/>
      </c>
      <c r="BI396" s="98" t="str">
        <f t="shared" si="30"/>
        <v>INDENIZAÇÃO</v>
      </c>
      <c r="BJ396" s="98" t="str">
        <f t="shared" si="31"/>
        <v>NÃO</v>
      </c>
      <c r="BK396" s="230"/>
      <c r="BL396" s="230"/>
      <c r="BM396" s="230"/>
      <c r="BN396" s="230"/>
      <c r="BO396" s="230"/>
      <c r="BP396" s="230"/>
      <c r="BQ396" s="230"/>
      <c r="BR396" s="234"/>
    </row>
    <row r="397" spans="1:70" s="240" customFormat="1" ht="27" hidden="1" customHeight="1">
      <c r="A397" s="207">
        <v>393</v>
      </c>
      <c r="B397" s="197" t="s">
        <v>4396</v>
      </c>
      <c r="C397" s="207" t="s">
        <v>4427</v>
      </c>
      <c r="D397" s="207">
        <v>1</v>
      </c>
      <c r="E397" s="207" t="s">
        <v>4398</v>
      </c>
      <c r="F397" s="214" t="s">
        <v>6141</v>
      </c>
      <c r="G397" s="207" t="s">
        <v>4400</v>
      </c>
      <c r="H397" s="207" t="s">
        <v>4401</v>
      </c>
      <c r="I397" s="217" t="s">
        <v>4402</v>
      </c>
      <c r="J397" s="215" t="s">
        <v>6142</v>
      </c>
      <c r="K397" s="215">
        <v>33837673</v>
      </c>
      <c r="L397" s="215" t="s">
        <v>6143</v>
      </c>
      <c r="M397" s="207" t="s">
        <v>4405</v>
      </c>
      <c r="N397" s="207" t="s">
        <v>4442</v>
      </c>
      <c r="O397" s="202" t="s">
        <v>4409</v>
      </c>
      <c r="P397" s="202" t="s">
        <v>4409</v>
      </c>
      <c r="Q397" s="202" t="s">
        <v>4409</v>
      </c>
      <c r="R397" s="202" t="s">
        <v>4409</v>
      </c>
      <c r="S397" s="202" t="s">
        <v>4409</v>
      </c>
      <c r="T397" s="202" t="s">
        <v>4409</v>
      </c>
      <c r="U397" s="202" t="s">
        <v>4409</v>
      </c>
      <c r="V397" s="202" t="s">
        <v>4409</v>
      </c>
      <c r="W397" s="202" t="s">
        <v>4409</v>
      </c>
      <c r="X397" s="202" t="s">
        <v>4409</v>
      </c>
      <c r="Y397" s="202"/>
      <c r="Z397" s="207"/>
      <c r="AA397" s="215" t="s">
        <v>6142</v>
      </c>
      <c r="AB397" s="215">
        <v>33837673</v>
      </c>
      <c r="AC397" s="215" t="s">
        <v>6143</v>
      </c>
      <c r="AD397" s="207" t="s">
        <v>4402</v>
      </c>
      <c r="AE397" s="207" t="s">
        <v>4405</v>
      </c>
      <c r="AF397" s="218">
        <v>68165.39</v>
      </c>
      <c r="AG397" s="218">
        <v>68165.39</v>
      </c>
      <c r="AH397" s="207" t="s">
        <v>4433</v>
      </c>
      <c r="AI397" s="214" t="s">
        <v>4411</v>
      </c>
      <c r="AJ397" s="207">
        <v>147057729</v>
      </c>
      <c r="AK397" s="316">
        <v>45996</v>
      </c>
      <c r="AL397" s="316">
        <v>45996</v>
      </c>
      <c r="AM397" s="316">
        <v>45996</v>
      </c>
      <c r="AN397" s="316">
        <v>45996</v>
      </c>
      <c r="AO397" s="316">
        <v>45996</v>
      </c>
      <c r="AP397" s="316">
        <v>45996</v>
      </c>
      <c r="AQ397" s="314"/>
      <c r="AR397" s="315" t="str">
        <f t="shared" si="28"/>
        <v>FINALIZADO</v>
      </c>
      <c r="AS397" s="207" t="s">
        <v>4423</v>
      </c>
      <c r="AT397" s="207"/>
      <c r="AU397" s="220" t="s">
        <v>6144</v>
      </c>
      <c r="AV397" s="160" t="s">
        <v>4425</v>
      </c>
      <c r="AW397" s="207" t="s">
        <v>4425</v>
      </c>
      <c r="AX397" s="207" t="s">
        <v>4425</v>
      </c>
      <c r="AY397" s="207" t="s">
        <v>4425</v>
      </c>
      <c r="AZ397" s="202">
        <v>46009</v>
      </c>
      <c r="BA397" s="219" t="s">
        <v>4425</v>
      </c>
      <c r="BB397" s="207" t="s">
        <v>4425</v>
      </c>
      <c r="BC397" s="239">
        <v>46021</v>
      </c>
      <c r="BD397" s="227">
        <v>46021</v>
      </c>
      <c r="BE397" s="227" t="s">
        <v>4435</v>
      </c>
      <c r="BF397" s="228" t="s">
        <v>4436</v>
      </c>
      <c r="BG397" s="229" t="s">
        <v>4425</v>
      </c>
      <c r="BH397" s="321">
        <f t="shared" si="29"/>
        <v>25</v>
      </c>
      <c r="BI397" s="98" t="str">
        <f t="shared" si="30"/>
        <v>INDENIZAÇÃO</v>
      </c>
      <c r="BJ397" s="98" t="str">
        <f t="shared" si="31"/>
        <v>NÃO</v>
      </c>
      <c r="BK397" s="230" t="s">
        <v>4437</v>
      </c>
      <c r="BL397" s="230" t="s">
        <v>4437</v>
      </c>
      <c r="BM397" s="230" t="s">
        <v>4437</v>
      </c>
      <c r="BN397" s="207" t="s">
        <v>4425</v>
      </c>
      <c r="BO397" s="207" t="s">
        <v>4425</v>
      </c>
      <c r="BP397" s="202">
        <v>46205</v>
      </c>
      <c r="BQ397" s="207" t="s">
        <v>4425</v>
      </c>
      <c r="BR397" s="232" t="s">
        <v>4435</v>
      </c>
    </row>
    <row r="398" spans="1:70" s="240" customFormat="1" ht="27" hidden="1" customHeight="1">
      <c r="A398" s="207">
        <v>394</v>
      </c>
      <c r="B398" s="197" t="s">
        <v>4396</v>
      </c>
      <c r="C398" s="207" t="s">
        <v>4427</v>
      </c>
      <c r="D398" s="207">
        <v>1</v>
      </c>
      <c r="E398" s="207" t="s">
        <v>4398</v>
      </c>
      <c r="F398" s="214" t="s">
        <v>6145</v>
      </c>
      <c r="G398" s="207" t="s">
        <v>4400</v>
      </c>
      <c r="H398" s="207" t="s">
        <v>4401</v>
      </c>
      <c r="I398" s="217" t="s">
        <v>4402</v>
      </c>
      <c r="J398" s="215" t="s">
        <v>6146</v>
      </c>
      <c r="K398" s="215" t="s">
        <v>6147</v>
      </c>
      <c r="L398" s="215" t="s">
        <v>6148</v>
      </c>
      <c r="M398" s="207" t="s">
        <v>4405</v>
      </c>
      <c r="N398" s="207" t="s">
        <v>4406</v>
      </c>
      <c r="O398" s="202">
        <v>46002</v>
      </c>
      <c r="P398" s="202" t="s">
        <v>4407</v>
      </c>
      <c r="Q398" s="202">
        <v>45999</v>
      </c>
      <c r="R398" s="202">
        <v>46006</v>
      </c>
      <c r="S398" s="202">
        <v>46006</v>
      </c>
      <c r="T398" s="202">
        <v>46009</v>
      </c>
      <c r="U398" s="202" t="s">
        <v>4408</v>
      </c>
      <c r="V398" s="202" t="s">
        <v>4408</v>
      </c>
      <c r="W398" s="202">
        <v>46014</v>
      </c>
      <c r="X398" s="202">
        <v>46059</v>
      </c>
      <c r="Y398" s="202"/>
      <c r="Z398" s="207"/>
      <c r="AA398" s="215" t="s">
        <v>6146</v>
      </c>
      <c r="AB398" s="215" t="s">
        <v>6147</v>
      </c>
      <c r="AC398" s="215" t="s">
        <v>6148</v>
      </c>
      <c r="AD398" s="217" t="s">
        <v>4402</v>
      </c>
      <c r="AE398" s="207" t="s">
        <v>4405</v>
      </c>
      <c r="AF398" s="218" t="s">
        <v>4409</v>
      </c>
      <c r="AG398" s="218" t="s">
        <v>4409</v>
      </c>
      <c r="AH398" s="207" t="s">
        <v>4410</v>
      </c>
      <c r="AI398" s="214" t="s">
        <v>4411</v>
      </c>
      <c r="AJ398" s="207"/>
      <c r="AK398" s="316">
        <v>45996</v>
      </c>
      <c r="AL398" s="316">
        <v>45996</v>
      </c>
      <c r="AM398" s="316">
        <v>45996</v>
      </c>
      <c r="AN398" s="316">
        <v>45996</v>
      </c>
      <c r="AO398" s="316">
        <v>45996</v>
      </c>
      <c r="AP398" s="316">
        <v>45996</v>
      </c>
      <c r="AQ398" s="314"/>
      <c r="AR398" s="315" t="str">
        <f t="shared" si="28"/>
        <v>FINALIZADO</v>
      </c>
      <c r="AS398" s="207"/>
      <c r="AT398" s="207"/>
      <c r="AU398" s="220"/>
      <c r="AV398" s="207"/>
      <c r="AW398" s="207"/>
      <c r="AX398" s="207"/>
      <c r="AY398" s="207"/>
      <c r="AZ398" s="202"/>
      <c r="BA398" s="219"/>
      <c r="BB398" s="207"/>
      <c r="BC398" s="202"/>
      <c r="BD398" s="208"/>
      <c r="BE398" s="202"/>
      <c r="BF398" s="207"/>
      <c r="BG398" s="229"/>
      <c r="BH398" s="321" t="str">
        <f t="shared" si="29"/>
        <v/>
      </c>
      <c r="BI398" s="98" t="str">
        <f t="shared" si="30"/>
        <v>AA</v>
      </c>
      <c r="BJ398" s="98" t="str">
        <f t="shared" si="31"/>
        <v>NÃO</v>
      </c>
      <c r="BK398" s="230"/>
      <c r="BL398" s="230"/>
      <c r="BM398" s="230"/>
      <c r="BN398" s="230"/>
      <c r="BO398" s="230"/>
      <c r="BP398" s="230"/>
      <c r="BQ398" s="230"/>
      <c r="BR398" s="234"/>
    </row>
    <row r="399" spans="1:70" s="240" customFormat="1" ht="27" hidden="1" customHeight="1">
      <c r="A399" s="197">
        <v>395</v>
      </c>
      <c r="B399" s="197" t="s">
        <v>4396</v>
      </c>
      <c r="C399" s="207" t="s">
        <v>4427</v>
      </c>
      <c r="D399" s="207">
        <v>1</v>
      </c>
      <c r="E399" s="207" t="s">
        <v>4398</v>
      </c>
      <c r="F399" s="214" t="s">
        <v>6149</v>
      </c>
      <c r="G399" s="207" t="s">
        <v>4400</v>
      </c>
      <c r="H399" s="207" t="s">
        <v>4401</v>
      </c>
      <c r="I399" s="217" t="s">
        <v>4402</v>
      </c>
      <c r="J399" s="215" t="s">
        <v>6150</v>
      </c>
      <c r="K399" s="215" t="s">
        <v>6151</v>
      </c>
      <c r="L399" s="215" t="s">
        <v>6152</v>
      </c>
      <c r="M399" s="207" t="s">
        <v>4405</v>
      </c>
      <c r="N399" s="207" t="s">
        <v>4406</v>
      </c>
      <c r="O399" s="202">
        <v>46002</v>
      </c>
      <c r="P399" s="202" t="s">
        <v>4407</v>
      </c>
      <c r="Q399" s="202">
        <v>45999</v>
      </c>
      <c r="R399" s="202">
        <v>46006</v>
      </c>
      <c r="S399" s="202">
        <v>46006</v>
      </c>
      <c r="T399" s="202">
        <v>46009</v>
      </c>
      <c r="U399" s="202" t="s">
        <v>4408</v>
      </c>
      <c r="V399" s="202" t="s">
        <v>4408</v>
      </c>
      <c r="W399" s="202">
        <v>46014</v>
      </c>
      <c r="X399" s="202">
        <v>46017</v>
      </c>
      <c r="Y399" s="202"/>
      <c r="Z399" s="207"/>
      <c r="AA399" s="215" t="s">
        <v>6150</v>
      </c>
      <c r="AB399" s="215" t="s">
        <v>6151</v>
      </c>
      <c r="AC399" s="215" t="s">
        <v>6152</v>
      </c>
      <c r="AD399" s="207" t="s">
        <v>4402</v>
      </c>
      <c r="AE399" s="207" t="s">
        <v>4405</v>
      </c>
      <c r="AF399" s="218" t="s">
        <v>4409</v>
      </c>
      <c r="AG399" s="218" t="s">
        <v>4409</v>
      </c>
      <c r="AH399" s="207" t="s">
        <v>4410</v>
      </c>
      <c r="AI399" s="214" t="s">
        <v>4411</v>
      </c>
      <c r="AJ399" s="207"/>
      <c r="AK399" s="316">
        <v>45980</v>
      </c>
      <c r="AL399" s="316">
        <v>45980</v>
      </c>
      <c r="AM399" s="316">
        <v>45980</v>
      </c>
      <c r="AN399" s="316">
        <v>45980</v>
      </c>
      <c r="AO399" s="316">
        <v>45980</v>
      </c>
      <c r="AP399" s="316">
        <v>45980</v>
      </c>
      <c r="AQ399" s="314"/>
      <c r="AR399" s="315" t="str">
        <f t="shared" si="28"/>
        <v>FINALIZADO</v>
      </c>
      <c r="AS399" s="207"/>
      <c r="AT399" s="207"/>
      <c r="AU399" s="220"/>
      <c r="AV399" s="207"/>
      <c r="AW399" s="207"/>
      <c r="AX399" s="207"/>
      <c r="AY399" s="207"/>
      <c r="AZ399" s="202"/>
      <c r="BA399" s="219"/>
      <c r="BB399" s="207"/>
      <c r="BC399" s="202"/>
      <c r="BD399" s="208"/>
      <c r="BE399" s="202"/>
      <c r="BF399" s="207"/>
      <c r="BG399" s="229"/>
      <c r="BH399" s="321" t="str">
        <f t="shared" si="29"/>
        <v/>
      </c>
      <c r="BI399" s="98" t="str">
        <f t="shared" si="30"/>
        <v>AA</v>
      </c>
      <c r="BJ399" s="98" t="str">
        <f t="shared" si="31"/>
        <v>NÃO</v>
      </c>
      <c r="BK399" s="230"/>
      <c r="BL399" s="230"/>
      <c r="BM399" s="230"/>
      <c r="BN399" s="230"/>
      <c r="BO399" s="230"/>
      <c r="BP399" s="230"/>
      <c r="BQ399" s="230"/>
      <c r="BR399" s="234"/>
    </row>
    <row r="400" spans="1:70" s="240" customFormat="1" ht="27" hidden="1" customHeight="1">
      <c r="A400" s="197">
        <v>396</v>
      </c>
      <c r="B400" s="197" t="s">
        <v>4396</v>
      </c>
      <c r="C400" s="207" t="s">
        <v>4427</v>
      </c>
      <c r="D400" s="207">
        <v>1</v>
      </c>
      <c r="E400" s="207" t="s">
        <v>4398</v>
      </c>
      <c r="F400" s="214" t="s">
        <v>6153</v>
      </c>
      <c r="G400" s="207" t="s">
        <v>4400</v>
      </c>
      <c r="H400" s="207" t="s">
        <v>4401</v>
      </c>
      <c r="I400" s="217" t="s">
        <v>4402</v>
      </c>
      <c r="J400" s="215" t="s">
        <v>6154</v>
      </c>
      <c r="K400" s="215" t="s">
        <v>4440</v>
      </c>
      <c r="L400" s="215" t="s">
        <v>6155</v>
      </c>
      <c r="M400" s="207" t="s">
        <v>4405</v>
      </c>
      <c r="N400" s="207" t="s">
        <v>4406</v>
      </c>
      <c r="O400" s="202">
        <v>46002</v>
      </c>
      <c r="P400" s="202" t="s">
        <v>4407</v>
      </c>
      <c r="Q400" s="202">
        <v>45999</v>
      </c>
      <c r="R400" s="202">
        <v>46006</v>
      </c>
      <c r="S400" s="202">
        <v>46006</v>
      </c>
      <c r="T400" s="202">
        <v>46009</v>
      </c>
      <c r="U400" s="202" t="s">
        <v>4408</v>
      </c>
      <c r="V400" s="202" t="s">
        <v>4408</v>
      </c>
      <c r="W400" s="202">
        <v>46014</v>
      </c>
      <c r="X400" s="202">
        <v>46017</v>
      </c>
      <c r="Y400" s="202"/>
      <c r="Z400" s="207"/>
      <c r="AA400" s="215" t="s">
        <v>6156</v>
      </c>
      <c r="AB400" s="215" t="s">
        <v>4440</v>
      </c>
      <c r="AC400" s="215" t="s">
        <v>6155</v>
      </c>
      <c r="AD400" s="207" t="s">
        <v>4402</v>
      </c>
      <c r="AE400" s="207" t="s">
        <v>4405</v>
      </c>
      <c r="AF400" s="218" t="s">
        <v>4409</v>
      </c>
      <c r="AG400" s="218" t="s">
        <v>4409</v>
      </c>
      <c r="AH400" s="207" t="s">
        <v>4410</v>
      </c>
      <c r="AI400" s="214" t="s">
        <v>4411</v>
      </c>
      <c r="AJ400" s="207"/>
      <c r="AK400" s="316">
        <v>45980</v>
      </c>
      <c r="AL400" s="316">
        <v>45980</v>
      </c>
      <c r="AM400" s="316">
        <v>45980</v>
      </c>
      <c r="AN400" s="316">
        <v>45980</v>
      </c>
      <c r="AO400" s="316">
        <v>45980</v>
      </c>
      <c r="AP400" s="316">
        <v>45980</v>
      </c>
      <c r="AQ400" s="314"/>
      <c r="AR400" s="315" t="str">
        <f t="shared" si="28"/>
        <v>FINALIZADO</v>
      </c>
      <c r="AS400" s="207"/>
      <c r="AT400" s="207"/>
      <c r="AU400" s="220"/>
      <c r="AV400" s="207"/>
      <c r="AW400" s="207"/>
      <c r="AX400" s="207"/>
      <c r="AY400" s="207"/>
      <c r="AZ400" s="202"/>
      <c r="BA400" s="219"/>
      <c r="BB400" s="207"/>
      <c r="BC400" s="202"/>
      <c r="BD400" s="208"/>
      <c r="BE400" s="202"/>
      <c r="BF400" s="207"/>
      <c r="BG400" s="229"/>
      <c r="BH400" s="321" t="str">
        <f t="shared" si="29"/>
        <v/>
      </c>
      <c r="BI400" s="98" t="str">
        <f t="shared" si="30"/>
        <v>AA</v>
      </c>
      <c r="BJ400" s="98" t="str">
        <f t="shared" si="31"/>
        <v>NÃO</v>
      </c>
      <c r="BK400" s="230"/>
      <c r="BL400" s="230"/>
      <c r="BM400" s="230"/>
      <c r="BN400" s="230"/>
      <c r="BO400" s="230"/>
      <c r="BP400" s="230"/>
      <c r="BQ400" s="230"/>
      <c r="BR400" s="234"/>
    </row>
    <row r="401" spans="1:112" s="240" customFormat="1" ht="27" hidden="1" customHeight="1">
      <c r="A401" s="207">
        <v>397</v>
      </c>
      <c r="B401" s="197" t="s">
        <v>4396</v>
      </c>
      <c r="C401" s="207" t="s">
        <v>4427</v>
      </c>
      <c r="D401" s="207">
        <v>1</v>
      </c>
      <c r="E401" s="207" t="s">
        <v>4398</v>
      </c>
      <c r="F401" s="214" t="s">
        <v>6157</v>
      </c>
      <c r="G401" s="207" t="s">
        <v>4400</v>
      </c>
      <c r="H401" s="207" t="s">
        <v>4401</v>
      </c>
      <c r="I401" s="217" t="s">
        <v>4402</v>
      </c>
      <c r="J401" s="215" t="s">
        <v>6158</v>
      </c>
      <c r="K401" s="215" t="s">
        <v>6159</v>
      </c>
      <c r="L401" s="215" t="s">
        <v>6160</v>
      </c>
      <c r="M401" s="207" t="s">
        <v>4405</v>
      </c>
      <c r="N401" s="207" t="s">
        <v>4406</v>
      </c>
      <c r="O401" s="202">
        <v>46002</v>
      </c>
      <c r="P401" s="202" t="s">
        <v>4407</v>
      </c>
      <c r="Q401" s="202">
        <v>45999</v>
      </c>
      <c r="R401" s="202">
        <v>46006</v>
      </c>
      <c r="S401" s="202">
        <v>46006</v>
      </c>
      <c r="T401" s="202">
        <v>46009</v>
      </c>
      <c r="U401" s="202" t="s">
        <v>4408</v>
      </c>
      <c r="V401" s="202" t="s">
        <v>4408</v>
      </c>
      <c r="W401" s="202">
        <v>46014</v>
      </c>
      <c r="X401" s="202">
        <v>46017</v>
      </c>
      <c r="Y401" s="202"/>
      <c r="Z401" s="207"/>
      <c r="AA401" s="215" t="s">
        <v>6158</v>
      </c>
      <c r="AB401" s="215" t="s">
        <v>6159</v>
      </c>
      <c r="AC401" s="215" t="s">
        <v>6160</v>
      </c>
      <c r="AD401" s="207" t="s">
        <v>4402</v>
      </c>
      <c r="AE401" s="207" t="s">
        <v>4405</v>
      </c>
      <c r="AF401" s="218" t="s">
        <v>4409</v>
      </c>
      <c r="AG401" s="218" t="s">
        <v>4409</v>
      </c>
      <c r="AH401" s="207" t="s">
        <v>4410</v>
      </c>
      <c r="AI401" s="214" t="s">
        <v>4411</v>
      </c>
      <c r="AJ401" s="207"/>
      <c r="AK401" s="316">
        <v>45980</v>
      </c>
      <c r="AL401" s="316">
        <v>45980</v>
      </c>
      <c r="AM401" s="316">
        <v>45980</v>
      </c>
      <c r="AN401" s="316">
        <v>45980</v>
      </c>
      <c r="AO401" s="316">
        <v>45980</v>
      </c>
      <c r="AP401" s="316">
        <v>45980</v>
      </c>
      <c r="AQ401" s="314"/>
      <c r="AR401" s="315" t="str">
        <f t="shared" si="28"/>
        <v>FINALIZADO</v>
      </c>
      <c r="AS401" s="207"/>
      <c r="AT401" s="207"/>
      <c r="AU401" s="220"/>
      <c r="AV401" s="207"/>
      <c r="AW401" s="207"/>
      <c r="AX401" s="207"/>
      <c r="AY401" s="207"/>
      <c r="AZ401" s="202"/>
      <c r="BA401" s="219"/>
      <c r="BB401" s="207"/>
      <c r="BC401" s="202"/>
      <c r="BD401" s="208"/>
      <c r="BE401" s="202"/>
      <c r="BF401" s="207"/>
      <c r="BG401" s="229"/>
      <c r="BH401" s="321" t="str">
        <f t="shared" si="29"/>
        <v/>
      </c>
      <c r="BI401" s="98" t="str">
        <f t="shared" si="30"/>
        <v>AA</v>
      </c>
      <c r="BJ401" s="98" t="str">
        <f t="shared" si="31"/>
        <v>NÃO</v>
      </c>
      <c r="BK401" s="230"/>
      <c r="BL401" s="230"/>
      <c r="BM401" s="230"/>
      <c r="BN401" s="230"/>
      <c r="BO401" s="230"/>
      <c r="BP401" s="230"/>
      <c r="BQ401" s="230"/>
      <c r="BR401" s="234"/>
    </row>
    <row r="402" spans="1:112" s="240" customFormat="1" ht="27" hidden="1" customHeight="1">
      <c r="A402" s="207">
        <v>398</v>
      </c>
      <c r="B402" s="197" t="s">
        <v>4396</v>
      </c>
      <c r="C402" s="207" t="s">
        <v>4427</v>
      </c>
      <c r="D402" s="207">
        <v>1</v>
      </c>
      <c r="E402" s="207" t="s">
        <v>4398</v>
      </c>
      <c r="F402" s="214" t="s">
        <v>6161</v>
      </c>
      <c r="G402" s="207" t="s">
        <v>4400</v>
      </c>
      <c r="H402" s="207" t="s">
        <v>4401</v>
      </c>
      <c r="I402" s="217" t="s">
        <v>4402</v>
      </c>
      <c r="J402" s="215" t="s">
        <v>6162</v>
      </c>
      <c r="K402" s="215" t="s">
        <v>4440</v>
      </c>
      <c r="L402" s="215" t="s">
        <v>6163</v>
      </c>
      <c r="M402" s="207" t="s">
        <v>4405</v>
      </c>
      <c r="N402" s="207" t="s">
        <v>4406</v>
      </c>
      <c r="O402" s="203">
        <v>46031</v>
      </c>
      <c r="P402" s="202" t="s">
        <v>4407</v>
      </c>
      <c r="Q402" s="203">
        <v>46030</v>
      </c>
      <c r="R402" s="203">
        <v>46031</v>
      </c>
      <c r="S402" s="203">
        <v>46036</v>
      </c>
      <c r="T402" s="203">
        <v>46045</v>
      </c>
      <c r="U402" s="203" t="s">
        <v>4408</v>
      </c>
      <c r="V402" s="203" t="s">
        <v>4408</v>
      </c>
      <c r="W402" s="202">
        <v>46055</v>
      </c>
      <c r="X402" s="202">
        <v>46056</v>
      </c>
      <c r="Y402" s="202"/>
      <c r="Z402" s="207"/>
      <c r="AA402" s="215" t="s">
        <v>6162</v>
      </c>
      <c r="AB402" s="215" t="s">
        <v>4440</v>
      </c>
      <c r="AC402" s="215" t="s">
        <v>6163</v>
      </c>
      <c r="AD402" s="207" t="s">
        <v>4402</v>
      </c>
      <c r="AE402" s="207" t="s">
        <v>4405</v>
      </c>
      <c r="AF402" s="218" t="s">
        <v>4409</v>
      </c>
      <c r="AG402" s="218" t="s">
        <v>4409</v>
      </c>
      <c r="AH402" s="207" t="s">
        <v>4410</v>
      </c>
      <c r="AI402" s="214" t="s">
        <v>4411</v>
      </c>
      <c r="AJ402" s="207"/>
      <c r="AK402" s="316"/>
      <c r="AL402" s="316"/>
      <c r="AM402" s="316"/>
      <c r="AN402" s="316"/>
      <c r="AO402" s="316"/>
      <c r="AP402" s="316"/>
      <c r="AQ402" s="314"/>
      <c r="AR402" s="315" t="str">
        <f t="shared" si="28"/>
        <v/>
      </c>
      <c r="AS402" s="207"/>
      <c r="AT402" s="207"/>
      <c r="AU402" s="220"/>
      <c r="AV402" s="207"/>
      <c r="AW402" s="207"/>
      <c r="AX402" s="207"/>
      <c r="AY402" s="207"/>
      <c r="AZ402" s="202"/>
      <c r="BA402" s="219"/>
      <c r="BB402" s="207"/>
      <c r="BC402" s="202"/>
      <c r="BD402" s="208"/>
      <c r="BE402" s="202"/>
      <c r="BF402" s="207"/>
      <c r="BG402" s="229"/>
      <c r="BH402" s="321" t="str">
        <f t="shared" si="29"/>
        <v/>
      </c>
      <c r="BI402" s="98" t="str">
        <f t="shared" si="30"/>
        <v>AA</v>
      </c>
      <c r="BJ402" s="98" t="str">
        <f t="shared" si="31"/>
        <v>NÃO</v>
      </c>
      <c r="BK402" s="230"/>
      <c r="BL402" s="230"/>
      <c r="BM402" s="230"/>
      <c r="BN402" s="230"/>
      <c r="BO402" s="230"/>
      <c r="BP402" s="230"/>
      <c r="BQ402" s="230"/>
      <c r="BR402" s="234"/>
    </row>
    <row r="403" spans="1:112" s="240" customFormat="1" ht="27" customHeight="1">
      <c r="A403" s="207">
        <v>399</v>
      </c>
      <c r="B403" s="197" t="s">
        <v>4396</v>
      </c>
      <c r="C403" s="207" t="s">
        <v>4413</v>
      </c>
      <c r="D403" s="207">
        <v>1</v>
      </c>
      <c r="E403" s="207" t="s">
        <v>4398</v>
      </c>
      <c r="F403" s="214" t="s">
        <v>6164</v>
      </c>
      <c r="G403" s="207" t="s">
        <v>4400</v>
      </c>
      <c r="H403" s="207" t="s">
        <v>4401</v>
      </c>
      <c r="I403" s="207" t="s">
        <v>4402</v>
      </c>
      <c r="J403" s="215" t="s">
        <v>6165</v>
      </c>
      <c r="K403" s="215" t="s">
        <v>6166</v>
      </c>
      <c r="L403" s="215" t="s">
        <v>6167</v>
      </c>
      <c r="M403" s="207" t="s">
        <v>4405</v>
      </c>
      <c r="N403" s="207" t="s">
        <v>4406</v>
      </c>
      <c r="O403" s="203">
        <v>46090</v>
      </c>
      <c r="P403" s="203" t="s">
        <v>4407</v>
      </c>
      <c r="Q403" s="202">
        <v>46090</v>
      </c>
      <c r="R403" s="202">
        <v>46099</v>
      </c>
      <c r="S403" s="202">
        <v>46101</v>
      </c>
      <c r="T403" s="202">
        <v>46118</v>
      </c>
      <c r="U403" s="202" t="s">
        <v>4408</v>
      </c>
      <c r="V403" s="202" t="s">
        <v>4408</v>
      </c>
      <c r="W403" s="202">
        <v>46118</v>
      </c>
      <c r="X403" s="202">
        <v>46126</v>
      </c>
      <c r="Y403" s="202"/>
      <c r="Z403" s="202"/>
      <c r="AA403" s="215" t="s">
        <v>6165</v>
      </c>
      <c r="AB403" s="215" t="s">
        <v>6166</v>
      </c>
      <c r="AC403" s="215" t="s">
        <v>6167</v>
      </c>
      <c r="AD403" s="207" t="s">
        <v>4402</v>
      </c>
      <c r="AE403" s="207" t="s">
        <v>4405</v>
      </c>
      <c r="AF403" s="218" t="s">
        <v>4409</v>
      </c>
      <c r="AG403" s="218" t="s">
        <v>4409</v>
      </c>
      <c r="AH403" s="207" t="s">
        <v>4410</v>
      </c>
      <c r="AI403" s="214" t="s">
        <v>4411</v>
      </c>
      <c r="AJ403" s="207"/>
      <c r="AK403" s="316">
        <v>46086</v>
      </c>
      <c r="AL403" s="316">
        <v>46086</v>
      </c>
      <c r="AM403" s="316">
        <v>46086</v>
      </c>
      <c r="AN403" s="316">
        <v>46086</v>
      </c>
      <c r="AO403" s="316">
        <v>46086</v>
      </c>
      <c r="AP403" s="316">
        <v>46086</v>
      </c>
      <c r="AQ403" s="314"/>
      <c r="AR403" s="315" t="str">
        <f t="shared" si="28"/>
        <v>FINALIZADO</v>
      </c>
      <c r="AS403" s="207"/>
      <c r="AT403" s="219"/>
      <c r="AU403" s="220"/>
      <c r="AV403" s="219"/>
      <c r="AW403" s="219"/>
      <c r="AX403" s="219"/>
      <c r="AY403" s="219"/>
      <c r="AZ403" s="219"/>
      <c r="BA403" s="219"/>
      <c r="BB403" s="219"/>
      <c r="BC403" s="219"/>
      <c r="BD403" s="208"/>
      <c r="BE403" s="203"/>
      <c r="BF403" s="219"/>
      <c r="BG403" s="219"/>
      <c r="BH403" s="321" t="str">
        <f t="shared" si="29"/>
        <v/>
      </c>
      <c r="BI403" s="98" t="str">
        <f t="shared" si="30"/>
        <v>AA</v>
      </c>
      <c r="BJ403" s="98" t="str">
        <f t="shared" si="31"/>
        <v>NÃO</v>
      </c>
      <c r="BK403" s="219"/>
      <c r="BL403" s="221"/>
      <c r="BM403" s="221"/>
      <c r="BN403" s="219"/>
      <c r="BO403" s="219"/>
      <c r="BP403" s="219"/>
      <c r="BQ403" s="219"/>
      <c r="BR403" s="222"/>
    </row>
    <row r="404" spans="1:112" s="240" customFormat="1" ht="27" hidden="1" customHeight="1">
      <c r="A404" s="197">
        <v>400</v>
      </c>
      <c r="B404" s="197" t="s">
        <v>4396</v>
      </c>
      <c r="C404" s="207" t="s">
        <v>4427</v>
      </c>
      <c r="D404" s="207">
        <v>1</v>
      </c>
      <c r="E404" s="207" t="s">
        <v>4398</v>
      </c>
      <c r="F404" s="214" t="s">
        <v>6164</v>
      </c>
      <c r="G404" s="207" t="s">
        <v>4400</v>
      </c>
      <c r="H404" s="207" t="s">
        <v>4401</v>
      </c>
      <c r="I404" s="217" t="s">
        <v>4402</v>
      </c>
      <c r="J404" s="215" t="s">
        <v>6168</v>
      </c>
      <c r="K404" s="215" t="s">
        <v>6169</v>
      </c>
      <c r="L404" s="215" t="s">
        <v>6170</v>
      </c>
      <c r="M404" s="207" t="s">
        <v>4405</v>
      </c>
      <c r="N404" s="207" t="s">
        <v>4442</v>
      </c>
      <c r="O404" s="202" t="s">
        <v>4409</v>
      </c>
      <c r="P404" s="202" t="s">
        <v>4409</v>
      </c>
      <c r="Q404" s="202" t="s">
        <v>4409</v>
      </c>
      <c r="R404" s="202" t="s">
        <v>4409</v>
      </c>
      <c r="S404" s="202" t="s">
        <v>4409</v>
      </c>
      <c r="T404" s="202" t="s">
        <v>4409</v>
      </c>
      <c r="U404" s="202" t="s">
        <v>4409</v>
      </c>
      <c r="V404" s="202" t="s">
        <v>4409</v>
      </c>
      <c r="W404" s="202" t="s">
        <v>4409</v>
      </c>
      <c r="X404" s="202" t="s">
        <v>4409</v>
      </c>
      <c r="Y404" s="202"/>
      <c r="Z404" s="207"/>
      <c r="AA404" s="215" t="s">
        <v>6168</v>
      </c>
      <c r="AB404" s="215" t="s">
        <v>6169</v>
      </c>
      <c r="AC404" s="215" t="s">
        <v>6170</v>
      </c>
      <c r="AD404" s="207" t="s">
        <v>4402</v>
      </c>
      <c r="AE404" s="207" t="s">
        <v>4405</v>
      </c>
      <c r="AF404" s="218">
        <v>71123.05</v>
      </c>
      <c r="AG404" s="218">
        <v>71123.05</v>
      </c>
      <c r="AH404" s="207" t="s">
        <v>4422</v>
      </c>
      <c r="AI404" s="214" t="s">
        <v>4411</v>
      </c>
      <c r="AJ404" s="207">
        <v>154685258</v>
      </c>
      <c r="AK404" s="316">
        <v>46160</v>
      </c>
      <c r="AL404" s="316">
        <v>46160</v>
      </c>
      <c r="AM404" s="316">
        <v>46160</v>
      </c>
      <c r="AN404" s="316">
        <v>46160</v>
      </c>
      <c r="AO404" s="316">
        <v>46160</v>
      </c>
      <c r="AP404" s="316">
        <v>46160</v>
      </c>
      <c r="AQ404" s="314"/>
      <c r="AR404" s="315" t="str">
        <f t="shared" si="28"/>
        <v>FINALIZADO</v>
      </c>
      <c r="AS404" s="207" t="s">
        <v>4423</v>
      </c>
      <c r="AT404" s="262"/>
      <c r="AU404" s="220" t="s">
        <v>6171</v>
      </c>
      <c r="AV404" s="250" t="s">
        <v>4425</v>
      </c>
      <c r="AW404" s="207" t="s">
        <v>4425</v>
      </c>
      <c r="AX404" s="219" t="s">
        <v>4425</v>
      </c>
      <c r="AY404" s="219" t="s">
        <v>4425</v>
      </c>
      <c r="AZ404" s="202">
        <v>46226</v>
      </c>
      <c r="BA404" s="219" t="s">
        <v>4425</v>
      </c>
      <c r="BB404" s="219" t="s">
        <v>4425</v>
      </c>
      <c r="BC404" s="202">
        <v>46233</v>
      </c>
      <c r="BD404" s="226">
        <v>46232</v>
      </c>
      <c r="BE404" s="257" t="s">
        <v>4435</v>
      </c>
      <c r="BF404" s="257" t="s">
        <v>4436</v>
      </c>
      <c r="BG404" s="219" t="s">
        <v>4425</v>
      </c>
      <c r="BH404" s="321">
        <f t="shared" si="29"/>
        <v>72</v>
      </c>
      <c r="BI404" s="98" t="str">
        <f t="shared" si="30"/>
        <v>INDENIZAÇÃO</v>
      </c>
      <c r="BJ404" s="98" t="str">
        <f t="shared" si="31"/>
        <v>NÃO</v>
      </c>
      <c r="BK404" s="219" t="s">
        <v>4437</v>
      </c>
      <c r="BL404" s="219" t="s">
        <v>4437</v>
      </c>
      <c r="BM404" s="219" t="s">
        <v>4437</v>
      </c>
      <c r="BN404" s="257" t="s">
        <v>5732</v>
      </c>
      <c r="BO404" s="257"/>
      <c r="BP404" s="257"/>
      <c r="BQ404" s="257"/>
      <c r="BR404" s="258"/>
      <c r="BS404" s="223"/>
      <c r="BW404" s="161"/>
      <c r="BX404" s="161"/>
      <c r="BY404" s="161"/>
      <c r="BZ404" s="161"/>
      <c r="CA404" s="161"/>
      <c r="CB404" s="161"/>
      <c r="CC404" s="161"/>
      <c r="CD404" s="161"/>
      <c r="CE404" s="16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61"/>
      <c r="CV404" s="161"/>
      <c r="CW404" s="161"/>
      <c r="CX404" s="161"/>
      <c r="CY404" s="161"/>
      <c r="CZ404" s="161"/>
      <c r="DA404" s="161"/>
      <c r="DB404" s="161"/>
      <c r="DC404" s="161"/>
      <c r="DD404" s="161"/>
      <c r="DE404" s="161"/>
      <c r="DF404" s="161"/>
      <c r="DG404" s="161"/>
      <c r="DH404" s="161"/>
    </row>
    <row r="405" spans="1:112" s="240" customFormat="1" ht="27" customHeight="1">
      <c r="A405" s="197">
        <v>401</v>
      </c>
      <c r="B405" s="197" t="s">
        <v>4396</v>
      </c>
      <c r="C405" s="207" t="s">
        <v>4413</v>
      </c>
      <c r="D405" s="207">
        <v>1</v>
      </c>
      <c r="E405" s="207" t="s">
        <v>4398</v>
      </c>
      <c r="F405" s="214" t="s">
        <v>6172</v>
      </c>
      <c r="G405" s="207" t="s">
        <v>4400</v>
      </c>
      <c r="H405" s="207" t="s">
        <v>4428</v>
      </c>
      <c r="I405" s="207" t="s">
        <v>4421</v>
      </c>
      <c r="J405" s="215" t="s">
        <v>6173</v>
      </c>
      <c r="K405" s="215" t="s">
        <v>6174</v>
      </c>
      <c r="L405" s="215" t="s">
        <v>6175</v>
      </c>
      <c r="M405" s="207" t="s">
        <v>4405</v>
      </c>
      <c r="N405" s="207" t="s">
        <v>4432</v>
      </c>
      <c r="O405" s="202" t="s">
        <v>4409</v>
      </c>
      <c r="P405" s="202" t="s">
        <v>4409</v>
      </c>
      <c r="Q405" s="202" t="s">
        <v>4409</v>
      </c>
      <c r="R405" s="202" t="s">
        <v>4409</v>
      </c>
      <c r="S405" s="202" t="s">
        <v>4409</v>
      </c>
      <c r="T405" s="202" t="s">
        <v>4409</v>
      </c>
      <c r="U405" s="202" t="s">
        <v>4409</v>
      </c>
      <c r="V405" s="202" t="s">
        <v>4409</v>
      </c>
      <c r="W405" s="202" t="s">
        <v>4409</v>
      </c>
      <c r="X405" s="202" t="s">
        <v>4409</v>
      </c>
      <c r="Y405" s="202"/>
      <c r="Z405" s="202"/>
      <c r="AA405" s="215" t="s">
        <v>6176</v>
      </c>
      <c r="AB405" s="215" t="s">
        <v>6174</v>
      </c>
      <c r="AC405" s="215" t="s">
        <v>6175</v>
      </c>
      <c r="AD405" s="207" t="s">
        <v>4421</v>
      </c>
      <c r="AE405" s="207" t="s">
        <v>4405</v>
      </c>
      <c r="AF405" s="218">
        <v>53425.95</v>
      </c>
      <c r="AG405" s="218">
        <v>60000</v>
      </c>
      <c r="AH405" s="207" t="s">
        <v>4422</v>
      </c>
      <c r="AI405" s="214" t="s">
        <v>4411</v>
      </c>
      <c r="AJ405" s="207">
        <v>158037398</v>
      </c>
      <c r="AK405" s="316">
        <v>46188</v>
      </c>
      <c r="AL405" s="316">
        <v>46188</v>
      </c>
      <c r="AM405" s="316">
        <v>46188</v>
      </c>
      <c r="AN405" s="316">
        <v>46188</v>
      </c>
      <c r="AO405" s="316">
        <v>46188</v>
      </c>
      <c r="AP405" s="316">
        <v>46188</v>
      </c>
      <c r="AQ405" s="314"/>
      <c r="AR405" s="315" t="str">
        <f t="shared" si="28"/>
        <v>FINALIZADO</v>
      </c>
      <c r="AS405" s="207" t="s">
        <v>4423</v>
      </c>
      <c r="AT405" s="219"/>
      <c r="AU405" s="220" t="s">
        <v>6177</v>
      </c>
      <c r="AV405" s="197" t="s">
        <v>4818</v>
      </c>
      <c r="AW405" s="207" t="s">
        <v>4818</v>
      </c>
      <c r="AX405" s="207" t="s">
        <v>4818</v>
      </c>
      <c r="AY405" s="207" t="s">
        <v>4818</v>
      </c>
      <c r="AZ405" s="202">
        <v>46233</v>
      </c>
      <c r="BA405" s="207" t="s">
        <v>4818</v>
      </c>
      <c r="BB405" s="207" t="s">
        <v>4818</v>
      </c>
      <c r="BC405" s="202">
        <v>46237</v>
      </c>
      <c r="BD405" s="226">
        <v>46237</v>
      </c>
      <c r="BE405" s="257" t="s">
        <v>4435</v>
      </c>
      <c r="BF405" s="257" t="s">
        <v>4436</v>
      </c>
      <c r="BG405" s="219" t="s">
        <v>4425</v>
      </c>
      <c r="BH405" s="321">
        <f t="shared" si="29"/>
        <v>49</v>
      </c>
      <c r="BI405" s="98" t="str">
        <f t="shared" si="30"/>
        <v>INDENIZAÇÃO</v>
      </c>
      <c r="BJ405" s="98" t="str">
        <f t="shared" si="31"/>
        <v>NÃO</v>
      </c>
      <c r="BK405" s="219" t="s">
        <v>4437</v>
      </c>
      <c r="BL405" s="219" t="s">
        <v>4437</v>
      </c>
      <c r="BM405" s="219" t="s">
        <v>4437</v>
      </c>
      <c r="BN405" s="257" t="s">
        <v>5732</v>
      </c>
      <c r="BO405" s="257"/>
      <c r="BP405" s="257"/>
      <c r="BQ405" s="257"/>
      <c r="BR405" s="258"/>
      <c r="BS405" s="223"/>
      <c r="BT405" s="161"/>
      <c r="BU405" s="161"/>
      <c r="BV405" s="161"/>
      <c r="BW405" s="161"/>
      <c r="BX405" s="161"/>
      <c r="BY405" s="161"/>
      <c r="BZ405" s="161"/>
      <c r="CA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  <c r="DA405" s="161"/>
      <c r="DB405" s="161"/>
      <c r="DC405" s="161"/>
      <c r="DD405" s="161"/>
      <c r="DE405" s="161"/>
      <c r="DF405" s="161"/>
      <c r="DG405" s="161"/>
      <c r="DH405" s="161"/>
    </row>
    <row r="406" spans="1:112" s="240" customFormat="1" ht="27" customHeight="1">
      <c r="A406" s="207">
        <v>402</v>
      </c>
      <c r="B406" s="197" t="s">
        <v>4396</v>
      </c>
      <c r="C406" s="207" t="s">
        <v>4413</v>
      </c>
      <c r="D406" s="207">
        <v>1</v>
      </c>
      <c r="E406" s="207" t="s">
        <v>4398</v>
      </c>
      <c r="F406" s="214" t="s">
        <v>6178</v>
      </c>
      <c r="G406" s="207" t="s">
        <v>4400</v>
      </c>
      <c r="H406" s="207" t="s">
        <v>4401</v>
      </c>
      <c r="I406" s="207" t="s">
        <v>4402</v>
      </c>
      <c r="J406" s="215" t="s">
        <v>6179</v>
      </c>
      <c r="K406" s="215" t="s">
        <v>6180</v>
      </c>
      <c r="L406" s="215" t="s">
        <v>6181</v>
      </c>
      <c r="M406" s="207" t="s">
        <v>4405</v>
      </c>
      <c r="N406" s="207" t="s">
        <v>4406</v>
      </c>
      <c r="O406" s="202">
        <v>46084</v>
      </c>
      <c r="P406" s="202" t="s">
        <v>4407</v>
      </c>
      <c r="Q406" s="202">
        <v>46083</v>
      </c>
      <c r="R406" s="203">
        <v>46084</v>
      </c>
      <c r="S406" s="203">
        <v>46087</v>
      </c>
      <c r="T406" s="203">
        <v>46090</v>
      </c>
      <c r="U406" s="202" t="s">
        <v>4408</v>
      </c>
      <c r="V406" s="202" t="s">
        <v>4408</v>
      </c>
      <c r="W406" s="202">
        <v>46101</v>
      </c>
      <c r="X406" s="202">
        <v>46101</v>
      </c>
      <c r="Y406" s="202"/>
      <c r="Z406" s="202"/>
      <c r="AA406" s="215" t="s">
        <v>6179</v>
      </c>
      <c r="AB406" s="215" t="s">
        <v>6180</v>
      </c>
      <c r="AC406" s="215" t="s">
        <v>6181</v>
      </c>
      <c r="AD406" s="207" t="s">
        <v>4402</v>
      </c>
      <c r="AE406" s="207" t="s">
        <v>4405</v>
      </c>
      <c r="AF406" s="218" t="s">
        <v>4409</v>
      </c>
      <c r="AG406" s="218" t="s">
        <v>4409</v>
      </c>
      <c r="AH406" s="207" t="s">
        <v>4410</v>
      </c>
      <c r="AI406" s="214" t="s">
        <v>4411</v>
      </c>
      <c r="AJ406" s="207"/>
      <c r="AK406" s="316">
        <v>46080</v>
      </c>
      <c r="AL406" s="316">
        <v>46080</v>
      </c>
      <c r="AM406" s="316">
        <v>46080</v>
      </c>
      <c r="AN406" s="316">
        <v>46080</v>
      </c>
      <c r="AO406" s="316">
        <v>46080</v>
      </c>
      <c r="AP406" s="316">
        <v>46080</v>
      </c>
      <c r="AQ406" s="314"/>
      <c r="AR406" s="315" t="str">
        <f t="shared" si="28"/>
        <v>FINALIZADO</v>
      </c>
      <c r="AS406" s="207"/>
      <c r="AT406" s="219"/>
      <c r="AU406" s="220"/>
      <c r="AV406" s="219"/>
      <c r="AW406" s="219"/>
      <c r="AX406" s="219"/>
      <c r="AY406" s="219"/>
      <c r="AZ406" s="219"/>
      <c r="BA406" s="219"/>
      <c r="BB406" s="219"/>
      <c r="BC406" s="219"/>
      <c r="BD406" s="208"/>
      <c r="BE406" s="203"/>
      <c r="BF406" s="219"/>
      <c r="BG406" s="219"/>
      <c r="BH406" s="321" t="str">
        <f t="shared" si="29"/>
        <v/>
      </c>
      <c r="BI406" s="98" t="str">
        <f t="shared" si="30"/>
        <v>AA</v>
      </c>
      <c r="BJ406" s="98" t="str">
        <f t="shared" si="31"/>
        <v>NÃO</v>
      </c>
      <c r="BK406" s="219"/>
      <c r="BL406" s="221"/>
      <c r="BM406" s="221"/>
      <c r="BN406" s="219"/>
      <c r="BO406" s="219"/>
      <c r="BP406" s="219"/>
      <c r="BQ406" s="219"/>
      <c r="BR406" s="222"/>
    </row>
    <row r="407" spans="1:112" s="240" customFormat="1" ht="27" customHeight="1">
      <c r="A407" s="207">
        <v>403</v>
      </c>
      <c r="B407" s="197" t="s">
        <v>4396</v>
      </c>
      <c r="C407" s="207" t="s">
        <v>4413</v>
      </c>
      <c r="D407" s="207">
        <v>1</v>
      </c>
      <c r="E407" s="207" t="s">
        <v>4398</v>
      </c>
      <c r="F407" s="214" t="s">
        <v>6182</v>
      </c>
      <c r="G407" s="207" t="s">
        <v>4400</v>
      </c>
      <c r="H407" s="207" t="s">
        <v>4401</v>
      </c>
      <c r="I407" s="207" t="s">
        <v>4402</v>
      </c>
      <c r="J407" s="215" t="s">
        <v>6183</v>
      </c>
      <c r="K407" s="215" t="s">
        <v>6184</v>
      </c>
      <c r="L407" s="215" t="s">
        <v>6185</v>
      </c>
      <c r="M407" s="207" t="s">
        <v>4405</v>
      </c>
      <c r="N407" s="207" t="s">
        <v>4406</v>
      </c>
      <c r="O407" s="202">
        <v>46084</v>
      </c>
      <c r="P407" s="202" t="s">
        <v>4407</v>
      </c>
      <c r="Q407" s="202">
        <v>46083</v>
      </c>
      <c r="R407" s="203">
        <v>46084</v>
      </c>
      <c r="S407" s="203">
        <v>46087</v>
      </c>
      <c r="T407" s="203">
        <v>46090</v>
      </c>
      <c r="U407" s="202" t="s">
        <v>4408</v>
      </c>
      <c r="V407" s="202" t="s">
        <v>4408</v>
      </c>
      <c r="W407" s="202">
        <v>46101</v>
      </c>
      <c r="X407" s="202">
        <v>46101</v>
      </c>
      <c r="Y407" s="202"/>
      <c r="Z407" s="202"/>
      <c r="AA407" s="215" t="s">
        <v>6183</v>
      </c>
      <c r="AB407" s="215" t="s">
        <v>6184</v>
      </c>
      <c r="AC407" s="215" t="s">
        <v>6185</v>
      </c>
      <c r="AD407" s="217" t="s">
        <v>4402</v>
      </c>
      <c r="AE407" s="207" t="s">
        <v>4405</v>
      </c>
      <c r="AF407" s="218" t="s">
        <v>4409</v>
      </c>
      <c r="AG407" s="218" t="s">
        <v>4409</v>
      </c>
      <c r="AH407" s="207" t="s">
        <v>4410</v>
      </c>
      <c r="AI407" s="214" t="s">
        <v>4411</v>
      </c>
      <c r="AJ407" s="207"/>
      <c r="AK407" s="316">
        <v>46080</v>
      </c>
      <c r="AL407" s="316">
        <v>46080</v>
      </c>
      <c r="AM407" s="316">
        <v>46080</v>
      </c>
      <c r="AN407" s="316">
        <v>46080</v>
      </c>
      <c r="AO407" s="316">
        <v>46080</v>
      </c>
      <c r="AP407" s="316">
        <v>46080</v>
      </c>
      <c r="AQ407" s="314"/>
      <c r="AR407" s="315" t="str">
        <f t="shared" si="28"/>
        <v>FINALIZADO</v>
      </c>
      <c r="AS407" s="207"/>
      <c r="AT407" s="219"/>
      <c r="AU407" s="220"/>
      <c r="AV407" s="161"/>
      <c r="AW407" s="219"/>
      <c r="AX407" s="219"/>
      <c r="AY407" s="161"/>
      <c r="AZ407" s="161"/>
      <c r="BA407" s="219"/>
      <c r="BB407" s="219"/>
      <c r="BC407" s="219"/>
      <c r="BD407" s="208"/>
      <c r="BE407" s="203"/>
      <c r="BF407" s="219"/>
      <c r="BG407" s="219"/>
      <c r="BH407" s="321" t="str">
        <f t="shared" si="29"/>
        <v/>
      </c>
      <c r="BI407" s="98" t="str">
        <f t="shared" si="30"/>
        <v>AA</v>
      </c>
      <c r="BJ407" s="98" t="str">
        <f t="shared" si="31"/>
        <v>NÃO</v>
      </c>
      <c r="BK407" s="219"/>
      <c r="BL407" s="221"/>
      <c r="BM407" s="221"/>
      <c r="BN407" s="219"/>
      <c r="BO407" s="219"/>
      <c r="BP407" s="219"/>
      <c r="BQ407" s="219"/>
      <c r="BR407" s="222"/>
    </row>
    <row r="408" spans="1:112" s="240" customFormat="1" ht="27" hidden="1" customHeight="1">
      <c r="A408" s="207">
        <v>404</v>
      </c>
      <c r="B408" s="197" t="s">
        <v>4396</v>
      </c>
      <c r="C408" s="207" t="s">
        <v>4427</v>
      </c>
      <c r="D408" s="207">
        <v>1</v>
      </c>
      <c r="E408" s="207" t="s">
        <v>4398</v>
      </c>
      <c r="F408" s="214" t="s">
        <v>6186</v>
      </c>
      <c r="G408" s="207" t="s">
        <v>4400</v>
      </c>
      <c r="H408" s="207" t="s">
        <v>4583</v>
      </c>
      <c r="I408" s="217" t="s">
        <v>4402</v>
      </c>
      <c r="J408" s="215" t="s">
        <v>6187</v>
      </c>
      <c r="K408" s="215" t="s">
        <v>6188</v>
      </c>
      <c r="L408" s="215" t="s">
        <v>6189</v>
      </c>
      <c r="M408" s="207" t="s">
        <v>4405</v>
      </c>
      <c r="N408" s="207" t="s">
        <v>4442</v>
      </c>
      <c r="O408" s="202" t="s">
        <v>4409</v>
      </c>
      <c r="P408" s="202" t="s">
        <v>4409</v>
      </c>
      <c r="Q408" s="202" t="s">
        <v>4409</v>
      </c>
      <c r="R408" s="202" t="s">
        <v>4409</v>
      </c>
      <c r="S408" s="202" t="s">
        <v>4409</v>
      </c>
      <c r="T408" s="202" t="s">
        <v>4409</v>
      </c>
      <c r="U408" s="202" t="s">
        <v>4409</v>
      </c>
      <c r="V408" s="202" t="s">
        <v>4409</v>
      </c>
      <c r="W408" s="202" t="s">
        <v>4409</v>
      </c>
      <c r="X408" s="202" t="s">
        <v>4409</v>
      </c>
      <c r="Y408" s="202"/>
      <c r="Z408" s="207"/>
      <c r="AA408" s="215" t="s">
        <v>6187</v>
      </c>
      <c r="AB408" s="215" t="s">
        <v>6188</v>
      </c>
      <c r="AC408" s="215" t="s">
        <v>6189</v>
      </c>
      <c r="AD408" s="207" t="s">
        <v>4402</v>
      </c>
      <c r="AE408" s="219" t="s">
        <v>4405</v>
      </c>
      <c r="AF408" s="218">
        <v>103783.01</v>
      </c>
      <c r="AG408" s="218">
        <v>103783.01</v>
      </c>
      <c r="AH408" s="207" t="s">
        <v>4433</v>
      </c>
      <c r="AI408" s="214" t="s">
        <v>4411</v>
      </c>
      <c r="AJ408" s="207">
        <v>148265385</v>
      </c>
      <c r="AK408" s="316">
        <v>46045</v>
      </c>
      <c r="AL408" s="316">
        <v>46045</v>
      </c>
      <c r="AM408" s="316">
        <v>46045</v>
      </c>
      <c r="AN408" s="316">
        <v>46045</v>
      </c>
      <c r="AO408" s="316">
        <v>46045</v>
      </c>
      <c r="AP408" s="316">
        <v>46045</v>
      </c>
      <c r="AQ408" s="314"/>
      <c r="AR408" s="315" t="str">
        <f t="shared" si="28"/>
        <v>FINALIZADO</v>
      </c>
      <c r="AS408" s="207" t="s">
        <v>4423</v>
      </c>
      <c r="AT408" s="207"/>
      <c r="AU408" s="220" t="s">
        <v>6190</v>
      </c>
      <c r="AV408" s="207" t="s">
        <v>4425</v>
      </c>
      <c r="AW408" s="207" t="s">
        <v>4425</v>
      </c>
      <c r="AX408" s="207" t="s">
        <v>4425</v>
      </c>
      <c r="AY408" s="207" t="s">
        <v>4425</v>
      </c>
      <c r="AZ408" s="202">
        <v>46125</v>
      </c>
      <c r="BA408" s="207" t="s">
        <v>4425</v>
      </c>
      <c r="BB408" s="207" t="s">
        <v>4425</v>
      </c>
      <c r="BC408" s="202">
        <v>46140</v>
      </c>
      <c r="BD408" s="227">
        <v>46140</v>
      </c>
      <c r="BE408" s="227" t="s">
        <v>4435</v>
      </c>
      <c r="BF408" s="228" t="s">
        <v>4436</v>
      </c>
      <c r="BG408" s="229" t="s">
        <v>4425</v>
      </c>
      <c r="BH408" s="321">
        <f t="shared" si="29"/>
        <v>95</v>
      </c>
      <c r="BI408" s="98" t="str">
        <f t="shared" si="30"/>
        <v>INDENIZAÇÃO</v>
      </c>
      <c r="BJ408" s="98" t="str">
        <f t="shared" si="31"/>
        <v>NÃO</v>
      </c>
      <c r="BK408" s="219" t="s">
        <v>4437</v>
      </c>
      <c r="BL408" s="219" t="s">
        <v>4437</v>
      </c>
      <c r="BM408" s="219" t="s">
        <v>4437</v>
      </c>
      <c r="BN408" s="257" t="s">
        <v>5732</v>
      </c>
      <c r="BO408" s="257"/>
      <c r="BP408" s="257"/>
      <c r="BQ408" s="257"/>
      <c r="BR408" s="258"/>
    </row>
    <row r="409" spans="1:112" s="240" customFormat="1" ht="27" customHeight="1">
      <c r="A409" s="197">
        <v>405</v>
      </c>
      <c r="B409" s="197" t="s">
        <v>4396</v>
      </c>
      <c r="C409" s="207" t="s">
        <v>4413</v>
      </c>
      <c r="D409" s="207">
        <v>1</v>
      </c>
      <c r="E409" s="207" t="s">
        <v>4398</v>
      </c>
      <c r="F409" s="214" t="s">
        <v>6186</v>
      </c>
      <c r="G409" s="207" t="s">
        <v>4400</v>
      </c>
      <c r="H409" s="207" t="s">
        <v>4401</v>
      </c>
      <c r="I409" s="207" t="s">
        <v>4402</v>
      </c>
      <c r="J409" s="215" t="s">
        <v>6191</v>
      </c>
      <c r="K409" s="215" t="s">
        <v>6192</v>
      </c>
      <c r="L409" s="215" t="s">
        <v>6193</v>
      </c>
      <c r="M409" s="207" t="s">
        <v>4405</v>
      </c>
      <c r="N409" s="207" t="s">
        <v>4442</v>
      </c>
      <c r="O409" s="202" t="s">
        <v>4409</v>
      </c>
      <c r="P409" s="202" t="s">
        <v>4409</v>
      </c>
      <c r="Q409" s="202" t="s">
        <v>4409</v>
      </c>
      <c r="R409" s="202" t="s">
        <v>4409</v>
      </c>
      <c r="S409" s="202" t="s">
        <v>4409</v>
      </c>
      <c r="T409" s="202" t="s">
        <v>4409</v>
      </c>
      <c r="U409" s="202" t="s">
        <v>4409</v>
      </c>
      <c r="V409" s="202" t="s">
        <v>4409</v>
      </c>
      <c r="W409" s="202" t="s">
        <v>4409</v>
      </c>
      <c r="X409" s="202" t="s">
        <v>4409</v>
      </c>
      <c r="Y409" s="202"/>
      <c r="Z409" s="219"/>
      <c r="AA409" s="215" t="s">
        <v>6191</v>
      </c>
      <c r="AB409" s="215" t="s">
        <v>6192</v>
      </c>
      <c r="AC409" s="215" t="s">
        <v>6193</v>
      </c>
      <c r="AD409" s="207" t="s">
        <v>4402</v>
      </c>
      <c r="AE409" s="207" t="s">
        <v>4405</v>
      </c>
      <c r="AF409" s="218">
        <v>56907.78</v>
      </c>
      <c r="AG409" s="218">
        <v>60000</v>
      </c>
      <c r="AH409" s="207" t="s">
        <v>4433</v>
      </c>
      <c r="AI409" s="214" t="s">
        <v>4411</v>
      </c>
      <c r="AJ409" s="207">
        <v>153002371</v>
      </c>
      <c r="AK409" s="316">
        <v>46129</v>
      </c>
      <c r="AL409" s="316">
        <v>46129</v>
      </c>
      <c r="AM409" s="316">
        <v>46129</v>
      </c>
      <c r="AN409" s="316">
        <v>46129</v>
      </c>
      <c r="AO409" s="316">
        <v>46129</v>
      </c>
      <c r="AP409" s="316">
        <v>46129</v>
      </c>
      <c r="AQ409" s="314"/>
      <c r="AR409" s="315" t="str">
        <f t="shared" si="28"/>
        <v>FINALIZADO</v>
      </c>
      <c r="AS409" s="207" t="s">
        <v>4423</v>
      </c>
      <c r="AT409" s="219"/>
      <c r="AU409" s="220" t="s">
        <v>6194</v>
      </c>
      <c r="AV409" s="262" t="s">
        <v>4818</v>
      </c>
      <c r="AW409" s="262" t="s">
        <v>4818</v>
      </c>
      <c r="AX409" s="262" t="s">
        <v>4818</v>
      </c>
      <c r="AY409" s="262" t="s">
        <v>4818</v>
      </c>
      <c r="AZ409" s="202">
        <v>46247</v>
      </c>
      <c r="BA409" s="207" t="s">
        <v>4425</v>
      </c>
      <c r="BB409" s="207" t="s">
        <v>4425</v>
      </c>
      <c r="BC409" s="202">
        <v>46267</v>
      </c>
      <c r="BD409" s="264">
        <v>46267</v>
      </c>
      <c r="BE409" s="226" t="s">
        <v>4435</v>
      </c>
      <c r="BF409" s="228" t="s">
        <v>4436</v>
      </c>
      <c r="BG409" s="219" t="s">
        <v>4425</v>
      </c>
      <c r="BH409" s="321">
        <f t="shared" si="29"/>
        <v>138</v>
      </c>
      <c r="BI409" s="98" t="str">
        <f t="shared" si="30"/>
        <v>INDENIZAÇÃO</v>
      </c>
      <c r="BJ409" s="98" t="str">
        <f t="shared" si="31"/>
        <v>NÃO</v>
      </c>
      <c r="BK409" s="219" t="s">
        <v>4437</v>
      </c>
      <c r="BL409" s="219" t="s">
        <v>4437</v>
      </c>
      <c r="BM409" s="219" t="s">
        <v>4437</v>
      </c>
      <c r="BN409" s="257" t="s">
        <v>5732</v>
      </c>
      <c r="BO409" s="257"/>
      <c r="BP409" s="257"/>
      <c r="BQ409" s="257"/>
      <c r="BR409" s="258"/>
      <c r="BS409" s="161"/>
      <c r="BT409" s="161"/>
      <c r="BU409" s="161"/>
    </row>
    <row r="410" spans="1:112" s="240" customFormat="1" ht="27" hidden="1" customHeight="1">
      <c r="A410" s="197">
        <v>406</v>
      </c>
      <c r="B410" s="197" t="s">
        <v>4396</v>
      </c>
      <c r="C410" s="207" t="s">
        <v>4427</v>
      </c>
      <c r="D410" s="207">
        <v>1</v>
      </c>
      <c r="E410" s="207" t="s">
        <v>4398</v>
      </c>
      <c r="F410" s="214" t="s">
        <v>6195</v>
      </c>
      <c r="G410" s="207" t="s">
        <v>4400</v>
      </c>
      <c r="H410" s="207" t="s">
        <v>4401</v>
      </c>
      <c r="I410" s="217" t="s">
        <v>4922</v>
      </c>
      <c r="J410" s="215" t="s">
        <v>6196</v>
      </c>
      <c r="K410" s="215"/>
      <c r="L410" s="215" t="s">
        <v>6197</v>
      </c>
      <c r="M410" s="207" t="s">
        <v>4405</v>
      </c>
      <c r="N410" s="207" t="s">
        <v>4406</v>
      </c>
      <c r="O410" s="202">
        <v>46176</v>
      </c>
      <c r="P410" s="202" t="s">
        <v>4407</v>
      </c>
      <c r="Q410" s="202">
        <v>46174</v>
      </c>
      <c r="R410" s="202">
        <v>46176</v>
      </c>
      <c r="S410" s="202">
        <v>46202</v>
      </c>
      <c r="T410" s="202">
        <v>46204</v>
      </c>
      <c r="U410" s="203" t="s">
        <v>4408</v>
      </c>
      <c r="V410" s="203" t="s">
        <v>4408</v>
      </c>
      <c r="W410" s="202">
        <v>46223</v>
      </c>
      <c r="X410" s="202"/>
      <c r="Y410" s="203"/>
      <c r="Z410" s="233"/>
      <c r="AA410" s="215" t="s">
        <v>6198</v>
      </c>
      <c r="AB410" s="215" t="s">
        <v>4440</v>
      </c>
      <c r="AC410" s="215" t="s">
        <v>6197</v>
      </c>
      <c r="AD410" s="233" t="s">
        <v>4421</v>
      </c>
      <c r="AE410" s="219" t="s">
        <v>4405</v>
      </c>
      <c r="AF410" s="218"/>
      <c r="AG410" s="218"/>
      <c r="AH410" s="207"/>
      <c r="AI410" s="214" t="s">
        <v>4411</v>
      </c>
      <c r="AJ410" s="207"/>
      <c r="AK410" s="317"/>
      <c r="AL410" s="317"/>
      <c r="AM410" s="317"/>
      <c r="AN410" s="317"/>
      <c r="AO410" s="317"/>
      <c r="AP410" s="317"/>
      <c r="AQ410" s="314"/>
      <c r="AR410" s="315" t="str">
        <f t="shared" si="28"/>
        <v/>
      </c>
      <c r="AS410" s="207"/>
      <c r="AT410" s="219"/>
      <c r="AU410" s="220"/>
      <c r="AV410" s="219"/>
      <c r="AW410" s="219"/>
      <c r="AX410" s="219"/>
      <c r="AY410" s="219"/>
      <c r="AZ410" s="219"/>
      <c r="BA410" s="219"/>
      <c r="BB410" s="219"/>
      <c r="BC410" s="219"/>
      <c r="BD410" s="208"/>
      <c r="BE410" s="203"/>
      <c r="BF410" s="219"/>
      <c r="BG410" s="219"/>
      <c r="BH410" s="321" t="str">
        <f t="shared" si="29"/>
        <v/>
      </c>
      <c r="BI410" s="98" t="str">
        <f t="shared" si="30"/>
        <v>INDENIZAÇÃO</v>
      </c>
      <c r="BJ410" s="98" t="str">
        <f t="shared" si="31"/>
        <v>NÃO</v>
      </c>
      <c r="BK410" s="219"/>
      <c r="BL410" s="221"/>
      <c r="BM410" s="221"/>
      <c r="BN410" s="219"/>
      <c r="BO410" s="219"/>
      <c r="BP410" s="219"/>
      <c r="BQ410" s="219"/>
      <c r="BR410" s="222"/>
    </row>
    <row r="411" spans="1:112" s="240" customFormat="1" ht="27" customHeight="1">
      <c r="A411" s="207">
        <v>407</v>
      </c>
      <c r="B411" s="197" t="s">
        <v>4396</v>
      </c>
      <c r="C411" s="207" t="s">
        <v>4413</v>
      </c>
      <c r="D411" s="207">
        <v>1</v>
      </c>
      <c r="E411" s="250" t="s">
        <v>4398</v>
      </c>
      <c r="F411" s="214" t="s">
        <v>6195</v>
      </c>
      <c r="G411" s="207" t="s">
        <v>4400</v>
      </c>
      <c r="H411" s="207" t="s">
        <v>4401</v>
      </c>
      <c r="I411" s="207" t="s">
        <v>4402</v>
      </c>
      <c r="J411" s="215" t="s">
        <v>6199</v>
      </c>
      <c r="K411" s="215" t="s">
        <v>6200</v>
      </c>
      <c r="L411" s="215" t="s">
        <v>6201</v>
      </c>
      <c r="M411" s="207" t="s">
        <v>4405</v>
      </c>
      <c r="N411" s="207" t="s">
        <v>4432</v>
      </c>
      <c r="O411" s="203" t="s">
        <v>4409</v>
      </c>
      <c r="P411" s="202" t="s">
        <v>4409</v>
      </c>
      <c r="Q411" s="202" t="s">
        <v>4409</v>
      </c>
      <c r="R411" s="202" t="s">
        <v>4409</v>
      </c>
      <c r="S411" s="202" t="s">
        <v>4409</v>
      </c>
      <c r="T411" s="202" t="s">
        <v>4409</v>
      </c>
      <c r="U411" s="202" t="s">
        <v>4409</v>
      </c>
      <c r="V411" s="202" t="s">
        <v>4409</v>
      </c>
      <c r="W411" s="202" t="s">
        <v>4409</v>
      </c>
      <c r="X411" s="202" t="s">
        <v>4409</v>
      </c>
      <c r="Y411" s="203"/>
      <c r="Z411" s="233"/>
      <c r="AA411" s="215" t="s">
        <v>6199</v>
      </c>
      <c r="AB411" s="215" t="s">
        <v>6200</v>
      </c>
      <c r="AC411" s="215" t="s">
        <v>6201</v>
      </c>
      <c r="AD411" s="207" t="s">
        <v>4402</v>
      </c>
      <c r="AE411" s="219" t="s">
        <v>5045</v>
      </c>
      <c r="AF411" s="218">
        <v>21838.720000000001</v>
      </c>
      <c r="AG411" s="218">
        <v>51838.720000000001</v>
      </c>
      <c r="AH411" s="207" t="s">
        <v>4422</v>
      </c>
      <c r="AI411" s="214" t="s">
        <v>4411</v>
      </c>
      <c r="AJ411">
        <v>160470889</v>
      </c>
      <c r="AK411" s="316">
        <v>46206</v>
      </c>
      <c r="AL411" s="316">
        <v>46206</v>
      </c>
      <c r="AM411" s="316">
        <v>46206</v>
      </c>
      <c r="AN411" s="316">
        <v>46206</v>
      </c>
      <c r="AO411" s="316">
        <v>46206</v>
      </c>
      <c r="AP411" s="316">
        <v>46206</v>
      </c>
      <c r="AQ411" s="314"/>
      <c r="AR411" s="315" t="str">
        <f t="shared" si="28"/>
        <v>FINALIZADO</v>
      </c>
      <c r="AS411" s="207" t="s">
        <v>4423</v>
      </c>
      <c r="AT411" s="161"/>
      <c r="AU411" s="220" t="s">
        <v>6202</v>
      </c>
      <c r="AV411" s="219" t="s">
        <v>4425</v>
      </c>
      <c r="AW411" s="219" t="s">
        <v>4425</v>
      </c>
      <c r="AX411" s="257" t="s">
        <v>4828</v>
      </c>
      <c r="AY411" s="257"/>
      <c r="AZ411" s="257"/>
      <c r="BA411" s="257"/>
      <c r="BB411" s="257"/>
      <c r="BC411" s="257"/>
      <c r="BD411" s="226"/>
      <c r="BE411" s="226"/>
      <c r="BF411" s="228" t="s">
        <v>4400</v>
      </c>
      <c r="BG411" s="219"/>
      <c r="BH411" s="321" t="str">
        <f t="shared" si="29"/>
        <v/>
      </c>
      <c r="BI411" s="98" t="str">
        <f t="shared" si="30"/>
        <v>INDENIZAÇÃO</v>
      </c>
      <c r="BJ411" s="98" t="str">
        <f t="shared" si="31"/>
        <v>NÃO</v>
      </c>
      <c r="BK411" s="219"/>
      <c r="BL411" s="221"/>
      <c r="BM411" s="221"/>
      <c r="BN411" s="219"/>
      <c r="BO411" s="219"/>
      <c r="BP411" s="219"/>
      <c r="BQ411" s="219"/>
      <c r="BR411" s="222"/>
      <c r="BS411" s="223"/>
      <c r="BT411" s="223"/>
    </row>
    <row r="412" spans="1:112" s="240" customFormat="1" ht="27" customHeight="1">
      <c r="A412" s="207">
        <v>408</v>
      </c>
      <c r="B412" s="197" t="s">
        <v>4396</v>
      </c>
      <c r="C412" s="207" t="s">
        <v>4413</v>
      </c>
      <c r="D412" s="207">
        <v>1</v>
      </c>
      <c r="E412" s="207" t="s">
        <v>4398</v>
      </c>
      <c r="F412" s="214" t="s">
        <v>6203</v>
      </c>
      <c r="G412" s="207" t="s">
        <v>4400</v>
      </c>
      <c r="H412" s="207" t="s">
        <v>4401</v>
      </c>
      <c r="I412" s="207" t="s">
        <v>4402</v>
      </c>
      <c r="J412" s="215" t="s">
        <v>6204</v>
      </c>
      <c r="K412" s="215"/>
      <c r="L412" s="215" t="s">
        <v>6205</v>
      </c>
      <c r="M412" s="207" t="s">
        <v>4405</v>
      </c>
      <c r="N412" s="207" t="s">
        <v>4406</v>
      </c>
      <c r="O412" s="202">
        <v>46176</v>
      </c>
      <c r="P412" s="202" t="s">
        <v>4407</v>
      </c>
      <c r="Q412" s="202">
        <v>46174</v>
      </c>
      <c r="R412" s="202">
        <v>46176</v>
      </c>
      <c r="S412" s="202">
        <v>46202</v>
      </c>
      <c r="T412" s="202">
        <v>46204</v>
      </c>
      <c r="U412" s="202" t="s">
        <v>4408</v>
      </c>
      <c r="V412" s="202" t="s">
        <v>4408</v>
      </c>
      <c r="W412" s="202">
        <v>46223</v>
      </c>
      <c r="X412" s="202"/>
      <c r="Y412" s="203"/>
      <c r="Z412" s="233"/>
      <c r="AA412" s="215"/>
      <c r="AB412" s="215"/>
      <c r="AC412" s="215"/>
      <c r="AD412" s="207"/>
      <c r="AE412" s="219"/>
      <c r="AF412" s="218"/>
      <c r="AG412" s="218"/>
      <c r="AH412" s="207"/>
      <c r="AI412" s="214" t="s">
        <v>4411</v>
      </c>
      <c r="AJ412" s="207"/>
      <c r="AK412" s="316"/>
      <c r="AL412" s="316"/>
      <c r="AM412" s="316"/>
      <c r="AN412" s="316"/>
      <c r="AO412" s="316"/>
      <c r="AP412" s="316"/>
      <c r="AQ412" s="314"/>
      <c r="AR412" s="315" t="str">
        <f t="shared" si="28"/>
        <v/>
      </c>
      <c r="AS412" s="207"/>
      <c r="AT412" s="161"/>
      <c r="AU412" s="220"/>
      <c r="AV412" s="219"/>
      <c r="AW412" s="219"/>
      <c r="AX412" s="219"/>
      <c r="AY412" s="219"/>
      <c r="AZ412" s="219"/>
      <c r="BA412" s="219"/>
      <c r="BB412" s="219"/>
      <c r="BC412" s="219"/>
      <c r="BD412" s="208"/>
      <c r="BE412" s="203"/>
      <c r="BF412" s="254"/>
      <c r="BG412" s="219"/>
      <c r="BH412" s="321" t="str">
        <f t="shared" si="29"/>
        <v/>
      </c>
      <c r="BI412" s="98" t="str">
        <f t="shared" si="30"/>
        <v>INDENIZAÇÃO</v>
      </c>
      <c r="BJ412" s="98" t="str">
        <f t="shared" si="31"/>
        <v>NÃO</v>
      </c>
      <c r="BK412" s="219"/>
      <c r="BL412" s="221"/>
      <c r="BM412" s="221"/>
      <c r="BN412" s="219"/>
      <c r="BO412" s="219"/>
      <c r="BP412" s="219"/>
      <c r="BQ412" s="219"/>
      <c r="BR412" s="222"/>
      <c r="BS412" s="223"/>
      <c r="BT412" s="223"/>
    </row>
    <row r="413" spans="1:112" s="240" customFormat="1" ht="27" customHeight="1">
      <c r="A413" s="207">
        <v>409</v>
      </c>
      <c r="B413" s="197" t="s">
        <v>4396</v>
      </c>
      <c r="C413" s="207" t="s">
        <v>4413</v>
      </c>
      <c r="D413" s="207">
        <v>1</v>
      </c>
      <c r="E413" s="207" t="s">
        <v>4398</v>
      </c>
      <c r="F413" s="214" t="s">
        <v>6206</v>
      </c>
      <c r="G413" s="207" t="s">
        <v>4400</v>
      </c>
      <c r="H413" s="207" t="s">
        <v>4401</v>
      </c>
      <c r="I413" s="207" t="s">
        <v>4402</v>
      </c>
      <c r="J413" s="215" t="s">
        <v>6207</v>
      </c>
      <c r="K413" s="215" t="s">
        <v>6208</v>
      </c>
      <c r="L413" s="215" t="s">
        <v>6209</v>
      </c>
      <c r="M413" s="207" t="s">
        <v>4405</v>
      </c>
      <c r="N413" s="207" t="s">
        <v>4442</v>
      </c>
      <c r="O413" s="202" t="s">
        <v>4409</v>
      </c>
      <c r="P413" s="202" t="s">
        <v>4409</v>
      </c>
      <c r="Q413" s="202" t="s">
        <v>4409</v>
      </c>
      <c r="R413" s="202" t="s">
        <v>4409</v>
      </c>
      <c r="S413" s="202" t="s">
        <v>4409</v>
      </c>
      <c r="T413" s="202" t="s">
        <v>4409</v>
      </c>
      <c r="U413" s="202" t="s">
        <v>4409</v>
      </c>
      <c r="V413" s="202" t="s">
        <v>4409</v>
      </c>
      <c r="W413" s="202" t="s">
        <v>4409</v>
      </c>
      <c r="X413" s="202" t="s">
        <v>4409</v>
      </c>
      <c r="Y413" s="202"/>
      <c r="Z413" s="202"/>
      <c r="AA413" s="215" t="s">
        <v>6207</v>
      </c>
      <c r="AB413" s="215" t="s">
        <v>6208</v>
      </c>
      <c r="AC413" s="215" t="s">
        <v>6209</v>
      </c>
      <c r="AD413" s="207" t="s">
        <v>4402</v>
      </c>
      <c r="AE413" s="207" t="s">
        <v>4405</v>
      </c>
      <c r="AF413" s="218">
        <v>15451.91</v>
      </c>
      <c r="AG413" s="218">
        <f>AF413+30000</f>
        <v>45451.91</v>
      </c>
      <c r="AH413" s="207" t="s">
        <v>4422</v>
      </c>
      <c r="AI413" s="214" t="s">
        <v>4411</v>
      </c>
      <c r="AJ413" s="207">
        <v>153977563</v>
      </c>
      <c r="AK413" s="316">
        <v>46129</v>
      </c>
      <c r="AL413" s="316">
        <v>46129</v>
      </c>
      <c r="AM413" s="316">
        <v>46129</v>
      </c>
      <c r="AN413" s="316">
        <v>46129</v>
      </c>
      <c r="AO413" s="316">
        <v>46129</v>
      </c>
      <c r="AP413" s="316">
        <v>46129</v>
      </c>
      <c r="AQ413" s="314"/>
      <c r="AR413" s="315" t="str">
        <f t="shared" si="28"/>
        <v>FINALIZADO</v>
      </c>
      <c r="AS413" s="207" t="s">
        <v>4423</v>
      </c>
      <c r="AT413" s="219"/>
      <c r="AU413" s="220" t="s">
        <v>6210</v>
      </c>
      <c r="AV413" s="207" t="s">
        <v>4425</v>
      </c>
      <c r="AW413" s="207" t="s">
        <v>4425</v>
      </c>
      <c r="AX413" s="219" t="s">
        <v>4425</v>
      </c>
      <c r="AY413" s="219" t="s">
        <v>4425</v>
      </c>
      <c r="AZ413" s="202">
        <v>46226</v>
      </c>
      <c r="BA413" s="219" t="s">
        <v>4425</v>
      </c>
      <c r="BB413" s="219" t="s">
        <v>4425</v>
      </c>
      <c r="BC413" s="202">
        <v>46232</v>
      </c>
      <c r="BD413" s="226">
        <v>46232</v>
      </c>
      <c r="BE413" s="257" t="s">
        <v>4435</v>
      </c>
      <c r="BF413" s="257" t="s">
        <v>4436</v>
      </c>
      <c r="BG413" s="219" t="s">
        <v>4425</v>
      </c>
      <c r="BH413" s="321">
        <f t="shared" si="29"/>
        <v>103</v>
      </c>
      <c r="BI413" s="98" t="str">
        <f t="shared" si="30"/>
        <v>INDENIZAÇÃO</v>
      </c>
      <c r="BJ413" s="98" t="str">
        <f t="shared" si="31"/>
        <v>NÃO</v>
      </c>
      <c r="BK413" s="219" t="s">
        <v>4437</v>
      </c>
      <c r="BL413" s="219" t="s">
        <v>4437</v>
      </c>
      <c r="BM413" s="219" t="s">
        <v>4437</v>
      </c>
      <c r="BN413" s="257" t="s">
        <v>5732</v>
      </c>
      <c r="BO413" s="257"/>
      <c r="BP413" s="257"/>
      <c r="BQ413" s="257"/>
      <c r="BR413" s="258"/>
      <c r="BS413" s="223"/>
      <c r="BT413" s="161"/>
    </row>
    <row r="414" spans="1:112" s="240" customFormat="1" ht="27" hidden="1" customHeight="1">
      <c r="A414" s="197">
        <v>410</v>
      </c>
      <c r="B414" s="197" t="s">
        <v>4396</v>
      </c>
      <c r="C414" s="207" t="s">
        <v>4427</v>
      </c>
      <c r="D414" s="207">
        <v>1</v>
      </c>
      <c r="E414" s="207" t="s">
        <v>4398</v>
      </c>
      <c r="F414" s="214" t="s">
        <v>6206</v>
      </c>
      <c r="G414" s="207" t="s">
        <v>4400</v>
      </c>
      <c r="H414" s="207" t="s">
        <v>4401</v>
      </c>
      <c r="I414" s="217" t="s">
        <v>4414</v>
      </c>
      <c r="J414" s="215" t="s">
        <v>6211</v>
      </c>
      <c r="K414" s="215" t="s">
        <v>6212</v>
      </c>
      <c r="L414" s="215" t="s">
        <v>6213</v>
      </c>
      <c r="M414" s="207" t="s">
        <v>4405</v>
      </c>
      <c r="N414" s="207" t="s">
        <v>4406</v>
      </c>
      <c r="O414" s="202">
        <v>46065</v>
      </c>
      <c r="P414" s="203" t="s">
        <v>4407</v>
      </c>
      <c r="Q414" s="202">
        <v>46072</v>
      </c>
      <c r="R414" s="203">
        <v>46072</v>
      </c>
      <c r="S414" s="203">
        <v>46080</v>
      </c>
      <c r="T414" s="202">
        <v>46083</v>
      </c>
      <c r="U414" s="202" t="s">
        <v>4408</v>
      </c>
      <c r="V414" s="202" t="s">
        <v>4408</v>
      </c>
      <c r="W414" s="203">
        <v>46055</v>
      </c>
      <c r="X414" s="203" t="s">
        <v>4440</v>
      </c>
      <c r="Y414" s="267"/>
      <c r="Z414" s="219" t="s">
        <v>6214</v>
      </c>
      <c r="AA414" s="215" t="s">
        <v>6215</v>
      </c>
      <c r="AB414" s="215" t="s">
        <v>6216</v>
      </c>
      <c r="AC414" s="215" t="s">
        <v>6217</v>
      </c>
      <c r="AD414" s="217" t="s">
        <v>4421</v>
      </c>
      <c r="AE414" s="219" t="s">
        <v>4405</v>
      </c>
      <c r="AF414" s="218">
        <v>17725.560000000001</v>
      </c>
      <c r="AG414" s="218">
        <v>17725.560000000001</v>
      </c>
      <c r="AH414" s="207" t="s">
        <v>4433</v>
      </c>
      <c r="AI414" s="214" t="s">
        <v>4411</v>
      </c>
      <c r="AJ414" s="207">
        <v>150610221</v>
      </c>
      <c r="AK414" s="317">
        <v>46066</v>
      </c>
      <c r="AL414" s="317">
        <v>46066</v>
      </c>
      <c r="AM414" s="317">
        <v>46066</v>
      </c>
      <c r="AN414" s="317">
        <v>46066</v>
      </c>
      <c r="AO414" s="317">
        <v>46066</v>
      </c>
      <c r="AP414" s="317">
        <v>46066</v>
      </c>
      <c r="AQ414" s="314"/>
      <c r="AR414" s="315" t="str">
        <f t="shared" si="28"/>
        <v>FINALIZADO</v>
      </c>
      <c r="AS414" s="207" t="s">
        <v>4423</v>
      </c>
      <c r="AT414" s="219"/>
      <c r="AU414" s="220" t="s">
        <v>6218</v>
      </c>
      <c r="AV414" s="250" t="s">
        <v>4425</v>
      </c>
      <c r="AW414" s="207" t="s">
        <v>4425</v>
      </c>
      <c r="AX414" s="219" t="s">
        <v>4425</v>
      </c>
      <c r="AY414" s="219" t="s">
        <v>4425</v>
      </c>
      <c r="AZ414" s="202">
        <v>46226</v>
      </c>
      <c r="BA414" s="219" t="s">
        <v>4425</v>
      </c>
      <c r="BB414" s="219" t="s">
        <v>4425</v>
      </c>
      <c r="BC414" s="202">
        <v>46233</v>
      </c>
      <c r="BD414" s="226">
        <v>46233</v>
      </c>
      <c r="BE414" s="227" t="s">
        <v>4435</v>
      </c>
      <c r="BF414" s="257" t="s">
        <v>4436</v>
      </c>
      <c r="BG414" s="219" t="s">
        <v>4425</v>
      </c>
      <c r="BH414" s="321">
        <f t="shared" si="29"/>
        <v>167</v>
      </c>
      <c r="BI414" s="98" t="str">
        <f t="shared" si="30"/>
        <v>INDENIZAÇÃO</v>
      </c>
      <c r="BJ414" s="98" t="str">
        <f t="shared" si="31"/>
        <v>NÃO</v>
      </c>
      <c r="BK414" s="219" t="s">
        <v>4437</v>
      </c>
      <c r="BL414" s="219" t="s">
        <v>4437</v>
      </c>
      <c r="BM414" s="219" t="s">
        <v>4437</v>
      </c>
      <c r="BN414" s="257" t="s">
        <v>5732</v>
      </c>
      <c r="BO414" s="257"/>
      <c r="BP414" s="257"/>
      <c r="BQ414" s="257"/>
      <c r="BR414" s="258"/>
      <c r="BS414" s="223"/>
      <c r="BT414" s="161"/>
    </row>
    <row r="415" spans="1:112" s="240" customFormat="1" ht="27" hidden="1" customHeight="1">
      <c r="A415" s="197">
        <v>411</v>
      </c>
      <c r="B415" s="197" t="s">
        <v>4396</v>
      </c>
      <c r="C415" s="207" t="s">
        <v>4427</v>
      </c>
      <c r="D415" s="207">
        <v>1</v>
      </c>
      <c r="E415" s="207" t="s">
        <v>4398</v>
      </c>
      <c r="F415" s="214" t="s">
        <v>6219</v>
      </c>
      <c r="G415" s="207" t="s">
        <v>4400</v>
      </c>
      <c r="H415" s="207" t="s">
        <v>4401</v>
      </c>
      <c r="I415" s="217" t="s">
        <v>4402</v>
      </c>
      <c r="J415" s="255" t="s">
        <v>6220</v>
      </c>
      <c r="K415" s="215" t="s">
        <v>6221</v>
      </c>
      <c r="L415" s="215" t="s">
        <v>6222</v>
      </c>
      <c r="M415" s="207" t="s">
        <v>4405</v>
      </c>
      <c r="N415" s="207" t="s">
        <v>4406</v>
      </c>
      <c r="O415" s="203">
        <v>46031</v>
      </c>
      <c r="P415" s="202" t="s">
        <v>4407</v>
      </c>
      <c r="Q415" s="203">
        <v>46030</v>
      </c>
      <c r="R415" s="203">
        <v>46031</v>
      </c>
      <c r="S415" s="203">
        <v>46036</v>
      </c>
      <c r="T415" s="203">
        <v>46045</v>
      </c>
      <c r="U415" s="203" t="s">
        <v>4408</v>
      </c>
      <c r="V415" s="203" t="s">
        <v>4408</v>
      </c>
      <c r="W415" s="202">
        <v>46055</v>
      </c>
      <c r="X415" s="202">
        <v>46056</v>
      </c>
      <c r="Y415" s="166"/>
      <c r="Z415" s="219"/>
      <c r="AA415" s="255" t="s">
        <v>6220</v>
      </c>
      <c r="AB415" s="215" t="s">
        <v>6221</v>
      </c>
      <c r="AC415" s="215" t="s">
        <v>6222</v>
      </c>
      <c r="AD415" s="217" t="s">
        <v>4402</v>
      </c>
      <c r="AE415" s="207" t="s">
        <v>4405</v>
      </c>
      <c r="AF415" s="218" t="s">
        <v>4409</v>
      </c>
      <c r="AG415" s="218" t="s">
        <v>4409</v>
      </c>
      <c r="AH415" s="207" t="s">
        <v>4410</v>
      </c>
      <c r="AI415" s="214" t="s">
        <v>4411</v>
      </c>
      <c r="AJ415" s="207"/>
      <c r="AK415" s="317"/>
      <c r="AL415" s="317"/>
      <c r="AM415" s="317"/>
      <c r="AN415" s="317"/>
      <c r="AO415" s="317"/>
      <c r="AP415" s="317"/>
      <c r="AQ415" s="314"/>
      <c r="AR415" s="315" t="str">
        <f t="shared" si="28"/>
        <v/>
      </c>
      <c r="AS415" s="207"/>
      <c r="AT415" s="219"/>
      <c r="AU415" s="220"/>
      <c r="AV415" s="219"/>
      <c r="AW415" s="219"/>
      <c r="AX415" s="219"/>
      <c r="AY415" s="219"/>
      <c r="AZ415" s="219"/>
      <c r="BA415" s="219"/>
      <c r="BB415" s="219"/>
      <c r="BC415" s="219"/>
      <c r="BD415" s="208"/>
      <c r="BE415" s="203"/>
      <c r="BF415" s="219"/>
      <c r="BG415" s="219"/>
      <c r="BH415" s="321" t="str">
        <f t="shared" si="29"/>
        <v/>
      </c>
      <c r="BI415" s="98" t="str">
        <f t="shared" si="30"/>
        <v>AA</v>
      </c>
      <c r="BJ415" s="98" t="str">
        <f t="shared" si="31"/>
        <v>NÃO</v>
      </c>
      <c r="BK415" s="219"/>
      <c r="BL415" s="221"/>
      <c r="BM415" s="221"/>
      <c r="BN415" s="219"/>
      <c r="BO415" s="219"/>
      <c r="BP415" s="219"/>
      <c r="BQ415" s="219"/>
      <c r="BR415" s="222"/>
      <c r="BS415" s="223"/>
      <c r="BT415" s="161"/>
    </row>
    <row r="416" spans="1:112" s="240" customFormat="1" ht="27" customHeight="1">
      <c r="A416" s="207">
        <v>412</v>
      </c>
      <c r="B416" s="197" t="s">
        <v>4396</v>
      </c>
      <c r="C416" s="207" t="s">
        <v>4413</v>
      </c>
      <c r="D416" s="207">
        <v>1</v>
      </c>
      <c r="E416" s="207" t="s">
        <v>4398</v>
      </c>
      <c r="F416" s="214" t="s">
        <v>6219</v>
      </c>
      <c r="G416" s="219" t="s">
        <v>4400</v>
      </c>
      <c r="H416" s="219" t="s">
        <v>4401</v>
      </c>
      <c r="I416" s="219" t="s">
        <v>4402</v>
      </c>
      <c r="J416" s="255" t="s">
        <v>6223</v>
      </c>
      <c r="K416" s="255" t="s">
        <v>6224</v>
      </c>
      <c r="L416" s="220" t="s">
        <v>6225</v>
      </c>
      <c r="M416" s="219" t="s">
        <v>4405</v>
      </c>
      <c r="N416" s="219" t="s">
        <v>4432</v>
      </c>
      <c r="O416" s="202" t="s">
        <v>4409</v>
      </c>
      <c r="P416" s="202" t="s">
        <v>4409</v>
      </c>
      <c r="Q416" s="202" t="s">
        <v>4409</v>
      </c>
      <c r="R416" s="202" t="s">
        <v>4409</v>
      </c>
      <c r="S416" s="202" t="s">
        <v>4409</v>
      </c>
      <c r="T416" s="202" t="s">
        <v>4409</v>
      </c>
      <c r="U416" s="202" t="s">
        <v>4409</v>
      </c>
      <c r="V416" s="202" t="s">
        <v>4409</v>
      </c>
      <c r="W416" s="202" t="s">
        <v>4409</v>
      </c>
      <c r="X416" s="202" t="s">
        <v>4409</v>
      </c>
      <c r="Y416" s="202"/>
      <c r="Z416" s="202"/>
      <c r="AA416" s="255" t="s">
        <v>6223</v>
      </c>
      <c r="AB416" s="255" t="s">
        <v>6224</v>
      </c>
      <c r="AC416" s="220" t="s">
        <v>6225</v>
      </c>
      <c r="AD416" s="207" t="s">
        <v>4402</v>
      </c>
      <c r="AE416" s="219" t="s">
        <v>4405</v>
      </c>
      <c r="AF416" s="218">
        <v>51505.83</v>
      </c>
      <c r="AG416" s="218">
        <v>60000</v>
      </c>
      <c r="AH416" s="207" t="s">
        <v>4433</v>
      </c>
      <c r="AI416" s="214" t="s">
        <v>4411</v>
      </c>
      <c r="AJ416" s="207">
        <v>153978824</v>
      </c>
      <c r="AK416" s="316">
        <v>46129</v>
      </c>
      <c r="AL416" s="316">
        <v>46129</v>
      </c>
      <c r="AM416" s="316">
        <v>46129</v>
      </c>
      <c r="AN416" s="316">
        <v>46129</v>
      </c>
      <c r="AO416" s="316">
        <v>46129</v>
      </c>
      <c r="AP416" s="316">
        <v>46129</v>
      </c>
      <c r="AQ416" s="314"/>
      <c r="AR416" s="315" t="str">
        <f t="shared" si="28"/>
        <v>FINALIZADO</v>
      </c>
      <c r="AS416" s="207" t="s">
        <v>4423</v>
      </c>
      <c r="AT416" s="219"/>
      <c r="AU416" s="220" t="s">
        <v>6226</v>
      </c>
      <c r="AV416" s="262" t="s">
        <v>4425</v>
      </c>
      <c r="AW416" s="262" t="s">
        <v>4425</v>
      </c>
      <c r="AX416" s="207" t="s">
        <v>4425</v>
      </c>
      <c r="AY416" s="207" t="s">
        <v>4425</v>
      </c>
      <c r="AZ416" s="202">
        <v>46226</v>
      </c>
      <c r="BA416" s="219" t="s">
        <v>4425</v>
      </c>
      <c r="BB416" s="219" t="s">
        <v>4425</v>
      </c>
      <c r="BC416" s="202">
        <v>46232</v>
      </c>
      <c r="BD416" s="226">
        <v>46232</v>
      </c>
      <c r="BE416" s="257" t="s">
        <v>4435</v>
      </c>
      <c r="BF416" s="257" t="s">
        <v>4436</v>
      </c>
      <c r="BG416" s="219" t="s">
        <v>4425</v>
      </c>
      <c r="BH416" s="321">
        <f t="shared" si="29"/>
        <v>103</v>
      </c>
      <c r="BI416" s="98" t="str">
        <f t="shared" si="30"/>
        <v>INDENIZAÇÃO</v>
      </c>
      <c r="BJ416" s="98" t="str">
        <f t="shared" si="31"/>
        <v>NÃO</v>
      </c>
      <c r="BK416" s="219" t="s">
        <v>4437</v>
      </c>
      <c r="BL416" s="219" t="s">
        <v>4437</v>
      </c>
      <c r="BM416" s="219" t="s">
        <v>4437</v>
      </c>
      <c r="BN416" s="257" t="s">
        <v>5732</v>
      </c>
      <c r="BO416" s="257"/>
      <c r="BP416" s="257"/>
      <c r="BQ416" s="257"/>
      <c r="BR416" s="258"/>
    </row>
    <row r="417" spans="1:112" s="240" customFormat="1" ht="27" customHeight="1">
      <c r="A417" s="207">
        <v>413</v>
      </c>
      <c r="B417" s="197" t="s">
        <v>4396</v>
      </c>
      <c r="C417" s="207" t="s">
        <v>4413</v>
      </c>
      <c r="D417" s="207">
        <v>1</v>
      </c>
      <c r="E417" s="207" t="s">
        <v>4398</v>
      </c>
      <c r="F417" s="214" t="s">
        <v>6227</v>
      </c>
      <c r="G417" s="207" t="s">
        <v>4400</v>
      </c>
      <c r="H417" s="207" t="s">
        <v>4401</v>
      </c>
      <c r="I417" s="207" t="s">
        <v>4402</v>
      </c>
      <c r="J417" s="215" t="s">
        <v>6228</v>
      </c>
      <c r="K417" s="215" t="s">
        <v>6229</v>
      </c>
      <c r="L417" s="215" t="s">
        <v>6230</v>
      </c>
      <c r="M417" s="207" t="s">
        <v>4405</v>
      </c>
      <c r="N417" s="207" t="s">
        <v>4406</v>
      </c>
      <c r="O417" s="202">
        <v>46147</v>
      </c>
      <c r="P417" s="202" t="s">
        <v>4407</v>
      </c>
      <c r="Q417" s="203">
        <v>46136</v>
      </c>
      <c r="R417" s="202">
        <v>46147</v>
      </c>
      <c r="S417" s="203">
        <v>46156</v>
      </c>
      <c r="T417" s="203">
        <v>46168</v>
      </c>
      <c r="U417" s="203" t="s">
        <v>4408</v>
      </c>
      <c r="V417" s="203" t="s">
        <v>4408</v>
      </c>
      <c r="W417" s="279">
        <v>46196</v>
      </c>
      <c r="X417" s="202">
        <v>46197</v>
      </c>
      <c r="Y417" s="202"/>
      <c r="Z417" s="202"/>
      <c r="AA417" s="215" t="s">
        <v>6228</v>
      </c>
      <c r="AB417" s="215" t="s">
        <v>6229</v>
      </c>
      <c r="AC417" s="215" t="s">
        <v>6230</v>
      </c>
      <c r="AD417" s="207" t="s">
        <v>4402</v>
      </c>
      <c r="AE417" s="207" t="s">
        <v>4405</v>
      </c>
      <c r="AF417" s="218" t="s">
        <v>4409</v>
      </c>
      <c r="AG417" s="218" t="s">
        <v>4409</v>
      </c>
      <c r="AH417" s="207" t="s">
        <v>4410</v>
      </c>
      <c r="AI417" s="214" t="s">
        <v>4411</v>
      </c>
      <c r="AJ417" s="207"/>
      <c r="AK417" s="316">
        <v>46080</v>
      </c>
      <c r="AL417" s="316">
        <v>46080</v>
      </c>
      <c r="AM417" s="316">
        <v>46080</v>
      </c>
      <c r="AN417" s="316">
        <v>46080</v>
      </c>
      <c r="AO417" s="316">
        <v>46080</v>
      </c>
      <c r="AP417" s="316">
        <v>46080</v>
      </c>
      <c r="AQ417" s="314"/>
      <c r="AR417" s="315" t="str">
        <f t="shared" si="28"/>
        <v>FINALIZADO</v>
      </c>
      <c r="AS417" s="207"/>
      <c r="AT417" s="219"/>
      <c r="AU417" s="220"/>
      <c r="AV417" s="219"/>
      <c r="AW417" s="219"/>
      <c r="AX417" s="219"/>
      <c r="AY417" s="219"/>
      <c r="AZ417" s="219"/>
      <c r="BA417" s="219"/>
      <c r="BB417" s="219"/>
      <c r="BC417" s="219"/>
      <c r="BD417" s="208"/>
      <c r="BE417" s="203"/>
      <c r="BF417" s="219"/>
      <c r="BG417" s="219"/>
      <c r="BH417" s="321" t="str">
        <f t="shared" si="29"/>
        <v/>
      </c>
      <c r="BI417" s="98" t="str">
        <f t="shared" si="30"/>
        <v>AA</v>
      </c>
      <c r="BJ417" s="98" t="str">
        <f t="shared" si="31"/>
        <v>NÃO</v>
      </c>
      <c r="BK417" s="219"/>
      <c r="BL417" s="221"/>
      <c r="BM417" s="221"/>
      <c r="BN417" s="219"/>
      <c r="BO417" s="219"/>
      <c r="BP417" s="219"/>
      <c r="BQ417" s="219"/>
      <c r="BR417" s="222"/>
    </row>
    <row r="418" spans="1:112" s="240" customFormat="1" ht="27" hidden="1" customHeight="1">
      <c r="A418" s="207">
        <v>414</v>
      </c>
      <c r="B418" s="197" t="s">
        <v>4396</v>
      </c>
      <c r="C418" s="207" t="s">
        <v>4427</v>
      </c>
      <c r="D418" s="207">
        <v>1</v>
      </c>
      <c r="E418" s="207" t="s">
        <v>4398</v>
      </c>
      <c r="F418" s="214" t="s">
        <v>6231</v>
      </c>
      <c r="G418" s="207" t="s">
        <v>4400</v>
      </c>
      <c r="H418" s="207" t="s">
        <v>4401</v>
      </c>
      <c r="I418" s="217" t="s">
        <v>4402</v>
      </c>
      <c r="J418" s="215" t="s">
        <v>6232</v>
      </c>
      <c r="K418" s="215" t="s">
        <v>6233</v>
      </c>
      <c r="L418" s="215" t="s">
        <v>6234</v>
      </c>
      <c r="M418" s="207" t="s">
        <v>4405</v>
      </c>
      <c r="N418" s="207" t="s">
        <v>4406</v>
      </c>
      <c r="O418" s="202">
        <v>45986</v>
      </c>
      <c r="P418" s="202" t="s">
        <v>4407</v>
      </c>
      <c r="Q418" s="202">
        <v>45985</v>
      </c>
      <c r="R418" s="202">
        <v>45986</v>
      </c>
      <c r="S418" s="202">
        <v>45987</v>
      </c>
      <c r="T418" s="202">
        <v>45992</v>
      </c>
      <c r="U418" s="202" t="s">
        <v>4408</v>
      </c>
      <c r="V418" s="202" t="s">
        <v>4408</v>
      </c>
      <c r="W418" s="202">
        <v>45999</v>
      </c>
      <c r="X418" s="202">
        <v>46000</v>
      </c>
      <c r="Y418" s="202"/>
      <c r="Z418" s="207"/>
      <c r="AA418" s="215" t="s">
        <v>6232</v>
      </c>
      <c r="AB418" s="215" t="s">
        <v>6233</v>
      </c>
      <c r="AC418" s="215" t="s">
        <v>6234</v>
      </c>
      <c r="AD418" s="217" t="s">
        <v>4402</v>
      </c>
      <c r="AE418" s="207" t="s">
        <v>4405</v>
      </c>
      <c r="AF418" s="218" t="s">
        <v>4409</v>
      </c>
      <c r="AG418" s="218" t="s">
        <v>4409</v>
      </c>
      <c r="AH418" s="241" t="s">
        <v>4410</v>
      </c>
      <c r="AI418" s="214" t="s">
        <v>4411</v>
      </c>
      <c r="AJ418" s="207"/>
      <c r="AK418" s="316">
        <v>45980</v>
      </c>
      <c r="AL418" s="316">
        <v>45980</v>
      </c>
      <c r="AM418" s="316">
        <v>45980</v>
      </c>
      <c r="AN418" s="316">
        <v>45980</v>
      </c>
      <c r="AO418" s="316">
        <v>45980</v>
      </c>
      <c r="AP418" s="316">
        <v>45980</v>
      </c>
      <c r="AQ418" s="314"/>
      <c r="AR418" s="315" t="str">
        <f t="shared" si="28"/>
        <v>FINALIZADO</v>
      </c>
      <c r="AS418" s="207"/>
      <c r="AT418" s="207"/>
      <c r="AU418" s="220"/>
      <c r="AV418" s="207"/>
      <c r="AW418" s="207"/>
      <c r="AX418" s="207" t="s">
        <v>4409</v>
      </c>
      <c r="AY418" s="207" t="s">
        <v>4409</v>
      </c>
      <c r="AZ418" s="207" t="s">
        <v>4409</v>
      </c>
      <c r="BA418" s="207" t="s">
        <v>4409</v>
      </c>
      <c r="BB418" s="207"/>
      <c r="BC418" s="202"/>
      <c r="BD418" s="208"/>
      <c r="BE418" s="202"/>
      <c r="BF418" s="207"/>
      <c r="BG418" s="229"/>
      <c r="BH418" s="321" t="str">
        <f t="shared" si="29"/>
        <v/>
      </c>
      <c r="BI418" s="98" t="str">
        <f t="shared" si="30"/>
        <v>AA</v>
      </c>
      <c r="BJ418" s="98" t="str">
        <f t="shared" si="31"/>
        <v>NÃO</v>
      </c>
      <c r="BK418" s="230"/>
      <c r="BL418" s="230"/>
      <c r="BM418" s="230"/>
      <c r="BN418" s="230"/>
      <c r="BO418" s="230"/>
      <c r="BP418" s="230"/>
      <c r="BQ418" s="230"/>
      <c r="BR418" s="234"/>
      <c r="BS418" s="161"/>
      <c r="BT418" s="161"/>
      <c r="BU418" s="161"/>
      <c r="BV418" s="161"/>
      <c r="BW418" s="161"/>
      <c r="BX418" s="161"/>
      <c r="BY418" s="161"/>
      <c r="BZ418" s="161"/>
      <c r="CA418" s="161"/>
      <c r="CB418" s="161"/>
      <c r="CC418" s="161"/>
      <c r="CD418" s="161"/>
      <c r="CE418" s="16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61"/>
      <c r="CV418" s="161"/>
      <c r="CW418" s="161"/>
      <c r="CX418" s="161"/>
      <c r="CY418" s="161"/>
      <c r="CZ418" s="161"/>
      <c r="DA418" s="161"/>
      <c r="DB418" s="161"/>
      <c r="DC418" s="161"/>
      <c r="DD418" s="161"/>
      <c r="DE418" s="161"/>
      <c r="DF418" s="161"/>
      <c r="DG418" s="161"/>
      <c r="DH418" s="161"/>
    </row>
    <row r="419" spans="1:112" s="240" customFormat="1" ht="27" customHeight="1">
      <c r="A419" s="197">
        <v>415</v>
      </c>
      <c r="B419" s="197" t="s">
        <v>4396</v>
      </c>
      <c r="C419" s="207" t="s">
        <v>4413</v>
      </c>
      <c r="D419" s="207">
        <v>1</v>
      </c>
      <c r="E419" s="207" t="s">
        <v>4398</v>
      </c>
      <c r="F419" s="214" t="s">
        <v>6231</v>
      </c>
      <c r="G419" s="219" t="s">
        <v>4400</v>
      </c>
      <c r="H419" s="219" t="s">
        <v>4401</v>
      </c>
      <c r="I419" s="219" t="s">
        <v>4402</v>
      </c>
      <c r="J419" s="255" t="s">
        <v>6235</v>
      </c>
      <c r="K419" s="255" t="s">
        <v>6236</v>
      </c>
      <c r="L419" s="255" t="s">
        <v>6237</v>
      </c>
      <c r="M419" s="219" t="s">
        <v>4405</v>
      </c>
      <c r="N419" s="219" t="s">
        <v>4432</v>
      </c>
      <c r="O419" s="202" t="s">
        <v>4409</v>
      </c>
      <c r="P419" s="202" t="s">
        <v>4409</v>
      </c>
      <c r="Q419" s="202" t="s">
        <v>4409</v>
      </c>
      <c r="R419" s="202" t="s">
        <v>4409</v>
      </c>
      <c r="S419" s="202" t="s">
        <v>4409</v>
      </c>
      <c r="T419" s="202" t="s">
        <v>4409</v>
      </c>
      <c r="U419" s="202" t="s">
        <v>4409</v>
      </c>
      <c r="V419" s="202" t="s">
        <v>4409</v>
      </c>
      <c r="W419" s="202" t="s">
        <v>4409</v>
      </c>
      <c r="X419" s="202" t="s">
        <v>4409</v>
      </c>
      <c r="Y419" s="202"/>
      <c r="Z419" s="202"/>
      <c r="AA419" s="255" t="s">
        <v>6235</v>
      </c>
      <c r="AB419" s="255" t="s">
        <v>6236</v>
      </c>
      <c r="AC419" s="255" t="s">
        <v>6237</v>
      </c>
      <c r="AD419" s="219" t="s">
        <v>4402</v>
      </c>
      <c r="AE419" s="219" t="s">
        <v>4405</v>
      </c>
      <c r="AF419" s="218">
        <v>182371.02</v>
      </c>
      <c r="AG419" s="218">
        <v>182371.02</v>
      </c>
      <c r="AH419" s="197" t="s">
        <v>4422</v>
      </c>
      <c r="AI419" s="214" t="s">
        <v>4411</v>
      </c>
      <c r="AJ419" s="207">
        <v>153979063</v>
      </c>
      <c r="AK419" s="317">
        <v>46127</v>
      </c>
      <c r="AL419" s="317">
        <v>46127</v>
      </c>
      <c r="AM419" s="317">
        <v>46127</v>
      </c>
      <c r="AN419" s="317">
        <v>46127</v>
      </c>
      <c r="AO419" s="317">
        <v>46127</v>
      </c>
      <c r="AP419" s="317">
        <v>46127</v>
      </c>
      <c r="AQ419" s="314"/>
      <c r="AR419" s="315" t="str">
        <f t="shared" si="28"/>
        <v>FINALIZADO</v>
      </c>
      <c r="AS419" s="207" t="s">
        <v>4423</v>
      </c>
      <c r="AT419" s="219"/>
      <c r="AU419" s="220" t="s">
        <v>6238</v>
      </c>
      <c r="AV419" s="262" t="s">
        <v>4425</v>
      </c>
      <c r="AW419" s="219" t="s">
        <v>4425</v>
      </c>
      <c r="AX419" s="219" t="s">
        <v>4425</v>
      </c>
      <c r="AY419" s="219" t="s">
        <v>4425</v>
      </c>
      <c r="AZ419" s="202">
        <v>46216</v>
      </c>
      <c r="BA419" s="262" t="s">
        <v>4425</v>
      </c>
      <c r="BB419" s="262" t="s">
        <v>4425</v>
      </c>
      <c r="BC419" s="202">
        <v>46223</v>
      </c>
      <c r="BD419" s="227">
        <v>46223</v>
      </c>
      <c r="BE419" s="257" t="s">
        <v>4435</v>
      </c>
      <c r="BF419" s="228" t="s">
        <v>4436</v>
      </c>
      <c r="BG419" s="229" t="s">
        <v>4425</v>
      </c>
      <c r="BH419" s="321">
        <f t="shared" si="29"/>
        <v>96</v>
      </c>
      <c r="BI419" s="98" t="str">
        <f t="shared" si="30"/>
        <v>INDENIZAÇÃO</v>
      </c>
      <c r="BJ419" s="98" t="str">
        <f t="shared" si="31"/>
        <v>NÃO</v>
      </c>
      <c r="BK419" s="230" t="s">
        <v>4437</v>
      </c>
      <c r="BL419" s="230" t="s">
        <v>4437</v>
      </c>
      <c r="BM419" s="230" t="s">
        <v>4437</v>
      </c>
      <c r="BN419" s="265" t="s">
        <v>5732</v>
      </c>
      <c r="BO419" s="265"/>
      <c r="BP419" s="265"/>
      <c r="BQ419" s="265"/>
      <c r="BR419" s="231"/>
    </row>
    <row r="420" spans="1:112" s="240" customFormat="1" ht="27" hidden="1" customHeight="1">
      <c r="A420" s="197">
        <v>416</v>
      </c>
      <c r="B420" s="197" t="s">
        <v>4396</v>
      </c>
      <c r="C420" s="207" t="s">
        <v>4427</v>
      </c>
      <c r="D420" s="207">
        <v>1</v>
      </c>
      <c r="E420" s="207" t="s">
        <v>4398</v>
      </c>
      <c r="F420" s="214" t="s">
        <v>6239</v>
      </c>
      <c r="G420" s="207" t="s">
        <v>4400</v>
      </c>
      <c r="H420" s="207" t="s">
        <v>4401</v>
      </c>
      <c r="I420" s="217" t="s">
        <v>4402</v>
      </c>
      <c r="J420" s="215" t="s">
        <v>6240</v>
      </c>
      <c r="K420" s="215" t="s">
        <v>6241</v>
      </c>
      <c r="L420" s="215" t="s">
        <v>6242</v>
      </c>
      <c r="M420" s="207" t="s">
        <v>4405</v>
      </c>
      <c r="N420" s="207" t="s">
        <v>4406</v>
      </c>
      <c r="O420" s="202">
        <v>46002</v>
      </c>
      <c r="P420" s="202" t="s">
        <v>4407</v>
      </c>
      <c r="Q420" s="202">
        <v>45999</v>
      </c>
      <c r="R420" s="202">
        <v>46006</v>
      </c>
      <c r="S420" s="202">
        <v>46006</v>
      </c>
      <c r="T420" s="202">
        <v>46009</v>
      </c>
      <c r="U420" s="202" t="s">
        <v>4408</v>
      </c>
      <c r="V420" s="202" t="s">
        <v>4408</v>
      </c>
      <c r="W420" s="202">
        <v>46014</v>
      </c>
      <c r="X420" s="202">
        <v>46017</v>
      </c>
      <c r="Y420" s="202"/>
      <c r="Z420" s="207"/>
      <c r="AA420" s="200" t="s">
        <v>6240</v>
      </c>
      <c r="AB420" s="200" t="s">
        <v>6241</v>
      </c>
      <c r="AC420" s="200" t="s">
        <v>6242</v>
      </c>
      <c r="AD420" s="199" t="s">
        <v>4402</v>
      </c>
      <c r="AE420" s="197" t="s">
        <v>4405</v>
      </c>
      <c r="AF420" s="243" t="s">
        <v>4409</v>
      </c>
      <c r="AG420" s="243" t="s">
        <v>4409</v>
      </c>
      <c r="AH420" s="197" t="s">
        <v>4410</v>
      </c>
      <c r="AI420" s="214" t="s">
        <v>4411</v>
      </c>
      <c r="AJ420" s="207"/>
      <c r="AK420" s="316">
        <v>45996</v>
      </c>
      <c r="AL420" s="316">
        <v>45996</v>
      </c>
      <c r="AM420" s="316">
        <v>45996</v>
      </c>
      <c r="AN420" s="316">
        <v>45996</v>
      </c>
      <c r="AO420" s="316">
        <v>45996</v>
      </c>
      <c r="AP420" s="316">
        <v>45996</v>
      </c>
      <c r="AQ420" s="314"/>
      <c r="AR420" s="315" t="str">
        <f t="shared" si="28"/>
        <v>FINALIZADO</v>
      </c>
      <c r="AS420" s="207"/>
      <c r="AT420" s="207"/>
      <c r="AU420" s="220"/>
      <c r="AV420" s="207"/>
      <c r="AW420" s="207"/>
      <c r="AX420" s="207"/>
      <c r="AY420" s="207"/>
      <c r="AZ420" s="202"/>
      <c r="BA420" s="219"/>
      <c r="BB420" s="207"/>
      <c r="BC420" s="202"/>
      <c r="BD420" s="208"/>
      <c r="BE420" s="202"/>
      <c r="BF420" s="207"/>
      <c r="BG420" s="229"/>
      <c r="BH420" s="321" t="str">
        <f t="shared" si="29"/>
        <v/>
      </c>
      <c r="BI420" s="98" t="str">
        <f t="shared" si="30"/>
        <v>AA</v>
      </c>
      <c r="BJ420" s="98" t="str">
        <f t="shared" si="31"/>
        <v>NÃO</v>
      </c>
      <c r="BK420" s="230"/>
      <c r="BL420" s="230"/>
      <c r="BM420" s="230"/>
      <c r="BN420" s="230"/>
      <c r="BO420" s="230"/>
      <c r="BP420" s="230"/>
      <c r="BQ420" s="230"/>
      <c r="BR420" s="234"/>
    </row>
    <row r="421" spans="1:112" s="240" customFormat="1" ht="27" hidden="1" customHeight="1">
      <c r="A421" s="207">
        <v>417</v>
      </c>
      <c r="B421" s="197" t="s">
        <v>4396</v>
      </c>
      <c r="C421" s="207" t="s">
        <v>4427</v>
      </c>
      <c r="D421" s="207">
        <v>1</v>
      </c>
      <c r="E421" s="207" t="s">
        <v>4398</v>
      </c>
      <c r="F421" s="214" t="s">
        <v>6243</v>
      </c>
      <c r="G421" s="207" t="s">
        <v>4400</v>
      </c>
      <c r="H421" s="207" t="s">
        <v>4428</v>
      </c>
      <c r="I421" s="233" t="s">
        <v>4421</v>
      </c>
      <c r="J421" s="215" t="s">
        <v>6244</v>
      </c>
      <c r="K421" s="215" t="s">
        <v>6245</v>
      </c>
      <c r="L421" s="215" t="s">
        <v>6246</v>
      </c>
      <c r="M421" s="207" t="s">
        <v>4405</v>
      </c>
      <c r="N421" s="207" t="s">
        <v>4442</v>
      </c>
      <c r="O421" s="202" t="s">
        <v>4409</v>
      </c>
      <c r="P421" s="202" t="s">
        <v>4409</v>
      </c>
      <c r="Q421" s="202" t="s">
        <v>4409</v>
      </c>
      <c r="R421" s="202" t="s">
        <v>4409</v>
      </c>
      <c r="S421" s="202" t="s">
        <v>4409</v>
      </c>
      <c r="T421" s="202" t="s">
        <v>4409</v>
      </c>
      <c r="U421" s="202" t="s">
        <v>4409</v>
      </c>
      <c r="V421" s="202" t="s">
        <v>4409</v>
      </c>
      <c r="W421" s="202" t="s">
        <v>4409</v>
      </c>
      <c r="X421" s="202" t="s">
        <v>4409</v>
      </c>
      <c r="Y421" s="202"/>
      <c r="Z421" s="202"/>
      <c r="AA421" s="215" t="s">
        <v>6244</v>
      </c>
      <c r="AB421" s="215" t="s">
        <v>6245</v>
      </c>
      <c r="AC421" s="215" t="s">
        <v>6246</v>
      </c>
      <c r="AD421" s="233" t="s">
        <v>4421</v>
      </c>
      <c r="AE421" s="207" t="s">
        <v>4405</v>
      </c>
      <c r="AF421" s="218">
        <v>19667.93</v>
      </c>
      <c r="AG421" s="218">
        <f>AF421+30000</f>
        <v>49667.93</v>
      </c>
      <c r="AH421" s="207" t="s">
        <v>4422</v>
      </c>
      <c r="AI421" s="214" t="s">
        <v>4411</v>
      </c>
      <c r="AJ421" s="207">
        <v>150610340</v>
      </c>
      <c r="AK421" s="316">
        <v>46066</v>
      </c>
      <c r="AL421" s="316">
        <v>46066</v>
      </c>
      <c r="AM421" s="316">
        <v>46066</v>
      </c>
      <c r="AN421" s="316">
        <v>46066</v>
      </c>
      <c r="AO421" s="316">
        <v>46066</v>
      </c>
      <c r="AP421" s="316">
        <v>46066</v>
      </c>
      <c r="AQ421" s="314"/>
      <c r="AR421" s="315" t="str">
        <f t="shared" si="28"/>
        <v>FINALIZADO</v>
      </c>
      <c r="AS421" s="207" t="s">
        <v>4423</v>
      </c>
      <c r="AT421" s="207"/>
      <c r="AU421" s="220" t="s">
        <v>6247</v>
      </c>
      <c r="AV421" s="207" t="s">
        <v>4425</v>
      </c>
      <c r="AW421" s="207" t="s">
        <v>4425</v>
      </c>
      <c r="AX421" s="207" t="s">
        <v>4425</v>
      </c>
      <c r="AY421" s="207" t="s">
        <v>4425</v>
      </c>
      <c r="AZ421" s="202">
        <v>46127</v>
      </c>
      <c r="BA421" s="207" t="s">
        <v>4425</v>
      </c>
      <c r="BB421" s="207" t="s">
        <v>4425</v>
      </c>
      <c r="BC421" s="202">
        <v>46139</v>
      </c>
      <c r="BD421" s="227">
        <v>46139</v>
      </c>
      <c r="BE421" s="227" t="s">
        <v>4435</v>
      </c>
      <c r="BF421" s="228" t="s">
        <v>4436</v>
      </c>
      <c r="BG421" s="229" t="s">
        <v>4425</v>
      </c>
      <c r="BH421" s="321">
        <f t="shared" si="29"/>
        <v>73</v>
      </c>
      <c r="BI421" s="98" t="str">
        <f t="shared" si="30"/>
        <v>INDENIZAÇÃO</v>
      </c>
      <c r="BJ421" s="98" t="str">
        <f t="shared" si="31"/>
        <v>NÃO</v>
      </c>
      <c r="BK421" s="219" t="s">
        <v>4437</v>
      </c>
      <c r="BL421" s="219" t="s">
        <v>4437</v>
      </c>
      <c r="BM421" s="219" t="s">
        <v>4437</v>
      </c>
      <c r="BN421" s="257" t="s">
        <v>5732</v>
      </c>
      <c r="BO421" s="257"/>
      <c r="BP421" s="257"/>
      <c r="BQ421" s="257"/>
      <c r="BR421" s="258"/>
      <c r="BS421" s="161"/>
      <c r="BT421" s="161"/>
      <c r="BU421" s="161"/>
      <c r="BV421" s="161"/>
      <c r="BW421" s="161"/>
      <c r="BX421" s="161"/>
      <c r="BY421" s="161"/>
      <c r="BZ421" s="161"/>
      <c r="CA421" s="161"/>
      <c r="CB421" s="161"/>
      <c r="CC421" s="161"/>
      <c r="CD421" s="161"/>
      <c r="CE421" s="16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61"/>
      <c r="CV421" s="161"/>
      <c r="CW421" s="161"/>
      <c r="CX421" s="161"/>
      <c r="CY421" s="161"/>
      <c r="CZ421" s="161"/>
      <c r="DA421" s="161"/>
      <c r="DB421" s="161"/>
      <c r="DC421" s="161"/>
      <c r="DD421" s="161"/>
      <c r="DE421" s="161"/>
      <c r="DF421" s="161"/>
      <c r="DG421" s="161"/>
      <c r="DH421" s="161"/>
    </row>
    <row r="422" spans="1:112" s="240" customFormat="1" ht="27" customHeight="1">
      <c r="A422" s="207">
        <v>418</v>
      </c>
      <c r="B422" s="197" t="s">
        <v>4396</v>
      </c>
      <c r="C422" s="207" t="s">
        <v>4413</v>
      </c>
      <c r="D422" s="207">
        <v>1</v>
      </c>
      <c r="E422" s="250" t="s">
        <v>4398</v>
      </c>
      <c r="F422" s="214" t="s">
        <v>6243</v>
      </c>
      <c r="G422" s="207" t="s">
        <v>4400</v>
      </c>
      <c r="H422" s="207" t="s">
        <v>4401</v>
      </c>
      <c r="I422" s="160" t="s">
        <v>4402</v>
      </c>
      <c r="J422" s="215" t="s">
        <v>6248</v>
      </c>
      <c r="K422" s="215" t="s">
        <v>6249</v>
      </c>
      <c r="L422" s="215" t="s">
        <v>6250</v>
      </c>
      <c r="M422" s="207" t="s">
        <v>4405</v>
      </c>
      <c r="N422" s="207" t="s">
        <v>4442</v>
      </c>
      <c r="O422" s="202" t="s">
        <v>4409</v>
      </c>
      <c r="P422" s="202" t="s">
        <v>4409</v>
      </c>
      <c r="Q422" s="202" t="s">
        <v>4409</v>
      </c>
      <c r="R422" s="202" t="s">
        <v>4409</v>
      </c>
      <c r="S422" s="202" t="s">
        <v>4409</v>
      </c>
      <c r="T422" s="202" t="s">
        <v>4409</v>
      </c>
      <c r="U422" s="202" t="s">
        <v>4409</v>
      </c>
      <c r="V422" s="202" t="s">
        <v>4409</v>
      </c>
      <c r="W422" s="202" t="s">
        <v>4409</v>
      </c>
      <c r="X422" s="202" t="s">
        <v>4409</v>
      </c>
      <c r="Y422" s="202"/>
      <c r="Z422" s="202"/>
      <c r="AA422" s="215" t="s">
        <v>6248</v>
      </c>
      <c r="AB422" s="215" t="s">
        <v>6249</v>
      </c>
      <c r="AC422" s="215" t="s">
        <v>6250</v>
      </c>
      <c r="AD422" s="207" t="s">
        <v>4402</v>
      </c>
      <c r="AE422" s="207" t="s">
        <v>4405</v>
      </c>
      <c r="AF422" s="218">
        <v>77944.53</v>
      </c>
      <c r="AG422" s="218">
        <v>77944.53</v>
      </c>
      <c r="AH422" s="207" t="s">
        <v>4433</v>
      </c>
      <c r="AI422" s="214" t="s">
        <v>4411</v>
      </c>
      <c r="AJ422" s="207">
        <v>156883674</v>
      </c>
      <c r="AK422" s="316">
        <v>46206</v>
      </c>
      <c r="AL422" s="316">
        <v>46206</v>
      </c>
      <c r="AM422" s="316">
        <v>46206</v>
      </c>
      <c r="AN422" s="316">
        <v>46206</v>
      </c>
      <c r="AO422" s="316">
        <v>46206</v>
      </c>
      <c r="AP422" s="316">
        <v>46206</v>
      </c>
      <c r="AQ422" s="314"/>
      <c r="AR422" s="315" t="str">
        <f t="shared" si="28"/>
        <v>FINALIZADO</v>
      </c>
      <c r="AS422" s="207" t="s">
        <v>4423</v>
      </c>
      <c r="AT422" s="219"/>
      <c r="AU422" s="220" t="s">
        <v>6251</v>
      </c>
      <c r="AV422" s="219" t="s">
        <v>4425</v>
      </c>
      <c r="AW422" s="219" t="s">
        <v>4425</v>
      </c>
      <c r="AX422" s="257" t="s">
        <v>4828</v>
      </c>
      <c r="AY422" s="257"/>
      <c r="AZ422" s="257"/>
      <c r="BA422" s="257"/>
      <c r="BB422" s="257"/>
      <c r="BC422" s="257"/>
      <c r="BD422" s="226"/>
      <c r="BE422" s="226"/>
      <c r="BF422" s="228" t="s">
        <v>4400</v>
      </c>
      <c r="BG422" s="219"/>
      <c r="BH422" s="321" t="str">
        <f t="shared" si="29"/>
        <v/>
      </c>
      <c r="BI422" s="98" t="str">
        <f t="shared" si="30"/>
        <v>INDENIZAÇÃO</v>
      </c>
      <c r="BJ422" s="98" t="str">
        <f t="shared" si="31"/>
        <v>NÃO</v>
      </c>
      <c r="BK422" s="219"/>
      <c r="BL422" s="221"/>
      <c r="BM422" s="221"/>
      <c r="BN422" s="219"/>
      <c r="BO422" s="219"/>
      <c r="BP422" s="219"/>
      <c r="BQ422" s="219"/>
      <c r="BR422" s="222"/>
    </row>
    <row r="423" spans="1:112" s="240" customFormat="1" ht="27" hidden="1" customHeight="1">
      <c r="A423" s="207">
        <v>419</v>
      </c>
      <c r="B423" s="197" t="s">
        <v>4396</v>
      </c>
      <c r="C423" s="207" t="s">
        <v>4427</v>
      </c>
      <c r="D423" s="207">
        <v>1</v>
      </c>
      <c r="E423" s="207" t="s">
        <v>4398</v>
      </c>
      <c r="F423" s="214" t="s">
        <v>6252</v>
      </c>
      <c r="G423" s="207" t="s">
        <v>4400</v>
      </c>
      <c r="H423" s="207" t="s">
        <v>4401</v>
      </c>
      <c r="I423" s="217" t="s">
        <v>4402</v>
      </c>
      <c r="J423" s="215" t="s">
        <v>6253</v>
      </c>
      <c r="K423" s="215" t="s">
        <v>6254</v>
      </c>
      <c r="L423" s="215" t="s">
        <v>6255</v>
      </c>
      <c r="M423" s="207" t="s">
        <v>4405</v>
      </c>
      <c r="N423" s="207" t="s">
        <v>4442</v>
      </c>
      <c r="O423" s="202" t="s">
        <v>4409</v>
      </c>
      <c r="P423" s="202" t="s">
        <v>4409</v>
      </c>
      <c r="Q423" s="202" t="s">
        <v>4409</v>
      </c>
      <c r="R423" s="202" t="s">
        <v>4409</v>
      </c>
      <c r="S423" s="202" t="s">
        <v>4409</v>
      </c>
      <c r="T423" s="202" t="s">
        <v>4409</v>
      </c>
      <c r="U423" s="202" t="s">
        <v>4409</v>
      </c>
      <c r="V423" s="202" t="s">
        <v>4409</v>
      </c>
      <c r="W423" s="202" t="s">
        <v>4409</v>
      </c>
      <c r="X423" s="202" t="s">
        <v>4409</v>
      </c>
      <c r="Y423" s="202"/>
      <c r="Z423" s="202"/>
      <c r="AA423" s="215" t="s">
        <v>6253</v>
      </c>
      <c r="AB423" s="215" t="s">
        <v>6254</v>
      </c>
      <c r="AC423" s="215" t="s">
        <v>6255</v>
      </c>
      <c r="AD423" s="207" t="s">
        <v>4402</v>
      </c>
      <c r="AE423" s="207" t="s">
        <v>4405</v>
      </c>
      <c r="AF423" s="218">
        <v>11043.71</v>
      </c>
      <c r="AG423" s="218">
        <f>AF423+30000</f>
        <v>41043.71</v>
      </c>
      <c r="AH423" s="207" t="s">
        <v>4422</v>
      </c>
      <c r="AI423" s="214" t="s">
        <v>4411</v>
      </c>
      <c r="AJ423" s="207">
        <v>150959451</v>
      </c>
      <c r="AK423" s="316">
        <v>46048</v>
      </c>
      <c r="AL423" s="316">
        <v>46048</v>
      </c>
      <c r="AM423" s="316">
        <v>46048</v>
      </c>
      <c r="AN423" s="316">
        <v>46048</v>
      </c>
      <c r="AO423" s="316">
        <v>46048</v>
      </c>
      <c r="AP423" s="316">
        <v>46048</v>
      </c>
      <c r="AQ423" s="314"/>
      <c r="AR423" s="315" t="str">
        <f t="shared" si="28"/>
        <v>FINALIZADO</v>
      </c>
      <c r="AS423" s="207" t="s">
        <v>4423</v>
      </c>
      <c r="AT423" s="207"/>
      <c r="AU423" s="220" t="s">
        <v>6256</v>
      </c>
      <c r="AV423" s="207" t="s">
        <v>4425</v>
      </c>
      <c r="AW423" s="207" t="s">
        <v>4425</v>
      </c>
      <c r="AX423" s="207" t="s">
        <v>4425</v>
      </c>
      <c r="AY423" s="207" t="s">
        <v>4425</v>
      </c>
      <c r="AZ423" s="202">
        <v>46127</v>
      </c>
      <c r="BA423" s="207" t="s">
        <v>4425</v>
      </c>
      <c r="BB423" s="207" t="s">
        <v>4425</v>
      </c>
      <c r="BC423" s="202">
        <v>46139</v>
      </c>
      <c r="BD423" s="227">
        <v>46139</v>
      </c>
      <c r="BE423" s="227" t="s">
        <v>4435</v>
      </c>
      <c r="BF423" s="228" t="s">
        <v>4436</v>
      </c>
      <c r="BG423" s="229" t="s">
        <v>4425</v>
      </c>
      <c r="BH423" s="321">
        <f t="shared" si="29"/>
        <v>91</v>
      </c>
      <c r="BI423" s="98" t="str">
        <f t="shared" si="30"/>
        <v>INDENIZAÇÃO</v>
      </c>
      <c r="BJ423" s="98" t="str">
        <f t="shared" si="31"/>
        <v>NÃO</v>
      </c>
      <c r="BK423" s="219" t="s">
        <v>4437</v>
      </c>
      <c r="BL423" s="219" t="s">
        <v>4437</v>
      </c>
      <c r="BM423" s="219" t="s">
        <v>4437</v>
      </c>
      <c r="BN423" s="257" t="s">
        <v>5732</v>
      </c>
      <c r="BO423" s="257"/>
      <c r="BP423" s="257"/>
      <c r="BQ423" s="257"/>
      <c r="BR423" s="258"/>
    </row>
    <row r="424" spans="1:112" s="240" customFormat="1" ht="27" customHeight="1">
      <c r="A424" s="197">
        <v>420</v>
      </c>
      <c r="B424" s="197" t="s">
        <v>4396</v>
      </c>
      <c r="C424" s="207" t="s">
        <v>4413</v>
      </c>
      <c r="D424" s="207">
        <v>1</v>
      </c>
      <c r="E424" s="207" t="s">
        <v>4398</v>
      </c>
      <c r="F424" s="214" t="s">
        <v>6252</v>
      </c>
      <c r="G424" s="207" t="s">
        <v>4400</v>
      </c>
      <c r="H424" s="207" t="s">
        <v>4401</v>
      </c>
      <c r="I424" s="207" t="s">
        <v>4402</v>
      </c>
      <c r="J424" s="215" t="s">
        <v>6257</v>
      </c>
      <c r="K424" s="215" t="s">
        <v>6258</v>
      </c>
      <c r="L424" s="215" t="s">
        <v>6259</v>
      </c>
      <c r="M424" s="207" t="s">
        <v>4405</v>
      </c>
      <c r="N424" s="207" t="s">
        <v>4406</v>
      </c>
      <c r="O424" s="202">
        <v>46084</v>
      </c>
      <c r="P424" s="202" t="s">
        <v>4407</v>
      </c>
      <c r="Q424" s="202">
        <v>46083</v>
      </c>
      <c r="R424" s="203">
        <v>46084</v>
      </c>
      <c r="S424" s="203">
        <v>46087</v>
      </c>
      <c r="T424" s="203">
        <v>46090</v>
      </c>
      <c r="U424" s="202" t="s">
        <v>4408</v>
      </c>
      <c r="V424" s="202" t="s">
        <v>4408</v>
      </c>
      <c r="W424" s="202">
        <v>46101</v>
      </c>
      <c r="X424" s="202">
        <v>46104</v>
      </c>
      <c r="Y424" s="202"/>
      <c r="Z424" s="202"/>
      <c r="AA424" s="215" t="s">
        <v>6257</v>
      </c>
      <c r="AB424" s="215" t="s">
        <v>6258</v>
      </c>
      <c r="AC424" s="215" t="s">
        <v>6259</v>
      </c>
      <c r="AD424" s="217" t="s">
        <v>4402</v>
      </c>
      <c r="AE424" s="207" t="s">
        <v>4405</v>
      </c>
      <c r="AF424" s="218" t="s">
        <v>4409</v>
      </c>
      <c r="AG424" s="218" t="s">
        <v>4409</v>
      </c>
      <c r="AH424" s="207" t="s">
        <v>4410</v>
      </c>
      <c r="AI424" s="214" t="s">
        <v>4411</v>
      </c>
      <c r="AJ424" s="207"/>
      <c r="AK424" s="316">
        <v>46080</v>
      </c>
      <c r="AL424" s="316">
        <v>46080</v>
      </c>
      <c r="AM424" s="316">
        <v>46080</v>
      </c>
      <c r="AN424" s="316">
        <v>46080</v>
      </c>
      <c r="AO424" s="316">
        <v>46080</v>
      </c>
      <c r="AP424" s="316">
        <v>46080</v>
      </c>
      <c r="AQ424" s="314"/>
      <c r="AR424" s="315" t="str">
        <f t="shared" si="28"/>
        <v>FINALIZADO</v>
      </c>
      <c r="AS424" s="207"/>
      <c r="AT424" s="219"/>
      <c r="AU424" s="220"/>
      <c r="AV424" s="219"/>
      <c r="AW424" s="219"/>
      <c r="AX424" s="219"/>
      <c r="AY424" s="219"/>
      <c r="AZ424" s="219"/>
      <c r="BA424" s="219"/>
      <c r="BB424" s="219"/>
      <c r="BC424" s="219"/>
      <c r="BD424" s="208"/>
      <c r="BE424" s="203"/>
      <c r="BF424" s="219"/>
      <c r="BG424" s="219"/>
      <c r="BH424" s="321" t="str">
        <f t="shared" si="29"/>
        <v/>
      </c>
      <c r="BI424" s="98" t="str">
        <f t="shared" si="30"/>
        <v>AA</v>
      </c>
      <c r="BJ424" s="98" t="str">
        <f t="shared" si="31"/>
        <v>NÃO</v>
      </c>
      <c r="BK424" s="219"/>
      <c r="BL424" s="221"/>
      <c r="BM424" s="221"/>
      <c r="BN424" s="219"/>
      <c r="BO424" s="219"/>
      <c r="BP424" s="219"/>
      <c r="BQ424" s="219"/>
      <c r="BR424" s="222"/>
      <c r="BS424" s="223"/>
      <c r="BT424" s="223"/>
    </row>
    <row r="425" spans="1:112" s="240" customFormat="1" ht="27" hidden="1" customHeight="1">
      <c r="A425" s="197">
        <v>421</v>
      </c>
      <c r="B425" s="197" t="s">
        <v>4396</v>
      </c>
      <c r="C425" s="207" t="s">
        <v>4427</v>
      </c>
      <c r="D425" s="207">
        <v>1</v>
      </c>
      <c r="E425" s="207" t="s">
        <v>4398</v>
      </c>
      <c r="F425" s="214" t="s">
        <v>6260</v>
      </c>
      <c r="G425" s="207" t="s">
        <v>4400</v>
      </c>
      <c r="H425" s="207" t="s">
        <v>4401</v>
      </c>
      <c r="I425" s="217" t="s">
        <v>4414</v>
      </c>
      <c r="J425" s="215" t="s">
        <v>6261</v>
      </c>
      <c r="K425" s="215" t="s">
        <v>6262</v>
      </c>
      <c r="L425" s="215" t="s">
        <v>6263</v>
      </c>
      <c r="M425" s="207" t="s">
        <v>4405</v>
      </c>
      <c r="N425" s="207" t="s">
        <v>4406</v>
      </c>
      <c r="O425" s="202">
        <v>46002</v>
      </c>
      <c r="P425" s="202" t="s">
        <v>4407</v>
      </c>
      <c r="Q425" s="202">
        <v>45999</v>
      </c>
      <c r="R425" s="202">
        <v>46006</v>
      </c>
      <c r="S425" s="202">
        <v>46006</v>
      </c>
      <c r="T425" s="202">
        <v>46009</v>
      </c>
      <c r="U425" s="202" t="s">
        <v>4408</v>
      </c>
      <c r="V425" s="202" t="s">
        <v>4408</v>
      </c>
      <c r="W425" s="202">
        <v>46014</v>
      </c>
      <c r="X425" s="202">
        <v>46017</v>
      </c>
      <c r="Y425" s="202"/>
      <c r="Z425" s="207"/>
      <c r="AA425" s="215" t="s">
        <v>6264</v>
      </c>
      <c r="AB425" s="215" t="s">
        <v>6265</v>
      </c>
      <c r="AC425" s="215" t="s">
        <v>6266</v>
      </c>
      <c r="AD425" s="217" t="s">
        <v>4421</v>
      </c>
      <c r="AE425" s="207" t="s">
        <v>4405</v>
      </c>
      <c r="AF425" s="218">
        <v>24255.09</v>
      </c>
      <c r="AG425" s="218">
        <v>24255.09</v>
      </c>
      <c r="AH425" s="207" t="s">
        <v>4422</v>
      </c>
      <c r="AI425" s="214" t="s">
        <v>4411</v>
      </c>
      <c r="AJ425" s="207">
        <v>150610433</v>
      </c>
      <c r="AK425" s="316">
        <v>46111</v>
      </c>
      <c r="AL425" s="316">
        <v>46111</v>
      </c>
      <c r="AM425" s="316">
        <v>46111</v>
      </c>
      <c r="AN425" s="316">
        <v>46111</v>
      </c>
      <c r="AO425" s="316">
        <v>46111</v>
      </c>
      <c r="AP425" s="316">
        <v>46111</v>
      </c>
      <c r="AQ425" s="314"/>
      <c r="AR425" s="315" t="str">
        <f t="shared" si="28"/>
        <v>FINALIZADO</v>
      </c>
      <c r="AS425" s="207" t="s">
        <v>4423</v>
      </c>
      <c r="AT425" s="207"/>
      <c r="AU425" s="220" t="s">
        <v>6267</v>
      </c>
      <c r="AV425" s="250" t="s">
        <v>4425</v>
      </c>
      <c r="AW425" s="250" t="s">
        <v>4425</v>
      </c>
      <c r="AX425" s="207" t="s">
        <v>4425</v>
      </c>
      <c r="AY425" s="207" t="s">
        <v>4425</v>
      </c>
      <c r="AZ425" s="202">
        <v>46150</v>
      </c>
      <c r="BA425" s="207" t="s">
        <v>4425</v>
      </c>
      <c r="BB425" s="207" t="s">
        <v>4425</v>
      </c>
      <c r="BC425" s="202">
        <v>46161</v>
      </c>
      <c r="BD425" s="227">
        <v>46161</v>
      </c>
      <c r="BE425" s="228" t="s">
        <v>4435</v>
      </c>
      <c r="BF425" s="228" t="s">
        <v>4436</v>
      </c>
      <c r="BG425" s="219" t="s">
        <v>4425</v>
      </c>
      <c r="BH425" s="321">
        <f t="shared" si="29"/>
        <v>50</v>
      </c>
      <c r="BI425" s="98" t="str">
        <f t="shared" si="30"/>
        <v>INDENIZAÇÃO</v>
      </c>
      <c r="BJ425" s="98" t="str">
        <f t="shared" si="31"/>
        <v>NÃO</v>
      </c>
      <c r="BK425" s="219" t="s">
        <v>4437</v>
      </c>
      <c r="BL425" s="219" t="s">
        <v>4437</v>
      </c>
      <c r="BM425" s="219" t="s">
        <v>4437</v>
      </c>
      <c r="BN425" s="257" t="s">
        <v>5732</v>
      </c>
      <c r="BO425" s="257"/>
      <c r="BP425" s="257"/>
      <c r="BQ425" s="257"/>
      <c r="BR425" s="258"/>
      <c r="BS425" s="223"/>
      <c r="BT425" s="223"/>
    </row>
    <row r="426" spans="1:112" s="240" customFormat="1" ht="27" hidden="1" customHeight="1">
      <c r="A426" s="207">
        <v>422</v>
      </c>
      <c r="B426" s="197" t="s">
        <v>4396</v>
      </c>
      <c r="C426" s="207" t="s">
        <v>4427</v>
      </c>
      <c r="D426" s="207">
        <v>1</v>
      </c>
      <c r="E426" s="207" t="s">
        <v>4398</v>
      </c>
      <c r="F426" s="214" t="s">
        <v>6268</v>
      </c>
      <c r="G426" s="207" t="s">
        <v>4400</v>
      </c>
      <c r="H426" s="207" t="s">
        <v>4401</v>
      </c>
      <c r="I426" s="217" t="s">
        <v>4402</v>
      </c>
      <c r="J426" s="215" t="s">
        <v>6269</v>
      </c>
      <c r="K426" s="215" t="s">
        <v>4398</v>
      </c>
      <c r="L426" s="215" t="s">
        <v>6270</v>
      </c>
      <c r="M426" s="207" t="s">
        <v>4405</v>
      </c>
      <c r="N426" s="207" t="s">
        <v>4442</v>
      </c>
      <c r="O426" s="202" t="s">
        <v>4409</v>
      </c>
      <c r="P426" s="202" t="s">
        <v>4409</v>
      </c>
      <c r="Q426" s="202" t="s">
        <v>4409</v>
      </c>
      <c r="R426" s="202" t="s">
        <v>4409</v>
      </c>
      <c r="S426" s="202" t="s">
        <v>4409</v>
      </c>
      <c r="T426" s="202" t="s">
        <v>4409</v>
      </c>
      <c r="U426" s="202" t="s">
        <v>4409</v>
      </c>
      <c r="V426" s="202" t="s">
        <v>4409</v>
      </c>
      <c r="W426" s="202" t="s">
        <v>4409</v>
      </c>
      <c r="X426" s="202" t="s">
        <v>4409</v>
      </c>
      <c r="Y426" s="202"/>
      <c r="Z426" s="202"/>
      <c r="AA426" s="215" t="s">
        <v>6269</v>
      </c>
      <c r="AB426" s="215" t="s">
        <v>4398</v>
      </c>
      <c r="AC426" s="215" t="s">
        <v>6270</v>
      </c>
      <c r="AD426" s="207" t="s">
        <v>4402</v>
      </c>
      <c r="AE426" s="207" t="s">
        <v>4405</v>
      </c>
      <c r="AF426" s="218">
        <v>24160.23</v>
      </c>
      <c r="AG426" s="218">
        <f>AF426+30000</f>
        <v>54160.229999999996</v>
      </c>
      <c r="AH426" s="207" t="s">
        <v>4433</v>
      </c>
      <c r="AI426" s="214" t="s">
        <v>4411</v>
      </c>
      <c r="AJ426" s="207">
        <v>147058442</v>
      </c>
      <c r="AK426" s="316">
        <v>46001</v>
      </c>
      <c r="AL426" s="316">
        <v>46001</v>
      </c>
      <c r="AM426" s="316">
        <v>46001</v>
      </c>
      <c r="AN426" s="316">
        <v>46001</v>
      </c>
      <c r="AO426" s="316">
        <v>46001</v>
      </c>
      <c r="AP426" s="316">
        <v>46001</v>
      </c>
      <c r="AQ426" s="314"/>
      <c r="AR426" s="315" t="str">
        <f t="shared" si="28"/>
        <v>FINALIZADO</v>
      </c>
      <c r="AS426" s="207" t="s">
        <v>4423</v>
      </c>
      <c r="AT426" s="207"/>
      <c r="AU426" s="220" t="s">
        <v>6271</v>
      </c>
      <c r="AV426" s="207" t="s">
        <v>4425</v>
      </c>
      <c r="AW426" s="207" t="s">
        <v>4425</v>
      </c>
      <c r="AX426" s="207" t="s">
        <v>4425</v>
      </c>
      <c r="AY426" s="207" t="s">
        <v>4425</v>
      </c>
      <c r="AZ426" s="202">
        <v>46020</v>
      </c>
      <c r="BA426" s="219" t="s">
        <v>4425</v>
      </c>
      <c r="BB426" s="207" t="s">
        <v>4425</v>
      </c>
      <c r="BC426" s="208">
        <v>46024</v>
      </c>
      <c r="BD426" s="227">
        <v>46024</v>
      </c>
      <c r="BE426" s="226" t="s">
        <v>4435</v>
      </c>
      <c r="BF426" s="228" t="s">
        <v>4436</v>
      </c>
      <c r="BG426" s="229" t="s">
        <v>4425</v>
      </c>
      <c r="BH426" s="321">
        <f t="shared" si="29"/>
        <v>23</v>
      </c>
      <c r="BI426" s="98" t="str">
        <f t="shared" si="30"/>
        <v>INDENIZAÇÃO</v>
      </c>
      <c r="BJ426" s="98" t="str">
        <f t="shared" si="31"/>
        <v>NÃO</v>
      </c>
      <c r="BK426" s="230" t="s">
        <v>4437</v>
      </c>
      <c r="BL426" s="230" t="s">
        <v>4437</v>
      </c>
      <c r="BM426" s="230" t="s">
        <v>4437</v>
      </c>
      <c r="BN426" s="265" t="s">
        <v>5732</v>
      </c>
      <c r="BO426" s="265"/>
      <c r="BP426" s="265"/>
      <c r="BQ426" s="265"/>
      <c r="BR426" s="231"/>
    </row>
    <row r="427" spans="1:112" s="240" customFormat="1" ht="27" hidden="1" customHeight="1">
      <c r="A427" s="207">
        <v>423</v>
      </c>
      <c r="B427" s="197" t="s">
        <v>4396</v>
      </c>
      <c r="C427" s="207" t="s">
        <v>4427</v>
      </c>
      <c r="D427" s="207">
        <v>1</v>
      </c>
      <c r="E427" s="207" t="s">
        <v>4398</v>
      </c>
      <c r="F427" s="214" t="s">
        <v>6272</v>
      </c>
      <c r="G427" s="207" t="s">
        <v>4400</v>
      </c>
      <c r="H427" s="207" t="s">
        <v>4401</v>
      </c>
      <c r="I427" s="217" t="s">
        <v>4402</v>
      </c>
      <c r="J427" s="215" t="s">
        <v>6273</v>
      </c>
      <c r="K427" s="215" t="s">
        <v>6274</v>
      </c>
      <c r="L427" s="215" t="s">
        <v>6275</v>
      </c>
      <c r="M427" s="207" t="s">
        <v>4405</v>
      </c>
      <c r="N427" s="207" t="s">
        <v>4442</v>
      </c>
      <c r="O427" s="202" t="s">
        <v>4409</v>
      </c>
      <c r="P427" s="202" t="s">
        <v>4409</v>
      </c>
      <c r="Q427" s="202" t="s">
        <v>4409</v>
      </c>
      <c r="R427" s="202" t="s">
        <v>4409</v>
      </c>
      <c r="S427" s="202" t="s">
        <v>4409</v>
      </c>
      <c r="T427" s="202" t="s">
        <v>4409</v>
      </c>
      <c r="U427" s="202" t="s">
        <v>4409</v>
      </c>
      <c r="V427" s="202" t="s">
        <v>4409</v>
      </c>
      <c r="W427" s="202" t="s">
        <v>4409</v>
      </c>
      <c r="X427" s="202" t="s">
        <v>4409</v>
      </c>
      <c r="Y427" s="202"/>
      <c r="Z427" s="202"/>
      <c r="AA427" s="215" t="s">
        <v>6273</v>
      </c>
      <c r="AB427" s="215" t="s">
        <v>6274</v>
      </c>
      <c r="AC427" s="215" t="s">
        <v>6275</v>
      </c>
      <c r="AD427" s="207" t="s">
        <v>4402</v>
      </c>
      <c r="AE427" s="207" t="s">
        <v>4405</v>
      </c>
      <c r="AF427" s="218">
        <v>22050.51</v>
      </c>
      <c r="AG427" s="218">
        <f>AF427+30000</f>
        <v>52050.509999999995</v>
      </c>
      <c r="AH427" s="207" t="s">
        <v>4433</v>
      </c>
      <c r="AI427" s="214" t="s">
        <v>4411</v>
      </c>
      <c r="AJ427" s="207">
        <v>147058948</v>
      </c>
      <c r="AK427" s="316">
        <v>46001</v>
      </c>
      <c r="AL427" s="316">
        <v>46001</v>
      </c>
      <c r="AM427" s="316">
        <v>46001</v>
      </c>
      <c r="AN427" s="316">
        <v>46001</v>
      </c>
      <c r="AO427" s="316">
        <v>46001</v>
      </c>
      <c r="AP427" s="316">
        <v>46001</v>
      </c>
      <c r="AQ427" s="314"/>
      <c r="AR427" s="315" t="str">
        <f t="shared" si="28"/>
        <v>FINALIZADO</v>
      </c>
      <c r="AS427" s="207" t="s">
        <v>4423</v>
      </c>
      <c r="AT427" s="219"/>
      <c r="AU427" s="220" t="s">
        <v>6276</v>
      </c>
      <c r="AV427" s="207" t="s">
        <v>4425</v>
      </c>
      <c r="AW427" s="207" t="s">
        <v>4425</v>
      </c>
      <c r="AX427" s="207" t="s">
        <v>4425</v>
      </c>
      <c r="AY427" s="207" t="s">
        <v>4425</v>
      </c>
      <c r="AZ427" s="202">
        <v>46009</v>
      </c>
      <c r="BA427" s="219" t="s">
        <v>4425</v>
      </c>
      <c r="BB427" s="207" t="s">
        <v>4425</v>
      </c>
      <c r="BC427" s="239">
        <v>46021</v>
      </c>
      <c r="BD427" s="226">
        <v>46021</v>
      </c>
      <c r="BE427" s="227" t="s">
        <v>4435</v>
      </c>
      <c r="BF427" s="228" t="s">
        <v>4436</v>
      </c>
      <c r="BG427" s="229" t="s">
        <v>4425</v>
      </c>
      <c r="BH427" s="321">
        <f t="shared" si="29"/>
        <v>20</v>
      </c>
      <c r="BI427" s="98" t="str">
        <f t="shared" si="30"/>
        <v>INDENIZAÇÃO</v>
      </c>
      <c r="BJ427" s="98" t="str">
        <f t="shared" si="31"/>
        <v>NÃO</v>
      </c>
      <c r="BK427" s="230" t="s">
        <v>4437</v>
      </c>
      <c r="BL427" s="230" t="s">
        <v>4437</v>
      </c>
      <c r="BM427" s="230" t="s">
        <v>4437</v>
      </c>
      <c r="BN427" s="207" t="s">
        <v>4425</v>
      </c>
      <c r="BO427" s="207" t="s">
        <v>4425</v>
      </c>
      <c r="BP427" s="202">
        <v>46205</v>
      </c>
      <c r="BQ427" s="207" t="s">
        <v>4425</v>
      </c>
      <c r="BR427" s="232" t="s">
        <v>4435</v>
      </c>
    </row>
    <row r="428" spans="1:112" s="240" customFormat="1" ht="27" hidden="1" customHeight="1">
      <c r="A428" s="207">
        <v>424</v>
      </c>
      <c r="B428" s="197" t="s">
        <v>4396</v>
      </c>
      <c r="C428" s="207" t="s">
        <v>4427</v>
      </c>
      <c r="D428" s="207">
        <v>1</v>
      </c>
      <c r="E428" s="207" t="s">
        <v>4398</v>
      </c>
      <c r="F428" s="214" t="s">
        <v>6277</v>
      </c>
      <c r="G428" s="207" t="s">
        <v>4400</v>
      </c>
      <c r="H428" s="207" t="s">
        <v>4401</v>
      </c>
      <c r="I428" s="217" t="s">
        <v>4414</v>
      </c>
      <c r="J428" s="215" t="s">
        <v>6278</v>
      </c>
      <c r="K428" s="215" t="s">
        <v>6279</v>
      </c>
      <c r="L428" s="215" t="s">
        <v>6280</v>
      </c>
      <c r="M428" s="207" t="s">
        <v>4405</v>
      </c>
      <c r="N428" s="207" t="s">
        <v>4406</v>
      </c>
      <c r="O428" s="202">
        <v>45986</v>
      </c>
      <c r="P428" s="203" t="s">
        <v>4407</v>
      </c>
      <c r="Q428" s="203">
        <v>45985</v>
      </c>
      <c r="R428" s="203">
        <v>45986</v>
      </c>
      <c r="S428" s="203">
        <v>45987</v>
      </c>
      <c r="T428" s="203">
        <v>45992</v>
      </c>
      <c r="U428" s="202" t="s">
        <v>4408</v>
      </c>
      <c r="V428" s="202" t="s">
        <v>4408</v>
      </c>
      <c r="W428" s="202">
        <v>45999</v>
      </c>
      <c r="X428" s="202">
        <v>46000</v>
      </c>
      <c r="Y428" s="202"/>
      <c r="Z428" s="207"/>
      <c r="AA428" s="215" t="s">
        <v>6281</v>
      </c>
      <c r="AB428" s="215" t="s">
        <v>6279</v>
      </c>
      <c r="AC428" s="215" t="s">
        <v>6282</v>
      </c>
      <c r="AD428" s="217" t="s">
        <v>4421</v>
      </c>
      <c r="AE428" s="207" t="s">
        <v>4405</v>
      </c>
      <c r="AF428" s="218">
        <v>42929.26</v>
      </c>
      <c r="AG428" s="218">
        <v>42929.26</v>
      </c>
      <c r="AH428" s="207" t="s">
        <v>6283</v>
      </c>
      <c r="AI428" s="214" t="s">
        <v>4411</v>
      </c>
      <c r="AJ428" s="207">
        <v>147059051</v>
      </c>
      <c r="AK428" s="316">
        <v>45996</v>
      </c>
      <c r="AL428" s="316">
        <v>45996</v>
      </c>
      <c r="AM428" s="316">
        <v>45996</v>
      </c>
      <c r="AN428" s="316">
        <v>45996</v>
      </c>
      <c r="AO428" s="316">
        <v>45996</v>
      </c>
      <c r="AP428" s="316">
        <v>45996</v>
      </c>
      <c r="AQ428" s="314"/>
      <c r="AR428" s="315" t="str">
        <f t="shared" si="28"/>
        <v>FINALIZADO</v>
      </c>
      <c r="AS428" s="207"/>
      <c r="AT428" s="207"/>
      <c r="AU428" s="220"/>
      <c r="AV428" s="207"/>
      <c r="AW428" s="207"/>
      <c r="AX428" s="207"/>
      <c r="AY428" s="207"/>
      <c r="AZ428" s="202"/>
      <c r="BA428" s="219"/>
      <c r="BB428" s="207"/>
      <c r="BC428" s="202"/>
      <c r="BD428" s="208"/>
      <c r="BE428" s="202"/>
      <c r="BF428" s="207"/>
      <c r="BG428" s="229"/>
      <c r="BH428" s="321" t="str">
        <f t="shared" si="29"/>
        <v/>
      </c>
      <c r="BI428" s="98" t="str">
        <f t="shared" si="30"/>
        <v>INDENIZAÇÃO</v>
      </c>
      <c r="BJ428" s="98" t="str">
        <f t="shared" si="31"/>
        <v>NÃO</v>
      </c>
      <c r="BK428" s="230"/>
      <c r="BL428" s="230"/>
      <c r="BM428" s="230"/>
      <c r="BN428" s="230"/>
      <c r="BO428" s="230"/>
      <c r="BP428" s="230"/>
      <c r="BQ428" s="230"/>
      <c r="BR428" s="234"/>
    </row>
    <row r="429" spans="1:112" s="240" customFormat="1" ht="27" hidden="1" customHeight="1">
      <c r="A429" s="197">
        <v>425</v>
      </c>
      <c r="B429" s="197" t="s">
        <v>4396</v>
      </c>
      <c r="C429" s="207" t="s">
        <v>4427</v>
      </c>
      <c r="D429" s="207">
        <v>1</v>
      </c>
      <c r="E429" s="207" t="s">
        <v>4398</v>
      </c>
      <c r="F429" s="214" t="s">
        <v>6284</v>
      </c>
      <c r="G429" s="207" t="s">
        <v>4400</v>
      </c>
      <c r="H429" s="207" t="s">
        <v>4401</v>
      </c>
      <c r="I429" s="217" t="s">
        <v>4402</v>
      </c>
      <c r="J429" s="215" t="s">
        <v>6285</v>
      </c>
      <c r="K429" s="215" t="s">
        <v>6286</v>
      </c>
      <c r="L429" s="215" t="s">
        <v>6287</v>
      </c>
      <c r="M429" s="207" t="s">
        <v>4405</v>
      </c>
      <c r="N429" s="207" t="s">
        <v>4406</v>
      </c>
      <c r="O429" s="202">
        <v>45986</v>
      </c>
      <c r="P429" s="203" t="s">
        <v>4407</v>
      </c>
      <c r="Q429" s="203">
        <v>45985</v>
      </c>
      <c r="R429" s="203">
        <v>45986</v>
      </c>
      <c r="S429" s="203">
        <v>45987</v>
      </c>
      <c r="T429" s="203">
        <v>45992</v>
      </c>
      <c r="U429" s="202" t="s">
        <v>4408</v>
      </c>
      <c r="V429" s="202" t="s">
        <v>4408</v>
      </c>
      <c r="W429" s="202">
        <v>45999</v>
      </c>
      <c r="X429" s="202">
        <v>46001</v>
      </c>
      <c r="Y429" s="202"/>
      <c r="Z429" s="207"/>
      <c r="AA429" s="215" t="s">
        <v>6285</v>
      </c>
      <c r="AB429" s="215" t="s">
        <v>6286</v>
      </c>
      <c r="AC429" s="215" t="s">
        <v>6287</v>
      </c>
      <c r="AD429" s="217" t="s">
        <v>4402</v>
      </c>
      <c r="AE429" s="207" t="s">
        <v>4405</v>
      </c>
      <c r="AF429" s="218" t="s">
        <v>4409</v>
      </c>
      <c r="AG429" s="218" t="s">
        <v>4409</v>
      </c>
      <c r="AH429" s="241" t="s">
        <v>4410</v>
      </c>
      <c r="AI429" s="214" t="s">
        <v>4411</v>
      </c>
      <c r="AJ429" s="207"/>
      <c r="AK429" s="316">
        <v>45980</v>
      </c>
      <c r="AL429" s="316">
        <v>45980</v>
      </c>
      <c r="AM429" s="316">
        <v>45980</v>
      </c>
      <c r="AN429" s="316">
        <v>45980</v>
      </c>
      <c r="AO429" s="316">
        <v>45980</v>
      </c>
      <c r="AP429" s="316">
        <v>45980</v>
      </c>
      <c r="AQ429" s="314"/>
      <c r="AR429" s="315" t="str">
        <f t="shared" si="28"/>
        <v>FINALIZADO</v>
      </c>
      <c r="AS429" s="207"/>
      <c r="AT429" s="207"/>
      <c r="AU429" s="220"/>
      <c r="AV429" s="207"/>
      <c r="AW429" s="207"/>
      <c r="AX429" s="207" t="s">
        <v>4409</v>
      </c>
      <c r="AY429" s="207" t="s">
        <v>4409</v>
      </c>
      <c r="AZ429" s="207" t="s">
        <v>4409</v>
      </c>
      <c r="BA429" s="207" t="s">
        <v>4409</v>
      </c>
      <c r="BB429" s="207"/>
      <c r="BC429" s="202"/>
      <c r="BD429" s="208"/>
      <c r="BE429" s="202"/>
      <c r="BF429" s="207"/>
      <c r="BG429" s="229"/>
      <c r="BH429" s="321" t="str">
        <f t="shared" si="29"/>
        <v/>
      </c>
      <c r="BI429" s="98" t="str">
        <f t="shared" si="30"/>
        <v>AA</v>
      </c>
      <c r="BJ429" s="98" t="str">
        <f t="shared" si="31"/>
        <v>NÃO</v>
      </c>
      <c r="BK429" s="230"/>
      <c r="BL429" s="230"/>
      <c r="BM429" s="230"/>
      <c r="BN429" s="230"/>
      <c r="BO429" s="230"/>
      <c r="BP429" s="230"/>
      <c r="BQ429" s="230"/>
      <c r="BR429" s="234"/>
    </row>
    <row r="430" spans="1:112" s="240" customFormat="1" ht="27" hidden="1" customHeight="1">
      <c r="A430" s="197">
        <v>426</v>
      </c>
      <c r="B430" s="197" t="s">
        <v>4396</v>
      </c>
      <c r="C430" s="207" t="s">
        <v>4427</v>
      </c>
      <c r="D430" s="207">
        <v>1</v>
      </c>
      <c r="E430" s="207" t="s">
        <v>4398</v>
      </c>
      <c r="F430" s="214" t="s">
        <v>6288</v>
      </c>
      <c r="G430" s="207" t="s">
        <v>4400</v>
      </c>
      <c r="H430" s="207" t="s">
        <v>4401</v>
      </c>
      <c r="I430" s="217" t="s">
        <v>4402</v>
      </c>
      <c r="J430" s="215" t="s">
        <v>6289</v>
      </c>
      <c r="K430" s="215" t="s">
        <v>6290</v>
      </c>
      <c r="L430" s="215" t="s">
        <v>6291</v>
      </c>
      <c r="M430" s="207" t="s">
        <v>4405</v>
      </c>
      <c r="N430" s="207" t="s">
        <v>4406</v>
      </c>
      <c r="O430" s="202">
        <v>45986</v>
      </c>
      <c r="P430" s="203" t="s">
        <v>4407</v>
      </c>
      <c r="Q430" s="203">
        <v>45985</v>
      </c>
      <c r="R430" s="203">
        <v>45986</v>
      </c>
      <c r="S430" s="203">
        <v>45987</v>
      </c>
      <c r="T430" s="203">
        <v>45992</v>
      </c>
      <c r="U430" s="202" t="s">
        <v>4408</v>
      </c>
      <c r="V430" s="202" t="s">
        <v>4408</v>
      </c>
      <c r="W430" s="202">
        <v>45999</v>
      </c>
      <c r="X430" s="202">
        <v>46001</v>
      </c>
      <c r="Y430" s="203"/>
      <c r="Z430" s="219"/>
      <c r="AA430" s="215" t="s">
        <v>6289</v>
      </c>
      <c r="AB430" s="215" t="s">
        <v>6290</v>
      </c>
      <c r="AC430" s="215" t="s">
        <v>6291</v>
      </c>
      <c r="AD430" s="217" t="s">
        <v>4402</v>
      </c>
      <c r="AE430" s="207" t="s">
        <v>4405</v>
      </c>
      <c r="AF430" s="218" t="s">
        <v>4409</v>
      </c>
      <c r="AG430" s="218" t="s">
        <v>4409</v>
      </c>
      <c r="AH430" s="204" t="s">
        <v>4410</v>
      </c>
      <c r="AI430" s="214" t="s">
        <v>4411</v>
      </c>
      <c r="AJ430" s="207"/>
      <c r="AK430" s="316">
        <v>45980</v>
      </c>
      <c r="AL430" s="316">
        <v>45980</v>
      </c>
      <c r="AM430" s="316">
        <v>45980</v>
      </c>
      <c r="AN430" s="316">
        <v>45980</v>
      </c>
      <c r="AO430" s="316">
        <v>45980</v>
      </c>
      <c r="AP430" s="316">
        <v>45980</v>
      </c>
      <c r="AQ430" s="314"/>
      <c r="AR430" s="315" t="str">
        <f t="shared" si="28"/>
        <v>FINALIZADO</v>
      </c>
      <c r="AS430" s="207"/>
      <c r="AT430" s="219"/>
      <c r="AU430" s="220"/>
      <c r="AV430" s="207"/>
      <c r="AW430" s="207"/>
      <c r="AX430" s="207" t="s">
        <v>4409</v>
      </c>
      <c r="AY430" s="207" t="s">
        <v>4409</v>
      </c>
      <c r="AZ430" s="207" t="s">
        <v>4409</v>
      </c>
      <c r="BA430" s="207" t="s">
        <v>4409</v>
      </c>
      <c r="BB430" s="219"/>
      <c r="BC430" s="219"/>
      <c r="BD430" s="208"/>
      <c r="BE430" s="202"/>
      <c r="BF430" s="207"/>
      <c r="BG430" s="229"/>
      <c r="BH430" s="321" t="str">
        <f t="shared" si="29"/>
        <v/>
      </c>
      <c r="BI430" s="98" t="str">
        <f t="shared" si="30"/>
        <v>AA</v>
      </c>
      <c r="BJ430" s="98" t="str">
        <f t="shared" si="31"/>
        <v>NÃO</v>
      </c>
      <c r="BK430" s="230"/>
      <c r="BL430" s="230"/>
      <c r="BM430" s="230"/>
      <c r="BN430" s="230"/>
      <c r="BO430" s="230"/>
      <c r="BP430" s="230"/>
      <c r="BQ430" s="230"/>
      <c r="BR430" s="234"/>
    </row>
    <row r="431" spans="1:112" s="240" customFormat="1" ht="27" hidden="1" customHeight="1">
      <c r="A431" s="207">
        <v>427</v>
      </c>
      <c r="B431" s="197" t="s">
        <v>4396</v>
      </c>
      <c r="C431" s="207" t="s">
        <v>4427</v>
      </c>
      <c r="D431" s="207">
        <v>1</v>
      </c>
      <c r="E431" s="207" t="s">
        <v>4398</v>
      </c>
      <c r="F431" s="214" t="s">
        <v>6292</v>
      </c>
      <c r="G431" s="207" t="s">
        <v>4400</v>
      </c>
      <c r="H431" s="207" t="s">
        <v>4401</v>
      </c>
      <c r="I431" s="217" t="s">
        <v>4402</v>
      </c>
      <c r="J431" s="215" t="s">
        <v>6293</v>
      </c>
      <c r="K431" s="215" t="s">
        <v>4398</v>
      </c>
      <c r="L431" s="215" t="s">
        <v>6294</v>
      </c>
      <c r="M431" s="207" t="s">
        <v>4405</v>
      </c>
      <c r="N431" s="207" t="s">
        <v>4432</v>
      </c>
      <c r="O431" s="202" t="s">
        <v>4409</v>
      </c>
      <c r="P431" s="202" t="s">
        <v>4409</v>
      </c>
      <c r="Q431" s="202" t="s">
        <v>4409</v>
      </c>
      <c r="R431" s="202" t="s">
        <v>4409</v>
      </c>
      <c r="S431" s="202" t="s">
        <v>4409</v>
      </c>
      <c r="T431" s="202" t="s">
        <v>4409</v>
      </c>
      <c r="U431" s="202" t="s">
        <v>4409</v>
      </c>
      <c r="V431" s="202" t="s">
        <v>4409</v>
      </c>
      <c r="W431" s="202" t="s">
        <v>4409</v>
      </c>
      <c r="X431" s="202" t="s">
        <v>4409</v>
      </c>
      <c r="Y431" s="202"/>
      <c r="Z431" s="202"/>
      <c r="AA431" s="200" t="s">
        <v>6293</v>
      </c>
      <c r="AB431" s="200" t="s">
        <v>4398</v>
      </c>
      <c r="AC431" s="200" t="s">
        <v>6294</v>
      </c>
      <c r="AD431" s="197" t="s">
        <v>4402</v>
      </c>
      <c r="AE431" s="197" t="s">
        <v>4405</v>
      </c>
      <c r="AF431" s="243">
        <v>8592.5499999999993</v>
      </c>
      <c r="AG431" s="243">
        <v>38592.550000000003</v>
      </c>
      <c r="AH431" s="197" t="s">
        <v>4433</v>
      </c>
      <c r="AI431" s="214" t="s">
        <v>4411</v>
      </c>
      <c r="AJ431" s="207">
        <v>154259494</v>
      </c>
      <c r="AK431" s="316">
        <v>46129</v>
      </c>
      <c r="AL431" s="316">
        <v>46129</v>
      </c>
      <c r="AM431" s="316">
        <v>46129</v>
      </c>
      <c r="AN431" s="316">
        <v>46129</v>
      </c>
      <c r="AO431" s="316">
        <v>46129</v>
      </c>
      <c r="AP431" s="316">
        <v>46129</v>
      </c>
      <c r="AQ431" s="314"/>
      <c r="AR431" s="315" t="str">
        <f t="shared" si="28"/>
        <v>FINALIZADO</v>
      </c>
      <c r="AS431" s="207" t="s">
        <v>4423</v>
      </c>
      <c r="AT431" s="207"/>
      <c r="AU431" s="220" t="s">
        <v>6295</v>
      </c>
      <c r="AV431" s="250" t="s">
        <v>4425</v>
      </c>
      <c r="AW431" s="207" t="s">
        <v>4425</v>
      </c>
      <c r="AX431" s="207" t="s">
        <v>4818</v>
      </c>
      <c r="AY431" s="207" t="s">
        <v>4818</v>
      </c>
      <c r="AZ431" s="202">
        <v>46233</v>
      </c>
      <c r="BA431" s="207" t="s">
        <v>4425</v>
      </c>
      <c r="BB431" s="207" t="s">
        <v>4425</v>
      </c>
      <c r="BC431" s="202">
        <v>46261</v>
      </c>
      <c r="BD431" s="264">
        <v>46261</v>
      </c>
      <c r="BE431" s="226" t="s">
        <v>4435</v>
      </c>
      <c r="BF431" s="228" t="s">
        <v>4436</v>
      </c>
      <c r="BG431" s="219" t="s">
        <v>4425</v>
      </c>
      <c r="BH431" s="321">
        <f t="shared" si="29"/>
        <v>132</v>
      </c>
      <c r="BI431" s="98" t="str">
        <f t="shared" si="30"/>
        <v>INDENIZAÇÃO</v>
      </c>
      <c r="BJ431" s="98" t="str">
        <f t="shared" si="31"/>
        <v>NÃO</v>
      </c>
      <c r="BK431" s="219" t="s">
        <v>4437</v>
      </c>
      <c r="BL431" s="219" t="s">
        <v>4437</v>
      </c>
      <c r="BM431" s="219" t="s">
        <v>4437</v>
      </c>
      <c r="BN431" s="257" t="s">
        <v>5732</v>
      </c>
      <c r="BO431" s="257"/>
      <c r="BP431" s="257"/>
      <c r="BQ431" s="257"/>
      <c r="BR431" s="258"/>
      <c r="BS431" s="161"/>
      <c r="BT431" s="161"/>
      <c r="BU431" s="161"/>
    </row>
    <row r="432" spans="1:112" s="240" customFormat="1" ht="27" hidden="1" customHeight="1">
      <c r="A432" s="207">
        <v>428</v>
      </c>
      <c r="B432" s="197" t="s">
        <v>4396</v>
      </c>
      <c r="C432" s="207" t="s">
        <v>4427</v>
      </c>
      <c r="D432" s="207">
        <v>1</v>
      </c>
      <c r="E432" s="207" t="s">
        <v>4398</v>
      </c>
      <c r="F432" s="214" t="s">
        <v>6296</v>
      </c>
      <c r="G432" s="207" t="s">
        <v>4400</v>
      </c>
      <c r="H432" s="207" t="s">
        <v>4401</v>
      </c>
      <c r="I432" s="217" t="s">
        <v>4402</v>
      </c>
      <c r="J432" s="215" t="s">
        <v>6297</v>
      </c>
      <c r="K432" s="215" t="s">
        <v>6298</v>
      </c>
      <c r="L432" s="215" t="s">
        <v>6299</v>
      </c>
      <c r="M432" s="207" t="s">
        <v>4405</v>
      </c>
      <c r="N432" s="207" t="s">
        <v>4406</v>
      </c>
      <c r="O432" s="202">
        <v>46106</v>
      </c>
      <c r="P432" s="202" t="s">
        <v>4407</v>
      </c>
      <c r="Q432" s="202">
        <v>46106</v>
      </c>
      <c r="R432" s="202">
        <v>46107</v>
      </c>
      <c r="S432" s="202">
        <v>46111</v>
      </c>
      <c r="T432" s="202">
        <v>46087</v>
      </c>
      <c r="U432" s="202" t="s">
        <v>4408</v>
      </c>
      <c r="V432" s="202" t="s">
        <v>4408</v>
      </c>
      <c r="W432" s="202">
        <v>46132</v>
      </c>
      <c r="X432" s="202">
        <v>46129</v>
      </c>
      <c r="Y432" s="203"/>
      <c r="Z432" s="219"/>
      <c r="AA432" s="215" t="s">
        <v>6297</v>
      </c>
      <c r="AB432" s="215" t="s">
        <v>6298</v>
      </c>
      <c r="AC432" s="215" t="s">
        <v>6299</v>
      </c>
      <c r="AD432" s="217" t="s">
        <v>4402</v>
      </c>
      <c r="AE432" s="207" t="s">
        <v>4405</v>
      </c>
      <c r="AF432" s="218" t="s">
        <v>4409</v>
      </c>
      <c r="AG432" s="218" t="s">
        <v>4409</v>
      </c>
      <c r="AH432" s="197" t="s">
        <v>4410</v>
      </c>
      <c r="AI432" s="214" t="s">
        <v>4411</v>
      </c>
      <c r="AJ432" s="207"/>
      <c r="AK432" s="316">
        <v>46001</v>
      </c>
      <c r="AL432" s="316">
        <v>46001</v>
      </c>
      <c r="AM432" s="316">
        <v>46001</v>
      </c>
      <c r="AN432" s="316">
        <v>46001</v>
      </c>
      <c r="AO432" s="316">
        <v>46001</v>
      </c>
      <c r="AP432" s="316">
        <v>46001</v>
      </c>
      <c r="AQ432" s="314"/>
      <c r="AR432" s="315" t="str">
        <f t="shared" si="28"/>
        <v>FINALIZADO</v>
      </c>
      <c r="AS432" s="207"/>
      <c r="AT432" s="219"/>
      <c r="AU432" s="220"/>
      <c r="AV432" s="219"/>
      <c r="AW432" s="219"/>
      <c r="AX432" s="219"/>
      <c r="AY432" s="219"/>
      <c r="AZ432" s="219"/>
      <c r="BA432" s="219"/>
      <c r="BB432" s="219"/>
      <c r="BC432" s="219"/>
      <c r="BD432" s="208"/>
      <c r="BE432" s="203"/>
      <c r="BF432" s="219"/>
      <c r="BG432" s="219"/>
      <c r="BH432" s="321" t="str">
        <f t="shared" si="29"/>
        <v/>
      </c>
      <c r="BI432" s="98" t="str">
        <f t="shared" si="30"/>
        <v>AA</v>
      </c>
      <c r="BJ432" s="98" t="str">
        <f t="shared" si="31"/>
        <v>NÃO</v>
      </c>
      <c r="BK432" s="219"/>
      <c r="BL432" s="221"/>
      <c r="BM432" s="221"/>
      <c r="BN432" s="219"/>
      <c r="BO432" s="219"/>
      <c r="BP432" s="219"/>
      <c r="BQ432" s="219"/>
      <c r="BR432" s="222"/>
    </row>
    <row r="433" spans="1:71" s="240" customFormat="1" ht="27" hidden="1" customHeight="1">
      <c r="A433" s="207">
        <v>429</v>
      </c>
      <c r="B433" s="197" t="s">
        <v>4396</v>
      </c>
      <c r="C433" s="207" t="s">
        <v>4427</v>
      </c>
      <c r="D433" s="207">
        <v>1</v>
      </c>
      <c r="E433" s="207" t="s">
        <v>4398</v>
      </c>
      <c r="F433" s="214" t="s">
        <v>6300</v>
      </c>
      <c r="G433" s="207" t="s">
        <v>4400</v>
      </c>
      <c r="H433" s="207" t="s">
        <v>4401</v>
      </c>
      <c r="I433" s="217" t="s">
        <v>4402</v>
      </c>
      <c r="J433" s="215" t="s">
        <v>6301</v>
      </c>
      <c r="K433" s="215" t="s">
        <v>6302</v>
      </c>
      <c r="L433" s="215" t="s">
        <v>6303</v>
      </c>
      <c r="M433" s="207" t="s">
        <v>4405</v>
      </c>
      <c r="N433" s="207" t="s">
        <v>4406</v>
      </c>
      <c r="O433" s="202">
        <v>45986</v>
      </c>
      <c r="P433" s="203" t="s">
        <v>4407</v>
      </c>
      <c r="Q433" s="203">
        <v>45985</v>
      </c>
      <c r="R433" s="203">
        <v>45986</v>
      </c>
      <c r="S433" s="203">
        <v>45987</v>
      </c>
      <c r="T433" s="203">
        <v>45992</v>
      </c>
      <c r="U433" s="203" t="s">
        <v>4408</v>
      </c>
      <c r="V433" s="203" t="s">
        <v>4408</v>
      </c>
      <c r="W433" s="202">
        <v>45999</v>
      </c>
      <c r="X433" s="202">
        <v>46000</v>
      </c>
      <c r="Y433" s="203"/>
      <c r="Z433" s="219"/>
      <c r="AA433" s="215" t="s">
        <v>6301</v>
      </c>
      <c r="AB433" s="215" t="s">
        <v>6302</v>
      </c>
      <c r="AC433" s="215" t="s">
        <v>6303</v>
      </c>
      <c r="AD433" s="217" t="s">
        <v>4402</v>
      </c>
      <c r="AE433" s="207" t="s">
        <v>4405</v>
      </c>
      <c r="AF433" s="218" t="s">
        <v>4409</v>
      </c>
      <c r="AG433" s="218" t="s">
        <v>4409</v>
      </c>
      <c r="AH433" s="241" t="s">
        <v>4410</v>
      </c>
      <c r="AI433" s="214" t="s">
        <v>4411</v>
      </c>
      <c r="AJ433" s="207"/>
      <c r="AK433" s="317">
        <v>45978</v>
      </c>
      <c r="AL433" s="317">
        <v>45978</v>
      </c>
      <c r="AM433" s="317">
        <v>45978</v>
      </c>
      <c r="AN433" s="317">
        <v>45978</v>
      </c>
      <c r="AO433" s="317">
        <v>45978</v>
      </c>
      <c r="AP433" s="317">
        <v>45978</v>
      </c>
      <c r="AQ433" s="314"/>
      <c r="AR433" s="315" t="str">
        <f t="shared" si="28"/>
        <v>FINALIZADO</v>
      </c>
      <c r="AS433" s="207"/>
      <c r="AT433" s="219"/>
      <c r="AU433" s="220"/>
      <c r="AV433" s="197"/>
      <c r="AW433" s="207"/>
      <c r="AX433" s="207" t="s">
        <v>4409</v>
      </c>
      <c r="AY433" s="207" t="s">
        <v>4409</v>
      </c>
      <c r="AZ433" s="207" t="s">
        <v>4409</v>
      </c>
      <c r="BA433" s="207" t="s">
        <v>4409</v>
      </c>
      <c r="BB433" s="219"/>
      <c r="BC433" s="219"/>
      <c r="BD433" s="208"/>
      <c r="BE433" s="202"/>
      <c r="BF433" s="207"/>
      <c r="BG433" s="229"/>
      <c r="BH433" s="321" t="str">
        <f t="shared" si="29"/>
        <v/>
      </c>
      <c r="BI433" s="98" t="str">
        <f t="shared" si="30"/>
        <v>AA</v>
      </c>
      <c r="BJ433" s="98" t="str">
        <f t="shared" si="31"/>
        <v>NÃO</v>
      </c>
      <c r="BK433" s="230"/>
      <c r="BL433" s="230"/>
      <c r="BM433" s="230"/>
      <c r="BN433" s="230"/>
      <c r="BO433" s="230"/>
      <c r="BP433" s="230"/>
      <c r="BQ433" s="230"/>
      <c r="BR433" s="234"/>
    </row>
    <row r="434" spans="1:71" s="240" customFormat="1" ht="27" hidden="1" customHeight="1">
      <c r="A434" s="197">
        <v>430</v>
      </c>
      <c r="B434" s="197" t="s">
        <v>4396</v>
      </c>
      <c r="C434" s="207" t="s">
        <v>4427</v>
      </c>
      <c r="D434" s="207">
        <v>1</v>
      </c>
      <c r="E434" s="207" t="s">
        <v>4398</v>
      </c>
      <c r="F434" s="214" t="s">
        <v>6304</v>
      </c>
      <c r="G434" s="207" t="s">
        <v>4400</v>
      </c>
      <c r="H434" s="207" t="s">
        <v>4401</v>
      </c>
      <c r="I434" s="217" t="s">
        <v>4402</v>
      </c>
      <c r="J434" s="242" t="s">
        <v>6305</v>
      </c>
      <c r="K434" s="215" t="s">
        <v>6306</v>
      </c>
      <c r="L434" s="215" t="s">
        <v>6307</v>
      </c>
      <c r="M434" s="207" t="s">
        <v>4405</v>
      </c>
      <c r="N434" s="207" t="s">
        <v>4406</v>
      </c>
      <c r="O434" s="202">
        <v>45986</v>
      </c>
      <c r="P434" s="203" t="s">
        <v>4407</v>
      </c>
      <c r="Q434" s="203">
        <v>45985</v>
      </c>
      <c r="R434" s="203">
        <v>45986</v>
      </c>
      <c r="S434" s="203">
        <v>45987</v>
      </c>
      <c r="T434" s="203">
        <v>45992</v>
      </c>
      <c r="U434" s="202" t="s">
        <v>4408</v>
      </c>
      <c r="V434" s="202" t="s">
        <v>4408</v>
      </c>
      <c r="W434" s="202">
        <v>45999</v>
      </c>
      <c r="X434" s="202">
        <v>46000</v>
      </c>
      <c r="Y434" s="202"/>
      <c r="Z434" s="207"/>
      <c r="AA434" s="242" t="s">
        <v>6305</v>
      </c>
      <c r="AB434" s="215" t="s">
        <v>6306</v>
      </c>
      <c r="AC434" s="215" t="s">
        <v>6307</v>
      </c>
      <c r="AD434" s="217" t="s">
        <v>4402</v>
      </c>
      <c r="AE434" s="207" t="s">
        <v>4405</v>
      </c>
      <c r="AF434" s="218" t="s">
        <v>4409</v>
      </c>
      <c r="AG434" s="218" t="s">
        <v>4409</v>
      </c>
      <c r="AH434" s="204" t="s">
        <v>4410</v>
      </c>
      <c r="AI434" s="214" t="s">
        <v>4411</v>
      </c>
      <c r="AJ434" s="207"/>
      <c r="AK434" s="316">
        <v>45980</v>
      </c>
      <c r="AL434" s="316">
        <v>45980</v>
      </c>
      <c r="AM434" s="316">
        <v>45980</v>
      </c>
      <c r="AN434" s="316">
        <v>45980</v>
      </c>
      <c r="AO434" s="316">
        <v>45980</v>
      </c>
      <c r="AP434" s="316">
        <v>45980</v>
      </c>
      <c r="AQ434" s="314"/>
      <c r="AR434" s="315" t="str">
        <f t="shared" si="28"/>
        <v>FINALIZADO</v>
      </c>
      <c r="AS434" s="207"/>
      <c r="AT434" s="207"/>
      <c r="AU434" s="220"/>
      <c r="AV434" s="207"/>
      <c r="AW434" s="207"/>
      <c r="AX434" s="207" t="s">
        <v>4409</v>
      </c>
      <c r="AY434" s="207" t="s">
        <v>4409</v>
      </c>
      <c r="AZ434" s="207" t="s">
        <v>4409</v>
      </c>
      <c r="BA434" s="207" t="s">
        <v>4409</v>
      </c>
      <c r="BB434" s="207"/>
      <c r="BC434" s="202"/>
      <c r="BD434" s="208"/>
      <c r="BE434" s="202"/>
      <c r="BF434" s="207"/>
      <c r="BG434" s="229"/>
      <c r="BH434" s="321" t="str">
        <f t="shared" si="29"/>
        <v/>
      </c>
      <c r="BI434" s="98" t="str">
        <f t="shared" si="30"/>
        <v>AA</v>
      </c>
      <c r="BJ434" s="98" t="str">
        <f t="shared" si="31"/>
        <v>NÃO</v>
      </c>
      <c r="BK434" s="230"/>
      <c r="BL434" s="230"/>
      <c r="BM434" s="230"/>
      <c r="BN434" s="230"/>
      <c r="BO434" s="230"/>
      <c r="BP434" s="230"/>
      <c r="BQ434" s="230"/>
      <c r="BR434" s="234"/>
    </row>
    <row r="435" spans="1:71" s="240" customFormat="1" ht="27" hidden="1" customHeight="1">
      <c r="A435" s="197">
        <v>431</v>
      </c>
      <c r="B435" s="197" t="s">
        <v>4396</v>
      </c>
      <c r="C435" s="207" t="s">
        <v>4427</v>
      </c>
      <c r="D435" s="207">
        <v>1</v>
      </c>
      <c r="E435" s="207" t="s">
        <v>4398</v>
      </c>
      <c r="F435" s="214" t="s">
        <v>6308</v>
      </c>
      <c r="G435" s="207" t="s">
        <v>4400</v>
      </c>
      <c r="H435" s="207" t="s">
        <v>4401</v>
      </c>
      <c r="I435" s="217" t="s">
        <v>4402</v>
      </c>
      <c r="J435" s="215" t="s">
        <v>6309</v>
      </c>
      <c r="K435" s="215" t="s">
        <v>4440</v>
      </c>
      <c r="L435" s="215" t="s">
        <v>6310</v>
      </c>
      <c r="M435" s="207" t="s">
        <v>4405</v>
      </c>
      <c r="N435" s="207" t="s">
        <v>4406</v>
      </c>
      <c r="O435" s="202">
        <v>45986</v>
      </c>
      <c r="P435" s="203" t="s">
        <v>4407</v>
      </c>
      <c r="Q435" s="203">
        <v>45985</v>
      </c>
      <c r="R435" s="203">
        <v>45986</v>
      </c>
      <c r="S435" s="203">
        <v>45987</v>
      </c>
      <c r="T435" s="203">
        <v>45992</v>
      </c>
      <c r="U435" s="202" t="s">
        <v>4408</v>
      </c>
      <c r="V435" s="202" t="s">
        <v>4408</v>
      </c>
      <c r="W435" s="202">
        <v>45999</v>
      </c>
      <c r="X435" s="202">
        <v>46010</v>
      </c>
      <c r="Y435" s="202"/>
      <c r="Z435" s="207"/>
      <c r="AA435" s="215" t="s">
        <v>6309</v>
      </c>
      <c r="AB435" s="215" t="s">
        <v>4440</v>
      </c>
      <c r="AC435" s="215" t="s">
        <v>6310</v>
      </c>
      <c r="AD435" s="217" t="s">
        <v>4402</v>
      </c>
      <c r="AE435" s="207" t="s">
        <v>4405</v>
      </c>
      <c r="AF435" s="218" t="s">
        <v>4409</v>
      </c>
      <c r="AG435" s="218" t="s">
        <v>4409</v>
      </c>
      <c r="AH435" s="204" t="s">
        <v>4410</v>
      </c>
      <c r="AI435" s="214" t="s">
        <v>4411</v>
      </c>
      <c r="AJ435" s="207"/>
      <c r="AK435" s="316">
        <v>45980</v>
      </c>
      <c r="AL435" s="316">
        <v>45980</v>
      </c>
      <c r="AM435" s="316">
        <v>45980</v>
      </c>
      <c r="AN435" s="316">
        <v>45980</v>
      </c>
      <c r="AO435" s="316">
        <v>45980</v>
      </c>
      <c r="AP435" s="316">
        <v>45980</v>
      </c>
      <c r="AQ435" s="314"/>
      <c r="AR435" s="315" t="str">
        <f t="shared" si="28"/>
        <v>FINALIZADO</v>
      </c>
      <c r="AS435" s="207"/>
      <c r="AT435" s="207"/>
      <c r="AU435" s="220"/>
      <c r="AV435" s="207"/>
      <c r="AW435" s="207"/>
      <c r="AX435" s="207" t="s">
        <v>4409</v>
      </c>
      <c r="AY435" s="207" t="s">
        <v>4409</v>
      </c>
      <c r="AZ435" s="207" t="s">
        <v>4409</v>
      </c>
      <c r="BA435" s="207" t="s">
        <v>4409</v>
      </c>
      <c r="BB435" s="207"/>
      <c r="BC435" s="202"/>
      <c r="BD435" s="208"/>
      <c r="BE435" s="202"/>
      <c r="BF435" s="207"/>
      <c r="BG435" s="229"/>
      <c r="BH435" s="321" t="str">
        <f t="shared" si="29"/>
        <v/>
      </c>
      <c r="BI435" s="98" t="str">
        <f t="shared" si="30"/>
        <v>AA</v>
      </c>
      <c r="BJ435" s="98" t="str">
        <f t="shared" si="31"/>
        <v>NÃO</v>
      </c>
      <c r="BK435" s="230"/>
      <c r="BL435" s="230"/>
      <c r="BM435" s="230"/>
      <c r="BN435" s="230"/>
      <c r="BO435" s="230"/>
      <c r="BP435" s="230"/>
      <c r="BQ435" s="230"/>
      <c r="BR435" s="234"/>
    </row>
    <row r="436" spans="1:71" s="240" customFormat="1" ht="27" hidden="1" customHeight="1">
      <c r="A436" s="207">
        <v>432</v>
      </c>
      <c r="B436" s="197" t="s">
        <v>4396</v>
      </c>
      <c r="C436" s="207" t="s">
        <v>4427</v>
      </c>
      <c r="D436" s="207">
        <v>1</v>
      </c>
      <c r="E436" s="207" t="s">
        <v>4398</v>
      </c>
      <c r="F436" s="214" t="s">
        <v>6311</v>
      </c>
      <c r="G436" s="207" t="s">
        <v>4400</v>
      </c>
      <c r="H436" s="207" t="s">
        <v>4401</v>
      </c>
      <c r="I436" s="217" t="s">
        <v>4402</v>
      </c>
      <c r="J436" s="215" t="s">
        <v>6312</v>
      </c>
      <c r="K436" s="215" t="s">
        <v>4440</v>
      </c>
      <c r="L436" s="215" t="s">
        <v>6313</v>
      </c>
      <c r="M436" s="207" t="s">
        <v>4405</v>
      </c>
      <c r="N436" s="207" t="s">
        <v>4406</v>
      </c>
      <c r="O436" s="202">
        <v>46147</v>
      </c>
      <c r="P436" s="202" t="s">
        <v>4407</v>
      </c>
      <c r="Q436" s="203">
        <v>46136</v>
      </c>
      <c r="R436" s="202">
        <v>46147</v>
      </c>
      <c r="S436" s="203">
        <v>46156</v>
      </c>
      <c r="T436" s="203">
        <v>46168</v>
      </c>
      <c r="U436" s="203" t="s">
        <v>4408</v>
      </c>
      <c r="V436" s="203" t="s">
        <v>4408</v>
      </c>
      <c r="W436" s="279">
        <v>46196</v>
      </c>
      <c r="X436" s="202">
        <v>46196</v>
      </c>
      <c r="Y436" s="202"/>
      <c r="Z436" s="202"/>
      <c r="AA436" s="200" t="s">
        <v>6312</v>
      </c>
      <c r="AB436" s="200" t="s">
        <v>4440</v>
      </c>
      <c r="AC436" s="200" t="s">
        <v>6313</v>
      </c>
      <c r="AD436" s="197" t="s">
        <v>4402</v>
      </c>
      <c r="AE436" s="197" t="s">
        <v>4405</v>
      </c>
      <c r="AF436" s="218" t="s">
        <v>4409</v>
      </c>
      <c r="AG436" s="218" t="s">
        <v>4409</v>
      </c>
      <c r="AH436" s="197" t="s">
        <v>4410</v>
      </c>
      <c r="AI436" s="214" t="s">
        <v>4411</v>
      </c>
      <c r="AJ436" s="207"/>
      <c r="AK436" s="316">
        <v>46050</v>
      </c>
      <c r="AL436" s="316">
        <v>46050</v>
      </c>
      <c r="AM436" s="316">
        <v>46050</v>
      </c>
      <c r="AN436" s="316">
        <v>46050</v>
      </c>
      <c r="AO436" s="316">
        <v>46050</v>
      </c>
      <c r="AP436" s="316">
        <v>46050</v>
      </c>
      <c r="AQ436" s="314"/>
      <c r="AR436" s="315" t="str">
        <f t="shared" si="28"/>
        <v>FINALIZADO</v>
      </c>
      <c r="AS436" s="207"/>
      <c r="AT436" s="207"/>
      <c r="AU436" s="220"/>
      <c r="AV436" s="207"/>
      <c r="AW436" s="207"/>
      <c r="AX436" s="207"/>
      <c r="AY436" s="207"/>
      <c r="AZ436" s="202"/>
      <c r="BA436" s="219"/>
      <c r="BB436" s="207"/>
      <c r="BC436" s="202"/>
      <c r="BD436" s="208"/>
      <c r="BE436" s="202"/>
      <c r="BF436" s="207"/>
      <c r="BG436" s="229"/>
      <c r="BH436" s="321" t="str">
        <f t="shared" si="29"/>
        <v/>
      </c>
      <c r="BI436" s="98" t="str">
        <f t="shared" si="30"/>
        <v>AA</v>
      </c>
      <c r="BJ436" s="98" t="str">
        <f t="shared" si="31"/>
        <v>NÃO</v>
      </c>
      <c r="BK436" s="230"/>
      <c r="BL436" s="230"/>
      <c r="BM436" s="230"/>
      <c r="BN436" s="230"/>
      <c r="BO436" s="230"/>
      <c r="BP436" s="230"/>
      <c r="BQ436" s="230"/>
      <c r="BR436" s="234"/>
    </row>
    <row r="437" spans="1:71" s="240" customFormat="1" ht="27" hidden="1" customHeight="1">
      <c r="A437" s="207">
        <v>433</v>
      </c>
      <c r="B437" s="197" t="s">
        <v>4396</v>
      </c>
      <c r="C437" s="207" t="s">
        <v>4427</v>
      </c>
      <c r="D437" s="207">
        <v>1</v>
      </c>
      <c r="E437" s="250" t="s">
        <v>4398</v>
      </c>
      <c r="F437" s="214" t="s">
        <v>6314</v>
      </c>
      <c r="G437" s="207" t="s">
        <v>4400</v>
      </c>
      <c r="H437" s="207" t="s">
        <v>4401</v>
      </c>
      <c r="I437" s="217" t="s">
        <v>4402</v>
      </c>
      <c r="J437" s="215" t="s">
        <v>6315</v>
      </c>
      <c r="K437" s="215" t="s">
        <v>6316</v>
      </c>
      <c r="L437" s="215" t="s">
        <v>6317</v>
      </c>
      <c r="M437" s="207" t="s">
        <v>4405</v>
      </c>
      <c r="N437" s="207" t="s">
        <v>4442</v>
      </c>
      <c r="O437" s="202" t="s">
        <v>4409</v>
      </c>
      <c r="P437" s="202" t="s">
        <v>4409</v>
      </c>
      <c r="Q437" s="202" t="s">
        <v>4409</v>
      </c>
      <c r="R437" s="202" t="s">
        <v>4409</v>
      </c>
      <c r="S437" s="202" t="s">
        <v>4409</v>
      </c>
      <c r="T437" s="202" t="s">
        <v>4409</v>
      </c>
      <c r="U437" s="202" t="s">
        <v>4409</v>
      </c>
      <c r="V437" s="202" t="s">
        <v>4409</v>
      </c>
      <c r="W437" s="202" t="s">
        <v>4409</v>
      </c>
      <c r="X437" s="202" t="s">
        <v>4409</v>
      </c>
      <c r="Y437" s="202"/>
      <c r="Z437" s="202"/>
      <c r="AA437" s="215" t="s">
        <v>6315</v>
      </c>
      <c r="AB437" s="215" t="s">
        <v>6318</v>
      </c>
      <c r="AC437" s="215" t="s">
        <v>6317</v>
      </c>
      <c r="AD437" s="207" t="s">
        <v>4402</v>
      </c>
      <c r="AE437" s="207" t="s">
        <v>4405</v>
      </c>
      <c r="AF437" s="218">
        <v>136614.56</v>
      </c>
      <c r="AG437" s="218">
        <v>136614.56</v>
      </c>
      <c r="AH437" s="207" t="s">
        <v>4422</v>
      </c>
      <c r="AI437" s="214" t="s">
        <v>4411</v>
      </c>
      <c r="AJ437" s="207">
        <v>151379310</v>
      </c>
      <c r="AK437" s="316">
        <v>46227</v>
      </c>
      <c r="AL437" s="316">
        <v>46227</v>
      </c>
      <c r="AM437" s="316">
        <v>46227</v>
      </c>
      <c r="AN437" s="316">
        <v>46227</v>
      </c>
      <c r="AO437" s="316">
        <v>46227</v>
      </c>
      <c r="AP437" s="316">
        <v>46227</v>
      </c>
      <c r="AQ437" s="314"/>
      <c r="AR437" s="315" t="str">
        <f t="shared" si="28"/>
        <v>FINALIZADO</v>
      </c>
      <c r="AS437" s="207" t="s">
        <v>4423</v>
      </c>
      <c r="AT437" s="207"/>
      <c r="AU437" s="220" t="s">
        <v>4435</v>
      </c>
      <c r="AV437" s="219" t="s">
        <v>5487</v>
      </c>
      <c r="AW437" s="207"/>
      <c r="AX437" s="207"/>
      <c r="AY437" s="207"/>
      <c r="AZ437" s="202"/>
      <c r="BA437" s="219"/>
      <c r="BB437" s="207"/>
      <c r="BC437" s="202"/>
      <c r="BD437" s="208"/>
      <c r="BE437" s="202"/>
      <c r="BF437" s="207"/>
      <c r="BG437" s="229"/>
      <c r="BH437" s="321" t="str">
        <f t="shared" si="29"/>
        <v/>
      </c>
      <c r="BI437" s="98" t="str">
        <f t="shared" si="30"/>
        <v>INDENIZAÇÃO</v>
      </c>
      <c r="BJ437" s="98" t="str">
        <f t="shared" si="31"/>
        <v>NÃO</v>
      </c>
      <c r="BK437" s="230"/>
      <c r="BL437" s="230"/>
      <c r="BM437" s="230"/>
      <c r="BN437" s="230"/>
      <c r="BO437" s="230"/>
      <c r="BP437" s="230"/>
      <c r="BQ437" s="230"/>
      <c r="BR437" s="234"/>
    </row>
    <row r="438" spans="1:71" s="240" customFormat="1" ht="27" hidden="1" customHeight="1">
      <c r="A438" s="207">
        <v>434</v>
      </c>
      <c r="B438" s="197" t="s">
        <v>4396</v>
      </c>
      <c r="C438" s="207" t="s">
        <v>4427</v>
      </c>
      <c r="D438" s="207">
        <v>1</v>
      </c>
      <c r="E438" s="207" t="s">
        <v>4398</v>
      </c>
      <c r="F438" s="214" t="s">
        <v>6319</v>
      </c>
      <c r="G438" s="207" t="s">
        <v>4546</v>
      </c>
      <c r="H438" s="207" t="s">
        <v>4546</v>
      </c>
      <c r="I438" s="233" t="s">
        <v>4421</v>
      </c>
      <c r="J438" s="215" t="s">
        <v>6320</v>
      </c>
      <c r="K438" s="215" t="s">
        <v>6321</v>
      </c>
      <c r="L438" s="215" t="s">
        <v>6322</v>
      </c>
      <c r="M438" s="207" t="s">
        <v>4405</v>
      </c>
      <c r="N438" s="207" t="s">
        <v>4432</v>
      </c>
      <c r="O438" s="202" t="s">
        <v>4409</v>
      </c>
      <c r="P438" s="202" t="s">
        <v>4409</v>
      </c>
      <c r="Q438" s="202" t="s">
        <v>4409</v>
      </c>
      <c r="R438" s="202" t="s">
        <v>4409</v>
      </c>
      <c r="S438" s="202" t="s">
        <v>4409</v>
      </c>
      <c r="T438" s="202" t="s">
        <v>4409</v>
      </c>
      <c r="U438" s="202" t="s">
        <v>4409</v>
      </c>
      <c r="V438" s="202" t="s">
        <v>4409</v>
      </c>
      <c r="W438" s="202" t="s">
        <v>4409</v>
      </c>
      <c r="X438" s="202" t="s">
        <v>4409</v>
      </c>
      <c r="Y438" s="202"/>
      <c r="Z438" s="202"/>
      <c r="AA438" s="215" t="s">
        <v>6320</v>
      </c>
      <c r="AB438" s="215" t="s">
        <v>6321</v>
      </c>
      <c r="AC438" s="215" t="s">
        <v>6322</v>
      </c>
      <c r="AD438" s="233" t="s">
        <v>4421</v>
      </c>
      <c r="AE438" s="207" t="s">
        <v>4405</v>
      </c>
      <c r="AF438" s="218">
        <v>47849.98</v>
      </c>
      <c r="AG438" s="218">
        <v>47849.98</v>
      </c>
      <c r="AH438" s="207" t="s">
        <v>4422</v>
      </c>
      <c r="AI438" s="214" t="s">
        <v>4411</v>
      </c>
      <c r="AJ438" s="207">
        <v>163067072</v>
      </c>
      <c r="AK438" s="316">
        <v>46265</v>
      </c>
      <c r="AL438" s="316">
        <v>46267</v>
      </c>
      <c r="AM438" s="316">
        <v>46267</v>
      </c>
      <c r="AN438" s="316"/>
      <c r="AO438" s="316"/>
      <c r="AP438" s="316"/>
      <c r="AQ438" s="314" t="s">
        <v>14</v>
      </c>
      <c r="AR438" s="315" t="str">
        <f t="shared" si="28"/>
        <v>AGUARDANDO ASSINATURA CTS</v>
      </c>
      <c r="AS438" s="207"/>
      <c r="AT438" s="207" t="s">
        <v>6112</v>
      </c>
      <c r="AU438" s="220"/>
      <c r="AV438" s="207"/>
      <c r="AW438" s="207"/>
      <c r="AX438" s="207"/>
      <c r="AY438" s="207"/>
      <c r="AZ438" s="202"/>
      <c r="BA438" s="219"/>
      <c r="BB438" s="207"/>
      <c r="BC438" s="202"/>
      <c r="BD438" s="208"/>
      <c r="BE438" s="202"/>
      <c r="BF438" s="207"/>
      <c r="BG438" s="229"/>
      <c r="BH438" s="321" t="str">
        <f t="shared" si="29"/>
        <v/>
      </c>
      <c r="BI438" s="98" t="str">
        <f t="shared" si="30"/>
        <v>INDENIZAÇÃO</v>
      </c>
      <c r="BJ438" s="98" t="str">
        <f t="shared" si="31"/>
        <v>NÃO</v>
      </c>
      <c r="BK438" s="230"/>
      <c r="BL438" s="230"/>
      <c r="BM438" s="230"/>
      <c r="BN438" s="230"/>
      <c r="BO438" s="230"/>
      <c r="BP438" s="230"/>
      <c r="BQ438" s="230"/>
      <c r="BR438" s="234"/>
    </row>
    <row r="439" spans="1:71" s="240" customFormat="1" ht="27" hidden="1" customHeight="1">
      <c r="A439" s="197">
        <v>435</v>
      </c>
      <c r="B439" s="197" t="s">
        <v>4396</v>
      </c>
      <c r="C439" s="207" t="s">
        <v>4427</v>
      </c>
      <c r="D439" s="207">
        <v>1</v>
      </c>
      <c r="E439" s="207" t="s">
        <v>4398</v>
      </c>
      <c r="F439" s="214" t="s">
        <v>6323</v>
      </c>
      <c r="G439" s="207" t="s">
        <v>4400</v>
      </c>
      <c r="H439" s="207" t="s">
        <v>4401</v>
      </c>
      <c r="I439" s="249" t="s">
        <v>4402</v>
      </c>
      <c r="J439" s="215" t="s">
        <v>6324</v>
      </c>
      <c r="K439" s="215" t="s">
        <v>6325</v>
      </c>
      <c r="L439" s="215" t="s">
        <v>6326</v>
      </c>
      <c r="M439" s="207" t="s">
        <v>4405</v>
      </c>
      <c r="N439" s="207" t="s">
        <v>4406</v>
      </c>
      <c r="O439" s="202">
        <v>45986</v>
      </c>
      <c r="P439" s="203" t="s">
        <v>4407</v>
      </c>
      <c r="Q439" s="203">
        <v>45985</v>
      </c>
      <c r="R439" s="203">
        <v>45986</v>
      </c>
      <c r="S439" s="203">
        <v>45987</v>
      </c>
      <c r="T439" s="203">
        <v>45992</v>
      </c>
      <c r="U439" s="202" t="s">
        <v>4408</v>
      </c>
      <c r="V439" s="202" t="s">
        <v>4408</v>
      </c>
      <c r="W439" s="202">
        <v>45999</v>
      </c>
      <c r="X439" s="202">
        <v>46000</v>
      </c>
      <c r="Y439" s="202"/>
      <c r="Z439" s="207"/>
      <c r="AA439" s="215" t="s">
        <v>6324</v>
      </c>
      <c r="AB439" s="215" t="s">
        <v>6325</v>
      </c>
      <c r="AC439" s="215" t="s">
        <v>6326</v>
      </c>
      <c r="AD439" s="217" t="s">
        <v>4402</v>
      </c>
      <c r="AE439" s="207" t="s">
        <v>4405</v>
      </c>
      <c r="AF439" s="218" t="s">
        <v>4409</v>
      </c>
      <c r="AG439" s="218" t="s">
        <v>4409</v>
      </c>
      <c r="AH439" s="241" t="s">
        <v>4410</v>
      </c>
      <c r="AI439" s="214" t="s">
        <v>4411</v>
      </c>
      <c r="AJ439" s="207"/>
      <c r="AK439" s="316">
        <v>45980</v>
      </c>
      <c r="AL439" s="316">
        <v>45980</v>
      </c>
      <c r="AM439" s="316">
        <v>45980</v>
      </c>
      <c r="AN439" s="316">
        <v>45980</v>
      </c>
      <c r="AO439" s="316">
        <v>45980</v>
      </c>
      <c r="AP439" s="316">
        <v>45980</v>
      </c>
      <c r="AQ439" s="314"/>
      <c r="AR439" s="315" t="str">
        <f t="shared" si="28"/>
        <v>FINALIZADO</v>
      </c>
      <c r="AS439" s="207"/>
      <c r="AT439" s="207"/>
      <c r="AU439" s="220"/>
      <c r="AV439" s="207"/>
      <c r="AW439" s="207"/>
      <c r="AX439" s="207" t="s">
        <v>4409</v>
      </c>
      <c r="AY439" s="207" t="s">
        <v>4409</v>
      </c>
      <c r="AZ439" s="207" t="s">
        <v>4409</v>
      </c>
      <c r="BA439" s="207" t="s">
        <v>4409</v>
      </c>
      <c r="BB439" s="207"/>
      <c r="BC439" s="202"/>
      <c r="BD439" s="208"/>
      <c r="BE439" s="202"/>
      <c r="BF439" s="207"/>
      <c r="BG439" s="229"/>
      <c r="BH439" s="321" t="str">
        <f t="shared" si="29"/>
        <v/>
      </c>
      <c r="BI439" s="98" t="str">
        <f t="shared" si="30"/>
        <v>AA</v>
      </c>
      <c r="BJ439" s="98" t="str">
        <f t="shared" si="31"/>
        <v>NÃO</v>
      </c>
      <c r="BK439" s="230"/>
      <c r="BL439" s="230"/>
      <c r="BM439" s="230"/>
      <c r="BN439" s="230"/>
      <c r="BO439" s="230"/>
      <c r="BP439" s="230"/>
      <c r="BQ439" s="230"/>
      <c r="BR439" s="234"/>
    </row>
    <row r="440" spans="1:71" s="240" customFormat="1" ht="27" hidden="1" customHeight="1">
      <c r="A440" s="197">
        <v>436</v>
      </c>
      <c r="B440" s="197" t="s">
        <v>4396</v>
      </c>
      <c r="C440" s="207" t="s">
        <v>4427</v>
      </c>
      <c r="D440" s="207">
        <v>1</v>
      </c>
      <c r="E440" s="207" t="s">
        <v>4398</v>
      </c>
      <c r="F440" s="214" t="s">
        <v>6327</v>
      </c>
      <c r="G440" s="207" t="s">
        <v>4400</v>
      </c>
      <c r="H440" s="207" t="s">
        <v>4401</v>
      </c>
      <c r="I440" s="217" t="s">
        <v>4402</v>
      </c>
      <c r="J440" s="215" t="s">
        <v>6328</v>
      </c>
      <c r="K440" s="215" t="s">
        <v>6329</v>
      </c>
      <c r="L440" s="215" t="s">
        <v>6330</v>
      </c>
      <c r="M440" s="207" t="s">
        <v>4405</v>
      </c>
      <c r="N440" s="207" t="s">
        <v>4442</v>
      </c>
      <c r="O440" s="202" t="s">
        <v>4409</v>
      </c>
      <c r="P440" s="202" t="s">
        <v>4409</v>
      </c>
      <c r="Q440" s="202" t="s">
        <v>4409</v>
      </c>
      <c r="R440" s="202" t="s">
        <v>4409</v>
      </c>
      <c r="S440" s="202" t="s">
        <v>4409</v>
      </c>
      <c r="T440" s="202" t="s">
        <v>4409</v>
      </c>
      <c r="U440" s="202" t="s">
        <v>4409</v>
      </c>
      <c r="V440" s="202" t="s">
        <v>4409</v>
      </c>
      <c r="W440" s="202" t="s">
        <v>4409</v>
      </c>
      <c r="X440" s="202" t="s">
        <v>4409</v>
      </c>
      <c r="Y440" s="202"/>
      <c r="Z440" s="202"/>
      <c r="AA440" s="281" t="s">
        <v>6331</v>
      </c>
      <c r="AB440" s="200" t="s">
        <v>6329</v>
      </c>
      <c r="AC440" s="200" t="s">
        <v>6330</v>
      </c>
      <c r="AD440" s="197" t="s">
        <v>4402</v>
      </c>
      <c r="AE440" s="197" t="s">
        <v>4405</v>
      </c>
      <c r="AF440" s="243">
        <v>26596.43</v>
      </c>
      <c r="AG440" s="243">
        <v>56596.43</v>
      </c>
      <c r="AH440" s="197" t="s">
        <v>4433</v>
      </c>
      <c r="AI440" s="214" t="s">
        <v>4411</v>
      </c>
      <c r="AJ440" s="207">
        <v>150610695</v>
      </c>
      <c r="AK440" s="316">
        <v>46099</v>
      </c>
      <c r="AL440" s="316">
        <v>46099</v>
      </c>
      <c r="AM440" s="316">
        <v>46099</v>
      </c>
      <c r="AN440" s="316">
        <v>46099</v>
      </c>
      <c r="AO440" s="316">
        <v>46099</v>
      </c>
      <c r="AP440" s="316">
        <v>46099</v>
      </c>
      <c r="AQ440" s="314"/>
      <c r="AR440" s="315" t="str">
        <f t="shared" si="28"/>
        <v>FINALIZADO</v>
      </c>
      <c r="AS440" s="207" t="s">
        <v>4423</v>
      </c>
      <c r="AT440" s="207"/>
      <c r="AU440" s="220" t="s">
        <v>6332</v>
      </c>
      <c r="AV440" s="207" t="s">
        <v>4425</v>
      </c>
      <c r="AW440" s="207" t="s">
        <v>4425</v>
      </c>
      <c r="AX440" s="207" t="s">
        <v>4425</v>
      </c>
      <c r="AY440" s="207" t="s">
        <v>4425</v>
      </c>
      <c r="AZ440" s="202">
        <v>46150</v>
      </c>
      <c r="BA440" s="207" t="s">
        <v>4425</v>
      </c>
      <c r="BB440" s="207" t="s">
        <v>4425</v>
      </c>
      <c r="BC440" s="202">
        <v>46234</v>
      </c>
      <c r="BD440" s="226">
        <v>46234</v>
      </c>
      <c r="BE440" s="227" t="s">
        <v>4435</v>
      </c>
      <c r="BF440" s="257" t="s">
        <v>4436</v>
      </c>
      <c r="BG440" s="219" t="s">
        <v>4425</v>
      </c>
      <c r="BH440" s="321">
        <f t="shared" si="29"/>
        <v>135</v>
      </c>
      <c r="BI440" s="98" t="str">
        <f t="shared" si="30"/>
        <v>INDENIZAÇÃO</v>
      </c>
      <c r="BJ440" s="98" t="str">
        <f t="shared" si="31"/>
        <v>NÃO</v>
      </c>
      <c r="BK440" s="219" t="s">
        <v>4437</v>
      </c>
      <c r="BL440" s="219" t="s">
        <v>4437</v>
      </c>
      <c r="BM440" s="219" t="s">
        <v>4437</v>
      </c>
      <c r="BN440" s="257" t="s">
        <v>5732</v>
      </c>
      <c r="BO440" s="257"/>
      <c r="BP440" s="257"/>
      <c r="BQ440" s="257"/>
      <c r="BR440" s="258"/>
      <c r="BS440" s="223"/>
    </row>
    <row r="441" spans="1:71" s="240" customFormat="1" ht="27" hidden="1" customHeight="1">
      <c r="A441" s="207">
        <v>437</v>
      </c>
      <c r="B441" s="197" t="s">
        <v>4396</v>
      </c>
      <c r="C441" s="207" t="s">
        <v>4427</v>
      </c>
      <c r="D441" s="207">
        <v>1</v>
      </c>
      <c r="E441" s="207" t="s">
        <v>4398</v>
      </c>
      <c r="F441" s="214" t="s">
        <v>6333</v>
      </c>
      <c r="G441" s="207" t="s">
        <v>4400</v>
      </c>
      <c r="H441" s="207" t="s">
        <v>4428</v>
      </c>
      <c r="I441" s="233" t="s">
        <v>4421</v>
      </c>
      <c r="J441" s="215" t="s">
        <v>6334</v>
      </c>
      <c r="K441" s="215" t="s">
        <v>6335</v>
      </c>
      <c r="L441" s="215" t="s">
        <v>6336</v>
      </c>
      <c r="M441" s="207" t="s">
        <v>4405</v>
      </c>
      <c r="N441" s="207" t="s">
        <v>4442</v>
      </c>
      <c r="O441" s="202" t="s">
        <v>4409</v>
      </c>
      <c r="P441" s="202" t="s">
        <v>4409</v>
      </c>
      <c r="Q441" s="202" t="s">
        <v>4409</v>
      </c>
      <c r="R441" s="202" t="s">
        <v>4409</v>
      </c>
      <c r="S441" s="202" t="s">
        <v>4409</v>
      </c>
      <c r="T441" s="202" t="s">
        <v>4409</v>
      </c>
      <c r="U441" s="202" t="s">
        <v>4409</v>
      </c>
      <c r="V441" s="202" t="s">
        <v>4409</v>
      </c>
      <c r="W441" s="202" t="s">
        <v>4409</v>
      </c>
      <c r="X441" s="202" t="s">
        <v>4409</v>
      </c>
      <c r="Y441" s="202"/>
      <c r="Z441" s="202"/>
      <c r="AA441" s="282" t="s">
        <v>6334</v>
      </c>
      <c r="AB441" s="215" t="s">
        <v>6335</v>
      </c>
      <c r="AC441" s="215" t="s">
        <v>6336</v>
      </c>
      <c r="AD441" s="233" t="s">
        <v>4421</v>
      </c>
      <c r="AE441" s="207" t="s">
        <v>4405</v>
      </c>
      <c r="AF441" s="218">
        <v>88066.78</v>
      </c>
      <c r="AG441" s="218">
        <v>88066.78</v>
      </c>
      <c r="AH441" s="207" t="s">
        <v>4433</v>
      </c>
      <c r="AI441" s="214" t="s">
        <v>4411</v>
      </c>
      <c r="AJ441" s="207">
        <v>150610887</v>
      </c>
      <c r="AK441" s="316">
        <v>46111</v>
      </c>
      <c r="AL441" s="316">
        <v>46111</v>
      </c>
      <c r="AM441" s="316">
        <v>46111</v>
      </c>
      <c r="AN441" s="316">
        <v>46111</v>
      </c>
      <c r="AO441" s="316">
        <v>46111</v>
      </c>
      <c r="AP441" s="316">
        <v>46111</v>
      </c>
      <c r="AQ441" s="314"/>
      <c r="AR441" s="315" t="str">
        <f t="shared" si="28"/>
        <v>FINALIZADO</v>
      </c>
      <c r="AS441" s="207" t="s">
        <v>4423</v>
      </c>
      <c r="AT441" s="207"/>
      <c r="AU441" s="220" t="s">
        <v>6337</v>
      </c>
      <c r="AV441" s="207" t="s">
        <v>4425</v>
      </c>
      <c r="AW441" s="207" t="s">
        <v>4425</v>
      </c>
      <c r="AX441" s="207" t="s">
        <v>4425</v>
      </c>
      <c r="AY441" s="207" t="s">
        <v>4425</v>
      </c>
      <c r="AZ441" s="202">
        <v>46153</v>
      </c>
      <c r="BA441" s="207" t="s">
        <v>4425</v>
      </c>
      <c r="BB441" s="207" t="s">
        <v>4425</v>
      </c>
      <c r="BC441" s="202">
        <v>46161</v>
      </c>
      <c r="BD441" s="227">
        <v>46161</v>
      </c>
      <c r="BE441" s="227" t="s">
        <v>4435</v>
      </c>
      <c r="BF441" s="228" t="s">
        <v>4436</v>
      </c>
      <c r="BG441" s="219" t="s">
        <v>4425</v>
      </c>
      <c r="BH441" s="321">
        <f t="shared" si="29"/>
        <v>50</v>
      </c>
      <c r="BI441" s="98" t="str">
        <f t="shared" si="30"/>
        <v>INDENIZAÇÃO</v>
      </c>
      <c r="BJ441" s="98" t="str">
        <f t="shared" si="31"/>
        <v>NÃO</v>
      </c>
      <c r="BK441" s="219" t="s">
        <v>4437</v>
      </c>
      <c r="BL441" s="219" t="s">
        <v>4437</v>
      </c>
      <c r="BM441" s="219" t="s">
        <v>4437</v>
      </c>
      <c r="BN441" s="257" t="s">
        <v>5732</v>
      </c>
      <c r="BO441" s="257"/>
      <c r="BP441" s="257"/>
      <c r="BQ441" s="257"/>
      <c r="BR441" s="258"/>
    </row>
    <row r="442" spans="1:71" s="240" customFormat="1" ht="27" hidden="1" customHeight="1">
      <c r="A442" s="207">
        <v>438</v>
      </c>
      <c r="B442" s="197" t="s">
        <v>4396</v>
      </c>
      <c r="C442" s="207" t="s">
        <v>4427</v>
      </c>
      <c r="D442" s="207">
        <v>1</v>
      </c>
      <c r="E442" s="207" t="s">
        <v>4398</v>
      </c>
      <c r="F442" s="214" t="s">
        <v>6338</v>
      </c>
      <c r="G442" s="207" t="s">
        <v>4400</v>
      </c>
      <c r="H442" s="207" t="s">
        <v>4583</v>
      </c>
      <c r="I442" s="249" t="s">
        <v>4402</v>
      </c>
      <c r="J442" s="215" t="s">
        <v>6339</v>
      </c>
      <c r="K442" s="215" t="s">
        <v>6340</v>
      </c>
      <c r="L442" s="215" t="s">
        <v>6341</v>
      </c>
      <c r="M442" s="207" t="s">
        <v>4405</v>
      </c>
      <c r="N442" s="207" t="s">
        <v>4442</v>
      </c>
      <c r="O442" s="202" t="s">
        <v>4409</v>
      </c>
      <c r="P442" s="202" t="s">
        <v>4409</v>
      </c>
      <c r="Q442" s="202" t="s">
        <v>4409</v>
      </c>
      <c r="R442" s="202" t="s">
        <v>4409</v>
      </c>
      <c r="S442" s="202" t="s">
        <v>4409</v>
      </c>
      <c r="T442" s="202" t="s">
        <v>4409</v>
      </c>
      <c r="U442" s="202" t="s">
        <v>4409</v>
      </c>
      <c r="V442" s="202" t="s">
        <v>4409</v>
      </c>
      <c r="W442" s="202" t="s">
        <v>4409</v>
      </c>
      <c r="X442" s="202" t="s">
        <v>4409</v>
      </c>
      <c r="Y442" s="202"/>
      <c r="Z442" s="202"/>
      <c r="AA442" s="215" t="s">
        <v>6339</v>
      </c>
      <c r="AB442" s="215" t="s">
        <v>6340</v>
      </c>
      <c r="AC442" s="215" t="s">
        <v>6341</v>
      </c>
      <c r="AD442" s="207" t="s">
        <v>4402</v>
      </c>
      <c r="AE442" s="207" t="s">
        <v>4405</v>
      </c>
      <c r="AF442" s="218">
        <v>52681.2</v>
      </c>
      <c r="AG442" s="218">
        <v>60000</v>
      </c>
      <c r="AH442" s="207" t="s">
        <v>4433</v>
      </c>
      <c r="AI442" s="214" t="s">
        <v>4411</v>
      </c>
      <c r="AJ442" s="207">
        <v>148265516</v>
      </c>
      <c r="AK442" s="316">
        <v>46045</v>
      </c>
      <c r="AL442" s="316">
        <v>46045</v>
      </c>
      <c r="AM442" s="316">
        <v>46045</v>
      </c>
      <c r="AN442" s="316">
        <v>46045</v>
      </c>
      <c r="AO442" s="316">
        <v>46045</v>
      </c>
      <c r="AP442" s="316">
        <v>46045</v>
      </c>
      <c r="AQ442" s="314"/>
      <c r="AR442" s="315" t="str">
        <f t="shared" si="28"/>
        <v>FINALIZADO</v>
      </c>
      <c r="AS442" s="207" t="s">
        <v>4423</v>
      </c>
      <c r="AT442" s="207"/>
      <c r="AU442" s="220" t="s">
        <v>6342</v>
      </c>
      <c r="AV442" s="207" t="s">
        <v>4425</v>
      </c>
      <c r="AW442" s="207" t="s">
        <v>4425</v>
      </c>
      <c r="AX442" s="207" t="s">
        <v>4425</v>
      </c>
      <c r="AY442" s="197" t="s">
        <v>4425</v>
      </c>
      <c r="AZ442" s="202">
        <v>46153</v>
      </c>
      <c r="BA442" s="207" t="s">
        <v>4425</v>
      </c>
      <c r="BB442" s="207" t="s">
        <v>4425</v>
      </c>
      <c r="BC442" s="202">
        <v>46161</v>
      </c>
      <c r="BD442" s="227">
        <v>46161</v>
      </c>
      <c r="BE442" s="227" t="s">
        <v>4435</v>
      </c>
      <c r="BF442" s="228" t="s">
        <v>4436</v>
      </c>
      <c r="BG442" s="219" t="s">
        <v>4425</v>
      </c>
      <c r="BH442" s="321">
        <f t="shared" si="29"/>
        <v>116</v>
      </c>
      <c r="BI442" s="98" t="str">
        <f t="shared" si="30"/>
        <v>INDENIZAÇÃO</v>
      </c>
      <c r="BJ442" s="98" t="str">
        <f t="shared" si="31"/>
        <v>NÃO</v>
      </c>
      <c r="BK442" s="219" t="s">
        <v>4437</v>
      </c>
      <c r="BL442" s="219" t="s">
        <v>4437</v>
      </c>
      <c r="BM442" s="219" t="s">
        <v>4437</v>
      </c>
      <c r="BN442" s="257" t="s">
        <v>5732</v>
      </c>
      <c r="BO442" s="257"/>
      <c r="BP442" s="257"/>
      <c r="BQ442" s="257"/>
      <c r="BR442" s="258"/>
    </row>
    <row r="443" spans="1:71" s="240" customFormat="1" ht="27" hidden="1" customHeight="1">
      <c r="A443" s="207">
        <v>439</v>
      </c>
      <c r="B443" s="197" t="s">
        <v>4396</v>
      </c>
      <c r="C443" s="207" t="s">
        <v>4427</v>
      </c>
      <c r="D443" s="207">
        <v>1</v>
      </c>
      <c r="E443" s="207" t="s">
        <v>4398</v>
      </c>
      <c r="F443" s="214" t="s">
        <v>6343</v>
      </c>
      <c r="G443" s="207" t="s">
        <v>4400</v>
      </c>
      <c r="H443" s="207" t="s">
        <v>4401</v>
      </c>
      <c r="I443" s="217" t="s">
        <v>4402</v>
      </c>
      <c r="J443" s="215" t="s">
        <v>6344</v>
      </c>
      <c r="K443" s="215" t="s">
        <v>6345</v>
      </c>
      <c r="L443" s="215" t="s">
        <v>6346</v>
      </c>
      <c r="M443" s="207" t="s">
        <v>4405</v>
      </c>
      <c r="N443" s="207" t="s">
        <v>4406</v>
      </c>
      <c r="O443" s="202">
        <v>45986</v>
      </c>
      <c r="P443" s="203" t="s">
        <v>4407</v>
      </c>
      <c r="Q443" s="203">
        <v>45985</v>
      </c>
      <c r="R443" s="203">
        <v>45986</v>
      </c>
      <c r="S443" s="203">
        <v>45987</v>
      </c>
      <c r="T443" s="203">
        <v>45992</v>
      </c>
      <c r="U443" s="203" t="s">
        <v>4408</v>
      </c>
      <c r="V443" s="203" t="s">
        <v>4408</v>
      </c>
      <c r="W443" s="202">
        <v>45999</v>
      </c>
      <c r="X443" s="202">
        <v>46000</v>
      </c>
      <c r="Y443" s="203"/>
      <c r="Z443" s="219"/>
      <c r="AA443" s="215" t="s">
        <v>6344</v>
      </c>
      <c r="AB443" s="215" t="s">
        <v>6345</v>
      </c>
      <c r="AC443" s="215" t="s">
        <v>6346</v>
      </c>
      <c r="AD443" s="217" t="s">
        <v>4402</v>
      </c>
      <c r="AE443" s="207" t="s">
        <v>4405</v>
      </c>
      <c r="AF443" s="218" t="s">
        <v>4409</v>
      </c>
      <c r="AG443" s="218" t="s">
        <v>4409</v>
      </c>
      <c r="AH443" s="241" t="s">
        <v>4410</v>
      </c>
      <c r="AI443" s="214" t="s">
        <v>4411</v>
      </c>
      <c r="AJ443" s="207"/>
      <c r="AK443" s="316">
        <v>45980</v>
      </c>
      <c r="AL443" s="316">
        <v>45980</v>
      </c>
      <c r="AM443" s="316">
        <v>45980</v>
      </c>
      <c r="AN443" s="316">
        <v>45980</v>
      </c>
      <c r="AO443" s="316">
        <v>45980</v>
      </c>
      <c r="AP443" s="316">
        <v>45980</v>
      </c>
      <c r="AQ443" s="314"/>
      <c r="AR443" s="315" t="str">
        <f t="shared" si="28"/>
        <v>FINALIZADO</v>
      </c>
      <c r="AS443" s="207"/>
      <c r="AT443" s="219"/>
      <c r="AU443" s="220"/>
      <c r="AV443" s="207"/>
      <c r="AW443" s="207"/>
      <c r="AX443" s="207" t="s">
        <v>4409</v>
      </c>
      <c r="AY443" s="197" t="s">
        <v>4409</v>
      </c>
      <c r="AZ443" s="207" t="s">
        <v>4409</v>
      </c>
      <c r="BA443" s="207" t="s">
        <v>4409</v>
      </c>
      <c r="BB443" s="219"/>
      <c r="BC443" s="219"/>
      <c r="BD443" s="208"/>
      <c r="BE443" s="202"/>
      <c r="BF443" s="207"/>
      <c r="BG443" s="229"/>
      <c r="BH443" s="321" t="str">
        <f t="shared" si="29"/>
        <v/>
      </c>
      <c r="BI443" s="98" t="str">
        <f t="shared" si="30"/>
        <v>AA</v>
      </c>
      <c r="BJ443" s="98" t="str">
        <f t="shared" si="31"/>
        <v>NÃO</v>
      </c>
      <c r="BK443" s="230"/>
      <c r="BL443" s="230"/>
      <c r="BM443" s="230"/>
      <c r="BN443" s="230"/>
      <c r="BO443" s="230"/>
      <c r="BP443" s="230"/>
      <c r="BQ443" s="230"/>
      <c r="BR443" s="234"/>
    </row>
    <row r="444" spans="1:71" s="240" customFormat="1" ht="27" hidden="1" customHeight="1">
      <c r="A444" s="197">
        <v>440</v>
      </c>
      <c r="B444" s="197" t="s">
        <v>4396</v>
      </c>
      <c r="C444" s="207" t="s">
        <v>4427</v>
      </c>
      <c r="D444" s="207">
        <v>1</v>
      </c>
      <c r="E444" s="207" t="s">
        <v>4398</v>
      </c>
      <c r="F444" s="214" t="s">
        <v>6347</v>
      </c>
      <c r="G444" s="207" t="s">
        <v>4400</v>
      </c>
      <c r="H444" s="207" t="s">
        <v>4401</v>
      </c>
      <c r="I444" s="217" t="s">
        <v>4402</v>
      </c>
      <c r="J444" s="215" t="s">
        <v>6348</v>
      </c>
      <c r="K444" s="215" t="s">
        <v>6349</v>
      </c>
      <c r="L444" s="215" t="s">
        <v>6350</v>
      </c>
      <c r="M444" s="207" t="s">
        <v>4405</v>
      </c>
      <c r="N444" s="207" t="s">
        <v>4406</v>
      </c>
      <c r="O444" s="202">
        <v>45986</v>
      </c>
      <c r="P444" s="203" t="s">
        <v>4407</v>
      </c>
      <c r="Q444" s="203">
        <v>45985</v>
      </c>
      <c r="R444" s="203">
        <v>45986</v>
      </c>
      <c r="S444" s="203">
        <v>45987</v>
      </c>
      <c r="T444" s="203">
        <v>45992</v>
      </c>
      <c r="U444" s="203" t="s">
        <v>4408</v>
      </c>
      <c r="V444" s="203" t="s">
        <v>4408</v>
      </c>
      <c r="W444" s="202">
        <v>45999</v>
      </c>
      <c r="X444" s="202">
        <v>46000</v>
      </c>
      <c r="Y444" s="203"/>
      <c r="Z444" s="219"/>
      <c r="AA444" s="215" t="s">
        <v>6348</v>
      </c>
      <c r="AB444" s="215" t="s">
        <v>6349</v>
      </c>
      <c r="AC444" s="215" t="s">
        <v>6350</v>
      </c>
      <c r="AD444" s="217" t="s">
        <v>4402</v>
      </c>
      <c r="AE444" s="207" t="s">
        <v>4405</v>
      </c>
      <c r="AF444" s="218" t="s">
        <v>4409</v>
      </c>
      <c r="AG444" s="218" t="s">
        <v>4409</v>
      </c>
      <c r="AH444" s="241" t="s">
        <v>4410</v>
      </c>
      <c r="AI444" s="214" t="s">
        <v>4411</v>
      </c>
      <c r="AJ444" s="207"/>
      <c r="AK444" s="316">
        <v>45980</v>
      </c>
      <c r="AL444" s="316">
        <v>45980</v>
      </c>
      <c r="AM444" s="316">
        <v>45980</v>
      </c>
      <c r="AN444" s="316">
        <v>45980</v>
      </c>
      <c r="AO444" s="316">
        <v>45980</v>
      </c>
      <c r="AP444" s="316">
        <v>45980</v>
      </c>
      <c r="AQ444" s="314"/>
      <c r="AR444" s="315" t="str">
        <f t="shared" si="28"/>
        <v>FINALIZADO</v>
      </c>
      <c r="AS444" s="207"/>
      <c r="AT444" s="219"/>
      <c r="AU444" s="220"/>
      <c r="AV444" s="207"/>
      <c r="AW444" s="207"/>
      <c r="AX444" s="207" t="s">
        <v>4409</v>
      </c>
      <c r="AY444" s="207" t="s">
        <v>4409</v>
      </c>
      <c r="AZ444" s="207" t="s">
        <v>4409</v>
      </c>
      <c r="BA444" s="207" t="s">
        <v>4409</v>
      </c>
      <c r="BB444" s="219"/>
      <c r="BC444" s="219"/>
      <c r="BD444" s="208"/>
      <c r="BE444" s="202"/>
      <c r="BF444" s="207"/>
      <c r="BG444" s="229"/>
      <c r="BH444" s="321" t="str">
        <f t="shared" si="29"/>
        <v/>
      </c>
      <c r="BI444" s="98" t="str">
        <f t="shared" si="30"/>
        <v>AA</v>
      </c>
      <c r="BJ444" s="98" t="str">
        <f t="shared" si="31"/>
        <v>NÃO</v>
      </c>
      <c r="BK444" s="230"/>
      <c r="BL444" s="230"/>
      <c r="BM444" s="230"/>
      <c r="BN444" s="230"/>
      <c r="BO444" s="230"/>
      <c r="BP444" s="230"/>
      <c r="BQ444" s="230"/>
      <c r="BR444" s="234"/>
    </row>
    <row r="445" spans="1:71" s="240" customFormat="1" ht="27" hidden="1" customHeight="1">
      <c r="A445" s="197">
        <v>441</v>
      </c>
      <c r="B445" s="197" t="s">
        <v>4396</v>
      </c>
      <c r="C445" s="207" t="s">
        <v>4427</v>
      </c>
      <c r="D445" s="207">
        <v>1</v>
      </c>
      <c r="E445" s="207" t="s">
        <v>4398</v>
      </c>
      <c r="F445" s="214" t="s">
        <v>6351</v>
      </c>
      <c r="G445" s="207" t="s">
        <v>4400</v>
      </c>
      <c r="H445" s="207" t="s">
        <v>4401</v>
      </c>
      <c r="I445" s="217" t="s">
        <v>4402</v>
      </c>
      <c r="J445" s="215" t="s">
        <v>6352</v>
      </c>
      <c r="K445" s="215" t="s">
        <v>6353</v>
      </c>
      <c r="L445" s="215" t="s">
        <v>6354</v>
      </c>
      <c r="M445" s="207" t="s">
        <v>4405</v>
      </c>
      <c r="N445" s="207" t="s">
        <v>4406</v>
      </c>
      <c r="O445" s="202">
        <v>46002</v>
      </c>
      <c r="P445" s="202" t="s">
        <v>4407</v>
      </c>
      <c r="Q445" s="202">
        <v>45999</v>
      </c>
      <c r="R445" s="202">
        <v>46006</v>
      </c>
      <c r="S445" s="202">
        <v>46006</v>
      </c>
      <c r="T445" s="202">
        <v>46009</v>
      </c>
      <c r="U445" s="202" t="s">
        <v>4408</v>
      </c>
      <c r="V445" s="202" t="s">
        <v>4408</v>
      </c>
      <c r="W445" s="202">
        <v>46014</v>
      </c>
      <c r="X445" s="202">
        <v>46017</v>
      </c>
      <c r="Y445" s="203"/>
      <c r="Z445" s="219"/>
      <c r="AA445" s="215" t="s">
        <v>6352</v>
      </c>
      <c r="AB445" s="215" t="s">
        <v>6353</v>
      </c>
      <c r="AC445" s="215" t="s">
        <v>6354</v>
      </c>
      <c r="AD445" s="217" t="s">
        <v>4402</v>
      </c>
      <c r="AE445" s="207" t="s">
        <v>4405</v>
      </c>
      <c r="AF445" s="218" t="s">
        <v>4409</v>
      </c>
      <c r="AG445" s="218" t="s">
        <v>4409</v>
      </c>
      <c r="AH445" s="197" t="s">
        <v>4410</v>
      </c>
      <c r="AI445" s="214" t="s">
        <v>4411</v>
      </c>
      <c r="AJ445" s="207"/>
      <c r="AK445" s="316">
        <v>45996</v>
      </c>
      <c r="AL445" s="316">
        <v>45996</v>
      </c>
      <c r="AM445" s="316">
        <v>45996</v>
      </c>
      <c r="AN445" s="316">
        <v>45996</v>
      </c>
      <c r="AO445" s="316">
        <v>45996</v>
      </c>
      <c r="AP445" s="316">
        <v>45996</v>
      </c>
      <c r="AQ445" s="314"/>
      <c r="AR445" s="315" t="str">
        <f t="shared" si="28"/>
        <v>FINALIZADO</v>
      </c>
      <c r="AS445" s="207"/>
      <c r="AT445" s="219"/>
      <c r="AU445" s="220"/>
      <c r="AV445" s="219"/>
      <c r="AW445" s="219"/>
      <c r="AX445" s="219"/>
      <c r="AY445" s="219"/>
      <c r="AZ445" s="219"/>
      <c r="BA445" s="219"/>
      <c r="BB445" s="219"/>
      <c r="BC445" s="219"/>
      <c r="BD445" s="208"/>
      <c r="BE445" s="202"/>
      <c r="BF445" s="207"/>
      <c r="BG445" s="229"/>
      <c r="BH445" s="321" t="str">
        <f t="shared" si="29"/>
        <v/>
      </c>
      <c r="BI445" s="98" t="str">
        <f t="shared" si="30"/>
        <v>AA</v>
      </c>
      <c r="BJ445" s="98" t="str">
        <f t="shared" si="31"/>
        <v>NÃO</v>
      </c>
      <c r="BK445" s="230"/>
      <c r="BL445" s="230"/>
      <c r="BM445" s="230"/>
      <c r="BN445" s="230"/>
      <c r="BO445" s="230"/>
      <c r="BP445" s="230"/>
      <c r="BQ445" s="230"/>
      <c r="BR445" s="234"/>
    </row>
    <row r="446" spans="1:71" s="240" customFormat="1" ht="27" hidden="1" customHeight="1">
      <c r="A446" s="207">
        <v>442</v>
      </c>
      <c r="B446" s="197" t="s">
        <v>4396</v>
      </c>
      <c r="C446" s="207" t="s">
        <v>4427</v>
      </c>
      <c r="D446" s="207">
        <v>1</v>
      </c>
      <c r="E446" s="207" t="s">
        <v>4398</v>
      </c>
      <c r="F446" s="214" t="s">
        <v>6355</v>
      </c>
      <c r="G446" s="207" t="s">
        <v>4400</v>
      </c>
      <c r="H446" s="207" t="s">
        <v>4401</v>
      </c>
      <c r="I446" s="217" t="s">
        <v>4402</v>
      </c>
      <c r="J446" s="215" t="s">
        <v>6356</v>
      </c>
      <c r="K446" s="215" t="s">
        <v>6357</v>
      </c>
      <c r="L446" s="215" t="s">
        <v>6358</v>
      </c>
      <c r="M446" s="207" t="s">
        <v>4405</v>
      </c>
      <c r="N446" s="207" t="s">
        <v>4406</v>
      </c>
      <c r="O446" s="202">
        <v>45986</v>
      </c>
      <c r="P446" s="203" t="s">
        <v>4407</v>
      </c>
      <c r="Q446" s="203">
        <v>45985</v>
      </c>
      <c r="R446" s="203">
        <v>45986</v>
      </c>
      <c r="S446" s="203">
        <v>45987</v>
      </c>
      <c r="T446" s="203">
        <v>45992</v>
      </c>
      <c r="U446" s="202" t="s">
        <v>4408</v>
      </c>
      <c r="V446" s="202" t="s">
        <v>4408</v>
      </c>
      <c r="W446" s="202">
        <v>45999</v>
      </c>
      <c r="X446" s="202">
        <v>46001</v>
      </c>
      <c r="Y446" s="202"/>
      <c r="Z446" s="207"/>
      <c r="AA446" s="215" t="s">
        <v>6356</v>
      </c>
      <c r="AB446" s="215" t="s">
        <v>6357</v>
      </c>
      <c r="AC446" s="215" t="s">
        <v>6358</v>
      </c>
      <c r="AD446" s="217" t="s">
        <v>4402</v>
      </c>
      <c r="AE446" s="207" t="s">
        <v>4405</v>
      </c>
      <c r="AF446" s="218" t="s">
        <v>4409</v>
      </c>
      <c r="AG446" s="218" t="s">
        <v>4409</v>
      </c>
      <c r="AH446" s="197" t="s">
        <v>4410</v>
      </c>
      <c r="AI446" s="214" t="s">
        <v>4411</v>
      </c>
      <c r="AJ446" s="207"/>
      <c r="AK446" s="316">
        <v>45980</v>
      </c>
      <c r="AL446" s="316">
        <v>45980</v>
      </c>
      <c r="AM446" s="316">
        <v>45980</v>
      </c>
      <c r="AN446" s="316">
        <v>45980</v>
      </c>
      <c r="AO446" s="316">
        <v>45980</v>
      </c>
      <c r="AP446" s="316">
        <v>45980</v>
      </c>
      <c r="AQ446" s="314"/>
      <c r="AR446" s="315" t="str">
        <f t="shared" si="28"/>
        <v>FINALIZADO</v>
      </c>
      <c r="AS446" s="207"/>
      <c r="AT446" s="207"/>
      <c r="AU446" s="220"/>
      <c r="AV446" s="207"/>
      <c r="AW446" s="207"/>
      <c r="AX446" s="207" t="s">
        <v>4409</v>
      </c>
      <c r="AY446" s="207" t="s">
        <v>4409</v>
      </c>
      <c r="AZ446" s="207" t="s">
        <v>4409</v>
      </c>
      <c r="BA446" s="207" t="s">
        <v>4409</v>
      </c>
      <c r="BB446" s="207"/>
      <c r="BC446" s="202"/>
      <c r="BD446" s="208"/>
      <c r="BE446" s="202"/>
      <c r="BF446" s="207"/>
      <c r="BG446" s="229"/>
      <c r="BH446" s="321" t="str">
        <f t="shared" si="29"/>
        <v/>
      </c>
      <c r="BI446" s="98" t="str">
        <f t="shared" si="30"/>
        <v>AA</v>
      </c>
      <c r="BJ446" s="98" t="str">
        <f t="shared" si="31"/>
        <v>NÃO</v>
      </c>
      <c r="BK446" s="230"/>
      <c r="BL446" s="230"/>
      <c r="BM446" s="230"/>
      <c r="BN446" s="230"/>
      <c r="BO446" s="230"/>
      <c r="BP446" s="230"/>
      <c r="BQ446" s="230"/>
      <c r="BR446" s="234"/>
    </row>
    <row r="447" spans="1:71" s="240" customFormat="1" ht="27" hidden="1" customHeight="1">
      <c r="A447" s="207">
        <v>443</v>
      </c>
      <c r="B447" s="197" t="s">
        <v>4396</v>
      </c>
      <c r="C447" s="207" t="s">
        <v>4427</v>
      </c>
      <c r="D447" s="207">
        <v>1</v>
      </c>
      <c r="E447" s="207" t="s">
        <v>4398</v>
      </c>
      <c r="F447" s="214" t="s">
        <v>6359</v>
      </c>
      <c r="G447" s="207" t="s">
        <v>4400</v>
      </c>
      <c r="H447" s="207" t="s">
        <v>4401</v>
      </c>
      <c r="I447" s="217" t="s">
        <v>4402</v>
      </c>
      <c r="J447" s="242" t="s">
        <v>6360</v>
      </c>
      <c r="K447" s="215" t="s">
        <v>6361</v>
      </c>
      <c r="L447" s="215" t="s">
        <v>6362</v>
      </c>
      <c r="M447" s="207" t="s">
        <v>4405</v>
      </c>
      <c r="N447" s="207" t="s">
        <v>4442</v>
      </c>
      <c r="O447" s="202" t="s">
        <v>4409</v>
      </c>
      <c r="P447" s="202" t="s">
        <v>4409</v>
      </c>
      <c r="Q447" s="202" t="s">
        <v>4409</v>
      </c>
      <c r="R447" s="202" t="s">
        <v>4409</v>
      </c>
      <c r="S447" s="202" t="s">
        <v>4409</v>
      </c>
      <c r="T447" s="202" t="s">
        <v>4409</v>
      </c>
      <c r="U447" s="202" t="s">
        <v>4409</v>
      </c>
      <c r="V447" s="202" t="s">
        <v>4409</v>
      </c>
      <c r="W447" s="202" t="s">
        <v>4409</v>
      </c>
      <c r="X447" s="202" t="s">
        <v>4409</v>
      </c>
      <c r="Y447" s="202"/>
      <c r="Z447" s="202"/>
      <c r="AA447" s="200" t="s">
        <v>6360</v>
      </c>
      <c r="AB447" s="200" t="s">
        <v>6361</v>
      </c>
      <c r="AC447" s="200" t="s">
        <v>6362</v>
      </c>
      <c r="AD447" s="197" t="s">
        <v>4402</v>
      </c>
      <c r="AE447" s="197" t="s">
        <v>4405</v>
      </c>
      <c r="AF447" s="243">
        <v>57756.74</v>
      </c>
      <c r="AG447" s="243">
        <v>60000</v>
      </c>
      <c r="AH447" s="197" t="s">
        <v>4433</v>
      </c>
      <c r="AI447" s="214" t="s">
        <v>4411</v>
      </c>
      <c r="AJ447" s="207">
        <v>147059234</v>
      </c>
      <c r="AK447" s="316">
        <v>46001</v>
      </c>
      <c r="AL447" s="316">
        <v>46001</v>
      </c>
      <c r="AM447" s="316">
        <v>46001</v>
      </c>
      <c r="AN447" s="316">
        <v>46001</v>
      </c>
      <c r="AO447" s="316">
        <v>46001</v>
      </c>
      <c r="AP447" s="316">
        <v>46001</v>
      </c>
      <c r="AQ447" s="314"/>
      <c r="AR447" s="315" t="str">
        <f t="shared" si="28"/>
        <v>FINALIZADO</v>
      </c>
      <c r="AS447" s="207" t="s">
        <v>4423</v>
      </c>
      <c r="AT447" s="207"/>
      <c r="AU447" s="220" t="s">
        <v>6363</v>
      </c>
      <c r="AV447" s="207" t="s">
        <v>4425</v>
      </c>
      <c r="AW447" s="207" t="s">
        <v>4425</v>
      </c>
      <c r="AX447" s="207" t="s">
        <v>4425</v>
      </c>
      <c r="AY447" s="207" t="s">
        <v>4425</v>
      </c>
      <c r="AZ447" s="203">
        <v>46024</v>
      </c>
      <c r="BA447" s="219" t="s">
        <v>4425</v>
      </c>
      <c r="BB447" s="207" t="s">
        <v>4425</v>
      </c>
      <c r="BC447" s="239">
        <v>46063</v>
      </c>
      <c r="BD447" s="226">
        <v>46063</v>
      </c>
      <c r="BE447" s="227" t="s">
        <v>4435</v>
      </c>
      <c r="BF447" s="228" t="s">
        <v>4436</v>
      </c>
      <c r="BG447" s="229" t="s">
        <v>4425</v>
      </c>
      <c r="BH447" s="321">
        <f t="shared" si="29"/>
        <v>62</v>
      </c>
      <c r="BI447" s="98" t="str">
        <f t="shared" si="30"/>
        <v>INDENIZAÇÃO</v>
      </c>
      <c r="BJ447" s="98" t="str">
        <f t="shared" si="31"/>
        <v>NÃO</v>
      </c>
      <c r="BK447" s="230" t="s">
        <v>4437</v>
      </c>
      <c r="BL447" s="230" t="s">
        <v>4437</v>
      </c>
      <c r="BM447" s="230" t="s">
        <v>4437</v>
      </c>
      <c r="BN447" s="265" t="s">
        <v>5732</v>
      </c>
      <c r="BO447" s="265"/>
      <c r="BP447" s="265"/>
      <c r="BQ447" s="265"/>
      <c r="BR447" s="231"/>
    </row>
    <row r="448" spans="1:71" s="240" customFormat="1" ht="27" hidden="1" customHeight="1">
      <c r="A448" s="207">
        <v>444</v>
      </c>
      <c r="B448" s="197" t="s">
        <v>4396</v>
      </c>
      <c r="C448" s="207" t="s">
        <v>4427</v>
      </c>
      <c r="D448" s="207">
        <v>1</v>
      </c>
      <c r="E448" s="207" t="s">
        <v>4398</v>
      </c>
      <c r="F448" s="214" t="s">
        <v>6364</v>
      </c>
      <c r="G448" s="207" t="s">
        <v>4400</v>
      </c>
      <c r="H448" s="207" t="s">
        <v>4401</v>
      </c>
      <c r="I448" s="217" t="s">
        <v>4402</v>
      </c>
      <c r="J448" s="242" t="s">
        <v>6365</v>
      </c>
      <c r="K448" s="215" t="s">
        <v>6366</v>
      </c>
      <c r="L448" s="215" t="s">
        <v>6367</v>
      </c>
      <c r="M448" s="207" t="s">
        <v>4405</v>
      </c>
      <c r="N448" s="207" t="s">
        <v>4442</v>
      </c>
      <c r="O448" s="202" t="s">
        <v>4409</v>
      </c>
      <c r="P448" s="202" t="s">
        <v>4409</v>
      </c>
      <c r="Q448" s="202" t="s">
        <v>4409</v>
      </c>
      <c r="R448" s="202" t="s">
        <v>4409</v>
      </c>
      <c r="S448" s="202" t="s">
        <v>4409</v>
      </c>
      <c r="T448" s="202" t="s">
        <v>4409</v>
      </c>
      <c r="U448" s="202" t="s">
        <v>4409</v>
      </c>
      <c r="V448" s="202" t="s">
        <v>4409</v>
      </c>
      <c r="W448" s="202" t="s">
        <v>4409</v>
      </c>
      <c r="X448" s="202" t="s">
        <v>4409</v>
      </c>
      <c r="Y448" s="202"/>
      <c r="Z448" s="202"/>
      <c r="AA448" s="215" t="s">
        <v>6365</v>
      </c>
      <c r="AB448" s="215" t="s">
        <v>6366</v>
      </c>
      <c r="AC448" s="215" t="s">
        <v>6367</v>
      </c>
      <c r="AD448" s="207" t="s">
        <v>4402</v>
      </c>
      <c r="AE448" s="207" t="s">
        <v>4405</v>
      </c>
      <c r="AF448" s="218">
        <v>30689.66</v>
      </c>
      <c r="AG448" s="218">
        <v>60000</v>
      </c>
      <c r="AH448" s="207" t="s">
        <v>4433</v>
      </c>
      <c r="AI448" s="214" t="s">
        <v>4411</v>
      </c>
      <c r="AJ448" s="207">
        <v>150611129</v>
      </c>
      <c r="AK448" s="316">
        <v>46077</v>
      </c>
      <c r="AL448" s="316">
        <v>46077</v>
      </c>
      <c r="AM448" s="316">
        <v>46077</v>
      </c>
      <c r="AN448" s="316">
        <v>46077</v>
      </c>
      <c r="AO448" s="316">
        <v>46077</v>
      </c>
      <c r="AP448" s="316">
        <v>46077</v>
      </c>
      <c r="AQ448" s="314"/>
      <c r="AR448" s="315" t="str">
        <f t="shared" si="28"/>
        <v>FINALIZADO</v>
      </c>
      <c r="AS448" s="207" t="s">
        <v>4423</v>
      </c>
      <c r="AT448" s="207"/>
      <c r="AU448" s="220" t="s">
        <v>6368</v>
      </c>
      <c r="AV448" s="207" t="s">
        <v>4425</v>
      </c>
      <c r="AW448" s="207" t="s">
        <v>4425</v>
      </c>
      <c r="AX448" s="207" t="s">
        <v>4425</v>
      </c>
      <c r="AY448" s="207" t="s">
        <v>4425</v>
      </c>
      <c r="AZ448" s="202">
        <v>46127</v>
      </c>
      <c r="BA448" s="207" t="s">
        <v>4425</v>
      </c>
      <c r="BB448" s="207" t="s">
        <v>4425</v>
      </c>
      <c r="BC448" s="202">
        <v>46154</v>
      </c>
      <c r="BD448" s="227">
        <v>46154</v>
      </c>
      <c r="BE448" s="227" t="s">
        <v>4435</v>
      </c>
      <c r="BF448" s="228" t="s">
        <v>4436</v>
      </c>
      <c r="BG448" s="229" t="s">
        <v>4425</v>
      </c>
      <c r="BH448" s="321">
        <f t="shared" si="29"/>
        <v>77</v>
      </c>
      <c r="BI448" s="98" t="str">
        <f t="shared" si="30"/>
        <v>INDENIZAÇÃO</v>
      </c>
      <c r="BJ448" s="98" t="str">
        <f t="shared" si="31"/>
        <v>NÃO</v>
      </c>
      <c r="BK448" s="230" t="s">
        <v>4437</v>
      </c>
      <c r="BL448" s="230" t="s">
        <v>4437</v>
      </c>
      <c r="BM448" s="230" t="s">
        <v>4437</v>
      </c>
      <c r="BN448" s="265" t="s">
        <v>5732</v>
      </c>
      <c r="BO448" s="265"/>
      <c r="BP448" s="265"/>
      <c r="BQ448" s="265"/>
      <c r="BR448" s="231"/>
    </row>
    <row r="449" spans="1:112" s="240" customFormat="1" ht="27" hidden="1" customHeight="1">
      <c r="A449" s="197">
        <v>445</v>
      </c>
      <c r="B449" s="197" t="s">
        <v>4396</v>
      </c>
      <c r="C449" s="207" t="s">
        <v>4427</v>
      </c>
      <c r="D449" s="207">
        <v>1</v>
      </c>
      <c r="E449" s="207" t="s">
        <v>4398</v>
      </c>
      <c r="F449" s="214" t="s">
        <v>6369</v>
      </c>
      <c r="G449" s="207" t="s">
        <v>4400</v>
      </c>
      <c r="H449" s="207" t="s">
        <v>4401</v>
      </c>
      <c r="I449" s="217" t="s">
        <v>4402</v>
      </c>
      <c r="J449" s="242" t="s">
        <v>6370</v>
      </c>
      <c r="K449" s="215" t="s">
        <v>6371</v>
      </c>
      <c r="L449" s="215" t="s">
        <v>6372</v>
      </c>
      <c r="M449" s="207" t="s">
        <v>4405</v>
      </c>
      <c r="N449" s="207" t="s">
        <v>4406</v>
      </c>
      <c r="O449" s="202">
        <v>46002</v>
      </c>
      <c r="P449" s="202" t="s">
        <v>4407</v>
      </c>
      <c r="Q449" s="202">
        <v>45999</v>
      </c>
      <c r="R449" s="202">
        <v>46006</v>
      </c>
      <c r="S449" s="202">
        <v>46006</v>
      </c>
      <c r="T449" s="202">
        <v>46009</v>
      </c>
      <c r="U449" s="202" t="s">
        <v>4408</v>
      </c>
      <c r="V449" s="202" t="s">
        <v>4408</v>
      </c>
      <c r="W449" s="202">
        <v>46014</v>
      </c>
      <c r="X449" s="202">
        <v>46020</v>
      </c>
      <c r="Y449" s="202"/>
      <c r="Z449" s="207"/>
      <c r="AA449" s="215" t="s">
        <v>6370</v>
      </c>
      <c r="AB449" s="215" t="s">
        <v>6371</v>
      </c>
      <c r="AC449" s="215" t="s">
        <v>6372</v>
      </c>
      <c r="AD449" s="217" t="s">
        <v>4402</v>
      </c>
      <c r="AE449" s="207" t="s">
        <v>4405</v>
      </c>
      <c r="AF449" s="218" t="s">
        <v>4409</v>
      </c>
      <c r="AG449" s="218" t="s">
        <v>4409</v>
      </c>
      <c r="AH449" s="207" t="s">
        <v>4410</v>
      </c>
      <c r="AI449" s="214" t="s">
        <v>4411</v>
      </c>
      <c r="AJ449" s="207"/>
      <c r="AK449" s="316">
        <v>45980</v>
      </c>
      <c r="AL449" s="316">
        <v>45980</v>
      </c>
      <c r="AM449" s="316">
        <v>45980</v>
      </c>
      <c r="AN449" s="316">
        <v>45980</v>
      </c>
      <c r="AO449" s="316">
        <v>45980</v>
      </c>
      <c r="AP449" s="316">
        <v>45980</v>
      </c>
      <c r="AQ449" s="314"/>
      <c r="AR449" s="315" t="str">
        <f t="shared" si="28"/>
        <v>FINALIZADO</v>
      </c>
      <c r="AS449" s="207"/>
      <c r="AT449" s="207"/>
      <c r="AU449" s="220"/>
      <c r="AV449" s="207"/>
      <c r="AW449" s="207"/>
      <c r="AX449" s="207"/>
      <c r="AY449" s="207"/>
      <c r="AZ449" s="202"/>
      <c r="BA449" s="219"/>
      <c r="BB449" s="207"/>
      <c r="BC449" s="202"/>
      <c r="BD449" s="208"/>
      <c r="BE449" s="202"/>
      <c r="BF449" s="207"/>
      <c r="BG449" s="229"/>
      <c r="BH449" s="321" t="str">
        <f t="shared" si="29"/>
        <v/>
      </c>
      <c r="BI449" s="98" t="str">
        <f t="shared" si="30"/>
        <v>AA</v>
      </c>
      <c r="BJ449" s="98" t="str">
        <f t="shared" si="31"/>
        <v>NÃO</v>
      </c>
      <c r="BK449" s="230"/>
      <c r="BL449" s="230"/>
      <c r="BM449" s="230"/>
      <c r="BN449" s="230"/>
      <c r="BO449" s="230"/>
      <c r="BP449" s="230"/>
      <c r="BQ449" s="230"/>
      <c r="BR449" s="234"/>
    </row>
    <row r="450" spans="1:112" s="240" customFormat="1" ht="27" hidden="1" customHeight="1">
      <c r="A450" s="197">
        <v>446</v>
      </c>
      <c r="B450" s="197" t="s">
        <v>4396</v>
      </c>
      <c r="C450" s="207" t="s">
        <v>4427</v>
      </c>
      <c r="D450" s="207">
        <v>1</v>
      </c>
      <c r="E450" s="207" t="s">
        <v>4398</v>
      </c>
      <c r="F450" s="214" t="s">
        <v>6373</v>
      </c>
      <c r="G450" s="207" t="s">
        <v>4400</v>
      </c>
      <c r="H450" s="207" t="s">
        <v>4401</v>
      </c>
      <c r="I450" s="217" t="s">
        <v>4402</v>
      </c>
      <c r="J450" s="215" t="s">
        <v>6374</v>
      </c>
      <c r="K450" s="215" t="s">
        <v>6375</v>
      </c>
      <c r="L450" s="215" t="s">
        <v>6376</v>
      </c>
      <c r="M450" s="207" t="s">
        <v>4405</v>
      </c>
      <c r="N450" s="207" t="s">
        <v>4406</v>
      </c>
      <c r="O450" s="202">
        <v>45986</v>
      </c>
      <c r="P450" s="203" t="s">
        <v>4407</v>
      </c>
      <c r="Q450" s="203">
        <v>45985</v>
      </c>
      <c r="R450" s="203">
        <v>45986</v>
      </c>
      <c r="S450" s="203">
        <v>45987</v>
      </c>
      <c r="T450" s="203">
        <v>45992</v>
      </c>
      <c r="U450" s="202" t="s">
        <v>4408</v>
      </c>
      <c r="V450" s="202" t="s">
        <v>4408</v>
      </c>
      <c r="W450" s="202">
        <v>45999</v>
      </c>
      <c r="X450" s="202">
        <v>46002</v>
      </c>
      <c r="Y450" s="202"/>
      <c r="Z450" s="207"/>
      <c r="AA450" s="215" t="s">
        <v>6374</v>
      </c>
      <c r="AB450" s="215" t="s">
        <v>6375</v>
      </c>
      <c r="AC450" s="215" t="s">
        <v>6376</v>
      </c>
      <c r="AD450" s="217" t="s">
        <v>4402</v>
      </c>
      <c r="AE450" s="207" t="s">
        <v>4405</v>
      </c>
      <c r="AF450" s="218" t="s">
        <v>4409</v>
      </c>
      <c r="AG450" s="218" t="s">
        <v>4409</v>
      </c>
      <c r="AH450" s="241" t="s">
        <v>4410</v>
      </c>
      <c r="AI450" s="214" t="s">
        <v>4411</v>
      </c>
      <c r="AJ450" s="207"/>
      <c r="AK450" s="316">
        <v>45980</v>
      </c>
      <c r="AL450" s="316">
        <v>45980</v>
      </c>
      <c r="AM450" s="316">
        <v>45980</v>
      </c>
      <c r="AN450" s="316">
        <v>45980</v>
      </c>
      <c r="AO450" s="316">
        <v>45980</v>
      </c>
      <c r="AP450" s="316">
        <v>45980</v>
      </c>
      <c r="AQ450" s="314"/>
      <c r="AR450" s="315" t="str">
        <f t="shared" si="28"/>
        <v>FINALIZADO</v>
      </c>
      <c r="AS450" s="207"/>
      <c r="AT450" s="207"/>
      <c r="AU450" s="220"/>
      <c r="AV450" s="207"/>
      <c r="AW450" s="207"/>
      <c r="AX450" s="207" t="s">
        <v>4409</v>
      </c>
      <c r="AY450" s="207" t="s">
        <v>4409</v>
      </c>
      <c r="AZ450" s="207" t="s">
        <v>4409</v>
      </c>
      <c r="BA450" s="207" t="s">
        <v>4409</v>
      </c>
      <c r="BB450" s="207"/>
      <c r="BC450" s="202"/>
      <c r="BD450" s="208"/>
      <c r="BE450" s="202"/>
      <c r="BF450" s="207"/>
      <c r="BG450" s="229"/>
      <c r="BH450" s="321" t="str">
        <f t="shared" si="29"/>
        <v/>
      </c>
      <c r="BI450" s="98" t="str">
        <f t="shared" si="30"/>
        <v>AA</v>
      </c>
      <c r="BJ450" s="98" t="str">
        <f t="shared" si="31"/>
        <v>NÃO</v>
      </c>
      <c r="BK450" s="230"/>
      <c r="BL450" s="230"/>
      <c r="BM450" s="230"/>
      <c r="BN450" s="230"/>
      <c r="BO450" s="230"/>
      <c r="BP450" s="230"/>
      <c r="BQ450" s="230"/>
      <c r="BR450" s="234"/>
    </row>
    <row r="451" spans="1:112" s="240" customFormat="1" ht="27" hidden="1" customHeight="1">
      <c r="A451" s="207">
        <v>447</v>
      </c>
      <c r="B451" s="197" t="s">
        <v>4396</v>
      </c>
      <c r="C451" s="207" t="s">
        <v>4427</v>
      </c>
      <c r="D451" s="207">
        <v>1</v>
      </c>
      <c r="E451" s="207" t="s">
        <v>4398</v>
      </c>
      <c r="F451" s="214" t="s">
        <v>6377</v>
      </c>
      <c r="G451" s="207" t="s">
        <v>4400</v>
      </c>
      <c r="H451" s="207" t="s">
        <v>4401</v>
      </c>
      <c r="I451" s="217" t="s">
        <v>4402</v>
      </c>
      <c r="J451" s="215" t="s">
        <v>6378</v>
      </c>
      <c r="K451" s="215" t="s">
        <v>6379</v>
      </c>
      <c r="L451" s="215" t="s">
        <v>6380</v>
      </c>
      <c r="M451" s="207" t="s">
        <v>4405</v>
      </c>
      <c r="N451" s="207" t="s">
        <v>4406</v>
      </c>
      <c r="O451" s="202">
        <v>45986</v>
      </c>
      <c r="P451" s="203" t="s">
        <v>4407</v>
      </c>
      <c r="Q451" s="203">
        <v>45985</v>
      </c>
      <c r="R451" s="203">
        <v>45986</v>
      </c>
      <c r="S451" s="203">
        <v>45987</v>
      </c>
      <c r="T451" s="203">
        <v>45992</v>
      </c>
      <c r="U451" s="202" t="s">
        <v>4408</v>
      </c>
      <c r="V451" s="202" t="s">
        <v>4408</v>
      </c>
      <c r="W451" s="202">
        <v>45999</v>
      </c>
      <c r="X451" s="202">
        <v>46000</v>
      </c>
      <c r="Y451" s="203"/>
      <c r="Z451" s="219"/>
      <c r="AA451" s="215" t="s">
        <v>6378</v>
      </c>
      <c r="AB451" s="215" t="s">
        <v>6379</v>
      </c>
      <c r="AC451" s="215" t="s">
        <v>6380</v>
      </c>
      <c r="AD451" s="217" t="s">
        <v>4402</v>
      </c>
      <c r="AE451" s="207" t="s">
        <v>4405</v>
      </c>
      <c r="AF451" s="218" t="s">
        <v>4409</v>
      </c>
      <c r="AG451" s="218" t="s">
        <v>4409</v>
      </c>
      <c r="AH451" s="204" t="s">
        <v>4410</v>
      </c>
      <c r="AI451" s="214" t="s">
        <v>4411</v>
      </c>
      <c r="AJ451" s="207"/>
      <c r="AK451" s="316">
        <v>45980</v>
      </c>
      <c r="AL451" s="316">
        <v>45980</v>
      </c>
      <c r="AM451" s="316">
        <v>45980</v>
      </c>
      <c r="AN451" s="316">
        <v>45980</v>
      </c>
      <c r="AO451" s="316">
        <v>45980</v>
      </c>
      <c r="AP451" s="316">
        <v>45980</v>
      </c>
      <c r="AQ451" s="314"/>
      <c r="AR451" s="315" t="str">
        <f t="shared" si="28"/>
        <v>FINALIZADO</v>
      </c>
      <c r="AS451" s="207"/>
      <c r="AT451" s="219"/>
      <c r="AU451" s="220"/>
      <c r="AV451" s="207"/>
      <c r="AW451" s="207"/>
      <c r="AX451" s="207" t="s">
        <v>4409</v>
      </c>
      <c r="AY451" s="207" t="s">
        <v>4409</v>
      </c>
      <c r="AZ451" s="207" t="s">
        <v>4409</v>
      </c>
      <c r="BA451" s="207" t="s">
        <v>4409</v>
      </c>
      <c r="BB451" s="219"/>
      <c r="BC451" s="219"/>
      <c r="BD451" s="208"/>
      <c r="BE451" s="202"/>
      <c r="BF451" s="207"/>
      <c r="BG451" s="229"/>
      <c r="BH451" s="321" t="str">
        <f t="shared" si="29"/>
        <v/>
      </c>
      <c r="BI451" s="98" t="str">
        <f t="shared" si="30"/>
        <v>AA</v>
      </c>
      <c r="BJ451" s="98" t="str">
        <f t="shared" si="31"/>
        <v>NÃO</v>
      </c>
      <c r="BK451" s="230"/>
      <c r="BL451" s="230"/>
      <c r="BM451" s="230"/>
      <c r="BN451" s="230"/>
      <c r="BO451" s="230"/>
      <c r="BP451" s="230"/>
      <c r="BQ451" s="230"/>
      <c r="BR451" s="234"/>
    </row>
    <row r="452" spans="1:112" s="240" customFormat="1" ht="27" hidden="1" customHeight="1">
      <c r="A452" s="207">
        <v>448</v>
      </c>
      <c r="B452" s="197" t="s">
        <v>4396</v>
      </c>
      <c r="C452" s="207" t="s">
        <v>4427</v>
      </c>
      <c r="D452" s="207">
        <v>1</v>
      </c>
      <c r="E452" s="207" t="s">
        <v>4398</v>
      </c>
      <c r="F452" s="214" t="s">
        <v>6381</v>
      </c>
      <c r="G452" s="207" t="s">
        <v>4400</v>
      </c>
      <c r="H452" s="207" t="s">
        <v>4401</v>
      </c>
      <c r="I452" s="217" t="s">
        <v>4402</v>
      </c>
      <c r="J452" s="215" t="s">
        <v>6382</v>
      </c>
      <c r="K452" s="215" t="s">
        <v>6383</v>
      </c>
      <c r="L452" s="215" t="s">
        <v>6384</v>
      </c>
      <c r="M452" s="207" t="s">
        <v>4405</v>
      </c>
      <c r="N452" s="207" t="s">
        <v>4406</v>
      </c>
      <c r="O452" s="202">
        <v>46002</v>
      </c>
      <c r="P452" s="202" t="s">
        <v>4407</v>
      </c>
      <c r="Q452" s="202">
        <v>45999</v>
      </c>
      <c r="R452" s="202">
        <v>46006</v>
      </c>
      <c r="S452" s="202">
        <v>46006</v>
      </c>
      <c r="T452" s="202">
        <v>46009</v>
      </c>
      <c r="U452" s="202" t="s">
        <v>4408</v>
      </c>
      <c r="V452" s="202" t="s">
        <v>4408</v>
      </c>
      <c r="W452" s="202">
        <v>46014</v>
      </c>
      <c r="X452" s="202">
        <v>46020</v>
      </c>
      <c r="Y452" s="203"/>
      <c r="Z452" s="219"/>
      <c r="AA452" s="215" t="s">
        <v>6382</v>
      </c>
      <c r="AB452" s="215" t="s">
        <v>6383</v>
      </c>
      <c r="AC452" s="215" t="s">
        <v>6384</v>
      </c>
      <c r="AD452" s="217" t="s">
        <v>4402</v>
      </c>
      <c r="AE452" s="207" t="s">
        <v>4405</v>
      </c>
      <c r="AF452" s="218" t="s">
        <v>4409</v>
      </c>
      <c r="AG452" s="218" t="s">
        <v>4409</v>
      </c>
      <c r="AH452" s="204" t="s">
        <v>4410</v>
      </c>
      <c r="AI452" s="214" t="s">
        <v>4411</v>
      </c>
      <c r="AJ452" s="207"/>
      <c r="AK452" s="316">
        <v>45996</v>
      </c>
      <c r="AL452" s="316">
        <v>45996</v>
      </c>
      <c r="AM452" s="316">
        <v>45996</v>
      </c>
      <c r="AN452" s="316">
        <v>45996</v>
      </c>
      <c r="AO452" s="316">
        <v>45996</v>
      </c>
      <c r="AP452" s="316">
        <v>45996</v>
      </c>
      <c r="AQ452" s="314"/>
      <c r="AR452" s="315" t="str">
        <f t="shared" si="28"/>
        <v>FINALIZADO</v>
      </c>
      <c r="AS452" s="207"/>
      <c r="AT452" s="219"/>
      <c r="AU452" s="220"/>
      <c r="AV452" s="219"/>
      <c r="AW452" s="219"/>
      <c r="AX452" s="219"/>
      <c r="AY452" s="219"/>
      <c r="AZ452" s="219"/>
      <c r="BA452" s="219"/>
      <c r="BB452" s="219"/>
      <c r="BC452" s="219"/>
      <c r="BD452" s="208"/>
      <c r="BE452" s="202"/>
      <c r="BF452" s="207"/>
      <c r="BG452" s="229"/>
      <c r="BH452" s="321" t="str">
        <f t="shared" si="29"/>
        <v/>
      </c>
      <c r="BI452" s="98" t="str">
        <f t="shared" si="30"/>
        <v>AA</v>
      </c>
      <c r="BJ452" s="98" t="str">
        <f t="shared" si="31"/>
        <v>NÃO</v>
      </c>
      <c r="BK452" s="230"/>
      <c r="BL452" s="230"/>
      <c r="BM452" s="230"/>
      <c r="BN452" s="230"/>
      <c r="BO452" s="230"/>
      <c r="BP452" s="230"/>
      <c r="BQ452" s="230"/>
      <c r="BR452" s="234"/>
    </row>
    <row r="453" spans="1:112" s="240" customFormat="1" ht="27" hidden="1" customHeight="1">
      <c r="A453" s="207">
        <v>449</v>
      </c>
      <c r="B453" s="197" t="s">
        <v>4396</v>
      </c>
      <c r="C453" s="207" t="s">
        <v>4427</v>
      </c>
      <c r="D453" s="207">
        <v>1</v>
      </c>
      <c r="E453" s="207" t="s">
        <v>4398</v>
      </c>
      <c r="F453" s="214" t="s">
        <v>6385</v>
      </c>
      <c r="G453" s="207" t="s">
        <v>4400</v>
      </c>
      <c r="H453" s="207" t="s">
        <v>4401</v>
      </c>
      <c r="I453" s="217" t="s">
        <v>4402</v>
      </c>
      <c r="J453" s="215" t="s">
        <v>6386</v>
      </c>
      <c r="K453" s="215" t="s">
        <v>6387</v>
      </c>
      <c r="L453" s="215" t="s">
        <v>6388</v>
      </c>
      <c r="M453" s="207" t="s">
        <v>4405</v>
      </c>
      <c r="N453" s="207" t="s">
        <v>4406</v>
      </c>
      <c r="O453" s="202">
        <v>45986</v>
      </c>
      <c r="P453" s="203" t="s">
        <v>4407</v>
      </c>
      <c r="Q453" s="203">
        <v>45985</v>
      </c>
      <c r="R453" s="203">
        <v>45986</v>
      </c>
      <c r="S453" s="203">
        <v>45987</v>
      </c>
      <c r="T453" s="203">
        <v>45992</v>
      </c>
      <c r="U453" s="202" t="s">
        <v>4408</v>
      </c>
      <c r="V453" s="202" t="s">
        <v>4408</v>
      </c>
      <c r="W453" s="202">
        <v>45999</v>
      </c>
      <c r="X453" s="202">
        <v>46000</v>
      </c>
      <c r="Y453" s="203"/>
      <c r="Z453" s="219"/>
      <c r="AA453" s="215" t="s">
        <v>6386</v>
      </c>
      <c r="AB453" s="215" t="s">
        <v>6387</v>
      </c>
      <c r="AC453" s="215" t="s">
        <v>6388</v>
      </c>
      <c r="AD453" s="217" t="s">
        <v>4402</v>
      </c>
      <c r="AE453" s="207" t="s">
        <v>4405</v>
      </c>
      <c r="AF453" s="218" t="s">
        <v>4409</v>
      </c>
      <c r="AG453" s="218" t="s">
        <v>4409</v>
      </c>
      <c r="AH453" s="241" t="s">
        <v>4410</v>
      </c>
      <c r="AI453" s="214" t="s">
        <v>4411</v>
      </c>
      <c r="AJ453" s="207"/>
      <c r="AK453" s="316">
        <v>45980</v>
      </c>
      <c r="AL453" s="316">
        <v>45980</v>
      </c>
      <c r="AM453" s="316">
        <v>45980</v>
      </c>
      <c r="AN453" s="316">
        <v>45980</v>
      </c>
      <c r="AO453" s="316">
        <v>45980</v>
      </c>
      <c r="AP453" s="316">
        <v>45980</v>
      </c>
      <c r="AQ453" s="314"/>
      <c r="AR453" s="315" t="str">
        <f t="shared" si="28"/>
        <v>FINALIZADO</v>
      </c>
      <c r="AS453" s="207"/>
      <c r="AT453" s="219"/>
      <c r="AU453" s="220"/>
      <c r="AV453" s="207"/>
      <c r="AW453" s="207"/>
      <c r="AX453" s="207" t="s">
        <v>4409</v>
      </c>
      <c r="AY453" s="207" t="s">
        <v>4409</v>
      </c>
      <c r="AZ453" s="207" t="s">
        <v>4409</v>
      </c>
      <c r="BA453" s="207" t="s">
        <v>4409</v>
      </c>
      <c r="BB453" s="219"/>
      <c r="BC453" s="219"/>
      <c r="BD453" s="208"/>
      <c r="BE453" s="202"/>
      <c r="BF453" s="207"/>
      <c r="BG453" s="229"/>
      <c r="BH453" s="321" t="str">
        <f t="shared" si="29"/>
        <v/>
      </c>
      <c r="BI453" s="98" t="str">
        <f t="shared" si="30"/>
        <v>AA</v>
      </c>
      <c r="BJ453" s="98" t="str">
        <f t="shared" si="31"/>
        <v>NÃO</v>
      </c>
      <c r="BK453" s="230"/>
      <c r="BL453" s="230"/>
      <c r="BM453" s="230"/>
      <c r="BN453" s="230"/>
      <c r="BO453" s="230"/>
      <c r="BP453" s="230"/>
      <c r="BQ453" s="230"/>
      <c r="BR453" s="234"/>
    </row>
    <row r="454" spans="1:112" s="240" customFormat="1" ht="27" customHeight="1">
      <c r="A454" s="197">
        <v>450</v>
      </c>
      <c r="B454" s="197" t="s">
        <v>4396</v>
      </c>
      <c r="C454" s="207" t="s">
        <v>4413</v>
      </c>
      <c r="D454" s="207">
        <v>1</v>
      </c>
      <c r="E454" s="207" t="s">
        <v>4398</v>
      </c>
      <c r="F454" s="214" t="s">
        <v>6385</v>
      </c>
      <c r="G454" s="219" t="s">
        <v>4400</v>
      </c>
      <c r="H454" s="219" t="s">
        <v>4401</v>
      </c>
      <c r="I454" s="219" t="s">
        <v>4402</v>
      </c>
      <c r="J454" s="255" t="s">
        <v>6389</v>
      </c>
      <c r="K454" s="255" t="s">
        <v>6390</v>
      </c>
      <c r="L454" s="255" t="s">
        <v>6391</v>
      </c>
      <c r="M454" s="219" t="s">
        <v>4405</v>
      </c>
      <c r="N454" s="219" t="s">
        <v>4432</v>
      </c>
      <c r="O454" s="202" t="s">
        <v>4409</v>
      </c>
      <c r="P454" s="202" t="s">
        <v>4409</v>
      </c>
      <c r="Q454" s="202" t="s">
        <v>4409</v>
      </c>
      <c r="R454" s="202" t="s">
        <v>4409</v>
      </c>
      <c r="S454" s="202" t="s">
        <v>4409</v>
      </c>
      <c r="T454" s="202" t="s">
        <v>4409</v>
      </c>
      <c r="U454" s="202" t="s">
        <v>4409</v>
      </c>
      <c r="V454" s="202" t="s">
        <v>4409</v>
      </c>
      <c r="W454" s="202" t="s">
        <v>4409</v>
      </c>
      <c r="X454" s="202" t="s">
        <v>4409</v>
      </c>
      <c r="Y454" s="202"/>
      <c r="Z454" s="202"/>
      <c r="AA454" s="255" t="s">
        <v>6389</v>
      </c>
      <c r="AB454" s="255" t="s">
        <v>6390</v>
      </c>
      <c r="AC454" s="255" t="s">
        <v>6391</v>
      </c>
      <c r="AD454" s="219" t="s">
        <v>4402</v>
      </c>
      <c r="AE454" s="219" t="s">
        <v>4405</v>
      </c>
      <c r="AF454" s="243">
        <v>155748.63</v>
      </c>
      <c r="AG454" s="243">
        <v>155748.63</v>
      </c>
      <c r="AH454" s="197" t="s">
        <v>4422</v>
      </c>
      <c r="AI454" s="214" t="s">
        <v>4411</v>
      </c>
      <c r="AJ454" s="207">
        <v>153979223</v>
      </c>
      <c r="AK454" s="317">
        <v>46127</v>
      </c>
      <c r="AL454" s="317">
        <v>46127</v>
      </c>
      <c r="AM454" s="317">
        <v>46127</v>
      </c>
      <c r="AN454" s="317">
        <v>46127</v>
      </c>
      <c r="AO454" s="317">
        <v>46127</v>
      </c>
      <c r="AP454" s="317">
        <v>46127</v>
      </c>
      <c r="AQ454" s="314"/>
      <c r="AR454" s="315" t="str">
        <f t="shared" ref="AR454:AR517" si="32">IF(AQ454="SIM","AGUARDANDO CORREÇÃO",IF(AP454&lt;&gt;"","FINALIZADO",IF(AO454&lt;&gt;"","AGUARDANDO ENVIO DTS",IF(AN454&lt;&gt;"","AGUARDANDO ASSINATURA GAB",IF(AM454&lt;&gt;"","AGUARDANDO ASSINATURA CTS",IF(AL454&lt;&gt;"","AGUARDANDO ENVIO ASSINATURA CTS",IF(AK454&lt;&gt;"","AGUARDANDO CONFERÊNCIA","")))))))</f>
        <v>FINALIZADO</v>
      </c>
      <c r="AS454" s="207" t="s">
        <v>4423</v>
      </c>
      <c r="AT454" s="219"/>
      <c r="AU454" s="220" t="s">
        <v>6392</v>
      </c>
      <c r="AV454" s="262" t="s">
        <v>4425</v>
      </c>
      <c r="AW454" s="219" t="s">
        <v>4425</v>
      </c>
      <c r="AX454" s="207" t="s">
        <v>4818</v>
      </c>
      <c r="AY454" s="207" t="s">
        <v>4818</v>
      </c>
      <c r="AZ454" s="202">
        <v>46233</v>
      </c>
      <c r="BA454" s="207" t="s">
        <v>4818</v>
      </c>
      <c r="BB454" s="207" t="s">
        <v>4818</v>
      </c>
      <c r="BC454" s="202">
        <v>46234</v>
      </c>
      <c r="BD454" s="226">
        <v>46234</v>
      </c>
      <c r="BE454" s="257" t="s">
        <v>4435</v>
      </c>
      <c r="BF454" s="257" t="s">
        <v>4436</v>
      </c>
      <c r="BG454" s="219" t="s">
        <v>4425</v>
      </c>
      <c r="BH454" s="321">
        <f t="shared" ref="BH454:BH517" si="33">IFERROR(IF(BD454-KI454=0,"",BD454-AK454),"")</f>
        <v>107</v>
      </c>
      <c r="BI454" s="98" t="str">
        <f t="shared" ref="BI454:BI517" si="34">IF(AND(AH454&lt;&gt;"SIM",AH454="UH"),"AA","INDENIZAÇÃO")</f>
        <v>INDENIZAÇÃO</v>
      </c>
      <c r="BJ454" s="98" t="str">
        <f t="shared" ref="BJ454:BJ517" si="35">IF(AND(BD454&lt;&gt;"AGUARDANDO",BD454&lt;&gt;"",N454="AUXÍLIO ALUGUEL ATÉ INDENIZAÇÃO"),"SIM","NÃO")</f>
        <v>NÃO</v>
      </c>
      <c r="BK454" s="219" t="s">
        <v>4437</v>
      </c>
      <c r="BL454" s="219" t="s">
        <v>4437</v>
      </c>
      <c r="BM454" s="219" t="s">
        <v>4437</v>
      </c>
      <c r="BN454" s="257" t="s">
        <v>5732</v>
      </c>
      <c r="BO454" s="257"/>
      <c r="BP454" s="257"/>
      <c r="BQ454" s="257"/>
      <c r="BR454" s="258"/>
      <c r="BS454" s="223"/>
      <c r="BT454" s="161"/>
      <c r="BU454" s="161"/>
      <c r="BV454" s="161"/>
      <c r="BW454" s="161"/>
      <c r="BX454" s="161"/>
      <c r="BY454" s="161"/>
      <c r="BZ454" s="161"/>
      <c r="CA454" s="161"/>
      <c r="CB454" s="161"/>
      <c r="CC454" s="161"/>
      <c r="CD454" s="161"/>
      <c r="CE454" s="16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61"/>
      <c r="CQ454" s="161"/>
      <c r="CR454" s="161"/>
      <c r="CS454" s="161"/>
      <c r="CT454" s="161"/>
      <c r="CU454" s="161"/>
      <c r="CV454" s="161"/>
      <c r="CW454" s="161"/>
      <c r="CX454" s="161"/>
      <c r="CY454" s="161"/>
      <c r="CZ454" s="161"/>
      <c r="DA454" s="161"/>
      <c r="DB454" s="161"/>
      <c r="DC454" s="161"/>
      <c r="DD454" s="161"/>
      <c r="DE454" s="161"/>
      <c r="DF454" s="161"/>
      <c r="DG454" s="161"/>
      <c r="DH454" s="161"/>
    </row>
    <row r="455" spans="1:112" s="240" customFormat="1" ht="27" customHeight="1">
      <c r="A455" s="197">
        <v>451</v>
      </c>
      <c r="B455" s="197" t="s">
        <v>4396</v>
      </c>
      <c r="C455" s="207" t="s">
        <v>4413</v>
      </c>
      <c r="D455" s="207">
        <v>1</v>
      </c>
      <c r="E455" s="207" t="s">
        <v>4398</v>
      </c>
      <c r="F455" s="214" t="s">
        <v>6393</v>
      </c>
      <c r="G455" s="207" t="s">
        <v>4400</v>
      </c>
      <c r="H455" s="207" t="s">
        <v>4401</v>
      </c>
      <c r="I455" s="207" t="s">
        <v>4402</v>
      </c>
      <c r="J455" s="215" t="s">
        <v>6394</v>
      </c>
      <c r="K455" s="215" t="s">
        <v>6395</v>
      </c>
      <c r="L455" s="215" t="s">
        <v>6396</v>
      </c>
      <c r="M455" s="207" t="s">
        <v>4405</v>
      </c>
      <c r="N455" s="207" t="s">
        <v>4442</v>
      </c>
      <c r="O455" s="202" t="s">
        <v>4409</v>
      </c>
      <c r="P455" s="202" t="s">
        <v>4409</v>
      </c>
      <c r="Q455" s="202" t="s">
        <v>4409</v>
      </c>
      <c r="R455" s="202" t="s">
        <v>4409</v>
      </c>
      <c r="S455" s="202" t="s">
        <v>4409</v>
      </c>
      <c r="T455" s="202" t="s">
        <v>4409</v>
      </c>
      <c r="U455" s="202" t="s">
        <v>4409</v>
      </c>
      <c r="V455" s="202" t="s">
        <v>4409</v>
      </c>
      <c r="W455" s="202" t="s">
        <v>4409</v>
      </c>
      <c r="X455" s="202" t="s">
        <v>4409</v>
      </c>
      <c r="Y455" s="202"/>
      <c r="Z455" s="202"/>
      <c r="AA455" s="200" t="s">
        <v>6394</v>
      </c>
      <c r="AB455" s="200" t="s">
        <v>6395</v>
      </c>
      <c r="AC455" s="200" t="s">
        <v>6396</v>
      </c>
      <c r="AD455" s="197" t="s">
        <v>4402</v>
      </c>
      <c r="AE455" s="197" t="s">
        <v>4405</v>
      </c>
      <c r="AF455" s="243">
        <v>127293.82</v>
      </c>
      <c r="AG455" s="243">
        <v>127293.82</v>
      </c>
      <c r="AH455" s="197" t="s">
        <v>4433</v>
      </c>
      <c r="AI455" s="214" t="s">
        <v>4411</v>
      </c>
      <c r="AJ455" s="207">
        <v>161832124</v>
      </c>
      <c r="AK455" s="316">
        <v>46260</v>
      </c>
      <c r="AL455" s="316">
        <v>46260</v>
      </c>
      <c r="AM455" s="316">
        <v>46260</v>
      </c>
      <c r="AN455" s="316">
        <v>46260</v>
      </c>
      <c r="AO455" s="316"/>
      <c r="AP455" s="316"/>
      <c r="AQ455" s="314"/>
      <c r="AR455" s="315" t="str">
        <f t="shared" si="32"/>
        <v>AGUARDANDO ASSINATURA GAB</v>
      </c>
      <c r="AS455" s="207" t="s">
        <v>4447</v>
      </c>
      <c r="AT455" s="219"/>
      <c r="AU455" s="220"/>
      <c r="AV455" s="219"/>
      <c r="AW455" s="219"/>
      <c r="AX455" s="219"/>
      <c r="AY455" s="219"/>
      <c r="AZ455" s="219"/>
      <c r="BA455" s="219"/>
      <c r="BB455" s="219"/>
      <c r="BC455" s="219"/>
      <c r="BD455" s="208"/>
      <c r="BE455" s="203"/>
      <c r="BF455" s="219"/>
      <c r="BG455" s="219"/>
      <c r="BH455" s="321" t="str">
        <f t="shared" si="33"/>
        <v/>
      </c>
      <c r="BI455" s="98" t="str">
        <f t="shared" si="34"/>
        <v>INDENIZAÇÃO</v>
      </c>
      <c r="BJ455" s="98" t="str">
        <f t="shared" si="35"/>
        <v>NÃO</v>
      </c>
      <c r="BK455" s="219"/>
      <c r="BL455" s="221"/>
      <c r="BM455" s="221"/>
      <c r="BN455" s="219"/>
      <c r="BO455" s="219"/>
      <c r="BP455" s="219"/>
      <c r="BQ455" s="219"/>
      <c r="BR455" s="222"/>
    </row>
    <row r="456" spans="1:112" s="240" customFormat="1" ht="27" hidden="1" customHeight="1">
      <c r="A456" s="207">
        <v>452</v>
      </c>
      <c r="B456" s="197" t="s">
        <v>4396</v>
      </c>
      <c r="C456" s="207" t="s">
        <v>4427</v>
      </c>
      <c r="D456" s="207">
        <v>1</v>
      </c>
      <c r="E456" s="207" t="s">
        <v>4398</v>
      </c>
      <c r="F456" s="214" t="s">
        <v>6393</v>
      </c>
      <c r="G456" s="207" t="s">
        <v>4400</v>
      </c>
      <c r="H456" s="207" t="s">
        <v>4401</v>
      </c>
      <c r="I456" s="217" t="s">
        <v>4402</v>
      </c>
      <c r="J456" s="215" t="s">
        <v>6397</v>
      </c>
      <c r="K456" s="215" t="s">
        <v>6398</v>
      </c>
      <c r="L456" s="215" t="s">
        <v>6399</v>
      </c>
      <c r="M456" s="207" t="s">
        <v>4405</v>
      </c>
      <c r="N456" s="207" t="s">
        <v>4406</v>
      </c>
      <c r="O456" s="202">
        <v>45986</v>
      </c>
      <c r="P456" s="203" t="s">
        <v>4407</v>
      </c>
      <c r="Q456" s="203">
        <v>45985</v>
      </c>
      <c r="R456" s="203">
        <v>45986</v>
      </c>
      <c r="S456" s="203">
        <v>45987</v>
      </c>
      <c r="T456" s="203">
        <v>45992</v>
      </c>
      <c r="U456" s="202" t="s">
        <v>4408</v>
      </c>
      <c r="V456" s="202" t="s">
        <v>4408</v>
      </c>
      <c r="W456" s="202">
        <v>45999</v>
      </c>
      <c r="X456" s="202">
        <v>46002</v>
      </c>
      <c r="Y456" s="202"/>
      <c r="Z456" s="207"/>
      <c r="AA456" s="215" t="s">
        <v>6397</v>
      </c>
      <c r="AB456" s="215" t="s">
        <v>6398</v>
      </c>
      <c r="AC456" s="215" t="s">
        <v>6399</v>
      </c>
      <c r="AD456" s="217" t="s">
        <v>4402</v>
      </c>
      <c r="AE456" s="207" t="s">
        <v>4405</v>
      </c>
      <c r="AF456" s="218" t="s">
        <v>4409</v>
      </c>
      <c r="AG456" s="218" t="s">
        <v>4409</v>
      </c>
      <c r="AH456" s="241" t="s">
        <v>4410</v>
      </c>
      <c r="AI456" s="214" t="s">
        <v>4411</v>
      </c>
      <c r="AJ456" s="207"/>
      <c r="AK456" s="316">
        <v>45980</v>
      </c>
      <c r="AL456" s="316">
        <v>45980</v>
      </c>
      <c r="AM456" s="316">
        <v>45980</v>
      </c>
      <c r="AN456" s="316">
        <v>45980</v>
      </c>
      <c r="AO456" s="316">
        <v>45980</v>
      </c>
      <c r="AP456" s="316">
        <v>45980</v>
      </c>
      <c r="AQ456" s="314"/>
      <c r="AR456" s="315" t="str">
        <f t="shared" si="32"/>
        <v>FINALIZADO</v>
      </c>
      <c r="AS456" s="207"/>
      <c r="AT456" s="207"/>
      <c r="AU456" s="220"/>
      <c r="AV456" s="207"/>
      <c r="AW456" s="207"/>
      <c r="AX456" s="207" t="s">
        <v>4409</v>
      </c>
      <c r="AY456" s="207" t="s">
        <v>4409</v>
      </c>
      <c r="AZ456" s="207" t="s">
        <v>4409</v>
      </c>
      <c r="BA456" s="207" t="s">
        <v>4409</v>
      </c>
      <c r="BB456" s="207"/>
      <c r="BC456" s="202"/>
      <c r="BD456" s="208"/>
      <c r="BE456" s="202"/>
      <c r="BF456" s="207"/>
      <c r="BG456" s="229"/>
      <c r="BH456" s="321" t="str">
        <f t="shared" si="33"/>
        <v/>
      </c>
      <c r="BI456" s="98" t="str">
        <f t="shared" si="34"/>
        <v>AA</v>
      </c>
      <c r="BJ456" s="98" t="str">
        <f t="shared" si="35"/>
        <v>NÃO</v>
      </c>
      <c r="BK456" s="230"/>
      <c r="BL456" s="230"/>
      <c r="BM456" s="230"/>
      <c r="BN456" s="230"/>
      <c r="BO456" s="230"/>
      <c r="BP456" s="230"/>
      <c r="BQ456" s="230"/>
      <c r="BR456" s="234"/>
      <c r="BS456" s="161"/>
      <c r="BT456" s="161"/>
      <c r="BU456" s="161"/>
      <c r="BV456" s="161"/>
      <c r="BW456" s="161"/>
      <c r="BX456" s="161"/>
      <c r="BY456" s="161"/>
      <c r="BZ456" s="161"/>
      <c r="CA456" s="161"/>
      <c r="CB456" s="161"/>
      <c r="CC456" s="161"/>
      <c r="CD456" s="161"/>
      <c r="CE456" s="16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61"/>
      <c r="CQ456" s="161"/>
      <c r="CR456" s="161"/>
      <c r="CS456" s="161"/>
      <c r="CT456" s="161"/>
      <c r="CU456" s="161"/>
      <c r="CV456" s="161"/>
      <c r="CW456" s="161"/>
      <c r="CX456" s="161"/>
      <c r="CY456" s="161"/>
      <c r="CZ456" s="161"/>
      <c r="DA456" s="161"/>
      <c r="DB456" s="161"/>
      <c r="DC456" s="161"/>
      <c r="DD456" s="161"/>
      <c r="DE456" s="161"/>
      <c r="DF456" s="161"/>
      <c r="DG456" s="161"/>
      <c r="DH456" s="161"/>
    </row>
    <row r="457" spans="1:112" s="240" customFormat="1" ht="27" customHeight="1">
      <c r="A457" s="207">
        <v>453</v>
      </c>
      <c r="B457" s="197" t="s">
        <v>4396</v>
      </c>
      <c r="C457" s="207" t="s">
        <v>4413</v>
      </c>
      <c r="D457" s="207">
        <v>1</v>
      </c>
      <c r="E457" s="207" t="s">
        <v>4398</v>
      </c>
      <c r="F457" s="214" t="s">
        <v>6400</v>
      </c>
      <c r="G457" s="207" t="s">
        <v>4400</v>
      </c>
      <c r="H457" s="207" t="s">
        <v>4401</v>
      </c>
      <c r="I457" s="207" t="s">
        <v>4402</v>
      </c>
      <c r="J457" s="215" t="s">
        <v>4563</v>
      </c>
      <c r="K457" s="215" t="s">
        <v>4564</v>
      </c>
      <c r="L457" s="215" t="s">
        <v>4565</v>
      </c>
      <c r="M457" s="207" t="s">
        <v>4405</v>
      </c>
      <c r="N457" s="207" t="s">
        <v>4406</v>
      </c>
      <c r="O457" s="202">
        <v>46084</v>
      </c>
      <c r="P457" s="202" t="s">
        <v>4407</v>
      </c>
      <c r="Q457" s="202">
        <v>46083</v>
      </c>
      <c r="R457" s="203">
        <v>46084</v>
      </c>
      <c r="S457" s="203">
        <v>46087</v>
      </c>
      <c r="T457" s="203">
        <v>46090</v>
      </c>
      <c r="U457" s="202" t="s">
        <v>4408</v>
      </c>
      <c r="V457" s="202" t="s">
        <v>4408</v>
      </c>
      <c r="W457" s="202">
        <v>46101</v>
      </c>
      <c r="X457" s="202">
        <v>46104</v>
      </c>
      <c r="Y457" s="202"/>
      <c r="Z457" s="202"/>
      <c r="AA457" s="215" t="s">
        <v>4563</v>
      </c>
      <c r="AB457" s="215" t="s">
        <v>4564</v>
      </c>
      <c r="AC457" s="215" t="s">
        <v>4565</v>
      </c>
      <c r="AD457" s="217" t="s">
        <v>4402</v>
      </c>
      <c r="AE457" s="207" t="s">
        <v>4405</v>
      </c>
      <c r="AF457" s="218" t="s">
        <v>4409</v>
      </c>
      <c r="AG457" s="218" t="s">
        <v>4409</v>
      </c>
      <c r="AH457" s="197" t="s">
        <v>4410</v>
      </c>
      <c r="AI457" s="214" t="s">
        <v>4411</v>
      </c>
      <c r="AJ457" s="207"/>
      <c r="AK457" s="316">
        <v>46080</v>
      </c>
      <c r="AL457" s="316">
        <v>46080</v>
      </c>
      <c r="AM457" s="316">
        <v>46080</v>
      </c>
      <c r="AN457" s="316">
        <v>46080</v>
      </c>
      <c r="AO457" s="316">
        <v>46080</v>
      </c>
      <c r="AP457" s="316">
        <v>46080</v>
      </c>
      <c r="AQ457" s="314"/>
      <c r="AR457" s="315" t="str">
        <f t="shared" si="32"/>
        <v>FINALIZADO</v>
      </c>
      <c r="AS457" s="207"/>
      <c r="AT457" s="219"/>
      <c r="AU457" s="220"/>
      <c r="AV457" s="219"/>
      <c r="AW457" s="219"/>
      <c r="AX457" s="219"/>
      <c r="AY457" s="219"/>
      <c r="AZ457" s="219"/>
      <c r="BA457" s="219"/>
      <c r="BB457" s="219"/>
      <c r="BC457" s="219"/>
      <c r="BD457" s="208"/>
      <c r="BE457" s="203"/>
      <c r="BF457" s="219"/>
      <c r="BG457" s="219"/>
      <c r="BH457" s="321" t="str">
        <f t="shared" si="33"/>
        <v/>
      </c>
      <c r="BI457" s="98" t="str">
        <f t="shared" si="34"/>
        <v>AA</v>
      </c>
      <c r="BJ457" s="98" t="str">
        <f t="shared" si="35"/>
        <v>NÃO</v>
      </c>
      <c r="BK457" s="219"/>
      <c r="BL457" s="221"/>
      <c r="BM457" s="221"/>
      <c r="BN457" s="219"/>
      <c r="BO457" s="219"/>
      <c r="BP457" s="219"/>
      <c r="BQ457" s="219"/>
      <c r="BR457" s="222"/>
    </row>
    <row r="458" spans="1:112" s="240" customFormat="1" ht="27" hidden="1" customHeight="1">
      <c r="A458" s="207">
        <v>454</v>
      </c>
      <c r="B458" s="197" t="s">
        <v>4396</v>
      </c>
      <c r="C458" s="207" t="s">
        <v>4427</v>
      </c>
      <c r="D458" s="207">
        <v>1</v>
      </c>
      <c r="E458" s="207" t="s">
        <v>4398</v>
      </c>
      <c r="F458" s="214" t="s">
        <v>6400</v>
      </c>
      <c r="G458" s="207" t="s">
        <v>4400</v>
      </c>
      <c r="H458" s="207" t="s">
        <v>4401</v>
      </c>
      <c r="I458" s="217" t="s">
        <v>4402</v>
      </c>
      <c r="J458" s="215" t="s">
        <v>6401</v>
      </c>
      <c r="K458" s="215" t="s">
        <v>6402</v>
      </c>
      <c r="L458" s="215" t="s">
        <v>6403</v>
      </c>
      <c r="M458" s="207" t="s">
        <v>4405</v>
      </c>
      <c r="N458" s="207" t="s">
        <v>4442</v>
      </c>
      <c r="O458" s="202" t="s">
        <v>4409</v>
      </c>
      <c r="P458" s="202" t="s">
        <v>4409</v>
      </c>
      <c r="Q458" s="202" t="s">
        <v>4409</v>
      </c>
      <c r="R458" s="202" t="s">
        <v>4409</v>
      </c>
      <c r="S458" s="202" t="s">
        <v>4409</v>
      </c>
      <c r="T458" s="202" t="s">
        <v>4409</v>
      </c>
      <c r="U458" s="202" t="s">
        <v>4409</v>
      </c>
      <c r="V458" s="202" t="s">
        <v>4409</v>
      </c>
      <c r="W458" s="202" t="s">
        <v>4409</v>
      </c>
      <c r="X458" s="202" t="s">
        <v>4409</v>
      </c>
      <c r="Y458" s="202"/>
      <c r="Z458" s="202"/>
      <c r="AA458" s="200" t="s">
        <v>6401</v>
      </c>
      <c r="AB458" s="200" t="s">
        <v>6402</v>
      </c>
      <c r="AC458" s="200" t="s">
        <v>6403</v>
      </c>
      <c r="AD458" s="197" t="s">
        <v>4402</v>
      </c>
      <c r="AE458" s="197" t="s">
        <v>4405</v>
      </c>
      <c r="AF458" s="243">
        <v>45830.1</v>
      </c>
      <c r="AG458" s="243">
        <v>60000</v>
      </c>
      <c r="AH458" s="197" t="s">
        <v>4433</v>
      </c>
      <c r="AI458" s="214" t="s">
        <v>4411</v>
      </c>
      <c r="AJ458" s="207">
        <v>150611486</v>
      </c>
      <c r="AK458" s="316">
        <v>46147</v>
      </c>
      <c r="AL458" s="316">
        <v>46147</v>
      </c>
      <c r="AM458" s="316">
        <v>46147</v>
      </c>
      <c r="AN458" s="316">
        <v>46147</v>
      </c>
      <c r="AO458" s="316">
        <v>46147</v>
      </c>
      <c r="AP458" s="316">
        <v>46147</v>
      </c>
      <c r="AQ458" s="314"/>
      <c r="AR458" s="315" t="str">
        <f t="shared" si="32"/>
        <v>FINALIZADO</v>
      </c>
      <c r="AS458" s="207" t="s">
        <v>4423</v>
      </c>
      <c r="AT458" s="207"/>
      <c r="AU458" s="220" t="s">
        <v>6404</v>
      </c>
      <c r="AV458" s="250" t="s">
        <v>4425</v>
      </c>
      <c r="AW458" s="207" t="s">
        <v>4425</v>
      </c>
      <c r="AX458" s="207" t="s">
        <v>4818</v>
      </c>
      <c r="AY458" s="207" t="s">
        <v>4818</v>
      </c>
      <c r="AZ458" s="202">
        <v>46233</v>
      </c>
      <c r="BA458" s="207" t="s">
        <v>4818</v>
      </c>
      <c r="BB458" s="207" t="s">
        <v>4818</v>
      </c>
      <c r="BC458" s="202">
        <v>46234</v>
      </c>
      <c r="BD458" s="226">
        <v>46234</v>
      </c>
      <c r="BE458" s="257" t="s">
        <v>4435</v>
      </c>
      <c r="BF458" s="257" t="s">
        <v>4436</v>
      </c>
      <c r="BG458" s="219" t="s">
        <v>4425</v>
      </c>
      <c r="BH458" s="321">
        <f t="shared" si="33"/>
        <v>87</v>
      </c>
      <c r="BI458" s="98" t="str">
        <f t="shared" si="34"/>
        <v>INDENIZAÇÃO</v>
      </c>
      <c r="BJ458" s="98" t="str">
        <f t="shared" si="35"/>
        <v>NÃO</v>
      </c>
      <c r="BK458" s="219" t="s">
        <v>4437</v>
      </c>
      <c r="BL458" s="219" t="s">
        <v>4437</v>
      </c>
      <c r="BM458" s="219" t="s">
        <v>4437</v>
      </c>
      <c r="BN458" s="257" t="s">
        <v>5732</v>
      </c>
      <c r="BO458" s="257"/>
      <c r="BP458" s="257"/>
      <c r="BQ458" s="257"/>
      <c r="BR458" s="258"/>
      <c r="BS458" s="223"/>
      <c r="BT458" s="161"/>
    </row>
    <row r="459" spans="1:112" s="240" customFormat="1" ht="27" hidden="1" customHeight="1">
      <c r="A459" s="197">
        <v>455</v>
      </c>
      <c r="B459" s="197" t="s">
        <v>4396</v>
      </c>
      <c r="C459" s="207" t="s">
        <v>4427</v>
      </c>
      <c r="D459" s="207">
        <v>1</v>
      </c>
      <c r="E459" s="207" t="s">
        <v>4398</v>
      </c>
      <c r="F459" s="214" t="s">
        <v>6405</v>
      </c>
      <c r="G459" s="207" t="s">
        <v>4400</v>
      </c>
      <c r="H459" s="207" t="s">
        <v>4401</v>
      </c>
      <c r="I459" s="217" t="s">
        <v>4402</v>
      </c>
      <c r="J459" s="215" t="s">
        <v>6406</v>
      </c>
      <c r="K459" s="215" t="s">
        <v>6407</v>
      </c>
      <c r="L459" s="215" t="s">
        <v>6408</v>
      </c>
      <c r="M459" s="207" t="s">
        <v>4405</v>
      </c>
      <c r="N459" s="207" t="s">
        <v>4406</v>
      </c>
      <c r="O459" s="202">
        <v>46176</v>
      </c>
      <c r="P459" s="202" t="s">
        <v>4407</v>
      </c>
      <c r="Q459" s="202">
        <v>46174</v>
      </c>
      <c r="R459" s="202">
        <v>46176</v>
      </c>
      <c r="S459" s="202">
        <v>46202</v>
      </c>
      <c r="T459" s="202">
        <v>46204</v>
      </c>
      <c r="U459" s="202" t="s">
        <v>4408</v>
      </c>
      <c r="V459" s="202" t="s">
        <v>4408</v>
      </c>
      <c r="W459" s="202">
        <v>46223</v>
      </c>
      <c r="X459" s="202"/>
      <c r="Y459" s="202"/>
      <c r="Z459" s="202"/>
      <c r="AA459" s="200"/>
      <c r="AB459" s="200"/>
      <c r="AC459" s="200"/>
      <c r="AD459" s="197"/>
      <c r="AE459" s="197"/>
      <c r="AF459" s="243"/>
      <c r="AG459" s="243"/>
      <c r="AH459" s="197"/>
      <c r="AI459" s="214" t="s">
        <v>4411</v>
      </c>
      <c r="AJ459" s="207"/>
      <c r="AK459" s="316"/>
      <c r="AL459" s="316"/>
      <c r="AM459" s="316"/>
      <c r="AN459" s="316"/>
      <c r="AO459" s="316"/>
      <c r="AP459" s="316"/>
      <c r="AQ459" s="314"/>
      <c r="AR459" s="315" t="str">
        <f t="shared" si="32"/>
        <v/>
      </c>
      <c r="AS459" s="207"/>
      <c r="AT459" s="207"/>
      <c r="AU459" s="220"/>
      <c r="AV459" s="250"/>
      <c r="AW459" s="207"/>
      <c r="AX459" s="207"/>
      <c r="AY459" s="207"/>
      <c r="AZ459" s="202"/>
      <c r="BA459" s="219"/>
      <c r="BB459" s="207"/>
      <c r="BC459" s="202"/>
      <c r="BD459" s="208"/>
      <c r="BE459" s="202"/>
      <c r="BF459" s="207"/>
      <c r="BG459" s="229"/>
      <c r="BH459" s="321" t="str">
        <f t="shared" si="33"/>
        <v/>
      </c>
      <c r="BI459" s="98" t="str">
        <f t="shared" si="34"/>
        <v>INDENIZAÇÃO</v>
      </c>
      <c r="BJ459" s="98" t="str">
        <f t="shared" si="35"/>
        <v>NÃO</v>
      </c>
      <c r="BK459" s="230"/>
      <c r="BL459" s="230"/>
      <c r="BM459" s="230"/>
      <c r="BN459" s="230"/>
      <c r="BO459" s="230"/>
      <c r="BP459" s="230"/>
      <c r="BQ459" s="230"/>
      <c r="BR459" s="234"/>
    </row>
    <row r="460" spans="1:112" s="240" customFormat="1" ht="27" hidden="1" customHeight="1">
      <c r="A460" s="197">
        <v>456</v>
      </c>
      <c r="B460" s="197" t="s">
        <v>4396</v>
      </c>
      <c r="C460" s="207" t="s">
        <v>4427</v>
      </c>
      <c r="D460" s="207">
        <v>1</v>
      </c>
      <c r="E460" s="207" t="s">
        <v>4398</v>
      </c>
      <c r="F460" s="214" t="s">
        <v>6409</v>
      </c>
      <c r="G460" s="207" t="s">
        <v>4400</v>
      </c>
      <c r="H460" s="207" t="s">
        <v>4401</v>
      </c>
      <c r="I460" s="217" t="s">
        <v>4402</v>
      </c>
      <c r="J460" s="215" t="s">
        <v>6410</v>
      </c>
      <c r="K460" s="215" t="s">
        <v>6411</v>
      </c>
      <c r="L460" s="215" t="s">
        <v>6412</v>
      </c>
      <c r="M460" s="207" t="s">
        <v>4405</v>
      </c>
      <c r="N460" s="207" t="s">
        <v>4406</v>
      </c>
      <c r="O460" s="202">
        <v>45986</v>
      </c>
      <c r="P460" s="203" t="s">
        <v>4407</v>
      </c>
      <c r="Q460" s="203">
        <v>45985</v>
      </c>
      <c r="R460" s="203">
        <v>45986</v>
      </c>
      <c r="S460" s="203">
        <v>45987</v>
      </c>
      <c r="T460" s="203">
        <v>45992</v>
      </c>
      <c r="U460" s="202" t="s">
        <v>4408</v>
      </c>
      <c r="V460" s="202" t="s">
        <v>4408</v>
      </c>
      <c r="W460" s="202">
        <v>45999</v>
      </c>
      <c r="X460" s="202">
        <v>46003</v>
      </c>
      <c r="Y460" s="202"/>
      <c r="Z460" s="207"/>
      <c r="AA460" s="215" t="s">
        <v>6410</v>
      </c>
      <c r="AB460" s="215" t="s">
        <v>6411</v>
      </c>
      <c r="AC460" s="215" t="s">
        <v>6412</v>
      </c>
      <c r="AD460" s="217" t="s">
        <v>4402</v>
      </c>
      <c r="AE460" s="207" t="s">
        <v>4405</v>
      </c>
      <c r="AF460" s="218" t="s">
        <v>4409</v>
      </c>
      <c r="AG460" s="218" t="s">
        <v>4409</v>
      </c>
      <c r="AH460" s="241" t="s">
        <v>4410</v>
      </c>
      <c r="AI460" s="214" t="s">
        <v>4411</v>
      </c>
      <c r="AJ460" s="207"/>
      <c r="AK460" s="316">
        <v>45980</v>
      </c>
      <c r="AL460" s="316">
        <v>45980</v>
      </c>
      <c r="AM460" s="316">
        <v>45980</v>
      </c>
      <c r="AN460" s="316">
        <v>45980</v>
      </c>
      <c r="AO460" s="316">
        <v>45980</v>
      </c>
      <c r="AP460" s="316">
        <v>45980</v>
      </c>
      <c r="AQ460" s="314"/>
      <c r="AR460" s="315" t="str">
        <f t="shared" si="32"/>
        <v>FINALIZADO</v>
      </c>
      <c r="AS460" s="207"/>
      <c r="AT460" s="207"/>
      <c r="AU460" s="220"/>
      <c r="AV460" s="207"/>
      <c r="AW460" s="207"/>
      <c r="AX460" s="207" t="s">
        <v>4409</v>
      </c>
      <c r="AY460" s="207" t="s">
        <v>4409</v>
      </c>
      <c r="AZ460" s="207" t="s">
        <v>4409</v>
      </c>
      <c r="BA460" s="207" t="s">
        <v>4409</v>
      </c>
      <c r="BB460" s="207"/>
      <c r="BC460" s="202"/>
      <c r="BD460" s="208"/>
      <c r="BE460" s="202"/>
      <c r="BF460" s="207"/>
      <c r="BG460" s="229"/>
      <c r="BH460" s="321" t="str">
        <f t="shared" si="33"/>
        <v/>
      </c>
      <c r="BI460" s="98" t="str">
        <f t="shared" si="34"/>
        <v>AA</v>
      </c>
      <c r="BJ460" s="98" t="str">
        <f t="shared" si="35"/>
        <v>NÃO</v>
      </c>
      <c r="BK460" s="230"/>
      <c r="BL460" s="230"/>
      <c r="BM460" s="230"/>
      <c r="BN460" s="230"/>
      <c r="BO460" s="230"/>
      <c r="BP460" s="230"/>
      <c r="BQ460" s="230"/>
      <c r="BR460" s="234"/>
    </row>
    <row r="461" spans="1:112" s="240" customFormat="1" ht="27" customHeight="1">
      <c r="A461" s="207">
        <v>457</v>
      </c>
      <c r="B461" s="197" t="s">
        <v>4396</v>
      </c>
      <c r="C461" s="207" t="s">
        <v>4413</v>
      </c>
      <c r="D461" s="207">
        <v>1</v>
      </c>
      <c r="E461" s="207" t="s">
        <v>4398</v>
      </c>
      <c r="F461" s="214" t="s">
        <v>6409</v>
      </c>
      <c r="G461" s="207" t="s">
        <v>4400</v>
      </c>
      <c r="H461" s="207" t="s">
        <v>4401</v>
      </c>
      <c r="I461" s="207" t="s">
        <v>4402</v>
      </c>
      <c r="J461" s="215" t="s">
        <v>6413</v>
      </c>
      <c r="K461" s="215" t="s">
        <v>4906</v>
      </c>
      <c r="L461" s="215" t="s">
        <v>6414</v>
      </c>
      <c r="M461" s="207" t="s">
        <v>4405</v>
      </c>
      <c r="N461" s="207" t="s">
        <v>4442</v>
      </c>
      <c r="O461" s="202" t="s">
        <v>4409</v>
      </c>
      <c r="P461" s="202" t="s">
        <v>4409</v>
      </c>
      <c r="Q461" s="202" t="s">
        <v>4409</v>
      </c>
      <c r="R461" s="202" t="s">
        <v>4409</v>
      </c>
      <c r="S461" s="202" t="s">
        <v>4409</v>
      </c>
      <c r="T461" s="202" t="s">
        <v>4409</v>
      </c>
      <c r="U461" s="202" t="s">
        <v>4409</v>
      </c>
      <c r="V461" s="202" t="s">
        <v>4409</v>
      </c>
      <c r="W461" s="202" t="s">
        <v>4409</v>
      </c>
      <c r="X461" s="202" t="s">
        <v>4409</v>
      </c>
      <c r="Y461" s="202"/>
      <c r="Z461" s="202"/>
      <c r="AA461" s="215" t="s">
        <v>6413</v>
      </c>
      <c r="AB461" s="215" t="s">
        <v>4906</v>
      </c>
      <c r="AC461" s="215" t="s">
        <v>6414</v>
      </c>
      <c r="AD461" s="207" t="s">
        <v>4402</v>
      </c>
      <c r="AE461" s="207" t="s">
        <v>4405</v>
      </c>
      <c r="AF461" s="243">
        <v>65235.74</v>
      </c>
      <c r="AG461" s="243">
        <v>65235.74</v>
      </c>
      <c r="AH461" s="197" t="s">
        <v>4433</v>
      </c>
      <c r="AI461" s="214" t="s">
        <v>4411</v>
      </c>
      <c r="AJ461" s="207">
        <v>163064945</v>
      </c>
      <c r="AK461" s="316">
        <v>46255</v>
      </c>
      <c r="AL461" s="316">
        <v>46255</v>
      </c>
      <c r="AM461" s="316">
        <v>46255</v>
      </c>
      <c r="AN461" s="316">
        <v>46255</v>
      </c>
      <c r="AO461" s="316"/>
      <c r="AP461" s="316"/>
      <c r="AQ461" s="314"/>
      <c r="AR461" s="315" t="str">
        <f t="shared" si="32"/>
        <v>AGUARDANDO ASSINATURA GAB</v>
      </c>
      <c r="AS461" s="207" t="s">
        <v>4447</v>
      </c>
      <c r="AT461" s="219"/>
      <c r="AU461" s="220"/>
      <c r="AV461" s="219"/>
      <c r="AW461" s="219"/>
      <c r="AX461" s="219"/>
      <c r="AY461" s="219"/>
      <c r="AZ461" s="219"/>
      <c r="BA461" s="219"/>
      <c r="BB461" s="219"/>
      <c r="BC461" s="219"/>
      <c r="BD461" s="208"/>
      <c r="BE461" s="203"/>
      <c r="BF461" s="219"/>
      <c r="BG461" s="219"/>
      <c r="BH461" s="321" t="str">
        <f t="shared" si="33"/>
        <v/>
      </c>
      <c r="BI461" s="98" t="str">
        <f t="shared" si="34"/>
        <v>INDENIZAÇÃO</v>
      </c>
      <c r="BJ461" s="98" t="str">
        <f t="shared" si="35"/>
        <v>NÃO</v>
      </c>
      <c r="BK461" s="219"/>
      <c r="BL461" s="221"/>
      <c r="BM461" s="221"/>
      <c r="BN461" s="219"/>
      <c r="BO461" s="219"/>
      <c r="BP461" s="219"/>
      <c r="BQ461" s="219"/>
      <c r="BR461" s="222"/>
    </row>
    <row r="462" spans="1:112" s="240" customFormat="1" ht="27" hidden="1" customHeight="1">
      <c r="A462" s="207">
        <v>458</v>
      </c>
      <c r="B462" s="197" t="s">
        <v>4396</v>
      </c>
      <c r="C462" s="207" t="s">
        <v>4427</v>
      </c>
      <c r="D462" s="207">
        <v>1</v>
      </c>
      <c r="E462" s="207" t="s">
        <v>4398</v>
      </c>
      <c r="F462" s="214" t="s">
        <v>6415</v>
      </c>
      <c r="G462" s="207" t="s">
        <v>4400</v>
      </c>
      <c r="H462" s="207" t="s">
        <v>4401</v>
      </c>
      <c r="I462" s="217" t="s">
        <v>4402</v>
      </c>
      <c r="J462" s="215" t="s">
        <v>6416</v>
      </c>
      <c r="K462" s="215" t="s">
        <v>6417</v>
      </c>
      <c r="L462" s="215" t="s">
        <v>6418</v>
      </c>
      <c r="M462" s="207" t="s">
        <v>4405</v>
      </c>
      <c r="N462" s="207" t="s">
        <v>4406</v>
      </c>
      <c r="O462" s="202">
        <v>45986</v>
      </c>
      <c r="P462" s="203" t="s">
        <v>4407</v>
      </c>
      <c r="Q462" s="203">
        <v>45985</v>
      </c>
      <c r="R462" s="203">
        <v>45986</v>
      </c>
      <c r="S462" s="203">
        <v>45987</v>
      </c>
      <c r="T462" s="203">
        <v>45992</v>
      </c>
      <c r="U462" s="203" t="s">
        <v>4408</v>
      </c>
      <c r="V462" s="203" t="s">
        <v>4408</v>
      </c>
      <c r="W462" s="202">
        <v>45999</v>
      </c>
      <c r="X462" s="202">
        <v>46000</v>
      </c>
      <c r="Y462" s="202"/>
      <c r="Z462" s="207"/>
      <c r="AA462" s="200" t="s">
        <v>6416</v>
      </c>
      <c r="AB462" s="200" t="s">
        <v>6417</v>
      </c>
      <c r="AC462" s="200" t="s">
        <v>6418</v>
      </c>
      <c r="AD462" s="199" t="s">
        <v>4402</v>
      </c>
      <c r="AE462" s="197" t="s">
        <v>4405</v>
      </c>
      <c r="AF462" s="243" t="s">
        <v>4409</v>
      </c>
      <c r="AG462" s="243" t="s">
        <v>4409</v>
      </c>
      <c r="AH462" s="204" t="s">
        <v>4410</v>
      </c>
      <c r="AI462" s="214" t="s">
        <v>4411</v>
      </c>
      <c r="AJ462" s="207"/>
      <c r="AK462" s="316">
        <v>45980</v>
      </c>
      <c r="AL462" s="316">
        <v>45980</v>
      </c>
      <c r="AM462" s="316">
        <v>45980</v>
      </c>
      <c r="AN462" s="316">
        <v>45980</v>
      </c>
      <c r="AO462" s="316">
        <v>45980</v>
      </c>
      <c r="AP462" s="316">
        <v>45980</v>
      </c>
      <c r="AQ462" s="314"/>
      <c r="AR462" s="315" t="str">
        <f t="shared" si="32"/>
        <v>FINALIZADO</v>
      </c>
      <c r="AS462" s="207"/>
      <c r="AT462" s="207"/>
      <c r="AU462" s="220"/>
      <c r="AV462" s="207"/>
      <c r="AW462" s="207"/>
      <c r="AX462" s="207" t="s">
        <v>4409</v>
      </c>
      <c r="AY462" s="207" t="s">
        <v>4409</v>
      </c>
      <c r="AZ462" s="207" t="s">
        <v>4409</v>
      </c>
      <c r="BA462" s="207" t="s">
        <v>4409</v>
      </c>
      <c r="BB462" s="207"/>
      <c r="BC462" s="202"/>
      <c r="BD462" s="208"/>
      <c r="BE462" s="202"/>
      <c r="BF462" s="207"/>
      <c r="BG462" s="229"/>
      <c r="BH462" s="321" t="str">
        <f t="shared" si="33"/>
        <v/>
      </c>
      <c r="BI462" s="98" t="str">
        <f t="shared" si="34"/>
        <v>AA</v>
      </c>
      <c r="BJ462" s="98" t="str">
        <f t="shared" si="35"/>
        <v>NÃO</v>
      </c>
      <c r="BK462" s="230"/>
      <c r="BL462" s="230"/>
      <c r="BM462" s="230"/>
      <c r="BN462" s="230"/>
      <c r="BO462" s="230"/>
      <c r="BP462" s="230"/>
      <c r="BQ462" s="230"/>
      <c r="BR462" s="234"/>
    </row>
    <row r="463" spans="1:112" s="240" customFormat="1" ht="27" customHeight="1">
      <c r="A463" s="207">
        <v>459</v>
      </c>
      <c r="B463" s="197" t="s">
        <v>4396</v>
      </c>
      <c r="C463" s="207" t="s">
        <v>4413</v>
      </c>
      <c r="D463" s="207">
        <v>1</v>
      </c>
      <c r="E463" s="207" t="s">
        <v>4398</v>
      </c>
      <c r="F463" s="214" t="s">
        <v>6415</v>
      </c>
      <c r="G463" s="207" t="s">
        <v>4400</v>
      </c>
      <c r="H463" s="207" t="s">
        <v>4401</v>
      </c>
      <c r="I463" s="207" t="s">
        <v>4402</v>
      </c>
      <c r="J463" s="215" t="s">
        <v>6419</v>
      </c>
      <c r="K463" s="215" t="s">
        <v>6420</v>
      </c>
      <c r="L463" s="215" t="s">
        <v>6421</v>
      </c>
      <c r="M463" s="207" t="s">
        <v>4405</v>
      </c>
      <c r="N463" s="207" t="s">
        <v>4442</v>
      </c>
      <c r="O463" s="202" t="s">
        <v>4409</v>
      </c>
      <c r="P463" s="202" t="s">
        <v>4409</v>
      </c>
      <c r="Q463" s="202" t="s">
        <v>4409</v>
      </c>
      <c r="R463" s="202" t="s">
        <v>4409</v>
      </c>
      <c r="S463" s="202" t="s">
        <v>4409</v>
      </c>
      <c r="T463" s="202" t="s">
        <v>4409</v>
      </c>
      <c r="U463" s="202" t="s">
        <v>4409</v>
      </c>
      <c r="V463" s="202" t="s">
        <v>4409</v>
      </c>
      <c r="W463" s="202" t="s">
        <v>4409</v>
      </c>
      <c r="X463" s="202" t="s">
        <v>4409</v>
      </c>
      <c r="Y463" s="202"/>
      <c r="Z463" s="202"/>
      <c r="AA463" s="215" t="s">
        <v>6419</v>
      </c>
      <c r="AB463" s="215" t="s">
        <v>6420</v>
      </c>
      <c r="AC463" s="215" t="s">
        <v>6421</v>
      </c>
      <c r="AD463" s="207" t="s">
        <v>4402</v>
      </c>
      <c r="AE463" s="207" t="s">
        <v>4405</v>
      </c>
      <c r="AF463" s="218">
        <v>39497.07</v>
      </c>
      <c r="AG463" s="218">
        <v>60000</v>
      </c>
      <c r="AH463" s="207" t="s">
        <v>4433</v>
      </c>
      <c r="AI463" s="214" t="s">
        <v>4411</v>
      </c>
      <c r="AJ463" s="207">
        <v>153979535</v>
      </c>
      <c r="AK463" s="316">
        <v>46129</v>
      </c>
      <c r="AL463" s="316">
        <v>46129</v>
      </c>
      <c r="AM463" s="316">
        <v>46129</v>
      </c>
      <c r="AN463" s="316">
        <v>46129</v>
      </c>
      <c r="AO463" s="316">
        <v>46129</v>
      </c>
      <c r="AP463" s="316">
        <v>46129</v>
      </c>
      <c r="AQ463" s="314"/>
      <c r="AR463" s="315" t="str">
        <f t="shared" si="32"/>
        <v>FINALIZADO</v>
      </c>
      <c r="AS463" s="207" t="s">
        <v>4423</v>
      </c>
      <c r="AT463" s="219"/>
      <c r="AU463" s="220" t="s">
        <v>6422</v>
      </c>
      <c r="AV463" s="262" t="s">
        <v>4425</v>
      </c>
      <c r="AW463" s="219" t="s">
        <v>4425</v>
      </c>
      <c r="AX463" s="219" t="s">
        <v>4425</v>
      </c>
      <c r="AY463" s="219" t="s">
        <v>4425</v>
      </c>
      <c r="AZ463" s="202">
        <v>46216</v>
      </c>
      <c r="BA463" s="262" t="s">
        <v>4425</v>
      </c>
      <c r="BB463" s="262" t="s">
        <v>4425</v>
      </c>
      <c r="BC463" s="202">
        <v>46223</v>
      </c>
      <c r="BD463" s="264">
        <v>46223</v>
      </c>
      <c r="BE463" s="257" t="s">
        <v>4435</v>
      </c>
      <c r="BF463" s="228" t="s">
        <v>4436</v>
      </c>
      <c r="BG463" s="229" t="s">
        <v>4425</v>
      </c>
      <c r="BH463" s="321">
        <f t="shared" si="33"/>
        <v>94</v>
      </c>
      <c r="BI463" s="98" t="str">
        <f t="shared" si="34"/>
        <v>INDENIZAÇÃO</v>
      </c>
      <c r="BJ463" s="98" t="str">
        <f t="shared" si="35"/>
        <v>NÃO</v>
      </c>
      <c r="BK463" s="230" t="s">
        <v>4437</v>
      </c>
      <c r="BL463" s="230" t="s">
        <v>4437</v>
      </c>
      <c r="BM463" s="230" t="s">
        <v>4437</v>
      </c>
      <c r="BN463" s="265" t="s">
        <v>5732</v>
      </c>
      <c r="BO463" s="265"/>
      <c r="BP463" s="265"/>
      <c r="BQ463" s="265"/>
      <c r="BR463" s="231"/>
    </row>
    <row r="464" spans="1:112" s="240" customFormat="1" ht="27" customHeight="1">
      <c r="A464" s="197">
        <v>460</v>
      </c>
      <c r="B464" s="197" t="s">
        <v>4396</v>
      </c>
      <c r="C464" s="207" t="s">
        <v>4413</v>
      </c>
      <c r="D464" s="207">
        <v>1</v>
      </c>
      <c r="E464" s="207" t="s">
        <v>4398</v>
      </c>
      <c r="F464" s="214" t="s">
        <v>6423</v>
      </c>
      <c r="G464" s="207" t="s">
        <v>4400</v>
      </c>
      <c r="H464" s="207" t="s">
        <v>4401</v>
      </c>
      <c r="I464" s="207" t="s">
        <v>4402</v>
      </c>
      <c r="J464" s="215" t="s">
        <v>6424</v>
      </c>
      <c r="K464" s="215" t="s">
        <v>6425</v>
      </c>
      <c r="L464" s="215" t="s">
        <v>6426</v>
      </c>
      <c r="M464" s="207" t="s">
        <v>4405</v>
      </c>
      <c r="N464" s="207" t="s">
        <v>4442</v>
      </c>
      <c r="O464" s="202" t="s">
        <v>4409</v>
      </c>
      <c r="P464" s="202" t="s">
        <v>4409</v>
      </c>
      <c r="Q464" s="202" t="s">
        <v>4409</v>
      </c>
      <c r="R464" s="202" t="s">
        <v>4409</v>
      </c>
      <c r="S464" s="202" t="s">
        <v>4409</v>
      </c>
      <c r="T464" s="202" t="s">
        <v>4409</v>
      </c>
      <c r="U464" s="202" t="s">
        <v>4409</v>
      </c>
      <c r="V464" s="202" t="s">
        <v>4409</v>
      </c>
      <c r="W464" s="202" t="s">
        <v>4409</v>
      </c>
      <c r="X464" s="202" t="s">
        <v>4409</v>
      </c>
      <c r="Y464" s="202"/>
      <c r="Z464" s="202"/>
      <c r="AA464" s="215" t="s">
        <v>6424</v>
      </c>
      <c r="AB464" s="215" t="s">
        <v>6425</v>
      </c>
      <c r="AC464" s="215" t="s">
        <v>6426</v>
      </c>
      <c r="AD464" s="207" t="s">
        <v>4402</v>
      </c>
      <c r="AE464" s="207" t="s">
        <v>4405</v>
      </c>
      <c r="AF464" s="243">
        <v>137659.72</v>
      </c>
      <c r="AG464" s="243">
        <v>137659.72</v>
      </c>
      <c r="AH464" s="197" t="s">
        <v>4433</v>
      </c>
      <c r="AI464" s="214" t="s">
        <v>4411</v>
      </c>
      <c r="AJ464" s="207">
        <v>153980746</v>
      </c>
      <c r="AK464" s="316">
        <v>46129</v>
      </c>
      <c r="AL464" s="316">
        <v>46129</v>
      </c>
      <c r="AM464" s="316">
        <v>46129</v>
      </c>
      <c r="AN464" s="316">
        <v>46129</v>
      </c>
      <c r="AO464" s="316">
        <v>46129</v>
      </c>
      <c r="AP464" s="316">
        <v>46129</v>
      </c>
      <c r="AQ464" s="314"/>
      <c r="AR464" s="315" t="str">
        <f t="shared" si="32"/>
        <v>FINALIZADO</v>
      </c>
      <c r="AS464" s="207" t="s">
        <v>4423</v>
      </c>
      <c r="AT464" s="219"/>
      <c r="AU464" s="220" t="s">
        <v>6427</v>
      </c>
      <c r="AV464" s="262" t="s">
        <v>4425</v>
      </c>
      <c r="AW464" s="219" t="s">
        <v>4425</v>
      </c>
      <c r="AX464" s="207" t="s">
        <v>4425</v>
      </c>
      <c r="AY464" s="207" t="s">
        <v>4425</v>
      </c>
      <c r="AZ464" s="202">
        <v>46226</v>
      </c>
      <c r="BA464" s="219" t="s">
        <v>4425</v>
      </c>
      <c r="BB464" s="219" t="s">
        <v>4425</v>
      </c>
      <c r="BC464" s="202">
        <v>46232</v>
      </c>
      <c r="BD464" s="226">
        <v>46232</v>
      </c>
      <c r="BE464" s="257" t="s">
        <v>4435</v>
      </c>
      <c r="BF464" s="257" t="s">
        <v>4436</v>
      </c>
      <c r="BG464" s="219" t="s">
        <v>4425</v>
      </c>
      <c r="BH464" s="321">
        <f t="shared" si="33"/>
        <v>103</v>
      </c>
      <c r="BI464" s="98" t="str">
        <f t="shared" si="34"/>
        <v>INDENIZAÇÃO</v>
      </c>
      <c r="BJ464" s="98" t="str">
        <f t="shared" si="35"/>
        <v>NÃO</v>
      </c>
      <c r="BK464" s="219" t="s">
        <v>4437</v>
      </c>
      <c r="BL464" s="219" t="s">
        <v>4437</v>
      </c>
      <c r="BM464" s="219" t="s">
        <v>4437</v>
      </c>
      <c r="BN464" s="257" t="s">
        <v>5732</v>
      </c>
      <c r="BO464" s="257"/>
      <c r="BP464" s="257"/>
      <c r="BQ464" s="257"/>
      <c r="BR464" s="258"/>
      <c r="BS464" s="223"/>
      <c r="BT464" s="161"/>
    </row>
    <row r="465" spans="1:112" s="240" customFormat="1" ht="27" hidden="1" customHeight="1">
      <c r="A465" s="197">
        <v>461</v>
      </c>
      <c r="B465" s="197" t="s">
        <v>4396</v>
      </c>
      <c r="C465" s="207" t="s">
        <v>4427</v>
      </c>
      <c r="D465" s="207">
        <v>1</v>
      </c>
      <c r="E465" s="207" t="s">
        <v>4398</v>
      </c>
      <c r="F465" s="214" t="s">
        <v>6428</v>
      </c>
      <c r="G465" s="207" t="s">
        <v>4400</v>
      </c>
      <c r="H465" s="207" t="s">
        <v>4401</v>
      </c>
      <c r="I465" s="217" t="s">
        <v>4402</v>
      </c>
      <c r="J465" s="215" t="s">
        <v>6429</v>
      </c>
      <c r="K465" s="215" t="s">
        <v>6430</v>
      </c>
      <c r="L465" s="215" t="s">
        <v>6431</v>
      </c>
      <c r="M465" s="207" t="s">
        <v>4405</v>
      </c>
      <c r="N465" s="207" t="s">
        <v>4406</v>
      </c>
      <c r="O465" s="202">
        <v>46002</v>
      </c>
      <c r="P465" s="202" t="s">
        <v>4407</v>
      </c>
      <c r="Q465" s="202">
        <v>45999</v>
      </c>
      <c r="R465" s="202">
        <v>46006</v>
      </c>
      <c r="S465" s="202">
        <v>46006</v>
      </c>
      <c r="T465" s="202">
        <v>46009</v>
      </c>
      <c r="U465" s="202" t="s">
        <v>4408</v>
      </c>
      <c r="V465" s="202" t="s">
        <v>4408</v>
      </c>
      <c r="W465" s="202">
        <v>46014</v>
      </c>
      <c r="X465" s="202">
        <v>46020</v>
      </c>
      <c r="Y465" s="202"/>
      <c r="Z465" s="207"/>
      <c r="AA465" s="215" t="s">
        <v>6429</v>
      </c>
      <c r="AB465" s="215" t="s">
        <v>6430</v>
      </c>
      <c r="AC465" s="215" t="s">
        <v>6431</v>
      </c>
      <c r="AD465" s="217" t="s">
        <v>4402</v>
      </c>
      <c r="AE465" s="207" t="s">
        <v>4405</v>
      </c>
      <c r="AF465" s="218" t="s">
        <v>4409</v>
      </c>
      <c r="AG465" s="218" t="s">
        <v>4409</v>
      </c>
      <c r="AH465" s="197" t="s">
        <v>4410</v>
      </c>
      <c r="AI465" s="214" t="s">
        <v>4411</v>
      </c>
      <c r="AJ465" s="207"/>
      <c r="AK465" s="316">
        <v>45996</v>
      </c>
      <c r="AL465" s="316">
        <v>45996</v>
      </c>
      <c r="AM465" s="316">
        <v>45996</v>
      </c>
      <c r="AN465" s="316">
        <v>45996</v>
      </c>
      <c r="AO465" s="316">
        <v>45996</v>
      </c>
      <c r="AP465" s="316">
        <v>45996</v>
      </c>
      <c r="AQ465" s="314"/>
      <c r="AR465" s="315" t="str">
        <f t="shared" si="32"/>
        <v>FINALIZADO</v>
      </c>
      <c r="AS465" s="207"/>
      <c r="AT465" s="207"/>
      <c r="AU465" s="220"/>
      <c r="AV465" s="207"/>
      <c r="AW465" s="207"/>
      <c r="AX465" s="207"/>
      <c r="AY465" s="207"/>
      <c r="AZ465" s="202"/>
      <c r="BA465" s="219"/>
      <c r="BB465" s="207"/>
      <c r="BC465" s="202"/>
      <c r="BD465" s="208"/>
      <c r="BE465" s="202"/>
      <c r="BF465" s="207"/>
      <c r="BG465" s="229"/>
      <c r="BH465" s="321" t="str">
        <f t="shared" si="33"/>
        <v/>
      </c>
      <c r="BI465" s="98" t="str">
        <f t="shared" si="34"/>
        <v>AA</v>
      </c>
      <c r="BJ465" s="98" t="str">
        <f t="shared" si="35"/>
        <v>NÃO</v>
      </c>
      <c r="BK465" s="230"/>
      <c r="BL465" s="230"/>
      <c r="BM465" s="230"/>
      <c r="BN465" s="230"/>
      <c r="BO465" s="230"/>
      <c r="BP465" s="230"/>
      <c r="BQ465" s="230"/>
      <c r="BR465" s="234"/>
    </row>
    <row r="466" spans="1:112" s="240" customFormat="1" ht="27" customHeight="1">
      <c r="A466" s="207">
        <v>462</v>
      </c>
      <c r="B466" s="197" t="s">
        <v>4396</v>
      </c>
      <c r="C466" s="207" t="s">
        <v>4413</v>
      </c>
      <c r="D466" s="207">
        <v>1</v>
      </c>
      <c r="E466" s="207" t="s">
        <v>4398</v>
      </c>
      <c r="F466" s="214" t="s">
        <v>6428</v>
      </c>
      <c r="G466" s="207" t="s">
        <v>4400</v>
      </c>
      <c r="H466" s="207" t="s">
        <v>4401</v>
      </c>
      <c r="I466" s="207" t="s">
        <v>4402</v>
      </c>
      <c r="J466" s="215" t="s">
        <v>6432</v>
      </c>
      <c r="K466" s="215" t="s">
        <v>6433</v>
      </c>
      <c r="L466" s="215" t="s">
        <v>6434</v>
      </c>
      <c r="M466" s="207" t="s">
        <v>4405</v>
      </c>
      <c r="N466" s="207" t="s">
        <v>4442</v>
      </c>
      <c r="O466" s="202" t="s">
        <v>4409</v>
      </c>
      <c r="P466" s="202" t="s">
        <v>4409</v>
      </c>
      <c r="Q466" s="202" t="s">
        <v>4409</v>
      </c>
      <c r="R466" s="202" t="s">
        <v>4409</v>
      </c>
      <c r="S466" s="202" t="s">
        <v>4409</v>
      </c>
      <c r="T466" s="202" t="s">
        <v>4409</v>
      </c>
      <c r="U466" s="202" t="s">
        <v>4409</v>
      </c>
      <c r="V466" s="202" t="s">
        <v>4409</v>
      </c>
      <c r="W466" s="202" t="s">
        <v>4409</v>
      </c>
      <c r="X466" s="202" t="s">
        <v>4409</v>
      </c>
      <c r="Y466" s="202"/>
      <c r="Z466" s="202"/>
      <c r="AA466" s="215" t="s">
        <v>6432</v>
      </c>
      <c r="AB466" s="215" t="s">
        <v>6433</v>
      </c>
      <c r="AC466" s="215" t="s">
        <v>6434</v>
      </c>
      <c r="AD466" s="207" t="s">
        <v>4402</v>
      </c>
      <c r="AE466" s="207" t="s">
        <v>4405</v>
      </c>
      <c r="AF466" s="218">
        <v>24525.65</v>
      </c>
      <c r="AG466" s="218">
        <f>AF466+30000</f>
        <v>54525.65</v>
      </c>
      <c r="AH466" s="207" t="s">
        <v>4422</v>
      </c>
      <c r="AI466" s="214" t="s">
        <v>4411</v>
      </c>
      <c r="AJ466" s="207">
        <v>153980840</v>
      </c>
      <c r="AK466" s="316">
        <v>46129</v>
      </c>
      <c r="AL466" s="316">
        <v>46129</v>
      </c>
      <c r="AM466" s="316">
        <v>46129</v>
      </c>
      <c r="AN466" s="316">
        <v>46129</v>
      </c>
      <c r="AO466" s="316">
        <v>46129</v>
      </c>
      <c r="AP466" s="316">
        <v>46129</v>
      </c>
      <c r="AQ466" s="314"/>
      <c r="AR466" s="315" t="str">
        <f t="shared" si="32"/>
        <v>FINALIZADO</v>
      </c>
      <c r="AS466" s="207" t="s">
        <v>4423</v>
      </c>
      <c r="AT466" s="219"/>
      <c r="AU466" s="220" t="s">
        <v>6435</v>
      </c>
      <c r="AV466" s="262" t="s">
        <v>4425</v>
      </c>
      <c r="AW466" s="219" t="s">
        <v>4425</v>
      </c>
      <c r="AX466" s="207" t="s">
        <v>4818</v>
      </c>
      <c r="AY466" s="207" t="s">
        <v>4818</v>
      </c>
      <c r="AZ466" s="202">
        <v>46233</v>
      </c>
      <c r="BA466" s="207" t="s">
        <v>4818</v>
      </c>
      <c r="BB466" s="207" t="s">
        <v>4818</v>
      </c>
      <c r="BC466" s="202">
        <v>46234</v>
      </c>
      <c r="BD466" s="226">
        <v>46234</v>
      </c>
      <c r="BE466" s="257" t="s">
        <v>4435</v>
      </c>
      <c r="BF466" s="257" t="s">
        <v>4436</v>
      </c>
      <c r="BG466" s="219" t="s">
        <v>4425</v>
      </c>
      <c r="BH466" s="321">
        <f t="shared" si="33"/>
        <v>105</v>
      </c>
      <c r="BI466" s="98" t="str">
        <f t="shared" si="34"/>
        <v>INDENIZAÇÃO</v>
      </c>
      <c r="BJ466" s="98" t="str">
        <f t="shared" si="35"/>
        <v>NÃO</v>
      </c>
      <c r="BK466" s="219" t="s">
        <v>4437</v>
      </c>
      <c r="BL466" s="219" t="s">
        <v>4437</v>
      </c>
      <c r="BM466" s="219" t="s">
        <v>4437</v>
      </c>
      <c r="BN466" s="257" t="s">
        <v>5732</v>
      </c>
      <c r="BO466" s="257"/>
      <c r="BP466" s="257"/>
      <c r="BQ466" s="257"/>
      <c r="BR466" s="258"/>
      <c r="BS466" s="223"/>
      <c r="BT466" s="161"/>
    </row>
    <row r="467" spans="1:112" s="240" customFormat="1" ht="27" customHeight="1">
      <c r="A467" s="207">
        <v>463</v>
      </c>
      <c r="B467" s="197" t="s">
        <v>4396</v>
      </c>
      <c r="C467" s="207" t="s">
        <v>4413</v>
      </c>
      <c r="D467" s="207">
        <v>1</v>
      </c>
      <c r="E467" s="207" t="s">
        <v>4398</v>
      </c>
      <c r="F467" s="214" t="s">
        <v>6436</v>
      </c>
      <c r="G467" s="207" t="s">
        <v>4400</v>
      </c>
      <c r="H467" s="207" t="s">
        <v>4401</v>
      </c>
      <c r="I467" s="207" t="s">
        <v>4402</v>
      </c>
      <c r="J467" s="215" t="s">
        <v>6437</v>
      </c>
      <c r="K467" s="215" t="s">
        <v>6438</v>
      </c>
      <c r="L467" s="215" t="s">
        <v>6439</v>
      </c>
      <c r="M467" s="207" t="s">
        <v>4405</v>
      </c>
      <c r="N467" s="207" t="s">
        <v>4442</v>
      </c>
      <c r="O467" s="202" t="s">
        <v>4409</v>
      </c>
      <c r="P467" s="202" t="s">
        <v>4409</v>
      </c>
      <c r="Q467" s="202" t="s">
        <v>4409</v>
      </c>
      <c r="R467" s="202" t="s">
        <v>4409</v>
      </c>
      <c r="S467" s="202" t="s">
        <v>4409</v>
      </c>
      <c r="T467" s="202" t="s">
        <v>4409</v>
      </c>
      <c r="U467" s="202" t="s">
        <v>4409</v>
      </c>
      <c r="V467" s="202" t="s">
        <v>4409</v>
      </c>
      <c r="W467" s="202" t="s">
        <v>4409</v>
      </c>
      <c r="X467" s="202" t="s">
        <v>4409</v>
      </c>
      <c r="Y467" s="202"/>
      <c r="Z467" s="202"/>
      <c r="AA467" s="215" t="s">
        <v>6437</v>
      </c>
      <c r="AB467" s="215" t="s">
        <v>6438</v>
      </c>
      <c r="AC467" s="215" t="s">
        <v>6439</v>
      </c>
      <c r="AD467" s="207" t="s">
        <v>4402</v>
      </c>
      <c r="AE467" s="207" t="s">
        <v>4405</v>
      </c>
      <c r="AF467" s="218">
        <v>8623.86</v>
      </c>
      <c r="AG467" s="218">
        <f>AF467+30000</f>
        <v>38623.86</v>
      </c>
      <c r="AH467" s="207" t="s">
        <v>4433</v>
      </c>
      <c r="AI467" s="214" t="s">
        <v>4411</v>
      </c>
      <c r="AJ467" s="207">
        <v>153980952</v>
      </c>
      <c r="AK467" s="316">
        <v>46129</v>
      </c>
      <c r="AL467" s="316">
        <v>46129</v>
      </c>
      <c r="AM467" s="316">
        <v>46129</v>
      </c>
      <c r="AN467" s="316">
        <v>46129</v>
      </c>
      <c r="AO467" s="316">
        <v>46129</v>
      </c>
      <c r="AP467" s="316">
        <v>46129</v>
      </c>
      <c r="AQ467" s="314"/>
      <c r="AR467" s="315" t="str">
        <f t="shared" si="32"/>
        <v>FINALIZADO</v>
      </c>
      <c r="AS467" s="207" t="s">
        <v>4423</v>
      </c>
      <c r="AT467" s="219"/>
      <c r="AU467" s="220" t="s">
        <v>6440</v>
      </c>
      <c r="AV467" s="262" t="s">
        <v>4425</v>
      </c>
      <c r="AW467" s="219" t="s">
        <v>4425</v>
      </c>
      <c r="AX467" s="207" t="s">
        <v>4425</v>
      </c>
      <c r="AY467" s="207" t="s">
        <v>4425</v>
      </c>
      <c r="AZ467" s="202">
        <v>46226</v>
      </c>
      <c r="BA467" s="219" t="s">
        <v>4425</v>
      </c>
      <c r="BB467" s="219" t="s">
        <v>4425</v>
      </c>
      <c r="BC467" s="202">
        <v>46233</v>
      </c>
      <c r="BD467" s="226">
        <v>46234</v>
      </c>
      <c r="BE467" s="257" t="s">
        <v>4435</v>
      </c>
      <c r="BF467" s="257" t="s">
        <v>4436</v>
      </c>
      <c r="BG467" s="219" t="s">
        <v>4425</v>
      </c>
      <c r="BH467" s="321">
        <f t="shared" si="33"/>
        <v>105</v>
      </c>
      <c r="BI467" s="98" t="str">
        <f t="shared" si="34"/>
        <v>INDENIZAÇÃO</v>
      </c>
      <c r="BJ467" s="98" t="str">
        <f t="shared" si="35"/>
        <v>NÃO</v>
      </c>
      <c r="BK467" s="219" t="s">
        <v>4437</v>
      </c>
      <c r="BL467" s="219" t="s">
        <v>4437</v>
      </c>
      <c r="BM467" s="219" t="s">
        <v>4437</v>
      </c>
      <c r="BN467" s="257" t="s">
        <v>5732</v>
      </c>
      <c r="BO467" s="257"/>
      <c r="BP467" s="257"/>
      <c r="BQ467" s="257"/>
      <c r="BR467" s="258"/>
    </row>
    <row r="468" spans="1:112" s="240" customFormat="1" ht="27" hidden="1" customHeight="1">
      <c r="A468" s="207">
        <v>464</v>
      </c>
      <c r="B468" s="197" t="s">
        <v>4396</v>
      </c>
      <c r="C468" s="207" t="s">
        <v>4427</v>
      </c>
      <c r="D468" s="207">
        <v>1</v>
      </c>
      <c r="E468" s="207" t="s">
        <v>4398</v>
      </c>
      <c r="F468" s="214" t="s">
        <v>6441</v>
      </c>
      <c r="G468" s="207" t="s">
        <v>4400</v>
      </c>
      <c r="H468" s="207" t="s">
        <v>4401</v>
      </c>
      <c r="I468" s="217" t="s">
        <v>4402</v>
      </c>
      <c r="J468" s="215" t="s">
        <v>6442</v>
      </c>
      <c r="K468" s="215" t="s">
        <v>6443</v>
      </c>
      <c r="L468" s="215" t="s">
        <v>6444</v>
      </c>
      <c r="M468" s="207" t="s">
        <v>4405</v>
      </c>
      <c r="N468" s="207" t="s">
        <v>4406</v>
      </c>
      <c r="O468" s="202">
        <v>45986</v>
      </c>
      <c r="P468" s="203" t="s">
        <v>4407</v>
      </c>
      <c r="Q468" s="203">
        <v>45985</v>
      </c>
      <c r="R468" s="203">
        <v>45986</v>
      </c>
      <c r="S468" s="203">
        <v>45987</v>
      </c>
      <c r="T468" s="203">
        <v>45992</v>
      </c>
      <c r="U468" s="202" t="s">
        <v>4408</v>
      </c>
      <c r="V468" s="202" t="s">
        <v>4408</v>
      </c>
      <c r="W468" s="202">
        <v>45999</v>
      </c>
      <c r="X468" s="202">
        <v>46000</v>
      </c>
      <c r="Y468" s="203"/>
      <c r="Z468" s="219"/>
      <c r="AA468" s="215" t="s">
        <v>6442</v>
      </c>
      <c r="AB468" s="215" t="s">
        <v>6443</v>
      </c>
      <c r="AC468" s="215" t="s">
        <v>6444</v>
      </c>
      <c r="AD468" s="217" t="s">
        <v>4402</v>
      </c>
      <c r="AE468" s="207" t="s">
        <v>4405</v>
      </c>
      <c r="AF468" s="218" t="s">
        <v>4409</v>
      </c>
      <c r="AG468" s="218" t="s">
        <v>4409</v>
      </c>
      <c r="AH468" s="241" t="s">
        <v>4410</v>
      </c>
      <c r="AI468" s="214" t="s">
        <v>4411</v>
      </c>
      <c r="AJ468" s="207"/>
      <c r="AK468" s="316">
        <v>45980</v>
      </c>
      <c r="AL468" s="316">
        <v>45980</v>
      </c>
      <c r="AM468" s="316">
        <v>45980</v>
      </c>
      <c r="AN468" s="316">
        <v>45980</v>
      </c>
      <c r="AO468" s="316">
        <v>45980</v>
      </c>
      <c r="AP468" s="316">
        <v>45980</v>
      </c>
      <c r="AQ468" s="314"/>
      <c r="AR468" s="315" t="str">
        <f t="shared" si="32"/>
        <v>FINALIZADO</v>
      </c>
      <c r="AS468" s="207"/>
      <c r="AT468" s="219"/>
      <c r="AU468" s="220"/>
      <c r="AV468" s="207"/>
      <c r="AW468" s="207"/>
      <c r="AX468" s="207" t="s">
        <v>4409</v>
      </c>
      <c r="AY468" s="207" t="s">
        <v>4409</v>
      </c>
      <c r="AZ468" s="207" t="s">
        <v>4409</v>
      </c>
      <c r="BA468" s="207" t="s">
        <v>4409</v>
      </c>
      <c r="BB468" s="219"/>
      <c r="BC468" s="219"/>
      <c r="BD468" s="208"/>
      <c r="BE468" s="202"/>
      <c r="BF468" s="207"/>
      <c r="BG468" s="229"/>
      <c r="BH468" s="321" t="str">
        <f t="shared" si="33"/>
        <v/>
      </c>
      <c r="BI468" s="98" t="str">
        <f t="shared" si="34"/>
        <v>AA</v>
      </c>
      <c r="BJ468" s="98" t="str">
        <f t="shared" si="35"/>
        <v>NÃO</v>
      </c>
      <c r="BK468" s="230"/>
      <c r="BL468" s="230"/>
      <c r="BM468" s="230"/>
      <c r="BN468" s="230"/>
      <c r="BO468" s="230"/>
      <c r="BP468" s="230"/>
      <c r="BQ468" s="230"/>
      <c r="BR468" s="234"/>
    </row>
    <row r="469" spans="1:112" s="240" customFormat="1" ht="27" customHeight="1">
      <c r="A469" s="197">
        <v>465</v>
      </c>
      <c r="B469" s="197" t="s">
        <v>4396</v>
      </c>
      <c r="C469" s="207" t="s">
        <v>4413</v>
      </c>
      <c r="D469" s="207">
        <v>1</v>
      </c>
      <c r="E469" s="207" t="s">
        <v>4398</v>
      </c>
      <c r="F469" s="214" t="s">
        <v>6441</v>
      </c>
      <c r="G469" s="207" t="s">
        <v>4400</v>
      </c>
      <c r="H469" s="207" t="s">
        <v>4401</v>
      </c>
      <c r="I469" s="207" t="s">
        <v>4402</v>
      </c>
      <c r="J469" s="215" t="s">
        <v>6445</v>
      </c>
      <c r="K469" s="215" t="s">
        <v>6446</v>
      </c>
      <c r="L469" s="215" t="s">
        <v>6447</v>
      </c>
      <c r="M469" s="207" t="s">
        <v>4405</v>
      </c>
      <c r="N469" s="207" t="s">
        <v>4406</v>
      </c>
      <c r="O469" s="202">
        <v>46084</v>
      </c>
      <c r="P469" s="202" t="s">
        <v>4407</v>
      </c>
      <c r="Q469" s="202">
        <v>46083</v>
      </c>
      <c r="R469" s="203">
        <v>46084</v>
      </c>
      <c r="S469" s="203">
        <v>46087</v>
      </c>
      <c r="T469" s="203">
        <v>46090</v>
      </c>
      <c r="U469" s="202" t="s">
        <v>4408</v>
      </c>
      <c r="V469" s="202" t="s">
        <v>4408</v>
      </c>
      <c r="W469" s="202">
        <v>46101</v>
      </c>
      <c r="X469" s="202">
        <v>46153</v>
      </c>
      <c r="Y469" s="202"/>
      <c r="Z469" s="216" t="s">
        <v>6448</v>
      </c>
      <c r="AA469" s="215" t="s">
        <v>6445</v>
      </c>
      <c r="AB469" s="215" t="s">
        <v>6446</v>
      </c>
      <c r="AC469" s="215" t="s">
        <v>6447</v>
      </c>
      <c r="AD469" s="217" t="s">
        <v>4402</v>
      </c>
      <c r="AE469" s="207" t="s">
        <v>4405</v>
      </c>
      <c r="AF469" s="218" t="s">
        <v>4409</v>
      </c>
      <c r="AG469" s="218" t="s">
        <v>4409</v>
      </c>
      <c r="AH469" s="197" t="s">
        <v>4410</v>
      </c>
      <c r="AI469" s="214" t="s">
        <v>4411</v>
      </c>
      <c r="AJ469" s="207"/>
      <c r="AK469" s="316">
        <v>46080</v>
      </c>
      <c r="AL469" s="316">
        <v>46080</v>
      </c>
      <c r="AM469" s="316">
        <v>46080</v>
      </c>
      <c r="AN469" s="316">
        <v>46080</v>
      </c>
      <c r="AO469" s="316">
        <v>46080</v>
      </c>
      <c r="AP469" s="316">
        <v>46080</v>
      </c>
      <c r="AQ469" s="314"/>
      <c r="AR469" s="315" t="str">
        <f t="shared" si="32"/>
        <v>FINALIZADO</v>
      </c>
      <c r="AS469" s="207"/>
      <c r="AT469" s="219"/>
      <c r="AU469" s="220"/>
      <c r="AV469" s="219"/>
      <c r="AW469" s="219"/>
      <c r="AX469" s="219"/>
      <c r="AY469" s="219"/>
      <c r="AZ469" s="219"/>
      <c r="BA469" s="219"/>
      <c r="BB469" s="219"/>
      <c r="BC469" s="219"/>
      <c r="BD469" s="208"/>
      <c r="BE469" s="203"/>
      <c r="BF469" s="219"/>
      <c r="BG469" s="219"/>
      <c r="BH469" s="321" t="str">
        <f t="shared" si="33"/>
        <v/>
      </c>
      <c r="BI469" s="98" t="str">
        <f t="shared" si="34"/>
        <v>AA</v>
      </c>
      <c r="BJ469" s="98" t="str">
        <f t="shared" si="35"/>
        <v>NÃO</v>
      </c>
      <c r="BK469" s="219"/>
      <c r="BL469" s="221"/>
      <c r="BM469" s="221"/>
      <c r="BN469" s="219"/>
      <c r="BO469" s="219"/>
      <c r="BP469" s="219"/>
      <c r="BQ469" s="219"/>
      <c r="BR469" s="222"/>
    </row>
    <row r="470" spans="1:112" s="240" customFormat="1" ht="27" customHeight="1">
      <c r="A470" s="197">
        <v>466</v>
      </c>
      <c r="B470" s="197" t="s">
        <v>4396</v>
      </c>
      <c r="C470" s="207" t="s">
        <v>4413</v>
      </c>
      <c r="D470" s="207">
        <v>1</v>
      </c>
      <c r="E470" s="207" t="s">
        <v>4398</v>
      </c>
      <c r="F470" s="214" t="s">
        <v>6449</v>
      </c>
      <c r="G470" s="207" t="s">
        <v>4400</v>
      </c>
      <c r="H470" s="207" t="s">
        <v>4401</v>
      </c>
      <c r="I470" s="207" t="s">
        <v>4402</v>
      </c>
      <c r="J470" s="215" t="s">
        <v>6450</v>
      </c>
      <c r="K470" s="215" t="s">
        <v>6451</v>
      </c>
      <c r="L470" s="215" t="s">
        <v>6452</v>
      </c>
      <c r="M470" s="207" t="s">
        <v>4405</v>
      </c>
      <c r="N470" s="207" t="s">
        <v>4406</v>
      </c>
      <c r="O470" s="202">
        <v>46084</v>
      </c>
      <c r="P470" s="202" t="s">
        <v>4407</v>
      </c>
      <c r="Q470" s="202">
        <v>46083</v>
      </c>
      <c r="R470" s="203">
        <v>46084</v>
      </c>
      <c r="S470" s="203">
        <v>46087</v>
      </c>
      <c r="T470" s="203">
        <v>46090</v>
      </c>
      <c r="U470" s="202" t="s">
        <v>4408</v>
      </c>
      <c r="V470" s="202" t="s">
        <v>4408</v>
      </c>
      <c r="W470" s="202">
        <v>46101</v>
      </c>
      <c r="X470" s="202">
        <v>46106</v>
      </c>
      <c r="Y470" s="202"/>
      <c r="Z470" s="202"/>
      <c r="AA470" s="215" t="s">
        <v>6450</v>
      </c>
      <c r="AB470" s="215" t="s">
        <v>6451</v>
      </c>
      <c r="AC470" s="215" t="s">
        <v>6452</v>
      </c>
      <c r="AD470" s="217" t="s">
        <v>4402</v>
      </c>
      <c r="AE470" s="207" t="s">
        <v>4405</v>
      </c>
      <c r="AF470" s="218" t="s">
        <v>4409</v>
      </c>
      <c r="AG470" s="218" t="s">
        <v>4409</v>
      </c>
      <c r="AH470" s="197" t="s">
        <v>4410</v>
      </c>
      <c r="AI470" s="214" t="s">
        <v>4411</v>
      </c>
      <c r="AJ470" s="207"/>
      <c r="AK470" s="316">
        <v>46080</v>
      </c>
      <c r="AL470" s="316">
        <v>46080</v>
      </c>
      <c r="AM470" s="316">
        <v>46080</v>
      </c>
      <c r="AN470" s="316">
        <v>46080</v>
      </c>
      <c r="AO470" s="316">
        <v>46080</v>
      </c>
      <c r="AP470" s="316">
        <v>46080</v>
      </c>
      <c r="AQ470" s="314"/>
      <c r="AR470" s="315" t="str">
        <f t="shared" si="32"/>
        <v>FINALIZADO</v>
      </c>
      <c r="AS470" s="207"/>
      <c r="AT470" s="219"/>
      <c r="AU470" s="220"/>
      <c r="AV470" s="219"/>
      <c r="AW470" s="219"/>
      <c r="AX470" s="219"/>
      <c r="AY470" s="219"/>
      <c r="AZ470" s="219"/>
      <c r="BA470" s="219"/>
      <c r="BB470" s="219"/>
      <c r="BC470" s="219"/>
      <c r="BD470" s="208"/>
      <c r="BE470" s="203"/>
      <c r="BF470" s="219"/>
      <c r="BG470" s="219"/>
      <c r="BH470" s="321" t="str">
        <f t="shared" si="33"/>
        <v/>
      </c>
      <c r="BI470" s="98" t="str">
        <f t="shared" si="34"/>
        <v>AA</v>
      </c>
      <c r="BJ470" s="98" t="str">
        <f t="shared" si="35"/>
        <v>NÃO</v>
      </c>
      <c r="BK470" s="219"/>
      <c r="BL470" s="221"/>
      <c r="BM470" s="221"/>
      <c r="BN470" s="219"/>
      <c r="BO470" s="219"/>
      <c r="BP470" s="219"/>
      <c r="BQ470" s="219"/>
      <c r="BR470" s="222"/>
    </row>
    <row r="471" spans="1:112" s="240" customFormat="1" ht="27" hidden="1" customHeight="1">
      <c r="A471" s="207">
        <v>467</v>
      </c>
      <c r="B471" s="197" t="s">
        <v>4396</v>
      </c>
      <c r="C471" s="207" t="s">
        <v>4427</v>
      </c>
      <c r="D471" s="207">
        <v>1</v>
      </c>
      <c r="E471" s="207" t="s">
        <v>4398</v>
      </c>
      <c r="F471" s="214" t="s">
        <v>6453</v>
      </c>
      <c r="G471" s="207" t="s">
        <v>4400</v>
      </c>
      <c r="H471" s="207" t="s">
        <v>4401</v>
      </c>
      <c r="I471" s="217" t="s">
        <v>4402</v>
      </c>
      <c r="J471" s="242" t="s">
        <v>6454</v>
      </c>
      <c r="K471" s="215" t="s">
        <v>6455</v>
      </c>
      <c r="L471" s="215" t="s">
        <v>6456</v>
      </c>
      <c r="M471" s="207" t="s">
        <v>4405</v>
      </c>
      <c r="N471" s="207" t="s">
        <v>4406</v>
      </c>
      <c r="O471" s="202">
        <v>45986</v>
      </c>
      <c r="P471" s="203" t="s">
        <v>4407</v>
      </c>
      <c r="Q471" s="203">
        <v>45985</v>
      </c>
      <c r="R471" s="203">
        <v>45986</v>
      </c>
      <c r="S471" s="203">
        <v>45987</v>
      </c>
      <c r="T471" s="203">
        <v>45992</v>
      </c>
      <c r="U471" s="202" t="s">
        <v>4408</v>
      </c>
      <c r="V471" s="202" t="s">
        <v>4408</v>
      </c>
      <c r="W471" s="202">
        <v>45999</v>
      </c>
      <c r="X471" s="202">
        <v>46001</v>
      </c>
      <c r="Y471" s="202"/>
      <c r="Z471" s="207"/>
      <c r="AA471" s="242" t="s">
        <v>6454</v>
      </c>
      <c r="AB471" s="215" t="s">
        <v>6455</v>
      </c>
      <c r="AC471" s="215" t="s">
        <v>6456</v>
      </c>
      <c r="AD471" s="217" t="s">
        <v>4402</v>
      </c>
      <c r="AE471" s="207" t="s">
        <v>4405</v>
      </c>
      <c r="AF471" s="218" t="s">
        <v>4409</v>
      </c>
      <c r="AG471" s="218" t="s">
        <v>4409</v>
      </c>
      <c r="AH471" s="241" t="s">
        <v>4410</v>
      </c>
      <c r="AI471" s="214" t="s">
        <v>4411</v>
      </c>
      <c r="AJ471" s="207"/>
      <c r="AK471" s="316">
        <v>45980</v>
      </c>
      <c r="AL471" s="316">
        <v>45980</v>
      </c>
      <c r="AM471" s="316">
        <v>45980</v>
      </c>
      <c r="AN471" s="316">
        <v>45980</v>
      </c>
      <c r="AO471" s="316">
        <v>45980</v>
      </c>
      <c r="AP471" s="316">
        <v>45980</v>
      </c>
      <c r="AQ471" s="314"/>
      <c r="AR471" s="315" t="str">
        <f t="shared" si="32"/>
        <v>FINALIZADO</v>
      </c>
      <c r="AS471" s="207"/>
      <c r="AT471" s="207"/>
      <c r="AU471" s="220"/>
      <c r="AV471" s="207"/>
      <c r="AW471" s="207"/>
      <c r="AX471" s="207" t="s">
        <v>4409</v>
      </c>
      <c r="AY471" s="207" t="s">
        <v>4409</v>
      </c>
      <c r="AZ471" s="207" t="s">
        <v>4409</v>
      </c>
      <c r="BA471" s="207" t="s">
        <v>4409</v>
      </c>
      <c r="BB471" s="207"/>
      <c r="BC471" s="202"/>
      <c r="BD471" s="208"/>
      <c r="BE471" s="202"/>
      <c r="BF471" s="207"/>
      <c r="BG471" s="229"/>
      <c r="BH471" s="321" t="str">
        <f t="shared" si="33"/>
        <v/>
      </c>
      <c r="BI471" s="98" t="str">
        <f t="shared" si="34"/>
        <v>AA</v>
      </c>
      <c r="BJ471" s="98" t="str">
        <f t="shared" si="35"/>
        <v>NÃO</v>
      </c>
      <c r="BK471" s="230"/>
      <c r="BL471" s="230"/>
      <c r="BM471" s="230"/>
      <c r="BN471" s="230"/>
      <c r="BO471" s="230"/>
      <c r="BP471" s="230"/>
      <c r="BQ471" s="230"/>
      <c r="BR471" s="234"/>
      <c r="BS471" s="223"/>
      <c r="BT471" s="161"/>
    </row>
    <row r="472" spans="1:112" s="240" customFormat="1" ht="27" customHeight="1">
      <c r="A472" s="207">
        <v>468</v>
      </c>
      <c r="B472" s="197" t="s">
        <v>4396</v>
      </c>
      <c r="C472" s="207" t="s">
        <v>4413</v>
      </c>
      <c r="D472" s="207">
        <v>1</v>
      </c>
      <c r="E472" s="207" t="s">
        <v>4398</v>
      </c>
      <c r="F472" s="214" t="s">
        <v>6453</v>
      </c>
      <c r="G472" s="207" t="s">
        <v>4400</v>
      </c>
      <c r="H472" s="207" t="s">
        <v>4401</v>
      </c>
      <c r="I472" s="207" t="s">
        <v>4402</v>
      </c>
      <c r="J472" s="215" t="s">
        <v>6457</v>
      </c>
      <c r="K472" s="215" t="s">
        <v>6458</v>
      </c>
      <c r="L472" s="215" t="s">
        <v>6459</v>
      </c>
      <c r="M472" s="207" t="s">
        <v>4405</v>
      </c>
      <c r="N472" s="207" t="s">
        <v>4442</v>
      </c>
      <c r="O472" s="202" t="s">
        <v>4409</v>
      </c>
      <c r="P472" s="202" t="s">
        <v>4409</v>
      </c>
      <c r="Q472" s="202" t="s">
        <v>4409</v>
      </c>
      <c r="R472" s="202" t="s">
        <v>4409</v>
      </c>
      <c r="S472" s="202" t="s">
        <v>4409</v>
      </c>
      <c r="T472" s="202" t="s">
        <v>4409</v>
      </c>
      <c r="U472" s="202" t="s">
        <v>4409</v>
      </c>
      <c r="V472" s="202" t="s">
        <v>4409</v>
      </c>
      <c r="W472" s="202" t="s">
        <v>4409</v>
      </c>
      <c r="X472" s="202" t="s">
        <v>4409</v>
      </c>
      <c r="Y472" s="202"/>
      <c r="Z472" s="260"/>
      <c r="AA472" s="215" t="s">
        <v>6457</v>
      </c>
      <c r="AB472" s="215" t="s">
        <v>6458</v>
      </c>
      <c r="AC472" s="215" t="s">
        <v>6459</v>
      </c>
      <c r="AD472" s="207" t="s">
        <v>4402</v>
      </c>
      <c r="AE472" s="207" t="s">
        <v>4405</v>
      </c>
      <c r="AF472" s="243">
        <v>33748.89</v>
      </c>
      <c r="AG472" s="243">
        <v>60000</v>
      </c>
      <c r="AH472" s="197" t="s">
        <v>4422</v>
      </c>
      <c r="AI472" s="214" t="s">
        <v>4411</v>
      </c>
      <c r="AJ472" s="207">
        <v>153981037</v>
      </c>
      <c r="AK472" s="316">
        <v>46147</v>
      </c>
      <c r="AL472" s="316">
        <v>46147</v>
      </c>
      <c r="AM472" s="316">
        <v>46147</v>
      </c>
      <c r="AN472" s="316">
        <v>46147</v>
      </c>
      <c r="AO472" s="316">
        <v>46147</v>
      </c>
      <c r="AP472" s="316">
        <v>46147</v>
      </c>
      <c r="AQ472" s="314"/>
      <c r="AR472" s="315" t="str">
        <f t="shared" si="32"/>
        <v>FINALIZADO</v>
      </c>
      <c r="AS472" s="207" t="s">
        <v>4423</v>
      </c>
      <c r="AT472" s="219"/>
      <c r="AU472" s="220" t="s">
        <v>6460</v>
      </c>
      <c r="AV472" s="283" t="s">
        <v>4425</v>
      </c>
      <c r="AW472" s="283" t="s">
        <v>4425</v>
      </c>
      <c r="AX472" s="207" t="s">
        <v>4818</v>
      </c>
      <c r="AY472" s="207" t="s">
        <v>4818</v>
      </c>
      <c r="AZ472" s="202">
        <v>46233</v>
      </c>
      <c r="BA472" s="207" t="s">
        <v>4818</v>
      </c>
      <c r="BB472" s="207" t="s">
        <v>4818</v>
      </c>
      <c r="BC472" s="202">
        <v>46234</v>
      </c>
      <c r="BD472" s="226">
        <v>46234</v>
      </c>
      <c r="BE472" s="257" t="s">
        <v>4435</v>
      </c>
      <c r="BF472" s="257" t="s">
        <v>4436</v>
      </c>
      <c r="BG472" s="219" t="s">
        <v>4425</v>
      </c>
      <c r="BH472" s="321">
        <f t="shared" si="33"/>
        <v>87</v>
      </c>
      <c r="BI472" s="98" t="str">
        <f t="shared" si="34"/>
        <v>INDENIZAÇÃO</v>
      </c>
      <c r="BJ472" s="98" t="str">
        <f t="shared" si="35"/>
        <v>NÃO</v>
      </c>
      <c r="BK472" s="219" t="s">
        <v>4437</v>
      </c>
      <c r="BL472" s="219" t="s">
        <v>4437</v>
      </c>
      <c r="BM472" s="219" t="s">
        <v>4437</v>
      </c>
      <c r="BN472" s="257" t="s">
        <v>5732</v>
      </c>
      <c r="BO472" s="257"/>
      <c r="BP472" s="257"/>
      <c r="BQ472" s="257"/>
      <c r="BR472" s="258"/>
    </row>
    <row r="473" spans="1:112" s="240" customFormat="1" ht="27" customHeight="1">
      <c r="A473" s="207">
        <v>469</v>
      </c>
      <c r="B473" s="197" t="s">
        <v>4396</v>
      </c>
      <c r="C473" s="207" t="s">
        <v>4413</v>
      </c>
      <c r="D473" s="207">
        <v>1</v>
      </c>
      <c r="E473" s="207" t="s">
        <v>4398</v>
      </c>
      <c r="F473" s="214" t="s">
        <v>6461</v>
      </c>
      <c r="G473" s="207" t="s">
        <v>4400</v>
      </c>
      <c r="H473" s="207" t="s">
        <v>4401</v>
      </c>
      <c r="I473" s="217" t="s">
        <v>4402</v>
      </c>
      <c r="J473" s="215" t="s">
        <v>6462</v>
      </c>
      <c r="K473" s="215" t="s">
        <v>6463</v>
      </c>
      <c r="L473" s="215" t="s">
        <v>6464</v>
      </c>
      <c r="M473" s="207" t="s">
        <v>4405</v>
      </c>
      <c r="N473" s="207" t="s">
        <v>4406</v>
      </c>
      <c r="O473" s="202">
        <v>46106</v>
      </c>
      <c r="P473" s="202" t="s">
        <v>4407</v>
      </c>
      <c r="Q473" s="202">
        <v>46106</v>
      </c>
      <c r="R473" s="202">
        <v>46107</v>
      </c>
      <c r="S473" s="202">
        <v>46111</v>
      </c>
      <c r="T473" s="202">
        <v>46087</v>
      </c>
      <c r="U473" s="202" t="s">
        <v>4408</v>
      </c>
      <c r="V473" s="202" t="s">
        <v>4408</v>
      </c>
      <c r="W473" s="202">
        <v>46132</v>
      </c>
      <c r="X473" s="202">
        <v>46129</v>
      </c>
      <c r="Y473" s="202"/>
      <c r="Z473" s="202"/>
      <c r="AA473" s="215" t="s">
        <v>6462</v>
      </c>
      <c r="AB473" s="215" t="s">
        <v>6465</v>
      </c>
      <c r="AC473" s="215" t="s">
        <v>6464</v>
      </c>
      <c r="AD473" s="217" t="s">
        <v>4402</v>
      </c>
      <c r="AE473" s="207" t="s">
        <v>4405</v>
      </c>
      <c r="AF473" s="218" t="s">
        <v>4409</v>
      </c>
      <c r="AG473" s="218" t="s">
        <v>4409</v>
      </c>
      <c r="AH473" s="197" t="s">
        <v>4410</v>
      </c>
      <c r="AI473" s="214" t="s">
        <v>4411</v>
      </c>
      <c r="AJ473" s="207"/>
      <c r="AK473" s="316">
        <v>46097</v>
      </c>
      <c r="AL473" s="316">
        <v>46097</v>
      </c>
      <c r="AM473" s="316">
        <v>46097</v>
      </c>
      <c r="AN473" s="316">
        <v>46097</v>
      </c>
      <c r="AO473" s="316">
        <v>46097</v>
      </c>
      <c r="AP473" s="316">
        <v>46097</v>
      </c>
      <c r="AQ473" s="314"/>
      <c r="AR473" s="315" t="str">
        <f t="shared" si="32"/>
        <v>FINALIZADO</v>
      </c>
      <c r="AS473" s="207"/>
      <c r="AT473" s="219"/>
      <c r="AU473" s="220"/>
      <c r="AV473" s="161"/>
      <c r="AW473" s="161"/>
      <c r="AX473" s="284"/>
      <c r="AY473" s="219"/>
      <c r="AZ473" s="219"/>
      <c r="BA473" s="219"/>
      <c r="BB473" s="219"/>
      <c r="BC473" s="219"/>
      <c r="BD473" s="208"/>
      <c r="BE473" s="203"/>
      <c r="BF473" s="219"/>
      <c r="BG473" s="219"/>
      <c r="BH473" s="321" t="str">
        <f t="shared" si="33"/>
        <v/>
      </c>
      <c r="BI473" s="98" t="str">
        <f t="shared" si="34"/>
        <v>AA</v>
      </c>
      <c r="BJ473" s="98" t="str">
        <f t="shared" si="35"/>
        <v>NÃO</v>
      </c>
      <c r="BK473" s="219"/>
      <c r="BL473" s="221"/>
      <c r="BM473" s="221"/>
      <c r="BN473" s="219"/>
      <c r="BO473" s="219"/>
      <c r="BP473" s="219"/>
      <c r="BQ473" s="219"/>
      <c r="BR473" s="222"/>
    </row>
    <row r="474" spans="1:112" s="240" customFormat="1" ht="27" customHeight="1">
      <c r="A474" s="197">
        <v>470</v>
      </c>
      <c r="B474" s="197" t="s">
        <v>4396</v>
      </c>
      <c r="C474" s="207" t="s">
        <v>4413</v>
      </c>
      <c r="D474" s="207">
        <v>1</v>
      </c>
      <c r="E474" s="207" t="s">
        <v>4398</v>
      </c>
      <c r="F474" s="214" t="s">
        <v>6466</v>
      </c>
      <c r="G474" s="207" t="s">
        <v>4400</v>
      </c>
      <c r="H474" s="207" t="s">
        <v>4401</v>
      </c>
      <c r="I474" s="217" t="s">
        <v>4402</v>
      </c>
      <c r="J474" s="215" t="s">
        <v>6467</v>
      </c>
      <c r="K474" s="215" t="s">
        <v>6468</v>
      </c>
      <c r="L474" s="215" t="s">
        <v>6469</v>
      </c>
      <c r="M474" s="207" t="s">
        <v>4405</v>
      </c>
      <c r="N474" s="207" t="s">
        <v>4432</v>
      </c>
      <c r="O474" s="202" t="s">
        <v>4409</v>
      </c>
      <c r="P474" s="202" t="s">
        <v>4409</v>
      </c>
      <c r="Q474" s="202" t="s">
        <v>4409</v>
      </c>
      <c r="R474" s="202" t="s">
        <v>4409</v>
      </c>
      <c r="S474" s="202" t="s">
        <v>4409</v>
      </c>
      <c r="T474" s="202" t="s">
        <v>4409</v>
      </c>
      <c r="U474" s="202" t="s">
        <v>4409</v>
      </c>
      <c r="V474" s="202" t="s">
        <v>4409</v>
      </c>
      <c r="W474" s="202" t="s">
        <v>4409</v>
      </c>
      <c r="X474" s="202" t="s">
        <v>4409</v>
      </c>
      <c r="Y474" s="202"/>
      <c r="Z474" s="202"/>
      <c r="AA474" s="215" t="s">
        <v>6467</v>
      </c>
      <c r="AB474" s="215" t="s">
        <v>6468</v>
      </c>
      <c r="AC474" s="215" t="s">
        <v>6469</v>
      </c>
      <c r="AD474" s="217" t="s">
        <v>4402</v>
      </c>
      <c r="AE474" s="207" t="s">
        <v>4405</v>
      </c>
      <c r="AF474" s="218">
        <v>42208.36</v>
      </c>
      <c r="AG474" s="218">
        <v>60000</v>
      </c>
      <c r="AH474" s="197" t="s">
        <v>4422</v>
      </c>
      <c r="AI474" s="214" t="s">
        <v>4411</v>
      </c>
      <c r="AJ474" s="207">
        <v>158037657</v>
      </c>
      <c r="AK474" s="316">
        <v>46188</v>
      </c>
      <c r="AL474" s="316">
        <v>46188</v>
      </c>
      <c r="AM474" s="316">
        <v>46188</v>
      </c>
      <c r="AN474" s="316">
        <v>46188</v>
      </c>
      <c r="AO474" s="316">
        <v>46188</v>
      </c>
      <c r="AP474" s="316">
        <v>46188</v>
      </c>
      <c r="AQ474" s="314"/>
      <c r="AR474" s="315" t="str">
        <f t="shared" si="32"/>
        <v>FINALIZADO</v>
      </c>
      <c r="AS474" s="207" t="s">
        <v>4423</v>
      </c>
      <c r="AT474" s="219"/>
      <c r="AU474" s="220" t="s">
        <v>6470</v>
      </c>
      <c r="AV474" s="197" t="s">
        <v>4818</v>
      </c>
      <c r="AW474" s="207" t="s">
        <v>4818</v>
      </c>
      <c r="AX474" s="207" t="s">
        <v>4818</v>
      </c>
      <c r="AY474" s="207" t="s">
        <v>4818</v>
      </c>
      <c r="AZ474" s="202">
        <v>46233</v>
      </c>
      <c r="BA474" s="207" t="s">
        <v>4818</v>
      </c>
      <c r="BB474" s="207" t="s">
        <v>4818</v>
      </c>
      <c r="BC474" s="202">
        <v>46248</v>
      </c>
      <c r="BD474" s="227">
        <v>46248</v>
      </c>
      <c r="BE474" s="226" t="s">
        <v>4435</v>
      </c>
      <c r="BF474" s="228" t="s">
        <v>4436</v>
      </c>
      <c r="BG474" s="219" t="s">
        <v>4425</v>
      </c>
      <c r="BH474" s="321">
        <f t="shared" si="33"/>
        <v>60</v>
      </c>
      <c r="BI474" s="98" t="str">
        <f t="shared" si="34"/>
        <v>INDENIZAÇÃO</v>
      </c>
      <c r="BJ474" s="98" t="str">
        <f t="shared" si="35"/>
        <v>NÃO</v>
      </c>
      <c r="BK474" s="219" t="s">
        <v>4437</v>
      </c>
      <c r="BL474" s="219" t="s">
        <v>4437</v>
      </c>
      <c r="BM474" s="219" t="s">
        <v>4437</v>
      </c>
      <c r="BN474" s="257" t="s">
        <v>5732</v>
      </c>
      <c r="BO474" s="257"/>
      <c r="BP474" s="257"/>
      <c r="BQ474" s="257"/>
      <c r="BR474" s="258"/>
      <c r="BS474" s="223"/>
      <c r="BT474" s="161"/>
    </row>
    <row r="475" spans="1:112" s="240" customFormat="1" ht="27" hidden="1" customHeight="1">
      <c r="A475" s="197">
        <v>471</v>
      </c>
      <c r="B475" s="197" t="s">
        <v>4396</v>
      </c>
      <c r="C475" s="207" t="s">
        <v>4427</v>
      </c>
      <c r="D475" s="207">
        <v>1</v>
      </c>
      <c r="E475" s="207" t="s">
        <v>4398</v>
      </c>
      <c r="F475" s="214" t="s">
        <v>6466</v>
      </c>
      <c r="G475" s="207" t="s">
        <v>4400</v>
      </c>
      <c r="H475" s="207" t="s">
        <v>4401</v>
      </c>
      <c r="I475" s="217" t="s">
        <v>4402</v>
      </c>
      <c r="J475" s="215" t="s">
        <v>6471</v>
      </c>
      <c r="K475" s="215" t="s">
        <v>6472</v>
      </c>
      <c r="L475" s="215" t="s">
        <v>6473</v>
      </c>
      <c r="M475" s="207" t="s">
        <v>4405</v>
      </c>
      <c r="N475" s="207" t="s">
        <v>4406</v>
      </c>
      <c r="O475" s="202">
        <v>45986</v>
      </c>
      <c r="P475" s="203" t="s">
        <v>4407</v>
      </c>
      <c r="Q475" s="203">
        <v>45985</v>
      </c>
      <c r="R475" s="203">
        <v>45986</v>
      </c>
      <c r="S475" s="203">
        <v>45987</v>
      </c>
      <c r="T475" s="203">
        <v>45992</v>
      </c>
      <c r="U475" s="202" t="s">
        <v>4408</v>
      </c>
      <c r="V475" s="202" t="s">
        <v>4408</v>
      </c>
      <c r="W475" s="202">
        <v>45999</v>
      </c>
      <c r="X475" s="202">
        <v>46000</v>
      </c>
      <c r="Y475" s="203"/>
      <c r="Z475" s="219"/>
      <c r="AA475" s="215" t="s">
        <v>6471</v>
      </c>
      <c r="AB475" s="215" t="s">
        <v>6472</v>
      </c>
      <c r="AC475" s="215" t="s">
        <v>6473</v>
      </c>
      <c r="AD475" s="217" t="s">
        <v>4402</v>
      </c>
      <c r="AE475" s="207" t="s">
        <v>4405</v>
      </c>
      <c r="AF475" s="218" t="s">
        <v>4409</v>
      </c>
      <c r="AG475" s="218" t="s">
        <v>4409</v>
      </c>
      <c r="AH475" s="241" t="s">
        <v>4410</v>
      </c>
      <c r="AI475" s="214" t="s">
        <v>4411</v>
      </c>
      <c r="AJ475" s="207"/>
      <c r="AK475" s="316">
        <v>45980</v>
      </c>
      <c r="AL475" s="316">
        <v>45980</v>
      </c>
      <c r="AM475" s="316">
        <v>45980</v>
      </c>
      <c r="AN475" s="316">
        <v>45980</v>
      </c>
      <c r="AO475" s="316">
        <v>45980</v>
      </c>
      <c r="AP475" s="316">
        <v>45980</v>
      </c>
      <c r="AQ475" s="314"/>
      <c r="AR475" s="315" t="str">
        <f t="shared" si="32"/>
        <v>FINALIZADO</v>
      </c>
      <c r="AS475" s="207"/>
      <c r="AT475" s="219"/>
      <c r="AU475" s="220"/>
      <c r="AV475" s="285"/>
      <c r="AW475" s="286"/>
      <c r="AX475" s="207" t="s">
        <v>4409</v>
      </c>
      <c r="AY475" s="207" t="s">
        <v>4409</v>
      </c>
      <c r="AZ475" s="207" t="s">
        <v>4409</v>
      </c>
      <c r="BA475" s="207" t="s">
        <v>4409</v>
      </c>
      <c r="BB475" s="219"/>
      <c r="BC475" s="219"/>
      <c r="BD475" s="208"/>
      <c r="BE475" s="202"/>
      <c r="BF475" s="207"/>
      <c r="BG475" s="229"/>
      <c r="BH475" s="321" t="str">
        <f t="shared" si="33"/>
        <v/>
      </c>
      <c r="BI475" s="98" t="str">
        <f t="shared" si="34"/>
        <v>AA</v>
      </c>
      <c r="BJ475" s="98" t="str">
        <f t="shared" si="35"/>
        <v>NÃO</v>
      </c>
      <c r="BK475" s="230"/>
      <c r="BL475" s="230"/>
      <c r="BM475" s="230"/>
      <c r="BN475" s="230"/>
      <c r="BO475" s="230"/>
      <c r="BP475" s="230"/>
      <c r="BQ475" s="230"/>
      <c r="BR475" s="234"/>
    </row>
    <row r="476" spans="1:112" s="240" customFormat="1" ht="27" customHeight="1">
      <c r="A476" s="207">
        <v>472</v>
      </c>
      <c r="B476" s="197" t="s">
        <v>4396</v>
      </c>
      <c r="C476" s="207" t="s">
        <v>4413</v>
      </c>
      <c r="D476" s="207">
        <v>1</v>
      </c>
      <c r="E476" s="207" t="s">
        <v>4398</v>
      </c>
      <c r="F476" s="214" t="s">
        <v>6474</v>
      </c>
      <c r="G476" s="207" t="s">
        <v>4400</v>
      </c>
      <c r="H476" s="207" t="s">
        <v>4536</v>
      </c>
      <c r="I476" s="207" t="s">
        <v>4536</v>
      </c>
      <c r="J476" s="215" t="s">
        <v>6475</v>
      </c>
      <c r="K476" s="215" t="s">
        <v>6476</v>
      </c>
      <c r="L476" s="215" t="s">
        <v>6477</v>
      </c>
      <c r="M476" s="207" t="s">
        <v>4405</v>
      </c>
      <c r="N476" s="207" t="s">
        <v>4406</v>
      </c>
      <c r="O476" s="202">
        <v>46147</v>
      </c>
      <c r="P476" s="202" t="s">
        <v>4407</v>
      </c>
      <c r="Q476" s="203">
        <v>46136</v>
      </c>
      <c r="R476" s="202">
        <v>46147</v>
      </c>
      <c r="S476" s="203">
        <v>46156</v>
      </c>
      <c r="T476" s="203">
        <v>46168</v>
      </c>
      <c r="U476" s="203" t="s">
        <v>4408</v>
      </c>
      <c r="V476" s="203" t="s">
        <v>4408</v>
      </c>
      <c r="W476" s="279">
        <v>46196</v>
      </c>
      <c r="X476" s="203">
        <v>46196</v>
      </c>
      <c r="Y476" s="203"/>
      <c r="Z476" s="219"/>
      <c r="AA476" s="215" t="s">
        <v>6475</v>
      </c>
      <c r="AB476" s="215" t="s">
        <v>6476</v>
      </c>
      <c r="AC476" s="215" t="s">
        <v>6477</v>
      </c>
      <c r="AD476" s="217" t="s">
        <v>4402</v>
      </c>
      <c r="AE476" s="207" t="s">
        <v>4405</v>
      </c>
      <c r="AF476" s="218" t="s">
        <v>4409</v>
      </c>
      <c r="AG476" s="218" t="s">
        <v>4409</v>
      </c>
      <c r="AH476" s="197" t="s">
        <v>4410</v>
      </c>
      <c r="AI476" s="214" t="s">
        <v>4411</v>
      </c>
      <c r="AJ476" s="207"/>
      <c r="AK476" s="317">
        <v>46134</v>
      </c>
      <c r="AL476" s="317">
        <v>46134</v>
      </c>
      <c r="AM476" s="317">
        <v>46134</v>
      </c>
      <c r="AN476" s="317">
        <v>46134</v>
      </c>
      <c r="AO476" s="317">
        <v>46134</v>
      </c>
      <c r="AP476" s="317">
        <v>46134</v>
      </c>
      <c r="AQ476" s="314"/>
      <c r="AR476" s="315" t="str">
        <f t="shared" si="32"/>
        <v>FINALIZADO</v>
      </c>
      <c r="AS476" s="207"/>
      <c r="AT476" s="219"/>
      <c r="AU476" s="220"/>
      <c r="AV476" s="254"/>
      <c r="AW476" s="219"/>
      <c r="AX476" s="219"/>
      <c r="AY476" s="219"/>
      <c r="AZ476" s="219"/>
      <c r="BA476" s="219"/>
      <c r="BB476" s="219"/>
      <c r="BC476" s="219"/>
      <c r="BD476" s="208"/>
      <c r="BE476" s="203"/>
      <c r="BF476" s="219"/>
      <c r="BG476" s="219"/>
      <c r="BH476" s="321" t="str">
        <f t="shared" si="33"/>
        <v/>
      </c>
      <c r="BI476" s="98" t="str">
        <f t="shared" si="34"/>
        <v>AA</v>
      </c>
      <c r="BJ476" s="98" t="str">
        <f t="shared" si="35"/>
        <v>NÃO</v>
      </c>
      <c r="BK476" s="219"/>
      <c r="BL476" s="221"/>
      <c r="BM476" s="221"/>
      <c r="BN476" s="219"/>
      <c r="BO476" s="219"/>
      <c r="BP476" s="219"/>
      <c r="BQ476" s="219"/>
      <c r="BR476" s="222"/>
    </row>
    <row r="477" spans="1:112" s="240" customFormat="1" ht="27" hidden="1" customHeight="1">
      <c r="A477" s="207">
        <v>473</v>
      </c>
      <c r="B477" s="197" t="s">
        <v>4396</v>
      </c>
      <c r="C477" s="207" t="s">
        <v>4427</v>
      </c>
      <c r="D477" s="207">
        <v>1</v>
      </c>
      <c r="E477" s="207" t="s">
        <v>4398</v>
      </c>
      <c r="F477" s="214" t="s">
        <v>6478</v>
      </c>
      <c r="G477" s="207" t="s">
        <v>4400</v>
      </c>
      <c r="H477" s="207" t="s">
        <v>4401</v>
      </c>
      <c r="I477" s="217" t="s">
        <v>4402</v>
      </c>
      <c r="J477" s="215" t="s">
        <v>6479</v>
      </c>
      <c r="K477" s="215" t="s">
        <v>6480</v>
      </c>
      <c r="L477" s="215" t="s">
        <v>6481</v>
      </c>
      <c r="M477" s="207" t="s">
        <v>4405</v>
      </c>
      <c r="N477" s="207" t="s">
        <v>4442</v>
      </c>
      <c r="O477" s="202" t="s">
        <v>4409</v>
      </c>
      <c r="P477" s="202" t="s">
        <v>4409</v>
      </c>
      <c r="Q477" s="202" t="s">
        <v>4409</v>
      </c>
      <c r="R477" s="202" t="s">
        <v>4409</v>
      </c>
      <c r="S477" s="202" t="s">
        <v>4409</v>
      </c>
      <c r="T477" s="202" t="s">
        <v>4409</v>
      </c>
      <c r="U477" s="202" t="s">
        <v>4409</v>
      </c>
      <c r="V477" s="202" t="s">
        <v>4409</v>
      </c>
      <c r="W477" s="202" t="s">
        <v>4409</v>
      </c>
      <c r="X477" s="202" t="s">
        <v>4409</v>
      </c>
      <c r="Y477" s="202"/>
      <c r="Z477" s="202"/>
      <c r="AA477" s="200" t="s">
        <v>6479</v>
      </c>
      <c r="AB477" s="200" t="s">
        <v>6480</v>
      </c>
      <c r="AC477" s="200" t="s">
        <v>6481</v>
      </c>
      <c r="AD477" s="197" t="s">
        <v>4402</v>
      </c>
      <c r="AE477" s="254" t="s">
        <v>4405</v>
      </c>
      <c r="AF477" s="243">
        <v>29415.63</v>
      </c>
      <c r="AG477" s="243">
        <f>AF477+30000</f>
        <v>59415.630000000005</v>
      </c>
      <c r="AH477" s="197" t="s">
        <v>4422</v>
      </c>
      <c r="AI477" s="214" t="s">
        <v>4411</v>
      </c>
      <c r="AJ477" s="207">
        <v>153413980</v>
      </c>
      <c r="AK477" s="316">
        <v>46064</v>
      </c>
      <c r="AL477" s="316">
        <v>46064</v>
      </c>
      <c r="AM477" s="316">
        <v>46064</v>
      </c>
      <c r="AN477" s="316">
        <v>46064</v>
      </c>
      <c r="AO477" s="316">
        <v>46064</v>
      </c>
      <c r="AP477" s="316">
        <v>46064</v>
      </c>
      <c r="AQ477" s="314"/>
      <c r="AR477" s="315" t="str">
        <f t="shared" si="32"/>
        <v>FINALIZADO</v>
      </c>
      <c r="AS477" s="207" t="s">
        <v>4423</v>
      </c>
      <c r="AT477" s="219"/>
      <c r="AU477" s="220" t="s">
        <v>6482</v>
      </c>
      <c r="AV477" s="207" t="s">
        <v>4425</v>
      </c>
      <c r="AW477" s="197" t="s">
        <v>4425</v>
      </c>
      <c r="AX477" s="207" t="s">
        <v>4425</v>
      </c>
      <c r="AY477" s="207" t="s">
        <v>4425</v>
      </c>
      <c r="AZ477" s="202">
        <v>46153</v>
      </c>
      <c r="BA477" s="207" t="s">
        <v>4425</v>
      </c>
      <c r="BB477" s="207" t="s">
        <v>4425</v>
      </c>
      <c r="BC477" s="202">
        <v>46161</v>
      </c>
      <c r="BD477" s="227">
        <v>46161</v>
      </c>
      <c r="BE477" s="227" t="s">
        <v>4435</v>
      </c>
      <c r="BF477" s="228" t="s">
        <v>4436</v>
      </c>
      <c r="BG477" s="219" t="s">
        <v>4425</v>
      </c>
      <c r="BH477" s="321">
        <f t="shared" si="33"/>
        <v>97</v>
      </c>
      <c r="BI477" s="98" t="str">
        <f t="shared" si="34"/>
        <v>INDENIZAÇÃO</v>
      </c>
      <c r="BJ477" s="98" t="str">
        <f t="shared" si="35"/>
        <v>NÃO</v>
      </c>
      <c r="BK477" s="219" t="s">
        <v>4437</v>
      </c>
      <c r="BL477" s="219" t="s">
        <v>4437</v>
      </c>
      <c r="BM477" s="219" t="s">
        <v>4437</v>
      </c>
      <c r="BN477" s="257" t="s">
        <v>5732</v>
      </c>
      <c r="BO477" s="257"/>
      <c r="BP477" s="257"/>
      <c r="BQ477" s="257"/>
      <c r="BR477" s="258"/>
      <c r="BS477" s="223"/>
      <c r="BT477" s="161"/>
    </row>
    <row r="478" spans="1:112" s="240" customFormat="1" ht="27" customHeight="1">
      <c r="A478" s="207">
        <v>474</v>
      </c>
      <c r="B478" s="197" t="s">
        <v>4396</v>
      </c>
      <c r="C478" s="207" t="s">
        <v>4413</v>
      </c>
      <c r="D478" s="207">
        <v>1</v>
      </c>
      <c r="E478" s="207" t="s">
        <v>4398</v>
      </c>
      <c r="F478" s="214" t="s">
        <v>6478</v>
      </c>
      <c r="G478" s="207" t="s">
        <v>4400</v>
      </c>
      <c r="H478" s="207" t="s">
        <v>4401</v>
      </c>
      <c r="I478" s="207" t="s">
        <v>4402</v>
      </c>
      <c r="J478" s="215" t="s">
        <v>6483</v>
      </c>
      <c r="K478" s="215" t="s">
        <v>6484</v>
      </c>
      <c r="L478" s="215" t="s">
        <v>6485</v>
      </c>
      <c r="M478" s="207" t="s">
        <v>4405</v>
      </c>
      <c r="N478" s="207" t="s">
        <v>4432</v>
      </c>
      <c r="O478" s="202" t="s">
        <v>6486</v>
      </c>
      <c r="P478" s="202" t="s">
        <v>6486</v>
      </c>
      <c r="Q478" s="202" t="s">
        <v>6486</v>
      </c>
      <c r="R478" s="202" t="s">
        <v>6486</v>
      </c>
      <c r="S478" s="202" t="s">
        <v>6486</v>
      </c>
      <c r="T478" s="202" t="s">
        <v>6486</v>
      </c>
      <c r="U478" s="202" t="s">
        <v>6486</v>
      </c>
      <c r="V478" s="202" t="s">
        <v>6486</v>
      </c>
      <c r="W478" s="202" t="s">
        <v>6486</v>
      </c>
      <c r="X478" s="202" t="s">
        <v>6486</v>
      </c>
      <c r="Y478" s="202"/>
      <c r="Z478" s="202" t="s">
        <v>6486</v>
      </c>
      <c r="AA478" s="215" t="s">
        <v>6483</v>
      </c>
      <c r="AB478" s="215" t="s">
        <v>6484</v>
      </c>
      <c r="AC478" s="215" t="s">
        <v>6485</v>
      </c>
      <c r="AD478" s="217" t="s">
        <v>4402</v>
      </c>
      <c r="AE478" s="207" t="s">
        <v>4405</v>
      </c>
      <c r="AF478" s="218">
        <v>15842.03</v>
      </c>
      <c r="AG478" s="218">
        <v>45842.03</v>
      </c>
      <c r="AH478" s="207" t="s">
        <v>4422</v>
      </c>
      <c r="AI478" s="214" t="s">
        <v>4411</v>
      </c>
      <c r="AJ478" s="207">
        <v>153981462</v>
      </c>
      <c r="AK478" s="316">
        <v>46188</v>
      </c>
      <c r="AL478" s="316">
        <v>46188</v>
      </c>
      <c r="AM478" s="316">
        <v>46188</v>
      </c>
      <c r="AN478" s="316">
        <v>46188</v>
      </c>
      <c r="AO478" s="316">
        <v>46188</v>
      </c>
      <c r="AP478" s="316">
        <v>46188</v>
      </c>
      <c r="AQ478" s="314"/>
      <c r="AR478" s="315" t="str">
        <f t="shared" si="32"/>
        <v>FINALIZADO</v>
      </c>
      <c r="AS478" s="207" t="s">
        <v>4423</v>
      </c>
      <c r="AT478" s="219"/>
      <c r="AU478" s="220" t="s">
        <v>6487</v>
      </c>
      <c r="AV478" s="207" t="s">
        <v>4425</v>
      </c>
      <c r="AW478" s="207" t="s">
        <v>4425</v>
      </c>
      <c r="AX478" s="207" t="s">
        <v>4818</v>
      </c>
      <c r="AY478" s="207" t="s">
        <v>4818</v>
      </c>
      <c r="AZ478" s="202">
        <v>46233</v>
      </c>
      <c r="BA478" s="207" t="s">
        <v>4818</v>
      </c>
      <c r="BB478" s="207" t="s">
        <v>4818</v>
      </c>
      <c r="BC478" s="202">
        <v>46234</v>
      </c>
      <c r="BD478" s="226">
        <v>46234</v>
      </c>
      <c r="BE478" s="257" t="s">
        <v>4435</v>
      </c>
      <c r="BF478" s="257" t="s">
        <v>4436</v>
      </c>
      <c r="BG478" s="219" t="s">
        <v>4425</v>
      </c>
      <c r="BH478" s="321">
        <f t="shared" si="33"/>
        <v>46</v>
      </c>
      <c r="BI478" s="98" t="str">
        <f t="shared" si="34"/>
        <v>INDENIZAÇÃO</v>
      </c>
      <c r="BJ478" s="98" t="str">
        <f t="shared" si="35"/>
        <v>NÃO</v>
      </c>
      <c r="BK478" s="219" t="s">
        <v>4437</v>
      </c>
      <c r="BL478" s="219" t="s">
        <v>4437</v>
      </c>
      <c r="BM478" s="219" t="s">
        <v>4437</v>
      </c>
      <c r="BN478" s="257" t="s">
        <v>5732</v>
      </c>
      <c r="BO478" s="257"/>
      <c r="BP478" s="257"/>
      <c r="BQ478" s="257"/>
      <c r="BR478" s="258"/>
      <c r="BS478" s="161"/>
      <c r="BT478" s="161"/>
      <c r="BU478" s="161"/>
      <c r="BV478" s="161"/>
      <c r="BW478" s="161"/>
      <c r="BX478" s="161"/>
      <c r="BY478" s="161"/>
      <c r="BZ478" s="161"/>
      <c r="CA478" s="161"/>
      <c r="CB478" s="161"/>
      <c r="CC478" s="161"/>
      <c r="CD478" s="161"/>
      <c r="CE478" s="16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61"/>
      <c r="CQ478" s="161"/>
      <c r="CR478" s="161"/>
      <c r="CS478" s="161"/>
      <c r="CT478" s="161"/>
      <c r="CU478" s="161"/>
      <c r="CV478" s="161"/>
      <c r="CW478" s="161"/>
      <c r="CX478" s="161"/>
      <c r="CY478" s="161"/>
      <c r="CZ478" s="161"/>
      <c r="DA478" s="161"/>
      <c r="DB478" s="161"/>
      <c r="DC478" s="161"/>
      <c r="DD478" s="161"/>
      <c r="DE478" s="161"/>
      <c r="DF478" s="161"/>
      <c r="DG478" s="161"/>
      <c r="DH478" s="161"/>
    </row>
    <row r="479" spans="1:112" s="240" customFormat="1" ht="27" customHeight="1">
      <c r="A479" s="197">
        <v>475</v>
      </c>
      <c r="B479" s="197" t="s">
        <v>4396</v>
      </c>
      <c r="C479" s="207" t="s">
        <v>4413</v>
      </c>
      <c r="D479" s="207">
        <v>1</v>
      </c>
      <c r="E479" s="207" t="s">
        <v>4398</v>
      </c>
      <c r="F479" s="214" t="s">
        <v>6488</v>
      </c>
      <c r="G479" s="207" t="s">
        <v>4400</v>
      </c>
      <c r="H479" s="207" t="s">
        <v>4401</v>
      </c>
      <c r="I479" s="207" t="s">
        <v>4402</v>
      </c>
      <c r="J479" s="215" t="s">
        <v>6489</v>
      </c>
      <c r="K479" s="215" t="s">
        <v>6490</v>
      </c>
      <c r="L479" s="215" t="s">
        <v>6491</v>
      </c>
      <c r="M479" s="207" t="s">
        <v>4405</v>
      </c>
      <c r="N479" s="207" t="s">
        <v>4442</v>
      </c>
      <c r="O479" s="202" t="s">
        <v>4409</v>
      </c>
      <c r="P479" s="202" t="s">
        <v>4409</v>
      </c>
      <c r="Q479" s="202" t="s">
        <v>4409</v>
      </c>
      <c r="R479" s="202" t="s">
        <v>4409</v>
      </c>
      <c r="S479" s="202" t="s">
        <v>4409</v>
      </c>
      <c r="T479" s="202" t="s">
        <v>4409</v>
      </c>
      <c r="U479" s="202" t="s">
        <v>4409</v>
      </c>
      <c r="V479" s="202" t="s">
        <v>4409</v>
      </c>
      <c r="W479" s="202" t="s">
        <v>4409</v>
      </c>
      <c r="X479" s="202" t="s">
        <v>4409</v>
      </c>
      <c r="Y479" s="202"/>
      <c r="Z479" s="202"/>
      <c r="AA479" s="215" t="s">
        <v>6489</v>
      </c>
      <c r="AB479" s="215" t="s">
        <v>6490</v>
      </c>
      <c r="AC479" s="215" t="s">
        <v>6491</v>
      </c>
      <c r="AD479" s="207" t="s">
        <v>4402</v>
      </c>
      <c r="AE479" s="207" t="s">
        <v>4405</v>
      </c>
      <c r="AF479" s="218">
        <v>83679.75</v>
      </c>
      <c r="AG479" s="218">
        <v>83679.75</v>
      </c>
      <c r="AH479" s="207" t="s">
        <v>4433</v>
      </c>
      <c r="AI479" s="214" t="s">
        <v>4411</v>
      </c>
      <c r="AJ479" s="207">
        <v>150531066</v>
      </c>
      <c r="AK479" s="316">
        <v>46093</v>
      </c>
      <c r="AL479" s="316">
        <v>46093</v>
      </c>
      <c r="AM479" s="316">
        <v>46093</v>
      </c>
      <c r="AN479" s="316">
        <v>46093</v>
      </c>
      <c r="AO479" s="316">
        <v>46093</v>
      </c>
      <c r="AP479" s="316">
        <v>46093</v>
      </c>
      <c r="AQ479" s="314"/>
      <c r="AR479" s="315" t="str">
        <f t="shared" si="32"/>
        <v>FINALIZADO</v>
      </c>
      <c r="AS479" s="207" t="s">
        <v>4423</v>
      </c>
      <c r="AT479" s="219"/>
      <c r="AU479" s="220" t="s">
        <v>6492</v>
      </c>
      <c r="AV479" s="207" t="s">
        <v>4425</v>
      </c>
      <c r="AW479" s="207" t="s">
        <v>4425</v>
      </c>
      <c r="AX479" s="207" t="s">
        <v>4425</v>
      </c>
      <c r="AY479" s="197" t="s">
        <v>4425</v>
      </c>
      <c r="AZ479" s="202">
        <v>46128</v>
      </c>
      <c r="BA479" s="207" t="s">
        <v>4425</v>
      </c>
      <c r="BB479" s="197" t="s">
        <v>4425</v>
      </c>
      <c r="BC479" s="202">
        <v>46139</v>
      </c>
      <c r="BD479" s="227">
        <v>46139</v>
      </c>
      <c r="BE479" s="227" t="s">
        <v>4435</v>
      </c>
      <c r="BF479" s="228" t="s">
        <v>4436</v>
      </c>
      <c r="BG479" s="229" t="s">
        <v>4425</v>
      </c>
      <c r="BH479" s="321">
        <f t="shared" si="33"/>
        <v>46</v>
      </c>
      <c r="BI479" s="98" t="str">
        <f t="shared" si="34"/>
        <v>INDENIZAÇÃO</v>
      </c>
      <c r="BJ479" s="98" t="str">
        <f t="shared" si="35"/>
        <v>NÃO</v>
      </c>
      <c r="BK479" s="219" t="s">
        <v>4437</v>
      </c>
      <c r="BL479" s="219" t="s">
        <v>4437</v>
      </c>
      <c r="BM479" s="219" t="s">
        <v>4437</v>
      </c>
      <c r="BN479" s="257" t="s">
        <v>5732</v>
      </c>
      <c r="BO479" s="257"/>
      <c r="BP479" s="257"/>
      <c r="BQ479" s="257"/>
      <c r="BR479" s="258"/>
    </row>
    <row r="480" spans="1:112" s="240" customFormat="1" ht="27" hidden="1" customHeight="1">
      <c r="A480" s="197">
        <v>476</v>
      </c>
      <c r="B480" s="197" t="s">
        <v>4396</v>
      </c>
      <c r="C480" s="207" t="s">
        <v>4427</v>
      </c>
      <c r="D480" s="207">
        <v>1</v>
      </c>
      <c r="E480" s="207" t="s">
        <v>4398</v>
      </c>
      <c r="F480" s="214" t="s">
        <v>6488</v>
      </c>
      <c r="G480" s="207" t="s">
        <v>4400</v>
      </c>
      <c r="H480" s="207" t="s">
        <v>4428</v>
      </c>
      <c r="I480" s="233" t="s">
        <v>4421</v>
      </c>
      <c r="J480" s="215" t="s">
        <v>6493</v>
      </c>
      <c r="K480" s="215" t="s">
        <v>6494</v>
      </c>
      <c r="L480" s="215" t="s">
        <v>6495</v>
      </c>
      <c r="M480" s="207" t="s">
        <v>4405</v>
      </c>
      <c r="N480" s="207" t="s">
        <v>4442</v>
      </c>
      <c r="O480" s="202" t="s">
        <v>4409</v>
      </c>
      <c r="P480" s="202" t="s">
        <v>4409</v>
      </c>
      <c r="Q480" s="202" t="s">
        <v>4409</v>
      </c>
      <c r="R480" s="202" t="s">
        <v>4409</v>
      </c>
      <c r="S480" s="202" t="s">
        <v>4409</v>
      </c>
      <c r="T480" s="202" t="s">
        <v>4409</v>
      </c>
      <c r="U480" s="202" t="s">
        <v>4409</v>
      </c>
      <c r="V480" s="202" t="s">
        <v>4409</v>
      </c>
      <c r="W480" s="202" t="s">
        <v>4409</v>
      </c>
      <c r="X480" s="202" t="s">
        <v>4409</v>
      </c>
      <c r="Y480" s="202"/>
      <c r="Z480" s="202"/>
      <c r="AA480" s="215" t="s">
        <v>6493</v>
      </c>
      <c r="AB480" s="215" t="s">
        <v>6494</v>
      </c>
      <c r="AC480" s="215" t="s">
        <v>6495</v>
      </c>
      <c r="AD480" s="233" t="s">
        <v>4421</v>
      </c>
      <c r="AE480" s="207" t="s">
        <v>4405</v>
      </c>
      <c r="AF480" s="218">
        <v>77783.350000000006</v>
      </c>
      <c r="AG480" s="218">
        <v>77783.350000000006</v>
      </c>
      <c r="AH480" s="207" t="s">
        <v>4433</v>
      </c>
      <c r="AI480" s="214" t="s">
        <v>4411</v>
      </c>
      <c r="AJ480" s="207">
        <v>150531066</v>
      </c>
      <c r="AK480" s="316">
        <v>46059</v>
      </c>
      <c r="AL480" s="316">
        <v>46059</v>
      </c>
      <c r="AM480" s="316">
        <v>46059</v>
      </c>
      <c r="AN480" s="316">
        <v>46059</v>
      </c>
      <c r="AO480" s="316">
        <v>46059</v>
      </c>
      <c r="AP480" s="316">
        <v>46059</v>
      </c>
      <c r="AQ480" s="314"/>
      <c r="AR480" s="315" t="str">
        <f t="shared" si="32"/>
        <v>FINALIZADO</v>
      </c>
      <c r="AS480" s="207" t="s">
        <v>4423</v>
      </c>
      <c r="AT480" s="219"/>
      <c r="AU480" s="220" t="s">
        <v>6496</v>
      </c>
      <c r="AV480" s="207" t="s">
        <v>4425</v>
      </c>
      <c r="AW480" s="207" t="s">
        <v>4425</v>
      </c>
      <c r="AX480" s="207" t="s">
        <v>4425</v>
      </c>
      <c r="AY480" s="207" t="s">
        <v>4425</v>
      </c>
      <c r="AZ480" s="202">
        <v>46128</v>
      </c>
      <c r="BA480" s="207" t="s">
        <v>4425</v>
      </c>
      <c r="BB480" s="207" t="s">
        <v>4425</v>
      </c>
      <c r="BC480" s="202">
        <v>46139</v>
      </c>
      <c r="BD480" s="227">
        <v>46139</v>
      </c>
      <c r="BE480" s="227" t="s">
        <v>4435</v>
      </c>
      <c r="BF480" s="228" t="s">
        <v>4436</v>
      </c>
      <c r="BG480" s="229" t="s">
        <v>4425</v>
      </c>
      <c r="BH480" s="321">
        <f t="shared" si="33"/>
        <v>80</v>
      </c>
      <c r="BI480" s="98" t="str">
        <f t="shared" si="34"/>
        <v>INDENIZAÇÃO</v>
      </c>
      <c r="BJ480" s="98" t="str">
        <f t="shared" si="35"/>
        <v>NÃO</v>
      </c>
      <c r="BK480" s="219" t="s">
        <v>4437</v>
      </c>
      <c r="BL480" s="219" t="s">
        <v>4437</v>
      </c>
      <c r="BM480" s="219" t="s">
        <v>4437</v>
      </c>
      <c r="BN480" s="257" t="s">
        <v>5732</v>
      </c>
      <c r="BO480" s="257"/>
      <c r="BP480" s="257"/>
      <c r="BQ480" s="257"/>
      <c r="BR480" s="258"/>
    </row>
    <row r="481" spans="1:74" s="240" customFormat="1" ht="27" hidden="1" customHeight="1">
      <c r="A481" s="207">
        <v>477</v>
      </c>
      <c r="B481" s="197" t="s">
        <v>4396</v>
      </c>
      <c r="C481" s="207" t="s">
        <v>4427</v>
      </c>
      <c r="D481" s="207">
        <v>1</v>
      </c>
      <c r="E481" s="207" t="s">
        <v>4398</v>
      </c>
      <c r="F481" s="214" t="s">
        <v>6497</v>
      </c>
      <c r="G481" s="207" t="s">
        <v>6498</v>
      </c>
      <c r="H481" s="207" t="s">
        <v>6498</v>
      </c>
      <c r="I481" s="163" t="s">
        <v>4421</v>
      </c>
      <c r="J481" s="215" t="s">
        <v>6499</v>
      </c>
      <c r="K481" s="215" t="s">
        <v>6500</v>
      </c>
      <c r="L481" s="215" t="s">
        <v>6501</v>
      </c>
      <c r="M481" s="207" t="s">
        <v>4405</v>
      </c>
      <c r="N481" s="207" t="s">
        <v>4442</v>
      </c>
      <c r="O481" s="202" t="s">
        <v>4409</v>
      </c>
      <c r="P481" s="202" t="s">
        <v>4409</v>
      </c>
      <c r="Q481" s="202" t="s">
        <v>4409</v>
      </c>
      <c r="R481" s="202" t="s">
        <v>4409</v>
      </c>
      <c r="S481" s="202" t="s">
        <v>4409</v>
      </c>
      <c r="T481" s="202" t="s">
        <v>4409</v>
      </c>
      <c r="U481" s="202" t="s">
        <v>4409</v>
      </c>
      <c r="V481" s="202" t="s">
        <v>4409</v>
      </c>
      <c r="W481" s="202" t="s">
        <v>4409</v>
      </c>
      <c r="X481" s="202" t="s">
        <v>4409</v>
      </c>
      <c r="Y481" s="202"/>
      <c r="Z481" s="202"/>
      <c r="AA481" s="215" t="s">
        <v>6499</v>
      </c>
      <c r="AB481" s="215" t="s">
        <v>6500</v>
      </c>
      <c r="AC481" s="215" t="s">
        <v>6501</v>
      </c>
      <c r="AD481" s="233" t="s">
        <v>4421</v>
      </c>
      <c r="AE481" s="207" t="s">
        <v>4405</v>
      </c>
      <c r="AF481" s="218">
        <v>66126.44</v>
      </c>
      <c r="AG481" s="218">
        <v>66126.44</v>
      </c>
      <c r="AH481" s="207" t="s">
        <v>4433</v>
      </c>
      <c r="AI481" s="214" t="s">
        <v>4411</v>
      </c>
      <c r="AJ481" s="207">
        <v>148266044</v>
      </c>
      <c r="AK481" s="316">
        <v>46076</v>
      </c>
      <c r="AL481" s="316">
        <v>46076</v>
      </c>
      <c r="AM481" s="316">
        <v>46076</v>
      </c>
      <c r="AN481" s="316">
        <v>46076</v>
      </c>
      <c r="AO481" s="316">
        <v>46076</v>
      </c>
      <c r="AP481" s="316">
        <v>46076</v>
      </c>
      <c r="AQ481" s="314"/>
      <c r="AR481" s="315" t="str">
        <f t="shared" si="32"/>
        <v>FINALIZADO</v>
      </c>
      <c r="AS481" s="207" t="s">
        <v>4423</v>
      </c>
      <c r="AT481" s="219"/>
      <c r="AU481" s="220" t="s">
        <v>6502</v>
      </c>
      <c r="AV481" s="160" t="s">
        <v>4425</v>
      </c>
      <c r="AW481" s="207" t="s">
        <v>4425</v>
      </c>
      <c r="AX481" s="207" t="s">
        <v>4425</v>
      </c>
      <c r="AY481" s="207" t="s">
        <v>4425</v>
      </c>
      <c r="AZ481" s="202">
        <v>46153</v>
      </c>
      <c r="BA481" s="207" t="s">
        <v>4425</v>
      </c>
      <c r="BB481" s="207" t="s">
        <v>4425</v>
      </c>
      <c r="BC481" s="202">
        <v>46182</v>
      </c>
      <c r="BD481" s="227">
        <v>46182</v>
      </c>
      <c r="BE481" s="287" t="s">
        <v>4435</v>
      </c>
      <c r="BF481" s="288" t="s">
        <v>4436</v>
      </c>
      <c r="BG481" s="289" t="s">
        <v>4425</v>
      </c>
      <c r="BH481" s="321">
        <f t="shared" si="33"/>
        <v>106</v>
      </c>
      <c r="BI481" s="98" t="str">
        <f t="shared" si="34"/>
        <v>INDENIZAÇÃO</v>
      </c>
      <c r="BJ481" s="98" t="str">
        <f t="shared" si="35"/>
        <v>NÃO</v>
      </c>
      <c r="BK481" s="290" t="s">
        <v>4437</v>
      </c>
      <c r="BL481" s="238" t="s">
        <v>4437</v>
      </c>
      <c r="BM481" s="238" t="s">
        <v>4437</v>
      </c>
      <c r="BN481" s="291" t="s">
        <v>5732</v>
      </c>
      <c r="BO481" s="265"/>
      <c r="BP481" s="265"/>
      <c r="BQ481" s="265"/>
      <c r="BR481" s="231"/>
    </row>
    <row r="482" spans="1:74" s="240" customFormat="1" ht="27" customHeight="1">
      <c r="A482" s="207">
        <v>478</v>
      </c>
      <c r="B482" s="197" t="s">
        <v>4396</v>
      </c>
      <c r="C482" s="207" t="s">
        <v>4413</v>
      </c>
      <c r="D482" s="207">
        <v>1</v>
      </c>
      <c r="E482" s="207" t="s">
        <v>4398</v>
      </c>
      <c r="F482" s="214" t="s">
        <v>6503</v>
      </c>
      <c r="G482" s="207" t="s">
        <v>4400</v>
      </c>
      <c r="H482" s="207" t="s">
        <v>4401</v>
      </c>
      <c r="I482" s="160" t="s">
        <v>4402</v>
      </c>
      <c r="J482" s="215" t="s">
        <v>6504</v>
      </c>
      <c r="K482" s="215" t="s">
        <v>6505</v>
      </c>
      <c r="L482" s="215" t="s">
        <v>6506</v>
      </c>
      <c r="M482" s="207" t="s">
        <v>4405</v>
      </c>
      <c r="N482" s="207" t="s">
        <v>4406</v>
      </c>
      <c r="O482" s="202">
        <v>46084</v>
      </c>
      <c r="P482" s="202" t="s">
        <v>4407</v>
      </c>
      <c r="Q482" s="202">
        <v>46083</v>
      </c>
      <c r="R482" s="203">
        <v>46084</v>
      </c>
      <c r="S482" s="203">
        <v>46087</v>
      </c>
      <c r="T482" s="203">
        <v>46090</v>
      </c>
      <c r="U482" s="202" t="s">
        <v>4408</v>
      </c>
      <c r="V482" s="202" t="s">
        <v>4408</v>
      </c>
      <c r="W482" s="202">
        <v>46101</v>
      </c>
      <c r="X482" s="202">
        <v>46104</v>
      </c>
      <c r="Y482" s="202"/>
      <c r="Z482" s="202"/>
      <c r="AA482" s="215" t="s">
        <v>6504</v>
      </c>
      <c r="AB482" s="215" t="s">
        <v>6505</v>
      </c>
      <c r="AC482" s="215" t="s">
        <v>6506</v>
      </c>
      <c r="AD482" s="217" t="s">
        <v>4402</v>
      </c>
      <c r="AE482" s="207" t="s">
        <v>4405</v>
      </c>
      <c r="AF482" s="218" t="s">
        <v>4409</v>
      </c>
      <c r="AG482" s="218" t="s">
        <v>4409</v>
      </c>
      <c r="AH482" s="207" t="s">
        <v>4410</v>
      </c>
      <c r="AI482" s="214" t="s">
        <v>4411</v>
      </c>
      <c r="AJ482" s="207"/>
      <c r="AK482" s="316">
        <v>46080</v>
      </c>
      <c r="AL482" s="316">
        <v>46080</v>
      </c>
      <c r="AM482" s="316">
        <v>46080</v>
      </c>
      <c r="AN482" s="316">
        <v>46080</v>
      </c>
      <c r="AO482" s="316">
        <v>46080</v>
      </c>
      <c r="AP482" s="316">
        <v>46080</v>
      </c>
      <c r="AQ482" s="314"/>
      <c r="AR482" s="315" t="str">
        <f t="shared" si="32"/>
        <v>FINALIZADO</v>
      </c>
      <c r="AS482" s="207"/>
      <c r="AT482" s="219"/>
      <c r="AU482" s="220"/>
      <c r="AV482" s="219"/>
      <c r="AW482" s="219"/>
      <c r="AX482" s="219"/>
      <c r="AY482" s="219"/>
      <c r="AZ482" s="219"/>
      <c r="BA482" s="219"/>
      <c r="BB482" s="219"/>
      <c r="BC482" s="219"/>
      <c r="BD482" s="208"/>
      <c r="BE482" s="203"/>
      <c r="BF482" s="219"/>
      <c r="BG482" s="219"/>
      <c r="BH482" s="321" t="str">
        <f t="shared" si="33"/>
        <v/>
      </c>
      <c r="BI482" s="98" t="str">
        <f t="shared" si="34"/>
        <v>AA</v>
      </c>
      <c r="BJ482" s="98" t="str">
        <f t="shared" si="35"/>
        <v>NÃO</v>
      </c>
      <c r="BK482" s="219"/>
      <c r="BL482" s="221"/>
      <c r="BM482" s="221"/>
      <c r="BN482" s="219"/>
      <c r="BO482" s="219"/>
      <c r="BP482" s="219"/>
      <c r="BQ482" s="219"/>
      <c r="BR482" s="222"/>
    </row>
    <row r="483" spans="1:74" s="240" customFormat="1" ht="27" customHeight="1">
      <c r="A483" s="207">
        <v>479</v>
      </c>
      <c r="B483" s="197" t="s">
        <v>4396</v>
      </c>
      <c r="C483" s="207" t="s">
        <v>4413</v>
      </c>
      <c r="D483" s="207">
        <v>1</v>
      </c>
      <c r="E483" s="207" t="s">
        <v>4398</v>
      </c>
      <c r="F483" s="214" t="s">
        <v>6507</v>
      </c>
      <c r="G483" s="207" t="s">
        <v>4400</v>
      </c>
      <c r="H483" s="207" t="s">
        <v>4401</v>
      </c>
      <c r="I483" s="207" t="s">
        <v>4402</v>
      </c>
      <c r="J483" s="215" t="s">
        <v>6508</v>
      </c>
      <c r="K483" s="215" t="s">
        <v>6509</v>
      </c>
      <c r="L483" s="215" t="s">
        <v>6510</v>
      </c>
      <c r="M483" s="207" t="s">
        <v>4405</v>
      </c>
      <c r="N483" s="207" t="s">
        <v>4406</v>
      </c>
      <c r="O483" s="202">
        <v>46084</v>
      </c>
      <c r="P483" s="202" t="s">
        <v>4407</v>
      </c>
      <c r="Q483" s="202">
        <v>46083</v>
      </c>
      <c r="R483" s="203">
        <v>46084</v>
      </c>
      <c r="S483" s="203">
        <v>46087</v>
      </c>
      <c r="T483" s="203">
        <v>46090</v>
      </c>
      <c r="U483" s="202" t="s">
        <v>4408</v>
      </c>
      <c r="V483" s="202" t="s">
        <v>4408</v>
      </c>
      <c r="W483" s="202">
        <v>46101</v>
      </c>
      <c r="X483" s="202">
        <v>46101</v>
      </c>
      <c r="Y483" s="202"/>
      <c r="Z483" s="202"/>
      <c r="AA483" s="215" t="s">
        <v>6508</v>
      </c>
      <c r="AB483" s="215" t="s">
        <v>6509</v>
      </c>
      <c r="AC483" s="215" t="s">
        <v>6510</v>
      </c>
      <c r="AD483" s="217" t="s">
        <v>4402</v>
      </c>
      <c r="AE483" s="207" t="s">
        <v>4405</v>
      </c>
      <c r="AF483" s="218" t="s">
        <v>4409</v>
      </c>
      <c r="AG483" s="218" t="s">
        <v>4409</v>
      </c>
      <c r="AH483" s="207" t="s">
        <v>4410</v>
      </c>
      <c r="AI483" s="214" t="s">
        <v>4411</v>
      </c>
      <c r="AJ483" s="207"/>
      <c r="AK483" s="316">
        <v>46080</v>
      </c>
      <c r="AL483" s="316">
        <v>46080</v>
      </c>
      <c r="AM483" s="316">
        <v>46080</v>
      </c>
      <c r="AN483" s="316">
        <v>46080</v>
      </c>
      <c r="AO483" s="316">
        <v>46080</v>
      </c>
      <c r="AP483" s="316">
        <v>46080</v>
      </c>
      <c r="AQ483" s="314"/>
      <c r="AR483" s="315" t="str">
        <f t="shared" si="32"/>
        <v>FINALIZADO</v>
      </c>
      <c r="AS483" s="207"/>
      <c r="AT483" s="219"/>
      <c r="AU483" s="220"/>
      <c r="AV483" s="219"/>
      <c r="AW483" s="219"/>
      <c r="AX483" s="219"/>
      <c r="AY483" s="254"/>
      <c r="AZ483" s="219"/>
      <c r="BA483" s="219"/>
      <c r="BB483" s="219"/>
      <c r="BC483" s="219"/>
      <c r="BD483" s="208"/>
      <c r="BE483" s="203"/>
      <c r="BF483" s="219"/>
      <c r="BG483" s="219"/>
      <c r="BH483" s="321" t="str">
        <f t="shared" si="33"/>
        <v/>
      </c>
      <c r="BI483" s="98" t="str">
        <f t="shared" si="34"/>
        <v>AA</v>
      </c>
      <c r="BJ483" s="98" t="str">
        <f t="shared" si="35"/>
        <v>NÃO</v>
      </c>
      <c r="BK483" s="219"/>
      <c r="BL483" s="221"/>
      <c r="BM483" s="221"/>
      <c r="BN483" s="219"/>
      <c r="BO483" s="219"/>
      <c r="BP483" s="219"/>
      <c r="BQ483" s="219"/>
      <c r="BR483" s="222"/>
    </row>
    <row r="484" spans="1:74" s="240" customFormat="1" ht="27" customHeight="1">
      <c r="A484" s="197">
        <v>480</v>
      </c>
      <c r="B484" s="197" t="s">
        <v>4396</v>
      </c>
      <c r="C484" s="207" t="s">
        <v>4413</v>
      </c>
      <c r="D484" s="207">
        <v>1</v>
      </c>
      <c r="E484" s="207" t="s">
        <v>4398</v>
      </c>
      <c r="F484" s="214" t="s">
        <v>6511</v>
      </c>
      <c r="G484" s="207" t="s">
        <v>4400</v>
      </c>
      <c r="H484" s="207" t="s">
        <v>4401</v>
      </c>
      <c r="I484" s="207" t="s">
        <v>4402</v>
      </c>
      <c r="J484" s="215" t="s">
        <v>6512</v>
      </c>
      <c r="K484" s="215" t="s">
        <v>6513</v>
      </c>
      <c r="L484" s="215" t="s">
        <v>6514</v>
      </c>
      <c r="M484" s="207" t="s">
        <v>4405</v>
      </c>
      <c r="N484" s="207" t="s">
        <v>4406</v>
      </c>
      <c r="O484" s="202">
        <v>46106</v>
      </c>
      <c r="P484" s="202" t="s">
        <v>4407</v>
      </c>
      <c r="Q484" s="202">
        <v>46106</v>
      </c>
      <c r="R484" s="202">
        <v>46107</v>
      </c>
      <c r="S484" s="202">
        <v>46111</v>
      </c>
      <c r="T484" s="202">
        <v>46087</v>
      </c>
      <c r="U484" s="202" t="s">
        <v>4408</v>
      </c>
      <c r="V484" s="202" t="s">
        <v>4408</v>
      </c>
      <c r="W484" s="202">
        <v>46132</v>
      </c>
      <c r="X484" s="202">
        <v>46129</v>
      </c>
      <c r="Y484" s="202"/>
      <c r="Z484" s="202"/>
      <c r="AA484" s="215" t="s">
        <v>6512</v>
      </c>
      <c r="AB484" s="215" t="s">
        <v>6513</v>
      </c>
      <c r="AC484" s="215" t="s">
        <v>6514</v>
      </c>
      <c r="AD484" s="217" t="s">
        <v>4402</v>
      </c>
      <c r="AE484" s="207" t="s">
        <v>4405</v>
      </c>
      <c r="AF484" s="218" t="s">
        <v>4409</v>
      </c>
      <c r="AG484" s="218" t="s">
        <v>4409</v>
      </c>
      <c r="AH484" s="207" t="s">
        <v>4410</v>
      </c>
      <c r="AI484" s="214" t="s">
        <v>4411</v>
      </c>
      <c r="AJ484" s="207"/>
      <c r="AK484" s="316">
        <v>46080</v>
      </c>
      <c r="AL484" s="316">
        <v>46080</v>
      </c>
      <c r="AM484" s="316">
        <v>46080</v>
      </c>
      <c r="AN484" s="316">
        <v>46080</v>
      </c>
      <c r="AO484" s="316">
        <v>46080</v>
      </c>
      <c r="AP484" s="316">
        <v>46080</v>
      </c>
      <c r="AQ484" s="314"/>
      <c r="AR484" s="315" t="str">
        <f t="shared" si="32"/>
        <v>FINALIZADO</v>
      </c>
      <c r="AS484" s="207"/>
      <c r="AT484" s="219"/>
      <c r="AU484" s="220"/>
      <c r="AV484" s="219"/>
      <c r="AW484" s="219"/>
      <c r="AX484" s="219"/>
      <c r="AY484" s="219"/>
      <c r="AZ484" s="219"/>
      <c r="BA484" s="219"/>
      <c r="BB484" s="219"/>
      <c r="BC484" s="219"/>
      <c r="BD484" s="208"/>
      <c r="BE484" s="203"/>
      <c r="BF484" s="219"/>
      <c r="BG484" s="219"/>
      <c r="BH484" s="321" t="str">
        <f t="shared" si="33"/>
        <v/>
      </c>
      <c r="BI484" s="98" t="str">
        <f t="shared" si="34"/>
        <v>AA</v>
      </c>
      <c r="BJ484" s="98" t="str">
        <f t="shared" si="35"/>
        <v>NÃO</v>
      </c>
      <c r="BK484" s="219"/>
      <c r="BL484" s="221"/>
      <c r="BM484" s="221"/>
      <c r="BN484" s="219"/>
      <c r="BO484" s="219"/>
      <c r="BP484" s="219"/>
      <c r="BQ484" s="219"/>
      <c r="BR484" s="222"/>
    </row>
    <row r="485" spans="1:74" s="240" customFormat="1" ht="27" customHeight="1">
      <c r="A485" s="197">
        <v>481</v>
      </c>
      <c r="B485" s="197" t="s">
        <v>4396</v>
      </c>
      <c r="C485" s="207" t="s">
        <v>4413</v>
      </c>
      <c r="D485" s="207">
        <v>1</v>
      </c>
      <c r="E485" s="207" t="s">
        <v>4398</v>
      </c>
      <c r="F485" s="214" t="s">
        <v>6515</v>
      </c>
      <c r="G485" s="207" t="s">
        <v>4400</v>
      </c>
      <c r="H485" s="207" t="s">
        <v>4401</v>
      </c>
      <c r="I485" s="207" t="s">
        <v>4402</v>
      </c>
      <c r="J485" s="215" t="s">
        <v>6516</v>
      </c>
      <c r="K485" s="215" t="s">
        <v>6517</v>
      </c>
      <c r="L485" s="215" t="s">
        <v>6518</v>
      </c>
      <c r="M485" s="207" t="s">
        <v>4405</v>
      </c>
      <c r="N485" s="207" t="s">
        <v>4406</v>
      </c>
      <c r="O485" s="203">
        <v>46090</v>
      </c>
      <c r="P485" s="203" t="s">
        <v>4407</v>
      </c>
      <c r="Q485" s="202">
        <v>46090</v>
      </c>
      <c r="R485" s="202">
        <v>46099</v>
      </c>
      <c r="S485" s="202">
        <v>46101</v>
      </c>
      <c r="T485" s="202">
        <v>46118</v>
      </c>
      <c r="U485" s="202" t="s">
        <v>4408</v>
      </c>
      <c r="V485" s="202" t="s">
        <v>4408</v>
      </c>
      <c r="W485" s="202">
        <v>46118</v>
      </c>
      <c r="X485" s="202">
        <v>46119</v>
      </c>
      <c r="Y485" s="202"/>
      <c r="Z485" s="202"/>
      <c r="AA485" s="215" t="s">
        <v>6516</v>
      </c>
      <c r="AB485" s="215" t="s">
        <v>6517</v>
      </c>
      <c r="AC485" s="215" t="s">
        <v>6518</v>
      </c>
      <c r="AD485" s="217" t="s">
        <v>4402</v>
      </c>
      <c r="AE485" s="207" t="s">
        <v>4405</v>
      </c>
      <c r="AF485" s="218" t="s">
        <v>4409</v>
      </c>
      <c r="AG485" s="218" t="s">
        <v>4409</v>
      </c>
      <c r="AH485" s="207" t="s">
        <v>4410</v>
      </c>
      <c r="AI485" s="214" t="s">
        <v>4411</v>
      </c>
      <c r="AJ485" s="207"/>
      <c r="AK485" s="316">
        <v>46086</v>
      </c>
      <c r="AL485" s="316">
        <v>46086</v>
      </c>
      <c r="AM485" s="316">
        <v>46086</v>
      </c>
      <c r="AN485" s="316">
        <v>46086</v>
      </c>
      <c r="AO485" s="316">
        <v>46086</v>
      </c>
      <c r="AP485" s="316">
        <v>46086</v>
      </c>
      <c r="AQ485" s="314"/>
      <c r="AR485" s="315" t="str">
        <f t="shared" si="32"/>
        <v>FINALIZADO</v>
      </c>
      <c r="AS485" s="207"/>
      <c r="AT485" s="219"/>
      <c r="AU485" s="220"/>
      <c r="AV485" s="219"/>
      <c r="AW485" s="219"/>
      <c r="AX485" s="219"/>
      <c r="AY485" s="219"/>
      <c r="AZ485" s="219"/>
      <c r="BA485" s="219"/>
      <c r="BB485" s="219"/>
      <c r="BC485" s="219"/>
      <c r="BD485" s="208"/>
      <c r="BE485" s="203"/>
      <c r="BF485" s="219"/>
      <c r="BG485" s="219"/>
      <c r="BH485" s="321" t="str">
        <f t="shared" si="33"/>
        <v/>
      </c>
      <c r="BI485" s="98" t="str">
        <f t="shared" si="34"/>
        <v>AA</v>
      </c>
      <c r="BJ485" s="98" t="str">
        <f t="shared" si="35"/>
        <v>NÃO</v>
      </c>
      <c r="BK485" s="219"/>
      <c r="BL485" s="221"/>
      <c r="BM485" s="221"/>
      <c r="BN485" s="219"/>
      <c r="BO485" s="219"/>
      <c r="BP485" s="219"/>
      <c r="BQ485" s="219"/>
      <c r="BR485" s="222"/>
    </row>
    <row r="486" spans="1:74" s="240" customFormat="1" ht="27" customHeight="1">
      <c r="A486" s="207">
        <v>482</v>
      </c>
      <c r="B486" s="197" t="s">
        <v>4396</v>
      </c>
      <c r="C486" s="207" t="s">
        <v>4413</v>
      </c>
      <c r="D486" s="207">
        <v>1</v>
      </c>
      <c r="E486" s="207" t="s">
        <v>4398</v>
      </c>
      <c r="F486" s="214" t="s">
        <v>6519</v>
      </c>
      <c r="G486" s="207" t="s">
        <v>4400</v>
      </c>
      <c r="H486" s="207" t="s">
        <v>4401</v>
      </c>
      <c r="I486" s="207" t="s">
        <v>4402</v>
      </c>
      <c r="J486" s="215" t="s">
        <v>6520</v>
      </c>
      <c r="K486" s="215" t="s">
        <v>6521</v>
      </c>
      <c r="L486" s="215" t="s">
        <v>6522</v>
      </c>
      <c r="M486" s="207" t="s">
        <v>4405</v>
      </c>
      <c r="N486" s="207" t="s">
        <v>4442</v>
      </c>
      <c r="O486" s="202" t="s">
        <v>4409</v>
      </c>
      <c r="P486" s="202" t="s">
        <v>4409</v>
      </c>
      <c r="Q486" s="202" t="s">
        <v>4409</v>
      </c>
      <c r="R486" s="202" t="s">
        <v>4409</v>
      </c>
      <c r="S486" s="202" t="s">
        <v>4409</v>
      </c>
      <c r="T486" s="202" t="s">
        <v>4409</v>
      </c>
      <c r="U486" s="202" t="s">
        <v>4409</v>
      </c>
      <c r="V486" s="202" t="s">
        <v>4409</v>
      </c>
      <c r="W486" s="202" t="s">
        <v>4409</v>
      </c>
      <c r="X486" s="202" t="s">
        <v>4409</v>
      </c>
      <c r="Y486" s="202"/>
      <c r="Z486" s="202"/>
      <c r="AA486" s="215" t="s">
        <v>6520</v>
      </c>
      <c r="AB486" s="215" t="s">
        <v>6521</v>
      </c>
      <c r="AC486" s="215" t="s">
        <v>6522</v>
      </c>
      <c r="AD486" s="207" t="s">
        <v>4402</v>
      </c>
      <c r="AE486" s="207" t="s">
        <v>4405</v>
      </c>
      <c r="AF486" s="218">
        <v>27649.74</v>
      </c>
      <c r="AG486" s="218">
        <f>AF486+30000</f>
        <v>57649.740000000005</v>
      </c>
      <c r="AH486" s="207" t="s">
        <v>4422</v>
      </c>
      <c r="AI486" s="214" t="s">
        <v>4411</v>
      </c>
      <c r="AJ486" s="207">
        <v>153982110</v>
      </c>
      <c r="AK486" s="316">
        <v>46129</v>
      </c>
      <c r="AL486" s="316">
        <v>46129</v>
      </c>
      <c r="AM486" s="316">
        <v>46129</v>
      </c>
      <c r="AN486" s="316">
        <v>46129</v>
      </c>
      <c r="AO486" s="316">
        <v>46129</v>
      </c>
      <c r="AP486" s="316">
        <v>46129</v>
      </c>
      <c r="AQ486" s="314"/>
      <c r="AR486" s="315" t="str">
        <f t="shared" si="32"/>
        <v>FINALIZADO</v>
      </c>
      <c r="AS486" s="207" t="s">
        <v>4423</v>
      </c>
      <c r="AT486" s="219"/>
      <c r="AU486" s="220" t="s">
        <v>6523</v>
      </c>
      <c r="AV486" s="262" t="s">
        <v>4425</v>
      </c>
      <c r="AW486" s="219" t="s">
        <v>4425</v>
      </c>
      <c r="AX486" s="219" t="s">
        <v>4425</v>
      </c>
      <c r="AY486" s="219" t="s">
        <v>4425</v>
      </c>
      <c r="AZ486" s="202">
        <v>46226</v>
      </c>
      <c r="BA486" s="219" t="s">
        <v>4425</v>
      </c>
      <c r="BB486" s="219" t="s">
        <v>4425</v>
      </c>
      <c r="BC486" s="202">
        <v>46232</v>
      </c>
      <c r="BD486" s="226">
        <v>46232</v>
      </c>
      <c r="BE486" s="257" t="s">
        <v>4435</v>
      </c>
      <c r="BF486" s="257" t="s">
        <v>4436</v>
      </c>
      <c r="BG486" s="219" t="s">
        <v>4425</v>
      </c>
      <c r="BH486" s="321">
        <f t="shared" si="33"/>
        <v>103</v>
      </c>
      <c r="BI486" s="98" t="str">
        <f t="shared" si="34"/>
        <v>INDENIZAÇÃO</v>
      </c>
      <c r="BJ486" s="98" t="str">
        <f t="shared" si="35"/>
        <v>NÃO</v>
      </c>
      <c r="BK486" s="219" t="s">
        <v>4437</v>
      </c>
      <c r="BL486" s="219" t="s">
        <v>4437</v>
      </c>
      <c r="BM486" s="219" t="s">
        <v>4437</v>
      </c>
      <c r="BN486" s="257" t="s">
        <v>5732</v>
      </c>
      <c r="BO486" s="257"/>
      <c r="BP486" s="257"/>
      <c r="BQ486" s="257"/>
      <c r="BR486" s="258"/>
      <c r="BS486" s="223"/>
      <c r="BT486" s="161"/>
    </row>
    <row r="487" spans="1:74" s="240" customFormat="1" ht="27" customHeight="1">
      <c r="A487" s="207">
        <v>483</v>
      </c>
      <c r="B487" s="197" t="s">
        <v>4396</v>
      </c>
      <c r="C487" s="207" t="s">
        <v>4413</v>
      </c>
      <c r="D487" s="207">
        <v>1</v>
      </c>
      <c r="E487" s="207" t="s">
        <v>4398</v>
      </c>
      <c r="F487" s="214" t="s">
        <v>6524</v>
      </c>
      <c r="G487" s="207" t="s">
        <v>4400</v>
      </c>
      <c r="H487" s="207" t="s">
        <v>4401</v>
      </c>
      <c r="I487" s="207" t="s">
        <v>4402</v>
      </c>
      <c r="J487" s="215" t="s">
        <v>6525</v>
      </c>
      <c r="K487" s="215" t="s">
        <v>6526</v>
      </c>
      <c r="L487" s="215" t="s">
        <v>6527</v>
      </c>
      <c r="M487" s="207" t="s">
        <v>4405</v>
      </c>
      <c r="N487" s="207" t="s">
        <v>4406</v>
      </c>
      <c r="O487" s="202">
        <v>46084</v>
      </c>
      <c r="P487" s="202" t="s">
        <v>4407</v>
      </c>
      <c r="Q487" s="202">
        <v>46083</v>
      </c>
      <c r="R487" s="203">
        <v>46084</v>
      </c>
      <c r="S487" s="203">
        <v>46087</v>
      </c>
      <c r="T487" s="203">
        <v>46090</v>
      </c>
      <c r="U487" s="202" t="s">
        <v>4408</v>
      </c>
      <c r="V487" s="202" t="s">
        <v>4408</v>
      </c>
      <c r="W487" s="202">
        <v>46101</v>
      </c>
      <c r="X487" s="202">
        <v>46101</v>
      </c>
      <c r="Y487" s="202"/>
      <c r="Z487" s="202"/>
      <c r="AA487" s="215" t="s">
        <v>6525</v>
      </c>
      <c r="AB487" s="215" t="s">
        <v>6526</v>
      </c>
      <c r="AC487" s="215" t="s">
        <v>6527</v>
      </c>
      <c r="AD487" s="217" t="s">
        <v>4402</v>
      </c>
      <c r="AE487" s="207" t="s">
        <v>4405</v>
      </c>
      <c r="AF487" s="218" t="s">
        <v>4409</v>
      </c>
      <c r="AG487" s="218" t="s">
        <v>4409</v>
      </c>
      <c r="AH487" s="207" t="s">
        <v>4410</v>
      </c>
      <c r="AI487" s="214" t="s">
        <v>4411</v>
      </c>
      <c r="AJ487" s="207"/>
      <c r="AK487" s="316">
        <v>46080</v>
      </c>
      <c r="AL487" s="316">
        <v>46080</v>
      </c>
      <c r="AM487" s="316">
        <v>46080</v>
      </c>
      <c r="AN487" s="316">
        <v>46080</v>
      </c>
      <c r="AO487" s="316">
        <v>46080</v>
      </c>
      <c r="AP487" s="316">
        <v>46080</v>
      </c>
      <c r="AQ487" s="314"/>
      <c r="AR487" s="315" t="str">
        <f t="shared" si="32"/>
        <v>FINALIZADO</v>
      </c>
      <c r="AS487" s="207"/>
      <c r="AT487" s="219"/>
      <c r="AU487" s="220"/>
      <c r="AV487" s="219"/>
      <c r="AW487" s="219"/>
      <c r="AX487" s="219"/>
      <c r="AY487" s="219"/>
      <c r="AZ487" s="219"/>
      <c r="BA487" s="219"/>
      <c r="BB487" s="219"/>
      <c r="BC487" s="219"/>
      <c r="BD487" s="208"/>
      <c r="BE487" s="203"/>
      <c r="BF487" s="219"/>
      <c r="BG487" s="219"/>
      <c r="BH487" s="321" t="str">
        <f t="shared" si="33"/>
        <v/>
      </c>
      <c r="BI487" s="98" t="str">
        <f t="shared" si="34"/>
        <v>AA</v>
      </c>
      <c r="BJ487" s="98" t="str">
        <f t="shared" si="35"/>
        <v>NÃO</v>
      </c>
      <c r="BK487" s="219"/>
      <c r="BL487" s="221"/>
      <c r="BM487" s="221"/>
      <c r="BN487" s="219"/>
      <c r="BO487" s="219"/>
      <c r="BP487" s="219"/>
      <c r="BQ487" s="219"/>
      <c r="BR487" s="222"/>
    </row>
    <row r="488" spans="1:74" s="240" customFormat="1" ht="27" customHeight="1">
      <c r="A488" s="207">
        <v>484</v>
      </c>
      <c r="B488" s="197" t="s">
        <v>4396</v>
      </c>
      <c r="C488" s="207" t="s">
        <v>4413</v>
      </c>
      <c r="D488" s="207">
        <v>1</v>
      </c>
      <c r="E488" s="207" t="s">
        <v>4398</v>
      </c>
      <c r="F488" s="214" t="s">
        <v>6528</v>
      </c>
      <c r="G488" s="207" t="s">
        <v>4400</v>
      </c>
      <c r="H488" s="207" t="s">
        <v>4401</v>
      </c>
      <c r="I488" s="207" t="s">
        <v>4402</v>
      </c>
      <c r="J488" s="215" t="s">
        <v>6529</v>
      </c>
      <c r="K488" s="215" t="s">
        <v>6530</v>
      </c>
      <c r="L488" s="215" t="s">
        <v>6531</v>
      </c>
      <c r="M488" s="207" t="s">
        <v>4405</v>
      </c>
      <c r="N488" s="207" t="s">
        <v>4406</v>
      </c>
      <c r="O488" s="202">
        <v>46084</v>
      </c>
      <c r="P488" s="202" t="s">
        <v>4407</v>
      </c>
      <c r="Q488" s="202">
        <v>46083</v>
      </c>
      <c r="R488" s="203">
        <v>46084</v>
      </c>
      <c r="S488" s="203">
        <v>46087</v>
      </c>
      <c r="T488" s="203">
        <v>46090</v>
      </c>
      <c r="U488" s="202" t="s">
        <v>4408</v>
      </c>
      <c r="V488" s="202" t="s">
        <v>4408</v>
      </c>
      <c r="W488" s="202">
        <v>46101</v>
      </c>
      <c r="X488" s="202">
        <v>46101</v>
      </c>
      <c r="Y488" s="202"/>
      <c r="Z488" s="202"/>
      <c r="AA488" s="215" t="s">
        <v>6529</v>
      </c>
      <c r="AB488" s="215" t="s">
        <v>6530</v>
      </c>
      <c r="AC488" s="215" t="s">
        <v>6531</v>
      </c>
      <c r="AD488" s="217" t="s">
        <v>4402</v>
      </c>
      <c r="AE488" s="207" t="s">
        <v>4405</v>
      </c>
      <c r="AF488" s="218" t="s">
        <v>4409</v>
      </c>
      <c r="AG488" s="218" t="s">
        <v>4409</v>
      </c>
      <c r="AH488" s="207" t="s">
        <v>4410</v>
      </c>
      <c r="AI488" s="214" t="s">
        <v>4411</v>
      </c>
      <c r="AJ488" s="292" t="s">
        <v>4398</v>
      </c>
      <c r="AK488" s="316">
        <v>46080</v>
      </c>
      <c r="AL488" s="316">
        <v>46080</v>
      </c>
      <c r="AM488" s="316">
        <v>46080</v>
      </c>
      <c r="AN488" s="316">
        <v>46080</v>
      </c>
      <c r="AO488" s="316">
        <v>46080</v>
      </c>
      <c r="AP488" s="316">
        <v>46080</v>
      </c>
      <c r="AQ488" s="314"/>
      <c r="AR488" s="315" t="str">
        <f t="shared" si="32"/>
        <v>FINALIZADO</v>
      </c>
      <c r="AS488" s="207" t="s">
        <v>4437</v>
      </c>
      <c r="AT488" s="219"/>
      <c r="AU488" s="220" t="s">
        <v>4437</v>
      </c>
      <c r="AV488" s="207" t="s">
        <v>4437</v>
      </c>
      <c r="AW488" s="207" t="s">
        <v>4437</v>
      </c>
      <c r="AX488" s="207" t="s">
        <v>4437</v>
      </c>
      <c r="AY488" s="207" t="s">
        <v>4437</v>
      </c>
      <c r="AZ488" s="207" t="s">
        <v>4437</v>
      </c>
      <c r="BA488" s="207" t="s">
        <v>4437</v>
      </c>
      <c r="BB488" s="207" t="s">
        <v>4437</v>
      </c>
      <c r="BC488" s="219"/>
      <c r="BD488" s="208"/>
      <c r="BE488" s="203"/>
      <c r="BF488" s="219"/>
      <c r="BG488" s="219"/>
      <c r="BH488" s="321" t="str">
        <f t="shared" si="33"/>
        <v/>
      </c>
      <c r="BI488" s="98" t="str">
        <f t="shared" si="34"/>
        <v>AA</v>
      </c>
      <c r="BJ488" s="98" t="str">
        <f t="shared" si="35"/>
        <v>NÃO</v>
      </c>
      <c r="BK488" s="219"/>
      <c r="BL488" s="221"/>
      <c r="BM488" s="221"/>
      <c r="BN488" s="219"/>
      <c r="BO488" s="219"/>
      <c r="BP488" s="219"/>
      <c r="BQ488" s="219"/>
      <c r="BR488" s="222"/>
    </row>
    <row r="489" spans="1:74" s="240" customFormat="1" ht="27" hidden="1" customHeight="1">
      <c r="A489" s="197">
        <v>485</v>
      </c>
      <c r="B489" s="197" t="s">
        <v>4396</v>
      </c>
      <c r="C489" s="207" t="s">
        <v>4427</v>
      </c>
      <c r="D489" s="207">
        <v>1</v>
      </c>
      <c r="E489" s="207" t="s">
        <v>4398</v>
      </c>
      <c r="F489" s="214" t="s">
        <v>6532</v>
      </c>
      <c r="G489" s="207" t="s">
        <v>4400</v>
      </c>
      <c r="H489" s="207" t="s">
        <v>4401</v>
      </c>
      <c r="I489" s="217" t="s">
        <v>6533</v>
      </c>
      <c r="J489" s="215" t="s">
        <v>6534</v>
      </c>
      <c r="K489" s="215" t="s">
        <v>4398</v>
      </c>
      <c r="L489" s="215" t="s">
        <v>6535</v>
      </c>
      <c r="M489" s="207" t="s">
        <v>4405</v>
      </c>
      <c r="N489" s="207" t="s">
        <v>4406</v>
      </c>
      <c r="O489" s="202">
        <v>46031</v>
      </c>
      <c r="P489" s="202" t="s">
        <v>4407</v>
      </c>
      <c r="Q489" s="202">
        <v>46023</v>
      </c>
      <c r="R489" s="202">
        <v>46023</v>
      </c>
      <c r="S489" s="202">
        <v>46036</v>
      </c>
      <c r="T489" s="202">
        <v>46045</v>
      </c>
      <c r="U489" s="202" t="s">
        <v>4408</v>
      </c>
      <c r="V489" s="202" t="s">
        <v>4408</v>
      </c>
      <c r="W489" s="202">
        <v>46055</v>
      </c>
      <c r="X489" s="202">
        <v>46059</v>
      </c>
      <c r="Y489" s="203"/>
      <c r="Z489" s="219"/>
      <c r="AA489" s="215" t="s">
        <v>6534</v>
      </c>
      <c r="AB489" s="215" t="s">
        <v>4398</v>
      </c>
      <c r="AC489" s="215" t="s">
        <v>6535</v>
      </c>
      <c r="AD489" s="217" t="s">
        <v>4402</v>
      </c>
      <c r="AE489" s="207" t="s">
        <v>4405</v>
      </c>
      <c r="AF489" s="218" t="s">
        <v>4409</v>
      </c>
      <c r="AG489" s="218" t="s">
        <v>4409</v>
      </c>
      <c r="AH489" s="207" t="s">
        <v>4410</v>
      </c>
      <c r="AI489" s="214" t="s">
        <v>4411</v>
      </c>
      <c r="AJ489" s="207"/>
      <c r="AK489" s="316">
        <v>45996</v>
      </c>
      <c r="AL489" s="316">
        <v>45996</v>
      </c>
      <c r="AM489" s="316">
        <v>45996</v>
      </c>
      <c r="AN489" s="316">
        <v>45996</v>
      </c>
      <c r="AO489" s="316">
        <v>45996</v>
      </c>
      <c r="AP489" s="316">
        <v>45996</v>
      </c>
      <c r="AQ489" s="314"/>
      <c r="AR489" s="315" t="str">
        <f t="shared" si="32"/>
        <v>FINALIZADO</v>
      </c>
      <c r="AS489" s="207"/>
      <c r="AT489" s="219"/>
      <c r="AU489" s="220"/>
      <c r="AV489" s="219"/>
      <c r="AW489" s="219"/>
      <c r="AX489" s="219"/>
      <c r="AY489" s="219"/>
      <c r="AZ489" s="219"/>
      <c r="BA489" s="219"/>
      <c r="BB489" s="219"/>
      <c r="BC489" s="219"/>
      <c r="BD489" s="208"/>
      <c r="BE489" s="202"/>
      <c r="BF489" s="207"/>
      <c r="BG489" s="229"/>
      <c r="BH489" s="321" t="str">
        <f t="shared" si="33"/>
        <v/>
      </c>
      <c r="BI489" s="98" t="str">
        <f t="shared" si="34"/>
        <v>AA</v>
      </c>
      <c r="BJ489" s="98" t="str">
        <f t="shared" si="35"/>
        <v>NÃO</v>
      </c>
      <c r="BK489" s="230"/>
      <c r="BL489" s="230"/>
      <c r="BM489" s="230"/>
      <c r="BN489" s="230"/>
      <c r="BO489" s="230"/>
      <c r="BP489" s="230"/>
      <c r="BQ489" s="230"/>
      <c r="BR489" s="234"/>
    </row>
    <row r="490" spans="1:74" s="240" customFormat="1" ht="27" hidden="1" customHeight="1">
      <c r="A490" s="197">
        <v>486</v>
      </c>
      <c r="B490" s="197" t="s">
        <v>4396</v>
      </c>
      <c r="C490" s="207" t="s">
        <v>4427</v>
      </c>
      <c r="D490" s="207">
        <v>1</v>
      </c>
      <c r="E490" s="207" t="s">
        <v>4398</v>
      </c>
      <c r="F490" s="214" t="s">
        <v>6536</v>
      </c>
      <c r="G490" s="207" t="s">
        <v>4400</v>
      </c>
      <c r="H490" s="207" t="s">
        <v>4401</v>
      </c>
      <c r="I490" s="217" t="s">
        <v>4402</v>
      </c>
      <c r="J490" s="215" t="s">
        <v>6537</v>
      </c>
      <c r="K490" s="215" t="s">
        <v>6538</v>
      </c>
      <c r="L490" s="215" t="s">
        <v>6539</v>
      </c>
      <c r="M490" s="207" t="s">
        <v>4405</v>
      </c>
      <c r="N490" s="207" t="s">
        <v>4442</v>
      </c>
      <c r="O490" s="202" t="s">
        <v>4409</v>
      </c>
      <c r="P490" s="202" t="s">
        <v>4409</v>
      </c>
      <c r="Q490" s="202" t="s">
        <v>4409</v>
      </c>
      <c r="R490" s="202" t="s">
        <v>4409</v>
      </c>
      <c r="S490" s="202" t="s">
        <v>4409</v>
      </c>
      <c r="T490" s="202" t="s">
        <v>4409</v>
      </c>
      <c r="U490" s="202" t="s">
        <v>4409</v>
      </c>
      <c r="V490" s="202" t="s">
        <v>4409</v>
      </c>
      <c r="W490" s="202" t="s">
        <v>4409</v>
      </c>
      <c r="X490" s="202" t="s">
        <v>4409</v>
      </c>
      <c r="Y490" s="202"/>
      <c r="Z490" s="202"/>
      <c r="AA490" s="215" t="s">
        <v>6537</v>
      </c>
      <c r="AB490" s="215" t="s">
        <v>6538</v>
      </c>
      <c r="AC490" s="215" t="s">
        <v>6539</v>
      </c>
      <c r="AD490" s="207" t="s">
        <v>4402</v>
      </c>
      <c r="AE490" s="219" t="s">
        <v>4405</v>
      </c>
      <c r="AF490" s="218">
        <v>42817.58</v>
      </c>
      <c r="AG490" s="218">
        <v>60000</v>
      </c>
      <c r="AH490" s="207" t="s">
        <v>4422</v>
      </c>
      <c r="AI490" s="214" t="s">
        <v>4411</v>
      </c>
      <c r="AJ490" s="207">
        <v>150611783</v>
      </c>
      <c r="AK490" s="316">
        <v>46076</v>
      </c>
      <c r="AL490" s="316">
        <v>46076</v>
      </c>
      <c r="AM490" s="316">
        <v>46076</v>
      </c>
      <c r="AN490" s="316">
        <v>46076</v>
      </c>
      <c r="AO490" s="316">
        <v>46076</v>
      </c>
      <c r="AP490" s="316">
        <v>46076</v>
      </c>
      <c r="AQ490" s="314"/>
      <c r="AR490" s="315" t="str">
        <f t="shared" si="32"/>
        <v>FINALIZADO</v>
      </c>
      <c r="AS490" s="207" t="s">
        <v>4423</v>
      </c>
      <c r="AT490" s="219"/>
      <c r="AU490" s="220" t="s">
        <v>6540</v>
      </c>
      <c r="AV490" s="207" t="s">
        <v>4425</v>
      </c>
      <c r="AW490" s="207" t="s">
        <v>4425</v>
      </c>
      <c r="AX490" s="207" t="s">
        <v>4425</v>
      </c>
      <c r="AY490" s="207" t="s">
        <v>4425</v>
      </c>
      <c r="AZ490" s="202">
        <v>46118</v>
      </c>
      <c r="BA490" s="207" t="s">
        <v>4425</v>
      </c>
      <c r="BB490" s="207" t="s">
        <v>4425</v>
      </c>
      <c r="BC490" s="202">
        <v>46126</v>
      </c>
      <c r="BD490" s="227">
        <v>46126</v>
      </c>
      <c r="BE490" s="227" t="s">
        <v>4435</v>
      </c>
      <c r="BF490" s="245" t="s">
        <v>4436</v>
      </c>
      <c r="BG490" s="229" t="s">
        <v>4425</v>
      </c>
      <c r="BH490" s="321">
        <f t="shared" si="33"/>
        <v>50</v>
      </c>
      <c r="BI490" s="98" t="str">
        <f t="shared" si="34"/>
        <v>INDENIZAÇÃO</v>
      </c>
      <c r="BJ490" s="98" t="str">
        <f t="shared" si="35"/>
        <v>NÃO</v>
      </c>
      <c r="BK490" s="230" t="s">
        <v>4437</v>
      </c>
      <c r="BL490" s="230" t="s">
        <v>4437</v>
      </c>
      <c r="BM490" s="230" t="s">
        <v>4437</v>
      </c>
      <c r="BN490" s="265" t="s">
        <v>5732</v>
      </c>
      <c r="BO490" s="265"/>
      <c r="BP490" s="265"/>
      <c r="BQ490" s="265"/>
      <c r="BR490" s="231"/>
      <c r="BS490" s="223"/>
      <c r="BT490" s="223"/>
      <c r="BU490" s="223"/>
      <c r="BV490" s="223"/>
    </row>
    <row r="491" spans="1:74" s="240" customFormat="1" ht="27" hidden="1" customHeight="1">
      <c r="A491" s="207">
        <v>487</v>
      </c>
      <c r="B491" s="197" t="s">
        <v>4396</v>
      </c>
      <c r="C491" s="207" t="s">
        <v>4427</v>
      </c>
      <c r="D491" s="207">
        <v>1</v>
      </c>
      <c r="E491" s="207" t="s">
        <v>4398</v>
      </c>
      <c r="F491" s="214" t="s">
        <v>6541</v>
      </c>
      <c r="G491" s="207" t="s">
        <v>4400</v>
      </c>
      <c r="H491" s="207" t="s">
        <v>4401</v>
      </c>
      <c r="I491" s="217" t="s">
        <v>4402</v>
      </c>
      <c r="J491" s="215" t="s">
        <v>6542</v>
      </c>
      <c r="K491" s="215" t="s">
        <v>4398</v>
      </c>
      <c r="L491" s="215" t="s">
        <v>6543</v>
      </c>
      <c r="M491" s="207" t="s">
        <v>4405</v>
      </c>
      <c r="N491" s="207" t="s">
        <v>4406</v>
      </c>
      <c r="O491" s="202">
        <v>45986</v>
      </c>
      <c r="P491" s="203" t="s">
        <v>4407</v>
      </c>
      <c r="Q491" s="203">
        <v>45985</v>
      </c>
      <c r="R491" s="203">
        <v>45986</v>
      </c>
      <c r="S491" s="203">
        <v>45987</v>
      </c>
      <c r="T491" s="203">
        <v>45992</v>
      </c>
      <c r="U491" s="202" t="s">
        <v>4408</v>
      </c>
      <c r="V491" s="202" t="s">
        <v>4408</v>
      </c>
      <c r="W491" s="202">
        <v>45999</v>
      </c>
      <c r="X491" s="202">
        <v>46001</v>
      </c>
      <c r="Y491" s="202"/>
      <c r="Z491" s="207"/>
      <c r="AA491" s="215" t="s">
        <v>6542</v>
      </c>
      <c r="AB491" s="215" t="s">
        <v>4398</v>
      </c>
      <c r="AC491" s="215" t="s">
        <v>6543</v>
      </c>
      <c r="AD491" s="217" t="s">
        <v>4402</v>
      </c>
      <c r="AE491" s="207" t="s">
        <v>4405</v>
      </c>
      <c r="AF491" s="218" t="s">
        <v>4409</v>
      </c>
      <c r="AG491" s="218" t="s">
        <v>4409</v>
      </c>
      <c r="AH491" s="241" t="s">
        <v>4410</v>
      </c>
      <c r="AI491" s="214" t="s">
        <v>4411</v>
      </c>
      <c r="AJ491" s="207"/>
      <c r="AK491" s="316">
        <v>45980</v>
      </c>
      <c r="AL491" s="316">
        <v>45980</v>
      </c>
      <c r="AM491" s="316">
        <v>45980</v>
      </c>
      <c r="AN491" s="316">
        <v>45980</v>
      </c>
      <c r="AO491" s="316">
        <v>45980</v>
      </c>
      <c r="AP491" s="316">
        <v>45980</v>
      </c>
      <c r="AQ491" s="314"/>
      <c r="AR491" s="315" t="str">
        <f t="shared" si="32"/>
        <v>FINALIZADO</v>
      </c>
      <c r="AS491" s="207"/>
      <c r="AT491" s="207"/>
      <c r="AU491" s="220"/>
      <c r="AV491" s="207"/>
      <c r="AW491" s="207"/>
      <c r="AX491" s="207" t="s">
        <v>4409</v>
      </c>
      <c r="AY491" s="207" t="s">
        <v>4409</v>
      </c>
      <c r="AZ491" s="207" t="s">
        <v>4409</v>
      </c>
      <c r="BA491" s="207" t="s">
        <v>4409</v>
      </c>
      <c r="BB491" s="207"/>
      <c r="BC491" s="202"/>
      <c r="BD491" s="208"/>
      <c r="BE491" s="202"/>
      <c r="BF491" s="207"/>
      <c r="BG491" s="229"/>
      <c r="BH491" s="321" t="str">
        <f t="shared" si="33"/>
        <v/>
      </c>
      <c r="BI491" s="98" t="str">
        <f t="shared" si="34"/>
        <v>AA</v>
      </c>
      <c r="BJ491" s="98" t="str">
        <f t="shared" si="35"/>
        <v>NÃO</v>
      </c>
      <c r="BK491" s="230"/>
      <c r="BL491" s="230"/>
      <c r="BM491" s="230"/>
      <c r="BN491" s="230"/>
      <c r="BO491" s="230"/>
      <c r="BP491" s="230"/>
      <c r="BQ491" s="230"/>
      <c r="BR491" s="234"/>
    </row>
    <row r="492" spans="1:74" s="240" customFormat="1" ht="27" hidden="1" customHeight="1">
      <c r="A492" s="207">
        <v>488</v>
      </c>
      <c r="B492" s="197" t="s">
        <v>4396</v>
      </c>
      <c r="C492" s="207" t="s">
        <v>4427</v>
      </c>
      <c r="D492" s="207">
        <v>1</v>
      </c>
      <c r="E492" s="207" t="s">
        <v>4398</v>
      </c>
      <c r="F492" s="214" t="s">
        <v>6544</v>
      </c>
      <c r="G492" s="207" t="s">
        <v>4400</v>
      </c>
      <c r="H492" s="207" t="s">
        <v>4401</v>
      </c>
      <c r="I492" s="217" t="s">
        <v>4402</v>
      </c>
      <c r="J492" s="215" t="s">
        <v>6545</v>
      </c>
      <c r="K492" s="215" t="s">
        <v>6546</v>
      </c>
      <c r="L492" s="215" t="s">
        <v>6547</v>
      </c>
      <c r="M492" s="207" t="s">
        <v>4405</v>
      </c>
      <c r="N492" s="207" t="s">
        <v>4406</v>
      </c>
      <c r="O492" s="202">
        <v>45986</v>
      </c>
      <c r="P492" s="203" t="s">
        <v>4407</v>
      </c>
      <c r="Q492" s="203">
        <v>45985</v>
      </c>
      <c r="R492" s="203">
        <v>45986</v>
      </c>
      <c r="S492" s="203">
        <v>45987</v>
      </c>
      <c r="T492" s="203">
        <v>45992</v>
      </c>
      <c r="U492" s="203" t="s">
        <v>4408</v>
      </c>
      <c r="V492" s="203" t="s">
        <v>4408</v>
      </c>
      <c r="W492" s="202">
        <v>45999</v>
      </c>
      <c r="X492" s="202">
        <v>46000</v>
      </c>
      <c r="Y492" s="202"/>
      <c r="Z492" s="207"/>
      <c r="AA492" s="215" t="s">
        <v>6545</v>
      </c>
      <c r="AB492" s="215" t="s">
        <v>6546</v>
      </c>
      <c r="AC492" s="215" t="s">
        <v>6547</v>
      </c>
      <c r="AD492" s="217" t="s">
        <v>4402</v>
      </c>
      <c r="AE492" s="207" t="s">
        <v>4405</v>
      </c>
      <c r="AF492" s="218" t="s">
        <v>4409</v>
      </c>
      <c r="AG492" s="218" t="s">
        <v>4409</v>
      </c>
      <c r="AH492" s="204" t="s">
        <v>4410</v>
      </c>
      <c r="AI492" s="214" t="s">
        <v>4411</v>
      </c>
      <c r="AJ492" s="207"/>
      <c r="AK492" s="316">
        <v>45980</v>
      </c>
      <c r="AL492" s="316">
        <v>45980</v>
      </c>
      <c r="AM492" s="316">
        <v>45980</v>
      </c>
      <c r="AN492" s="316">
        <v>45980</v>
      </c>
      <c r="AO492" s="316">
        <v>45980</v>
      </c>
      <c r="AP492" s="316">
        <v>45980</v>
      </c>
      <c r="AQ492" s="314"/>
      <c r="AR492" s="315" t="str">
        <f t="shared" si="32"/>
        <v>FINALIZADO</v>
      </c>
      <c r="AS492" s="207"/>
      <c r="AT492" s="207"/>
      <c r="AU492" s="220"/>
      <c r="AV492" s="207"/>
      <c r="AW492" s="207"/>
      <c r="AX492" s="207" t="s">
        <v>4409</v>
      </c>
      <c r="AY492" s="207" t="s">
        <v>4409</v>
      </c>
      <c r="AZ492" s="207" t="s">
        <v>4409</v>
      </c>
      <c r="BA492" s="207" t="s">
        <v>4409</v>
      </c>
      <c r="BB492" s="207"/>
      <c r="BC492" s="202"/>
      <c r="BD492" s="208"/>
      <c r="BE492" s="202"/>
      <c r="BF492" s="207"/>
      <c r="BG492" s="229"/>
      <c r="BH492" s="321" t="str">
        <f t="shared" si="33"/>
        <v/>
      </c>
      <c r="BI492" s="98" t="str">
        <f t="shared" si="34"/>
        <v>AA</v>
      </c>
      <c r="BJ492" s="98" t="str">
        <f t="shared" si="35"/>
        <v>NÃO</v>
      </c>
      <c r="BK492" s="230"/>
      <c r="BL492" s="230"/>
      <c r="BM492" s="230"/>
      <c r="BN492" s="230"/>
      <c r="BO492" s="230"/>
      <c r="BP492" s="230"/>
      <c r="BQ492" s="230"/>
      <c r="BR492" s="234"/>
    </row>
    <row r="493" spans="1:74" s="240" customFormat="1" ht="27" hidden="1" customHeight="1">
      <c r="A493" s="207">
        <v>489</v>
      </c>
      <c r="B493" s="197" t="s">
        <v>4396</v>
      </c>
      <c r="C493" s="207" t="s">
        <v>4427</v>
      </c>
      <c r="D493" s="207">
        <v>1</v>
      </c>
      <c r="E493" s="207" t="s">
        <v>4398</v>
      </c>
      <c r="F493" s="214" t="s">
        <v>6548</v>
      </c>
      <c r="G493" s="207" t="s">
        <v>4400</v>
      </c>
      <c r="H493" s="207" t="s">
        <v>4401</v>
      </c>
      <c r="I493" s="217" t="s">
        <v>4402</v>
      </c>
      <c r="J493" s="215" t="s">
        <v>6549</v>
      </c>
      <c r="K493" s="215" t="s">
        <v>6550</v>
      </c>
      <c r="L493" s="215" t="s">
        <v>6551</v>
      </c>
      <c r="M493" s="207" t="s">
        <v>4405</v>
      </c>
      <c r="N493" s="207" t="s">
        <v>4442</v>
      </c>
      <c r="O493" s="202" t="s">
        <v>4409</v>
      </c>
      <c r="P493" s="202" t="s">
        <v>4409</v>
      </c>
      <c r="Q493" s="202" t="s">
        <v>4409</v>
      </c>
      <c r="R493" s="202" t="s">
        <v>4409</v>
      </c>
      <c r="S493" s="202" t="s">
        <v>4409</v>
      </c>
      <c r="T493" s="202" t="s">
        <v>4409</v>
      </c>
      <c r="U493" s="202" t="s">
        <v>4409</v>
      </c>
      <c r="V493" s="202" t="s">
        <v>4409</v>
      </c>
      <c r="W493" s="202" t="s">
        <v>4409</v>
      </c>
      <c r="X493" s="202" t="s">
        <v>4409</v>
      </c>
      <c r="Y493" s="202"/>
      <c r="Z493" s="202"/>
      <c r="AA493" s="200" t="s">
        <v>6549</v>
      </c>
      <c r="AB493" s="200" t="s">
        <v>6550</v>
      </c>
      <c r="AC493" s="200" t="s">
        <v>6551</v>
      </c>
      <c r="AD493" s="197" t="s">
        <v>4402</v>
      </c>
      <c r="AE493" s="197" t="s">
        <v>4405</v>
      </c>
      <c r="AF493" s="243">
        <v>60697.24</v>
      </c>
      <c r="AG493" s="243">
        <v>60697.24</v>
      </c>
      <c r="AH493" s="197" t="s">
        <v>4433</v>
      </c>
      <c r="AI493" s="214" t="s">
        <v>4411</v>
      </c>
      <c r="AJ493" s="207">
        <v>150997684</v>
      </c>
      <c r="AK493" s="316">
        <v>46097</v>
      </c>
      <c r="AL493" s="316">
        <v>46097</v>
      </c>
      <c r="AM493" s="316">
        <v>46097</v>
      </c>
      <c r="AN493" s="316">
        <v>46097</v>
      </c>
      <c r="AO493" s="316">
        <v>46097</v>
      </c>
      <c r="AP493" s="316">
        <v>46097</v>
      </c>
      <c r="AQ493" s="314"/>
      <c r="AR493" s="315" t="str">
        <f t="shared" si="32"/>
        <v>FINALIZADO</v>
      </c>
      <c r="AS493" s="207" t="s">
        <v>4423</v>
      </c>
      <c r="AT493" s="207"/>
      <c r="AU493" s="220" t="s">
        <v>6552</v>
      </c>
      <c r="AV493" s="207" t="s">
        <v>4425</v>
      </c>
      <c r="AW493" s="207" t="s">
        <v>4425</v>
      </c>
      <c r="AX493" s="207" t="s">
        <v>4425</v>
      </c>
      <c r="AY493" s="207" t="s">
        <v>4425</v>
      </c>
      <c r="AZ493" s="202">
        <v>46153</v>
      </c>
      <c r="BA493" s="207" t="s">
        <v>4425</v>
      </c>
      <c r="BB493" s="207" t="s">
        <v>4425</v>
      </c>
      <c r="BC493" s="202">
        <v>46157</v>
      </c>
      <c r="BD493" s="227">
        <v>46157</v>
      </c>
      <c r="BE493" s="227" t="s">
        <v>4435</v>
      </c>
      <c r="BF493" s="228" t="s">
        <v>4436</v>
      </c>
      <c r="BG493" s="229" t="s">
        <v>4425</v>
      </c>
      <c r="BH493" s="321">
        <f t="shared" si="33"/>
        <v>60</v>
      </c>
      <c r="BI493" s="98" t="str">
        <f t="shared" si="34"/>
        <v>INDENIZAÇÃO</v>
      </c>
      <c r="BJ493" s="98" t="str">
        <f t="shared" si="35"/>
        <v>NÃO</v>
      </c>
      <c r="BK493" s="230" t="s">
        <v>4437</v>
      </c>
      <c r="BL493" s="230" t="s">
        <v>4437</v>
      </c>
      <c r="BM493" s="230" t="s">
        <v>4437</v>
      </c>
      <c r="BN493" s="265" t="s">
        <v>5732</v>
      </c>
      <c r="BO493" s="265"/>
      <c r="BP493" s="265"/>
      <c r="BQ493" s="265"/>
      <c r="BR493" s="231"/>
    </row>
    <row r="494" spans="1:74" s="240" customFormat="1" ht="27" hidden="1" customHeight="1">
      <c r="A494" s="197">
        <v>490</v>
      </c>
      <c r="B494" s="197" t="s">
        <v>4396</v>
      </c>
      <c r="C494" s="207" t="s">
        <v>4427</v>
      </c>
      <c r="D494" s="207">
        <v>1</v>
      </c>
      <c r="E494" s="207" t="s">
        <v>4398</v>
      </c>
      <c r="F494" s="214" t="s">
        <v>6553</v>
      </c>
      <c r="G494" s="207" t="s">
        <v>4400</v>
      </c>
      <c r="H494" s="207" t="s">
        <v>4401</v>
      </c>
      <c r="I494" s="217" t="s">
        <v>4402</v>
      </c>
      <c r="J494" s="215" t="s">
        <v>6554</v>
      </c>
      <c r="K494" s="215" t="s">
        <v>6555</v>
      </c>
      <c r="L494" s="215" t="s">
        <v>6556</v>
      </c>
      <c r="M494" s="207" t="s">
        <v>4405</v>
      </c>
      <c r="N494" s="207" t="s">
        <v>4406</v>
      </c>
      <c r="O494" s="202">
        <v>46106</v>
      </c>
      <c r="P494" s="202" t="s">
        <v>4407</v>
      </c>
      <c r="Q494" s="202">
        <v>46106</v>
      </c>
      <c r="R494" s="202">
        <v>46107</v>
      </c>
      <c r="S494" s="202">
        <v>46111</v>
      </c>
      <c r="T494" s="202">
        <v>46087</v>
      </c>
      <c r="U494" s="202" t="s">
        <v>4408</v>
      </c>
      <c r="V494" s="202" t="s">
        <v>4408</v>
      </c>
      <c r="W494" s="202">
        <v>46132</v>
      </c>
      <c r="X494" s="202">
        <v>46129</v>
      </c>
      <c r="Y494" s="203"/>
      <c r="Z494" s="219"/>
      <c r="AA494" s="215" t="s">
        <v>6554</v>
      </c>
      <c r="AB494" s="215" t="s">
        <v>6555</v>
      </c>
      <c r="AC494" s="215" t="s">
        <v>6556</v>
      </c>
      <c r="AD494" s="217" t="s">
        <v>4402</v>
      </c>
      <c r="AE494" s="207" t="s">
        <v>4405</v>
      </c>
      <c r="AF494" s="218" t="s">
        <v>4409</v>
      </c>
      <c r="AG494" s="218" t="s">
        <v>4409</v>
      </c>
      <c r="AH494" s="197" t="s">
        <v>4410</v>
      </c>
      <c r="AI494" s="214" t="s">
        <v>4411</v>
      </c>
      <c r="AJ494" s="207"/>
      <c r="AK494" s="316">
        <v>46001</v>
      </c>
      <c r="AL494" s="316">
        <v>46001</v>
      </c>
      <c r="AM494" s="316">
        <v>46001</v>
      </c>
      <c r="AN494" s="316">
        <v>46001</v>
      </c>
      <c r="AO494" s="316">
        <v>46001</v>
      </c>
      <c r="AP494" s="316">
        <v>46001</v>
      </c>
      <c r="AQ494" s="314"/>
      <c r="AR494" s="315" t="str">
        <f t="shared" si="32"/>
        <v>FINALIZADO</v>
      </c>
      <c r="AS494" s="207"/>
      <c r="AT494" s="219"/>
      <c r="AU494" s="220"/>
      <c r="AV494" s="219"/>
      <c r="AW494" s="219"/>
      <c r="AX494" s="219"/>
      <c r="AY494" s="219"/>
      <c r="AZ494" s="219"/>
      <c r="BA494" s="219"/>
      <c r="BB494" s="219"/>
      <c r="BC494" s="219"/>
      <c r="BD494" s="208"/>
      <c r="BE494" s="203"/>
      <c r="BF494" s="219"/>
      <c r="BG494" s="219"/>
      <c r="BH494" s="321" t="str">
        <f t="shared" si="33"/>
        <v/>
      </c>
      <c r="BI494" s="98" t="str">
        <f t="shared" si="34"/>
        <v>AA</v>
      </c>
      <c r="BJ494" s="98" t="str">
        <f t="shared" si="35"/>
        <v>NÃO</v>
      </c>
      <c r="BK494" s="219"/>
      <c r="BL494" s="221"/>
      <c r="BM494" s="221"/>
      <c r="BN494" s="219"/>
      <c r="BO494" s="219"/>
      <c r="BP494" s="219"/>
      <c r="BQ494" s="219"/>
      <c r="BR494" s="222"/>
    </row>
    <row r="495" spans="1:74" s="240" customFormat="1" ht="27" hidden="1" customHeight="1">
      <c r="A495" s="197">
        <v>491</v>
      </c>
      <c r="B495" s="197" t="s">
        <v>4396</v>
      </c>
      <c r="C495" s="207" t="s">
        <v>4427</v>
      </c>
      <c r="D495" s="207">
        <v>1</v>
      </c>
      <c r="E495" s="207" t="s">
        <v>4398</v>
      </c>
      <c r="F495" s="214" t="s">
        <v>6557</v>
      </c>
      <c r="G495" s="207" t="s">
        <v>4400</v>
      </c>
      <c r="H495" s="207" t="s">
        <v>4401</v>
      </c>
      <c r="I495" s="217" t="s">
        <v>4402</v>
      </c>
      <c r="J495" s="215" t="s">
        <v>6558</v>
      </c>
      <c r="K495" s="215"/>
      <c r="L495" s="215" t="s">
        <v>6559</v>
      </c>
      <c r="M495" s="207" t="s">
        <v>4405</v>
      </c>
      <c r="N495" s="207" t="s">
        <v>4406</v>
      </c>
      <c r="O495" s="202">
        <v>46176</v>
      </c>
      <c r="P495" s="202" t="s">
        <v>4407</v>
      </c>
      <c r="Q495" s="202">
        <v>46174</v>
      </c>
      <c r="R495" s="202">
        <v>46176</v>
      </c>
      <c r="S495" s="202">
        <v>46202</v>
      </c>
      <c r="T495" s="202">
        <v>46204</v>
      </c>
      <c r="U495" s="202" t="s">
        <v>4408</v>
      </c>
      <c r="V495" s="202" t="s">
        <v>4408</v>
      </c>
      <c r="W495" s="202">
        <v>46223</v>
      </c>
      <c r="X495" s="202"/>
      <c r="Y495" s="203"/>
      <c r="Z495" s="219"/>
      <c r="AA495" s="215"/>
      <c r="AB495" s="215"/>
      <c r="AC495" s="215"/>
      <c r="AD495" s="217"/>
      <c r="AE495" s="207"/>
      <c r="AF495" s="218"/>
      <c r="AG495" s="218"/>
      <c r="AH495" s="197"/>
      <c r="AI495" s="214" t="s">
        <v>4411</v>
      </c>
      <c r="AJ495" s="207"/>
      <c r="AK495" s="316"/>
      <c r="AL495" s="316"/>
      <c r="AM495" s="316"/>
      <c r="AN495" s="316"/>
      <c r="AO495" s="316"/>
      <c r="AP495" s="316"/>
      <c r="AQ495" s="314"/>
      <c r="AR495" s="315" t="str">
        <f t="shared" si="32"/>
        <v/>
      </c>
      <c r="AS495" s="207"/>
      <c r="AT495" s="219"/>
      <c r="AU495" s="220"/>
      <c r="AV495" s="219"/>
      <c r="AW495" s="219"/>
      <c r="AX495" s="219"/>
      <c r="AY495" s="254"/>
      <c r="AZ495" s="219"/>
      <c r="BA495" s="219"/>
      <c r="BB495" s="161"/>
      <c r="BC495" s="161"/>
      <c r="BD495" s="208"/>
      <c r="BE495" s="203"/>
      <c r="BF495" s="219"/>
      <c r="BG495" s="219"/>
      <c r="BH495" s="321" t="str">
        <f t="shared" si="33"/>
        <v/>
      </c>
      <c r="BI495" s="98" t="str">
        <f t="shared" si="34"/>
        <v>INDENIZAÇÃO</v>
      </c>
      <c r="BJ495" s="98" t="str">
        <f t="shared" si="35"/>
        <v>NÃO</v>
      </c>
      <c r="BK495" s="219"/>
      <c r="BL495" s="221"/>
      <c r="BM495" s="221"/>
      <c r="BN495" s="219"/>
      <c r="BO495" s="219"/>
      <c r="BP495" s="219"/>
      <c r="BQ495" s="219"/>
      <c r="BR495" s="222"/>
    </row>
    <row r="496" spans="1:74" s="240" customFormat="1" ht="27" hidden="1" customHeight="1">
      <c r="A496" s="207">
        <v>492</v>
      </c>
      <c r="B496" s="197" t="s">
        <v>4396</v>
      </c>
      <c r="C496" s="207" t="s">
        <v>4427</v>
      </c>
      <c r="D496" s="207">
        <v>1</v>
      </c>
      <c r="E496" s="207" t="s">
        <v>4398</v>
      </c>
      <c r="F496" s="214" t="s">
        <v>6560</v>
      </c>
      <c r="G496" s="207" t="s">
        <v>4400</v>
      </c>
      <c r="H496" s="207" t="s">
        <v>4401</v>
      </c>
      <c r="I496" s="217" t="s">
        <v>4402</v>
      </c>
      <c r="J496" s="215" t="s">
        <v>6561</v>
      </c>
      <c r="K496" s="215" t="s">
        <v>6562</v>
      </c>
      <c r="L496" s="215" t="s">
        <v>6563</v>
      </c>
      <c r="M496" s="207" t="s">
        <v>4405</v>
      </c>
      <c r="N496" s="207" t="s">
        <v>4442</v>
      </c>
      <c r="O496" s="202" t="s">
        <v>4409</v>
      </c>
      <c r="P496" s="202" t="s">
        <v>4409</v>
      </c>
      <c r="Q496" s="202" t="s">
        <v>4409</v>
      </c>
      <c r="R496" s="202" t="s">
        <v>4409</v>
      </c>
      <c r="S496" s="202" t="s">
        <v>4409</v>
      </c>
      <c r="T496" s="202" t="s">
        <v>4409</v>
      </c>
      <c r="U496" s="202" t="s">
        <v>4409</v>
      </c>
      <c r="V496" s="202" t="s">
        <v>4409</v>
      </c>
      <c r="W496" s="202" t="s">
        <v>4409</v>
      </c>
      <c r="X496" s="202" t="s">
        <v>4409</v>
      </c>
      <c r="Y496" s="202"/>
      <c r="Z496" s="202"/>
      <c r="AA496" s="215" t="s">
        <v>6561</v>
      </c>
      <c r="AB496" s="215" t="s">
        <v>6562</v>
      </c>
      <c r="AC496" s="215" t="s">
        <v>6563</v>
      </c>
      <c r="AD496" s="207" t="s">
        <v>6117</v>
      </c>
      <c r="AE496" s="207" t="s">
        <v>5045</v>
      </c>
      <c r="AF496" s="218">
        <v>73073.350000000006</v>
      </c>
      <c r="AG496" s="218">
        <v>73073.350000000006</v>
      </c>
      <c r="AH496" s="207" t="s">
        <v>4433</v>
      </c>
      <c r="AI496" s="214" t="s">
        <v>4411</v>
      </c>
      <c r="AJ496" s="207">
        <v>161832348</v>
      </c>
      <c r="AK496" s="316">
        <v>46234</v>
      </c>
      <c r="AL496" s="316">
        <v>46267</v>
      </c>
      <c r="AM496" s="316">
        <v>46268</v>
      </c>
      <c r="AN496" s="316"/>
      <c r="AO496" s="316"/>
      <c r="AP496" s="316"/>
      <c r="AQ496" s="314" t="s">
        <v>14</v>
      </c>
      <c r="AR496" s="315" t="str">
        <f t="shared" si="32"/>
        <v>AGUARDANDO ASSINATURA CTS</v>
      </c>
      <c r="AS496" s="207"/>
      <c r="AT496" s="207" t="s">
        <v>6112</v>
      </c>
      <c r="AU496" s="220"/>
      <c r="AV496" s="228"/>
      <c r="AW496" s="228"/>
      <c r="AX496" s="228"/>
      <c r="AY496" s="245"/>
      <c r="AZ496" s="227"/>
      <c r="BA496" s="257"/>
      <c r="BB496" s="268"/>
      <c r="BC496" s="293"/>
      <c r="BD496" s="208"/>
      <c r="BE496" s="227"/>
      <c r="BF496" s="228"/>
      <c r="BG496" s="229"/>
      <c r="BH496" s="321" t="str">
        <f t="shared" si="33"/>
        <v/>
      </c>
      <c r="BI496" s="98" t="str">
        <f t="shared" si="34"/>
        <v>INDENIZAÇÃO</v>
      </c>
      <c r="BJ496" s="98" t="str">
        <f t="shared" si="35"/>
        <v>NÃO</v>
      </c>
      <c r="BK496" s="230"/>
      <c r="BL496" s="230"/>
      <c r="BM496" s="230"/>
      <c r="BN496" s="230"/>
      <c r="BO496" s="230"/>
      <c r="BP496" s="230"/>
      <c r="BQ496" s="230"/>
      <c r="BR496" s="234"/>
    </row>
    <row r="497" spans="1:112" s="240" customFormat="1" ht="27" hidden="1" customHeight="1">
      <c r="A497" s="207">
        <v>493</v>
      </c>
      <c r="B497" s="197" t="s">
        <v>4396</v>
      </c>
      <c r="C497" s="207" t="s">
        <v>4427</v>
      </c>
      <c r="D497" s="207">
        <v>1</v>
      </c>
      <c r="E497" s="207" t="s">
        <v>4398</v>
      </c>
      <c r="F497" s="214" t="s">
        <v>6564</v>
      </c>
      <c r="G497" s="207" t="s">
        <v>4400</v>
      </c>
      <c r="H497" s="207" t="s">
        <v>4401</v>
      </c>
      <c r="I497" s="217" t="s">
        <v>4402</v>
      </c>
      <c r="J497" s="215" t="s">
        <v>6565</v>
      </c>
      <c r="K497" s="215" t="s">
        <v>6566</v>
      </c>
      <c r="L497" s="215" t="s">
        <v>6567</v>
      </c>
      <c r="M497" s="207" t="s">
        <v>4405</v>
      </c>
      <c r="N497" s="207" t="s">
        <v>4406</v>
      </c>
      <c r="O497" s="202">
        <v>45986</v>
      </c>
      <c r="P497" s="203" t="s">
        <v>4407</v>
      </c>
      <c r="Q497" s="203">
        <v>45985</v>
      </c>
      <c r="R497" s="203">
        <v>45986</v>
      </c>
      <c r="S497" s="203">
        <v>45987</v>
      </c>
      <c r="T497" s="203">
        <v>45992</v>
      </c>
      <c r="U497" s="202" t="s">
        <v>4408</v>
      </c>
      <c r="V497" s="202" t="s">
        <v>4408</v>
      </c>
      <c r="W497" s="202">
        <v>45999</v>
      </c>
      <c r="X497" s="202">
        <v>46000</v>
      </c>
      <c r="Y497" s="202"/>
      <c r="Z497" s="207"/>
      <c r="AA497" s="215" t="s">
        <v>6565</v>
      </c>
      <c r="AB497" s="215" t="s">
        <v>6566</v>
      </c>
      <c r="AC497" s="215" t="s">
        <v>6567</v>
      </c>
      <c r="AD497" s="217" t="s">
        <v>4402</v>
      </c>
      <c r="AE497" s="207" t="s">
        <v>4405</v>
      </c>
      <c r="AF497" s="218" t="s">
        <v>4409</v>
      </c>
      <c r="AG497" s="218" t="s">
        <v>4409</v>
      </c>
      <c r="AH497" s="241" t="s">
        <v>4410</v>
      </c>
      <c r="AI497" s="214" t="s">
        <v>4411</v>
      </c>
      <c r="AJ497" s="207"/>
      <c r="AK497" s="316">
        <v>45980</v>
      </c>
      <c r="AL497" s="316">
        <v>45980</v>
      </c>
      <c r="AM497" s="316">
        <v>45980</v>
      </c>
      <c r="AN497" s="316">
        <v>45980</v>
      </c>
      <c r="AO497" s="316">
        <v>45980</v>
      </c>
      <c r="AP497" s="316">
        <v>45980</v>
      </c>
      <c r="AQ497" s="314"/>
      <c r="AR497" s="315" t="str">
        <f t="shared" si="32"/>
        <v>FINALIZADO</v>
      </c>
      <c r="AS497" s="207"/>
      <c r="AT497" s="207"/>
      <c r="AU497" s="220"/>
      <c r="AV497" s="207"/>
      <c r="AW497" s="207"/>
      <c r="AX497" s="207" t="s">
        <v>4409</v>
      </c>
      <c r="AY497" s="207" t="s">
        <v>4409</v>
      </c>
      <c r="AZ497" s="207" t="s">
        <v>4409</v>
      </c>
      <c r="BA497" s="207" t="s">
        <v>4409</v>
      </c>
      <c r="BB497" s="207"/>
      <c r="BC497" s="202"/>
      <c r="BD497" s="208"/>
      <c r="BE497" s="202"/>
      <c r="BF497" s="207"/>
      <c r="BG497" s="229"/>
      <c r="BH497" s="321" t="str">
        <f t="shared" si="33"/>
        <v/>
      </c>
      <c r="BI497" s="98" t="str">
        <f t="shared" si="34"/>
        <v>AA</v>
      </c>
      <c r="BJ497" s="98" t="str">
        <f t="shared" si="35"/>
        <v>NÃO</v>
      </c>
      <c r="BK497" s="230"/>
      <c r="BL497" s="230"/>
      <c r="BM497" s="230"/>
      <c r="BN497" s="230"/>
      <c r="BO497" s="230"/>
      <c r="BP497" s="230"/>
      <c r="BQ497" s="230"/>
      <c r="BR497" s="234"/>
    </row>
    <row r="498" spans="1:112" s="240" customFormat="1" ht="27" hidden="1" customHeight="1">
      <c r="A498" s="207">
        <v>494</v>
      </c>
      <c r="B498" s="197" t="s">
        <v>4396</v>
      </c>
      <c r="C498" s="207" t="s">
        <v>4427</v>
      </c>
      <c r="D498" s="207">
        <v>1</v>
      </c>
      <c r="E498" s="207" t="s">
        <v>4398</v>
      </c>
      <c r="F498" s="214" t="s">
        <v>6568</v>
      </c>
      <c r="G498" s="207" t="s">
        <v>4400</v>
      </c>
      <c r="H498" s="207" t="s">
        <v>4401</v>
      </c>
      <c r="I498" s="217" t="s">
        <v>4402</v>
      </c>
      <c r="J498" s="215" t="s">
        <v>6569</v>
      </c>
      <c r="K498" s="215" t="s">
        <v>6570</v>
      </c>
      <c r="L498" s="215" t="s">
        <v>6571</v>
      </c>
      <c r="M498" s="207" t="s">
        <v>4405</v>
      </c>
      <c r="N498" s="207" t="s">
        <v>4406</v>
      </c>
      <c r="O498" s="202">
        <v>45986</v>
      </c>
      <c r="P498" s="203" t="s">
        <v>4407</v>
      </c>
      <c r="Q498" s="203">
        <v>45985</v>
      </c>
      <c r="R498" s="203">
        <v>45986</v>
      </c>
      <c r="S498" s="203">
        <v>45987</v>
      </c>
      <c r="T498" s="203">
        <v>45992</v>
      </c>
      <c r="U498" s="202" t="s">
        <v>4408</v>
      </c>
      <c r="V498" s="202" t="s">
        <v>4408</v>
      </c>
      <c r="W498" s="202">
        <v>45999</v>
      </c>
      <c r="X498" s="202">
        <v>46000</v>
      </c>
      <c r="Y498" s="202"/>
      <c r="Z498" s="207"/>
      <c r="AA498" s="215" t="s">
        <v>6569</v>
      </c>
      <c r="AB498" s="215" t="s">
        <v>6570</v>
      </c>
      <c r="AC498" s="215" t="s">
        <v>6571</v>
      </c>
      <c r="AD498" s="217" t="s">
        <v>4402</v>
      </c>
      <c r="AE498" s="207" t="s">
        <v>4405</v>
      </c>
      <c r="AF498" s="218" t="s">
        <v>4409</v>
      </c>
      <c r="AG498" s="218" t="s">
        <v>4409</v>
      </c>
      <c r="AH498" s="204" t="s">
        <v>4410</v>
      </c>
      <c r="AI498" s="214" t="s">
        <v>4411</v>
      </c>
      <c r="AJ498" s="207"/>
      <c r="AK498" s="316">
        <v>45980</v>
      </c>
      <c r="AL498" s="316">
        <v>45980</v>
      </c>
      <c r="AM498" s="316">
        <v>45980</v>
      </c>
      <c r="AN498" s="316">
        <v>45980</v>
      </c>
      <c r="AO498" s="316">
        <v>45980</v>
      </c>
      <c r="AP498" s="316">
        <v>45980</v>
      </c>
      <c r="AQ498" s="314"/>
      <c r="AR498" s="315" t="str">
        <f t="shared" si="32"/>
        <v>FINALIZADO</v>
      </c>
      <c r="AS498" s="207"/>
      <c r="AT498" s="207"/>
      <c r="AU498" s="220"/>
      <c r="AV498" s="207"/>
      <c r="AW498" s="207"/>
      <c r="AX498" s="207" t="s">
        <v>4409</v>
      </c>
      <c r="AY498" s="207" t="s">
        <v>4409</v>
      </c>
      <c r="AZ498" s="207" t="s">
        <v>4409</v>
      </c>
      <c r="BA498" s="207" t="s">
        <v>4409</v>
      </c>
      <c r="BB498" s="207"/>
      <c r="BC498" s="202"/>
      <c r="BD498" s="208"/>
      <c r="BE498" s="202"/>
      <c r="BF498" s="207"/>
      <c r="BG498" s="229"/>
      <c r="BH498" s="321" t="str">
        <f t="shared" si="33"/>
        <v/>
      </c>
      <c r="BI498" s="98" t="str">
        <f t="shared" si="34"/>
        <v>AA</v>
      </c>
      <c r="BJ498" s="98" t="str">
        <f t="shared" si="35"/>
        <v>NÃO</v>
      </c>
      <c r="BK498" s="230"/>
      <c r="BL498" s="230"/>
      <c r="BM498" s="230"/>
      <c r="BN498" s="230"/>
      <c r="BO498" s="230"/>
      <c r="BP498" s="230"/>
      <c r="BQ498" s="230"/>
      <c r="BR498" s="234"/>
    </row>
    <row r="499" spans="1:112" s="240" customFormat="1" ht="27" hidden="1" customHeight="1">
      <c r="A499" s="197">
        <v>495</v>
      </c>
      <c r="B499" s="197" t="s">
        <v>4396</v>
      </c>
      <c r="C499" s="207" t="s">
        <v>4427</v>
      </c>
      <c r="D499" s="207">
        <v>1</v>
      </c>
      <c r="E499" s="207" t="s">
        <v>4398</v>
      </c>
      <c r="F499" s="214" t="s">
        <v>6572</v>
      </c>
      <c r="G499" s="207" t="s">
        <v>4400</v>
      </c>
      <c r="H499" s="207" t="s">
        <v>4401</v>
      </c>
      <c r="I499" s="217" t="s">
        <v>4402</v>
      </c>
      <c r="J499" s="215" t="s">
        <v>6573</v>
      </c>
      <c r="K499" s="215" t="s">
        <v>6574</v>
      </c>
      <c r="L499" s="215" t="s">
        <v>6575</v>
      </c>
      <c r="M499" s="207" t="s">
        <v>4405</v>
      </c>
      <c r="N499" s="207" t="s">
        <v>4406</v>
      </c>
      <c r="O499" s="202">
        <v>46002</v>
      </c>
      <c r="P499" s="202" t="s">
        <v>4407</v>
      </c>
      <c r="Q499" s="202">
        <v>45999</v>
      </c>
      <c r="R499" s="202">
        <v>46006</v>
      </c>
      <c r="S499" s="202">
        <v>46006</v>
      </c>
      <c r="T499" s="202">
        <v>46009</v>
      </c>
      <c r="U499" s="202" t="s">
        <v>4408</v>
      </c>
      <c r="V499" s="202" t="s">
        <v>4408</v>
      </c>
      <c r="W499" s="202">
        <v>46014</v>
      </c>
      <c r="X499" s="202">
        <v>46017</v>
      </c>
      <c r="Y499" s="202"/>
      <c r="Z499" s="207"/>
      <c r="AA499" s="215" t="s">
        <v>6573</v>
      </c>
      <c r="AB499" s="215" t="s">
        <v>6574</v>
      </c>
      <c r="AC499" s="215" t="s">
        <v>6575</v>
      </c>
      <c r="AD499" s="217" t="s">
        <v>4402</v>
      </c>
      <c r="AE499" s="207" t="s">
        <v>4405</v>
      </c>
      <c r="AF499" s="218" t="s">
        <v>4409</v>
      </c>
      <c r="AG499" s="218" t="s">
        <v>4409</v>
      </c>
      <c r="AH499" s="197" t="s">
        <v>4410</v>
      </c>
      <c r="AI499" s="214" t="s">
        <v>4411</v>
      </c>
      <c r="AJ499" s="207"/>
      <c r="AK499" s="316">
        <v>45996</v>
      </c>
      <c r="AL499" s="316">
        <v>45996</v>
      </c>
      <c r="AM499" s="316">
        <v>45996</v>
      </c>
      <c r="AN499" s="316">
        <v>45996</v>
      </c>
      <c r="AO499" s="316">
        <v>45996</v>
      </c>
      <c r="AP499" s="316">
        <v>45996</v>
      </c>
      <c r="AQ499" s="314"/>
      <c r="AR499" s="315" t="str">
        <f t="shared" si="32"/>
        <v>FINALIZADO</v>
      </c>
      <c r="AS499" s="207"/>
      <c r="AT499" s="207"/>
      <c r="AU499" s="220"/>
      <c r="AV499" s="207"/>
      <c r="AW499" s="207"/>
      <c r="AX499" s="207"/>
      <c r="AY499" s="207"/>
      <c r="AZ499" s="202"/>
      <c r="BA499" s="219"/>
      <c r="BB499" s="207"/>
      <c r="BC499" s="202"/>
      <c r="BD499" s="208"/>
      <c r="BE499" s="202"/>
      <c r="BF499" s="207"/>
      <c r="BG499" s="229"/>
      <c r="BH499" s="321" t="str">
        <f t="shared" si="33"/>
        <v/>
      </c>
      <c r="BI499" s="98" t="str">
        <f t="shared" si="34"/>
        <v>AA</v>
      </c>
      <c r="BJ499" s="98" t="str">
        <f t="shared" si="35"/>
        <v>NÃO</v>
      </c>
      <c r="BK499" s="230"/>
      <c r="BL499" s="230"/>
      <c r="BM499" s="230"/>
      <c r="BN499" s="230"/>
      <c r="BO499" s="230"/>
      <c r="BP499" s="230"/>
      <c r="BQ499" s="230"/>
      <c r="BR499" s="234"/>
    </row>
    <row r="500" spans="1:112" s="240" customFormat="1" ht="27" hidden="1" customHeight="1">
      <c r="A500" s="197">
        <v>496</v>
      </c>
      <c r="B500" s="197" t="s">
        <v>4396</v>
      </c>
      <c r="C500" s="207" t="s">
        <v>4427</v>
      </c>
      <c r="D500" s="207">
        <v>1</v>
      </c>
      <c r="E500" s="207" t="s">
        <v>4398</v>
      </c>
      <c r="F500" s="214" t="s">
        <v>6576</v>
      </c>
      <c r="G500" s="207" t="s">
        <v>4400</v>
      </c>
      <c r="H500" s="207" t="s">
        <v>4401</v>
      </c>
      <c r="I500" s="217" t="s">
        <v>4402</v>
      </c>
      <c r="J500" s="215" t="s">
        <v>6577</v>
      </c>
      <c r="K500" s="215" t="s">
        <v>6578</v>
      </c>
      <c r="L500" s="215" t="s">
        <v>6579</v>
      </c>
      <c r="M500" s="207" t="s">
        <v>4405</v>
      </c>
      <c r="N500" s="207" t="s">
        <v>4442</v>
      </c>
      <c r="O500" s="202" t="s">
        <v>4409</v>
      </c>
      <c r="P500" s="202" t="s">
        <v>4409</v>
      </c>
      <c r="Q500" s="202" t="s">
        <v>4409</v>
      </c>
      <c r="R500" s="202" t="s">
        <v>4409</v>
      </c>
      <c r="S500" s="202" t="s">
        <v>4409</v>
      </c>
      <c r="T500" s="202" t="s">
        <v>4409</v>
      </c>
      <c r="U500" s="202" t="s">
        <v>4409</v>
      </c>
      <c r="V500" s="202" t="s">
        <v>4409</v>
      </c>
      <c r="W500" s="202" t="s">
        <v>4409</v>
      </c>
      <c r="X500" s="202" t="s">
        <v>4409</v>
      </c>
      <c r="Y500" s="202"/>
      <c r="Z500" s="202"/>
      <c r="AA500" s="215" t="s">
        <v>6577</v>
      </c>
      <c r="AB500" s="215" t="s">
        <v>6578</v>
      </c>
      <c r="AC500" s="215" t="s">
        <v>6579</v>
      </c>
      <c r="AD500" s="207" t="s">
        <v>4402</v>
      </c>
      <c r="AE500" s="207" t="s">
        <v>4405</v>
      </c>
      <c r="AF500" s="218">
        <v>40843.19</v>
      </c>
      <c r="AG500" s="218">
        <v>60000</v>
      </c>
      <c r="AH500" s="207" t="s">
        <v>4433</v>
      </c>
      <c r="AI500" s="214" t="s">
        <v>4411</v>
      </c>
      <c r="AJ500" s="207">
        <v>147059440</v>
      </c>
      <c r="AK500" s="316">
        <v>46059</v>
      </c>
      <c r="AL500" s="316">
        <v>46059</v>
      </c>
      <c r="AM500" s="316">
        <v>46059</v>
      </c>
      <c r="AN500" s="316">
        <v>46059</v>
      </c>
      <c r="AO500" s="316">
        <v>46059</v>
      </c>
      <c r="AP500" s="316">
        <v>46059</v>
      </c>
      <c r="AQ500" s="314"/>
      <c r="AR500" s="315" t="str">
        <f t="shared" si="32"/>
        <v>FINALIZADO</v>
      </c>
      <c r="AS500" s="207" t="s">
        <v>4423</v>
      </c>
      <c r="AT500" s="207"/>
      <c r="AU500" s="220" t="s">
        <v>6580</v>
      </c>
      <c r="AV500" s="207" t="s">
        <v>4425</v>
      </c>
      <c r="AW500" s="207" t="s">
        <v>4425</v>
      </c>
      <c r="AX500" s="207" t="s">
        <v>4425</v>
      </c>
      <c r="AY500" s="207" t="s">
        <v>4425</v>
      </c>
      <c r="AZ500" s="202">
        <v>46128</v>
      </c>
      <c r="BA500" s="207" t="s">
        <v>4425</v>
      </c>
      <c r="BB500" s="207" t="s">
        <v>4425</v>
      </c>
      <c r="BC500" s="202">
        <v>46139</v>
      </c>
      <c r="BD500" s="227">
        <v>46139</v>
      </c>
      <c r="BE500" s="227" t="s">
        <v>4435</v>
      </c>
      <c r="BF500" s="228" t="s">
        <v>4436</v>
      </c>
      <c r="BG500" s="229" t="s">
        <v>4425</v>
      </c>
      <c r="BH500" s="321">
        <f t="shared" si="33"/>
        <v>80</v>
      </c>
      <c r="BI500" s="98" t="str">
        <f t="shared" si="34"/>
        <v>INDENIZAÇÃO</v>
      </c>
      <c r="BJ500" s="98" t="str">
        <f t="shared" si="35"/>
        <v>NÃO</v>
      </c>
      <c r="BK500" s="219" t="s">
        <v>4437</v>
      </c>
      <c r="BL500" s="219" t="s">
        <v>4437</v>
      </c>
      <c r="BM500" s="219" t="s">
        <v>4437</v>
      </c>
      <c r="BN500" s="257" t="s">
        <v>5732</v>
      </c>
      <c r="BO500" s="257"/>
      <c r="BP500" s="257"/>
      <c r="BQ500" s="257"/>
      <c r="BR500" s="258"/>
    </row>
    <row r="501" spans="1:112" s="240" customFormat="1" ht="27" hidden="1" customHeight="1">
      <c r="A501" s="207">
        <v>497</v>
      </c>
      <c r="B501" s="197" t="s">
        <v>4396</v>
      </c>
      <c r="C501" s="207" t="s">
        <v>4427</v>
      </c>
      <c r="D501" s="207">
        <v>1</v>
      </c>
      <c r="E501" s="207" t="s">
        <v>4398</v>
      </c>
      <c r="F501" s="214" t="s">
        <v>6581</v>
      </c>
      <c r="G501" s="207" t="s">
        <v>4400</v>
      </c>
      <c r="H501" s="207" t="s">
        <v>4401</v>
      </c>
      <c r="I501" s="217" t="s">
        <v>4402</v>
      </c>
      <c r="J501" s="215" t="s">
        <v>6582</v>
      </c>
      <c r="K501" s="215" t="s">
        <v>6583</v>
      </c>
      <c r="L501" s="215" t="s">
        <v>6584</v>
      </c>
      <c r="M501" s="207" t="s">
        <v>4405</v>
      </c>
      <c r="N501" s="207" t="s">
        <v>4406</v>
      </c>
      <c r="O501" s="202">
        <v>45986</v>
      </c>
      <c r="P501" s="203" t="s">
        <v>4407</v>
      </c>
      <c r="Q501" s="203">
        <v>45985</v>
      </c>
      <c r="R501" s="203">
        <v>45986</v>
      </c>
      <c r="S501" s="203">
        <v>45987</v>
      </c>
      <c r="T501" s="203">
        <v>45992</v>
      </c>
      <c r="U501" s="202" t="s">
        <v>4408</v>
      </c>
      <c r="V501" s="202" t="s">
        <v>4408</v>
      </c>
      <c r="W501" s="202">
        <v>45999</v>
      </c>
      <c r="X501" s="202">
        <v>46000</v>
      </c>
      <c r="Y501" s="202"/>
      <c r="Z501" s="207"/>
      <c r="AA501" s="215" t="s">
        <v>6582</v>
      </c>
      <c r="AB501" s="215" t="s">
        <v>6583</v>
      </c>
      <c r="AC501" s="215" t="s">
        <v>6584</v>
      </c>
      <c r="AD501" s="217" t="s">
        <v>4402</v>
      </c>
      <c r="AE501" s="207" t="s">
        <v>4405</v>
      </c>
      <c r="AF501" s="218" t="s">
        <v>4409</v>
      </c>
      <c r="AG501" s="218" t="s">
        <v>4409</v>
      </c>
      <c r="AH501" s="241" t="s">
        <v>4410</v>
      </c>
      <c r="AI501" s="214" t="s">
        <v>4411</v>
      </c>
      <c r="AJ501" s="207"/>
      <c r="AK501" s="316">
        <v>45980</v>
      </c>
      <c r="AL501" s="316">
        <v>45980</v>
      </c>
      <c r="AM501" s="316">
        <v>45980</v>
      </c>
      <c r="AN501" s="316">
        <v>45980</v>
      </c>
      <c r="AO501" s="316">
        <v>45980</v>
      </c>
      <c r="AP501" s="316">
        <v>45980</v>
      </c>
      <c r="AQ501" s="314"/>
      <c r="AR501" s="315" t="str">
        <f t="shared" si="32"/>
        <v>FINALIZADO</v>
      </c>
      <c r="AS501" s="207"/>
      <c r="AT501" s="207"/>
      <c r="AU501" s="220"/>
      <c r="AV501" s="207"/>
      <c r="AW501" s="207"/>
      <c r="AX501" s="207" t="s">
        <v>4409</v>
      </c>
      <c r="AY501" s="207" t="s">
        <v>4409</v>
      </c>
      <c r="AZ501" s="207" t="s">
        <v>4409</v>
      </c>
      <c r="BA501" s="207" t="s">
        <v>4409</v>
      </c>
      <c r="BB501" s="207"/>
      <c r="BC501" s="202"/>
      <c r="BD501" s="208"/>
      <c r="BE501" s="202"/>
      <c r="BF501" s="207"/>
      <c r="BG501" s="229"/>
      <c r="BH501" s="321" t="str">
        <f t="shared" si="33"/>
        <v/>
      </c>
      <c r="BI501" s="98" t="str">
        <f t="shared" si="34"/>
        <v>AA</v>
      </c>
      <c r="BJ501" s="98" t="str">
        <f t="shared" si="35"/>
        <v>NÃO</v>
      </c>
      <c r="BK501" s="230"/>
      <c r="BL501" s="230"/>
      <c r="BM501" s="230"/>
      <c r="BN501" s="230"/>
      <c r="BO501" s="230"/>
      <c r="BP501" s="230"/>
      <c r="BQ501" s="230"/>
      <c r="BR501" s="234"/>
    </row>
    <row r="502" spans="1:112" s="240" customFormat="1" ht="27" hidden="1" customHeight="1">
      <c r="A502" s="207">
        <v>498</v>
      </c>
      <c r="B502" s="197" t="s">
        <v>4396</v>
      </c>
      <c r="C502" s="207" t="s">
        <v>4427</v>
      </c>
      <c r="D502" s="207">
        <v>1</v>
      </c>
      <c r="E502" s="207" t="s">
        <v>4398</v>
      </c>
      <c r="F502" s="214" t="s">
        <v>6585</v>
      </c>
      <c r="G502" s="207" t="s">
        <v>4400</v>
      </c>
      <c r="H502" s="207" t="s">
        <v>4401</v>
      </c>
      <c r="I502" s="217" t="s">
        <v>4402</v>
      </c>
      <c r="J502" s="215" t="s">
        <v>6586</v>
      </c>
      <c r="K502" s="215" t="s">
        <v>6587</v>
      </c>
      <c r="L502" s="215" t="s">
        <v>6588</v>
      </c>
      <c r="M502" s="207" t="s">
        <v>4405</v>
      </c>
      <c r="N502" s="207" t="s">
        <v>4406</v>
      </c>
      <c r="O502" s="202">
        <v>45986</v>
      </c>
      <c r="P502" s="203" t="s">
        <v>4407</v>
      </c>
      <c r="Q502" s="203">
        <v>45985</v>
      </c>
      <c r="R502" s="203">
        <v>45986</v>
      </c>
      <c r="S502" s="203">
        <v>45987</v>
      </c>
      <c r="T502" s="203">
        <v>45992</v>
      </c>
      <c r="U502" s="202" t="s">
        <v>4408</v>
      </c>
      <c r="V502" s="202" t="s">
        <v>4408</v>
      </c>
      <c r="W502" s="202">
        <v>45999</v>
      </c>
      <c r="X502" s="202">
        <v>46000</v>
      </c>
      <c r="Y502" s="202"/>
      <c r="Z502" s="207"/>
      <c r="AA502" s="215" t="s">
        <v>6586</v>
      </c>
      <c r="AB502" s="215" t="s">
        <v>6587</v>
      </c>
      <c r="AC502" s="215" t="s">
        <v>6588</v>
      </c>
      <c r="AD502" s="217" t="s">
        <v>4402</v>
      </c>
      <c r="AE502" s="207" t="s">
        <v>4405</v>
      </c>
      <c r="AF502" s="218" t="s">
        <v>4409</v>
      </c>
      <c r="AG502" s="218" t="s">
        <v>4409</v>
      </c>
      <c r="AH502" s="204" t="s">
        <v>4410</v>
      </c>
      <c r="AI502" s="214" t="s">
        <v>4411</v>
      </c>
      <c r="AJ502" s="207"/>
      <c r="AK502" s="316">
        <v>45980</v>
      </c>
      <c r="AL502" s="316">
        <v>45980</v>
      </c>
      <c r="AM502" s="316">
        <v>45980</v>
      </c>
      <c r="AN502" s="316">
        <v>45980</v>
      </c>
      <c r="AO502" s="316">
        <v>45980</v>
      </c>
      <c r="AP502" s="316">
        <v>45980</v>
      </c>
      <c r="AQ502" s="314"/>
      <c r="AR502" s="315" t="str">
        <f t="shared" si="32"/>
        <v>FINALIZADO</v>
      </c>
      <c r="AS502" s="207"/>
      <c r="AT502" s="207"/>
      <c r="AU502" s="220"/>
      <c r="AV502" s="207"/>
      <c r="AW502" s="207"/>
      <c r="AX502" s="207" t="s">
        <v>4409</v>
      </c>
      <c r="AY502" s="207" t="s">
        <v>4409</v>
      </c>
      <c r="AZ502" s="207" t="s">
        <v>4409</v>
      </c>
      <c r="BA502" s="207" t="s">
        <v>4409</v>
      </c>
      <c r="BB502" s="207"/>
      <c r="BC502" s="202"/>
      <c r="BD502" s="208"/>
      <c r="BE502" s="202"/>
      <c r="BF502" s="207"/>
      <c r="BG502" s="229"/>
      <c r="BH502" s="321" t="str">
        <f t="shared" si="33"/>
        <v/>
      </c>
      <c r="BI502" s="98" t="str">
        <f t="shared" si="34"/>
        <v>AA</v>
      </c>
      <c r="BJ502" s="98" t="str">
        <f t="shared" si="35"/>
        <v>NÃO</v>
      </c>
      <c r="BK502" s="230"/>
      <c r="BL502" s="230"/>
      <c r="BM502" s="230"/>
      <c r="BN502" s="230"/>
      <c r="BO502" s="230"/>
      <c r="BP502" s="230"/>
      <c r="BQ502" s="230"/>
      <c r="BR502" s="234"/>
    </row>
    <row r="503" spans="1:112" s="240" customFormat="1" ht="27" hidden="1" customHeight="1">
      <c r="A503" s="207">
        <v>499</v>
      </c>
      <c r="B503" s="197" t="s">
        <v>4396</v>
      </c>
      <c r="C503" s="207" t="s">
        <v>4427</v>
      </c>
      <c r="D503" s="207">
        <v>1</v>
      </c>
      <c r="E503" s="207" t="s">
        <v>4398</v>
      </c>
      <c r="F503" s="214" t="s">
        <v>6589</v>
      </c>
      <c r="G503" s="207" t="s">
        <v>4400</v>
      </c>
      <c r="H503" s="207" t="s">
        <v>4401</v>
      </c>
      <c r="I503" s="217" t="s">
        <v>4402</v>
      </c>
      <c r="J503" s="215" t="s">
        <v>6590</v>
      </c>
      <c r="K503" s="215" t="s">
        <v>6591</v>
      </c>
      <c r="L503" s="215" t="s">
        <v>6592</v>
      </c>
      <c r="M503" s="207" t="s">
        <v>4405</v>
      </c>
      <c r="N503" s="207" t="s">
        <v>4406</v>
      </c>
      <c r="O503" s="202">
        <v>46176</v>
      </c>
      <c r="P503" s="202" t="s">
        <v>4407</v>
      </c>
      <c r="Q503" s="202">
        <v>46174</v>
      </c>
      <c r="R503" s="202">
        <v>46176</v>
      </c>
      <c r="S503" s="202">
        <v>46202</v>
      </c>
      <c r="T503" s="202">
        <v>46204</v>
      </c>
      <c r="U503" s="202" t="s">
        <v>4408</v>
      </c>
      <c r="V503" s="202" t="s">
        <v>4408</v>
      </c>
      <c r="W503" s="202">
        <v>46223</v>
      </c>
      <c r="X503" s="202"/>
      <c r="Y503" s="202"/>
      <c r="Z503" s="202"/>
      <c r="AA503" s="200" t="s">
        <v>6590</v>
      </c>
      <c r="AB503" s="200" t="s">
        <v>6591</v>
      </c>
      <c r="AC503" s="200" t="s">
        <v>6592</v>
      </c>
      <c r="AD503" s="197" t="s">
        <v>4402</v>
      </c>
      <c r="AE503" s="197" t="s">
        <v>4405</v>
      </c>
      <c r="AF503" s="243"/>
      <c r="AG503" s="243"/>
      <c r="AH503" s="197"/>
      <c r="AI503" s="214" t="s">
        <v>4411</v>
      </c>
      <c r="AJ503" s="207"/>
      <c r="AK503" s="316">
        <v>46041</v>
      </c>
      <c r="AL503" s="316">
        <v>46041</v>
      </c>
      <c r="AM503" s="316">
        <v>46041</v>
      </c>
      <c r="AN503" s="316">
        <v>46041</v>
      </c>
      <c r="AO503" s="316">
        <v>46041</v>
      </c>
      <c r="AP503" s="316">
        <v>46041</v>
      </c>
      <c r="AQ503" s="314"/>
      <c r="AR503" s="315" t="str">
        <f t="shared" si="32"/>
        <v>FINALIZADO</v>
      </c>
      <c r="AS503" s="207"/>
      <c r="AT503" s="207"/>
      <c r="AU503" s="220"/>
      <c r="AV503" s="207"/>
      <c r="AW503" s="207"/>
      <c r="AX503" s="207"/>
      <c r="AY503" s="207"/>
      <c r="AZ503" s="202"/>
      <c r="BA503" s="219"/>
      <c r="BB503" s="207"/>
      <c r="BC503" s="202"/>
      <c r="BD503" s="208"/>
      <c r="BE503" s="202"/>
      <c r="BF503" s="207"/>
      <c r="BG503" s="229"/>
      <c r="BH503" s="321" t="str">
        <f t="shared" si="33"/>
        <v/>
      </c>
      <c r="BI503" s="98" t="str">
        <f t="shared" si="34"/>
        <v>INDENIZAÇÃO</v>
      </c>
      <c r="BJ503" s="98" t="str">
        <f t="shared" si="35"/>
        <v>NÃO</v>
      </c>
      <c r="BK503" s="230"/>
      <c r="BL503" s="230"/>
      <c r="BM503" s="230"/>
      <c r="BN503" s="230"/>
      <c r="BO503" s="230"/>
      <c r="BP503" s="230"/>
      <c r="BQ503" s="230"/>
      <c r="BR503" s="234"/>
    </row>
    <row r="504" spans="1:112" s="240" customFormat="1" ht="27" hidden="1" customHeight="1">
      <c r="A504" s="197">
        <v>500</v>
      </c>
      <c r="B504" s="197" t="s">
        <v>4396</v>
      </c>
      <c r="C504" s="207" t="s">
        <v>4427</v>
      </c>
      <c r="D504" s="207">
        <v>1</v>
      </c>
      <c r="E504" s="207" t="s">
        <v>4398</v>
      </c>
      <c r="F504" s="214" t="s">
        <v>6593</v>
      </c>
      <c r="G504" s="207" t="s">
        <v>4400</v>
      </c>
      <c r="H504" s="207" t="s">
        <v>4401</v>
      </c>
      <c r="I504" s="217" t="s">
        <v>4402</v>
      </c>
      <c r="J504" s="215" t="s">
        <v>6594</v>
      </c>
      <c r="K504" s="215" t="s">
        <v>6595</v>
      </c>
      <c r="L504" s="215" t="s">
        <v>6596</v>
      </c>
      <c r="M504" s="207" t="s">
        <v>4405</v>
      </c>
      <c r="N504" s="207" t="s">
        <v>4406</v>
      </c>
      <c r="O504" s="203">
        <v>46044</v>
      </c>
      <c r="P504" s="203" t="s">
        <v>4407</v>
      </c>
      <c r="Q504" s="203">
        <v>46043</v>
      </c>
      <c r="R504" s="203">
        <v>46044</v>
      </c>
      <c r="S504" s="203">
        <v>46045</v>
      </c>
      <c r="T504" s="203">
        <v>46155</v>
      </c>
      <c r="U504" s="202" t="s">
        <v>4408</v>
      </c>
      <c r="V504" s="202" t="s">
        <v>4408</v>
      </c>
      <c r="W504" s="202">
        <v>46055</v>
      </c>
      <c r="X504" s="202">
        <v>46057</v>
      </c>
      <c r="Y504" s="202"/>
      <c r="Z504" s="207"/>
      <c r="AA504" s="215" t="s">
        <v>6594</v>
      </c>
      <c r="AB504" s="215" t="s">
        <v>6595</v>
      </c>
      <c r="AC504" s="215" t="s">
        <v>6596</v>
      </c>
      <c r="AD504" s="217" t="s">
        <v>4402</v>
      </c>
      <c r="AE504" s="207" t="s">
        <v>4405</v>
      </c>
      <c r="AF504" s="218" t="s">
        <v>4409</v>
      </c>
      <c r="AG504" s="218" t="s">
        <v>4409</v>
      </c>
      <c r="AH504" s="207" t="s">
        <v>4410</v>
      </c>
      <c r="AI504" s="214" t="s">
        <v>4411</v>
      </c>
      <c r="AJ504" s="207"/>
      <c r="AK504" s="316">
        <v>46041</v>
      </c>
      <c r="AL504" s="316">
        <v>46041</v>
      </c>
      <c r="AM504" s="316">
        <v>46041</v>
      </c>
      <c r="AN504" s="316">
        <v>46041</v>
      </c>
      <c r="AO504" s="316">
        <v>46041</v>
      </c>
      <c r="AP504" s="316">
        <v>46041</v>
      </c>
      <c r="AQ504" s="314"/>
      <c r="AR504" s="315" t="str">
        <f t="shared" si="32"/>
        <v>FINALIZADO</v>
      </c>
      <c r="AS504" s="207"/>
      <c r="AT504" s="207"/>
      <c r="AU504" s="220"/>
      <c r="AV504" s="207"/>
      <c r="AW504" s="207"/>
      <c r="AX504" s="207"/>
      <c r="AY504" s="207"/>
      <c r="AZ504" s="202"/>
      <c r="BA504" s="219"/>
      <c r="BB504" s="207"/>
      <c r="BC504" s="202"/>
      <c r="BD504" s="208"/>
      <c r="BE504" s="202"/>
      <c r="BF504" s="207"/>
      <c r="BG504" s="229"/>
      <c r="BH504" s="321" t="str">
        <f t="shared" si="33"/>
        <v/>
      </c>
      <c r="BI504" s="98" t="str">
        <f t="shared" si="34"/>
        <v>AA</v>
      </c>
      <c r="BJ504" s="98" t="str">
        <f t="shared" si="35"/>
        <v>NÃO</v>
      </c>
      <c r="BK504" s="230"/>
      <c r="BL504" s="230"/>
      <c r="BM504" s="230"/>
      <c r="BN504" s="230"/>
      <c r="BO504" s="230"/>
      <c r="BP504" s="230"/>
      <c r="BQ504" s="230"/>
      <c r="BR504" s="234"/>
    </row>
    <row r="505" spans="1:112" s="240" customFormat="1" ht="27" hidden="1" customHeight="1">
      <c r="A505" s="197">
        <v>501</v>
      </c>
      <c r="B505" s="197" t="s">
        <v>4396</v>
      </c>
      <c r="C505" s="207" t="s">
        <v>4427</v>
      </c>
      <c r="D505" s="207">
        <v>1</v>
      </c>
      <c r="E505" s="207" t="s">
        <v>4398</v>
      </c>
      <c r="F505" s="214" t="s">
        <v>6597</v>
      </c>
      <c r="G505" s="207" t="s">
        <v>4400</v>
      </c>
      <c r="H505" s="207" t="s">
        <v>4401</v>
      </c>
      <c r="I505" s="217" t="s">
        <v>4402</v>
      </c>
      <c r="J505" s="215" t="s">
        <v>6598</v>
      </c>
      <c r="K505" s="215" t="s">
        <v>6599</v>
      </c>
      <c r="L505" s="215" t="s">
        <v>6600</v>
      </c>
      <c r="M505" s="207" t="s">
        <v>4405</v>
      </c>
      <c r="N505" s="207" t="s">
        <v>4406</v>
      </c>
      <c r="O505" s="202">
        <v>45986</v>
      </c>
      <c r="P505" s="203" t="s">
        <v>4407</v>
      </c>
      <c r="Q505" s="203">
        <v>45985</v>
      </c>
      <c r="R505" s="203">
        <v>45986</v>
      </c>
      <c r="S505" s="203">
        <v>45987</v>
      </c>
      <c r="T505" s="203">
        <v>45992</v>
      </c>
      <c r="U505" s="203" t="s">
        <v>4408</v>
      </c>
      <c r="V505" s="203" t="s">
        <v>4408</v>
      </c>
      <c r="W505" s="202">
        <v>45999</v>
      </c>
      <c r="X505" s="202">
        <v>46017</v>
      </c>
      <c r="Y505" s="202"/>
      <c r="Z505" s="207"/>
      <c r="AA505" s="215" t="s">
        <v>6598</v>
      </c>
      <c r="AB505" s="215" t="s">
        <v>6599</v>
      </c>
      <c r="AC505" s="215" t="s">
        <v>6600</v>
      </c>
      <c r="AD505" s="217" t="s">
        <v>4402</v>
      </c>
      <c r="AE505" s="207" t="s">
        <v>4405</v>
      </c>
      <c r="AF505" s="218" t="s">
        <v>4409</v>
      </c>
      <c r="AG505" s="218" t="s">
        <v>4409</v>
      </c>
      <c r="AH505" s="241" t="s">
        <v>4410</v>
      </c>
      <c r="AI505" s="214" t="s">
        <v>4411</v>
      </c>
      <c r="AJ505" s="207"/>
      <c r="AK505" s="316">
        <v>45980</v>
      </c>
      <c r="AL505" s="316">
        <v>45980</v>
      </c>
      <c r="AM505" s="316">
        <v>45980</v>
      </c>
      <c r="AN505" s="316">
        <v>45980</v>
      </c>
      <c r="AO505" s="316">
        <v>45980</v>
      </c>
      <c r="AP505" s="316">
        <v>45980</v>
      </c>
      <c r="AQ505" s="314"/>
      <c r="AR505" s="315" t="str">
        <f t="shared" si="32"/>
        <v>FINALIZADO</v>
      </c>
      <c r="AS505" s="207"/>
      <c r="AT505" s="207"/>
      <c r="AU505" s="220"/>
      <c r="AV505" s="207"/>
      <c r="AW505" s="207"/>
      <c r="AX505" s="207" t="s">
        <v>4409</v>
      </c>
      <c r="AY505" s="207" t="s">
        <v>4409</v>
      </c>
      <c r="AZ505" s="207" t="s">
        <v>4409</v>
      </c>
      <c r="BA505" s="207" t="s">
        <v>4409</v>
      </c>
      <c r="BB505" s="207"/>
      <c r="BC505" s="202"/>
      <c r="BD505" s="208"/>
      <c r="BE505" s="202"/>
      <c r="BF505" s="207"/>
      <c r="BG505" s="229"/>
      <c r="BH505" s="321" t="str">
        <f t="shared" si="33"/>
        <v/>
      </c>
      <c r="BI505" s="98" t="str">
        <f t="shared" si="34"/>
        <v>AA</v>
      </c>
      <c r="BJ505" s="98" t="str">
        <f t="shared" si="35"/>
        <v>NÃO</v>
      </c>
      <c r="BK505" s="230"/>
      <c r="BL505" s="230"/>
      <c r="BM505" s="230"/>
      <c r="BN505" s="230"/>
      <c r="BO505" s="230"/>
      <c r="BP505" s="230"/>
      <c r="BQ505" s="230"/>
      <c r="BR505" s="234"/>
    </row>
    <row r="506" spans="1:112" s="240" customFormat="1" ht="27" hidden="1" customHeight="1">
      <c r="A506" s="207">
        <v>502</v>
      </c>
      <c r="B506" s="197" t="s">
        <v>4396</v>
      </c>
      <c r="C506" s="207" t="s">
        <v>4427</v>
      </c>
      <c r="D506" s="207">
        <v>1</v>
      </c>
      <c r="E506" s="207" t="s">
        <v>4398</v>
      </c>
      <c r="F506" s="214" t="s">
        <v>6601</v>
      </c>
      <c r="G506" s="207" t="s">
        <v>4400</v>
      </c>
      <c r="H506" s="207" t="s">
        <v>4401</v>
      </c>
      <c r="I506" s="217" t="s">
        <v>4402</v>
      </c>
      <c r="J506" s="215" t="s">
        <v>6602</v>
      </c>
      <c r="K506" s="215" t="s">
        <v>6603</v>
      </c>
      <c r="L506" s="215" t="s">
        <v>6604</v>
      </c>
      <c r="M506" s="207" t="s">
        <v>4405</v>
      </c>
      <c r="N506" s="207" t="s">
        <v>4406</v>
      </c>
      <c r="O506" s="202">
        <v>45986</v>
      </c>
      <c r="P506" s="203" t="s">
        <v>4407</v>
      </c>
      <c r="Q506" s="203">
        <v>45985</v>
      </c>
      <c r="R506" s="203">
        <v>45986</v>
      </c>
      <c r="S506" s="203">
        <v>45987</v>
      </c>
      <c r="T506" s="203">
        <v>45992</v>
      </c>
      <c r="U506" s="202" t="s">
        <v>4408</v>
      </c>
      <c r="V506" s="202" t="s">
        <v>4408</v>
      </c>
      <c r="W506" s="202">
        <v>45999</v>
      </c>
      <c r="X506" s="202">
        <v>46000</v>
      </c>
      <c r="Y506" s="203"/>
      <c r="Z506" s="219"/>
      <c r="AA506" s="215" t="s">
        <v>6602</v>
      </c>
      <c r="AB506" s="215" t="s">
        <v>6603</v>
      </c>
      <c r="AC506" s="215" t="s">
        <v>6604</v>
      </c>
      <c r="AD506" s="217" t="s">
        <v>4402</v>
      </c>
      <c r="AE506" s="207" t="s">
        <v>4405</v>
      </c>
      <c r="AF506" s="218" t="s">
        <v>4409</v>
      </c>
      <c r="AG506" s="218" t="s">
        <v>4409</v>
      </c>
      <c r="AH506" s="204" t="s">
        <v>4410</v>
      </c>
      <c r="AI506" s="214" t="s">
        <v>4411</v>
      </c>
      <c r="AJ506" s="207"/>
      <c r="AK506" s="316">
        <v>45980</v>
      </c>
      <c r="AL506" s="316">
        <v>45980</v>
      </c>
      <c r="AM506" s="316">
        <v>45980</v>
      </c>
      <c r="AN506" s="316">
        <v>45980</v>
      </c>
      <c r="AO506" s="316">
        <v>45980</v>
      </c>
      <c r="AP506" s="316">
        <v>45980</v>
      </c>
      <c r="AQ506" s="314"/>
      <c r="AR506" s="315" t="str">
        <f t="shared" si="32"/>
        <v>FINALIZADO</v>
      </c>
      <c r="AS506" s="207"/>
      <c r="AT506" s="219"/>
      <c r="AU506" s="220"/>
      <c r="AV506" s="207"/>
      <c r="AW506" s="207"/>
      <c r="AX506" s="207" t="s">
        <v>4409</v>
      </c>
      <c r="AY506" s="207" t="s">
        <v>4409</v>
      </c>
      <c r="AZ506" s="207" t="s">
        <v>4409</v>
      </c>
      <c r="BA506" s="207" t="s">
        <v>4409</v>
      </c>
      <c r="BB506" s="219"/>
      <c r="BC506" s="219"/>
      <c r="BD506" s="208"/>
      <c r="BE506" s="202"/>
      <c r="BF506" s="207"/>
      <c r="BG506" s="229"/>
      <c r="BH506" s="321" t="str">
        <f t="shared" si="33"/>
        <v/>
      </c>
      <c r="BI506" s="98" t="str">
        <f t="shared" si="34"/>
        <v>AA</v>
      </c>
      <c r="BJ506" s="98" t="str">
        <f t="shared" si="35"/>
        <v>NÃO</v>
      </c>
      <c r="BK506" s="230"/>
      <c r="BL506" s="230"/>
      <c r="BM506" s="230"/>
      <c r="BN506" s="230"/>
      <c r="BO506" s="230"/>
      <c r="BP506" s="230"/>
      <c r="BQ506" s="230"/>
      <c r="BR506" s="234"/>
    </row>
    <row r="507" spans="1:112" s="240" customFormat="1" ht="27" hidden="1" customHeight="1">
      <c r="A507" s="207">
        <v>503</v>
      </c>
      <c r="B507" s="197" t="s">
        <v>4396</v>
      </c>
      <c r="C507" s="207" t="s">
        <v>4427</v>
      </c>
      <c r="D507" s="207">
        <v>1</v>
      </c>
      <c r="E507" s="207" t="s">
        <v>4398</v>
      </c>
      <c r="F507" s="214" t="s">
        <v>6605</v>
      </c>
      <c r="G507" s="207" t="s">
        <v>4400</v>
      </c>
      <c r="H507" s="207" t="s">
        <v>4401</v>
      </c>
      <c r="I507" s="217" t="s">
        <v>4402</v>
      </c>
      <c r="J507" s="242" t="s">
        <v>6606</v>
      </c>
      <c r="K507" s="215" t="s">
        <v>6607</v>
      </c>
      <c r="L507" s="215" t="s">
        <v>6608</v>
      </c>
      <c r="M507" s="207" t="s">
        <v>4405</v>
      </c>
      <c r="N507" s="207" t="s">
        <v>4406</v>
      </c>
      <c r="O507" s="202">
        <v>45986</v>
      </c>
      <c r="P507" s="203" t="s">
        <v>4407</v>
      </c>
      <c r="Q507" s="203">
        <v>45985</v>
      </c>
      <c r="R507" s="203">
        <v>45986</v>
      </c>
      <c r="S507" s="203">
        <v>45987</v>
      </c>
      <c r="T507" s="203">
        <v>45992</v>
      </c>
      <c r="U507" s="202" t="s">
        <v>4408</v>
      </c>
      <c r="V507" s="202" t="s">
        <v>4408</v>
      </c>
      <c r="W507" s="202">
        <v>45999</v>
      </c>
      <c r="X507" s="202">
        <v>46000</v>
      </c>
      <c r="Y507" s="202"/>
      <c r="Z507" s="207"/>
      <c r="AA507" s="242" t="s">
        <v>6606</v>
      </c>
      <c r="AB507" s="215" t="s">
        <v>6607</v>
      </c>
      <c r="AC507" s="215" t="s">
        <v>6608</v>
      </c>
      <c r="AD507" s="217" t="s">
        <v>4402</v>
      </c>
      <c r="AE507" s="207" t="s">
        <v>4405</v>
      </c>
      <c r="AF507" s="218" t="s">
        <v>4409</v>
      </c>
      <c r="AG507" s="218" t="s">
        <v>4409</v>
      </c>
      <c r="AH507" s="204" t="s">
        <v>4410</v>
      </c>
      <c r="AI507" s="214" t="s">
        <v>4411</v>
      </c>
      <c r="AJ507" s="207"/>
      <c r="AK507" s="316">
        <v>45980</v>
      </c>
      <c r="AL507" s="316">
        <v>45980</v>
      </c>
      <c r="AM507" s="316">
        <v>45980</v>
      </c>
      <c r="AN507" s="316">
        <v>45980</v>
      </c>
      <c r="AO507" s="316">
        <v>45980</v>
      </c>
      <c r="AP507" s="316">
        <v>45980</v>
      </c>
      <c r="AQ507" s="314"/>
      <c r="AR507" s="315" t="str">
        <f t="shared" si="32"/>
        <v>FINALIZADO</v>
      </c>
      <c r="AS507" s="207"/>
      <c r="AT507" s="207"/>
      <c r="AU507" s="220"/>
      <c r="AV507" s="207"/>
      <c r="AW507" s="207"/>
      <c r="AX507" s="207" t="s">
        <v>4409</v>
      </c>
      <c r="AY507" s="207" t="s">
        <v>4409</v>
      </c>
      <c r="AZ507" s="207" t="s">
        <v>4409</v>
      </c>
      <c r="BA507" s="207" t="s">
        <v>4409</v>
      </c>
      <c r="BB507" s="207"/>
      <c r="BC507" s="202"/>
      <c r="BD507" s="208"/>
      <c r="BE507" s="202"/>
      <c r="BF507" s="207"/>
      <c r="BG507" s="229"/>
      <c r="BH507" s="321" t="str">
        <f t="shared" si="33"/>
        <v/>
      </c>
      <c r="BI507" s="98" t="str">
        <f t="shared" si="34"/>
        <v>AA</v>
      </c>
      <c r="BJ507" s="98" t="str">
        <f t="shared" si="35"/>
        <v>NÃO</v>
      </c>
      <c r="BK507" s="230"/>
      <c r="BL507" s="230"/>
      <c r="BM507" s="230"/>
      <c r="BN507" s="230"/>
      <c r="BO507" s="230"/>
      <c r="BP507" s="230"/>
      <c r="BQ507" s="230"/>
      <c r="BR507" s="234"/>
    </row>
    <row r="508" spans="1:112" s="240" customFormat="1" ht="27" hidden="1" customHeight="1">
      <c r="A508" s="207">
        <v>504</v>
      </c>
      <c r="B508" s="197" t="s">
        <v>4396</v>
      </c>
      <c r="C508" s="207" t="s">
        <v>4427</v>
      </c>
      <c r="D508" s="207">
        <v>1</v>
      </c>
      <c r="E508" s="207" t="s">
        <v>4398</v>
      </c>
      <c r="F508" s="214" t="s">
        <v>6609</v>
      </c>
      <c r="G508" s="207" t="s">
        <v>4400</v>
      </c>
      <c r="H508" s="207" t="s">
        <v>4401</v>
      </c>
      <c r="I508" s="217" t="s">
        <v>4402</v>
      </c>
      <c r="J508" s="215" t="s">
        <v>6610</v>
      </c>
      <c r="K508" s="215" t="s">
        <v>6611</v>
      </c>
      <c r="L508" s="215" t="s">
        <v>6612</v>
      </c>
      <c r="M508" s="207" t="s">
        <v>4405</v>
      </c>
      <c r="N508" s="207" t="s">
        <v>4406</v>
      </c>
      <c r="O508" s="202">
        <v>45986</v>
      </c>
      <c r="P508" s="203" t="s">
        <v>4407</v>
      </c>
      <c r="Q508" s="203">
        <v>45985</v>
      </c>
      <c r="R508" s="203">
        <v>45986</v>
      </c>
      <c r="S508" s="203">
        <v>45987</v>
      </c>
      <c r="T508" s="203">
        <v>45992</v>
      </c>
      <c r="U508" s="202" t="s">
        <v>4408</v>
      </c>
      <c r="V508" s="202" t="s">
        <v>4408</v>
      </c>
      <c r="W508" s="202">
        <v>45999</v>
      </c>
      <c r="X508" s="202">
        <v>46000</v>
      </c>
      <c r="Y508" s="202"/>
      <c r="Z508" s="207"/>
      <c r="AA508" s="215" t="s">
        <v>6610</v>
      </c>
      <c r="AB508" s="215" t="s">
        <v>6611</v>
      </c>
      <c r="AC508" s="215" t="s">
        <v>6612</v>
      </c>
      <c r="AD508" s="217" t="s">
        <v>4402</v>
      </c>
      <c r="AE508" s="207" t="s">
        <v>4405</v>
      </c>
      <c r="AF508" s="218" t="s">
        <v>4409</v>
      </c>
      <c r="AG508" s="218" t="s">
        <v>4409</v>
      </c>
      <c r="AH508" s="204" t="s">
        <v>4410</v>
      </c>
      <c r="AI508" s="214" t="s">
        <v>4411</v>
      </c>
      <c r="AJ508" s="207"/>
      <c r="AK508" s="316">
        <v>45980</v>
      </c>
      <c r="AL508" s="316">
        <v>45980</v>
      </c>
      <c r="AM508" s="316">
        <v>45980</v>
      </c>
      <c r="AN508" s="316">
        <v>45980</v>
      </c>
      <c r="AO508" s="316">
        <v>45980</v>
      </c>
      <c r="AP508" s="316">
        <v>45980</v>
      </c>
      <c r="AQ508" s="314"/>
      <c r="AR508" s="315" t="str">
        <f t="shared" si="32"/>
        <v>FINALIZADO</v>
      </c>
      <c r="AS508" s="207"/>
      <c r="AT508" s="207"/>
      <c r="AU508" s="220"/>
      <c r="AV508" s="207"/>
      <c r="AW508" s="207"/>
      <c r="AX508" s="207" t="s">
        <v>4409</v>
      </c>
      <c r="AY508" s="207" t="s">
        <v>4409</v>
      </c>
      <c r="AZ508" s="207" t="s">
        <v>4409</v>
      </c>
      <c r="BA508" s="207" t="s">
        <v>4409</v>
      </c>
      <c r="BB508" s="207"/>
      <c r="BC508" s="202"/>
      <c r="BD508" s="208"/>
      <c r="BE508" s="202"/>
      <c r="BF508" s="207"/>
      <c r="BG508" s="229"/>
      <c r="BH508" s="321" t="str">
        <f t="shared" si="33"/>
        <v/>
      </c>
      <c r="BI508" s="98" t="str">
        <f t="shared" si="34"/>
        <v>AA</v>
      </c>
      <c r="BJ508" s="98" t="str">
        <f t="shared" si="35"/>
        <v>NÃO</v>
      </c>
      <c r="BK508" s="230"/>
      <c r="BL508" s="230"/>
      <c r="BM508" s="230"/>
      <c r="BN508" s="230"/>
      <c r="BO508" s="230"/>
      <c r="BP508" s="230"/>
      <c r="BQ508" s="230"/>
      <c r="BR508" s="234"/>
    </row>
    <row r="509" spans="1:112" s="240" customFormat="1" ht="27" hidden="1" customHeight="1">
      <c r="A509" s="197">
        <v>505</v>
      </c>
      <c r="B509" s="197" t="s">
        <v>4396</v>
      </c>
      <c r="C509" s="207" t="s">
        <v>4427</v>
      </c>
      <c r="D509" s="207">
        <v>1</v>
      </c>
      <c r="E509" s="207" t="s">
        <v>4398</v>
      </c>
      <c r="F509" s="214" t="s">
        <v>6613</v>
      </c>
      <c r="G509" s="207" t="s">
        <v>4400</v>
      </c>
      <c r="H509" s="207" t="s">
        <v>4401</v>
      </c>
      <c r="I509" s="207" t="s">
        <v>4402</v>
      </c>
      <c r="J509" s="215" t="s">
        <v>6614</v>
      </c>
      <c r="K509" s="215" t="s">
        <v>6591</v>
      </c>
      <c r="L509" s="215" t="s">
        <v>6615</v>
      </c>
      <c r="M509" s="207" t="s">
        <v>4405</v>
      </c>
      <c r="N509" s="207" t="s">
        <v>4406</v>
      </c>
      <c r="O509" s="202">
        <v>45986</v>
      </c>
      <c r="P509" s="203" t="s">
        <v>4407</v>
      </c>
      <c r="Q509" s="203">
        <v>45985</v>
      </c>
      <c r="R509" s="203">
        <v>45986</v>
      </c>
      <c r="S509" s="203">
        <v>45987</v>
      </c>
      <c r="T509" s="203">
        <v>45992</v>
      </c>
      <c r="U509" s="202" t="s">
        <v>4408</v>
      </c>
      <c r="V509" s="202" t="s">
        <v>4408</v>
      </c>
      <c r="W509" s="202">
        <v>45999</v>
      </c>
      <c r="X509" s="202">
        <v>46000</v>
      </c>
      <c r="Y509" s="202"/>
      <c r="Z509" s="207"/>
      <c r="AA509" s="215" t="s">
        <v>6614</v>
      </c>
      <c r="AB509" s="215" t="s">
        <v>6591</v>
      </c>
      <c r="AC509" s="215" t="s">
        <v>6615</v>
      </c>
      <c r="AD509" s="217" t="s">
        <v>4402</v>
      </c>
      <c r="AE509" s="207" t="s">
        <v>4405</v>
      </c>
      <c r="AF509" s="218" t="s">
        <v>4409</v>
      </c>
      <c r="AG509" s="218" t="s">
        <v>4409</v>
      </c>
      <c r="AH509" s="204" t="s">
        <v>4410</v>
      </c>
      <c r="AI509" s="214" t="s">
        <v>4411</v>
      </c>
      <c r="AJ509" s="207"/>
      <c r="AK509" s="316">
        <v>45980</v>
      </c>
      <c r="AL509" s="316">
        <v>45980</v>
      </c>
      <c r="AM509" s="316">
        <v>45980</v>
      </c>
      <c r="AN509" s="316">
        <v>45980</v>
      </c>
      <c r="AO509" s="316">
        <v>45980</v>
      </c>
      <c r="AP509" s="316">
        <v>45980</v>
      </c>
      <c r="AQ509" s="314"/>
      <c r="AR509" s="315" t="str">
        <f t="shared" si="32"/>
        <v>FINALIZADO</v>
      </c>
      <c r="AS509" s="207"/>
      <c r="AT509" s="207"/>
      <c r="AU509" s="220"/>
      <c r="AV509" s="207"/>
      <c r="AW509" s="207"/>
      <c r="AX509" s="207" t="s">
        <v>4409</v>
      </c>
      <c r="AY509" s="207" t="s">
        <v>4409</v>
      </c>
      <c r="AZ509" s="207" t="s">
        <v>4409</v>
      </c>
      <c r="BA509" s="207" t="s">
        <v>4409</v>
      </c>
      <c r="BB509" s="207"/>
      <c r="BC509" s="202"/>
      <c r="BD509" s="208"/>
      <c r="BE509" s="202"/>
      <c r="BF509" s="207"/>
      <c r="BG509" s="229"/>
      <c r="BH509" s="321" t="str">
        <f t="shared" si="33"/>
        <v/>
      </c>
      <c r="BI509" s="98" t="str">
        <f t="shared" si="34"/>
        <v>AA</v>
      </c>
      <c r="BJ509" s="98" t="str">
        <f t="shared" si="35"/>
        <v>NÃO</v>
      </c>
      <c r="BK509" s="230"/>
      <c r="BL509" s="230"/>
      <c r="BM509" s="230"/>
      <c r="BN509" s="230"/>
      <c r="BO509" s="230"/>
      <c r="BP509" s="230"/>
      <c r="BQ509" s="230"/>
      <c r="BR509" s="234"/>
    </row>
    <row r="510" spans="1:112" s="240" customFormat="1" ht="27" customHeight="1">
      <c r="A510" s="197">
        <v>506</v>
      </c>
      <c r="B510" s="197" t="s">
        <v>4396</v>
      </c>
      <c r="C510" s="207" t="s">
        <v>4413</v>
      </c>
      <c r="D510" s="207">
        <v>1</v>
      </c>
      <c r="E510" s="207" t="s">
        <v>4398</v>
      </c>
      <c r="F510" s="214" t="s">
        <v>6613</v>
      </c>
      <c r="G510" s="207" t="s">
        <v>4400</v>
      </c>
      <c r="H510" s="207" t="s">
        <v>4401</v>
      </c>
      <c r="I510" s="207" t="s">
        <v>4402</v>
      </c>
      <c r="J510" s="215" t="s">
        <v>6616</v>
      </c>
      <c r="K510" s="215" t="s">
        <v>6617</v>
      </c>
      <c r="L510" s="215" t="s">
        <v>6618</v>
      </c>
      <c r="M510" s="207" t="s">
        <v>4405</v>
      </c>
      <c r="N510" s="207" t="s">
        <v>4406</v>
      </c>
      <c r="O510" s="202">
        <v>46147</v>
      </c>
      <c r="P510" s="202" t="s">
        <v>4407</v>
      </c>
      <c r="Q510" s="203">
        <v>46136</v>
      </c>
      <c r="R510" s="202">
        <v>46147</v>
      </c>
      <c r="S510" s="203">
        <v>46156</v>
      </c>
      <c r="T510" s="203">
        <v>46168</v>
      </c>
      <c r="U510" s="203" t="s">
        <v>4408</v>
      </c>
      <c r="V510" s="203" t="s">
        <v>4408</v>
      </c>
      <c r="W510" s="279">
        <v>46196</v>
      </c>
      <c r="X510" s="203">
        <v>46196</v>
      </c>
      <c r="Y510" s="203"/>
      <c r="Z510" s="219"/>
      <c r="AA510" s="200" t="s">
        <v>6619</v>
      </c>
      <c r="AB510" s="200" t="s">
        <v>6617</v>
      </c>
      <c r="AC510" s="200" t="s">
        <v>6618</v>
      </c>
      <c r="AD510" s="197" t="s">
        <v>4402</v>
      </c>
      <c r="AE510" s="207" t="s">
        <v>4405</v>
      </c>
      <c r="AF510" s="218" t="s">
        <v>4409</v>
      </c>
      <c r="AG510" s="218" t="s">
        <v>4409</v>
      </c>
      <c r="AH510" s="197" t="s">
        <v>4410</v>
      </c>
      <c r="AI510" s="214" t="s">
        <v>4411</v>
      </c>
      <c r="AJ510" s="207"/>
      <c r="AK510" s="317">
        <v>46134</v>
      </c>
      <c r="AL510" s="317">
        <v>46134</v>
      </c>
      <c r="AM510" s="317">
        <v>46134</v>
      </c>
      <c r="AN510" s="317">
        <v>46134</v>
      </c>
      <c r="AO510" s="317">
        <v>46134</v>
      </c>
      <c r="AP510" s="317">
        <v>46134</v>
      </c>
      <c r="AQ510" s="314"/>
      <c r="AR510" s="315" t="str">
        <f t="shared" si="32"/>
        <v>FINALIZADO</v>
      </c>
      <c r="AS510" s="207"/>
      <c r="AT510" s="219"/>
      <c r="AU510" s="220"/>
      <c r="AV510" s="219"/>
      <c r="AW510" s="219"/>
      <c r="AX510" s="219"/>
      <c r="AY510" s="219"/>
      <c r="AZ510" s="219"/>
      <c r="BA510" s="219"/>
      <c r="BB510" s="219"/>
      <c r="BC510" s="219"/>
      <c r="BD510" s="208"/>
      <c r="BE510" s="203"/>
      <c r="BF510" s="219"/>
      <c r="BG510" s="219"/>
      <c r="BH510" s="321" t="str">
        <f t="shared" si="33"/>
        <v/>
      </c>
      <c r="BI510" s="98" t="str">
        <f t="shared" si="34"/>
        <v>AA</v>
      </c>
      <c r="BJ510" s="98" t="str">
        <f t="shared" si="35"/>
        <v>NÃO</v>
      </c>
      <c r="BK510" s="219"/>
      <c r="BL510" s="221"/>
      <c r="BM510" s="221"/>
      <c r="BN510" s="219"/>
      <c r="BO510" s="219"/>
      <c r="BP510" s="219"/>
      <c r="BQ510" s="219"/>
      <c r="BR510" s="222"/>
    </row>
    <row r="511" spans="1:112" s="240" customFormat="1" ht="27" hidden="1" customHeight="1">
      <c r="A511" s="207">
        <v>507</v>
      </c>
      <c r="B511" s="197" t="s">
        <v>4396</v>
      </c>
      <c r="C511" s="207" t="s">
        <v>4427</v>
      </c>
      <c r="D511" s="207">
        <v>1</v>
      </c>
      <c r="E511" s="207" t="s">
        <v>4398</v>
      </c>
      <c r="F511" s="214" t="s">
        <v>6620</v>
      </c>
      <c r="G511" s="207" t="s">
        <v>4400</v>
      </c>
      <c r="H511" s="207" t="s">
        <v>4401</v>
      </c>
      <c r="I511" s="217" t="s">
        <v>4922</v>
      </c>
      <c r="J511" s="215" t="s">
        <v>6621</v>
      </c>
      <c r="K511" s="215" t="s">
        <v>6622</v>
      </c>
      <c r="L511" s="215" t="s">
        <v>6623</v>
      </c>
      <c r="M511" s="207" t="s">
        <v>4405</v>
      </c>
      <c r="N511" s="207" t="s">
        <v>4406</v>
      </c>
      <c r="O511" s="203">
        <v>46031</v>
      </c>
      <c r="P511" s="202" t="s">
        <v>4407</v>
      </c>
      <c r="Q511" s="203">
        <v>46030</v>
      </c>
      <c r="R511" s="203">
        <v>46031</v>
      </c>
      <c r="S511" s="203">
        <v>46036</v>
      </c>
      <c r="T511" s="203">
        <v>46045</v>
      </c>
      <c r="U511" s="203" t="s">
        <v>4408</v>
      </c>
      <c r="V511" s="203" t="s">
        <v>4408</v>
      </c>
      <c r="W511" s="202">
        <v>46055</v>
      </c>
      <c r="X511" s="202" t="s">
        <v>4440</v>
      </c>
      <c r="Y511" s="202"/>
      <c r="Z511" s="207" t="s">
        <v>6624</v>
      </c>
      <c r="AA511" s="215" t="s">
        <v>6625</v>
      </c>
      <c r="AB511" s="215" t="s">
        <v>6626</v>
      </c>
      <c r="AC511" s="215" t="s">
        <v>6627</v>
      </c>
      <c r="AD511" s="217" t="s">
        <v>4421</v>
      </c>
      <c r="AE511" s="207" t="s">
        <v>4405</v>
      </c>
      <c r="AF511" s="218">
        <v>29437.08</v>
      </c>
      <c r="AG511" s="218">
        <v>29437.08</v>
      </c>
      <c r="AH511" s="207" t="s">
        <v>4433</v>
      </c>
      <c r="AI511" s="214" t="s">
        <v>4411</v>
      </c>
      <c r="AJ511" s="207">
        <v>150612303</v>
      </c>
      <c r="AK511" s="316">
        <v>46064</v>
      </c>
      <c r="AL511" s="316">
        <v>46064</v>
      </c>
      <c r="AM511" s="316">
        <v>46064</v>
      </c>
      <c r="AN511" s="316">
        <v>46064</v>
      </c>
      <c r="AO511" s="316">
        <v>46064</v>
      </c>
      <c r="AP511" s="316">
        <v>46064</v>
      </c>
      <c r="AQ511" s="314"/>
      <c r="AR511" s="315" t="str">
        <f t="shared" si="32"/>
        <v>FINALIZADO</v>
      </c>
      <c r="AS511" s="207" t="s">
        <v>4423</v>
      </c>
      <c r="AT511" s="207"/>
      <c r="AU511" s="220" t="s">
        <v>6628</v>
      </c>
      <c r="AV511" s="207" t="s">
        <v>4425</v>
      </c>
      <c r="AW511" s="207" t="s">
        <v>4425</v>
      </c>
      <c r="AX511" s="207" t="s">
        <v>4425</v>
      </c>
      <c r="AY511" s="207" t="s">
        <v>4425</v>
      </c>
      <c r="AZ511" s="202">
        <v>46170</v>
      </c>
      <c r="BA511" s="207" t="s">
        <v>4425</v>
      </c>
      <c r="BB511" s="207" t="s">
        <v>4425</v>
      </c>
      <c r="BC511" s="202">
        <v>46182</v>
      </c>
      <c r="BD511" s="227">
        <v>46182</v>
      </c>
      <c r="BE511" s="227" t="s">
        <v>4435</v>
      </c>
      <c r="BF511" s="228" t="s">
        <v>4436</v>
      </c>
      <c r="BG511" s="229" t="s">
        <v>4425</v>
      </c>
      <c r="BH511" s="321">
        <f t="shared" si="33"/>
        <v>118</v>
      </c>
      <c r="BI511" s="98" t="str">
        <f t="shared" si="34"/>
        <v>INDENIZAÇÃO</v>
      </c>
      <c r="BJ511" s="98" t="str">
        <f t="shared" si="35"/>
        <v>NÃO</v>
      </c>
      <c r="BK511" s="230" t="s">
        <v>4437</v>
      </c>
      <c r="BL511" s="230" t="s">
        <v>4437</v>
      </c>
      <c r="BM511" s="230" t="s">
        <v>4437</v>
      </c>
      <c r="BN511" s="265" t="s">
        <v>5732</v>
      </c>
      <c r="BO511" s="265"/>
      <c r="BP511" s="265"/>
      <c r="BQ511" s="265"/>
      <c r="BR511" s="231"/>
      <c r="BS511" s="161"/>
      <c r="BT511" s="161"/>
      <c r="BU511" s="161"/>
      <c r="BV511" s="161"/>
      <c r="BW511" s="161"/>
      <c r="BX511" s="161"/>
      <c r="BY511" s="161"/>
      <c r="BZ511" s="161"/>
      <c r="CA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  <c r="DA511" s="161"/>
      <c r="DB511" s="161"/>
      <c r="DC511" s="161"/>
      <c r="DD511" s="161"/>
      <c r="DE511" s="161"/>
      <c r="DF511" s="161"/>
      <c r="DG511" s="161"/>
      <c r="DH511" s="161"/>
    </row>
    <row r="512" spans="1:112" s="240" customFormat="1" ht="27" customHeight="1">
      <c r="A512" s="207">
        <v>508</v>
      </c>
      <c r="B512" s="197" t="s">
        <v>4396</v>
      </c>
      <c r="C512" s="207" t="s">
        <v>4413</v>
      </c>
      <c r="D512" s="207">
        <v>1</v>
      </c>
      <c r="E512" s="207" t="s">
        <v>4398</v>
      </c>
      <c r="F512" s="214" t="s">
        <v>6620</v>
      </c>
      <c r="G512" s="207" t="s">
        <v>4400</v>
      </c>
      <c r="H512" s="207" t="s">
        <v>4401</v>
      </c>
      <c r="I512" s="207" t="s">
        <v>4402</v>
      </c>
      <c r="J512" s="215" t="s">
        <v>6629</v>
      </c>
      <c r="K512" s="215" t="s">
        <v>4398</v>
      </c>
      <c r="L512" s="215" t="s">
        <v>6630</v>
      </c>
      <c r="M512" s="207" t="s">
        <v>4405</v>
      </c>
      <c r="N512" s="207" t="s">
        <v>4406</v>
      </c>
      <c r="O512" s="202">
        <v>46084</v>
      </c>
      <c r="P512" s="202" t="s">
        <v>4407</v>
      </c>
      <c r="Q512" s="202">
        <v>46083</v>
      </c>
      <c r="R512" s="203">
        <v>46084</v>
      </c>
      <c r="S512" s="203">
        <v>46087</v>
      </c>
      <c r="T512" s="203">
        <v>46090</v>
      </c>
      <c r="U512" s="202" t="s">
        <v>4408</v>
      </c>
      <c r="V512" s="202" t="s">
        <v>4408</v>
      </c>
      <c r="W512" s="202">
        <v>46101</v>
      </c>
      <c r="X512" s="202">
        <v>46104</v>
      </c>
      <c r="Y512" s="202"/>
      <c r="Z512" s="202"/>
      <c r="AA512" s="215" t="s">
        <v>6629</v>
      </c>
      <c r="AB512" s="215" t="s">
        <v>4398</v>
      </c>
      <c r="AC512" s="215" t="s">
        <v>6630</v>
      </c>
      <c r="AD512" s="217" t="s">
        <v>4402</v>
      </c>
      <c r="AE512" s="207" t="s">
        <v>4405</v>
      </c>
      <c r="AF512" s="218" t="s">
        <v>4409</v>
      </c>
      <c r="AG512" s="218" t="s">
        <v>4409</v>
      </c>
      <c r="AH512" s="207" t="s">
        <v>4410</v>
      </c>
      <c r="AI512" s="214" t="s">
        <v>4411</v>
      </c>
      <c r="AJ512" s="207"/>
      <c r="AK512" s="316">
        <v>46080</v>
      </c>
      <c r="AL512" s="316">
        <v>46080</v>
      </c>
      <c r="AM512" s="316">
        <v>46080</v>
      </c>
      <c r="AN512" s="316">
        <v>46080</v>
      </c>
      <c r="AO512" s="316">
        <v>46080</v>
      </c>
      <c r="AP512" s="316">
        <v>46080</v>
      </c>
      <c r="AQ512" s="314"/>
      <c r="AR512" s="315" t="str">
        <f t="shared" si="32"/>
        <v>FINALIZADO</v>
      </c>
      <c r="AS512" s="207"/>
      <c r="AT512" s="219"/>
      <c r="AU512" s="220"/>
      <c r="AV512" s="219"/>
      <c r="AW512" s="219"/>
      <c r="AX512" s="219"/>
      <c r="AY512" s="219"/>
      <c r="AZ512" s="219"/>
      <c r="BA512" s="219"/>
      <c r="BB512" s="219"/>
      <c r="BC512" s="219"/>
      <c r="BD512" s="208"/>
      <c r="BE512" s="203"/>
      <c r="BF512" s="219"/>
      <c r="BG512" s="219"/>
      <c r="BH512" s="321" t="str">
        <f t="shared" si="33"/>
        <v/>
      </c>
      <c r="BI512" s="98" t="str">
        <f t="shared" si="34"/>
        <v>AA</v>
      </c>
      <c r="BJ512" s="98" t="str">
        <f t="shared" si="35"/>
        <v>NÃO</v>
      </c>
      <c r="BK512" s="219"/>
      <c r="BL512" s="221"/>
      <c r="BM512" s="221"/>
      <c r="BN512" s="219"/>
      <c r="BO512" s="219"/>
      <c r="BP512" s="219"/>
      <c r="BQ512" s="219"/>
      <c r="BR512" s="222"/>
      <c r="BS512" s="223"/>
    </row>
    <row r="513" spans="1:112" s="240" customFormat="1" ht="27" customHeight="1">
      <c r="A513" s="207">
        <v>509</v>
      </c>
      <c r="B513" s="197" t="s">
        <v>4396</v>
      </c>
      <c r="C513" s="207" t="s">
        <v>4413</v>
      </c>
      <c r="D513" s="207">
        <v>1</v>
      </c>
      <c r="E513" s="207" t="s">
        <v>4398</v>
      </c>
      <c r="F513" s="214" t="s">
        <v>6631</v>
      </c>
      <c r="G513" s="207" t="s">
        <v>4400</v>
      </c>
      <c r="H513" s="207" t="s">
        <v>4401</v>
      </c>
      <c r="I513" s="207" t="s">
        <v>4402</v>
      </c>
      <c r="J513" s="215" t="s">
        <v>6632</v>
      </c>
      <c r="K513" s="215" t="s">
        <v>4398</v>
      </c>
      <c r="L513" s="215" t="s">
        <v>6633</v>
      </c>
      <c r="M513" s="207" t="s">
        <v>4405</v>
      </c>
      <c r="N513" s="207" t="s">
        <v>4406</v>
      </c>
      <c r="O513" s="202">
        <v>46147</v>
      </c>
      <c r="P513" s="202" t="s">
        <v>4407</v>
      </c>
      <c r="Q513" s="203">
        <v>46136</v>
      </c>
      <c r="R513" s="202">
        <v>46147</v>
      </c>
      <c r="S513" s="203">
        <v>46156</v>
      </c>
      <c r="T513" s="203">
        <v>46168</v>
      </c>
      <c r="U513" s="203" t="s">
        <v>4408</v>
      </c>
      <c r="V513" s="203" t="s">
        <v>4408</v>
      </c>
      <c r="W513" s="279">
        <v>46196</v>
      </c>
      <c r="X513" s="203">
        <v>46197</v>
      </c>
      <c r="Y513" s="203"/>
      <c r="Z513" s="219"/>
      <c r="AA513" s="215" t="s">
        <v>6632</v>
      </c>
      <c r="AB513" s="215" t="s">
        <v>4398</v>
      </c>
      <c r="AC513" s="215" t="s">
        <v>6633</v>
      </c>
      <c r="AD513" s="217" t="s">
        <v>4402</v>
      </c>
      <c r="AE513" s="207" t="s">
        <v>4405</v>
      </c>
      <c r="AF513" s="218" t="s">
        <v>4409</v>
      </c>
      <c r="AG513" s="218" t="s">
        <v>4409</v>
      </c>
      <c r="AH513" s="207" t="s">
        <v>4410</v>
      </c>
      <c r="AI513" s="214" t="s">
        <v>4411</v>
      </c>
      <c r="AJ513" s="207"/>
      <c r="AK513" s="317">
        <v>46134</v>
      </c>
      <c r="AL513" s="317">
        <v>46134</v>
      </c>
      <c r="AM513" s="317">
        <v>46134</v>
      </c>
      <c r="AN513" s="317">
        <v>46134</v>
      </c>
      <c r="AO513" s="317">
        <v>46134</v>
      </c>
      <c r="AP513" s="317">
        <v>46134</v>
      </c>
      <c r="AQ513" s="314"/>
      <c r="AR513" s="315" t="str">
        <f t="shared" si="32"/>
        <v>FINALIZADO</v>
      </c>
      <c r="AS513" s="207"/>
      <c r="AT513" s="219"/>
      <c r="AU513" s="220"/>
      <c r="AV513" s="219"/>
      <c r="AW513" s="219"/>
      <c r="AX513" s="219"/>
      <c r="AY513" s="219"/>
      <c r="AZ513" s="219"/>
      <c r="BA513" s="219"/>
      <c r="BB513" s="219"/>
      <c r="BC513" s="219"/>
      <c r="BD513" s="208"/>
      <c r="BE513" s="203"/>
      <c r="BF513" s="219"/>
      <c r="BG513" s="219"/>
      <c r="BH513" s="321" t="str">
        <f t="shared" si="33"/>
        <v/>
      </c>
      <c r="BI513" s="98" t="str">
        <f t="shared" si="34"/>
        <v>AA</v>
      </c>
      <c r="BJ513" s="98" t="str">
        <f t="shared" si="35"/>
        <v>NÃO</v>
      </c>
      <c r="BK513" s="219"/>
      <c r="BL513" s="221"/>
      <c r="BM513" s="221"/>
      <c r="BN513" s="219"/>
      <c r="BO513" s="219"/>
      <c r="BP513" s="219"/>
      <c r="BQ513" s="219"/>
      <c r="BR513" s="222"/>
    </row>
    <row r="514" spans="1:112" s="240" customFormat="1" ht="27" customHeight="1">
      <c r="A514" s="197">
        <v>510</v>
      </c>
      <c r="B514" s="197" t="s">
        <v>4396</v>
      </c>
      <c r="C514" s="207" t="s">
        <v>4413</v>
      </c>
      <c r="D514" s="207">
        <v>1</v>
      </c>
      <c r="E514" s="207" t="s">
        <v>4398</v>
      </c>
      <c r="F514" s="214" t="s">
        <v>6634</v>
      </c>
      <c r="G514" s="207" t="s">
        <v>4400</v>
      </c>
      <c r="H514" s="207" t="s">
        <v>4401</v>
      </c>
      <c r="I514" s="207" t="s">
        <v>4402</v>
      </c>
      <c r="J514" s="215" t="s">
        <v>6635</v>
      </c>
      <c r="K514" s="215" t="s">
        <v>6636</v>
      </c>
      <c r="L514" s="215" t="s">
        <v>6637</v>
      </c>
      <c r="M514" s="207" t="s">
        <v>4405</v>
      </c>
      <c r="N514" s="207" t="s">
        <v>4406</v>
      </c>
      <c r="O514" s="202">
        <v>46147</v>
      </c>
      <c r="P514" s="202" t="s">
        <v>4407</v>
      </c>
      <c r="Q514" s="203">
        <v>46136</v>
      </c>
      <c r="R514" s="202">
        <v>46147</v>
      </c>
      <c r="S514" s="203">
        <v>46156</v>
      </c>
      <c r="T514" s="203">
        <v>46168</v>
      </c>
      <c r="U514" s="203" t="s">
        <v>4408</v>
      </c>
      <c r="V514" s="203" t="s">
        <v>4408</v>
      </c>
      <c r="W514" s="279">
        <v>46196</v>
      </c>
      <c r="X514" s="203">
        <v>46197</v>
      </c>
      <c r="Y514" s="203"/>
      <c r="Z514" s="219"/>
      <c r="AA514" s="215" t="s">
        <v>6635</v>
      </c>
      <c r="AB514" s="215" t="s">
        <v>6636</v>
      </c>
      <c r="AC514" s="215" t="s">
        <v>6637</v>
      </c>
      <c r="AD514" s="217" t="s">
        <v>4402</v>
      </c>
      <c r="AE514" s="207" t="s">
        <v>4405</v>
      </c>
      <c r="AF514" s="218" t="s">
        <v>4409</v>
      </c>
      <c r="AG514" s="218" t="s">
        <v>4409</v>
      </c>
      <c r="AH514" s="207" t="s">
        <v>4410</v>
      </c>
      <c r="AI514" s="214" t="s">
        <v>4411</v>
      </c>
      <c r="AJ514" s="207"/>
      <c r="AK514" s="317">
        <v>46134</v>
      </c>
      <c r="AL514" s="317">
        <v>46134</v>
      </c>
      <c r="AM514" s="317">
        <v>46134</v>
      </c>
      <c r="AN514" s="317">
        <v>46134</v>
      </c>
      <c r="AO514" s="317">
        <v>46134</v>
      </c>
      <c r="AP514" s="317">
        <v>46134</v>
      </c>
      <c r="AQ514" s="314"/>
      <c r="AR514" s="315" t="str">
        <f t="shared" si="32"/>
        <v>FINALIZADO</v>
      </c>
      <c r="AS514" s="207"/>
      <c r="AT514" s="219"/>
      <c r="AU514" s="220"/>
      <c r="AV514" s="219"/>
      <c r="AW514" s="219"/>
      <c r="AX514" s="219"/>
      <c r="AY514" s="219"/>
      <c r="AZ514" s="219"/>
      <c r="BA514" s="219"/>
      <c r="BB514" s="219"/>
      <c r="BC514" s="219"/>
      <c r="BD514" s="208"/>
      <c r="BE514" s="203"/>
      <c r="BF514" s="219"/>
      <c r="BG514" s="219"/>
      <c r="BH514" s="321" t="str">
        <f t="shared" si="33"/>
        <v/>
      </c>
      <c r="BI514" s="98" t="str">
        <f t="shared" si="34"/>
        <v>AA</v>
      </c>
      <c r="BJ514" s="98" t="str">
        <f t="shared" si="35"/>
        <v>NÃO</v>
      </c>
      <c r="BK514" s="219"/>
      <c r="BL514" s="221"/>
      <c r="BM514" s="221"/>
      <c r="BN514" s="219"/>
      <c r="BO514" s="219"/>
      <c r="BP514" s="219"/>
      <c r="BQ514" s="219"/>
      <c r="BR514" s="222"/>
      <c r="BS514" s="161"/>
      <c r="BT514" s="161"/>
      <c r="BU514" s="161"/>
      <c r="BV514" s="161"/>
      <c r="BW514" s="161"/>
      <c r="BX514" s="161"/>
      <c r="BY514" s="161"/>
      <c r="BZ514" s="161"/>
      <c r="CA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  <c r="DA514" s="161"/>
      <c r="DB514" s="161"/>
      <c r="DC514" s="161"/>
      <c r="DD514" s="161"/>
      <c r="DE514" s="161"/>
      <c r="DF514" s="161"/>
      <c r="DG514" s="161"/>
      <c r="DH514" s="161"/>
    </row>
    <row r="515" spans="1:112" s="240" customFormat="1" ht="27" customHeight="1">
      <c r="A515" s="197">
        <v>511</v>
      </c>
      <c r="B515" s="197" t="s">
        <v>4396</v>
      </c>
      <c r="C515" s="207" t="s">
        <v>4413</v>
      </c>
      <c r="D515" s="207">
        <v>1</v>
      </c>
      <c r="E515" s="207" t="s">
        <v>4398</v>
      </c>
      <c r="F515" s="214" t="s">
        <v>6638</v>
      </c>
      <c r="G515" s="207" t="s">
        <v>4400</v>
      </c>
      <c r="H515" s="207" t="s">
        <v>4401</v>
      </c>
      <c r="I515" s="207" t="s">
        <v>4402</v>
      </c>
      <c r="J515" s="215" t="s">
        <v>6639</v>
      </c>
      <c r="K515" s="215" t="s">
        <v>6640</v>
      </c>
      <c r="L515" s="215" t="s">
        <v>6641</v>
      </c>
      <c r="M515" s="207" t="s">
        <v>4405</v>
      </c>
      <c r="N515" s="207" t="s">
        <v>4406</v>
      </c>
      <c r="O515" s="202">
        <v>46084</v>
      </c>
      <c r="P515" s="202" t="s">
        <v>4407</v>
      </c>
      <c r="Q515" s="202">
        <v>46083</v>
      </c>
      <c r="R515" s="203">
        <v>46084</v>
      </c>
      <c r="S515" s="203">
        <v>46087</v>
      </c>
      <c r="T515" s="203">
        <v>46090</v>
      </c>
      <c r="U515" s="202" t="s">
        <v>4408</v>
      </c>
      <c r="V515" s="202" t="s">
        <v>4408</v>
      </c>
      <c r="W515" s="202">
        <v>46101</v>
      </c>
      <c r="X515" s="202">
        <v>46104</v>
      </c>
      <c r="Y515" s="202"/>
      <c r="Z515" s="202"/>
      <c r="AA515" s="215" t="s">
        <v>6639</v>
      </c>
      <c r="AB515" s="215" t="s">
        <v>6640</v>
      </c>
      <c r="AC515" s="215" t="s">
        <v>6641</v>
      </c>
      <c r="AD515" s="217" t="s">
        <v>4402</v>
      </c>
      <c r="AE515" s="207" t="s">
        <v>4405</v>
      </c>
      <c r="AF515" s="218" t="s">
        <v>4409</v>
      </c>
      <c r="AG515" s="218" t="s">
        <v>4409</v>
      </c>
      <c r="AH515" s="207" t="s">
        <v>4410</v>
      </c>
      <c r="AI515" s="214" t="s">
        <v>4411</v>
      </c>
      <c r="AJ515" s="207"/>
      <c r="AK515" s="316">
        <v>46086</v>
      </c>
      <c r="AL515" s="316">
        <v>46086</v>
      </c>
      <c r="AM515" s="316">
        <v>46086</v>
      </c>
      <c r="AN515" s="316">
        <v>46086</v>
      </c>
      <c r="AO515" s="316">
        <v>46086</v>
      </c>
      <c r="AP515" s="316">
        <v>46086</v>
      </c>
      <c r="AQ515" s="314"/>
      <c r="AR515" s="315" t="str">
        <f t="shared" si="32"/>
        <v>FINALIZADO</v>
      </c>
      <c r="AS515" s="207"/>
      <c r="AT515" s="219"/>
      <c r="AU515" s="220"/>
      <c r="AV515" s="219"/>
      <c r="AW515" s="219"/>
      <c r="AX515" s="219"/>
      <c r="AY515" s="219"/>
      <c r="AZ515" s="219"/>
      <c r="BA515" s="219"/>
      <c r="BB515" s="219"/>
      <c r="BC515" s="219"/>
      <c r="BD515" s="208"/>
      <c r="BE515" s="203"/>
      <c r="BF515" s="219"/>
      <c r="BG515" s="219"/>
      <c r="BH515" s="321" t="str">
        <f t="shared" si="33"/>
        <v/>
      </c>
      <c r="BI515" s="98" t="str">
        <f t="shared" si="34"/>
        <v>AA</v>
      </c>
      <c r="BJ515" s="98" t="str">
        <f t="shared" si="35"/>
        <v>NÃO</v>
      </c>
      <c r="BK515" s="219"/>
      <c r="BL515" s="221"/>
      <c r="BM515" s="221"/>
      <c r="BN515" s="219"/>
      <c r="BO515" s="219"/>
      <c r="BP515" s="219"/>
      <c r="BQ515" s="219"/>
      <c r="BR515" s="222"/>
      <c r="BS515" s="161"/>
      <c r="BT515" s="161"/>
      <c r="BU515" s="161"/>
      <c r="BV515" s="161"/>
      <c r="BW515" s="161"/>
      <c r="BX515" s="161"/>
      <c r="BY515" s="161"/>
      <c r="BZ515" s="161"/>
      <c r="CA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  <c r="DA515" s="161"/>
      <c r="DB515" s="161"/>
      <c r="DC515" s="161"/>
      <c r="DD515" s="161"/>
      <c r="DE515" s="161"/>
      <c r="DF515" s="161"/>
      <c r="DG515" s="161"/>
      <c r="DH515" s="161"/>
    </row>
    <row r="516" spans="1:112" s="240" customFormat="1" ht="27" customHeight="1">
      <c r="A516" s="207">
        <v>512</v>
      </c>
      <c r="B516" s="197" t="s">
        <v>4396</v>
      </c>
      <c r="C516" s="207" t="s">
        <v>4413</v>
      </c>
      <c r="D516" s="207">
        <v>1</v>
      </c>
      <c r="E516" s="207" t="s">
        <v>4398</v>
      </c>
      <c r="F516" s="214" t="s">
        <v>6642</v>
      </c>
      <c r="G516" s="207" t="s">
        <v>4400</v>
      </c>
      <c r="H516" s="207" t="s">
        <v>4401</v>
      </c>
      <c r="I516" s="207" t="s">
        <v>4402</v>
      </c>
      <c r="J516" s="215" t="s">
        <v>6643</v>
      </c>
      <c r="K516" s="215" t="s">
        <v>6644</v>
      </c>
      <c r="L516" s="215" t="s">
        <v>6645</v>
      </c>
      <c r="M516" s="207" t="s">
        <v>4405</v>
      </c>
      <c r="N516" s="207" t="s">
        <v>4406</v>
      </c>
      <c r="O516" s="202">
        <v>46084</v>
      </c>
      <c r="P516" s="202" t="s">
        <v>4407</v>
      </c>
      <c r="Q516" s="202">
        <v>46083</v>
      </c>
      <c r="R516" s="203">
        <v>46084</v>
      </c>
      <c r="S516" s="203">
        <v>46087</v>
      </c>
      <c r="T516" s="203">
        <v>46090</v>
      </c>
      <c r="U516" s="202" t="s">
        <v>4408</v>
      </c>
      <c r="V516" s="202" t="s">
        <v>4408</v>
      </c>
      <c r="W516" s="202">
        <v>46101</v>
      </c>
      <c r="X516" s="202">
        <v>46101</v>
      </c>
      <c r="Y516" s="202"/>
      <c r="Z516" s="202"/>
      <c r="AA516" s="215" t="s">
        <v>6643</v>
      </c>
      <c r="AB516" s="215" t="s">
        <v>6644</v>
      </c>
      <c r="AC516" s="215" t="s">
        <v>6645</v>
      </c>
      <c r="AD516" s="217" t="s">
        <v>4402</v>
      </c>
      <c r="AE516" s="207" t="s">
        <v>4405</v>
      </c>
      <c r="AF516" s="218" t="s">
        <v>4409</v>
      </c>
      <c r="AG516" s="218" t="s">
        <v>4409</v>
      </c>
      <c r="AH516" s="207" t="s">
        <v>4410</v>
      </c>
      <c r="AI516" s="214" t="s">
        <v>4411</v>
      </c>
      <c r="AJ516" s="207"/>
      <c r="AK516" s="316">
        <v>46086</v>
      </c>
      <c r="AL516" s="316">
        <v>46086</v>
      </c>
      <c r="AM516" s="316">
        <v>46086</v>
      </c>
      <c r="AN516" s="316">
        <v>46086</v>
      </c>
      <c r="AO516" s="316">
        <v>46086</v>
      </c>
      <c r="AP516" s="316">
        <v>46086</v>
      </c>
      <c r="AQ516" s="314"/>
      <c r="AR516" s="315" t="str">
        <f t="shared" si="32"/>
        <v>FINALIZADO</v>
      </c>
      <c r="AS516" s="207"/>
      <c r="AT516" s="219"/>
      <c r="AU516" s="220"/>
      <c r="AV516" s="161"/>
      <c r="AW516" s="219"/>
      <c r="AX516" s="219"/>
      <c r="AY516" s="219"/>
      <c r="AZ516" s="219"/>
      <c r="BA516" s="219"/>
      <c r="BB516" s="219"/>
      <c r="BC516" s="219"/>
      <c r="BD516" s="208"/>
      <c r="BE516" s="203"/>
      <c r="BF516" s="219"/>
      <c r="BG516" s="219"/>
      <c r="BH516" s="321" t="str">
        <f t="shared" si="33"/>
        <v/>
      </c>
      <c r="BI516" s="98" t="str">
        <f t="shared" si="34"/>
        <v>AA</v>
      </c>
      <c r="BJ516" s="98" t="str">
        <f t="shared" si="35"/>
        <v>NÃO</v>
      </c>
      <c r="BK516" s="219"/>
      <c r="BL516" s="221"/>
      <c r="BM516" s="221"/>
      <c r="BN516" s="219"/>
      <c r="BO516" s="219"/>
      <c r="BP516" s="219"/>
      <c r="BQ516" s="219"/>
      <c r="BR516" s="222"/>
    </row>
    <row r="517" spans="1:112" s="240" customFormat="1" ht="27" customHeight="1">
      <c r="A517" s="207">
        <v>513</v>
      </c>
      <c r="B517" s="197" t="s">
        <v>4396</v>
      </c>
      <c r="C517" s="207" t="s">
        <v>4413</v>
      </c>
      <c r="D517" s="207">
        <v>1</v>
      </c>
      <c r="E517" s="207" t="s">
        <v>4398</v>
      </c>
      <c r="F517" s="214" t="s">
        <v>6646</v>
      </c>
      <c r="G517" s="207" t="s">
        <v>4400</v>
      </c>
      <c r="H517" s="207" t="s">
        <v>4401</v>
      </c>
      <c r="I517" s="207" t="s">
        <v>4402</v>
      </c>
      <c r="J517" s="215" t="s">
        <v>6647</v>
      </c>
      <c r="K517" s="215" t="s">
        <v>6648</v>
      </c>
      <c r="L517" s="215" t="s">
        <v>4608</v>
      </c>
      <c r="M517" s="207" t="s">
        <v>4405</v>
      </c>
      <c r="N517" s="207" t="s">
        <v>4406</v>
      </c>
      <c r="O517" s="202">
        <v>46084</v>
      </c>
      <c r="P517" s="202" t="s">
        <v>4407</v>
      </c>
      <c r="Q517" s="202">
        <v>46083</v>
      </c>
      <c r="R517" s="203">
        <v>46084</v>
      </c>
      <c r="S517" s="203">
        <v>46087</v>
      </c>
      <c r="T517" s="203">
        <v>46090</v>
      </c>
      <c r="U517" s="202" t="s">
        <v>4408</v>
      </c>
      <c r="V517" s="202" t="s">
        <v>4408</v>
      </c>
      <c r="W517" s="202">
        <v>46101</v>
      </c>
      <c r="X517" s="202">
        <v>46101</v>
      </c>
      <c r="Y517" s="202"/>
      <c r="Z517" s="202"/>
      <c r="AA517" s="215" t="s">
        <v>6647</v>
      </c>
      <c r="AB517" s="215" t="s">
        <v>6648</v>
      </c>
      <c r="AC517" s="215" t="s">
        <v>4608</v>
      </c>
      <c r="AD517" s="217" t="s">
        <v>4402</v>
      </c>
      <c r="AE517" s="207" t="s">
        <v>4405</v>
      </c>
      <c r="AF517" s="218" t="s">
        <v>4409</v>
      </c>
      <c r="AG517" s="218" t="s">
        <v>4409</v>
      </c>
      <c r="AH517" s="207" t="s">
        <v>4410</v>
      </c>
      <c r="AI517" s="214" t="s">
        <v>4411</v>
      </c>
      <c r="AJ517" s="207"/>
      <c r="AK517" s="316">
        <v>46080</v>
      </c>
      <c r="AL517" s="316">
        <v>46080</v>
      </c>
      <c r="AM517" s="316">
        <v>46080</v>
      </c>
      <c r="AN517" s="316">
        <v>46080</v>
      </c>
      <c r="AO517" s="316">
        <v>46080</v>
      </c>
      <c r="AP517" s="316">
        <v>46080</v>
      </c>
      <c r="AQ517" s="314"/>
      <c r="AR517" s="315" t="str">
        <f t="shared" si="32"/>
        <v>FINALIZADO</v>
      </c>
      <c r="AS517" s="207"/>
      <c r="AT517" s="219"/>
      <c r="AU517" s="220"/>
      <c r="AV517" s="219"/>
      <c r="AW517" s="219"/>
      <c r="AX517" s="219"/>
      <c r="AY517" s="219"/>
      <c r="AZ517" s="219"/>
      <c r="BA517" s="219"/>
      <c r="BB517" s="219"/>
      <c r="BC517" s="219"/>
      <c r="BD517" s="208"/>
      <c r="BE517" s="203"/>
      <c r="BF517" s="219"/>
      <c r="BG517" s="219"/>
      <c r="BH517" s="321" t="str">
        <f t="shared" si="33"/>
        <v/>
      </c>
      <c r="BI517" s="98" t="str">
        <f t="shared" si="34"/>
        <v>AA</v>
      </c>
      <c r="BJ517" s="98" t="str">
        <f t="shared" si="35"/>
        <v>NÃO</v>
      </c>
      <c r="BK517" s="219"/>
      <c r="BL517" s="221"/>
      <c r="BM517" s="221"/>
      <c r="BN517" s="219"/>
      <c r="BO517" s="219"/>
      <c r="BP517" s="219"/>
      <c r="BQ517" s="219"/>
      <c r="BR517" s="222"/>
    </row>
    <row r="518" spans="1:112" s="240" customFormat="1" ht="27" customHeight="1">
      <c r="A518" s="207">
        <v>514</v>
      </c>
      <c r="B518" s="197" t="s">
        <v>4396</v>
      </c>
      <c r="C518" s="207" t="s">
        <v>4413</v>
      </c>
      <c r="D518" s="207">
        <v>1</v>
      </c>
      <c r="E518" s="207" t="s">
        <v>4398</v>
      </c>
      <c r="F518" s="214" t="s">
        <v>6649</v>
      </c>
      <c r="G518" s="207" t="s">
        <v>4400</v>
      </c>
      <c r="H518" s="207" t="s">
        <v>4401</v>
      </c>
      <c r="I518" s="207" t="s">
        <v>4402</v>
      </c>
      <c r="J518" s="215" t="s">
        <v>6650</v>
      </c>
      <c r="K518" s="215" t="s">
        <v>6651</v>
      </c>
      <c r="L518" s="215" t="s">
        <v>6652</v>
      </c>
      <c r="M518" s="207" t="s">
        <v>4405</v>
      </c>
      <c r="N518" s="207" t="s">
        <v>4406</v>
      </c>
      <c r="O518" s="203">
        <v>46090</v>
      </c>
      <c r="P518" s="203" t="s">
        <v>4407</v>
      </c>
      <c r="Q518" s="202">
        <v>46090</v>
      </c>
      <c r="R518" s="202">
        <v>46099</v>
      </c>
      <c r="S518" s="202">
        <v>46101</v>
      </c>
      <c r="T518" s="202">
        <v>46118</v>
      </c>
      <c r="U518" s="202" t="s">
        <v>4408</v>
      </c>
      <c r="V518" s="202" t="s">
        <v>4408</v>
      </c>
      <c r="W518" s="202">
        <v>46118</v>
      </c>
      <c r="X518" s="202">
        <v>46118</v>
      </c>
      <c r="Y518" s="202"/>
      <c r="Z518" s="202"/>
      <c r="AA518" s="215" t="s">
        <v>6650</v>
      </c>
      <c r="AB518" s="215" t="s">
        <v>6651</v>
      </c>
      <c r="AC518" s="215" t="s">
        <v>6652</v>
      </c>
      <c r="AD518" s="217" t="s">
        <v>4402</v>
      </c>
      <c r="AE518" s="207" t="s">
        <v>4405</v>
      </c>
      <c r="AF518" s="218" t="s">
        <v>4409</v>
      </c>
      <c r="AG518" s="218" t="s">
        <v>4409</v>
      </c>
      <c r="AH518" s="207" t="s">
        <v>4410</v>
      </c>
      <c r="AI518" s="214" t="s">
        <v>4411</v>
      </c>
      <c r="AJ518" s="207"/>
      <c r="AK518" s="316">
        <v>46086</v>
      </c>
      <c r="AL518" s="316">
        <v>46086</v>
      </c>
      <c r="AM518" s="316">
        <v>46086</v>
      </c>
      <c r="AN518" s="316">
        <v>46086</v>
      </c>
      <c r="AO518" s="316">
        <v>46086</v>
      </c>
      <c r="AP518" s="316">
        <v>46086</v>
      </c>
      <c r="AQ518" s="314"/>
      <c r="AR518" s="315" t="str">
        <f t="shared" ref="AR518:AR581" si="36">IF(AQ518="SIM","AGUARDANDO CORREÇÃO",IF(AP518&lt;&gt;"","FINALIZADO",IF(AO518&lt;&gt;"","AGUARDANDO ENVIO DTS",IF(AN518&lt;&gt;"","AGUARDANDO ASSINATURA GAB",IF(AM518&lt;&gt;"","AGUARDANDO ASSINATURA CTS",IF(AL518&lt;&gt;"","AGUARDANDO ENVIO ASSINATURA CTS",IF(AK518&lt;&gt;"","AGUARDANDO CONFERÊNCIA","")))))))</f>
        <v>FINALIZADO</v>
      </c>
      <c r="AS518" s="207"/>
      <c r="AT518" s="219"/>
      <c r="AU518" s="220"/>
      <c r="AV518" s="219"/>
      <c r="AW518" s="219"/>
      <c r="AX518" s="219"/>
      <c r="AY518" s="219"/>
      <c r="AZ518" s="219"/>
      <c r="BA518" s="219"/>
      <c r="BB518" s="219"/>
      <c r="BC518" s="219"/>
      <c r="BD518" s="208"/>
      <c r="BE518" s="203"/>
      <c r="BF518" s="219"/>
      <c r="BG518" s="219"/>
      <c r="BH518" s="321" t="str">
        <f t="shared" ref="BH518:BH582" si="37">IFERROR(IF(BD518-KI518=0,"",BD518-AK518),"")</f>
        <v/>
      </c>
      <c r="BI518" s="98" t="str">
        <f t="shared" ref="BI518:BI582" si="38">IF(AND(AH518&lt;&gt;"SIM",AH518="UH"),"AA","INDENIZAÇÃO")</f>
        <v>AA</v>
      </c>
      <c r="BJ518" s="98" t="str">
        <f t="shared" ref="BJ518:BJ582" si="39">IF(AND(BD518&lt;&gt;"AGUARDANDO",BD518&lt;&gt;"",N518="AUXÍLIO ALUGUEL ATÉ INDENIZAÇÃO"),"SIM","NÃO")</f>
        <v>NÃO</v>
      </c>
      <c r="BK518" s="219"/>
      <c r="BL518" s="221"/>
      <c r="BM518" s="221"/>
      <c r="BN518" s="219"/>
      <c r="BO518" s="219"/>
      <c r="BP518" s="219"/>
      <c r="BQ518" s="219"/>
      <c r="BR518" s="222"/>
    </row>
    <row r="519" spans="1:112" s="240" customFormat="1" ht="27" customHeight="1">
      <c r="A519" s="197">
        <v>515</v>
      </c>
      <c r="B519" s="197" t="s">
        <v>4396</v>
      </c>
      <c r="C519" s="207" t="s">
        <v>4413</v>
      </c>
      <c r="D519" s="207">
        <v>1</v>
      </c>
      <c r="E519" s="207" t="s">
        <v>4398</v>
      </c>
      <c r="F519" s="214" t="s">
        <v>6653</v>
      </c>
      <c r="G519" s="207" t="s">
        <v>4400</v>
      </c>
      <c r="H519" s="207" t="s">
        <v>4401</v>
      </c>
      <c r="I519" s="207" t="s">
        <v>4402</v>
      </c>
      <c r="J519" s="215" t="s">
        <v>6654</v>
      </c>
      <c r="K519" s="215" t="s">
        <v>6655</v>
      </c>
      <c r="L519" s="215" t="s">
        <v>6656</v>
      </c>
      <c r="M519" s="207" t="s">
        <v>4405</v>
      </c>
      <c r="N519" s="207" t="s">
        <v>4406</v>
      </c>
      <c r="O519" s="202">
        <v>46147</v>
      </c>
      <c r="P519" s="202" t="s">
        <v>4407</v>
      </c>
      <c r="Q519" s="203">
        <v>46136</v>
      </c>
      <c r="R519" s="202">
        <v>46147</v>
      </c>
      <c r="S519" s="203">
        <v>46156</v>
      </c>
      <c r="T519" s="203">
        <v>46168</v>
      </c>
      <c r="U519" s="203" t="s">
        <v>4408</v>
      </c>
      <c r="V519" s="203" t="s">
        <v>4408</v>
      </c>
      <c r="W519" s="279">
        <v>46196</v>
      </c>
      <c r="X519" s="203">
        <v>46197</v>
      </c>
      <c r="Y519" s="203"/>
      <c r="Z519" s="219"/>
      <c r="AA519" s="215" t="s">
        <v>6654</v>
      </c>
      <c r="AB519" s="215" t="s">
        <v>6655</v>
      </c>
      <c r="AC519" s="215" t="s">
        <v>6656</v>
      </c>
      <c r="AD519" s="217" t="s">
        <v>4402</v>
      </c>
      <c r="AE519" s="207" t="s">
        <v>4405</v>
      </c>
      <c r="AF519" s="218" t="s">
        <v>4409</v>
      </c>
      <c r="AG519" s="218" t="s">
        <v>4409</v>
      </c>
      <c r="AH519" s="207" t="s">
        <v>4410</v>
      </c>
      <c r="AI519" s="214" t="s">
        <v>4411</v>
      </c>
      <c r="AJ519" s="207"/>
      <c r="AK519" s="317">
        <v>46134</v>
      </c>
      <c r="AL519" s="317">
        <v>46134</v>
      </c>
      <c r="AM519" s="317">
        <v>46134</v>
      </c>
      <c r="AN519" s="317">
        <v>46134</v>
      </c>
      <c r="AO519" s="317">
        <v>46134</v>
      </c>
      <c r="AP519" s="317">
        <v>46134</v>
      </c>
      <c r="AQ519" s="314"/>
      <c r="AR519" s="315" t="str">
        <f t="shared" si="36"/>
        <v>FINALIZADO</v>
      </c>
      <c r="AS519" s="207"/>
      <c r="AT519" s="219"/>
      <c r="AU519" s="220"/>
      <c r="AV519" s="219"/>
      <c r="AW519" s="219"/>
      <c r="AX519" s="219"/>
      <c r="AY519" s="219"/>
      <c r="AZ519" s="219"/>
      <c r="BA519" s="219"/>
      <c r="BB519" s="219"/>
      <c r="BC519" s="219"/>
      <c r="BD519" s="208"/>
      <c r="BE519" s="203"/>
      <c r="BF519" s="219"/>
      <c r="BG519" s="219"/>
      <c r="BH519" s="321" t="str">
        <f t="shared" si="37"/>
        <v/>
      </c>
      <c r="BI519" s="98" t="str">
        <f t="shared" si="38"/>
        <v>AA</v>
      </c>
      <c r="BJ519" s="98" t="str">
        <f t="shared" si="39"/>
        <v>NÃO</v>
      </c>
      <c r="BK519" s="219"/>
      <c r="BL519" s="221"/>
      <c r="BM519" s="221"/>
      <c r="BN519" s="219"/>
      <c r="BO519" s="219"/>
      <c r="BP519" s="219"/>
      <c r="BQ519" s="219"/>
      <c r="BR519" s="222"/>
    </row>
    <row r="520" spans="1:112" s="240" customFormat="1" ht="27" customHeight="1">
      <c r="A520" s="197">
        <v>516</v>
      </c>
      <c r="B520" s="197" t="s">
        <v>4396</v>
      </c>
      <c r="C520" s="207" t="s">
        <v>4413</v>
      </c>
      <c r="D520" s="207">
        <v>1</v>
      </c>
      <c r="E520" s="207" t="s">
        <v>4398</v>
      </c>
      <c r="F520" s="214" t="s">
        <v>6657</v>
      </c>
      <c r="G520" s="207" t="s">
        <v>4400</v>
      </c>
      <c r="H520" s="207" t="s">
        <v>4401</v>
      </c>
      <c r="I520" s="207" t="s">
        <v>4402</v>
      </c>
      <c r="J520" s="215" t="s">
        <v>6658</v>
      </c>
      <c r="K520" s="215" t="s">
        <v>6659</v>
      </c>
      <c r="L520" s="215" t="s">
        <v>6660</v>
      </c>
      <c r="M520" s="207" t="s">
        <v>4405</v>
      </c>
      <c r="N520" s="207" t="s">
        <v>4406</v>
      </c>
      <c r="O520" s="202">
        <v>46126</v>
      </c>
      <c r="P520" s="202" t="s">
        <v>4407</v>
      </c>
      <c r="Q520" s="203">
        <v>46126</v>
      </c>
      <c r="R520" s="203">
        <v>46126</v>
      </c>
      <c r="S520" s="203">
        <v>46136</v>
      </c>
      <c r="T520" s="203">
        <v>46140</v>
      </c>
      <c r="U520" s="203" t="s">
        <v>4408</v>
      </c>
      <c r="V520" s="203" t="s">
        <v>4408</v>
      </c>
      <c r="W520" s="202">
        <v>46153</v>
      </c>
      <c r="X520" s="203">
        <v>46154</v>
      </c>
      <c r="Y520" s="203"/>
      <c r="Z520" s="219"/>
      <c r="AA520" s="215" t="s">
        <v>6658</v>
      </c>
      <c r="AB520" s="215" t="s">
        <v>6659</v>
      </c>
      <c r="AC520" s="215" t="s">
        <v>6660</v>
      </c>
      <c r="AD520" s="217" t="s">
        <v>4402</v>
      </c>
      <c r="AE520" s="207" t="s">
        <v>4405</v>
      </c>
      <c r="AF520" s="218" t="s">
        <v>4409</v>
      </c>
      <c r="AG520" s="218" t="s">
        <v>4409</v>
      </c>
      <c r="AH520" s="207" t="s">
        <v>4410</v>
      </c>
      <c r="AI520" s="214" t="s">
        <v>4411</v>
      </c>
      <c r="AJ520" s="207"/>
      <c r="AK520" s="317">
        <v>46134</v>
      </c>
      <c r="AL520" s="317">
        <v>46134</v>
      </c>
      <c r="AM520" s="317">
        <v>46134</v>
      </c>
      <c r="AN520" s="317">
        <v>46134</v>
      </c>
      <c r="AO520" s="317">
        <v>46134</v>
      </c>
      <c r="AP520" s="317">
        <v>46134</v>
      </c>
      <c r="AQ520" s="314"/>
      <c r="AR520" s="315" t="str">
        <f t="shared" si="36"/>
        <v>FINALIZADO</v>
      </c>
      <c r="AS520" s="207"/>
      <c r="AT520" s="219"/>
      <c r="AU520" s="220"/>
      <c r="AV520" s="219"/>
      <c r="AW520" s="219"/>
      <c r="AX520" s="219"/>
      <c r="AY520" s="219"/>
      <c r="AZ520" s="219"/>
      <c r="BA520" s="219"/>
      <c r="BB520" s="219"/>
      <c r="BC520" s="219"/>
      <c r="BD520" s="208"/>
      <c r="BE520" s="203"/>
      <c r="BF520" s="219"/>
      <c r="BG520" s="219"/>
      <c r="BH520" s="321" t="str">
        <f t="shared" si="37"/>
        <v/>
      </c>
      <c r="BI520" s="98" t="str">
        <f t="shared" si="38"/>
        <v>AA</v>
      </c>
      <c r="BJ520" s="98" t="str">
        <f t="shared" si="39"/>
        <v>NÃO</v>
      </c>
      <c r="BK520" s="219"/>
      <c r="BL520" s="221"/>
      <c r="BM520" s="221"/>
      <c r="BN520" s="219"/>
      <c r="BO520" s="219"/>
      <c r="BP520" s="219"/>
      <c r="BQ520" s="219"/>
      <c r="BR520" s="222"/>
      <c r="BS520" s="161"/>
      <c r="BT520" s="161"/>
      <c r="BU520" s="161"/>
      <c r="BV520" s="161"/>
      <c r="BW520" s="161"/>
      <c r="BX520" s="161"/>
      <c r="BY520" s="161"/>
      <c r="BZ520" s="161"/>
      <c r="CA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  <c r="DA520" s="161"/>
      <c r="DB520" s="161"/>
      <c r="DC520" s="161"/>
      <c r="DD520" s="161"/>
      <c r="DE520" s="161"/>
      <c r="DF520" s="161"/>
      <c r="DG520" s="161"/>
      <c r="DH520" s="161"/>
    </row>
    <row r="521" spans="1:112" s="240" customFormat="1" ht="27" customHeight="1">
      <c r="A521" s="207">
        <v>517</v>
      </c>
      <c r="B521" s="197" t="s">
        <v>4396</v>
      </c>
      <c r="C521" s="207" t="s">
        <v>4413</v>
      </c>
      <c r="D521" s="207">
        <v>1</v>
      </c>
      <c r="E521" s="207" t="s">
        <v>4398</v>
      </c>
      <c r="F521" s="214" t="s">
        <v>6661</v>
      </c>
      <c r="G521" s="207" t="s">
        <v>4400</v>
      </c>
      <c r="H521" s="207" t="s">
        <v>4401</v>
      </c>
      <c r="I521" s="207" t="s">
        <v>4402</v>
      </c>
      <c r="J521" s="215" t="s">
        <v>6662</v>
      </c>
      <c r="K521" s="215" t="s">
        <v>6663</v>
      </c>
      <c r="L521" s="215" t="s">
        <v>6664</v>
      </c>
      <c r="M521" s="207" t="s">
        <v>4405</v>
      </c>
      <c r="N521" s="207" t="s">
        <v>4432</v>
      </c>
      <c r="O521" s="202" t="s">
        <v>4409</v>
      </c>
      <c r="P521" s="202" t="s">
        <v>4409</v>
      </c>
      <c r="Q521" s="202" t="s">
        <v>4409</v>
      </c>
      <c r="R521" s="202" t="s">
        <v>4409</v>
      </c>
      <c r="S521" s="202" t="s">
        <v>4409</v>
      </c>
      <c r="T521" s="202" t="s">
        <v>4409</v>
      </c>
      <c r="U521" s="202" t="s">
        <v>4409</v>
      </c>
      <c r="V521" s="202" t="s">
        <v>4409</v>
      </c>
      <c r="W521" s="202" t="s">
        <v>4409</v>
      </c>
      <c r="X521" s="202" t="s">
        <v>4409</v>
      </c>
      <c r="Y521" s="203"/>
      <c r="Z521" s="219"/>
      <c r="AA521" s="215" t="s">
        <v>6662</v>
      </c>
      <c r="AB521" s="215" t="s">
        <v>6663</v>
      </c>
      <c r="AC521" s="215" t="s">
        <v>6664</v>
      </c>
      <c r="AD521" s="217" t="s">
        <v>4402</v>
      </c>
      <c r="AE521" s="207" t="s">
        <v>4405</v>
      </c>
      <c r="AF521" s="218">
        <v>48241.26</v>
      </c>
      <c r="AG521" s="218">
        <v>60000</v>
      </c>
      <c r="AH521" s="207" t="s">
        <v>4422</v>
      </c>
      <c r="AI521" s="214" t="s">
        <v>4411</v>
      </c>
      <c r="AJ521" s="207">
        <v>158037812</v>
      </c>
      <c r="AK521" s="317">
        <v>46188</v>
      </c>
      <c r="AL521" s="317">
        <v>46188</v>
      </c>
      <c r="AM521" s="317">
        <v>46188</v>
      </c>
      <c r="AN521" s="317">
        <v>46188</v>
      </c>
      <c r="AO521" s="317">
        <v>46188</v>
      </c>
      <c r="AP521" s="317">
        <v>46188</v>
      </c>
      <c r="AQ521" s="314"/>
      <c r="AR521" s="315" t="str">
        <f t="shared" si="36"/>
        <v>FINALIZADO</v>
      </c>
      <c r="AS521" s="207" t="s">
        <v>4423</v>
      </c>
      <c r="AT521" s="219"/>
      <c r="AU521" s="220" t="s">
        <v>6665</v>
      </c>
      <c r="AV521" s="207" t="s">
        <v>4425</v>
      </c>
      <c r="AW521" s="197" t="s">
        <v>4425</v>
      </c>
      <c r="AX521" s="207" t="s">
        <v>4818</v>
      </c>
      <c r="AY521" s="207" t="s">
        <v>4818</v>
      </c>
      <c r="AZ521" s="202">
        <v>46233</v>
      </c>
      <c r="BA521" s="207" t="s">
        <v>4818</v>
      </c>
      <c r="BB521" s="207" t="s">
        <v>4818</v>
      </c>
      <c r="BC521" s="202">
        <v>46234</v>
      </c>
      <c r="BD521" s="226">
        <v>46234</v>
      </c>
      <c r="BE521" s="257" t="s">
        <v>4435</v>
      </c>
      <c r="BF521" s="257" t="s">
        <v>4436</v>
      </c>
      <c r="BG521" s="219" t="s">
        <v>4425</v>
      </c>
      <c r="BH521" s="321">
        <f t="shared" si="37"/>
        <v>46</v>
      </c>
      <c r="BI521" s="98" t="str">
        <f t="shared" si="38"/>
        <v>INDENIZAÇÃO</v>
      </c>
      <c r="BJ521" s="98" t="str">
        <f t="shared" si="39"/>
        <v>NÃO</v>
      </c>
      <c r="BK521" s="219" t="s">
        <v>4437</v>
      </c>
      <c r="BL521" s="219" t="s">
        <v>4437</v>
      </c>
      <c r="BM521" s="219" t="s">
        <v>4437</v>
      </c>
      <c r="BN521" s="257" t="s">
        <v>5732</v>
      </c>
      <c r="BO521" s="257"/>
      <c r="BP521" s="257"/>
      <c r="BQ521" s="257"/>
      <c r="BR521" s="258"/>
      <c r="BS521" s="223"/>
      <c r="BT521" s="161"/>
      <c r="BU521" s="161"/>
      <c r="BV521" s="161"/>
      <c r="BW521" s="161"/>
      <c r="BX521" s="161"/>
      <c r="BY521" s="161"/>
      <c r="BZ521" s="161"/>
      <c r="CA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  <c r="DA521" s="161"/>
      <c r="DB521" s="161"/>
      <c r="DC521" s="161"/>
      <c r="DD521" s="161"/>
      <c r="DE521" s="161"/>
      <c r="DF521" s="161"/>
      <c r="DG521" s="161"/>
      <c r="DH521" s="161"/>
    </row>
    <row r="522" spans="1:112" s="240" customFormat="1" ht="27" customHeight="1">
      <c r="A522" s="207">
        <v>518</v>
      </c>
      <c r="B522" s="197" t="s">
        <v>4396</v>
      </c>
      <c r="C522" s="207" t="s">
        <v>4413</v>
      </c>
      <c r="D522" s="207">
        <v>1</v>
      </c>
      <c r="E522" s="207" t="s">
        <v>4398</v>
      </c>
      <c r="F522" s="214" t="s">
        <v>6666</v>
      </c>
      <c r="G522" s="207" t="s">
        <v>4400</v>
      </c>
      <c r="H522" s="207" t="s">
        <v>4401</v>
      </c>
      <c r="I522" s="207" t="s">
        <v>4402</v>
      </c>
      <c r="J522" s="215" t="s">
        <v>6667</v>
      </c>
      <c r="K522" s="215" t="s">
        <v>6668</v>
      </c>
      <c r="L522" s="215" t="s">
        <v>6669</v>
      </c>
      <c r="M522" s="207" t="s">
        <v>4405</v>
      </c>
      <c r="N522" s="207" t="s">
        <v>4406</v>
      </c>
      <c r="O522" s="203">
        <v>46090</v>
      </c>
      <c r="P522" s="203" t="s">
        <v>4407</v>
      </c>
      <c r="Q522" s="202">
        <v>46090</v>
      </c>
      <c r="R522" s="202">
        <v>46099</v>
      </c>
      <c r="S522" s="202">
        <v>46101</v>
      </c>
      <c r="T522" s="202">
        <v>46118</v>
      </c>
      <c r="U522" s="202" t="s">
        <v>4408</v>
      </c>
      <c r="V522" s="202" t="s">
        <v>4408</v>
      </c>
      <c r="W522" s="202">
        <v>46118</v>
      </c>
      <c r="X522" s="202">
        <v>46118</v>
      </c>
      <c r="Y522" s="202"/>
      <c r="Z522" s="202"/>
      <c r="AA522" s="215" t="s">
        <v>6667</v>
      </c>
      <c r="AB522" s="215" t="s">
        <v>6668</v>
      </c>
      <c r="AC522" s="215" t="s">
        <v>6669</v>
      </c>
      <c r="AD522" s="217" t="s">
        <v>4402</v>
      </c>
      <c r="AE522" s="207" t="s">
        <v>4405</v>
      </c>
      <c r="AF522" s="218" t="s">
        <v>4409</v>
      </c>
      <c r="AG522" s="218" t="s">
        <v>4409</v>
      </c>
      <c r="AH522" s="207" t="s">
        <v>4410</v>
      </c>
      <c r="AI522" s="214" t="s">
        <v>4411</v>
      </c>
      <c r="AJ522" s="207"/>
      <c r="AK522" s="316">
        <v>46086</v>
      </c>
      <c r="AL522" s="316">
        <v>46086</v>
      </c>
      <c r="AM522" s="316">
        <v>46086</v>
      </c>
      <c r="AN522" s="316">
        <v>46086</v>
      </c>
      <c r="AO522" s="316">
        <v>46086</v>
      </c>
      <c r="AP522" s="316">
        <v>46086</v>
      </c>
      <c r="AQ522" s="314"/>
      <c r="AR522" s="315" t="str">
        <f t="shared" si="36"/>
        <v>FINALIZADO</v>
      </c>
      <c r="AS522" s="207"/>
      <c r="AT522" s="219"/>
      <c r="AU522" s="220"/>
      <c r="AV522" s="219"/>
      <c r="AW522" s="219"/>
      <c r="AX522" s="219"/>
      <c r="AY522" s="254"/>
      <c r="AZ522" s="219"/>
      <c r="BA522" s="219"/>
      <c r="BB522" s="219"/>
      <c r="BC522" s="219"/>
      <c r="BD522" s="208"/>
      <c r="BE522" s="203"/>
      <c r="BF522" s="219"/>
      <c r="BG522" s="219"/>
      <c r="BH522" s="321" t="str">
        <f t="shared" si="37"/>
        <v/>
      </c>
      <c r="BI522" s="98" t="str">
        <f t="shared" si="38"/>
        <v>AA</v>
      </c>
      <c r="BJ522" s="98" t="str">
        <f t="shared" si="39"/>
        <v>NÃO</v>
      </c>
      <c r="BK522" s="219"/>
      <c r="BL522" s="221"/>
      <c r="BM522" s="221"/>
      <c r="BN522" s="219"/>
      <c r="BO522" s="219"/>
      <c r="BP522" s="219"/>
      <c r="BQ522" s="219"/>
      <c r="BR522" s="222"/>
      <c r="BS522" s="161"/>
      <c r="BT522" s="161"/>
      <c r="BU522" s="161"/>
      <c r="BV522" s="161"/>
      <c r="BW522" s="161"/>
      <c r="BX522" s="161"/>
      <c r="BY522" s="161"/>
      <c r="BZ522" s="161"/>
      <c r="CA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  <c r="DA522" s="161"/>
      <c r="DB522" s="161"/>
      <c r="DC522" s="161"/>
      <c r="DD522" s="161"/>
      <c r="DE522" s="161"/>
      <c r="DF522" s="161"/>
      <c r="DG522" s="161"/>
      <c r="DH522" s="161"/>
    </row>
    <row r="523" spans="1:112" s="240" customFormat="1" ht="27" customHeight="1">
      <c r="A523" s="207">
        <v>519</v>
      </c>
      <c r="B523" s="197" t="s">
        <v>4396</v>
      </c>
      <c r="C523" s="207" t="s">
        <v>4413</v>
      </c>
      <c r="D523" s="207">
        <v>1</v>
      </c>
      <c r="E523" s="207" t="s">
        <v>4398</v>
      </c>
      <c r="F523" s="214" t="s">
        <v>6670</v>
      </c>
      <c r="G523" s="207" t="s">
        <v>4400</v>
      </c>
      <c r="H523" s="207" t="s">
        <v>4401</v>
      </c>
      <c r="I523" s="207" t="s">
        <v>4402</v>
      </c>
      <c r="J523" s="215" t="s">
        <v>6671</v>
      </c>
      <c r="K523" s="215" t="s">
        <v>6672</v>
      </c>
      <c r="L523" s="215" t="s">
        <v>6673</v>
      </c>
      <c r="M523" s="207" t="s">
        <v>4405</v>
      </c>
      <c r="N523" s="207" t="s">
        <v>4406</v>
      </c>
      <c r="O523" s="202">
        <v>46084</v>
      </c>
      <c r="P523" s="202" t="s">
        <v>4407</v>
      </c>
      <c r="Q523" s="202">
        <v>46083</v>
      </c>
      <c r="R523" s="203">
        <v>46084</v>
      </c>
      <c r="S523" s="203">
        <v>46087</v>
      </c>
      <c r="T523" s="203">
        <v>46090</v>
      </c>
      <c r="U523" s="202" t="s">
        <v>4408</v>
      </c>
      <c r="V523" s="202" t="s">
        <v>4408</v>
      </c>
      <c r="W523" s="202">
        <v>46101</v>
      </c>
      <c r="X523" s="202">
        <v>46101</v>
      </c>
      <c r="Y523" s="202"/>
      <c r="Z523" s="202"/>
      <c r="AA523" s="215" t="s">
        <v>6671</v>
      </c>
      <c r="AB523" s="215" t="s">
        <v>6672</v>
      </c>
      <c r="AC523" s="215" t="s">
        <v>6673</v>
      </c>
      <c r="AD523" s="217" t="s">
        <v>4402</v>
      </c>
      <c r="AE523" s="207" t="s">
        <v>4405</v>
      </c>
      <c r="AF523" s="218" t="s">
        <v>4409</v>
      </c>
      <c r="AG523" s="218" t="s">
        <v>4409</v>
      </c>
      <c r="AH523" s="207" t="s">
        <v>4410</v>
      </c>
      <c r="AI523" s="214" t="s">
        <v>4411</v>
      </c>
      <c r="AJ523" s="207"/>
      <c r="AK523" s="316">
        <v>46080</v>
      </c>
      <c r="AL523" s="316">
        <v>46080</v>
      </c>
      <c r="AM523" s="316">
        <v>46080</v>
      </c>
      <c r="AN523" s="316">
        <v>46080</v>
      </c>
      <c r="AO523" s="316">
        <v>46080</v>
      </c>
      <c r="AP523" s="316">
        <v>46080</v>
      </c>
      <c r="AQ523" s="314"/>
      <c r="AR523" s="315" t="str">
        <f t="shared" si="36"/>
        <v>FINALIZADO</v>
      </c>
      <c r="AS523" s="207"/>
      <c r="AT523" s="217"/>
      <c r="AU523" s="220"/>
      <c r="AV523" s="217"/>
      <c r="AW523" s="217"/>
      <c r="AX523" s="217"/>
      <c r="AY523" s="217"/>
      <c r="AZ523" s="217"/>
      <c r="BA523" s="217"/>
      <c r="BB523" s="217"/>
      <c r="BC523" s="217"/>
      <c r="BD523" s="208"/>
      <c r="BE523" s="216"/>
      <c r="BF523" s="217"/>
      <c r="BG523" s="219"/>
      <c r="BH523" s="321" t="str">
        <f t="shared" si="37"/>
        <v/>
      </c>
      <c r="BI523" s="98" t="str">
        <f t="shared" si="38"/>
        <v>AA</v>
      </c>
      <c r="BJ523" s="98" t="str">
        <f t="shared" si="39"/>
        <v>NÃO</v>
      </c>
      <c r="BK523" s="219"/>
      <c r="BL523" s="221"/>
      <c r="BM523" s="221"/>
      <c r="BN523" s="219"/>
      <c r="BO523" s="219"/>
      <c r="BP523" s="219"/>
      <c r="BQ523" s="219"/>
      <c r="BR523" s="222"/>
    </row>
    <row r="524" spans="1:112" s="240" customFormat="1" ht="27" customHeight="1">
      <c r="A524" s="197">
        <v>520</v>
      </c>
      <c r="B524" s="197" t="s">
        <v>4396</v>
      </c>
      <c r="C524" s="207" t="s">
        <v>4413</v>
      </c>
      <c r="D524" s="207">
        <v>1</v>
      </c>
      <c r="E524" s="207" t="s">
        <v>4398</v>
      </c>
      <c r="F524" s="214" t="s">
        <v>6674</v>
      </c>
      <c r="G524" s="207" t="s">
        <v>4400</v>
      </c>
      <c r="H524" s="207" t="s">
        <v>4401</v>
      </c>
      <c r="I524" s="207" t="s">
        <v>4402</v>
      </c>
      <c r="J524" s="215" t="s">
        <v>6675</v>
      </c>
      <c r="K524" s="215" t="s">
        <v>6676</v>
      </c>
      <c r="L524" s="215" t="s">
        <v>6677</v>
      </c>
      <c r="M524" s="207" t="s">
        <v>4405</v>
      </c>
      <c r="N524" s="207" t="s">
        <v>4406</v>
      </c>
      <c r="O524" s="203">
        <v>46090</v>
      </c>
      <c r="P524" s="203" t="s">
        <v>4407</v>
      </c>
      <c r="Q524" s="202">
        <v>46090</v>
      </c>
      <c r="R524" s="202">
        <v>46099</v>
      </c>
      <c r="S524" s="202">
        <v>46101</v>
      </c>
      <c r="T524" s="202">
        <v>46118</v>
      </c>
      <c r="U524" s="202" t="s">
        <v>4408</v>
      </c>
      <c r="V524" s="202" t="s">
        <v>4408</v>
      </c>
      <c r="W524" s="202">
        <v>46118</v>
      </c>
      <c r="X524" s="202">
        <v>46118</v>
      </c>
      <c r="Y524" s="202"/>
      <c r="Z524" s="202"/>
      <c r="AA524" s="215" t="s">
        <v>6675</v>
      </c>
      <c r="AB524" s="215" t="s">
        <v>6676</v>
      </c>
      <c r="AC524" s="215" t="s">
        <v>6677</v>
      </c>
      <c r="AD524" s="217" t="s">
        <v>4402</v>
      </c>
      <c r="AE524" s="207" t="s">
        <v>4405</v>
      </c>
      <c r="AF524" s="218" t="s">
        <v>4409</v>
      </c>
      <c r="AG524" s="218" t="s">
        <v>4409</v>
      </c>
      <c r="AH524" s="207" t="s">
        <v>4410</v>
      </c>
      <c r="AI524" s="214" t="s">
        <v>4411</v>
      </c>
      <c r="AJ524" s="207"/>
      <c r="AK524" s="316">
        <v>46086</v>
      </c>
      <c r="AL524" s="316">
        <v>46086</v>
      </c>
      <c r="AM524" s="316">
        <v>46086</v>
      </c>
      <c r="AN524" s="316">
        <v>46086</v>
      </c>
      <c r="AO524" s="316">
        <v>46086</v>
      </c>
      <c r="AP524" s="316">
        <v>46086</v>
      </c>
      <c r="AQ524" s="314"/>
      <c r="AR524" s="315" t="str">
        <f t="shared" si="36"/>
        <v>FINALIZADO</v>
      </c>
      <c r="AS524" s="207"/>
      <c r="AT524" s="219"/>
      <c r="AU524" s="220"/>
      <c r="AV524" s="219"/>
      <c r="AW524" s="219"/>
      <c r="AX524" s="219"/>
      <c r="AY524" s="219"/>
      <c r="AZ524" s="219"/>
      <c r="BA524" s="219"/>
      <c r="BB524" s="219"/>
      <c r="BC524" s="219"/>
      <c r="BD524" s="208"/>
      <c r="BE524" s="203"/>
      <c r="BF524" s="219"/>
      <c r="BG524" s="219"/>
      <c r="BH524" s="321" t="str">
        <f t="shared" si="37"/>
        <v/>
      </c>
      <c r="BI524" s="98" t="str">
        <f t="shared" si="38"/>
        <v>AA</v>
      </c>
      <c r="BJ524" s="98" t="str">
        <f t="shared" si="39"/>
        <v>NÃO</v>
      </c>
      <c r="BK524" s="219"/>
      <c r="BL524" s="221"/>
      <c r="BM524" s="221"/>
      <c r="BN524" s="219"/>
      <c r="BO524" s="219"/>
      <c r="BP524" s="219"/>
      <c r="BQ524" s="219"/>
      <c r="BR524" s="222"/>
    </row>
    <row r="525" spans="1:112" s="240" customFormat="1" ht="27" customHeight="1">
      <c r="A525" s="197">
        <v>521</v>
      </c>
      <c r="B525" s="197" t="s">
        <v>4396</v>
      </c>
      <c r="C525" s="207" t="s">
        <v>4413</v>
      </c>
      <c r="D525" s="207">
        <v>1</v>
      </c>
      <c r="E525" s="207" t="s">
        <v>4398</v>
      </c>
      <c r="F525" s="214" t="s">
        <v>6678</v>
      </c>
      <c r="G525" s="207" t="s">
        <v>4400</v>
      </c>
      <c r="H525" s="207" t="s">
        <v>4401</v>
      </c>
      <c r="I525" s="207" t="s">
        <v>4402</v>
      </c>
      <c r="J525" s="215" t="s">
        <v>6679</v>
      </c>
      <c r="K525" s="215" t="s">
        <v>6680</v>
      </c>
      <c r="L525" s="215" t="s">
        <v>6681</v>
      </c>
      <c r="M525" s="207" t="s">
        <v>4405</v>
      </c>
      <c r="N525" s="207" t="s">
        <v>4406</v>
      </c>
      <c r="O525" s="203">
        <v>46090</v>
      </c>
      <c r="P525" s="203" t="s">
        <v>4407</v>
      </c>
      <c r="Q525" s="202">
        <v>46090</v>
      </c>
      <c r="R525" s="202">
        <v>46099</v>
      </c>
      <c r="S525" s="202">
        <v>46101</v>
      </c>
      <c r="T525" s="202">
        <v>46118</v>
      </c>
      <c r="U525" s="202" t="s">
        <v>4408</v>
      </c>
      <c r="V525" s="202" t="s">
        <v>4408</v>
      </c>
      <c r="W525" s="202">
        <v>46118</v>
      </c>
      <c r="X525" s="202">
        <v>46118</v>
      </c>
      <c r="Y525" s="202"/>
      <c r="Z525" s="202"/>
      <c r="AA525" s="215" t="s">
        <v>6679</v>
      </c>
      <c r="AB525" s="215" t="s">
        <v>6680</v>
      </c>
      <c r="AC525" s="215" t="s">
        <v>6681</v>
      </c>
      <c r="AD525" s="217" t="s">
        <v>4402</v>
      </c>
      <c r="AE525" s="207" t="s">
        <v>4405</v>
      </c>
      <c r="AF525" s="218" t="s">
        <v>4409</v>
      </c>
      <c r="AG525" s="218" t="s">
        <v>4409</v>
      </c>
      <c r="AH525" s="207" t="s">
        <v>4410</v>
      </c>
      <c r="AI525" s="214" t="s">
        <v>4411</v>
      </c>
      <c r="AJ525" s="207"/>
      <c r="AK525" s="316">
        <v>46086</v>
      </c>
      <c r="AL525" s="316">
        <v>46086</v>
      </c>
      <c r="AM525" s="316">
        <v>46086</v>
      </c>
      <c r="AN525" s="316">
        <v>46086</v>
      </c>
      <c r="AO525" s="316">
        <v>46086</v>
      </c>
      <c r="AP525" s="316">
        <v>46086</v>
      </c>
      <c r="AQ525" s="314"/>
      <c r="AR525" s="315" t="str">
        <f t="shared" si="36"/>
        <v>FINALIZADO</v>
      </c>
      <c r="AS525" s="207"/>
      <c r="AT525" s="219"/>
      <c r="AU525" s="220"/>
      <c r="AV525" s="219"/>
      <c r="AW525" s="219"/>
      <c r="AX525" s="219"/>
      <c r="AY525" s="219"/>
      <c r="AZ525" s="219"/>
      <c r="BA525" s="219"/>
      <c r="BB525" s="219"/>
      <c r="BC525" s="219"/>
      <c r="BD525" s="208"/>
      <c r="BE525" s="203"/>
      <c r="BF525" s="219"/>
      <c r="BG525" s="219"/>
      <c r="BH525" s="321" t="str">
        <f t="shared" si="37"/>
        <v/>
      </c>
      <c r="BI525" s="98" t="str">
        <f t="shared" si="38"/>
        <v>AA</v>
      </c>
      <c r="BJ525" s="98" t="str">
        <f t="shared" si="39"/>
        <v>NÃO</v>
      </c>
      <c r="BK525" s="219"/>
      <c r="BL525" s="221"/>
      <c r="BM525" s="221"/>
      <c r="BN525" s="219"/>
      <c r="BO525" s="219"/>
      <c r="BP525" s="219"/>
      <c r="BQ525" s="219"/>
      <c r="BR525" s="222"/>
    </row>
    <row r="526" spans="1:112" s="240" customFormat="1" ht="27" customHeight="1">
      <c r="A526" s="207">
        <v>522</v>
      </c>
      <c r="B526" s="197" t="s">
        <v>4396</v>
      </c>
      <c r="C526" s="207" t="s">
        <v>4413</v>
      </c>
      <c r="D526" s="207">
        <v>1</v>
      </c>
      <c r="E526" s="207" t="s">
        <v>4398</v>
      </c>
      <c r="F526" s="214" t="s">
        <v>6682</v>
      </c>
      <c r="G526" s="207" t="s">
        <v>4400</v>
      </c>
      <c r="H526" s="207" t="s">
        <v>4401</v>
      </c>
      <c r="I526" s="207" t="s">
        <v>4402</v>
      </c>
      <c r="J526" s="215" t="s">
        <v>6683</v>
      </c>
      <c r="K526" s="215" t="s">
        <v>6684</v>
      </c>
      <c r="L526" s="215" t="s">
        <v>6685</v>
      </c>
      <c r="M526" s="207" t="s">
        <v>4405</v>
      </c>
      <c r="N526" s="207" t="s">
        <v>4406</v>
      </c>
      <c r="O526" s="202">
        <v>46084</v>
      </c>
      <c r="P526" s="202" t="s">
        <v>4407</v>
      </c>
      <c r="Q526" s="202">
        <v>46083</v>
      </c>
      <c r="R526" s="203">
        <v>46084</v>
      </c>
      <c r="S526" s="203">
        <v>46087</v>
      </c>
      <c r="T526" s="203">
        <v>46090</v>
      </c>
      <c r="U526" s="202" t="s">
        <v>4408</v>
      </c>
      <c r="V526" s="202" t="s">
        <v>4408</v>
      </c>
      <c r="W526" s="202">
        <v>46101</v>
      </c>
      <c r="X526" s="202">
        <v>46101</v>
      </c>
      <c r="Y526" s="202"/>
      <c r="Z526" s="202"/>
      <c r="AA526" s="215" t="s">
        <v>6683</v>
      </c>
      <c r="AB526" s="215" t="s">
        <v>6684</v>
      </c>
      <c r="AC526" s="215" t="s">
        <v>6685</v>
      </c>
      <c r="AD526" s="217" t="s">
        <v>4402</v>
      </c>
      <c r="AE526" s="207" t="s">
        <v>4405</v>
      </c>
      <c r="AF526" s="218" t="s">
        <v>4409</v>
      </c>
      <c r="AG526" s="218" t="s">
        <v>4409</v>
      </c>
      <c r="AH526" s="207" t="s">
        <v>4410</v>
      </c>
      <c r="AI526" s="214" t="s">
        <v>4411</v>
      </c>
      <c r="AJ526" s="207"/>
      <c r="AK526" s="316">
        <v>46086</v>
      </c>
      <c r="AL526" s="316">
        <v>46086</v>
      </c>
      <c r="AM526" s="316">
        <v>46086</v>
      </c>
      <c r="AN526" s="316">
        <v>46086</v>
      </c>
      <c r="AO526" s="316">
        <v>46086</v>
      </c>
      <c r="AP526" s="316">
        <v>46086</v>
      </c>
      <c r="AQ526" s="314"/>
      <c r="AR526" s="315" t="str">
        <f t="shared" si="36"/>
        <v>FINALIZADO</v>
      </c>
      <c r="AS526" s="207"/>
      <c r="AT526" s="219"/>
      <c r="AU526" s="220"/>
      <c r="AV526" s="219"/>
      <c r="AW526" s="219"/>
      <c r="AX526" s="219"/>
      <c r="AY526" s="219"/>
      <c r="AZ526" s="219"/>
      <c r="BA526" s="219"/>
      <c r="BB526" s="219"/>
      <c r="BC526" s="219"/>
      <c r="BD526" s="208"/>
      <c r="BE526" s="203"/>
      <c r="BF526" s="219"/>
      <c r="BG526" s="219"/>
      <c r="BH526" s="321" t="str">
        <f t="shared" si="37"/>
        <v/>
      </c>
      <c r="BI526" s="98" t="str">
        <f t="shared" si="38"/>
        <v>AA</v>
      </c>
      <c r="BJ526" s="98" t="str">
        <f t="shared" si="39"/>
        <v>NÃO</v>
      </c>
      <c r="BK526" s="219"/>
      <c r="BL526" s="221"/>
      <c r="BM526" s="221"/>
      <c r="BN526" s="219"/>
      <c r="BO526" s="219"/>
      <c r="BP526" s="219"/>
      <c r="BQ526" s="219"/>
      <c r="BR526" s="222"/>
    </row>
    <row r="527" spans="1:112" s="240" customFormat="1" ht="27" customHeight="1">
      <c r="A527" s="207">
        <v>523</v>
      </c>
      <c r="B527" s="197" t="s">
        <v>4396</v>
      </c>
      <c r="C527" s="207" t="s">
        <v>4413</v>
      </c>
      <c r="D527" s="207">
        <v>1</v>
      </c>
      <c r="E527" s="207" t="s">
        <v>4398</v>
      </c>
      <c r="F527" s="214" t="s">
        <v>6686</v>
      </c>
      <c r="G527" s="207" t="s">
        <v>4400</v>
      </c>
      <c r="H527" s="207" t="s">
        <v>4401</v>
      </c>
      <c r="I527" s="207" t="s">
        <v>4402</v>
      </c>
      <c r="J527" s="215" t="s">
        <v>6687</v>
      </c>
      <c r="K527" s="215" t="s">
        <v>6688</v>
      </c>
      <c r="L527" s="215" t="s">
        <v>6689</v>
      </c>
      <c r="M527" s="207" t="s">
        <v>4405</v>
      </c>
      <c r="N527" s="207" t="s">
        <v>4406</v>
      </c>
      <c r="O527" s="203">
        <v>46090</v>
      </c>
      <c r="P527" s="203" t="s">
        <v>4407</v>
      </c>
      <c r="Q527" s="202">
        <v>46090</v>
      </c>
      <c r="R527" s="202">
        <v>46099</v>
      </c>
      <c r="S527" s="202">
        <v>46101</v>
      </c>
      <c r="T527" s="202">
        <v>46118</v>
      </c>
      <c r="U527" s="202" t="s">
        <v>4408</v>
      </c>
      <c r="V527" s="202" t="s">
        <v>4408</v>
      </c>
      <c r="W527" s="202">
        <v>46118</v>
      </c>
      <c r="X527" s="202">
        <v>46118</v>
      </c>
      <c r="Y527" s="202"/>
      <c r="Z527" s="202"/>
      <c r="AA527" s="215" t="s">
        <v>6687</v>
      </c>
      <c r="AB527" s="215" t="s">
        <v>6688</v>
      </c>
      <c r="AC527" s="215" t="s">
        <v>6689</v>
      </c>
      <c r="AD527" s="217" t="s">
        <v>4402</v>
      </c>
      <c r="AE527" s="207" t="s">
        <v>4405</v>
      </c>
      <c r="AF527" s="218" t="s">
        <v>4409</v>
      </c>
      <c r="AG527" s="218" t="s">
        <v>4409</v>
      </c>
      <c r="AH527" s="207" t="s">
        <v>4410</v>
      </c>
      <c r="AI527" s="214" t="s">
        <v>4411</v>
      </c>
      <c r="AJ527" s="207"/>
      <c r="AK527" s="316">
        <v>46086</v>
      </c>
      <c r="AL527" s="316">
        <v>46086</v>
      </c>
      <c r="AM527" s="316">
        <v>46086</v>
      </c>
      <c r="AN527" s="316">
        <v>46086</v>
      </c>
      <c r="AO527" s="316">
        <v>46086</v>
      </c>
      <c r="AP527" s="316">
        <v>46086</v>
      </c>
      <c r="AQ527" s="314"/>
      <c r="AR527" s="315" t="str">
        <f t="shared" si="36"/>
        <v>FINALIZADO</v>
      </c>
      <c r="AS527" s="207"/>
      <c r="AT527" s="219"/>
      <c r="AU527" s="220"/>
      <c r="AV527" s="219"/>
      <c r="AW527" s="219"/>
      <c r="AX527" s="219"/>
      <c r="AY527" s="219"/>
      <c r="AZ527" s="219"/>
      <c r="BA527" s="219"/>
      <c r="BB527" s="219"/>
      <c r="BC527" s="219"/>
      <c r="BD527" s="208"/>
      <c r="BE527" s="203"/>
      <c r="BF527" s="219"/>
      <c r="BG527" s="219"/>
      <c r="BH527" s="321" t="str">
        <f t="shared" si="37"/>
        <v/>
      </c>
      <c r="BI527" s="98" t="str">
        <f t="shared" si="38"/>
        <v>AA</v>
      </c>
      <c r="BJ527" s="98" t="str">
        <f t="shared" si="39"/>
        <v>NÃO</v>
      </c>
      <c r="BK527" s="219"/>
      <c r="BL527" s="221"/>
      <c r="BM527" s="221"/>
      <c r="BN527" s="219"/>
      <c r="BO527" s="219"/>
      <c r="BP527" s="219"/>
      <c r="BQ527" s="219"/>
      <c r="BR527" s="222"/>
    </row>
    <row r="528" spans="1:112" s="240" customFormat="1" ht="27" customHeight="1">
      <c r="A528" s="207">
        <v>524</v>
      </c>
      <c r="B528" s="197" t="s">
        <v>4396</v>
      </c>
      <c r="C528" s="207" t="s">
        <v>4413</v>
      </c>
      <c r="D528" s="207">
        <v>1</v>
      </c>
      <c r="E528" s="207" t="s">
        <v>4398</v>
      </c>
      <c r="F528" s="214" t="s">
        <v>6690</v>
      </c>
      <c r="G528" s="207" t="s">
        <v>4400</v>
      </c>
      <c r="H528" s="207" t="s">
        <v>4401</v>
      </c>
      <c r="I528" s="207" t="s">
        <v>4402</v>
      </c>
      <c r="J528" s="215" t="s">
        <v>6691</v>
      </c>
      <c r="K528" s="215">
        <v>30.475688000000002</v>
      </c>
      <c r="L528" s="215" t="s">
        <v>6692</v>
      </c>
      <c r="M528" s="207" t="s">
        <v>4405</v>
      </c>
      <c r="N528" s="207" t="s">
        <v>4406</v>
      </c>
      <c r="O528" s="202">
        <v>46084</v>
      </c>
      <c r="P528" s="202" t="s">
        <v>4407</v>
      </c>
      <c r="Q528" s="202">
        <v>46083</v>
      </c>
      <c r="R528" s="203">
        <v>46084</v>
      </c>
      <c r="S528" s="203">
        <v>46087</v>
      </c>
      <c r="T528" s="203">
        <v>46090</v>
      </c>
      <c r="U528" s="202" t="s">
        <v>4408</v>
      </c>
      <c r="V528" s="202" t="s">
        <v>4408</v>
      </c>
      <c r="W528" s="202">
        <v>46101</v>
      </c>
      <c r="X528" s="202">
        <v>46104</v>
      </c>
      <c r="Y528" s="202"/>
      <c r="Z528" s="202"/>
      <c r="AA528" s="215" t="s">
        <v>6691</v>
      </c>
      <c r="AB528" s="215">
        <v>30.475688000000002</v>
      </c>
      <c r="AC528" s="215" t="s">
        <v>6692</v>
      </c>
      <c r="AD528" s="217" t="s">
        <v>4402</v>
      </c>
      <c r="AE528" s="207" t="s">
        <v>4405</v>
      </c>
      <c r="AF528" s="218" t="s">
        <v>4409</v>
      </c>
      <c r="AG528" s="218" t="s">
        <v>4409</v>
      </c>
      <c r="AH528" s="207" t="s">
        <v>4410</v>
      </c>
      <c r="AI528" s="214" t="s">
        <v>4411</v>
      </c>
      <c r="AJ528" s="207"/>
      <c r="AK528" s="316">
        <v>46086</v>
      </c>
      <c r="AL528" s="316">
        <v>46086</v>
      </c>
      <c r="AM528" s="316">
        <v>46086</v>
      </c>
      <c r="AN528" s="316">
        <v>46086</v>
      </c>
      <c r="AO528" s="316">
        <v>46086</v>
      </c>
      <c r="AP528" s="316">
        <v>46086</v>
      </c>
      <c r="AQ528" s="314"/>
      <c r="AR528" s="315" t="str">
        <f t="shared" si="36"/>
        <v>FINALIZADO</v>
      </c>
      <c r="AS528" s="207"/>
      <c r="AT528" s="219"/>
      <c r="AU528" s="220"/>
      <c r="AV528" s="219"/>
      <c r="AW528" s="219"/>
      <c r="AX528" s="219"/>
      <c r="AY528" s="219"/>
      <c r="AZ528" s="219"/>
      <c r="BA528" s="219"/>
      <c r="BB528" s="219"/>
      <c r="BC528" s="219"/>
      <c r="BD528" s="208"/>
      <c r="BE528" s="203"/>
      <c r="BF528" s="219"/>
      <c r="BG528" s="219"/>
      <c r="BH528" s="321" t="str">
        <f t="shared" si="37"/>
        <v/>
      </c>
      <c r="BI528" s="98" t="str">
        <f t="shared" si="38"/>
        <v>AA</v>
      </c>
      <c r="BJ528" s="98" t="str">
        <f t="shared" si="39"/>
        <v>NÃO</v>
      </c>
      <c r="BK528" s="219"/>
      <c r="BL528" s="221"/>
      <c r="BM528" s="221"/>
      <c r="BN528" s="219"/>
      <c r="BO528" s="219"/>
      <c r="BP528" s="219"/>
      <c r="BQ528" s="219"/>
      <c r="BR528" s="222"/>
    </row>
    <row r="529" spans="1:112" s="240" customFormat="1" ht="27" customHeight="1">
      <c r="A529" s="197">
        <v>525</v>
      </c>
      <c r="B529" s="197" t="s">
        <v>4396</v>
      </c>
      <c r="C529" s="207" t="s">
        <v>4413</v>
      </c>
      <c r="D529" s="207">
        <v>1</v>
      </c>
      <c r="E529" s="207" t="s">
        <v>4398</v>
      </c>
      <c r="F529" s="214" t="s">
        <v>6693</v>
      </c>
      <c r="G529" s="207" t="s">
        <v>4400</v>
      </c>
      <c r="H529" s="207" t="s">
        <v>4401</v>
      </c>
      <c r="I529" s="207" t="s">
        <v>4402</v>
      </c>
      <c r="J529" s="215" t="s">
        <v>6694</v>
      </c>
      <c r="K529" s="215"/>
      <c r="L529" s="215" t="s">
        <v>6695</v>
      </c>
      <c r="M529" s="207" t="s">
        <v>4405</v>
      </c>
      <c r="N529" s="207" t="s">
        <v>4406</v>
      </c>
      <c r="O529" s="202">
        <v>46176</v>
      </c>
      <c r="P529" s="202" t="s">
        <v>4407</v>
      </c>
      <c r="Q529" s="202">
        <v>46174</v>
      </c>
      <c r="R529" s="202">
        <v>46176</v>
      </c>
      <c r="S529" s="202">
        <v>46202</v>
      </c>
      <c r="T529" s="202">
        <v>46204</v>
      </c>
      <c r="U529" s="202" t="s">
        <v>4408</v>
      </c>
      <c r="V529" s="202" t="s">
        <v>4408</v>
      </c>
      <c r="W529" s="202">
        <v>46223</v>
      </c>
      <c r="X529" s="202"/>
      <c r="Y529" s="202"/>
      <c r="Z529" s="202"/>
      <c r="AA529" s="215"/>
      <c r="AB529" s="215"/>
      <c r="AC529" s="215"/>
      <c r="AD529" s="217"/>
      <c r="AE529" s="207"/>
      <c r="AF529" s="218"/>
      <c r="AG529" s="218"/>
      <c r="AH529" s="207"/>
      <c r="AI529" s="214" t="s">
        <v>4411</v>
      </c>
      <c r="AJ529" s="207"/>
      <c r="AK529" s="316"/>
      <c r="AL529" s="316"/>
      <c r="AM529" s="316"/>
      <c r="AN529" s="316"/>
      <c r="AO529" s="316"/>
      <c r="AP529" s="316"/>
      <c r="AQ529" s="314"/>
      <c r="AR529" s="315" t="str">
        <f t="shared" si="36"/>
        <v/>
      </c>
      <c r="AS529" s="207"/>
      <c r="AT529" s="219"/>
      <c r="AU529" s="220"/>
      <c r="AV529" s="219"/>
      <c r="AW529" s="219"/>
      <c r="AX529" s="219"/>
      <c r="AY529" s="219"/>
      <c r="AZ529" s="219"/>
      <c r="BA529" s="219"/>
      <c r="BB529" s="219"/>
      <c r="BC529" s="219"/>
      <c r="BD529" s="208"/>
      <c r="BE529" s="203"/>
      <c r="BF529" s="219"/>
      <c r="BG529" s="219"/>
      <c r="BH529" s="321" t="str">
        <f t="shared" si="37"/>
        <v/>
      </c>
      <c r="BI529" s="98" t="str">
        <f t="shared" si="38"/>
        <v>INDENIZAÇÃO</v>
      </c>
      <c r="BJ529" s="98" t="str">
        <f t="shared" si="39"/>
        <v>NÃO</v>
      </c>
      <c r="BK529" s="219"/>
      <c r="BL529" s="221"/>
      <c r="BM529" s="221"/>
      <c r="BN529" s="219"/>
      <c r="BO529" s="219"/>
      <c r="BP529" s="219"/>
      <c r="BQ529" s="219"/>
      <c r="BR529" s="222"/>
    </row>
    <row r="530" spans="1:112" s="240" customFormat="1" ht="27" customHeight="1">
      <c r="A530" s="197">
        <v>526</v>
      </c>
      <c r="B530" s="197" t="s">
        <v>4396</v>
      </c>
      <c r="C530" s="207" t="s">
        <v>4413</v>
      </c>
      <c r="D530" s="207">
        <v>1</v>
      </c>
      <c r="E530" s="207" t="s">
        <v>4398</v>
      </c>
      <c r="F530" s="214" t="s">
        <v>6696</v>
      </c>
      <c r="G530" s="207" t="s">
        <v>4400</v>
      </c>
      <c r="H530" s="207" t="s">
        <v>4401</v>
      </c>
      <c r="I530" s="207" t="s">
        <v>4402</v>
      </c>
      <c r="J530" s="215" t="s">
        <v>6697</v>
      </c>
      <c r="K530" s="215" t="s">
        <v>6698</v>
      </c>
      <c r="L530" s="215" t="s">
        <v>6699</v>
      </c>
      <c r="M530" s="207" t="s">
        <v>4405</v>
      </c>
      <c r="N530" s="207" t="s">
        <v>4406</v>
      </c>
      <c r="O530" s="202">
        <v>46084</v>
      </c>
      <c r="P530" s="202" t="s">
        <v>4407</v>
      </c>
      <c r="Q530" s="202">
        <v>46083</v>
      </c>
      <c r="R530" s="203">
        <v>46084</v>
      </c>
      <c r="S530" s="203">
        <v>46087</v>
      </c>
      <c r="T530" s="203">
        <v>46090</v>
      </c>
      <c r="U530" s="202" t="s">
        <v>4408</v>
      </c>
      <c r="V530" s="202" t="s">
        <v>4408</v>
      </c>
      <c r="W530" s="202">
        <v>46101</v>
      </c>
      <c r="X530" s="202">
        <v>46101</v>
      </c>
      <c r="Y530" s="202"/>
      <c r="Z530" s="202"/>
      <c r="AA530" s="215" t="s">
        <v>6697</v>
      </c>
      <c r="AB530" s="215" t="s">
        <v>6698</v>
      </c>
      <c r="AC530" s="215" t="s">
        <v>6699</v>
      </c>
      <c r="AD530" s="217" t="s">
        <v>4402</v>
      </c>
      <c r="AE530" s="207" t="s">
        <v>4405</v>
      </c>
      <c r="AF530" s="218" t="s">
        <v>4409</v>
      </c>
      <c r="AG530" s="218" t="s">
        <v>4409</v>
      </c>
      <c r="AH530" s="207" t="s">
        <v>4410</v>
      </c>
      <c r="AI530" s="214" t="s">
        <v>4411</v>
      </c>
      <c r="AJ530" s="207"/>
      <c r="AK530" s="316">
        <v>46086</v>
      </c>
      <c r="AL530" s="316">
        <v>46086</v>
      </c>
      <c r="AM530" s="316">
        <v>46086</v>
      </c>
      <c r="AN530" s="316">
        <v>46086</v>
      </c>
      <c r="AO530" s="316">
        <v>46086</v>
      </c>
      <c r="AP530" s="316">
        <v>46086</v>
      </c>
      <c r="AQ530" s="314"/>
      <c r="AR530" s="315" t="str">
        <f t="shared" si="36"/>
        <v>FINALIZADO</v>
      </c>
      <c r="AS530" s="207"/>
      <c r="AT530" s="219"/>
      <c r="AU530" s="220"/>
      <c r="AV530" s="219"/>
      <c r="AW530" s="219"/>
      <c r="AX530" s="219"/>
      <c r="AY530" s="219"/>
      <c r="AZ530" s="219"/>
      <c r="BA530" s="219"/>
      <c r="BB530" s="219"/>
      <c r="BC530" s="219"/>
      <c r="BD530" s="208"/>
      <c r="BE530" s="203"/>
      <c r="BF530" s="219"/>
      <c r="BG530" s="219"/>
      <c r="BH530" s="321" t="str">
        <f t="shared" si="37"/>
        <v/>
      </c>
      <c r="BI530" s="98" t="str">
        <f t="shared" si="38"/>
        <v>AA</v>
      </c>
      <c r="BJ530" s="98" t="str">
        <f t="shared" si="39"/>
        <v>NÃO</v>
      </c>
      <c r="BK530" s="219"/>
      <c r="BL530" s="221"/>
      <c r="BM530" s="221"/>
      <c r="BN530" s="219"/>
      <c r="BO530" s="219"/>
      <c r="BP530" s="219"/>
      <c r="BQ530" s="219"/>
      <c r="BR530" s="222"/>
    </row>
    <row r="531" spans="1:112" s="240" customFormat="1" ht="27" customHeight="1">
      <c r="A531" s="207">
        <v>527</v>
      </c>
      <c r="B531" s="197" t="s">
        <v>4396</v>
      </c>
      <c r="C531" s="207" t="s">
        <v>4413</v>
      </c>
      <c r="D531" s="207">
        <v>1</v>
      </c>
      <c r="E531" s="207" t="s">
        <v>4398</v>
      </c>
      <c r="F531" s="214" t="s">
        <v>6700</v>
      </c>
      <c r="G531" s="207" t="s">
        <v>4400</v>
      </c>
      <c r="H531" s="207" t="s">
        <v>4401</v>
      </c>
      <c r="I531" s="207" t="s">
        <v>4402</v>
      </c>
      <c r="J531" s="215" t="s">
        <v>6701</v>
      </c>
      <c r="K531" s="215" t="s">
        <v>6702</v>
      </c>
      <c r="L531" s="215" t="s">
        <v>6703</v>
      </c>
      <c r="M531" s="207" t="s">
        <v>4405</v>
      </c>
      <c r="N531" s="207" t="s">
        <v>4406</v>
      </c>
      <c r="O531" s="166">
        <v>46090</v>
      </c>
      <c r="P531" s="203" t="s">
        <v>4407</v>
      </c>
      <c r="Q531" s="202">
        <v>46090</v>
      </c>
      <c r="R531" s="202">
        <v>46099</v>
      </c>
      <c r="S531" s="202">
        <v>46101</v>
      </c>
      <c r="T531" s="202">
        <v>46118</v>
      </c>
      <c r="U531" s="202" t="s">
        <v>4408</v>
      </c>
      <c r="V531" s="202" t="s">
        <v>4408</v>
      </c>
      <c r="W531" s="202">
        <v>46118</v>
      </c>
      <c r="X531" s="202">
        <v>46149</v>
      </c>
      <c r="Y531" s="202"/>
      <c r="Z531" s="202"/>
      <c r="AA531" s="215" t="s">
        <v>6701</v>
      </c>
      <c r="AB531" s="215" t="s">
        <v>6702</v>
      </c>
      <c r="AC531" s="215" t="s">
        <v>6703</v>
      </c>
      <c r="AD531" s="217" t="s">
        <v>4402</v>
      </c>
      <c r="AE531" s="207" t="s">
        <v>4405</v>
      </c>
      <c r="AF531" s="218" t="s">
        <v>4409</v>
      </c>
      <c r="AG531" s="218" t="s">
        <v>4409</v>
      </c>
      <c r="AH531" s="207" t="s">
        <v>4410</v>
      </c>
      <c r="AI531" s="214" t="s">
        <v>4411</v>
      </c>
      <c r="AJ531" s="207"/>
      <c r="AK531" s="316">
        <v>46086</v>
      </c>
      <c r="AL531" s="316">
        <v>46086</v>
      </c>
      <c r="AM531" s="316">
        <v>46086</v>
      </c>
      <c r="AN531" s="316">
        <v>46086</v>
      </c>
      <c r="AO531" s="316">
        <v>46086</v>
      </c>
      <c r="AP531" s="316">
        <v>46086</v>
      </c>
      <c r="AQ531" s="314"/>
      <c r="AR531" s="315" t="str">
        <f t="shared" si="36"/>
        <v>FINALIZADO</v>
      </c>
      <c r="AS531" s="207"/>
      <c r="AT531" s="219"/>
      <c r="AU531" s="220"/>
      <c r="AV531" s="161"/>
      <c r="AW531" s="219"/>
      <c r="AX531" s="219"/>
      <c r="AY531" s="219"/>
      <c r="AZ531" s="219"/>
      <c r="BA531" s="219"/>
      <c r="BB531" s="219"/>
      <c r="BC531" s="219"/>
      <c r="BD531" s="208"/>
      <c r="BE531" s="203"/>
      <c r="BF531" s="219"/>
      <c r="BG531" s="219"/>
      <c r="BH531" s="321" t="str">
        <f t="shared" si="37"/>
        <v/>
      </c>
      <c r="BI531" s="98" t="str">
        <f t="shared" si="38"/>
        <v>AA</v>
      </c>
      <c r="BJ531" s="98" t="str">
        <f t="shared" si="39"/>
        <v>NÃO</v>
      </c>
      <c r="BK531" s="219"/>
      <c r="BL531" s="221"/>
      <c r="BM531" s="221"/>
      <c r="BN531" s="219"/>
      <c r="BO531" s="219"/>
      <c r="BP531" s="219"/>
      <c r="BQ531" s="219"/>
      <c r="BR531" s="222"/>
    </row>
    <row r="532" spans="1:112" s="240" customFormat="1" ht="27" customHeight="1">
      <c r="A532" s="207">
        <v>528</v>
      </c>
      <c r="B532" s="197" t="s">
        <v>4396</v>
      </c>
      <c r="C532" s="207" t="s">
        <v>4413</v>
      </c>
      <c r="D532" s="207">
        <v>1</v>
      </c>
      <c r="E532" s="207" t="s">
        <v>4398</v>
      </c>
      <c r="F532" s="214" t="s">
        <v>6704</v>
      </c>
      <c r="G532" s="207" t="s">
        <v>4400</v>
      </c>
      <c r="H532" s="207" t="s">
        <v>4401</v>
      </c>
      <c r="I532" s="207" t="s">
        <v>4402</v>
      </c>
      <c r="J532" s="215" t="s">
        <v>6705</v>
      </c>
      <c r="K532" s="215" t="s">
        <v>6706</v>
      </c>
      <c r="L532" s="215" t="s">
        <v>6707</v>
      </c>
      <c r="M532" s="207" t="s">
        <v>4405</v>
      </c>
      <c r="N532" s="207" t="s">
        <v>4406</v>
      </c>
      <c r="O532" s="202">
        <v>46084</v>
      </c>
      <c r="P532" s="202" t="s">
        <v>4407</v>
      </c>
      <c r="Q532" s="202">
        <v>46083</v>
      </c>
      <c r="R532" s="203">
        <v>46084</v>
      </c>
      <c r="S532" s="203">
        <v>46087</v>
      </c>
      <c r="T532" s="203">
        <v>46090</v>
      </c>
      <c r="U532" s="202" t="s">
        <v>4408</v>
      </c>
      <c r="V532" s="202" t="s">
        <v>4408</v>
      </c>
      <c r="W532" s="202">
        <v>46101</v>
      </c>
      <c r="X532" s="202">
        <v>46101</v>
      </c>
      <c r="Y532" s="202"/>
      <c r="Z532" s="202"/>
      <c r="AA532" s="215" t="s">
        <v>6705</v>
      </c>
      <c r="AB532" s="215" t="s">
        <v>6706</v>
      </c>
      <c r="AC532" s="215" t="s">
        <v>6707</v>
      </c>
      <c r="AD532" s="217" t="s">
        <v>4402</v>
      </c>
      <c r="AE532" s="207" t="s">
        <v>4405</v>
      </c>
      <c r="AF532" s="218" t="s">
        <v>4409</v>
      </c>
      <c r="AG532" s="218" t="s">
        <v>4409</v>
      </c>
      <c r="AH532" s="207" t="s">
        <v>4410</v>
      </c>
      <c r="AI532" s="214" t="s">
        <v>4411</v>
      </c>
      <c r="AJ532" s="207"/>
      <c r="AK532" s="316">
        <v>46086</v>
      </c>
      <c r="AL532" s="316">
        <v>46086</v>
      </c>
      <c r="AM532" s="316">
        <v>46086</v>
      </c>
      <c r="AN532" s="316">
        <v>46086</v>
      </c>
      <c r="AO532" s="316">
        <v>46086</v>
      </c>
      <c r="AP532" s="316">
        <v>46086</v>
      </c>
      <c r="AQ532" s="314"/>
      <c r="AR532" s="315" t="str">
        <f t="shared" si="36"/>
        <v>FINALIZADO</v>
      </c>
      <c r="AS532" s="207"/>
      <c r="AT532" s="219"/>
      <c r="AU532" s="220"/>
      <c r="AV532" s="219"/>
      <c r="AW532" s="219"/>
      <c r="AX532" s="219"/>
      <c r="AY532" s="219"/>
      <c r="AZ532" s="219"/>
      <c r="BA532" s="219"/>
      <c r="BB532" s="219"/>
      <c r="BC532" s="219"/>
      <c r="BD532" s="208"/>
      <c r="BE532" s="203"/>
      <c r="BF532" s="219"/>
      <c r="BG532" s="219"/>
      <c r="BH532" s="321" t="str">
        <f t="shared" si="37"/>
        <v/>
      </c>
      <c r="BI532" s="98" t="str">
        <f t="shared" si="38"/>
        <v>AA</v>
      </c>
      <c r="BJ532" s="98" t="str">
        <f t="shared" si="39"/>
        <v>NÃO</v>
      </c>
      <c r="BK532" s="219"/>
      <c r="BL532" s="221"/>
      <c r="BM532" s="221"/>
      <c r="BN532" s="219"/>
      <c r="BO532" s="219"/>
      <c r="BP532" s="219"/>
      <c r="BQ532" s="219"/>
      <c r="BR532" s="222"/>
    </row>
    <row r="533" spans="1:112" s="240" customFormat="1" ht="27" customHeight="1">
      <c r="A533" s="207">
        <v>529</v>
      </c>
      <c r="B533" s="197" t="s">
        <v>4396</v>
      </c>
      <c r="C533" s="207" t="s">
        <v>4413</v>
      </c>
      <c r="D533" s="207">
        <v>1</v>
      </c>
      <c r="E533" s="207" t="s">
        <v>4398</v>
      </c>
      <c r="F533" s="214" t="s">
        <v>6708</v>
      </c>
      <c r="G533" s="207" t="s">
        <v>4400</v>
      </c>
      <c r="H533" s="207" t="s">
        <v>4401</v>
      </c>
      <c r="I533" s="207" t="s">
        <v>4402</v>
      </c>
      <c r="J533" s="215" t="s">
        <v>6709</v>
      </c>
      <c r="K533" s="215" t="s">
        <v>6710</v>
      </c>
      <c r="L533" s="215" t="s">
        <v>6711</v>
      </c>
      <c r="M533" s="207" t="s">
        <v>4405</v>
      </c>
      <c r="N533" s="207" t="s">
        <v>4406</v>
      </c>
      <c r="O533" s="202">
        <v>46126</v>
      </c>
      <c r="P533" s="202" t="s">
        <v>4407</v>
      </c>
      <c r="Q533" s="203">
        <v>46126</v>
      </c>
      <c r="R533" s="203">
        <v>46126</v>
      </c>
      <c r="S533" s="203">
        <v>46136</v>
      </c>
      <c r="T533" s="203">
        <v>46140</v>
      </c>
      <c r="U533" s="203" t="s">
        <v>4408</v>
      </c>
      <c r="V533" s="203" t="s">
        <v>4408</v>
      </c>
      <c r="W533" s="202">
        <v>46153</v>
      </c>
      <c r="X533" s="203">
        <v>46154</v>
      </c>
      <c r="Y533" s="203"/>
      <c r="Z533" s="219"/>
      <c r="AA533" s="215" t="s">
        <v>6709</v>
      </c>
      <c r="AB533" s="215" t="s">
        <v>6710</v>
      </c>
      <c r="AC533" s="215" t="s">
        <v>6711</v>
      </c>
      <c r="AD533" s="217" t="s">
        <v>4402</v>
      </c>
      <c r="AE533" s="207" t="s">
        <v>4405</v>
      </c>
      <c r="AF533" s="218" t="s">
        <v>4409</v>
      </c>
      <c r="AG533" s="218" t="s">
        <v>4409</v>
      </c>
      <c r="AH533" s="207" t="s">
        <v>4410</v>
      </c>
      <c r="AI533" s="214" t="s">
        <v>4411</v>
      </c>
      <c r="AJ533" s="207"/>
      <c r="AK533" s="317">
        <v>46134</v>
      </c>
      <c r="AL533" s="317">
        <v>46134</v>
      </c>
      <c r="AM533" s="317">
        <v>46134</v>
      </c>
      <c r="AN533" s="317">
        <v>46134</v>
      </c>
      <c r="AO533" s="317">
        <v>46134</v>
      </c>
      <c r="AP533" s="317">
        <v>46134</v>
      </c>
      <c r="AQ533" s="314"/>
      <c r="AR533" s="315" t="str">
        <f t="shared" si="36"/>
        <v>FINALIZADO</v>
      </c>
      <c r="AS533" s="207"/>
      <c r="AT533" s="219"/>
      <c r="AU533" s="220"/>
      <c r="AV533" s="219"/>
      <c r="AW533" s="219"/>
      <c r="AX533" s="219"/>
      <c r="AY533" s="219"/>
      <c r="AZ533" s="219"/>
      <c r="BA533" s="219"/>
      <c r="BB533" s="219"/>
      <c r="BC533" s="219"/>
      <c r="BD533" s="208"/>
      <c r="BE533" s="203"/>
      <c r="BF533" s="219"/>
      <c r="BG533" s="219"/>
      <c r="BH533" s="321" t="str">
        <f t="shared" si="37"/>
        <v/>
      </c>
      <c r="BI533" s="98" t="str">
        <f t="shared" si="38"/>
        <v>AA</v>
      </c>
      <c r="BJ533" s="98" t="str">
        <f t="shared" si="39"/>
        <v>NÃO</v>
      </c>
      <c r="BK533" s="219"/>
      <c r="BL533" s="221"/>
      <c r="BM533" s="221"/>
      <c r="BN533" s="219"/>
      <c r="BO533" s="219"/>
      <c r="BP533" s="219"/>
      <c r="BQ533" s="219"/>
      <c r="BR533" s="222"/>
    </row>
    <row r="534" spans="1:112" s="240" customFormat="1" ht="27" hidden="1" customHeight="1">
      <c r="A534" s="197">
        <v>530</v>
      </c>
      <c r="B534" s="197" t="s">
        <v>4396</v>
      </c>
      <c r="C534" s="207" t="s">
        <v>4427</v>
      </c>
      <c r="D534" s="207">
        <v>1</v>
      </c>
      <c r="E534" s="207" t="s">
        <v>4398</v>
      </c>
      <c r="F534" s="214" t="s">
        <v>6712</v>
      </c>
      <c r="G534" s="207" t="s">
        <v>4400</v>
      </c>
      <c r="H534" s="207" t="s">
        <v>4401</v>
      </c>
      <c r="I534" s="217" t="s">
        <v>4402</v>
      </c>
      <c r="J534" s="215" t="s">
        <v>6713</v>
      </c>
      <c r="K534" s="215" t="s">
        <v>6714</v>
      </c>
      <c r="L534" s="215" t="s">
        <v>6715</v>
      </c>
      <c r="M534" s="207" t="s">
        <v>4405</v>
      </c>
      <c r="N534" s="207" t="s">
        <v>4442</v>
      </c>
      <c r="O534" s="202" t="s">
        <v>4409</v>
      </c>
      <c r="P534" s="202" t="s">
        <v>4409</v>
      </c>
      <c r="Q534" s="202" t="s">
        <v>4409</v>
      </c>
      <c r="R534" s="202" t="s">
        <v>4409</v>
      </c>
      <c r="S534" s="202" t="s">
        <v>4409</v>
      </c>
      <c r="T534" s="202" t="s">
        <v>4409</v>
      </c>
      <c r="U534" s="202" t="s">
        <v>4409</v>
      </c>
      <c r="V534" s="202" t="s">
        <v>4409</v>
      </c>
      <c r="W534" s="202" t="s">
        <v>4409</v>
      </c>
      <c r="X534" s="202" t="s">
        <v>4409</v>
      </c>
      <c r="Y534" s="202"/>
      <c r="Z534" s="202"/>
      <c r="AA534" s="215" t="s">
        <v>6713</v>
      </c>
      <c r="AB534" s="215" t="s">
        <v>6714</v>
      </c>
      <c r="AC534" s="215" t="s">
        <v>6715</v>
      </c>
      <c r="AD534" s="207" t="s">
        <v>4402</v>
      </c>
      <c r="AE534" s="219" t="s">
        <v>4405</v>
      </c>
      <c r="AF534" s="218">
        <v>61026.98</v>
      </c>
      <c r="AG534" s="218">
        <v>61026.98</v>
      </c>
      <c r="AH534" s="207" t="s">
        <v>4433</v>
      </c>
      <c r="AI534" s="214" t="s">
        <v>4411</v>
      </c>
      <c r="AJ534" s="207">
        <v>146668756</v>
      </c>
      <c r="AK534" s="316">
        <v>45980</v>
      </c>
      <c r="AL534" s="316">
        <v>45980</v>
      </c>
      <c r="AM534" s="316">
        <v>45980</v>
      </c>
      <c r="AN534" s="316">
        <v>45980</v>
      </c>
      <c r="AO534" s="316">
        <v>45980</v>
      </c>
      <c r="AP534" s="316">
        <v>45980</v>
      </c>
      <c r="AQ534" s="314"/>
      <c r="AR534" s="315" t="str">
        <f t="shared" si="36"/>
        <v>FINALIZADO</v>
      </c>
      <c r="AS534" s="207" t="s">
        <v>4423</v>
      </c>
      <c r="AT534" s="219"/>
      <c r="AU534" s="220" t="s">
        <v>6716</v>
      </c>
      <c r="AV534" s="207" t="s">
        <v>4425</v>
      </c>
      <c r="AW534" s="207" t="s">
        <v>4425</v>
      </c>
      <c r="AX534" s="207" t="s">
        <v>4425</v>
      </c>
      <c r="AY534" s="207" t="s">
        <v>4425</v>
      </c>
      <c r="AZ534" s="203">
        <v>46024</v>
      </c>
      <c r="BA534" s="219" t="s">
        <v>4425</v>
      </c>
      <c r="BB534" s="207" t="s">
        <v>4425</v>
      </c>
      <c r="BC534" s="208">
        <v>46038</v>
      </c>
      <c r="BD534" s="226">
        <v>46038</v>
      </c>
      <c r="BE534" s="227" t="s">
        <v>4435</v>
      </c>
      <c r="BF534" s="228" t="s">
        <v>4436</v>
      </c>
      <c r="BG534" s="229" t="s">
        <v>4425</v>
      </c>
      <c r="BH534" s="321">
        <f t="shared" si="37"/>
        <v>58</v>
      </c>
      <c r="BI534" s="98" t="str">
        <f t="shared" si="38"/>
        <v>INDENIZAÇÃO</v>
      </c>
      <c r="BJ534" s="98" t="str">
        <f t="shared" si="39"/>
        <v>NÃO</v>
      </c>
      <c r="BK534" s="230" t="s">
        <v>4437</v>
      </c>
      <c r="BL534" s="230" t="s">
        <v>4437</v>
      </c>
      <c r="BM534" s="230" t="s">
        <v>4437</v>
      </c>
      <c r="BN534" s="265" t="s">
        <v>5732</v>
      </c>
      <c r="BO534" s="265"/>
      <c r="BP534" s="265"/>
      <c r="BQ534" s="265"/>
      <c r="BR534" s="231"/>
      <c r="BS534" s="161"/>
      <c r="BT534" s="161"/>
      <c r="BU534" s="161"/>
      <c r="BV534" s="161"/>
      <c r="BW534" s="161"/>
      <c r="BX534" s="161"/>
      <c r="BY534" s="161"/>
      <c r="BZ534" s="161"/>
      <c r="CA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  <c r="DA534" s="161"/>
      <c r="DB534" s="161"/>
      <c r="DC534" s="161"/>
      <c r="DD534" s="161"/>
      <c r="DE534" s="161"/>
      <c r="DF534" s="161"/>
      <c r="DG534" s="161"/>
      <c r="DH534" s="161"/>
    </row>
    <row r="535" spans="1:112" s="240" customFormat="1" ht="27" customHeight="1">
      <c r="A535" s="197">
        <v>531</v>
      </c>
      <c r="B535" s="197" t="s">
        <v>4396</v>
      </c>
      <c r="C535" s="207" t="s">
        <v>4413</v>
      </c>
      <c r="D535" s="207">
        <v>1</v>
      </c>
      <c r="E535" s="207" t="s">
        <v>4398</v>
      </c>
      <c r="F535" s="214" t="s">
        <v>6712</v>
      </c>
      <c r="G535" s="207" t="s">
        <v>4400</v>
      </c>
      <c r="H535" s="207" t="s">
        <v>4401</v>
      </c>
      <c r="I535" s="207" t="s">
        <v>4402</v>
      </c>
      <c r="J535" s="215" t="s">
        <v>6717</v>
      </c>
      <c r="K535" s="215" t="s">
        <v>6718</v>
      </c>
      <c r="L535" s="215" t="s">
        <v>6719</v>
      </c>
      <c r="M535" s="207" t="s">
        <v>4405</v>
      </c>
      <c r="N535" s="207" t="s">
        <v>4406</v>
      </c>
      <c r="O535" s="203">
        <v>46090</v>
      </c>
      <c r="P535" s="203" t="s">
        <v>4407</v>
      </c>
      <c r="Q535" s="202">
        <v>46090</v>
      </c>
      <c r="R535" s="202">
        <v>46099</v>
      </c>
      <c r="S535" s="202">
        <v>46101</v>
      </c>
      <c r="T535" s="202">
        <v>46118</v>
      </c>
      <c r="U535" s="202" t="s">
        <v>4408</v>
      </c>
      <c r="V535" s="202" t="s">
        <v>4408</v>
      </c>
      <c r="W535" s="202">
        <v>46118</v>
      </c>
      <c r="X535" s="202">
        <v>46118</v>
      </c>
      <c r="Y535" s="202"/>
      <c r="Z535" s="202"/>
      <c r="AA535" s="215" t="s">
        <v>6717</v>
      </c>
      <c r="AB535" s="215" t="s">
        <v>6718</v>
      </c>
      <c r="AC535" s="215" t="s">
        <v>6719</v>
      </c>
      <c r="AD535" s="217" t="s">
        <v>4402</v>
      </c>
      <c r="AE535" s="207" t="s">
        <v>4405</v>
      </c>
      <c r="AF535" s="218" t="s">
        <v>4409</v>
      </c>
      <c r="AG535" s="218" t="s">
        <v>4409</v>
      </c>
      <c r="AH535" s="207" t="s">
        <v>4410</v>
      </c>
      <c r="AI535" s="214" t="s">
        <v>4411</v>
      </c>
      <c r="AJ535" s="207"/>
      <c r="AK535" s="316">
        <v>46086</v>
      </c>
      <c r="AL535" s="316">
        <v>46086</v>
      </c>
      <c r="AM535" s="316">
        <v>46086</v>
      </c>
      <c r="AN535" s="316">
        <v>46086</v>
      </c>
      <c r="AO535" s="316">
        <v>46086</v>
      </c>
      <c r="AP535" s="316">
        <v>46086</v>
      </c>
      <c r="AQ535" s="314"/>
      <c r="AR535" s="315" t="str">
        <f t="shared" si="36"/>
        <v>FINALIZADO</v>
      </c>
      <c r="AS535" s="207"/>
      <c r="AT535" s="219"/>
      <c r="AU535" s="220"/>
      <c r="AV535" s="219"/>
      <c r="AW535" s="219"/>
      <c r="AX535" s="219"/>
      <c r="AY535" s="219"/>
      <c r="AZ535" s="219"/>
      <c r="BA535" s="219"/>
      <c r="BB535" s="219"/>
      <c r="BC535" s="219"/>
      <c r="BD535" s="208"/>
      <c r="BE535" s="203"/>
      <c r="BF535" s="219"/>
      <c r="BG535" s="219"/>
      <c r="BH535" s="321" t="str">
        <f t="shared" si="37"/>
        <v/>
      </c>
      <c r="BI535" s="98" t="str">
        <f t="shared" si="38"/>
        <v>AA</v>
      </c>
      <c r="BJ535" s="98" t="str">
        <f t="shared" si="39"/>
        <v>NÃO</v>
      </c>
      <c r="BK535" s="219"/>
      <c r="BL535" s="221"/>
      <c r="BM535" s="221"/>
      <c r="BN535" s="219"/>
      <c r="BO535" s="219"/>
      <c r="BP535" s="219"/>
      <c r="BQ535" s="219"/>
      <c r="BR535" s="222"/>
    </row>
    <row r="536" spans="1:112" s="240" customFormat="1" ht="27" hidden="1" customHeight="1">
      <c r="A536" s="207">
        <v>532</v>
      </c>
      <c r="B536" s="197" t="s">
        <v>4396</v>
      </c>
      <c r="C536" s="207" t="s">
        <v>4427</v>
      </c>
      <c r="D536" s="207">
        <v>1</v>
      </c>
      <c r="E536" s="207" t="s">
        <v>4398</v>
      </c>
      <c r="F536" s="214" t="s">
        <v>6720</v>
      </c>
      <c r="G536" s="207" t="s">
        <v>4400</v>
      </c>
      <c r="H536" s="207" t="s">
        <v>4401</v>
      </c>
      <c r="I536" s="217" t="s">
        <v>4402</v>
      </c>
      <c r="J536" s="215" t="s">
        <v>6721</v>
      </c>
      <c r="K536" s="215" t="s">
        <v>6722</v>
      </c>
      <c r="L536" s="215" t="s">
        <v>6723</v>
      </c>
      <c r="M536" s="207" t="s">
        <v>4405</v>
      </c>
      <c r="N536" s="207" t="s">
        <v>4406</v>
      </c>
      <c r="O536" s="202">
        <v>46002</v>
      </c>
      <c r="P536" s="202" t="s">
        <v>4407</v>
      </c>
      <c r="Q536" s="202">
        <v>45999</v>
      </c>
      <c r="R536" s="202">
        <v>46006</v>
      </c>
      <c r="S536" s="202">
        <v>46006</v>
      </c>
      <c r="T536" s="202">
        <v>46009</v>
      </c>
      <c r="U536" s="202" t="s">
        <v>4408</v>
      </c>
      <c r="V536" s="202" t="s">
        <v>4408</v>
      </c>
      <c r="W536" s="202">
        <v>46014</v>
      </c>
      <c r="X536" s="202">
        <v>46017</v>
      </c>
      <c r="Y536" s="203"/>
      <c r="Z536" s="219"/>
      <c r="AA536" s="215" t="s">
        <v>6721</v>
      </c>
      <c r="AB536" s="215" t="s">
        <v>6722</v>
      </c>
      <c r="AC536" s="215" t="s">
        <v>6723</v>
      </c>
      <c r="AD536" s="217" t="s">
        <v>4402</v>
      </c>
      <c r="AE536" s="207" t="s">
        <v>4405</v>
      </c>
      <c r="AF536" s="218" t="s">
        <v>4409</v>
      </c>
      <c r="AG536" s="218" t="s">
        <v>4409</v>
      </c>
      <c r="AH536" s="207" t="s">
        <v>4410</v>
      </c>
      <c r="AI536" s="214" t="s">
        <v>4411</v>
      </c>
      <c r="AJ536" s="207"/>
      <c r="AK536" s="316">
        <v>45996</v>
      </c>
      <c r="AL536" s="316">
        <v>45996</v>
      </c>
      <c r="AM536" s="316">
        <v>45996</v>
      </c>
      <c r="AN536" s="316">
        <v>45996</v>
      </c>
      <c r="AO536" s="316">
        <v>45996</v>
      </c>
      <c r="AP536" s="316">
        <v>45996</v>
      </c>
      <c r="AQ536" s="314"/>
      <c r="AR536" s="315" t="str">
        <f t="shared" si="36"/>
        <v>FINALIZADO</v>
      </c>
      <c r="AS536" s="207"/>
      <c r="AT536" s="219"/>
      <c r="AU536" s="220"/>
      <c r="AV536" s="219"/>
      <c r="AW536" s="219"/>
      <c r="AX536" s="219"/>
      <c r="AY536" s="219"/>
      <c r="AZ536" s="219"/>
      <c r="BA536" s="219"/>
      <c r="BB536" s="219"/>
      <c r="BC536" s="219"/>
      <c r="BD536" s="208"/>
      <c r="BE536" s="202"/>
      <c r="BF536" s="207"/>
      <c r="BG536" s="229"/>
      <c r="BH536" s="321" t="str">
        <f t="shared" si="37"/>
        <v/>
      </c>
      <c r="BI536" s="98" t="str">
        <f t="shared" si="38"/>
        <v>AA</v>
      </c>
      <c r="BJ536" s="98" t="str">
        <f t="shared" si="39"/>
        <v>NÃO</v>
      </c>
      <c r="BK536" s="230"/>
      <c r="BL536" s="230"/>
      <c r="BM536" s="230"/>
      <c r="BN536" s="230"/>
      <c r="BO536" s="230"/>
      <c r="BP536" s="230"/>
      <c r="BQ536" s="230"/>
      <c r="BR536" s="234"/>
    </row>
    <row r="537" spans="1:112" s="240" customFormat="1" ht="27" customHeight="1">
      <c r="A537" s="207">
        <v>533</v>
      </c>
      <c r="B537" s="197" t="s">
        <v>4396</v>
      </c>
      <c r="C537" s="207" t="s">
        <v>4413</v>
      </c>
      <c r="D537" s="207">
        <v>1</v>
      </c>
      <c r="E537" s="207" t="s">
        <v>4398</v>
      </c>
      <c r="F537" s="214" t="s">
        <v>6720</v>
      </c>
      <c r="G537" s="207" t="s">
        <v>4400</v>
      </c>
      <c r="H537" s="207" t="s">
        <v>4401</v>
      </c>
      <c r="I537" s="207" t="s">
        <v>4402</v>
      </c>
      <c r="J537" s="215" t="s">
        <v>4632</v>
      </c>
      <c r="K537" s="215" t="s">
        <v>4398</v>
      </c>
      <c r="L537" s="215" t="s">
        <v>4633</v>
      </c>
      <c r="M537" s="207" t="s">
        <v>4405</v>
      </c>
      <c r="N537" s="207" t="s">
        <v>4406</v>
      </c>
      <c r="O537" s="202">
        <v>46084</v>
      </c>
      <c r="P537" s="202" t="s">
        <v>4407</v>
      </c>
      <c r="Q537" s="202">
        <v>46083</v>
      </c>
      <c r="R537" s="203">
        <v>46084</v>
      </c>
      <c r="S537" s="203">
        <v>46087</v>
      </c>
      <c r="T537" s="203">
        <v>46090</v>
      </c>
      <c r="U537" s="202" t="s">
        <v>4408</v>
      </c>
      <c r="V537" s="202" t="s">
        <v>4408</v>
      </c>
      <c r="W537" s="202">
        <v>46101</v>
      </c>
      <c r="X537" s="202">
        <v>46101</v>
      </c>
      <c r="Y537" s="202"/>
      <c r="Z537" s="202"/>
      <c r="AA537" s="215" t="s">
        <v>4632</v>
      </c>
      <c r="AB537" s="215" t="s">
        <v>4398</v>
      </c>
      <c r="AC537" s="215" t="s">
        <v>4633</v>
      </c>
      <c r="AD537" s="233" t="s">
        <v>4402</v>
      </c>
      <c r="AE537" s="219" t="s">
        <v>4405</v>
      </c>
      <c r="AF537" s="218" t="s">
        <v>4409</v>
      </c>
      <c r="AG537" s="218" t="s">
        <v>4409</v>
      </c>
      <c r="AH537" s="207" t="s">
        <v>4410</v>
      </c>
      <c r="AI537" s="214" t="s">
        <v>4411</v>
      </c>
      <c r="AJ537" s="207"/>
      <c r="AK537" s="316">
        <v>46086</v>
      </c>
      <c r="AL537" s="316">
        <v>46086</v>
      </c>
      <c r="AM537" s="316">
        <v>46086</v>
      </c>
      <c r="AN537" s="316">
        <v>46086</v>
      </c>
      <c r="AO537" s="316">
        <v>46086</v>
      </c>
      <c r="AP537" s="316">
        <v>46086</v>
      </c>
      <c r="AQ537" s="314"/>
      <c r="AR537" s="315" t="str">
        <f t="shared" si="36"/>
        <v>FINALIZADO</v>
      </c>
      <c r="AS537" s="207"/>
      <c r="AT537" s="219"/>
      <c r="AU537" s="220"/>
      <c r="AV537" s="219"/>
      <c r="AW537" s="219"/>
      <c r="AX537" s="219"/>
      <c r="AY537" s="219"/>
      <c r="AZ537" s="219"/>
      <c r="BA537" s="219"/>
      <c r="BB537" s="219"/>
      <c r="BC537" s="219"/>
      <c r="BD537" s="208"/>
      <c r="BE537" s="203"/>
      <c r="BF537" s="219"/>
      <c r="BG537" s="219"/>
      <c r="BH537" s="321" t="str">
        <f t="shared" si="37"/>
        <v/>
      </c>
      <c r="BI537" s="98" t="str">
        <f t="shared" si="38"/>
        <v>AA</v>
      </c>
      <c r="BJ537" s="98" t="str">
        <f t="shared" si="39"/>
        <v>NÃO</v>
      </c>
      <c r="BK537" s="219"/>
      <c r="BL537" s="221"/>
      <c r="BM537" s="221"/>
      <c r="BN537" s="219"/>
      <c r="BO537" s="219"/>
      <c r="BP537" s="219"/>
      <c r="BQ537" s="219"/>
      <c r="BR537" s="222"/>
    </row>
    <row r="538" spans="1:112" s="240" customFormat="1" ht="27" customHeight="1">
      <c r="A538" s="207">
        <v>534</v>
      </c>
      <c r="B538" s="197" t="s">
        <v>4396</v>
      </c>
      <c r="C538" s="207" t="s">
        <v>4413</v>
      </c>
      <c r="D538" s="207">
        <v>1</v>
      </c>
      <c r="E538" s="207" t="s">
        <v>4398</v>
      </c>
      <c r="F538" s="214" t="s">
        <v>6724</v>
      </c>
      <c r="G538" s="207" t="s">
        <v>4400</v>
      </c>
      <c r="H538" s="207" t="s">
        <v>4401</v>
      </c>
      <c r="I538" s="207" t="s">
        <v>4536</v>
      </c>
      <c r="J538" s="215" t="s">
        <v>6725</v>
      </c>
      <c r="K538" s="215" t="s">
        <v>6726</v>
      </c>
      <c r="L538" s="215" t="s">
        <v>6727</v>
      </c>
      <c r="M538" s="207" t="s">
        <v>4405</v>
      </c>
      <c r="N538" s="207" t="s">
        <v>4406</v>
      </c>
      <c r="O538" s="203">
        <v>46090</v>
      </c>
      <c r="P538" s="203" t="s">
        <v>4407</v>
      </c>
      <c r="Q538" s="202">
        <v>46090</v>
      </c>
      <c r="R538" s="202">
        <v>46099</v>
      </c>
      <c r="S538" s="202">
        <v>46101</v>
      </c>
      <c r="T538" s="202">
        <v>46118</v>
      </c>
      <c r="U538" s="202" t="s">
        <v>4408</v>
      </c>
      <c r="V538" s="202" t="s">
        <v>4408</v>
      </c>
      <c r="W538" s="202">
        <v>46118</v>
      </c>
      <c r="X538" s="202">
        <v>46118</v>
      </c>
      <c r="Y538" s="202"/>
      <c r="Z538" s="202"/>
      <c r="AA538" s="215" t="s">
        <v>6725</v>
      </c>
      <c r="AB538" s="215" t="s">
        <v>6726</v>
      </c>
      <c r="AC538" s="215" t="s">
        <v>6727</v>
      </c>
      <c r="AD538" s="233" t="s">
        <v>4402</v>
      </c>
      <c r="AE538" s="219" t="s">
        <v>4405</v>
      </c>
      <c r="AF538" s="218" t="s">
        <v>4409</v>
      </c>
      <c r="AG538" s="218" t="s">
        <v>4409</v>
      </c>
      <c r="AH538" s="207" t="s">
        <v>4410</v>
      </c>
      <c r="AI538" s="214" t="s">
        <v>4411</v>
      </c>
      <c r="AJ538" s="207"/>
      <c r="AK538" s="316">
        <v>46086</v>
      </c>
      <c r="AL538" s="316">
        <v>46086</v>
      </c>
      <c r="AM538" s="316">
        <v>46086</v>
      </c>
      <c r="AN538" s="316">
        <v>46086</v>
      </c>
      <c r="AO538" s="316">
        <v>46086</v>
      </c>
      <c r="AP538" s="316">
        <v>46086</v>
      </c>
      <c r="AQ538" s="314"/>
      <c r="AR538" s="315" t="str">
        <f t="shared" si="36"/>
        <v>FINALIZADO</v>
      </c>
      <c r="AS538" s="207"/>
      <c r="AT538" s="219"/>
      <c r="AU538" s="220"/>
      <c r="AV538" s="219"/>
      <c r="AW538" s="219"/>
      <c r="AX538" s="219"/>
      <c r="AY538" s="219"/>
      <c r="AZ538" s="219"/>
      <c r="BA538" s="219"/>
      <c r="BB538" s="219"/>
      <c r="BC538" s="219"/>
      <c r="BD538" s="208"/>
      <c r="BE538" s="203"/>
      <c r="BF538" s="219"/>
      <c r="BG538" s="219"/>
      <c r="BH538" s="321" t="str">
        <f t="shared" si="37"/>
        <v/>
      </c>
      <c r="BI538" s="98" t="str">
        <f t="shared" si="38"/>
        <v>AA</v>
      </c>
      <c r="BJ538" s="98" t="str">
        <f t="shared" si="39"/>
        <v>NÃO</v>
      </c>
      <c r="BK538" s="219"/>
      <c r="BL538" s="221"/>
      <c r="BM538" s="221"/>
      <c r="BN538" s="219"/>
      <c r="BO538" s="219"/>
      <c r="BP538" s="219"/>
      <c r="BQ538" s="219"/>
      <c r="BR538" s="222"/>
    </row>
    <row r="539" spans="1:112" s="240" customFormat="1" ht="27" hidden="1" customHeight="1">
      <c r="A539" s="197">
        <v>535</v>
      </c>
      <c r="B539" s="197" t="s">
        <v>4396</v>
      </c>
      <c r="C539" s="207" t="s">
        <v>4427</v>
      </c>
      <c r="D539" s="207">
        <v>1</v>
      </c>
      <c r="E539" s="207" t="s">
        <v>4398</v>
      </c>
      <c r="F539" s="214" t="s">
        <v>6728</v>
      </c>
      <c r="G539" s="207" t="s">
        <v>4400</v>
      </c>
      <c r="H539" s="207" t="s">
        <v>4401</v>
      </c>
      <c r="I539" s="217" t="s">
        <v>4402</v>
      </c>
      <c r="J539" s="215" t="s">
        <v>6729</v>
      </c>
      <c r="K539" s="215" t="s">
        <v>4440</v>
      </c>
      <c r="L539" s="215" t="s">
        <v>6730</v>
      </c>
      <c r="M539" s="207" t="s">
        <v>4405</v>
      </c>
      <c r="N539" s="207" t="s">
        <v>4406</v>
      </c>
      <c r="O539" s="202">
        <v>46106</v>
      </c>
      <c r="P539" s="202" t="s">
        <v>4407</v>
      </c>
      <c r="Q539" s="202">
        <v>46106</v>
      </c>
      <c r="R539" s="202">
        <v>46107</v>
      </c>
      <c r="S539" s="202">
        <v>46111</v>
      </c>
      <c r="T539" s="202">
        <v>46087</v>
      </c>
      <c r="U539" s="202" t="s">
        <v>4408</v>
      </c>
      <c r="V539" s="202" t="s">
        <v>4408</v>
      </c>
      <c r="W539" s="202">
        <v>46132</v>
      </c>
      <c r="X539" s="203">
        <v>46135</v>
      </c>
      <c r="Y539" s="203"/>
      <c r="Z539" s="219"/>
      <c r="AA539" s="215" t="s">
        <v>6729</v>
      </c>
      <c r="AB539" s="215" t="s">
        <v>4440</v>
      </c>
      <c r="AC539" s="215" t="s">
        <v>6730</v>
      </c>
      <c r="AD539" s="233" t="s">
        <v>4402</v>
      </c>
      <c r="AE539" s="219" t="s">
        <v>4405</v>
      </c>
      <c r="AF539" s="218" t="s">
        <v>4409</v>
      </c>
      <c r="AG539" s="218" t="s">
        <v>4409</v>
      </c>
      <c r="AH539" s="207" t="s">
        <v>4410</v>
      </c>
      <c r="AI539" s="214" t="s">
        <v>4411</v>
      </c>
      <c r="AJ539" s="207"/>
      <c r="AK539" s="316">
        <v>46001</v>
      </c>
      <c r="AL539" s="316">
        <v>46001</v>
      </c>
      <c r="AM539" s="316">
        <v>46001</v>
      </c>
      <c r="AN539" s="316">
        <v>46001</v>
      </c>
      <c r="AO539" s="316">
        <v>46001</v>
      </c>
      <c r="AP539" s="316">
        <v>46001</v>
      </c>
      <c r="AQ539" s="314"/>
      <c r="AR539" s="315" t="str">
        <f t="shared" si="36"/>
        <v>FINALIZADO</v>
      </c>
      <c r="AS539" s="207"/>
      <c r="AT539" s="219"/>
      <c r="AU539" s="220"/>
      <c r="AV539" s="219"/>
      <c r="AW539" s="219"/>
      <c r="AX539" s="219"/>
      <c r="AY539" s="219"/>
      <c r="AZ539" s="219"/>
      <c r="BA539" s="219"/>
      <c r="BB539" s="219"/>
      <c r="BC539" s="219"/>
      <c r="BD539" s="208"/>
      <c r="BE539" s="203"/>
      <c r="BF539" s="219"/>
      <c r="BG539" s="219"/>
      <c r="BH539" s="321" t="str">
        <f t="shared" si="37"/>
        <v/>
      </c>
      <c r="BI539" s="98" t="str">
        <f t="shared" si="38"/>
        <v>AA</v>
      </c>
      <c r="BJ539" s="98" t="str">
        <f t="shared" si="39"/>
        <v>NÃO</v>
      </c>
      <c r="BK539" s="219"/>
      <c r="BL539" s="221"/>
      <c r="BM539" s="221"/>
      <c r="BN539" s="219"/>
      <c r="BO539" s="219"/>
      <c r="BP539" s="219"/>
      <c r="BQ539" s="219"/>
      <c r="BR539" s="222"/>
    </row>
    <row r="540" spans="1:112" s="240" customFormat="1" ht="27" customHeight="1">
      <c r="A540" s="197">
        <v>536</v>
      </c>
      <c r="B540" s="197" t="s">
        <v>4396</v>
      </c>
      <c r="C540" s="207" t="s">
        <v>4413</v>
      </c>
      <c r="D540" s="207">
        <v>1</v>
      </c>
      <c r="E540" s="207" t="s">
        <v>4398</v>
      </c>
      <c r="F540" s="214" t="s">
        <v>6728</v>
      </c>
      <c r="G540" s="207" t="s">
        <v>4400</v>
      </c>
      <c r="H540" s="207" t="s">
        <v>4401</v>
      </c>
      <c r="I540" s="207" t="s">
        <v>4402</v>
      </c>
      <c r="J540" s="215" t="s">
        <v>6731</v>
      </c>
      <c r="K540" s="215" t="s">
        <v>6732</v>
      </c>
      <c r="L540" s="215" t="s">
        <v>6733</v>
      </c>
      <c r="M540" s="207" t="s">
        <v>4405</v>
      </c>
      <c r="N540" s="207" t="s">
        <v>4406</v>
      </c>
      <c r="O540" s="203">
        <v>46090</v>
      </c>
      <c r="P540" s="203" t="s">
        <v>4407</v>
      </c>
      <c r="Q540" s="202">
        <v>46090</v>
      </c>
      <c r="R540" s="202">
        <v>46099</v>
      </c>
      <c r="S540" s="202">
        <v>46101</v>
      </c>
      <c r="T540" s="202">
        <v>46118</v>
      </c>
      <c r="U540" s="202" t="s">
        <v>4408</v>
      </c>
      <c r="V540" s="202" t="s">
        <v>4408</v>
      </c>
      <c r="W540" s="202">
        <v>46118</v>
      </c>
      <c r="X540" s="202">
        <v>46118</v>
      </c>
      <c r="Y540" s="202"/>
      <c r="Z540" s="202"/>
      <c r="AA540" s="215" t="s">
        <v>6731</v>
      </c>
      <c r="AB540" s="215" t="s">
        <v>6732</v>
      </c>
      <c r="AC540" s="215" t="s">
        <v>6733</v>
      </c>
      <c r="AD540" s="233" t="s">
        <v>4402</v>
      </c>
      <c r="AE540" s="219" t="s">
        <v>4405</v>
      </c>
      <c r="AF540" s="218" t="s">
        <v>4409</v>
      </c>
      <c r="AG540" s="218" t="s">
        <v>4409</v>
      </c>
      <c r="AH540" s="207" t="s">
        <v>4410</v>
      </c>
      <c r="AI540" s="214" t="s">
        <v>4411</v>
      </c>
      <c r="AJ540" s="207"/>
      <c r="AK540" s="316">
        <v>46086</v>
      </c>
      <c r="AL540" s="316">
        <v>46086</v>
      </c>
      <c r="AM540" s="316">
        <v>46086</v>
      </c>
      <c r="AN540" s="316">
        <v>46086</v>
      </c>
      <c r="AO540" s="316">
        <v>46086</v>
      </c>
      <c r="AP540" s="316">
        <v>46086</v>
      </c>
      <c r="AQ540" s="314"/>
      <c r="AR540" s="315" t="str">
        <f t="shared" si="36"/>
        <v>FINALIZADO</v>
      </c>
      <c r="AS540" s="207"/>
      <c r="AT540" s="219"/>
      <c r="AU540" s="220"/>
      <c r="AV540" s="161"/>
      <c r="AW540" s="219"/>
      <c r="AX540" s="219"/>
      <c r="AY540" s="219"/>
      <c r="AZ540" s="219"/>
      <c r="BA540" s="219"/>
      <c r="BB540" s="219"/>
      <c r="BC540" s="219"/>
      <c r="BD540" s="208"/>
      <c r="BE540" s="203"/>
      <c r="BF540" s="219"/>
      <c r="BG540" s="219"/>
      <c r="BH540" s="321" t="str">
        <f t="shared" si="37"/>
        <v/>
      </c>
      <c r="BI540" s="98" t="str">
        <f t="shared" si="38"/>
        <v>AA</v>
      </c>
      <c r="BJ540" s="98" t="str">
        <f t="shared" si="39"/>
        <v>NÃO</v>
      </c>
      <c r="BK540" s="219"/>
      <c r="BL540" s="221"/>
      <c r="BM540" s="221"/>
      <c r="BN540" s="219"/>
      <c r="BO540" s="219"/>
      <c r="BP540" s="219"/>
      <c r="BQ540" s="219"/>
      <c r="BR540" s="222"/>
      <c r="BS540" s="161"/>
      <c r="BT540" s="161"/>
      <c r="BU540" s="161"/>
      <c r="BV540" s="161"/>
      <c r="BW540" s="161"/>
      <c r="BX540" s="161"/>
      <c r="BY540" s="161"/>
      <c r="BZ540" s="161"/>
      <c r="CA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  <c r="DA540" s="161"/>
      <c r="DB540" s="161"/>
      <c r="DC540" s="161"/>
      <c r="DD540" s="161"/>
      <c r="DE540" s="161"/>
      <c r="DF540" s="161"/>
      <c r="DG540" s="161"/>
      <c r="DH540" s="161"/>
    </row>
    <row r="541" spans="1:112" s="240" customFormat="1" ht="27" hidden="1" customHeight="1">
      <c r="A541" s="207">
        <v>537</v>
      </c>
      <c r="B541" s="197" t="s">
        <v>4396</v>
      </c>
      <c r="C541" s="207" t="s">
        <v>4427</v>
      </c>
      <c r="D541" s="207">
        <v>1</v>
      </c>
      <c r="E541" s="207" t="s">
        <v>4398</v>
      </c>
      <c r="F541" s="214" t="s">
        <v>6734</v>
      </c>
      <c r="G541" s="207" t="s">
        <v>4400</v>
      </c>
      <c r="H541" s="207" t="s">
        <v>4401</v>
      </c>
      <c r="I541" s="217" t="s">
        <v>4402</v>
      </c>
      <c r="J541" s="215" t="s">
        <v>6735</v>
      </c>
      <c r="K541" s="215" t="s">
        <v>6736</v>
      </c>
      <c r="L541" s="215" t="s">
        <v>6737</v>
      </c>
      <c r="M541" s="207" t="s">
        <v>4405</v>
      </c>
      <c r="N541" s="207" t="s">
        <v>4442</v>
      </c>
      <c r="O541" s="202" t="s">
        <v>4409</v>
      </c>
      <c r="P541" s="202" t="s">
        <v>4409</v>
      </c>
      <c r="Q541" s="202" t="s">
        <v>4409</v>
      </c>
      <c r="R541" s="202" t="s">
        <v>4409</v>
      </c>
      <c r="S541" s="202" t="s">
        <v>4409</v>
      </c>
      <c r="T541" s="202" t="s">
        <v>4409</v>
      </c>
      <c r="U541" s="202" t="s">
        <v>4409</v>
      </c>
      <c r="V541" s="202" t="s">
        <v>4409</v>
      </c>
      <c r="W541" s="202" t="s">
        <v>4409</v>
      </c>
      <c r="X541" s="202" t="s">
        <v>4409</v>
      </c>
      <c r="Y541" s="202"/>
      <c r="Z541" s="202"/>
      <c r="AA541" s="215" t="s">
        <v>6735</v>
      </c>
      <c r="AB541" s="215" t="s">
        <v>6736</v>
      </c>
      <c r="AC541" s="215" t="s">
        <v>6737</v>
      </c>
      <c r="AD541" s="207" t="s">
        <v>4402</v>
      </c>
      <c r="AE541" s="219" t="s">
        <v>4405</v>
      </c>
      <c r="AF541" s="218">
        <v>22110.02</v>
      </c>
      <c r="AG541" s="218">
        <f>AF541+30000</f>
        <v>52110.020000000004</v>
      </c>
      <c r="AH541" s="207" t="s">
        <v>4433</v>
      </c>
      <c r="AI541" s="214" t="s">
        <v>4411</v>
      </c>
      <c r="AJ541" s="207">
        <v>148266193</v>
      </c>
      <c r="AK541" s="316">
        <v>46045</v>
      </c>
      <c r="AL541" s="316">
        <v>46045</v>
      </c>
      <c r="AM541" s="316">
        <v>46045</v>
      </c>
      <c r="AN541" s="316">
        <v>46045</v>
      </c>
      <c r="AO541" s="316">
        <v>46045</v>
      </c>
      <c r="AP541" s="316">
        <v>46045</v>
      </c>
      <c r="AQ541" s="314"/>
      <c r="AR541" s="315" t="str">
        <f t="shared" si="36"/>
        <v>FINALIZADO</v>
      </c>
      <c r="AS541" s="207" t="s">
        <v>4423</v>
      </c>
      <c r="AT541" s="219"/>
      <c r="AU541" s="220" t="s">
        <v>6738</v>
      </c>
      <c r="AV541" s="207" t="s">
        <v>4425</v>
      </c>
      <c r="AW541" s="207" t="s">
        <v>4425</v>
      </c>
      <c r="AX541" s="207" t="s">
        <v>4425</v>
      </c>
      <c r="AY541" s="207" t="s">
        <v>4425</v>
      </c>
      <c r="AZ541" s="202">
        <v>46118</v>
      </c>
      <c r="BA541" s="207" t="s">
        <v>4425</v>
      </c>
      <c r="BB541" s="207" t="s">
        <v>4425</v>
      </c>
      <c r="BC541" s="202">
        <v>46126</v>
      </c>
      <c r="BD541" s="227">
        <v>46126</v>
      </c>
      <c r="BE541" s="227" t="s">
        <v>4435</v>
      </c>
      <c r="BF541" s="245" t="s">
        <v>4436</v>
      </c>
      <c r="BG541" s="229" t="s">
        <v>4425</v>
      </c>
      <c r="BH541" s="321">
        <f t="shared" si="37"/>
        <v>81</v>
      </c>
      <c r="BI541" s="98" t="str">
        <f t="shared" si="38"/>
        <v>INDENIZAÇÃO</v>
      </c>
      <c r="BJ541" s="98" t="str">
        <f t="shared" si="39"/>
        <v>NÃO</v>
      </c>
      <c r="BK541" s="219" t="s">
        <v>4437</v>
      </c>
      <c r="BL541" s="219" t="s">
        <v>4437</v>
      </c>
      <c r="BM541" s="219" t="s">
        <v>4437</v>
      </c>
      <c r="BN541" s="257" t="s">
        <v>5732</v>
      </c>
      <c r="BO541" s="257"/>
      <c r="BP541" s="257"/>
      <c r="BQ541" s="257"/>
      <c r="BR541" s="258"/>
      <c r="BS541" s="223"/>
      <c r="BT541" s="223"/>
    </row>
    <row r="542" spans="1:112" s="240" customFormat="1" ht="27" customHeight="1">
      <c r="A542" s="207">
        <v>538</v>
      </c>
      <c r="B542" s="197" t="s">
        <v>4396</v>
      </c>
      <c r="C542" s="207" t="s">
        <v>4413</v>
      </c>
      <c r="D542" s="207">
        <v>1</v>
      </c>
      <c r="E542" s="207" t="s">
        <v>4398</v>
      </c>
      <c r="F542" s="214" t="s">
        <v>6734</v>
      </c>
      <c r="G542" s="207" t="s">
        <v>4400</v>
      </c>
      <c r="H542" s="207" t="s">
        <v>4401</v>
      </c>
      <c r="I542" s="207" t="s">
        <v>4402</v>
      </c>
      <c r="J542" s="215" t="s">
        <v>6739</v>
      </c>
      <c r="K542" s="215" t="s">
        <v>6740</v>
      </c>
      <c r="L542" s="215" t="s">
        <v>6741</v>
      </c>
      <c r="M542" s="207" t="s">
        <v>4405</v>
      </c>
      <c r="N542" s="207" t="s">
        <v>4406</v>
      </c>
      <c r="O542" s="202">
        <v>46084</v>
      </c>
      <c r="P542" s="202" t="s">
        <v>4407</v>
      </c>
      <c r="Q542" s="202">
        <v>46083</v>
      </c>
      <c r="R542" s="203">
        <v>46084</v>
      </c>
      <c r="S542" s="203">
        <v>46087</v>
      </c>
      <c r="T542" s="203">
        <v>46090</v>
      </c>
      <c r="U542" s="202" t="s">
        <v>4408</v>
      </c>
      <c r="V542" s="202" t="s">
        <v>4408</v>
      </c>
      <c r="W542" s="202">
        <v>46101</v>
      </c>
      <c r="X542" s="202">
        <v>46101</v>
      </c>
      <c r="Y542" s="202"/>
      <c r="Z542" s="202"/>
      <c r="AA542" s="215" t="s">
        <v>6739</v>
      </c>
      <c r="AB542" s="215" t="s">
        <v>6740</v>
      </c>
      <c r="AC542" s="215" t="s">
        <v>6741</v>
      </c>
      <c r="AD542" s="233" t="s">
        <v>4402</v>
      </c>
      <c r="AE542" s="219" t="s">
        <v>4405</v>
      </c>
      <c r="AF542" s="218" t="s">
        <v>4409</v>
      </c>
      <c r="AG542" s="218" t="s">
        <v>4409</v>
      </c>
      <c r="AH542" s="207" t="s">
        <v>4410</v>
      </c>
      <c r="AI542" s="214" t="s">
        <v>4411</v>
      </c>
      <c r="AJ542" s="207"/>
      <c r="AK542" s="316">
        <v>46086</v>
      </c>
      <c r="AL542" s="316">
        <v>46086</v>
      </c>
      <c r="AM542" s="316">
        <v>46086</v>
      </c>
      <c r="AN542" s="316">
        <v>46086</v>
      </c>
      <c r="AO542" s="316">
        <v>46086</v>
      </c>
      <c r="AP542" s="316">
        <v>46086</v>
      </c>
      <c r="AQ542" s="314"/>
      <c r="AR542" s="315" t="str">
        <f t="shared" si="36"/>
        <v>FINALIZADO</v>
      </c>
      <c r="AS542" s="207"/>
      <c r="AT542" s="219"/>
      <c r="AU542" s="220"/>
      <c r="AV542" s="219"/>
      <c r="AW542" s="219"/>
      <c r="AX542" s="219"/>
      <c r="AY542" s="219"/>
      <c r="AZ542" s="219"/>
      <c r="BA542" s="219"/>
      <c r="BB542" s="219"/>
      <c r="BC542" s="219"/>
      <c r="BD542" s="208"/>
      <c r="BE542" s="203"/>
      <c r="BF542" s="219"/>
      <c r="BG542" s="219"/>
      <c r="BH542" s="321" t="str">
        <f t="shared" si="37"/>
        <v/>
      </c>
      <c r="BI542" s="98" t="str">
        <f t="shared" si="38"/>
        <v>AA</v>
      </c>
      <c r="BJ542" s="98" t="str">
        <f t="shared" si="39"/>
        <v>NÃO</v>
      </c>
      <c r="BK542" s="219"/>
      <c r="BL542" s="221"/>
      <c r="BM542" s="221"/>
      <c r="BN542" s="219"/>
      <c r="BO542" s="219"/>
      <c r="BP542" s="219"/>
      <c r="BQ542" s="219"/>
      <c r="BR542" s="222"/>
    </row>
    <row r="543" spans="1:112" s="240" customFormat="1" ht="27" customHeight="1">
      <c r="A543" s="207">
        <v>539</v>
      </c>
      <c r="B543" s="197" t="s">
        <v>4396</v>
      </c>
      <c r="C543" s="207" t="s">
        <v>4413</v>
      </c>
      <c r="D543" s="207">
        <v>1</v>
      </c>
      <c r="E543" s="207" t="s">
        <v>4398</v>
      </c>
      <c r="F543" s="214" t="s">
        <v>6742</v>
      </c>
      <c r="G543" s="207" t="s">
        <v>4400</v>
      </c>
      <c r="H543" s="207" t="s">
        <v>4401</v>
      </c>
      <c r="I543" s="207" t="s">
        <v>4402</v>
      </c>
      <c r="J543" s="215" t="s">
        <v>6743</v>
      </c>
      <c r="K543" s="215" t="s">
        <v>6744</v>
      </c>
      <c r="L543" s="215" t="s">
        <v>6745</v>
      </c>
      <c r="M543" s="207" t="s">
        <v>4405</v>
      </c>
      <c r="N543" s="207" t="s">
        <v>4406</v>
      </c>
      <c r="O543" s="203">
        <v>46090</v>
      </c>
      <c r="P543" s="203" t="s">
        <v>4407</v>
      </c>
      <c r="Q543" s="202">
        <v>46090</v>
      </c>
      <c r="R543" s="202">
        <v>46099</v>
      </c>
      <c r="S543" s="202">
        <v>46101</v>
      </c>
      <c r="T543" s="202">
        <v>46118</v>
      </c>
      <c r="U543" s="202" t="s">
        <v>4408</v>
      </c>
      <c r="V543" s="202" t="s">
        <v>4408</v>
      </c>
      <c r="W543" s="202">
        <v>46118</v>
      </c>
      <c r="X543" s="202">
        <v>46119</v>
      </c>
      <c r="Y543" s="202"/>
      <c r="Z543" s="202"/>
      <c r="AA543" s="215" t="s">
        <v>6743</v>
      </c>
      <c r="AB543" s="215" t="s">
        <v>6744</v>
      </c>
      <c r="AC543" s="215" t="s">
        <v>6745</v>
      </c>
      <c r="AD543" s="233" t="s">
        <v>4402</v>
      </c>
      <c r="AE543" s="219" t="s">
        <v>4405</v>
      </c>
      <c r="AF543" s="218" t="s">
        <v>4409</v>
      </c>
      <c r="AG543" s="218" t="s">
        <v>4409</v>
      </c>
      <c r="AH543" s="207" t="s">
        <v>4410</v>
      </c>
      <c r="AI543" s="214" t="s">
        <v>4411</v>
      </c>
      <c r="AJ543" s="207"/>
      <c r="AK543" s="316">
        <v>46086</v>
      </c>
      <c r="AL543" s="316">
        <v>46086</v>
      </c>
      <c r="AM543" s="316">
        <v>46086</v>
      </c>
      <c r="AN543" s="316">
        <v>46086</v>
      </c>
      <c r="AO543" s="316">
        <v>46086</v>
      </c>
      <c r="AP543" s="316">
        <v>46086</v>
      </c>
      <c r="AQ543" s="314"/>
      <c r="AR543" s="315" t="str">
        <f t="shared" si="36"/>
        <v>FINALIZADO</v>
      </c>
      <c r="AS543" s="207"/>
      <c r="AT543" s="219"/>
      <c r="AU543" s="220"/>
      <c r="AV543" s="219"/>
      <c r="AW543" s="219"/>
      <c r="AX543" s="219"/>
      <c r="AY543" s="219"/>
      <c r="AZ543" s="219"/>
      <c r="BA543" s="219"/>
      <c r="BB543" s="219"/>
      <c r="BC543" s="219"/>
      <c r="BD543" s="208"/>
      <c r="BE543" s="203"/>
      <c r="BF543" s="219"/>
      <c r="BG543" s="219"/>
      <c r="BH543" s="321" t="str">
        <f t="shared" si="37"/>
        <v/>
      </c>
      <c r="BI543" s="98" t="str">
        <f t="shared" si="38"/>
        <v>AA</v>
      </c>
      <c r="BJ543" s="98" t="str">
        <f t="shared" si="39"/>
        <v>NÃO</v>
      </c>
      <c r="BK543" s="219"/>
      <c r="BL543" s="221"/>
      <c r="BM543" s="221"/>
      <c r="BN543" s="219"/>
      <c r="BO543" s="219"/>
      <c r="BP543" s="219"/>
      <c r="BQ543" s="219"/>
      <c r="BR543" s="222"/>
    </row>
    <row r="544" spans="1:112" s="240" customFormat="1" ht="27" hidden="1" customHeight="1">
      <c r="A544" s="197">
        <v>540</v>
      </c>
      <c r="B544" s="197" t="s">
        <v>4396</v>
      </c>
      <c r="C544" s="207" t="s">
        <v>4427</v>
      </c>
      <c r="D544" s="207">
        <v>1</v>
      </c>
      <c r="E544" s="207" t="s">
        <v>4398</v>
      </c>
      <c r="F544" s="214" t="s">
        <v>6746</v>
      </c>
      <c r="G544" s="207" t="s">
        <v>4400</v>
      </c>
      <c r="H544" s="207" t="s">
        <v>4401</v>
      </c>
      <c r="I544" s="207" t="s">
        <v>4402</v>
      </c>
      <c r="J544" s="215" t="s">
        <v>6747</v>
      </c>
      <c r="K544" s="215" t="s">
        <v>6748</v>
      </c>
      <c r="L544" s="215" t="s">
        <v>6749</v>
      </c>
      <c r="M544" s="207" t="s">
        <v>4405</v>
      </c>
      <c r="N544" s="207" t="s">
        <v>4406</v>
      </c>
      <c r="O544" s="202">
        <v>46126</v>
      </c>
      <c r="P544" s="202" t="s">
        <v>4407</v>
      </c>
      <c r="Q544" s="203">
        <v>46126</v>
      </c>
      <c r="R544" s="203">
        <v>46126</v>
      </c>
      <c r="S544" s="203">
        <v>46136</v>
      </c>
      <c r="T544" s="203">
        <v>46140</v>
      </c>
      <c r="U544" s="203" t="s">
        <v>4408</v>
      </c>
      <c r="V544" s="203" t="s">
        <v>4408</v>
      </c>
      <c r="W544" s="202">
        <v>46153</v>
      </c>
      <c r="X544" s="202">
        <v>46163</v>
      </c>
      <c r="Y544" s="202"/>
      <c r="Z544" s="202"/>
      <c r="AA544" s="215" t="s">
        <v>6747</v>
      </c>
      <c r="AB544" s="215" t="s">
        <v>6748</v>
      </c>
      <c r="AC544" s="215" t="s">
        <v>6749</v>
      </c>
      <c r="AD544" s="233" t="s">
        <v>4402</v>
      </c>
      <c r="AE544" s="219" t="s">
        <v>4405</v>
      </c>
      <c r="AF544" s="218" t="s">
        <v>4409</v>
      </c>
      <c r="AG544" s="218" t="s">
        <v>4409</v>
      </c>
      <c r="AH544" s="207" t="s">
        <v>4410</v>
      </c>
      <c r="AI544" s="214" t="s">
        <v>4411</v>
      </c>
      <c r="AJ544" s="207"/>
      <c r="AK544" s="316"/>
      <c r="AL544" s="316"/>
      <c r="AM544" s="316"/>
      <c r="AN544" s="316"/>
      <c r="AO544" s="316"/>
      <c r="AP544" s="316"/>
      <c r="AQ544" s="314"/>
      <c r="AR544" s="315" t="str">
        <f t="shared" si="36"/>
        <v/>
      </c>
      <c r="AS544" s="160"/>
      <c r="AT544" s="219"/>
      <c r="AU544" s="220"/>
      <c r="AV544" s="219"/>
      <c r="AW544" s="219"/>
      <c r="AX544" s="219"/>
      <c r="AY544" s="219"/>
      <c r="AZ544" s="219"/>
      <c r="BA544" s="219"/>
      <c r="BB544" s="219"/>
      <c r="BC544" s="219"/>
      <c r="BD544" s="208"/>
      <c r="BE544" s="203"/>
      <c r="BF544" s="219"/>
      <c r="BG544" s="219"/>
      <c r="BH544" s="321" t="str">
        <f t="shared" si="37"/>
        <v/>
      </c>
      <c r="BI544" s="98" t="str">
        <f t="shared" si="38"/>
        <v>AA</v>
      </c>
      <c r="BJ544" s="98" t="str">
        <f t="shared" si="39"/>
        <v>NÃO</v>
      </c>
      <c r="BK544" s="219"/>
      <c r="BL544" s="221"/>
      <c r="BM544" s="221"/>
      <c r="BN544" s="219"/>
      <c r="BO544" s="219"/>
      <c r="BP544" s="219"/>
      <c r="BQ544" s="219"/>
      <c r="BR544" s="222"/>
    </row>
    <row r="545" spans="1:112" s="240" customFormat="1" ht="27" customHeight="1">
      <c r="A545" s="197">
        <v>541</v>
      </c>
      <c r="B545" s="197" t="s">
        <v>4396</v>
      </c>
      <c r="C545" s="207" t="s">
        <v>4413</v>
      </c>
      <c r="D545" s="207">
        <v>1</v>
      </c>
      <c r="E545" s="207" t="s">
        <v>4398</v>
      </c>
      <c r="F545" s="214" t="s">
        <v>6746</v>
      </c>
      <c r="G545" s="207" t="s">
        <v>4400</v>
      </c>
      <c r="H545" s="207" t="s">
        <v>4401</v>
      </c>
      <c r="I545" s="207" t="s">
        <v>4402</v>
      </c>
      <c r="J545" s="215" t="s">
        <v>6750</v>
      </c>
      <c r="K545" s="215" t="s">
        <v>6751</v>
      </c>
      <c r="L545" s="215" t="s">
        <v>6752</v>
      </c>
      <c r="M545" s="207" t="s">
        <v>4405</v>
      </c>
      <c r="N545" s="207" t="s">
        <v>4406</v>
      </c>
      <c r="O545" s="203">
        <v>46090</v>
      </c>
      <c r="P545" s="203" t="s">
        <v>4407</v>
      </c>
      <c r="Q545" s="202">
        <v>46090</v>
      </c>
      <c r="R545" s="202">
        <v>46099</v>
      </c>
      <c r="S545" s="202">
        <v>46101</v>
      </c>
      <c r="T545" s="202">
        <v>46118</v>
      </c>
      <c r="U545" s="202" t="s">
        <v>4408</v>
      </c>
      <c r="V545" s="202" t="s">
        <v>4408</v>
      </c>
      <c r="W545" s="202">
        <v>46118</v>
      </c>
      <c r="X545" s="202">
        <v>46118</v>
      </c>
      <c r="Y545" s="202"/>
      <c r="Z545" s="202"/>
      <c r="AA545" s="215" t="s">
        <v>6750</v>
      </c>
      <c r="AB545" s="215" t="s">
        <v>6751</v>
      </c>
      <c r="AC545" s="215" t="s">
        <v>6752</v>
      </c>
      <c r="AD545" s="233" t="s">
        <v>4402</v>
      </c>
      <c r="AE545" s="219" t="s">
        <v>4405</v>
      </c>
      <c r="AF545" s="218" t="s">
        <v>4409</v>
      </c>
      <c r="AG545" s="218" t="s">
        <v>4409</v>
      </c>
      <c r="AH545" s="207" t="s">
        <v>4410</v>
      </c>
      <c r="AI545" s="214" t="s">
        <v>4411</v>
      </c>
      <c r="AJ545" s="207"/>
      <c r="AK545" s="316">
        <v>46086</v>
      </c>
      <c r="AL545" s="316">
        <v>46086</v>
      </c>
      <c r="AM545" s="316">
        <v>46086</v>
      </c>
      <c r="AN545" s="316">
        <v>46086</v>
      </c>
      <c r="AO545" s="316">
        <v>46086</v>
      </c>
      <c r="AP545" s="316">
        <v>46086</v>
      </c>
      <c r="AQ545" s="314"/>
      <c r="AR545" s="315" t="str">
        <f t="shared" si="36"/>
        <v>FINALIZADO</v>
      </c>
      <c r="AS545" s="160"/>
      <c r="AT545" s="219"/>
      <c r="AU545" s="220"/>
      <c r="AV545" s="219"/>
      <c r="AW545" s="219"/>
      <c r="AX545" s="219"/>
      <c r="AY545" s="219"/>
      <c r="AZ545" s="219"/>
      <c r="BA545" s="219"/>
      <c r="BB545" s="219"/>
      <c r="BC545" s="219"/>
      <c r="BD545" s="208"/>
      <c r="BE545" s="203"/>
      <c r="BF545" s="219"/>
      <c r="BG545" s="219"/>
      <c r="BH545" s="321" t="str">
        <f t="shared" si="37"/>
        <v/>
      </c>
      <c r="BI545" s="98" t="str">
        <f t="shared" si="38"/>
        <v>AA</v>
      </c>
      <c r="BJ545" s="98" t="str">
        <f t="shared" si="39"/>
        <v>NÃO</v>
      </c>
      <c r="BK545" s="219"/>
      <c r="BL545" s="221"/>
      <c r="BM545" s="221"/>
      <c r="BN545" s="219"/>
      <c r="BO545" s="219"/>
      <c r="BP545" s="219"/>
      <c r="BQ545" s="219"/>
      <c r="BR545" s="222"/>
    </row>
    <row r="546" spans="1:112" s="240" customFormat="1" ht="27" hidden="1" customHeight="1">
      <c r="A546" s="207">
        <v>542</v>
      </c>
      <c r="B546" s="197" t="s">
        <v>4396</v>
      </c>
      <c r="C546" s="207" t="s">
        <v>4427</v>
      </c>
      <c r="D546" s="207">
        <v>1</v>
      </c>
      <c r="E546" s="207" t="s">
        <v>4398</v>
      </c>
      <c r="F546" s="214" t="s">
        <v>6753</v>
      </c>
      <c r="G546" s="207" t="s">
        <v>4400</v>
      </c>
      <c r="H546" s="207" t="s">
        <v>4401</v>
      </c>
      <c r="I546" s="217" t="s">
        <v>4402</v>
      </c>
      <c r="J546" s="215" t="s">
        <v>6754</v>
      </c>
      <c r="K546" s="215" t="s">
        <v>6755</v>
      </c>
      <c r="L546" s="215" t="s">
        <v>6756</v>
      </c>
      <c r="M546" s="219" t="s">
        <v>4405</v>
      </c>
      <c r="N546" s="207" t="s">
        <v>4406</v>
      </c>
      <c r="O546" s="203">
        <v>46126</v>
      </c>
      <c r="P546" s="202" t="s">
        <v>4407</v>
      </c>
      <c r="Q546" s="203">
        <v>46126</v>
      </c>
      <c r="R546" s="203">
        <v>46126</v>
      </c>
      <c r="S546" s="203">
        <v>46136</v>
      </c>
      <c r="T546" s="203">
        <v>46140</v>
      </c>
      <c r="U546" s="203" t="s">
        <v>4408</v>
      </c>
      <c r="V546" s="203" t="s">
        <v>4408</v>
      </c>
      <c r="W546" s="202">
        <v>46153</v>
      </c>
      <c r="X546" s="202">
        <v>46155</v>
      </c>
      <c r="Y546" s="202"/>
      <c r="Z546" s="202"/>
      <c r="AA546" s="215" t="s">
        <v>6754</v>
      </c>
      <c r="AB546" s="215" t="s">
        <v>6755</v>
      </c>
      <c r="AC546" s="215" t="s">
        <v>6756</v>
      </c>
      <c r="AD546" s="233" t="s">
        <v>4402</v>
      </c>
      <c r="AE546" s="219" t="s">
        <v>4405</v>
      </c>
      <c r="AF546" s="218" t="s">
        <v>4409</v>
      </c>
      <c r="AG546" s="218" t="s">
        <v>4409</v>
      </c>
      <c r="AH546" s="207" t="s">
        <v>4410</v>
      </c>
      <c r="AI546" s="214" t="s">
        <v>4411</v>
      </c>
      <c r="AJ546" s="207"/>
      <c r="AK546" s="316"/>
      <c r="AL546" s="316"/>
      <c r="AM546" s="316"/>
      <c r="AN546" s="316"/>
      <c r="AO546" s="316"/>
      <c r="AP546" s="316"/>
      <c r="AQ546" s="314"/>
      <c r="AR546" s="315" t="str">
        <f t="shared" si="36"/>
        <v/>
      </c>
      <c r="AS546" s="207"/>
      <c r="AT546" s="219"/>
      <c r="AU546" s="220"/>
      <c r="AV546" s="219"/>
      <c r="AW546" s="219"/>
      <c r="AX546" s="219"/>
      <c r="AY546" s="219"/>
      <c r="AZ546" s="219"/>
      <c r="BA546" s="219"/>
      <c r="BB546" s="219"/>
      <c r="BC546" s="219"/>
      <c r="BD546" s="208"/>
      <c r="BE546" s="203"/>
      <c r="BF546" s="219"/>
      <c r="BG546" s="219"/>
      <c r="BH546" s="321" t="str">
        <f t="shared" si="37"/>
        <v/>
      </c>
      <c r="BI546" s="98" t="str">
        <f t="shared" si="38"/>
        <v>AA</v>
      </c>
      <c r="BJ546" s="98" t="str">
        <f t="shared" si="39"/>
        <v>NÃO</v>
      </c>
      <c r="BK546" s="219"/>
      <c r="BL546" s="221"/>
      <c r="BM546" s="221"/>
      <c r="BN546" s="219"/>
      <c r="BO546" s="219"/>
      <c r="BP546" s="219"/>
      <c r="BQ546" s="219"/>
      <c r="BR546" s="222"/>
    </row>
    <row r="547" spans="1:112" s="240" customFormat="1" ht="27" customHeight="1">
      <c r="A547" s="207">
        <v>543</v>
      </c>
      <c r="B547" s="197" t="s">
        <v>4396</v>
      </c>
      <c r="C547" s="207" t="s">
        <v>4413</v>
      </c>
      <c r="D547" s="207">
        <v>1</v>
      </c>
      <c r="E547" s="207" t="s">
        <v>4398</v>
      </c>
      <c r="F547" s="214" t="s">
        <v>6753</v>
      </c>
      <c r="G547" s="207" t="s">
        <v>4400</v>
      </c>
      <c r="H547" s="207" t="s">
        <v>4401</v>
      </c>
      <c r="I547" s="207" t="s">
        <v>4402</v>
      </c>
      <c r="J547" s="215" t="s">
        <v>6757</v>
      </c>
      <c r="K547" s="215" t="s">
        <v>6758</v>
      </c>
      <c r="L547" s="215" t="s">
        <v>6759</v>
      </c>
      <c r="M547" s="207" t="s">
        <v>4405</v>
      </c>
      <c r="N547" s="207" t="s">
        <v>4406</v>
      </c>
      <c r="O547" s="203">
        <v>46090</v>
      </c>
      <c r="P547" s="203" t="s">
        <v>4407</v>
      </c>
      <c r="Q547" s="202">
        <v>46090</v>
      </c>
      <c r="R547" s="202">
        <v>46099</v>
      </c>
      <c r="S547" s="202">
        <v>46101</v>
      </c>
      <c r="T547" s="202">
        <v>46118</v>
      </c>
      <c r="U547" s="202" t="s">
        <v>4408</v>
      </c>
      <c r="V547" s="202" t="s">
        <v>4408</v>
      </c>
      <c r="W547" s="202">
        <v>46118</v>
      </c>
      <c r="X547" s="202">
        <v>46118</v>
      </c>
      <c r="Y547" s="202"/>
      <c r="Z547" s="202"/>
      <c r="AA547" s="215" t="s">
        <v>6757</v>
      </c>
      <c r="AB547" s="215" t="s">
        <v>6758</v>
      </c>
      <c r="AC547" s="215" t="s">
        <v>6759</v>
      </c>
      <c r="AD547" s="233" t="s">
        <v>4402</v>
      </c>
      <c r="AE547" s="219" t="s">
        <v>4405</v>
      </c>
      <c r="AF547" s="218" t="s">
        <v>4409</v>
      </c>
      <c r="AG547" s="218" t="s">
        <v>4409</v>
      </c>
      <c r="AH547" s="207" t="s">
        <v>4410</v>
      </c>
      <c r="AI547" s="214" t="s">
        <v>4411</v>
      </c>
      <c r="AJ547" s="207"/>
      <c r="AK547" s="316">
        <v>46086</v>
      </c>
      <c r="AL547" s="316">
        <v>46086</v>
      </c>
      <c r="AM547" s="316">
        <v>46086</v>
      </c>
      <c r="AN547" s="316">
        <v>46086</v>
      </c>
      <c r="AO547" s="316">
        <v>46086</v>
      </c>
      <c r="AP547" s="316">
        <v>46086</v>
      </c>
      <c r="AQ547" s="314"/>
      <c r="AR547" s="315" t="str">
        <f t="shared" si="36"/>
        <v>FINALIZADO</v>
      </c>
      <c r="AS547" s="207"/>
      <c r="AT547" s="219"/>
      <c r="AU547" s="220"/>
      <c r="AV547" s="219"/>
      <c r="AW547" s="219"/>
      <c r="AX547" s="219"/>
      <c r="AY547" s="219"/>
      <c r="AZ547" s="219"/>
      <c r="BA547" s="219"/>
      <c r="BB547" s="219"/>
      <c r="BC547" s="219"/>
      <c r="BD547" s="208"/>
      <c r="BE547" s="203"/>
      <c r="BF547" s="219"/>
      <c r="BG547" s="219"/>
      <c r="BH547" s="321" t="str">
        <f t="shared" si="37"/>
        <v/>
      </c>
      <c r="BI547" s="98" t="str">
        <f t="shared" si="38"/>
        <v>AA</v>
      </c>
      <c r="BJ547" s="98" t="str">
        <f t="shared" si="39"/>
        <v>NÃO</v>
      </c>
      <c r="BK547" s="219"/>
      <c r="BL547" s="221"/>
      <c r="BM547" s="221"/>
      <c r="BN547" s="219"/>
      <c r="BO547" s="219"/>
      <c r="BP547" s="219"/>
      <c r="BQ547" s="219"/>
      <c r="BR547" s="222"/>
    </row>
    <row r="548" spans="1:112" s="240" customFormat="1" ht="27" hidden="1" customHeight="1">
      <c r="A548" s="207">
        <v>544</v>
      </c>
      <c r="B548" s="197" t="s">
        <v>4396</v>
      </c>
      <c r="C548" s="207" t="s">
        <v>4427</v>
      </c>
      <c r="D548" s="207">
        <v>1</v>
      </c>
      <c r="E548" s="207" t="s">
        <v>4398</v>
      </c>
      <c r="F548" s="214" t="s">
        <v>6760</v>
      </c>
      <c r="G548" s="207" t="s">
        <v>4400</v>
      </c>
      <c r="H548" s="207" t="s">
        <v>4401</v>
      </c>
      <c r="I548" s="207" t="s">
        <v>4402</v>
      </c>
      <c r="J548" s="215" t="s">
        <v>6761</v>
      </c>
      <c r="K548" s="215" t="s">
        <v>6762</v>
      </c>
      <c r="L548" s="215" t="s">
        <v>6763</v>
      </c>
      <c r="M548" s="207" t="s">
        <v>4405</v>
      </c>
      <c r="N548" s="207" t="s">
        <v>4406</v>
      </c>
      <c r="O548" s="202">
        <v>46126</v>
      </c>
      <c r="P548" s="202" t="s">
        <v>4407</v>
      </c>
      <c r="Q548" s="203">
        <v>46126</v>
      </c>
      <c r="R548" s="203">
        <v>46126</v>
      </c>
      <c r="S548" s="203">
        <v>46136</v>
      </c>
      <c r="T548" s="203">
        <v>46140</v>
      </c>
      <c r="U548" s="203" t="s">
        <v>4408</v>
      </c>
      <c r="V548" s="203" t="s">
        <v>4408</v>
      </c>
      <c r="W548" s="202">
        <v>46153</v>
      </c>
      <c r="X548" s="202">
        <v>46154</v>
      </c>
      <c r="Y548" s="202"/>
      <c r="Z548" s="202"/>
      <c r="AA548" s="215" t="s">
        <v>6761</v>
      </c>
      <c r="AB548" s="215" t="s">
        <v>6762</v>
      </c>
      <c r="AC548" s="215" t="s">
        <v>6763</v>
      </c>
      <c r="AD548" s="233" t="s">
        <v>4402</v>
      </c>
      <c r="AE548" s="219" t="s">
        <v>4405</v>
      </c>
      <c r="AF548" s="218" t="s">
        <v>4409</v>
      </c>
      <c r="AG548" s="218" t="s">
        <v>4409</v>
      </c>
      <c r="AH548" s="207" t="s">
        <v>4410</v>
      </c>
      <c r="AI548" s="214" t="s">
        <v>4411</v>
      </c>
      <c r="AJ548" s="207"/>
      <c r="AK548" s="316"/>
      <c r="AL548" s="316"/>
      <c r="AM548" s="316"/>
      <c r="AN548" s="316"/>
      <c r="AO548" s="316"/>
      <c r="AP548" s="316"/>
      <c r="AQ548" s="314"/>
      <c r="AR548" s="315" t="str">
        <f t="shared" si="36"/>
        <v/>
      </c>
      <c r="AS548" s="207"/>
      <c r="AT548" s="219"/>
      <c r="AU548" s="220"/>
      <c r="AV548" s="219"/>
      <c r="AW548" s="219"/>
      <c r="AX548" s="219"/>
      <c r="AY548" s="219"/>
      <c r="AZ548" s="219"/>
      <c r="BA548" s="219"/>
      <c r="BB548" s="219"/>
      <c r="BC548" s="219"/>
      <c r="BD548" s="208"/>
      <c r="BE548" s="203"/>
      <c r="BF548" s="219"/>
      <c r="BG548" s="219"/>
      <c r="BH548" s="321" t="str">
        <f t="shared" si="37"/>
        <v/>
      </c>
      <c r="BI548" s="98" t="str">
        <f t="shared" si="38"/>
        <v>AA</v>
      </c>
      <c r="BJ548" s="98" t="str">
        <f t="shared" si="39"/>
        <v>NÃO</v>
      </c>
      <c r="BK548" s="219"/>
      <c r="BL548" s="221"/>
      <c r="BM548" s="221"/>
      <c r="BN548" s="219"/>
      <c r="BO548" s="219"/>
      <c r="BP548" s="219"/>
      <c r="BQ548" s="219"/>
      <c r="BR548" s="222"/>
      <c r="BS548" s="223"/>
      <c r="BT548" s="161"/>
    </row>
    <row r="549" spans="1:112" s="240" customFormat="1" ht="27" customHeight="1">
      <c r="A549" s="197">
        <v>545</v>
      </c>
      <c r="B549" s="197" t="s">
        <v>4396</v>
      </c>
      <c r="C549" s="207" t="s">
        <v>4413</v>
      </c>
      <c r="D549" s="207">
        <v>1</v>
      </c>
      <c r="E549" s="207" t="s">
        <v>4398</v>
      </c>
      <c r="F549" s="214" t="s">
        <v>6760</v>
      </c>
      <c r="G549" s="207" t="s">
        <v>4400</v>
      </c>
      <c r="H549" s="207" t="s">
        <v>4401</v>
      </c>
      <c r="I549" s="207" t="s">
        <v>4402</v>
      </c>
      <c r="J549" s="215" t="s">
        <v>6764</v>
      </c>
      <c r="K549" s="215" t="s">
        <v>6765</v>
      </c>
      <c r="L549" s="215" t="s">
        <v>6766</v>
      </c>
      <c r="M549" s="207" t="s">
        <v>4405</v>
      </c>
      <c r="N549" s="207" t="s">
        <v>4442</v>
      </c>
      <c r="O549" s="202" t="s">
        <v>4409</v>
      </c>
      <c r="P549" s="202" t="s">
        <v>4409</v>
      </c>
      <c r="Q549" s="202" t="s">
        <v>4409</v>
      </c>
      <c r="R549" s="202" t="s">
        <v>4409</v>
      </c>
      <c r="S549" s="202" t="s">
        <v>4409</v>
      </c>
      <c r="T549" s="202" t="s">
        <v>4409</v>
      </c>
      <c r="U549" s="202" t="s">
        <v>4409</v>
      </c>
      <c r="V549" s="202" t="s">
        <v>4409</v>
      </c>
      <c r="W549" s="202" t="s">
        <v>4409</v>
      </c>
      <c r="X549" s="202" t="s">
        <v>4409</v>
      </c>
      <c r="Y549" s="202"/>
      <c r="Z549" s="216" t="s">
        <v>6767</v>
      </c>
      <c r="AA549" s="215" t="s">
        <v>6764</v>
      </c>
      <c r="AB549" s="215" t="s">
        <v>6765</v>
      </c>
      <c r="AC549" s="215" t="s">
        <v>6766</v>
      </c>
      <c r="AD549" s="207" t="s">
        <v>4402</v>
      </c>
      <c r="AE549" s="207" t="s">
        <v>4405</v>
      </c>
      <c r="AF549" s="218">
        <v>58835.11</v>
      </c>
      <c r="AG549" s="218">
        <v>60000</v>
      </c>
      <c r="AH549" s="207" t="s">
        <v>4433</v>
      </c>
      <c r="AI549" s="214" t="s">
        <v>4411</v>
      </c>
      <c r="AJ549" s="207">
        <v>158682956</v>
      </c>
      <c r="AK549" s="316">
        <v>46188</v>
      </c>
      <c r="AL549" s="316">
        <v>46188</v>
      </c>
      <c r="AM549" s="316">
        <v>46188</v>
      </c>
      <c r="AN549" s="316">
        <v>46188</v>
      </c>
      <c r="AO549" s="316">
        <v>46188</v>
      </c>
      <c r="AP549" s="316">
        <v>46188</v>
      </c>
      <c r="AQ549" s="314"/>
      <c r="AR549" s="315" t="str">
        <f t="shared" si="36"/>
        <v>FINALIZADO</v>
      </c>
      <c r="AS549" s="207" t="s">
        <v>4423</v>
      </c>
      <c r="AT549" s="219"/>
      <c r="AU549" s="220" t="s">
        <v>6768</v>
      </c>
      <c r="AV549" s="197" t="s">
        <v>4818</v>
      </c>
      <c r="AW549" s="207" t="s">
        <v>4818</v>
      </c>
      <c r="AX549" s="207" t="s">
        <v>4818</v>
      </c>
      <c r="AY549" s="207" t="s">
        <v>4818</v>
      </c>
      <c r="AZ549" s="202">
        <v>46233</v>
      </c>
      <c r="BA549" s="207" t="s">
        <v>4818</v>
      </c>
      <c r="BB549" s="207" t="s">
        <v>4818</v>
      </c>
      <c r="BC549" s="202">
        <v>46234</v>
      </c>
      <c r="BD549" s="226">
        <v>46234</v>
      </c>
      <c r="BE549" s="257" t="s">
        <v>4435</v>
      </c>
      <c r="BF549" s="257" t="s">
        <v>4436</v>
      </c>
      <c r="BG549" s="219" t="s">
        <v>4425</v>
      </c>
      <c r="BH549" s="321">
        <f t="shared" si="37"/>
        <v>46</v>
      </c>
      <c r="BI549" s="98" t="str">
        <f t="shared" si="38"/>
        <v>INDENIZAÇÃO</v>
      </c>
      <c r="BJ549" s="98" t="str">
        <f t="shared" si="39"/>
        <v>NÃO</v>
      </c>
      <c r="BK549" s="219" t="s">
        <v>4437</v>
      </c>
      <c r="BL549" s="219" t="s">
        <v>4437</v>
      </c>
      <c r="BM549" s="219" t="s">
        <v>4437</v>
      </c>
      <c r="BN549" s="257" t="s">
        <v>5732</v>
      </c>
      <c r="BO549" s="257"/>
      <c r="BP549" s="257"/>
      <c r="BQ549" s="257"/>
      <c r="BR549" s="258"/>
    </row>
    <row r="550" spans="1:112" s="240" customFormat="1" ht="27" hidden="1" customHeight="1">
      <c r="A550" s="197">
        <v>546</v>
      </c>
      <c r="B550" s="197" t="s">
        <v>4396</v>
      </c>
      <c r="C550" s="207" t="s">
        <v>4427</v>
      </c>
      <c r="D550" s="207">
        <v>1</v>
      </c>
      <c r="E550" s="207" t="s">
        <v>4398</v>
      </c>
      <c r="F550" s="214" t="s">
        <v>6769</v>
      </c>
      <c r="G550" s="207" t="s">
        <v>4400</v>
      </c>
      <c r="H550" s="207" t="s">
        <v>4401</v>
      </c>
      <c r="I550" s="207" t="s">
        <v>4402</v>
      </c>
      <c r="J550" s="215" t="s">
        <v>6770</v>
      </c>
      <c r="K550" s="215" t="s">
        <v>6771</v>
      </c>
      <c r="L550" s="215" t="s">
        <v>6772</v>
      </c>
      <c r="M550" s="207" t="s">
        <v>4405</v>
      </c>
      <c r="N550" s="207" t="s">
        <v>4406</v>
      </c>
      <c r="O550" s="202">
        <v>46126</v>
      </c>
      <c r="P550" s="202" t="s">
        <v>4407</v>
      </c>
      <c r="Q550" s="203">
        <v>46126</v>
      </c>
      <c r="R550" s="203">
        <v>46126</v>
      </c>
      <c r="S550" s="203">
        <v>46136</v>
      </c>
      <c r="T550" s="203">
        <v>46140</v>
      </c>
      <c r="U550" s="203" t="s">
        <v>4408</v>
      </c>
      <c r="V550" s="203" t="s">
        <v>4408</v>
      </c>
      <c r="W550" s="202">
        <v>46153</v>
      </c>
      <c r="X550" s="202">
        <v>46154</v>
      </c>
      <c r="Y550" s="202"/>
      <c r="Z550" s="260"/>
      <c r="AA550" s="215" t="s">
        <v>6770</v>
      </c>
      <c r="AB550" s="215" t="s">
        <v>6771</v>
      </c>
      <c r="AC550" s="215" t="s">
        <v>6772</v>
      </c>
      <c r="AD550" s="207" t="s">
        <v>4402</v>
      </c>
      <c r="AE550" s="207" t="s">
        <v>4405</v>
      </c>
      <c r="AF550" s="218" t="s">
        <v>4409</v>
      </c>
      <c r="AG550" s="218" t="s">
        <v>4409</v>
      </c>
      <c r="AH550" s="207" t="s">
        <v>4410</v>
      </c>
      <c r="AI550" s="214" t="s">
        <v>4411</v>
      </c>
      <c r="AJ550" s="207"/>
      <c r="AK550" s="316"/>
      <c r="AL550" s="316"/>
      <c r="AM550" s="316"/>
      <c r="AN550" s="316"/>
      <c r="AO550" s="316"/>
      <c r="AP550" s="316"/>
      <c r="AQ550" s="314"/>
      <c r="AR550" s="315" t="str">
        <f t="shared" si="36"/>
        <v/>
      </c>
      <c r="AS550" s="207"/>
      <c r="AT550" s="219"/>
      <c r="AU550" s="220"/>
      <c r="AV550" s="219"/>
      <c r="AW550" s="219"/>
      <c r="AX550" s="219"/>
      <c r="AY550" s="219"/>
      <c r="AZ550" s="219"/>
      <c r="BA550" s="219"/>
      <c r="BB550" s="219"/>
      <c r="BC550" s="219"/>
      <c r="BD550" s="208"/>
      <c r="BE550" s="203"/>
      <c r="BF550" s="219"/>
      <c r="BG550" s="219"/>
      <c r="BH550" s="321" t="str">
        <f t="shared" si="37"/>
        <v/>
      </c>
      <c r="BI550" s="98" t="str">
        <f t="shared" si="38"/>
        <v>AA</v>
      </c>
      <c r="BJ550" s="98" t="str">
        <f t="shared" si="39"/>
        <v>NÃO</v>
      </c>
      <c r="BK550" s="219"/>
      <c r="BL550" s="221"/>
      <c r="BM550" s="221"/>
      <c r="BN550" s="219"/>
      <c r="BO550" s="219"/>
      <c r="BP550" s="219"/>
      <c r="BQ550" s="219"/>
      <c r="BR550" s="222"/>
      <c r="BS550" s="223"/>
    </row>
    <row r="551" spans="1:112" s="240" customFormat="1" ht="27" customHeight="1">
      <c r="A551" s="207">
        <v>547</v>
      </c>
      <c r="B551" s="197" t="s">
        <v>4396</v>
      </c>
      <c r="C551" s="207" t="s">
        <v>4413</v>
      </c>
      <c r="D551" s="207">
        <v>1</v>
      </c>
      <c r="E551" s="207" t="s">
        <v>4398</v>
      </c>
      <c r="F551" s="214" t="s">
        <v>6769</v>
      </c>
      <c r="G551" s="219" t="s">
        <v>4400</v>
      </c>
      <c r="H551" s="219" t="s">
        <v>4401</v>
      </c>
      <c r="I551" s="219" t="s">
        <v>4402</v>
      </c>
      <c r="J551" s="255" t="s">
        <v>6773</v>
      </c>
      <c r="K551" s="255" t="s">
        <v>6774</v>
      </c>
      <c r="L551" s="255" t="s">
        <v>6775</v>
      </c>
      <c r="M551" s="219" t="s">
        <v>4405</v>
      </c>
      <c r="N551" s="219" t="s">
        <v>4432</v>
      </c>
      <c r="O551" s="202" t="s">
        <v>4409</v>
      </c>
      <c r="P551" s="202" t="s">
        <v>4409</v>
      </c>
      <c r="Q551" s="202" t="s">
        <v>4409</v>
      </c>
      <c r="R551" s="202" t="s">
        <v>4409</v>
      </c>
      <c r="S551" s="202" t="s">
        <v>4409</v>
      </c>
      <c r="T551" s="202" t="s">
        <v>4409</v>
      </c>
      <c r="U551" s="202" t="s">
        <v>4409</v>
      </c>
      <c r="V551" s="202" t="s">
        <v>4409</v>
      </c>
      <c r="W551" s="202" t="s">
        <v>4409</v>
      </c>
      <c r="X551" s="202" t="s">
        <v>4409</v>
      </c>
      <c r="Y551" s="202"/>
      <c r="Z551" s="202"/>
      <c r="AA551" s="255" t="s">
        <v>6773</v>
      </c>
      <c r="AB551" s="255" t="s">
        <v>6774</v>
      </c>
      <c r="AC551" s="255" t="s">
        <v>6775</v>
      </c>
      <c r="AD551" s="219" t="s">
        <v>4402</v>
      </c>
      <c r="AE551" s="219" t="s">
        <v>4405</v>
      </c>
      <c r="AF551" s="218">
        <v>39507.480000000003</v>
      </c>
      <c r="AG551" s="218">
        <v>60000</v>
      </c>
      <c r="AH551" s="207" t="s">
        <v>4433</v>
      </c>
      <c r="AI551" s="214" t="s">
        <v>4411</v>
      </c>
      <c r="AJ551" s="219">
        <v>153982402</v>
      </c>
      <c r="AK551" s="317">
        <v>46129</v>
      </c>
      <c r="AL551" s="317">
        <v>46129</v>
      </c>
      <c r="AM551" s="317">
        <v>46129</v>
      </c>
      <c r="AN551" s="317">
        <v>46129</v>
      </c>
      <c r="AO551" s="317">
        <v>46129</v>
      </c>
      <c r="AP551" s="317">
        <v>46129</v>
      </c>
      <c r="AQ551" s="314"/>
      <c r="AR551" s="315" t="str">
        <f t="shared" si="36"/>
        <v>FINALIZADO</v>
      </c>
      <c r="AS551" s="207" t="s">
        <v>4423</v>
      </c>
      <c r="AT551" s="219"/>
      <c r="AU551" s="220" t="s">
        <v>6776</v>
      </c>
      <c r="AV551" s="262" t="s">
        <v>4425</v>
      </c>
      <c r="AW551" s="219" t="s">
        <v>4425</v>
      </c>
      <c r="AX551" s="207" t="s">
        <v>4425</v>
      </c>
      <c r="AY551" s="207" t="s">
        <v>4425</v>
      </c>
      <c r="AZ551" s="202">
        <v>46226</v>
      </c>
      <c r="BA551" s="219" t="s">
        <v>4425</v>
      </c>
      <c r="BB551" s="219" t="s">
        <v>4425</v>
      </c>
      <c r="BC551" s="202">
        <v>46232</v>
      </c>
      <c r="BD551" s="226">
        <v>46232</v>
      </c>
      <c r="BE551" s="257" t="s">
        <v>4435</v>
      </c>
      <c r="BF551" s="257" t="s">
        <v>4436</v>
      </c>
      <c r="BG551" s="219" t="s">
        <v>4425</v>
      </c>
      <c r="BH551" s="321">
        <f t="shared" si="37"/>
        <v>103</v>
      </c>
      <c r="BI551" s="98" t="str">
        <f t="shared" si="38"/>
        <v>INDENIZAÇÃO</v>
      </c>
      <c r="BJ551" s="98" t="str">
        <f t="shared" si="39"/>
        <v>NÃO</v>
      </c>
      <c r="BK551" s="219" t="s">
        <v>4437</v>
      </c>
      <c r="BL551" s="219" t="s">
        <v>4437</v>
      </c>
      <c r="BM551" s="219" t="s">
        <v>4437</v>
      </c>
      <c r="BN551" s="257" t="s">
        <v>5732</v>
      </c>
      <c r="BO551" s="257"/>
      <c r="BP551" s="257"/>
      <c r="BQ551" s="257"/>
      <c r="BR551" s="258"/>
    </row>
    <row r="552" spans="1:112" s="240" customFormat="1" ht="27" customHeight="1">
      <c r="A552" s="207">
        <v>548</v>
      </c>
      <c r="B552" s="197" t="s">
        <v>4396</v>
      </c>
      <c r="C552" s="207" t="s">
        <v>4413</v>
      </c>
      <c r="D552" s="207">
        <v>1</v>
      </c>
      <c r="E552" s="207" t="s">
        <v>4398</v>
      </c>
      <c r="F552" s="214" t="s">
        <v>6777</v>
      </c>
      <c r="G552" s="207" t="s">
        <v>4400</v>
      </c>
      <c r="H552" s="207" t="s">
        <v>4401</v>
      </c>
      <c r="I552" s="207" t="s">
        <v>4402</v>
      </c>
      <c r="J552" s="215" t="s">
        <v>6778</v>
      </c>
      <c r="K552" s="215" t="s">
        <v>6779</v>
      </c>
      <c r="L552" s="215" t="s">
        <v>6780</v>
      </c>
      <c r="M552" s="207" t="s">
        <v>4405</v>
      </c>
      <c r="N552" s="207" t="s">
        <v>4406</v>
      </c>
      <c r="O552" s="203">
        <v>46090</v>
      </c>
      <c r="P552" s="203" t="s">
        <v>4407</v>
      </c>
      <c r="Q552" s="202">
        <v>46090</v>
      </c>
      <c r="R552" s="202">
        <v>46099</v>
      </c>
      <c r="S552" s="202">
        <v>46101</v>
      </c>
      <c r="T552" s="202">
        <v>46118</v>
      </c>
      <c r="U552" s="202" t="s">
        <v>4408</v>
      </c>
      <c r="V552" s="202" t="s">
        <v>4408</v>
      </c>
      <c r="W552" s="202">
        <v>46118</v>
      </c>
      <c r="X552" s="202">
        <v>46118</v>
      </c>
      <c r="Y552" s="202"/>
      <c r="Z552" s="202"/>
      <c r="AA552" s="215" t="s">
        <v>6778</v>
      </c>
      <c r="AB552" s="215" t="s">
        <v>6779</v>
      </c>
      <c r="AC552" s="215" t="s">
        <v>6780</v>
      </c>
      <c r="AD552" s="207" t="s">
        <v>4402</v>
      </c>
      <c r="AE552" s="207" t="s">
        <v>4405</v>
      </c>
      <c r="AF552" s="218" t="s">
        <v>4409</v>
      </c>
      <c r="AG552" s="218" t="s">
        <v>4409</v>
      </c>
      <c r="AH552" s="207" t="s">
        <v>4410</v>
      </c>
      <c r="AI552" s="214" t="s">
        <v>4411</v>
      </c>
      <c r="AJ552" s="207"/>
      <c r="AK552" s="316">
        <v>46086</v>
      </c>
      <c r="AL552" s="316">
        <v>46086</v>
      </c>
      <c r="AM552" s="316">
        <v>46086</v>
      </c>
      <c r="AN552" s="316">
        <v>46086</v>
      </c>
      <c r="AO552" s="316">
        <v>46086</v>
      </c>
      <c r="AP552" s="316">
        <v>46086</v>
      </c>
      <c r="AQ552" s="314"/>
      <c r="AR552" s="315" t="str">
        <f t="shared" si="36"/>
        <v>FINALIZADO</v>
      </c>
      <c r="AS552" s="207"/>
      <c r="AT552" s="219"/>
      <c r="AU552" s="220"/>
      <c r="AV552" s="219"/>
      <c r="AW552" s="219"/>
      <c r="AX552" s="219"/>
      <c r="AY552" s="219"/>
      <c r="AZ552" s="219"/>
      <c r="BA552" s="219"/>
      <c r="BB552" s="219"/>
      <c r="BC552" s="219"/>
      <c r="BD552" s="208"/>
      <c r="BE552" s="203"/>
      <c r="BF552" s="219"/>
      <c r="BG552" s="219"/>
      <c r="BH552" s="321" t="str">
        <f t="shared" si="37"/>
        <v/>
      </c>
      <c r="BI552" s="98" t="str">
        <f t="shared" si="38"/>
        <v>AA</v>
      </c>
      <c r="BJ552" s="98" t="str">
        <f t="shared" si="39"/>
        <v>NÃO</v>
      </c>
      <c r="BK552" s="219"/>
      <c r="BL552" s="221"/>
      <c r="BM552" s="221"/>
      <c r="BN552" s="219"/>
      <c r="BO552" s="219"/>
      <c r="BP552" s="219"/>
      <c r="BQ552" s="219"/>
      <c r="BR552" s="222"/>
      <c r="BS552" s="161"/>
      <c r="BT552" s="161"/>
      <c r="BU552" s="161"/>
      <c r="BV552" s="161"/>
      <c r="BW552" s="161"/>
      <c r="BX552" s="161"/>
      <c r="BY552" s="161"/>
      <c r="BZ552" s="161"/>
      <c r="CA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  <c r="DA552" s="161"/>
      <c r="DB552" s="161"/>
      <c r="DC552" s="161"/>
      <c r="DD552" s="161"/>
      <c r="DE552" s="161"/>
      <c r="DF552" s="161"/>
      <c r="DG552" s="161"/>
      <c r="DH552" s="161"/>
    </row>
    <row r="553" spans="1:112" s="240" customFormat="1" ht="27" hidden="1" customHeight="1">
      <c r="A553" s="207">
        <v>549</v>
      </c>
      <c r="B553" s="197" t="s">
        <v>4396</v>
      </c>
      <c r="C553" s="207" t="s">
        <v>4427</v>
      </c>
      <c r="D553" s="207">
        <v>1</v>
      </c>
      <c r="E553" s="207" t="s">
        <v>4398</v>
      </c>
      <c r="F553" s="214" t="s">
        <v>6777</v>
      </c>
      <c r="G553" s="207" t="s">
        <v>4400</v>
      </c>
      <c r="H553" s="207" t="s">
        <v>4401</v>
      </c>
      <c r="I553" s="217" t="s">
        <v>4402</v>
      </c>
      <c r="J553" s="215" t="s">
        <v>6781</v>
      </c>
      <c r="K553" s="215" t="s">
        <v>6782</v>
      </c>
      <c r="L553" s="215" t="s">
        <v>6783</v>
      </c>
      <c r="M553" s="207" t="s">
        <v>4405</v>
      </c>
      <c r="N553" s="207" t="s">
        <v>4406</v>
      </c>
      <c r="O553" s="202">
        <v>46002</v>
      </c>
      <c r="P553" s="202" t="s">
        <v>4407</v>
      </c>
      <c r="Q553" s="202">
        <v>45999</v>
      </c>
      <c r="R553" s="202">
        <v>46006</v>
      </c>
      <c r="S553" s="202">
        <v>46006</v>
      </c>
      <c r="T553" s="202">
        <v>46009</v>
      </c>
      <c r="U553" s="202" t="s">
        <v>4408</v>
      </c>
      <c r="V553" s="202" t="s">
        <v>4408</v>
      </c>
      <c r="W553" s="202">
        <v>46014</v>
      </c>
      <c r="X553" s="202">
        <v>46017</v>
      </c>
      <c r="Y553" s="202"/>
      <c r="Z553" s="207"/>
      <c r="AA553" s="215" t="s">
        <v>6781</v>
      </c>
      <c r="AB553" s="215" t="s">
        <v>6782</v>
      </c>
      <c r="AC553" s="215" t="s">
        <v>6783</v>
      </c>
      <c r="AD553" s="207" t="s">
        <v>4402</v>
      </c>
      <c r="AE553" s="207" t="s">
        <v>4405</v>
      </c>
      <c r="AF553" s="218" t="s">
        <v>4409</v>
      </c>
      <c r="AG553" s="218" t="s">
        <v>4409</v>
      </c>
      <c r="AH553" s="207" t="s">
        <v>4410</v>
      </c>
      <c r="AI553" s="214" t="s">
        <v>4411</v>
      </c>
      <c r="AJ553" s="207"/>
      <c r="AK553" s="316">
        <v>45980</v>
      </c>
      <c r="AL553" s="316">
        <v>45980</v>
      </c>
      <c r="AM553" s="316">
        <v>45980</v>
      </c>
      <c r="AN553" s="316">
        <v>45980</v>
      </c>
      <c r="AO553" s="316">
        <v>45980</v>
      </c>
      <c r="AP553" s="316">
        <v>45980</v>
      </c>
      <c r="AQ553" s="314"/>
      <c r="AR553" s="315" t="str">
        <f t="shared" si="36"/>
        <v>FINALIZADO</v>
      </c>
      <c r="AS553" s="207"/>
      <c r="AT553" s="207"/>
      <c r="AU553" s="220"/>
      <c r="AV553" s="207"/>
      <c r="AW553" s="207"/>
      <c r="AX553" s="207"/>
      <c r="AY553" s="207"/>
      <c r="AZ553" s="202"/>
      <c r="BA553" s="219"/>
      <c r="BB553" s="207"/>
      <c r="BC553" s="202"/>
      <c r="BD553" s="208"/>
      <c r="BE553" s="202"/>
      <c r="BF553" s="207"/>
      <c r="BG553" s="229"/>
      <c r="BH553" s="321" t="str">
        <f t="shared" si="37"/>
        <v/>
      </c>
      <c r="BI553" s="98" t="str">
        <f t="shared" si="38"/>
        <v>AA</v>
      </c>
      <c r="BJ553" s="98" t="str">
        <f t="shared" si="39"/>
        <v>NÃO</v>
      </c>
      <c r="BK553" s="230"/>
      <c r="BL553" s="230"/>
      <c r="BM553" s="230"/>
      <c r="BN553" s="230"/>
      <c r="BO553" s="230"/>
      <c r="BP553" s="230"/>
      <c r="BQ553" s="230"/>
      <c r="BR553" s="234"/>
    </row>
    <row r="554" spans="1:112" s="240" customFormat="1" ht="27" hidden="1" customHeight="1">
      <c r="A554" s="197">
        <v>550</v>
      </c>
      <c r="B554" s="197" t="s">
        <v>4396</v>
      </c>
      <c r="C554" s="207" t="s">
        <v>4427</v>
      </c>
      <c r="D554" s="207">
        <v>1</v>
      </c>
      <c r="E554" s="207" t="s">
        <v>4398</v>
      </c>
      <c r="F554" s="214" t="s">
        <v>6784</v>
      </c>
      <c r="G554" s="207" t="s">
        <v>4400</v>
      </c>
      <c r="H554" s="207" t="s">
        <v>4401</v>
      </c>
      <c r="I554" s="217" t="s">
        <v>4402</v>
      </c>
      <c r="J554" s="215" t="s">
        <v>6785</v>
      </c>
      <c r="K554" s="215" t="s">
        <v>6786</v>
      </c>
      <c r="L554" s="215" t="s">
        <v>6787</v>
      </c>
      <c r="M554" s="207" t="s">
        <v>4405</v>
      </c>
      <c r="N554" s="207" t="s">
        <v>4406</v>
      </c>
      <c r="O554" s="202">
        <v>45986</v>
      </c>
      <c r="P554" s="203" t="s">
        <v>4407</v>
      </c>
      <c r="Q554" s="203">
        <v>45985</v>
      </c>
      <c r="R554" s="203">
        <v>45986</v>
      </c>
      <c r="S554" s="203">
        <v>45987</v>
      </c>
      <c r="T554" s="203">
        <v>45992</v>
      </c>
      <c r="U554" s="202" t="s">
        <v>4408</v>
      </c>
      <c r="V554" s="202" t="s">
        <v>4408</v>
      </c>
      <c r="W554" s="202">
        <v>45999</v>
      </c>
      <c r="X554" s="202">
        <v>46007</v>
      </c>
      <c r="Y554" s="202"/>
      <c r="Z554" s="207"/>
      <c r="AA554" s="215" t="s">
        <v>6785</v>
      </c>
      <c r="AB554" s="215" t="s">
        <v>6786</v>
      </c>
      <c r="AC554" s="215" t="s">
        <v>6787</v>
      </c>
      <c r="AD554" s="207" t="s">
        <v>4402</v>
      </c>
      <c r="AE554" s="207" t="s">
        <v>4405</v>
      </c>
      <c r="AF554" s="218" t="s">
        <v>4409</v>
      </c>
      <c r="AG554" s="218" t="s">
        <v>4409</v>
      </c>
      <c r="AH554" s="241" t="s">
        <v>4410</v>
      </c>
      <c r="AI554" s="214" t="s">
        <v>4411</v>
      </c>
      <c r="AJ554" s="207"/>
      <c r="AK554" s="316">
        <v>45980</v>
      </c>
      <c r="AL554" s="316">
        <v>45980</v>
      </c>
      <c r="AM554" s="316">
        <v>45980</v>
      </c>
      <c r="AN554" s="316">
        <v>45980</v>
      </c>
      <c r="AO554" s="316">
        <v>45980</v>
      </c>
      <c r="AP554" s="316">
        <v>45980</v>
      </c>
      <c r="AQ554" s="314"/>
      <c r="AR554" s="315" t="str">
        <f t="shared" si="36"/>
        <v>FINALIZADO</v>
      </c>
      <c r="AS554" s="207"/>
      <c r="AT554" s="207"/>
      <c r="AU554" s="220"/>
      <c r="AV554" s="207"/>
      <c r="AW554" s="207"/>
      <c r="AX554" s="207" t="s">
        <v>4409</v>
      </c>
      <c r="AY554" s="207" t="s">
        <v>4409</v>
      </c>
      <c r="AZ554" s="207" t="s">
        <v>4409</v>
      </c>
      <c r="BA554" s="207" t="s">
        <v>4409</v>
      </c>
      <c r="BB554" s="207"/>
      <c r="BC554" s="202"/>
      <c r="BD554" s="208"/>
      <c r="BE554" s="202"/>
      <c r="BF554" s="207"/>
      <c r="BG554" s="229"/>
      <c r="BH554" s="321" t="str">
        <f t="shared" si="37"/>
        <v/>
      </c>
      <c r="BI554" s="98" t="str">
        <f t="shared" si="38"/>
        <v>AA</v>
      </c>
      <c r="BJ554" s="98" t="str">
        <f t="shared" si="39"/>
        <v>NÃO</v>
      </c>
      <c r="BK554" s="230"/>
      <c r="BL554" s="230"/>
      <c r="BM554" s="230"/>
      <c r="BN554" s="230"/>
      <c r="BO554" s="230"/>
      <c r="BP554" s="230"/>
      <c r="BQ554" s="230"/>
      <c r="BR554" s="234"/>
    </row>
    <row r="555" spans="1:112" s="240" customFormat="1" ht="27" customHeight="1">
      <c r="A555" s="197">
        <v>551</v>
      </c>
      <c r="B555" s="197" t="s">
        <v>4396</v>
      </c>
      <c r="C555" s="207" t="s">
        <v>4413</v>
      </c>
      <c r="D555" s="207">
        <v>1</v>
      </c>
      <c r="E555" s="207" t="s">
        <v>4398</v>
      </c>
      <c r="F555" s="214" t="s">
        <v>6784</v>
      </c>
      <c r="G555" s="207" t="s">
        <v>4400</v>
      </c>
      <c r="H555" s="207" t="s">
        <v>4401</v>
      </c>
      <c r="I555" s="207" t="s">
        <v>4402</v>
      </c>
      <c r="J555" s="215" t="s">
        <v>6788</v>
      </c>
      <c r="K555" s="215" t="s">
        <v>6789</v>
      </c>
      <c r="L555" s="215" t="s">
        <v>6790</v>
      </c>
      <c r="M555" s="207" t="s">
        <v>4405</v>
      </c>
      <c r="N555" s="207" t="s">
        <v>4406</v>
      </c>
      <c r="O555" s="202">
        <v>46147</v>
      </c>
      <c r="P555" s="202" t="s">
        <v>4407</v>
      </c>
      <c r="Q555" s="203">
        <v>46136</v>
      </c>
      <c r="R555" s="202">
        <v>46147</v>
      </c>
      <c r="S555" s="203">
        <v>46156</v>
      </c>
      <c r="T555" s="203">
        <v>46168</v>
      </c>
      <c r="U555" s="203" t="s">
        <v>4408</v>
      </c>
      <c r="V555" s="203" t="s">
        <v>4408</v>
      </c>
      <c r="W555" s="279">
        <v>46196</v>
      </c>
      <c r="X555" s="203">
        <v>46197</v>
      </c>
      <c r="Y555" s="203"/>
      <c r="Z555" s="219"/>
      <c r="AA555" s="215" t="s">
        <v>6788</v>
      </c>
      <c r="AB555" s="215" t="s">
        <v>6789</v>
      </c>
      <c r="AC555" s="215" t="s">
        <v>6790</v>
      </c>
      <c r="AD555" s="207" t="s">
        <v>4402</v>
      </c>
      <c r="AE555" s="207" t="s">
        <v>4405</v>
      </c>
      <c r="AF555" s="218" t="s">
        <v>4409</v>
      </c>
      <c r="AG555" s="218" t="s">
        <v>4409</v>
      </c>
      <c r="AH555" s="197" t="s">
        <v>4410</v>
      </c>
      <c r="AI555" s="214" t="s">
        <v>4411</v>
      </c>
      <c r="AJ555" s="207"/>
      <c r="AK555" s="317">
        <v>46134</v>
      </c>
      <c r="AL555" s="317">
        <v>46134</v>
      </c>
      <c r="AM555" s="317">
        <v>46134</v>
      </c>
      <c r="AN555" s="317">
        <v>46134</v>
      </c>
      <c r="AO555" s="317">
        <v>46134</v>
      </c>
      <c r="AP555" s="317">
        <v>46134</v>
      </c>
      <c r="AQ555" s="314"/>
      <c r="AR555" s="315" t="str">
        <f t="shared" si="36"/>
        <v>FINALIZADO</v>
      </c>
      <c r="AS555" s="207"/>
      <c r="AT555" s="219"/>
      <c r="AU555" s="220"/>
      <c r="AV555" s="219"/>
      <c r="AW555" s="219"/>
      <c r="AX555" s="219"/>
      <c r="AY555" s="219"/>
      <c r="AZ555" s="219"/>
      <c r="BA555" s="219"/>
      <c r="BB555" s="219"/>
      <c r="BC555" s="219"/>
      <c r="BD555" s="208"/>
      <c r="BE555" s="203"/>
      <c r="BF555" s="219"/>
      <c r="BG555" s="219"/>
      <c r="BH555" s="321" t="str">
        <f t="shared" si="37"/>
        <v/>
      </c>
      <c r="BI555" s="98" t="str">
        <f t="shared" si="38"/>
        <v>AA</v>
      </c>
      <c r="BJ555" s="98" t="str">
        <f t="shared" si="39"/>
        <v>NÃO</v>
      </c>
      <c r="BK555" s="219"/>
      <c r="BL555" s="221"/>
      <c r="BM555" s="221"/>
      <c r="BN555" s="219"/>
      <c r="BO555" s="219"/>
      <c r="BP555" s="219"/>
      <c r="BQ555" s="219"/>
      <c r="BR555" s="222"/>
    </row>
    <row r="556" spans="1:112" s="240" customFormat="1" ht="27" customHeight="1">
      <c r="A556" s="207">
        <v>552</v>
      </c>
      <c r="B556" s="197" t="s">
        <v>4396</v>
      </c>
      <c r="C556" s="207" t="s">
        <v>4413</v>
      </c>
      <c r="D556" s="207">
        <v>1</v>
      </c>
      <c r="E556" s="207" t="s">
        <v>4398</v>
      </c>
      <c r="F556" s="214" t="s">
        <v>6791</v>
      </c>
      <c r="G556" s="207" t="s">
        <v>4400</v>
      </c>
      <c r="H556" s="207" t="s">
        <v>4401</v>
      </c>
      <c r="I556" s="207" t="s">
        <v>4402</v>
      </c>
      <c r="J556" s="215" t="s">
        <v>6792</v>
      </c>
      <c r="K556" s="215" t="s">
        <v>6793</v>
      </c>
      <c r="L556" s="215" t="s">
        <v>6794</v>
      </c>
      <c r="M556" s="207" t="s">
        <v>4405</v>
      </c>
      <c r="N556" s="207" t="s">
        <v>4406</v>
      </c>
      <c r="O556" s="202">
        <v>46126</v>
      </c>
      <c r="P556" s="202" t="s">
        <v>4407</v>
      </c>
      <c r="Q556" s="203">
        <v>46126</v>
      </c>
      <c r="R556" s="203">
        <v>46126</v>
      </c>
      <c r="S556" s="203">
        <v>46136</v>
      </c>
      <c r="T556" s="203">
        <v>46140</v>
      </c>
      <c r="U556" s="203" t="s">
        <v>4408</v>
      </c>
      <c r="V556" s="203" t="s">
        <v>4408</v>
      </c>
      <c r="W556" s="202">
        <v>46153</v>
      </c>
      <c r="X556" s="203">
        <v>46156</v>
      </c>
      <c r="Y556" s="203"/>
      <c r="Z556" s="219"/>
      <c r="AA556" s="215" t="s">
        <v>6792</v>
      </c>
      <c r="AB556" s="215" t="s">
        <v>6793</v>
      </c>
      <c r="AC556" s="215" t="s">
        <v>6794</v>
      </c>
      <c r="AD556" s="207" t="s">
        <v>4402</v>
      </c>
      <c r="AE556" s="207" t="s">
        <v>4405</v>
      </c>
      <c r="AF556" s="218" t="s">
        <v>4409</v>
      </c>
      <c r="AG556" s="218" t="s">
        <v>4409</v>
      </c>
      <c r="AH556" s="197" t="s">
        <v>4410</v>
      </c>
      <c r="AI556" s="214" t="s">
        <v>4411</v>
      </c>
      <c r="AJ556" s="207"/>
      <c r="AK556" s="317">
        <v>46134</v>
      </c>
      <c r="AL556" s="317">
        <v>46134</v>
      </c>
      <c r="AM556" s="317">
        <v>46134</v>
      </c>
      <c r="AN556" s="317">
        <v>46134</v>
      </c>
      <c r="AO556" s="317">
        <v>46134</v>
      </c>
      <c r="AP556" s="317">
        <v>46134</v>
      </c>
      <c r="AQ556" s="314"/>
      <c r="AR556" s="315" t="str">
        <f t="shared" si="36"/>
        <v>FINALIZADO</v>
      </c>
      <c r="AS556" s="207"/>
      <c r="AT556" s="219"/>
      <c r="AU556" s="220"/>
      <c r="AV556" s="161"/>
      <c r="AW556" s="219"/>
      <c r="AX556" s="219"/>
      <c r="AY556" s="219"/>
      <c r="AZ556" s="219"/>
      <c r="BA556" s="219"/>
      <c r="BB556" s="219"/>
      <c r="BC556" s="219"/>
      <c r="BD556" s="208"/>
      <c r="BE556" s="203"/>
      <c r="BF556" s="219"/>
      <c r="BG556" s="219"/>
      <c r="BH556" s="321" t="str">
        <f t="shared" si="37"/>
        <v/>
      </c>
      <c r="BI556" s="98" t="str">
        <f t="shared" si="38"/>
        <v>AA</v>
      </c>
      <c r="BJ556" s="98" t="str">
        <f t="shared" si="39"/>
        <v>NÃO</v>
      </c>
      <c r="BK556" s="219"/>
      <c r="BL556" s="221"/>
      <c r="BM556" s="221"/>
      <c r="BN556" s="219"/>
      <c r="BO556" s="219"/>
      <c r="BP556" s="219"/>
      <c r="BQ556" s="219"/>
      <c r="BR556" s="222"/>
    </row>
    <row r="557" spans="1:112" s="240" customFormat="1" ht="27" customHeight="1">
      <c r="A557" s="207">
        <v>553</v>
      </c>
      <c r="B557" s="197" t="s">
        <v>4396</v>
      </c>
      <c r="C557" s="207" t="s">
        <v>4413</v>
      </c>
      <c r="D557" s="207">
        <v>1</v>
      </c>
      <c r="E557" s="207" t="s">
        <v>4398</v>
      </c>
      <c r="F557" s="214" t="s">
        <v>6795</v>
      </c>
      <c r="G557" s="207" t="s">
        <v>4400</v>
      </c>
      <c r="H557" s="207" t="s">
        <v>4401</v>
      </c>
      <c r="I557" s="207" t="s">
        <v>4402</v>
      </c>
      <c r="J557" s="215" t="s">
        <v>6796</v>
      </c>
      <c r="K557" s="215" t="s">
        <v>6797</v>
      </c>
      <c r="L557" s="215" t="s">
        <v>6798</v>
      </c>
      <c r="M557" s="207" t="s">
        <v>4405</v>
      </c>
      <c r="N557" s="207" t="s">
        <v>4406</v>
      </c>
      <c r="O557" s="202">
        <v>46084</v>
      </c>
      <c r="P557" s="202" t="s">
        <v>4407</v>
      </c>
      <c r="Q557" s="202">
        <v>46083</v>
      </c>
      <c r="R557" s="203">
        <v>46084</v>
      </c>
      <c r="S557" s="203">
        <v>46087</v>
      </c>
      <c r="T557" s="203">
        <v>46090</v>
      </c>
      <c r="U557" s="202" t="s">
        <v>4408</v>
      </c>
      <c r="V557" s="202" t="s">
        <v>4408</v>
      </c>
      <c r="W557" s="202">
        <v>46101</v>
      </c>
      <c r="X557" s="202">
        <v>46101</v>
      </c>
      <c r="Y557" s="202"/>
      <c r="Z557" s="202"/>
      <c r="AA557" s="215" t="s">
        <v>6796</v>
      </c>
      <c r="AB557" s="215" t="s">
        <v>6797</v>
      </c>
      <c r="AC557" s="215" t="s">
        <v>6798</v>
      </c>
      <c r="AD557" s="207" t="s">
        <v>4402</v>
      </c>
      <c r="AE557" s="207" t="s">
        <v>4405</v>
      </c>
      <c r="AF557" s="218" t="s">
        <v>4409</v>
      </c>
      <c r="AG557" s="218" t="s">
        <v>4409</v>
      </c>
      <c r="AH557" s="207" t="s">
        <v>4410</v>
      </c>
      <c r="AI557" s="214" t="s">
        <v>4411</v>
      </c>
      <c r="AJ557" s="207"/>
      <c r="AK557" s="316">
        <v>46080</v>
      </c>
      <c r="AL557" s="316">
        <v>46080</v>
      </c>
      <c r="AM557" s="316">
        <v>46080</v>
      </c>
      <c r="AN557" s="316">
        <v>46080</v>
      </c>
      <c r="AO557" s="316">
        <v>46080</v>
      </c>
      <c r="AP557" s="316">
        <v>46080</v>
      </c>
      <c r="AQ557" s="314"/>
      <c r="AR557" s="315" t="str">
        <f t="shared" si="36"/>
        <v>FINALIZADO</v>
      </c>
      <c r="AS557" s="207"/>
      <c r="AT557" s="217"/>
      <c r="AU557" s="220"/>
      <c r="AV557" s="217"/>
      <c r="AW557" s="217"/>
      <c r="AX557" s="217"/>
      <c r="AY557" s="217"/>
      <c r="AZ557" s="217"/>
      <c r="BA557" s="217"/>
      <c r="BB557" s="217"/>
      <c r="BC557" s="217"/>
      <c r="BD557" s="208"/>
      <c r="BE557" s="216"/>
      <c r="BF557" s="217"/>
      <c r="BG557" s="219"/>
      <c r="BH557" s="321" t="str">
        <f t="shared" si="37"/>
        <v/>
      </c>
      <c r="BI557" s="98" t="str">
        <f t="shared" si="38"/>
        <v>AA</v>
      </c>
      <c r="BJ557" s="98" t="str">
        <f t="shared" si="39"/>
        <v>NÃO</v>
      </c>
      <c r="BK557" s="219"/>
      <c r="BL557" s="221"/>
      <c r="BM557" s="221"/>
      <c r="BN557" s="219"/>
      <c r="BO557" s="219"/>
      <c r="BP557" s="219"/>
      <c r="BQ557" s="219"/>
      <c r="BR557" s="222"/>
      <c r="BS557" s="161"/>
      <c r="BT557" s="161"/>
      <c r="BU557" s="161"/>
      <c r="BV557" s="161"/>
      <c r="BW557" s="161"/>
      <c r="BX557" s="161"/>
      <c r="BY557" s="161"/>
      <c r="BZ557" s="161"/>
      <c r="CA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  <c r="DA557" s="161"/>
      <c r="DB557" s="161"/>
      <c r="DC557" s="161"/>
      <c r="DD557" s="161"/>
      <c r="DE557" s="161"/>
      <c r="DF557" s="161"/>
      <c r="DG557" s="161"/>
      <c r="DH557" s="161"/>
    </row>
    <row r="558" spans="1:112" s="240" customFormat="1" ht="27" hidden="1" customHeight="1">
      <c r="A558" s="207">
        <v>554</v>
      </c>
      <c r="B558" s="197" t="s">
        <v>4396</v>
      </c>
      <c r="C558" s="207" t="s">
        <v>4427</v>
      </c>
      <c r="D558" s="207">
        <v>1</v>
      </c>
      <c r="E558" s="207" t="s">
        <v>4398</v>
      </c>
      <c r="F558" s="214" t="s">
        <v>6799</v>
      </c>
      <c r="G558" s="207" t="s">
        <v>4400</v>
      </c>
      <c r="H558" s="207" t="s">
        <v>4401</v>
      </c>
      <c r="I558" s="217" t="s">
        <v>4402</v>
      </c>
      <c r="J558" s="215" t="s">
        <v>6800</v>
      </c>
      <c r="K558" s="215" t="s">
        <v>6801</v>
      </c>
      <c r="L558" s="215" t="s">
        <v>6802</v>
      </c>
      <c r="M558" s="207" t="s">
        <v>4405</v>
      </c>
      <c r="N558" s="207" t="s">
        <v>4406</v>
      </c>
      <c r="O558" s="202">
        <v>45986</v>
      </c>
      <c r="P558" s="203" t="s">
        <v>4407</v>
      </c>
      <c r="Q558" s="203">
        <v>45985</v>
      </c>
      <c r="R558" s="203">
        <v>45986</v>
      </c>
      <c r="S558" s="203">
        <v>45987</v>
      </c>
      <c r="T558" s="203">
        <v>45992</v>
      </c>
      <c r="U558" s="202" t="s">
        <v>4408</v>
      </c>
      <c r="V558" s="202" t="s">
        <v>4408</v>
      </c>
      <c r="W558" s="202">
        <v>45999</v>
      </c>
      <c r="X558" s="202">
        <v>46003</v>
      </c>
      <c r="Y558" s="202"/>
      <c r="Z558" s="207"/>
      <c r="AA558" s="215" t="s">
        <v>6800</v>
      </c>
      <c r="AB558" s="215" t="s">
        <v>6801</v>
      </c>
      <c r="AC558" s="215" t="s">
        <v>6802</v>
      </c>
      <c r="AD558" s="207" t="s">
        <v>4402</v>
      </c>
      <c r="AE558" s="207" t="s">
        <v>4405</v>
      </c>
      <c r="AF558" s="218" t="s">
        <v>4409</v>
      </c>
      <c r="AG558" s="218" t="s">
        <v>4409</v>
      </c>
      <c r="AH558" s="241" t="s">
        <v>4410</v>
      </c>
      <c r="AI558" s="214" t="s">
        <v>4411</v>
      </c>
      <c r="AJ558" s="207"/>
      <c r="AK558" s="316">
        <v>45980</v>
      </c>
      <c r="AL558" s="316">
        <v>45980</v>
      </c>
      <c r="AM558" s="316">
        <v>45980</v>
      </c>
      <c r="AN558" s="316">
        <v>45980</v>
      </c>
      <c r="AO558" s="316">
        <v>45980</v>
      </c>
      <c r="AP558" s="316">
        <v>45980</v>
      </c>
      <c r="AQ558" s="314"/>
      <c r="AR558" s="315" t="str">
        <f t="shared" si="36"/>
        <v>FINALIZADO</v>
      </c>
      <c r="AS558" s="207"/>
      <c r="AT558" s="207"/>
      <c r="AU558" s="220"/>
      <c r="AV558" s="207"/>
      <c r="AW558" s="207"/>
      <c r="AX558" s="207" t="s">
        <v>4409</v>
      </c>
      <c r="AY558" s="207" t="s">
        <v>4409</v>
      </c>
      <c r="AZ558" s="207" t="s">
        <v>4409</v>
      </c>
      <c r="BA558" s="207" t="s">
        <v>4409</v>
      </c>
      <c r="BB558" s="207"/>
      <c r="BC558" s="202"/>
      <c r="BD558" s="208"/>
      <c r="BE558" s="202"/>
      <c r="BF558" s="207"/>
      <c r="BG558" s="229"/>
      <c r="BH558" s="321" t="str">
        <f t="shared" si="37"/>
        <v/>
      </c>
      <c r="BI558" s="98" t="str">
        <f t="shared" si="38"/>
        <v>AA</v>
      </c>
      <c r="BJ558" s="98" t="str">
        <f t="shared" si="39"/>
        <v>NÃO</v>
      </c>
      <c r="BK558" s="230"/>
      <c r="BL558" s="230"/>
      <c r="BM558" s="230"/>
      <c r="BN558" s="230"/>
      <c r="BO558" s="230"/>
      <c r="BP558" s="230"/>
      <c r="BQ558" s="230"/>
      <c r="BR558" s="234"/>
      <c r="BS558" s="161"/>
      <c r="BT558" s="161"/>
      <c r="BU558" s="161"/>
      <c r="BV558" s="161"/>
      <c r="BW558" s="161"/>
      <c r="BX558" s="161"/>
      <c r="BY558" s="161"/>
      <c r="BZ558" s="161"/>
      <c r="CA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  <c r="DA558" s="161"/>
      <c r="DB558" s="161"/>
      <c r="DC558" s="161"/>
      <c r="DD558" s="161"/>
      <c r="DE558" s="161"/>
      <c r="DF558" s="161"/>
      <c r="DG558" s="161"/>
      <c r="DH558" s="161"/>
    </row>
    <row r="559" spans="1:112" s="240" customFormat="1" ht="27" customHeight="1">
      <c r="A559" s="197">
        <v>555</v>
      </c>
      <c r="B559" s="197" t="s">
        <v>4396</v>
      </c>
      <c r="C559" s="207" t="s">
        <v>4413</v>
      </c>
      <c r="D559" s="207">
        <v>1</v>
      </c>
      <c r="E559" s="207" t="s">
        <v>4398</v>
      </c>
      <c r="F559" s="214" t="s">
        <v>6799</v>
      </c>
      <c r="G559" s="207" t="s">
        <v>4400</v>
      </c>
      <c r="H559" s="207" t="s">
        <v>4401</v>
      </c>
      <c r="I559" s="207" t="s">
        <v>4402</v>
      </c>
      <c r="J559" s="215" t="s">
        <v>6803</v>
      </c>
      <c r="K559" s="215" t="s">
        <v>6804</v>
      </c>
      <c r="L559" s="215" t="s">
        <v>6805</v>
      </c>
      <c r="M559" s="207" t="s">
        <v>4405</v>
      </c>
      <c r="N559" s="207" t="s">
        <v>4406</v>
      </c>
      <c r="O559" s="202">
        <v>46084</v>
      </c>
      <c r="P559" s="202" t="s">
        <v>4407</v>
      </c>
      <c r="Q559" s="202">
        <v>46083</v>
      </c>
      <c r="R559" s="203">
        <v>46084</v>
      </c>
      <c r="S559" s="203">
        <v>46087</v>
      </c>
      <c r="T559" s="203">
        <v>46090</v>
      </c>
      <c r="U559" s="202" t="s">
        <v>4408</v>
      </c>
      <c r="V559" s="202" t="s">
        <v>4408</v>
      </c>
      <c r="W559" s="202">
        <v>46101</v>
      </c>
      <c r="X559" s="202">
        <v>46101</v>
      </c>
      <c r="Y559" s="202"/>
      <c r="Z559" s="202"/>
      <c r="AA559" s="215" t="s">
        <v>6803</v>
      </c>
      <c r="AB559" s="215" t="s">
        <v>6804</v>
      </c>
      <c r="AC559" s="215" t="s">
        <v>6805</v>
      </c>
      <c r="AD559" s="207" t="s">
        <v>4402</v>
      </c>
      <c r="AE559" s="207" t="s">
        <v>4405</v>
      </c>
      <c r="AF559" s="218" t="s">
        <v>4409</v>
      </c>
      <c r="AG559" s="218" t="s">
        <v>4409</v>
      </c>
      <c r="AH559" s="197" t="s">
        <v>4410</v>
      </c>
      <c r="AI559" s="214" t="s">
        <v>4411</v>
      </c>
      <c r="AJ559" s="207"/>
      <c r="AK559" s="316">
        <v>46086</v>
      </c>
      <c r="AL559" s="316">
        <v>46086</v>
      </c>
      <c r="AM559" s="316">
        <v>46086</v>
      </c>
      <c r="AN559" s="316">
        <v>46086</v>
      </c>
      <c r="AO559" s="316">
        <v>46086</v>
      </c>
      <c r="AP559" s="316">
        <v>46086</v>
      </c>
      <c r="AQ559" s="314"/>
      <c r="AR559" s="315" t="str">
        <f t="shared" si="36"/>
        <v>FINALIZADO</v>
      </c>
      <c r="AS559" s="207"/>
      <c r="AT559" s="219"/>
      <c r="AU559" s="220"/>
      <c r="AV559" s="219"/>
      <c r="AW559" s="219"/>
      <c r="AX559" s="219"/>
      <c r="AY559" s="219"/>
      <c r="AZ559" s="219"/>
      <c r="BA559" s="219"/>
      <c r="BB559" s="219"/>
      <c r="BC559" s="219"/>
      <c r="BD559" s="208"/>
      <c r="BE559" s="203"/>
      <c r="BF559" s="219"/>
      <c r="BG559" s="219"/>
      <c r="BH559" s="321" t="str">
        <f t="shared" si="37"/>
        <v/>
      </c>
      <c r="BI559" s="98" t="str">
        <f t="shared" si="38"/>
        <v>AA</v>
      </c>
      <c r="BJ559" s="98" t="str">
        <f t="shared" si="39"/>
        <v>NÃO</v>
      </c>
      <c r="BK559" s="219"/>
      <c r="BL559" s="221"/>
      <c r="BM559" s="221"/>
      <c r="BN559" s="219"/>
      <c r="BO559" s="219"/>
      <c r="BP559" s="219"/>
      <c r="BQ559" s="219"/>
      <c r="BR559" s="222"/>
    </row>
    <row r="560" spans="1:112" s="240" customFormat="1" ht="27" customHeight="1">
      <c r="A560" s="197">
        <v>556</v>
      </c>
      <c r="B560" s="197" t="s">
        <v>4396</v>
      </c>
      <c r="C560" s="207" t="s">
        <v>4413</v>
      </c>
      <c r="D560" s="207">
        <v>1</v>
      </c>
      <c r="E560" s="207" t="s">
        <v>4398</v>
      </c>
      <c r="F560" s="214" t="s">
        <v>6806</v>
      </c>
      <c r="G560" s="207" t="s">
        <v>4400</v>
      </c>
      <c r="H560" s="207" t="s">
        <v>4401</v>
      </c>
      <c r="I560" s="207" t="s">
        <v>4402</v>
      </c>
      <c r="J560" s="215" t="s">
        <v>6807</v>
      </c>
      <c r="K560" s="215" t="s">
        <v>6808</v>
      </c>
      <c r="L560" s="215" t="s">
        <v>6809</v>
      </c>
      <c r="M560" s="207" t="s">
        <v>4405</v>
      </c>
      <c r="N560" s="207" t="s">
        <v>4406</v>
      </c>
      <c r="O560" s="202">
        <v>46084</v>
      </c>
      <c r="P560" s="202" t="s">
        <v>4407</v>
      </c>
      <c r="Q560" s="202">
        <v>46083</v>
      </c>
      <c r="R560" s="203">
        <v>46084</v>
      </c>
      <c r="S560" s="203">
        <v>46087</v>
      </c>
      <c r="T560" s="203">
        <v>46090</v>
      </c>
      <c r="U560" s="202" t="s">
        <v>4408</v>
      </c>
      <c r="V560" s="202" t="s">
        <v>4408</v>
      </c>
      <c r="W560" s="202">
        <v>46101</v>
      </c>
      <c r="X560" s="202">
        <v>46101</v>
      </c>
      <c r="Y560" s="202"/>
      <c r="Z560" s="202"/>
      <c r="AA560" s="215" t="s">
        <v>6807</v>
      </c>
      <c r="AB560" s="215" t="s">
        <v>6808</v>
      </c>
      <c r="AC560" s="215" t="s">
        <v>6809</v>
      </c>
      <c r="AD560" s="207" t="s">
        <v>4402</v>
      </c>
      <c r="AE560" s="207" t="s">
        <v>4405</v>
      </c>
      <c r="AF560" s="218" t="s">
        <v>4409</v>
      </c>
      <c r="AG560" s="218" t="s">
        <v>4409</v>
      </c>
      <c r="AH560" s="197" t="s">
        <v>4410</v>
      </c>
      <c r="AI560" s="214" t="s">
        <v>4411</v>
      </c>
      <c r="AJ560" s="207"/>
      <c r="AK560" s="316">
        <v>46086</v>
      </c>
      <c r="AL560" s="316">
        <v>46086</v>
      </c>
      <c r="AM560" s="316">
        <v>46086</v>
      </c>
      <c r="AN560" s="316">
        <v>46086</v>
      </c>
      <c r="AO560" s="316">
        <v>46086</v>
      </c>
      <c r="AP560" s="316">
        <v>46086</v>
      </c>
      <c r="AQ560" s="314"/>
      <c r="AR560" s="315" t="str">
        <f t="shared" si="36"/>
        <v>FINALIZADO</v>
      </c>
      <c r="AS560" s="207"/>
      <c r="AT560" s="219"/>
      <c r="AU560" s="220"/>
      <c r="AV560" s="219"/>
      <c r="AW560" s="219"/>
      <c r="AX560" s="219"/>
      <c r="AY560" s="219"/>
      <c r="AZ560" s="219"/>
      <c r="BA560" s="219"/>
      <c r="BB560" s="219"/>
      <c r="BC560" s="219"/>
      <c r="BD560" s="208"/>
      <c r="BE560" s="203"/>
      <c r="BF560" s="219"/>
      <c r="BG560" s="219"/>
      <c r="BH560" s="321" t="str">
        <f t="shared" si="37"/>
        <v/>
      </c>
      <c r="BI560" s="98" t="str">
        <f t="shared" si="38"/>
        <v>AA</v>
      </c>
      <c r="BJ560" s="98" t="str">
        <f t="shared" si="39"/>
        <v>NÃO</v>
      </c>
      <c r="BK560" s="219"/>
      <c r="BL560" s="221"/>
      <c r="BM560" s="221"/>
      <c r="BN560" s="219"/>
      <c r="BO560" s="219"/>
      <c r="BP560" s="219"/>
      <c r="BQ560" s="219"/>
      <c r="BR560" s="222"/>
    </row>
    <row r="561" spans="1:112" s="240" customFormat="1" ht="27" hidden="1" customHeight="1">
      <c r="A561" s="207">
        <v>557</v>
      </c>
      <c r="B561" s="197" t="s">
        <v>4396</v>
      </c>
      <c r="C561" s="207" t="s">
        <v>4427</v>
      </c>
      <c r="D561" s="207">
        <v>1</v>
      </c>
      <c r="E561" s="207" t="s">
        <v>4398</v>
      </c>
      <c r="F561" s="214" t="s">
        <v>6810</v>
      </c>
      <c r="G561" s="207" t="s">
        <v>4400</v>
      </c>
      <c r="H561" s="207" t="s">
        <v>4401</v>
      </c>
      <c r="I561" s="217" t="s">
        <v>4402</v>
      </c>
      <c r="J561" s="215" t="s">
        <v>6811</v>
      </c>
      <c r="K561" s="215" t="s">
        <v>6812</v>
      </c>
      <c r="L561" s="215" t="s">
        <v>6813</v>
      </c>
      <c r="M561" s="207" t="s">
        <v>4405</v>
      </c>
      <c r="N561" s="207" t="s">
        <v>4442</v>
      </c>
      <c r="O561" s="202" t="s">
        <v>4409</v>
      </c>
      <c r="P561" s="202" t="s">
        <v>4409</v>
      </c>
      <c r="Q561" s="202" t="s">
        <v>4409</v>
      </c>
      <c r="R561" s="202" t="s">
        <v>4409</v>
      </c>
      <c r="S561" s="202" t="s">
        <v>4409</v>
      </c>
      <c r="T561" s="202" t="s">
        <v>4409</v>
      </c>
      <c r="U561" s="202" t="s">
        <v>4409</v>
      </c>
      <c r="V561" s="202" t="s">
        <v>4409</v>
      </c>
      <c r="W561" s="202" t="s">
        <v>4409</v>
      </c>
      <c r="X561" s="202" t="s">
        <v>4409</v>
      </c>
      <c r="Y561" s="202"/>
      <c r="Z561" s="202"/>
      <c r="AA561" s="215" t="s">
        <v>6811</v>
      </c>
      <c r="AB561" s="215" t="s">
        <v>6812</v>
      </c>
      <c r="AC561" s="215" t="s">
        <v>6813</v>
      </c>
      <c r="AD561" s="207" t="s">
        <v>4402</v>
      </c>
      <c r="AE561" s="207" t="s">
        <v>4405</v>
      </c>
      <c r="AF561" s="218">
        <v>21477.18</v>
      </c>
      <c r="AG561" s="218">
        <f>AF561+30000</f>
        <v>51477.18</v>
      </c>
      <c r="AH561" s="207" t="s">
        <v>4433</v>
      </c>
      <c r="AI561" s="214" t="s">
        <v>4411</v>
      </c>
      <c r="AJ561" s="207">
        <v>146670420</v>
      </c>
      <c r="AK561" s="316">
        <v>45996</v>
      </c>
      <c r="AL561" s="316">
        <v>45996</v>
      </c>
      <c r="AM561" s="316">
        <v>45996</v>
      </c>
      <c r="AN561" s="316">
        <v>45996</v>
      </c>
      <c r="AO561" s="316">
        <v>45996</v>
      </c>
      <c r="AP561" s="316">
        <v>45996</v>
      </c>
      <c r="AQ561" s="314"/>
      <c r="AR561" s="315" t="str">
        <f t="shared" si="36"/>
        <v>FINALIZADO</v>
      </c>
      <c r="AS561" s="207" t="s">
        <v>4423</v>
      </c>
      <c r="AT561" s="219"/>
      <c r="AU561" s="220" t="s">
        <v>6814</v>
      </c>
      <c r="AV561" s="207" t="s">
        <v>4425</v>
      </c>
      <c r="AW561" s="207" t="s">
        <v>4425</v>
      </c>
      <c r="AX561" s="207" t="s">
        <v>4425</v>
      </c>
      <c r="AY561" s="207" t="s">
        <v>4425</v>
      </c>
      <c r="AZ561" s="202">
        <v>46020</v>
      </c>
      <c r="BA561" s="219" t="s">
        <v>4425</v>
      </c>
      <c r="BB561" s="207" t="s">
        <v>4425</v>
      </c>
      <c r="BC561" s="208">
        <v>46027</v>
      </c>
      <c r="BD561" s="227">
        <v>46027</v>
      </c>
      <c r="BE561" s="226" t="s">
        <v>4435</v>
      </c>
      <c r="BF561" s="228" t="s">
        <v>4436</v>
      </c>
      <c r="BG561" s="229" t="s">
        <v>4425</v>
      </c>
      <c r="BH561" s="321">
        <f t="shared" si="37"/>
        <v>31</v>
      </c>
      <c r="BI561" s="98" t="str">
        <f t="shared" si="38"/>
        <v>INDENIZAÇÃO</v>
      </c>
      <c r="BJ561" s="98" t="str">
        <f t="shared" si="39"/>
        <v>NÃO</v>
      </c>
      <c r="BK561" s="230" t="s">
        <v>4437</v>
      </c>
      <c r="BL561" s="230" t="s">
        <v>4437</v>
      </c>
      <c r="BM561" s="230" t="s">
        <v>4437</v>
      </c>
      <c r="BN561" s="265" t="s">
        <v>5732</v>
      </c>
      <c r="BO561" s="265"/>
      <c r="BP561" s="265"/>
      <c r="BQ561" s="265"/>
      <c r="BR561" s="231"/>
    </row>
    <row r="562" spans="1:112" s="240" customFormat="1" ht="27" customHeight="1">
      <c r="A562" s="207">
        <v>558</v>
      </c>
      <c r="B562" s="197" t="s">
        <v>4396</v>
      </c>
      <c r="C562" s="207" t="s">
        <v>4413</v>
      </c>
      <c r="D562" s="207">
        <v>1</v>
      </c>
      <c r="E562" s="207" t="s">
        <v>4398</v>
      </c>
      <c r="F562" s="214" t="s">
        <v>6810</v>
      </c>
      <c r="G562" s="219" t="s">
        <v>4400</v>
      </c>
      <c r="H562" s="219" t="s">
        <v>4401</v>
      </c>
      <c r="I562" s="219" t="s">
        <v>4402</v>
      </c>
      <c r="J562" s="255" t="s">
        <v>6815</v>
      </c>
      <c r="K562" s="255" t="s">
        <v>6816</v>
      </c>
      <c r="L562" s="255" t="s">
        <v>6817</v>
      </c>
      <c r="M562" s="219" t="s">
        <v>4405</v>
      </c>
      <c r="N562" s="219" t="s">
        <v>4432</v>
      </c>
      <c r="O562" s="202" t="s">
        <v>4409</v>
      </c>
      <c r="P562" s="202" t="s">
        <v>4409</v>
      </c>
      <c r="Q562" s="202" t="s">
        <v>4409</v>
      </c>
      <c r="R562" s="202" t="s">
        <v>4409</v>
      </c>
      <c r="S562" s="202" t="s">
        <v>4409</v>
      </c>
      <c r="T562" s="202" t="s">
        <v>4409</v>
      </c>
      <c r="U562" s="202" t="s">
        <v>4409</v>
      </c>
      <c r="V562" s="202" t="s">
        <v>4409</v>
      </c>
      <c r="W562" s="202" t="s">
        <v>4409</v>
      </c>
      <c r="X562" s="202" t="s">
        <v>4409</v>
      </c>
      <c r="Y562" s="202"/>
      <c r="Z562" s="202"/>
      <c r="AA562" s="255" t="s">
        <v>6815</v>
      </c>
      <c r="AB562" s="255" t="s">
        <v>6816</v>
      </c>
      <c r="AC562" s="255" t="s">
        <v>6817</v>
      </c>
      <c r="AD562" s="219" t="s">
        <v>4402</v>
      </c>
      <c r="AE562" s="219" t="s">
        <v>4405</v>
      </c>
      <c r="AF562" s="218">
        <v>16467.03</v>
      </c>
      <c r="AG562" s="218">
        <f>AF562+30000</f>
        <v>46467.03</v>
      </c>
      <c r="AH562" s="207" t="s">
        <v>4433</v>
      </c>
      <c r="AI562" s="214" t="s">
        <v>4411</v>
      </c>
      <c r="AJ562" s="207">
        <v>153982499</v>
      </c>
      <c r="AK562" s="317">
        <v>46125</v>
      </c>
      <c r="AL562" s="317">
        <v>46125</v>
      </c>
      <c r="AM562" s="317">
        <v>46125</v>
      </c>
      <c r="AN562" s="317">
        <v>46125</v>
      </c>
      <c r="AO562" s="317">
        <v>46125</v>
      </c>
      <c r="AP562" s="317">
        <v>46125</v>
      </c>
      <c r="AQ562" s="314"/>
      <c r="AR562" s="315" t="str">
        <f t="shared" si="36"/>
        <v>FINALIZADO</v>
      </c>
      <c r="AS562" s="207" t="s">
        <v>4423</v>
      </c>
      <c r="AT562" s="219"/>
      <c r="AU562" s="220" t="s">
        <v>6818</v>
      </c>
      <c r="AV562" s="262" t="s">
        <v>4425</v>
      </c>
      <c r="AW562" s="219" t="s">
        <v>4425</v>
      </c>
      <c r="AX562" s="219" t="s">
        <v>4425</v>
      </c>
      <c r="AY562" s="219" t="s">
        <v>4425</v>
      </c>
      <c r="AZ562" s="202">
        <v>46226</v>
      </c>
      <c r="BA562" s="219" t="s">
        <v>4425</v>
      </c>
      <c r="BB562" s="219" t="s">
        <v>4425</v>
      </c>
      <c r="BC562" s="202">
        <v>46232</v>
      </c>
      <c r="BD562" s="226">
        <v>46232</v>
      </c>
      <c r="BE562" s="257" t="s">
        <v>4435</v>
      </c>
      <c r="BF562" s="257" t="s">
        <v>4436</v>
      </c>
      <c r="BG562" s="219" t="s">
        <v>4425</v>
      </c>
      <c r="BH562" s="321">
        <f t="shared" si="37"/>
        <v>107</v>
      </c>
      <c r="BI562" s="98" t="str">
        <f t="shared" si="38"/>
        <v>INDENIZAÇÃO</v>
      </c>
      <c r="BJ562" s="98" t="str">
        <f t="shared" si="39"/>
        <v>NÃO</v>
      </c>
      <c r="BK562" s="219" t="s">
        <v>4437</v>
      </c>
      <c r="BL562" s="219" t="s">
        <v>4437</v>
      </c>
      <c r="BM562" s="219" t="s">
        <v>4437</v>
      </c>
      <c r="BN562" s="257" t="s">
        <v>5732</v>
      </c>
      <c r="BO562" s="257"/>
      <c r="BP562" s="257"/>
      <c r="BQ562" s="257"/>
      <c r="BR562" s="258"/>
      <c r="BS562" s="223"/>
    </row>
    <row r="563" spans="1:112" s="240" customFormat="1" ht="27" customHeight="1">
      <c r="A563" s="207">
        <v>559</v>
      </c>
      <c r="B563" s="197" t="s">
        <v>4396</v>
      </c>
      <c r="C563" s="207" t="s">
        <v>4413</v>
      </c>
      <c r="D563" s="207">
        <v>1</v>
      </c>
      <c r="E563" s="207" t="s">
        <v>4398</v>
      </c>
      <c r="F563" s="214" t="s">
        <v>6819</v>
      </c>
      <c r="G563" s="207" t="s">
        <v>4400</v>
      </c>
      <c r="H563" s="207" t="s">
        <v>4401</v>
      </c>
      <c r="I563" s="207" t="s">
        <v>4402</v>
      </c>
      <c r="J563" s="215" t="s">
        <v>6820</v>
      </c>
      <c r="K563" s="215" t="s">
        <v>6821</v>
      </c>
      <c r="L563" s="215" t="s">
        <v>6822</v>
      </c>
      <c r="M563" s="207" t="s">
        <v>4405</v>
      </c>
      <c r="N563" s="207" t="s">
        <v>4406</v>
      </c>
      <c r="O563" s="203">
        <v>46090</v>
      </c>
      <c r="P563" s="203" t="s">
        <v>4407</v>
      </c>
      <c r="Q563" s="202">
        <v>46090</v>
      </c>
      <c r="R563" s="202">
        <v>46099</v>
      </c>
      <c r="S563" s="202">
        <v>46101</v>
      </c>
      <c r="T563" s="202">
        <v>46118</v>
      </c>
      <c r="U563" s="202" t="s">
        <v>4408</v>
      </c>
      <c r="V563" s="202" t="s">
        <v>4408</v>
      </c>
      <c r="W563" s="202">
        <v>46118</v>
      </c>
      <c r="X563" s="202">
        <v>46119</v>
      </c>
      <c r="Y563" s="202"/>
      <c r="Z563" s="202"/>
      <c r="AA563" s="215" t="s">
        <v>6820</v>
      </c>
      <c r="AB563" s="215" t="s">
        <v>6821</v>
      </c>
      <c r="AC563" s="215" t="s">
        <v>6822</v>
      </c>
      <c r="AD563" s="207" t="s">
        <v>4402</v>
      </c>
      <c r="AE563" s="207" t="s">
        <v>4405</v>
      </c>
      <c r="AF563" s="218" t="s">
        <v>4409</v>
      </c>
      <c r="AG563" s="218" t="s">
        <v>4409</v>
      </c>
      <c r="AH563" s="207" t="s">
        <v>4410</v>
      </c>
      <c r="AI563" s="214" t="s">
        <v>4411</v>
      </c>
      <c r="AJ563" s="207"/>
      <c r="AK563" s="316">
        <v>46086</v>
      </c>
      <c r="AL563" s="316">
        <v>46086</v>
      </c>
      <c r="AM563" s="316">
        <v>46086</v>
      </c>
      <c r="AN563" s="316">
        <v>46086</v>
      </c>
      <c r="AO563" s="316">
        <v>46086</v>
      </c>
      <c r="AP563" s="316">
        <v>46086</v>
      </c>
      <c r="AQ563" s="314"/>
      <c r="AR563" s="315" t="str">
        <f t="shared" si="36"/>
        <v>FINALIZADO</v>
      </c>
      <c r="AS563" s="207"/>
      <c r="AT563" s="219"/>
      <c r="AU563" s="220"/>
      <c r="AV563" s="219"/>
      <c r="AW563" s="219"/>
      <c r="AX563" s="219"/>
      <c r="AY563" s="219"/>
      <c r="AZ563" s="219"/>
      <c r="BA563" s="219"/>
      <c r="BB563" s="219"/>
      <c r="BC563" s="219"/>
      <c r="BD563" s="208"/>
      <c r="BE563" s="203"/>
      <c r="BF563" s="219"/>
      <c r="BG563" s="219"/>
      <c r="BH563" s="321" t="str">
        <f t="shared" si="37"/>
        <v/>
      </c>
      <c r="BI563" s="98" t="str">
        <f t="shared" si="38"/>
        <v>AA</v>
      </c>
      <c r="BJ563" s="98" t="str">
        <f t="shared" si="39"/>
        <v>NÃO</v>
      </c>
      <c r="BK563" s="219"/>
      <c r="BL563" s="221"/>
      <c r="BM563" s="221"/>
      <c r="BN563" s="219"/>
      <c r="BO563" s="219"/>
      <c r="BP563" s="219"/>
      <c r="BQ563" s="219"/>
      <c r="BR563" s="222"/>
    </row>
    <row r="564" spans="1:112" s="240" customFormat="1" ht="27" hidden="1" customHeight="1">
      <c r="A564" s="197">
        <v>560</v>
      </c>
      <c r="B564" s="197" t="s">
        <v>4396</v>
      </c>
      <c r="C564" s="207" t="s">
        <v>4427</v>
      </c>
      <c r="D564" s="207">
        <v>1</v>
      </c>
      <c r="E564" s="207" t="s">
        <v>4398</v>
      </c>
      <c r="F564" s="214" t="s">
        <v>6819</v>
      </c>
      <c r="G564" s="207" t="s">
        <v>4400</v>
      </c>
      <c r="H564" s="207" t="s">
        <v>4401</v>
      </c>
      <c r="I564" s="217" t="s">
        <v>4402</v>
      </c>
      <c r="J564" s="215" t="s">
        <v>6823</v>
      </c>
      <c r="K564" s="215" t="s">
        <v>6824</v>
      </c>
      <c r="L564" s="215" t="s">
        <v>6825</v>
      </c>
      <c r="M564" s="207" t="s">
        <v>4405</v>
      </c>
      <c r="N564" s="207" t="s">
        <v>4406</v>
      </c>
      <c r="O564" s="202">
        <v>46002</v>
      </c>
      <c r="P564" s="202" t="s">
        <v>4407</v>
      </c>
      <c r="Q564" s="202">
        <v>45999</v>
      </c>
      <c r="R564" s="202">
        <v>46006</v>
      </c>
      <c r="S564" s="202">
        <v>46006</v>
      </c>
      <c r="T564" s="202">
        <v>46009</v>
      </c>
      <c r="U564" s="202" t="s">
        <v>4408</v>
      </c>
      <c r="V564" s="202" t="s">
        <v>4408</v>
      </c>
      <c r="W564" s="202">
        <v>46014</v>
      </c>
      <c r="X564" s="202">
        <v>46017</v>
      </c>
      <c r="Y564" s="202"/>
      <c r="Z564" s="207"/>
      <c r="AA564" s="215" t="s">
        <v>6823</v>
      </c>
      <c r="AB564" s="215" t="s">
        <v>6824</v>
      </c>
      <c r="AC564" s="215" t="s">
        <v>6825</v>
      </c>
      <c r="AD564" s="207" t="s">
        <v>4402</v>
      </c>
      <c r="AE564" s="207" t="s">
        <v>4405</v>
      </c>
      <c r="AF564" s="218" t="s">
        <v>4409</v>
      </c>
      <c r="AG564" s="218" t="s">
        <v>4409</v>
      </c>
      <c r="AH564" s="207" t="s">
        <v>4410</v>
      </c>
      <c r="AI564" s="214" t="s">
        <v>4411</v>
      </c>
      <c r="AJ564" s="207"/>
      <c r="AK564" s="316">
        <v>45996</v>
      </c>
      <c r="AL564" s="316">
        <v>45996</v>
      </c>
      <c r="AM564" s="316">
        <v>45996</v>
      </c>
      <c r="AN564" s="316">
        <v>45996</v>
      </c>
      <c r="AO564" s="316">
        <v>45996</v>
      </c>
      <c r="AP564" s="316">
        <v>45996</v>
      </c>
      <c r="AQ564" s="314"/>
      <c r="AR564" s="315" t="str">
        <f t="shared" si="36"/>
        <v>FINALIZADO</v>
      </c>
      <c r="AS564" s="207"/>
      <c r="AT564" s="207"/>
      <c r="AU564" s="220"/>
      <c r="AV564" s="160"/>
      <c r="AW564" s="207"/>
      <c r="AX564" s="207"/>
      <c r="AY564" s="207"/>
      <c r="AZ564" s="202"/>
      <c r="BA564" s="219"/>
      <c r="BB564" s="207"/>
      <c r="BC564" s="202"/>
      <c r="BD564" s="208"/>
      <c r="BE564" s="202"/>
      <c r="BF564" s="207"/>
      <c r="BG564" s="229"/>
      <c r="BH564" s="321" t="str">
        <f t="shared" si="37"/>
        <v/>
      </c>
      <c r="BI564" s="98" t="str">
        <f t="shared" si="38"/>
        <v>AA</v>
      </c>
      <c r="BJ564" s="98" t="str">
        <f t="shared" si="39"/>
        <v>NÃO</v>
      </c>
      <c r="BK564" s="230"/>
      <c r="BL564" s="230"/>
      <c r="BM564" s="230"/>
      <c r="BN564" s="230"/>
      <c r="BO564" s="230"/>
      <c r="BP564" s="230"/>
      <c r="BQ564" s="230"/>
      <c r="BR564" s="234"/>
      <c r="BS564" s="161"/>
      <c r="BT564" s="161"/>
      <c r="BU564" s="161"/>
      <c r="BV564" s="161"/>
      <c r="BW564" s="161"/>
      <c r="BX564" s="161"/>
      <c r="BY564" s="161"/>
      <c r="BZ564" s="161"/>
      <c r="CA564" s="161"/>
      <c r="CB564" s="161"/>
      <c r="CC564" s="161"/>
      <c r="CD564" s="161"/>
      <c r="CE564" s="16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61"/>
      <c r="CQ564" s="161"/>
      <c r="CR564" s="161"/>
      <c r="CS564" s="161"/>
      <c r="CT564" s="161"/>
      <c r="CU564" s="161"/>
      <c r="CV564" s="161"/>
      <c r="CW564" s="161"/>
      <c r="CX564" s="161"/>
      <c r="CY564" s="161"/>
      <c r="CZ564" s="161"/>
      <c r="DA564" s="161"/>
      <c r="DB564" s="161"/>
      <c r="DC564" s="161"/>
      <c r="DD564" s="161"/>
      <c r="DE564" s="161"/>
      <c r="DF564" s="161"/>
      <c r="DG564" s="161"/>
      <c r="DH564" s="161"/>
    </row>
    <row r="565" spans="1:112" s="240" customFormat="1" ht="27" customHeight="1">
      <c r="A565" s="197">
        <v>561</v>
      </c>
      <c r="B565" s="197" t="s">
        <v>4396</v>
      </c>
      <c r="C565" s="207" t="s">
        <v>4413</v>
      </c>
      <c r="D565" s="207">
        <v>1</v>
      </c>
      <c r="E565" s="207" t="s">
        <v>4398</v>
      </c>
      <c r="F565" s="214" t="s">
        <v>6826</v>
      </c>
      <c r="G565" s="207" t="s">
        <v>4400</v>
      </c>
      <c r="H565" s="207" t="s">
        <v>4401</v>
      </c>
      <c r="I565" s="207" t="s">
        <v>4402</v>
      </c>
      <c r="J565" s="215" t="s">
        <v>6827</v>
      </c>
      <c r="K565" s="215" t="s">
        <v>6828</v>
      </c>
      <c r="L565" s="215" t="s">
        <v>6829</v>
      </c>
      <c r="M565" s="207" t="s">
        <v>4405</v>
      </c>
      <c r="N565" s="207" t="s">
        <v>4406</v>
      </c>
      <c r="O565" s="202">
        <v>46106</v>
      </c>
      <c r="P565" s="203" t="s">
        <v>4407</v>
      </c>
      <c r="Q565" s="202">
        <v>46106</v>
      </c>
      <c r="R565" s="202">
        <v>46107</v>
      </c>
      <c r="S565" s="202">
        <v>46111</v>
      </c>
      <c r="T565" s="202">
        <v>46087</v>
      </c>
      <c r="U565" s="202" t="s">
        <v>4408</v>
      </c>
      <c r="V565" s="202" t="s">
        <v>4408</v>
      </c>
      <c r="W565" s="202">
        <v>46132</v>
      </c>
      <c r="X565" s="202">
        <v>46129</v>
      </c>
      <c r="Y565" s="202"/>
      <c r="Z565" s="202"/>
      <c r="AA565" s="215" t="s">
        <v>6827</v>
      </c>
      <c r="AB565" s="215" t="s">
        <v>6828</v>
      </c>
      <c r="AC565" s="215" t="s">
        <v>6829</v>
      </c>
      <c r="AD565" s="207" t="s">
        <v>4402</v>
      </c>
      <c r="AE565" s="207" t="s">
        <v>4405</v>
      </c>
      <c r="AF565" s="218" t="s">
        <v>4409</v>
      </c>
      <c r="AG565" s="218" t="s">
        <v>4409</v>
      </c>
      <c r="AH565" s="207" t="s">
        <v>4410</v>
      </c>
      <c r="AI565" s="214" t="s">
        <v>4411</v>
      </c>
      <c r="AJ565" s="207"/>
      <c r="AK565" s="316">
        <v>46086</v>
      </c>
      <c r="AL565" s="316">
        <v>46086</v>
      </c>
      <c r="AM565" s="316">
        <v>46086</v>
      </c>
      <c r="AN565" s="316">
        <v>46086</v>
      </c>
      <c r="AO565" s="316">
        <v>46086</v>
      </c>
      <c r="AP565" s="316">
        <v>46086</v>
      </c>
      <c r="AQ565" s="314"/>
      <c r="AR565" s="315" t="str">
        <f t="shared" si="36"/>
        <v>FINALIZADO</v>
      </c>
      <c r="AS565" s="207"/>
      <c r="AT565" s="219"/>
      <c r="AU565" s="220"/>
      <c r="AV565" s="161"/>
      <c r="AW565" s="219"/>
      <c r="AX565" s="219"/>
      <c r="AY565" s="219"/>
      <c r="AZ565" s="219"/>
      <c r="BA565" s="219"/>
      <c r="BB565" s="219"/>
      <c r="BC565" s="219"/>
      <c r="BD565" s="208"/>
      <c r="BE565" s="203"/>
      <c r="BF565" s="219"/>
      <c r="BG565" s="219"/>
      <c r="BH565" s="321" t="str">
        <f t="shared" si="37"/>
        <v/>
      </c>
      <c r="BI565" s="98" t="str">
        <f t="shared" si="38"/>
        <v>AA</v>
      </c>
      <c r="BJ565" s="98" t="str">
        <f t="shared" si="39"/>
        <v>NÃO</v>
      </c>
      <c r="BK565" s="219"/>
      <c r="BL565" s="221"/>
      <c r="BM565" s="221"/>
      <c r="BN565" s="219"/>
      <c r="BO565" s="219"/>
      <c r="BP565" s="219"/>
      <c r="BQ565" s="219"/>
      <c r="BR565" s="222"/>
    </row>
    <row r="566" spans="1:112" s="240" customFormat="1" ht="27" customHeight="1">
      <c r="A566" s="207">
        <v>562</v>
      </c>
      <c r="B566" s="197" t="s">
        <v>4396</v>
      </c>
      <c r="C566" s="207" t="s">
        <v>4413</v>
      </c>
      <c r="D566" s="207">
        <v>1</v>
      </c>
      <c r="E566" s="207" t="s">
        <v>4398</v>
      </c>
      <c r="F566" s="214" t="s">
        <v>6830</v>
      </c>
      <c r="G566" s="207" t="s">
        <v>4400</v>
      </c>
      <c r="H566" s="207" t="s">
        <v>4401</v>
      </c>
      <c r="I566" s="207" t="s">
        <v>4402</v>
      </c>
      <c r="J566" s="215" t="s">
        <v>6831</v>
      </c>
      <c r="K566" s="215" t="s">
        <v>6832</v>
      </c>
      <c r="L566" s="215" t="s">
        <v>6833</v>
      </c>
      <c r="M566" s="207" t="s">
        <v>4405</v>
      </c>
      <c r="N566" s="207" t="s">
        <v>4406</v>
      </c>
      <c r="O566" s="202">
        <v>46084</v>
      </c>
      <c r="P566" s="202" t="s">
        <v>4407</v>
      </c>
      <c r="Q566" s="202">
        <v>46083</v>
      </c>
      <c r="R566" s="203">
        <v>46084</v>
      </c>
      <c r="S566" s="203">
        <v>46087</v>
      </c>
      <c r="T566" s="203">
        <v>46090</v>
      </c>
      <c r="U566" s="202" t="s">
        <v>4408</v>
      </c>
      <c r="V566" s="202" t="s">
        <v>4408</v>
      </c>
      <c r="W566" s="202">
        <v>46101</v>
      </c>
      <c r="X566" s="202">
        <v>46104</v>
      </c>
      <c r="Y566" s="202"/>
      <c r="Z566" s="202"/>
      <c r="AA566" s="215" t="s">
        <v>6831</v>
      </c>
      <c r="AB566" s="215" t="s">
        <v>6832</v>
      </c>
      <c r="AC566" s="215" t="s">
        <v>6833</v>
      </c>
      <c r="AD566" s="207" t="s">
        <v>4402</v>
      </c>
      <c r="AE566" s="207" t="s">
        <v>4405</v>
      </c>
      <c r="AF566" s="218" t="s">
        <v>4409</v>
      </c>
      <c r="AG566" s="218" t="s">
        <v>4409</v>
      </c>
      <c r="AH566" s="207" t="s">
        <v>4410</v>
      </c>
      <c r="AI566" s="214" t="s">
        <v>4411</v>
      </c>
      <c r="AJ566" s="207"/>
      <c r="AK566" s="316">
        <v>46080</v>
      </c>
      <c r="AL566" s="316">
        <v>46080</v>
      </c>
      <c r="AM566" s="316">
        <v>46080</v>
      </c>
      <c r="AN566" s="316">
        <v>46080</v>
      </c>
      <c r="AO566" s="316">
        <v>46080</v>
      </c>
      <c r="AP566" s="316">
        <v>46080</v>
      </c>
      <c r="AQ566" s="314"/>
      <c r="AR566" s="315" t="str">
        <f t="shared" si="36"/>
        <v>FINALIZADO</v>
      </c>
      <c r="AS566" s="207"/>
      <c r="AT566" s="217"/>
      <c r="AU566" s="220"/>
      <c r="AV566" s="199"/>
      <c r="AW566" s="217"/>
      <c r="AX566" s="217"/>
      <c r="AY566" s="217"/>
      <c r="AZ566" s="217"/>
      <c r="BA566" s="217"/>
      <c r="BB566" s="217"/>
      <c r="BC566" s="217"/>
      <c r="BD566" s="208"/>
      <c r="BE566" s="216"/>
      <c r="BF566" s="217"/>
      <c r="BG566" s="219"/>
      <c r="BH566" s="321" t="str">
        <f t="shared" si="37"/>
        <v/>
      </c>
      <c r="BI566" s="98" t="str">
        <f t="shared" si="38"/>
        <v>AA</v>
      </c>
      <c r="BJ566" s="98" t="str">
        <f t="shared" si="39"/>
        <v>NÃO</v>
      </c>
      <c r="BK566" s="219"/>
      <c r="BL566" s="221"/>
      <c r="BM566" s="221"/>
      <c r="BN566" s="219"/>
      <c r="BO566" s="219"/>
      <c r="BP566" s="219"/>
      <c r="BQ566" s="219"/>
      <c r="BR566" s="222"/>
    </row>
    <row r="567" spans="1:112" s="240" customFormat="1" ht="27" customHeight="1">
      <c r="A567" s="207">
        <v>563</v>
      </c>
      <c r="B567" s="197" t="s">
        <v>4396</v>
      </c>
      <c r="C567" s="207" t="s">
        <v>4413</v>
      </c>
      <c r="D567" s="207">
        <v>1</v>
      </c>
      <c r="E567" s="207" t="s">
        <v>4398</v>
      </c>
      <c r="F567" s="214" t="s">
        <v>6834</v>
      </c>
      <c r="G567" s="207" t="s">
        <v>4400</v>
      </c>
      <c r="H567" s="207" t="s">
        <v>4401</v>
      </c>
      <c r="I567" s="207" t="s">
        <v>4402</v>
      </c>
      <c r="J567" s="215" t="s">
        <v>6835</v>
      </c>
      <c r="K567" s="215" t="s">
        <v>4398</v>
      </c>
      <c r="L567" s="215" t="s">
        <v>6836</v>
      </c>
      <c r="M567" s="207" t="s">
        <v>4405</v>
      </c>
      <c r="N567" s="207" t="s">
        <v>4406</v>
      </c>
      <c r="O567" s="203">
        <v>46090</v>
      </c>
      <c r="P567" s="203" t="s">
        <v>4407</v>
      </c>
      <c r="Q567" s="202">
        <v>46090</v>
      </c>
      <c r="R567" s="202">
        <v>46099</v>
      </c>
      <c r="S567" s="202">
        <v>46101</v>
      </c>
      <c r="T567" s="202">
        <v>46118</v>
      </c>
      <c r="U567" s="202" t="s">
        <v>4408</v>
      </c>
      <c r="V567" s="202" t="s">
        <v>4408</v>
      </c>
      <c r="W567" s="202">
        <v>46118</v>
      </c>
      <c r="X567" s="202">
        <v>46118</v>
      </c>
      <c r="Y567" s="202"/>
      <c r="Z567" s="202"/>
      <c r="AA567" s="215" t="s">
        <v>6835</v>
      </c>
      <c r="AB567" s="215" t="s">
        <v>4398</v>
      </c>
      <c r="AC567" s="215" t="s">
        <v>6836</v>
      </c>
      <c r="AD567" s="207" t="s">
        <v>4402</v>
      </c>
      <c r="AE567" s="207" t="s">
        <v>4405</v>
      </c>
      <c r="AF567" s="218" t="s">
        <v>4409</v>
      </c>
      <c r="AG567" s="218" t="s">
        <v>4409</v>
      </c>
      <c r="AH567" s="207" t="s">
        <v>4410</v>
      </c>
      <c r="AI567" s="214" t="s">
        <v>4411</v>
      </c>
      <c r="AJ567" s="207"/>
      <c r="AK567" s="316">
        <v>46086</v>
      </c>
      <c r="AL567" s="316">
        <v>46086</v>
      </c>
      <c r="AM567" s="316">
        <v>46086</v>
      </c>
      <c r="AN567" s="316">
        <v>46086</v>
      </c>
      <c r="AO567" s="316">
        <v>46086</v>
      </c>
      <c r="AP567" s="316">
        <v>46086</v>
      </c>
      <c r="AQ567" s="314"/>
      <c r="AR567" s="315" t="str">
        <f t="shared" si="36"/>
        <v>FINALIZADO</v>
      </c>
      <c r="AS567" s="207"/>
      <c r="AT567" s="219"/>
      <c r="AU567" s="220"/>
      <c r="AV567" s="219"/>
      <c r="AW567" s="219"/>
      <c r="AX567" s="219"/>
      <c r="AY567" s="219"/>
      <c r="AZ567" s="219"/>
      <c r="BA567" s="219"/>
      <c r="BB567" s="219"/>
      <c r="BC567" s="219"/>
      <c r="BD567" s="208"/>
      <c r="BE567" s="203"/>
      <c r="BF567" s="219"/>
      <c r="BG567" s="219"/>
      <c r="BH567" s="321" t="str">
        <f t="shared" si="37"/>
        <v/>
      </c>
      <c r="BI567" s="98" t="str">
        <f t="shared" si="38"/>
        <v>AA</v>
      </c>
      <c r="BJ567" s="98" t="str">
        <f t="shared" si="39"/>
        <v>NÃO</v>
      </c>
      <c r="BK567" s="219"/>
      <c r="BL567" s="221"/>
      <c r="BM567" s="221"/>
      <c r="BN567" s="219"/>
      <c r="BO567" s="219"/>
      <c r="BP567" s="219"/>
      <c r="BQ567" s="219"/>
      <c r="BR567" s="222"/>
    </row>
    <row r="568" spans="1:112" s="240" customFormat="1" ht="27" customHeight="1">
      <c r="A568" s="207">
        <v>564</v>
      </c>
      <c r="B568" s="197" t="s">
        <v>4396</v>
      </c>
      <c r="C568" s="207" t="s">
        <v>4413</v>
      </c>
      <c r="D568" s="207">
        <v>1</v>
      </c>
      <c r="E568" s="207" t="s">
        <v>4398</v>
      </c>
      <c r="F568" s="214" t="s">
        <v>6837</v>
      </c>
      <c r="G568" s="207" t="s">
        <v>4400</v>
      </c>
      <c r="H568" s="207" t="s">
        <v>4401</v>
      </c>
      <c r="I568" s="207" t="s">
        <v>4402</v>
      </c>
      <c r="J568" s="215" t="s">
        <v>1934</v>
      </c>
      <c r="K568" s="215" t="s">
        <v>6838</v>
      </c>
      <c r="L568" s="215" t="s">
        <v>6839</v>
      </c>
      <c r="M568" s="207" t="s">
        <v>4405</v>
      </c>
      <c r="N568" s="207" t="s">
        <v>4406</v>
      </c>
      <c r="O568" s="203">
        <v>46090</v>
      </c>
      <c r="P568" s="203" t="s">
        <v>4407</v>
      </c>
      <c r="Q568" s="202">
        <v>46090</v>
      </c>
      <c r="R568" s="202">
        <v>46099</v>
      </c>
      <c r="S568" s="202">
        <v>46101</v>
      </c>
      <c r="T568" s="202">
        <v>46118</v>
      </c>
      <c r="U568" s="202" t="s">
        <v>4408</v>
      </c>
      <c r="V568" s="202" t="s">
        <v>4408</v>
      </c>
      <c r="W568" s="202">
        <v>46118</v>
      </c>
      <c r="X568" s="202">
        <v>46118</v>
      </c>
      <c r="Y568" s="202"/>
      <c r="Z568" s="202"/>
      <c r="AA568" s="215" t="s">
        <v>1934</v>
      </c>
      <c r="AB568" s="215" t="s">
        <v>6838</v>
      </c>
      <c r="AC568" s="215" t="s">
        <v>6839</v>
      </c>
      <c r="AD568" s="207" t="s">
        <v>4402</v>
      </c>
      <c r="AE568" s="207" t="s">
        <v>4405</v>
      </c>
      <c r="AF568" s="218" t="s">
        <v>4409</v>
      </c>
      <c r="AG568" s="218" t="s">
        <v>4409</v>
      </c>
      <c r="AH568" s="207" t="s">
        <v>4410</v>
      </c>
      <c r="AI568" s="214" t="s">
        <v>4411</v>
      </c>
      <c r="AJ568" s="207"/>
      <c r="AK568" s="316">
        <v>46086</v>
      </c>
      <c r="AL568" s="316">
        <v>46086</v>
      </c>
      <c r="AM568" s="316">
        <v>46086</v>
      </c>
      <c r="AN568" s="316">
        <v>46086</v>
      </c>
      <c r="AO568" s="316">
        <v>46086</v>
      </c>
      <c r="AP568" s="316">
        <v>46086</v>
      </c>
      <c r="AQ568" s="314"/>
      <c r="AR568" s="315" t="str">
        <f t="shared" si="36"/>
        <v>FINALIZADO</v>
      </c>
      <c r="AS568" s="207"/>
      <c r="AT568" s="219"/>
      <c r="AU568" s="220"/>
      <c r="AV568" s="161"/>
      <c r="AW568" s="219"/>
      <c r="AX568" s="219"/>
      <c r="AY568" s="219"/>
      <c r="AZ568" s="219"/>
      <c r="BA568" s="219"/>
      <c r="BB568" s="219"/>
      <c r="BC568" s="219"/>
      <c r="BD568" s="208"/>
      <c r="BE568" s="203"/>
      <c r="BF568" s="219"/>
      <c r="BG568" s="219"/>
      <c r="BH568" s="321" t="str">
        <f t="shared" si="37"/>
        <v/>
      </c>
      <c r="BI568" s="98" t="str">
        <f t="shared" si="38"/>
        <v>AA</v>
      </c>
      <c r="BJ568" s="98" t="str">
        <f t="shared" si="39"/>
        <v>NÃO</v>
      </c>
      <c r="BK568" s="219"/>
      <c r="BL568" s="221"/>
      <c r="BM568" s="221"/>
      <c r="BN568" s="219"/>
      <c r="BO568" s="219"/>
      <c r="BP568" s="219"/>
      <c r="BQ568" s="219"/>
      <c r="BR568" s="222"/>
    </row>
    <row r="569" spans="1:112" ht="27" hidden="1" customHeight="1">
      <c r="A569" s="197">
        <v>565</v>
      </c>
      <c r="B569" s="197" t="s">
        <v>4396</v>
      </c>
      <c r="C569" s="207" t="s">
        <v>4427</v>
      </c>
      <c r="D569" s="207">
        <v>1</v>
      </c>
      <c r="E569" s="207" t="s">
        <v>4398</v>
      </c>
      <c r="F569" s="214" t="s">
        <v>6840</v>
      </c>
      <c r="G569" s="207" t="s">
        <v>4400</v>
      </c>
      <c r="H569" s="207" t="s">
        <v>4401</v>
      </c>
      <c r="I569" s="217" t="s">
        <v>4402</v>
      </c>
      <c r="J569" s="255" t="s">
        <v>6841</v>
      </c>
      <c r="K569" s="215" t="s">
        <v>6842</v>
      </c>
      <c r="L569" s="215" t="s">
        <v>6843</v>
      </c>
      <c r="M569" s="207" t="s">
        <v>4405</v>
      </c>
      <c r="N569" s="207" t="s">
        <v>4442</v>
      </c>
      <c r="O569" s="202" t="s">
        <v>4409</v>
      </c>
      <c r="P569" s="202" t="s">
        <v>4409</v>
      </c>
      <c r="Q569" s="202" t="s">
        <v>4409</v>
      </c>
      <c r="R569" s="202" t="s">
        <v>4409</v>
      </c>
      <c r="S569" s="202" t="s">
        <v>4409</v>
      </c>
      <c r="T569" s="202" t="s">
        <v>4409</v>
      </c>
      <c r="U569" s="202" t="s">
        <v>4409</v>
      </c>
      <c r="V569" s="202" t="s">
        <v>4409</v>
      </c>
      <c r="W569" s="202" t="s">
        <v>4409</v>
      </c>
      <c r="X569" s="202" t="s">
        <v>4409</v>
      </c>
      <c r="Y569" s="202"/>
      <c r="Z569" s="202"/>
      <c r="AA569" s="215" t="s">
        <v>6841</v>
      </c>
      <c r="AB569" s="215" t="s">
        <v>6842</v>
      </c>
      <c r="AC569" s="215" t="s">
        <v>6843</v>
      </c>
      <c r="AD569" s="207" t="s">
        <v>4402</v>
      </c>
      <c r="AE569" s="207" t="s">
        <v>4405</v>
      </c>
      <c r="AF569" s="218">
        <v>13868.89</v>
      </c>
      <c r="AG569" s="218">
        <f>AF569+30000</f>
        <v>43868.89</v>
      </c>
      <c r="AH569" s="207" t="s">
        <v>4433</v>
      </c>
      <c r="AI569" s="214" t="s">
        <v>4411</v>
      </c>
      <c r="AJ569" s="207">
        <v>150959517</v>
      </c>
      <c r="AK569" s="316">
        <v>46077</v>
      </c>
      <c r="AL569" s="316">
        <v>46077</v>
      </c>
      <c r="AM569" s="316">
        <v>46077</v>
      </c>
      <c r="AN569" s="316">
        <v>46077</v>
      </c>
      <c r="AO569" s="316">
        <v>46077</v>
      </c>
      <c r="AP569" s="316">
        <v>46077</v>
      </c>
      <c r="AQ569" s="314"/>
      <c r="AR569" s="315" t="str">
        <f t="shared" si="36"/>
        <v>FINALIZADO</v>
      </c>
      <c r="AS569" s="207" t="s">
        <v>4423</v>
      </c>
      <c r="AT569" s="207"/>
      <c r="AU569" s="220" t="s">
        <v>6844</v>
      </c>
      <c r="AV569" s="207" t="s">
        <v>4425</v>
      </c>
      <c r="AW569" s="207" t="s">
        <v>4425</v>
      </c>
      <c r="AX569" s="207" t="s">
        <v>4425</v>
      </c>
      <c r="AY569" s="207" t="s">
        <v>4425</v>
      </c>
      <c r="AZ569" s="202">
        <v>46153</v>
      </c>
      <c r="BA569" s="207" t="s">
        <v>4425</v>
      </c>
      <c r="BB569" s="207" t="s">
        <v>4425</v>
      </c>
      <c r="BC569" s="202">
        <v>46182</v>
      </c>
      <c r="BD569" s="227">
        <v>46182</v>
      </c>
      <c r="BE569" s="235" t="s">
        <v>4435</v>
      </c>
      <c r="BF569" s="236" t="s">
        <v>4436</v>
      </c>
      <c r="BG569" s="237" t="s">
        <v>4425</v>
      </c>
      <c r="BH569" s="321">
        <f t="shared" si="37"/>
        <v>105</v>
      </c>
      <c r="BI569" s="98" t="str">
        <f t="shared" si="38"/>
        <v>INDENIZAÇÃO</v>
      </c>
      <c r="BJ569" s="98" t="str">
        <f t="shared" si="39"/>
        <v>NÃO</v>
      </c>
      <c r="BK569" s="238" t="s">
        <v>4437</v>
      </c>
      <c r="BL569" s="238" t="s">
        <v>4437</v>
      </c>
      <c r="BM569" s="238" t="s">
        <v>4437</v>
      </c>
      <c r="BN569" s="273" t="s">
        <v>5732</v>
      </c>
      <c r="BO569" s="265"/>
      <c r="BP569" s="265"/>
      <c r="BQ569" s="265"/>
      <c r="BR569" s="231"/>
      <c r="BS569" s="240"/>
      <c r="BT569" s="240"/>
      <c r="BU569" s="240"/>
      <c r="BV569" s="240"/>
      <c r="BW569" s="240"/>
      <c r="BX569" s="240"/>
      <c r="BY569" s="240"/>
      <c r="BZ569" s="240"/>
      <c r="CA569" s="240"/>
      <c r="CB569" s="240"/>
      <c r="CC569" s="240"/>
      <c r="CD569" s="240"/>
      <c r="CE569" s="240"/>
      <c r="CF569" s="240"/>
      <c r="CG569" s="240"/>
      <c r="CH569" s="240"/>
      <c r="CI569" s="240"/>
      <c r="CJ569" s="240"/>
      <c r="CK569" s="240"/>
      <c r="CL569" s="240"/>
      <c r="CM569" s="240"/>
      <c r="CN569" s="240"/>
      <c r="CO569" s="240"/>
      <c r="CP569" s="240"/>
      <c r="CQ569" s="240"/>
      <c r="CR569" s="240"/>
      <c r="CS569" s="240"/>
      <c r="CT569" s="240"/>
      <c r="CU569" s="240"/>
      <c r="CV569" s="240"/>
      <c r="CW569" s="240"/>
      <c r="CX569" s="240"/>
      <c r="CY569" s="240"/>
      <c r="CZ569" s="240"/>
      <c r="DA569" s="240"/>
      <c r="DB569" s="240"/>
      <c r="DC569" s="240"/>
      <c r="DD569" s="240"/>
      <c r="DE569" s="240"/>
      <c r="DF569" s="240"/>
      <c r="DG569" s="240"/>
      <c r="DH569" s="240"/>
    </row>
    <row r="570" spans="1:112" ht="27" customHeight="1">
      <c r="A570" s="197">
        <v>566</v>
      </c>
      <c r="B570" s="197" t="s">
        <v>4396</v>
      </c>
      <c r="C570" s="207" t="s">
        <v>4413</v>
      </c>
      <c r="D570" s="207">
        <v>1</v>
      </c>
      <c r="E570" s="207" t="s">
        <v>4398</v>
      </c>
      <c r="F570" s="214" t="s">
        <v>6840</v>
      </c>
      <c r="G570" s="207" t="s">
        <v>4400</v>
      </c>
      <c r="H570" s="207" t="s">
        <v>4401</v>
      </c>
      <c r="I570" s="207" t="s">
        <v>4402</v>
      </c>
      <c r="J570" s="215" t="s">
        <v>6845</v>
      </c>
      <c r="K570" s="215" t="s">
        <v>6846</v>
      </c>
      <c r="L570" s="215" t="s">
        <v>6847</v>
      </c>
      <c r="M570" s="207" t="s">
        <v>4405</v>
      </c>
      <c r="N570" s="207" t="s">
        <v>4406</v>
      </c>
      <c r="O570" s="202">
        <v>46126</v>
      </c>
      <c r="P570" s="202" t="s">
        <v>4407</v>
      </c>
      <c r="Q570" s="203">
        <v>46126</v>
      </c>
      <c r="R570" s="203">
        <v>46126</v>
      </c>
      <c r="S570" s="203">
        <v>46136</v>
      </c>
      <c r="T570" s="203">
        <v>46140</v>
      </c>
      <c r="U570" s="203" t="s">
        <v>4408</v>
      </c>
      <c r="V570" s="203" t="s">
        <v>4408</v>
      </c>
      <c r="W570" s="202">
        <v>46153</v>
      </c>
      <c r="X570" s="203">
        <v>46154</v>
      </c>
      <c r="Y570" s="203"/>
      <c r="Z570" s="219"/>
      <c r="AA570" s="215" t="s">
        <v>6845</v>
      </c>
      <c r="AB570" s="215" t="s">
        <v>6846</v>
      </c>
      <c r="AC570" s="215" t="s">
        <v>6847</v>
      </c>
      <c r="AD570" s="207" t="s">
        <v>4402</v>
      </c>
      <c r="AE570" s="207" t="s">
        <v>4405</v>
      </c>
      <c r="AF570" s="218" t="s">
        <v>4409</v>
      </c>
      <c r="AG570" s="218" t="s">
        <v>4409</v>
      </c>
      <c r="AH570" s="207" t="s">
        <v>4410</v>
      </c>
      <c r="AI570" s="214" t="s">
        <v>4411</v>
      </c>
      <c r="AJ570" s="207"/>
      <c r="AK570" s="317">
        <v>46134</v>
      </c>
      <c r="AL570" s="317">
        <v>46134</v>
      </c>
      <c r="AM570" s="317">
        <v>46134</v>
      </c>
      <c r="AN570" s="317">
        <v>46134</v>
      </c>
      <c r="AO570" s="317">
        <v>46134</v>
      </c>
      <c r="AP570" s="317">
        <v>46134</v>
      </c>
      <c r="AQ570" s="314"/>
      <c r="AR570" s="315" t="str">
        <f t="shared" si="36"/>
        <v>FINALIZADO</v>
      </c>
      <c r="AS570" s="207"/>
      <c r="AT570" s="219"/>
      <c r="AU570" s="220"/>
      <c r="AV570" s="219"/>
      <c r="AW570" s="219"/>
      <c r="AX570" s="219"/>
      <c r="AY570" s="219"/>
      <c r="AZ570" s="219"/>
      <c r="BA570" s="219"/>
      <c r="BB570" s="219"/>
      <c r="BC570" s="219"/>
      <c r="BD570" s="208"/>
      <c r="BE570" s="203"/>
      <c r="BF570" s="219"/>
      <c r="BG570" s="219"/>
      <c r="BH570" s="321" t="str">
        <f t="shared" si="37"/>
        <v/>
      </c>
      <c r="BI570" s="98" t="str">
        <f t="shared" si="38"/>
        <v>AA</v>
      </c>
      <c r="BJ570" s="98" t="str">
        <f t="shared" si="39"/>
        <v>NÃO</v>
      </c>
      <c r="BK570" s="219"/>
      <c r="BL570" s="221"/>
      <c r="BM570" s="221"/>
      <c r="BN570" s="219"/>
      <c r="BO570" s="219"/>
      <c r="BP570" s="219"/>
      <c r="BQ570" s="219"/>
      <c r="BR570" s="222"/>
      <c r="BS570" s="240"/>
      <c r="BT570" s="240"/>
      <c r="BU570" s="240"/>
      <c r="BV570" s="240"/>
      <c r="BW570" s="240"/>
      <c r="BX570" s="240"/>
      <c r="BY570" s="240"/>
      <c r="BZ570" s="240"/>
      <c r="CA570" s="240"/>
      <c r="CB570" s="240"/>
      <c r="CC570" s="240"/>
      <c r="CD570" s="240"/>
      <c r="CE570" s="240"/>
      <c r="CF570" s="240"/>
      <c r="CG570" s="240"/>
      <c r="CH570" s="240"/>
      <c r="CI570" s="240"/>
      <c r="CJ570" s="240"/>
      <c r="CK570" s="240"/>
      <c r="CL570" s="240"/>
      <c r="CM570" s="240"/>
      <c r="CN570" s="240"/>
      <c r="CO570" s="240"/>
      <c r="CP570" s="240"/>
      <c r="CQ570" s="240"/>
      <c r="CR570" s="240"/>
      <c r="CS570" s="240"/>
      <c r="CT570" s="240"/>
      <c r="CU570" s="240"/>
      <c r="CV570" s="240"/>
      <c r="CW570" s="240"/>
      <c r="CX570" s="240"/>
      <c r="CY570" s="240"/>
      <c r="CZ570" s="240"/>
      <c r="DA570" s="240"/>
      <c r="DB570" s="240"/>
      <c r="DC570" s="240"/>
      <c r="DD570" s="240"/>
      <c r="DE570" s="240"/>
      <c r="DF570" s="240"/>
      <c r="DG570" s="240"/>
      <c r="DH570" s="240"/>
    </row>
    <row r="571" spans="1:112" ht="27" hidden="1" customHeight="1">
      <c r="A571" s="207">
        <v>567</v>
      </c>
      <c r="B571" s="197" t="s">
        <v>4396</v>
      </c>
      <c r="C571" s="207" t="s">
        <v>4427</v>
      </c>
      <c r="D571" s="207">
        <v>1</v>
      </c>
      <c r="E571" s="207" t="s">
        <v>4398</v>
      </c>
      <c r="F571" s="214" t="s">
        <v>6848</v>
      </c>
      <c r="G571" s="207" t="s">
        <v>4400</v>
      </c>
      <c r="H571" s="207" t="s">
        <v>4401</v>
      </c>
      <c r="I571" s="217" t="s">
        <v>4402</v>
      </c>
      <c r="J571" s="255" t="s">
        <v>6849</v>
      </c>
      <c r="K571" s="215" t="s">
        <v>4440</v>
      </c>
      <c r="L571" s="215" t="s">
        <v>6850</v>
      </c>
      <c r="M571" s="207" t="s">
        <v>4405</v>
      </c>
      <c r="N571" s="207" t="s">
        <v>4406</v>
      </c>
      <c r="O571" s="203">
        <v>46031</v>
      </c>
      <c r="P571" s="202" t="s">
        <v>4407</v>
      </c>
      <c r="Q571" s="203">
        <v>46030</v>
      </c>
      <c r="R571" s="203">
        <v>46031</v>
      </c>
      <c r="S571" s="203">
        <v>46036</v>
      </c>
      <c r="T571" s="203">
        <v>46045</v>
      </c>
      <c r="U571" s="203" t="s">
        <v>4408</v>
      </c>
      <c r="V571" s="203" t="s">
        <v>4408</v>
      </c>
      <c r="W571" s="202">
        <v>46055</v>
      </c>
      <c r="X571" s="202">
        <v>46057</v>
      </c>
      <c r="Y571" s="203"/>
      <c r="Z571" s="219"/>
      <c r="AA571" s="255" t="s">
        <v>6849</v>
      </c>
      <c r="AB571" s="215" t="s">
        <v>4440</v>
      </c>
      <c r="AC571" s="215" t="s">
        <v>6850</v>
      </c>
      <c r="AD571" s="207" t="s">
        <v>4402</v>
      </c>
      <c r="AE571" s="207" t="s">
        <v>4405</v>
      </c>
      <c r="AF571" s="218" t="s">
        <v>4409</v>
      </c>
      <c r="AG571" s="218" t="s">
        <v>4409</v>
      </c>
      <c r="AH571" s="207" t="s">
        <v>4410</v>
      </c>
      <c r="AI571" s="214" t="s">
        <v>4411</v>
      </c>
      <c r="AJ571" s="207"/>
      <c r="AK571" s="317"/>
      <c r="AL571" s="317"/>
      <c r="AM571" s="317"/>
      <c r="AN571" s="317"/>
      <c r="AO571" s="317"/>
      <c r="AP571" s="317"/>
      <c r="AQ571" s="314"/>
      <c r="AR571" s="315" t="str">
        <f t="shared" si="36"/>
        <v/>
      </c>
      <c r="AS571" s="207"/>
      <c r="AT571" s="219"/>
      <c r="AU571" s="220"/>
      <c r="AV571" s="219"/>
      <c r="AW571" s="219"/>
      <c r="AX571" s="219"/>
      <c r="AY571" s="254"/>
      <c r="AZ571" s="219"/>
      <c r="BA571" s="219"/>
      <c r="BB571" s="219"/>
      <c r="BC571" s="219"/>
      <c r="BD571" s="208"/>
      <c r="BE571" s="203"/>
      <c r="BF571" s="219"/>
      <c r="BG571" s="219"/>
      <c r="BH571" s="321" t="str">
        <f t="shared" si="37"/>
        <v/>
      </c>
      <c r="BI571" s="98" t="str">
        <f t="shared" si="38"/>
        <v>AA</v>
      </c>
      <c r="BJ571" s="98" t="str">
        <f t="shared" si="39"/>
        <v>NÃO</v>
      </c>
      <c r="BK571" s="219"/>
      <c r="BL571" s="221"/>
      <c r="BM571" s="221"/>
      <c r="BN571" s="219"/>
      <c r="BO571" s="219"/>
      <c r="BP571" s="219"/>
      <c r="BQ571" s="219"/>
      <c r="BR571" s="222"/>
      <c r="BS571" s="240"/>
      <c r="BT571" s="240"/>
      <c r="BU571" s="240"/>
      <c r="BV571" s="240"/>
      <c r="BW571" s="240"/>
      <c r="BX571" s="240"/>
      <c r="BY571" s="240"/>
      <c r="BZ571" s="240"/>
      <c r="CA571" s="240"/>
      <c r="CB571" s="240"/>
      <c r="CC571" s="240"/>
      <c r="CD571" s="240"/>
      <c r="CE571" s="240"/>
      <c r="CF571" s="240"/>
      <c r="CG571" s="240"/>
      <c r="CH571" s="240"/>
      <c r="CI571" s="240"/>
      <c r="CJ571" s="240"/>
      <c r="CK571" s="240"/>
      <c r="CL571" s="240"/>
      <c r="CM571" s="240"/>
      <c r="CN571" s="240"/>
      <c r="CO571" s="240"/>
      <c r="CP571" s="240"/>
      <c r="CQ571" s="240"/>
      <c r="CR571" s="240"/>
      <c r="CS571" s="240"/>
      <c r="CT571" s="240"/>
      <c r="CU571" s="240"/>
      <c r="CV571" s="240"/>
      <c r="CW571" s="240"/>
      <c r="CX571" s="240"/>
      <c r="CY571" s="240"/>
      <c r="CZ571" s="240"/>
      <c r="DA571" s="240"/>
      <c r="DB571" s="240"/>
      <c r="DC571" s="240"/>
      <c r="DD571" s="240"/>
      <c r="DE571" s="240"/>
      <c r="DF571" s="240"/>
      <c r="DG571" s="240"/>
      <c r="DH571" s="240"/>
    </row>
    <row r="572" spans="1:112" ht="27" customHeight="1">
      <c r="A572" s="207">
        <v>568</v>
      </c>
      <c r="B572" s="197" t="s">
        <v>4396</v>
      </c>
      <c r="C572" s="207" t="s">
        <v>4413</v>
      </c>
      <c r="D572" s="207">
        <v>1</v>
      </c>
      <c r="E572" s="207" t="s">
        <v>4398</v>
      </c>
      <c r="F572" s="214" t="s">
        <v>6848</v>
      </c>
      <c r="G572" s="207" t="s">
        <v>4400</v>
      </c>
      <c r="H572" s="207" t="s">
        <v>4401</v>
      </c>
      <c r="I572" s="217" t="s">
        <v>4402</v>
      </c>
      <c r="J572" s="255" t="s">
        <v>6851</v>
      </c>
      <c r="K572" s="215" t="s">
        <v>6852</v>
      </c>
      <c r="L572" s="215" t="s">
        <v>6853</v>
      </c>
      <c r="M572" s="207" t="s">
        <v>4405</v>
      </c>
      <c r="N572" s="207" t="s">
        <v>4432</v>
      </c>
      <c r="O572" s="203"/>
      <c r="P572" s="202"/>
      <c r="Q572" s="203"/>
      <c r="R572" s="203"/>
      <c r="S572" s="203"/>
      <c r="T572" s="203"/>
      <c r="U572" s="203"/>
      <c r="V572" s="203"/>
      <c r="W572" s="202"/>
      <c r="X572" s="202"/>
      <c r="Y572" s="203"/>
      <c r="Z572" s="219"/>
      <c r="AA572" s="255" t="s">
        <v>6851</v>
      </c>
      <c r="AB572" s="215" t="s">
        <v>6852</v>
      </c>
      <c r="AC572" s="215" t="s">
        <v>6853</v>
      </c>
      <c r="AD572" s="207" t="s">
        <v>4402</v>
      </c>
      <c r="AE572" s="207" t="s">
        <v>4405</v>
      </c>
      <c r="AF572" s="218">
        <v>50226.14</v>
      </c>
      <c r="AG572" s="218">
        <v>60000</v>
      </c>
      <c r="AH572" s="207" t="s">
        <v>4433</v>
      </c>
      <c r="AI572" s="214" t="s">
        <v>4411</v>
      </c>
      <c r="AJ572" s="207">
        <v>160468708</v>
      </c>
      <c r="AK572" s="317">
        <v>46238</v>
      </c>
      <c r="AL572" s="317">
        <v>46238</v>
      </c>
      <c r="AM572" s="317">
        <v>46238</v>
      </c>
      <c r="AN572" s="317">
        <v>46238</v>
      </c>
      <c r="AO572" s="317">
        <v>46238</v>
      </c>
      <c r="AP572" s="317">
        <v>46238</v>
      </c>
      <c r="AQ572" s="314"/>
      <c r="AR572" s="315" t="str">
        <f t="shared" si="36"/>
        <v>FINALIZADO</v>
      </c>
      <c r="AS572" s="207"/>
      <c r="AT572" s="219"/>
      <c r="AU572" s="220"/>
      <c r="AV572" s="219"/>
      <c r="AW572" s="219"/>
      <c r="AX572" s="219"/>
      <c r="AY572" s="254"/>
      <c r="AZ572" s="219"/>
      <c r="BA572" s="219"/>
      <c r="BB572" s="219"/>
      <c r="BC572" s="219"/>
      <c r="BD572" s="208"/>
      <c r="BE572" s="203"/>
      <c r="BF572" s="219"/>
      <c r="BG572" s="219"/>
      <c r="BH572" s="321" t="str">
        <f t="shared" si="37"/>
        <v/>
      </c>
      <c r="BI572" s="98" t="str">
        <f t="shared" si="38"/>
        <v>INDENIZAÇÃO</v>
      </c>
      <c r="BJ572" s="98" t="str">
        <f t="shared" si="39"/>
        <v>NÃO</v>
      </c>
      <c r="BK572" s="219"/>
      <c r="BL572" s="221"/>
      <c r="BM572" s="221"/>
      <c r="BN572" s="219"/>
      <c r="BO572" s="219"/>
      <c r="BP572" s="219"/>
      <c r="BQ572" s="219"/>
      <c r="BR572" s="222"/>
      <c r="BS572" s="240"/>
      <c r="BT572" s="240"/>
      <c r="BU572" s="240"/>
      <c r="BV572" s="240"/>
      <c r="BW572" s="240"/>
      <c r="BX572" s="240"/>
      <c r="BY572" s="240"/>
      <c r="BZ572" s="240"/>
      <c r="CA572" s="240"/>
      <c r="CB572" s="240"/>
      <c r="CC572" s="240"/>
      <c r="CD572" s="240"/>
      <c r="CE572" s="240"/>
      <c r="CF572" s="240"/>
      <c r="CG572" s="240"/>
      <c r="CH572" s="240"/>
      <c r="CI572" s="240"/>
      <c r="CJ572" s="240"/>
      <c r="CK572" s="240"/>
      <c r="CL572" s="240"/>
      <c r="CM572" s="240"/>
      <c r="CN572" s="240"/>
      <c r="CO572" s="240"/>
      <c r="CP572" s="240"/>
      <c r="CQ572" s="240"/>
      <c r="CR572" s="240"/>
      <c r="CS572" s="240"/>
      <c r="CT572" s="240"/>
      <c r="CU572" s="240"/>
      <c r="CV572" s="240"/>
      <c r="CW572" s="240"/>
      <c r="CX572" s="240"/>
      <c r="CY572" s="240"/>
      <c r="CZ572" s="240"/>
      <c r="DA572" s="240"/>
      <c r="DB572" s="240"/>
      <c r="DC572" s="240"/>
      <c r="DD572" s="240"/>
      <c r="DE572" s="240"/>
      <c r="DF572" s="240"/>
      <c r="DG572" s="240"/>
      <c r="DH572" s="240"/>
    </row>
    <row r="573" spans="1:112" ht="27" hidden="1" customHeight="1">
      <c r="A573" s="207">
        <v>569</v>
      </c>
      <c r="B573" s="197" t="s">
        <v>4396</v>
      </c>
      <c r="C573" s="207" t="s">
        <v>4427</v>
      </c>
      <c r="D573" s="207">
        <v>1</v>
      </c>
      <c r="E573" s="207" t="s">
        <v>4398</v>
      </c>
      <c r="F573" s="214" t="s">
        <v>6854</v>
      </c>
      <c r="G573" s="207" t="s">
        <v>4400</v>
      </c>
      <c r="H573" s="207" t="s">
        <v>4401</v>
      </c>
      <c r="I573" s="217" t="s">
        <v>4402</v>
      </c>
      <c r="J573" s="215" t="s">
        <v>6855</v>
      </c>
      <c r="K573" s="215" t="s">
        <v>6856</v>
      </c>
      <c r="L573" s="215" t="s">
        <v>6857</v>
      </c>
      <c r="M573" s="207" t="s">
        <v>4405</v>
      </c>
      <c r="N573" s="207" t="s">
        <v>4442</v>
      </c>
      <c r="O573" s="202" t="s">
        <v>4409</v>
      </c>
      <c r="P573" s="202" t="s">
        <v>4409</v>
      </c>
      <c r="Q573" s="202" t="s">
        <v>4409</v>
      </c>
      <c r="R573" s="202" t="s">
        <v>4409</v>
      </c>
      <c r="S573" s="202" t="s">
        <v>4409</v>
      </c>
      <c r="T573" s="202" t="s">
        <v>4409</v>
      </c>
      <c r="U573" s="202" t="s">
        <v>4409</v>
      </c>
      <c r="V573" s="202" t="s">
        <v>4409</v>
      </c>
      <c r="W573" s="202" t="s">
        <v>4409</v>
      </c>
      <c r="X573" s="202" t="s">
        <v>4409</v>
      </c>
      <c r="Y573" s="202"/>
      <c r="Z573" s="202"/>
      <c r="AA573" s="215" t="s">
        <v>6855</v>
      </c>
      <c r="AB573" s="215" t="s">
        <v>6856</v>
      </c>
      <c r="AC573" s="215" t="s">
        <v>6857</v>
      </c>
      <c r="AD573" s="207" t="s">
        <v>4402</v>
      </c>
      <c r="AE573" s="207" t="s">
        <v>4405</v>
      </c>
      <c r="AF573" s="218">
        <v>26148.19</v>
      </c>
      <c r="AG573" s="218">
        <v>56148.19</v>
      </c>
      <c r="AH573" s="207" t="s">
        <v>4433</v>
      </c>
      <c r="AI573" s="214" t="s">
        <v>4411</v>
      </c>
      <c r="AJ573" s="207">
        <v>150959625</v>
      </c>
      <c r="AK573" s="317">
        <v>46076</v>
      </c>
      <c r="AL573" s="317">
        <v>46076</v>
      </c>
      <c r="AM573" s="317">
        <v>46076</v>
      </c>
      <c r="AN573" s="317">
        <v>46076</v>
      </c>
      <c r="AO573" s="317">
        <v>46076</v>
      </c>
      <c r="AP573" s="317">
        <v>46076</v>
      </c>
      <c r="AQ573" s="314"/>
      <c r="AR573" s="315" t="str">
        <f t="shared" si="36"/>
        <v>FINALIZADO</v>
      </c>
      <c r="AS573" s="207" t="s">
        <v>4423</v>
      </c>
      <c r="AT573" s="219"/>
      <c r="AU573" s="220" t="s">
        <v>6858</v>
      </c>
      <c r="AV573" s="207" t="s">
        <v>4425</v>
      </c>
      <c r="AW573" s="207" t="s">
        <v>4425</v>
      </c>
      <c r="AX573" s="207" t="s">
        <v>4425</v>
      </c>
      <c r="AY573" s="207" t="s">
        <v>4425</v>
      </c>
      <c r="AZ573" s="202">
        <v>46118</v>
      </c>
      <c r="BA573" s="207" t="s">
        <v>4425</v>
      </c>
      <c r="BB573" s="207" t="s">
        <v>4425</v>
      </c>
      <c r="BC573" s="202">
        <v>46126</v>
      </c>
      <c r="BD573" s="227">
        <v>46126</v>
      </c>
      <c r="BE573" s="227" t="s">
        <v>4435</v>
      </c>
      <c r="BF573" s="228" t="s">
        <v>4436</v>
      </c>
      <c r="BG573" s="229" t="s">
        <v>4425</v>
      </c>
      <c r="BH573" s="321">
        <f t="shared" si="37"/>
        <v>50</v>
      </c>
      <c r="BI573" s="98" t="str">
        <f t="shared" si="38"/>
        <v>INDENIZAÇÃO</v>
      </c>
      <c r="BJ573" s="98" t="str">
        <f t="shared" si="39"/>
        <v>NÃO</v>
      </c>
      <c r="BK573" s="219" t="s">
        <v>4437</v>
      </c>
      <c r="BL573" s="219" t="s">
        <v>4437</v>
      </c>
      <c r="BM573" s="219" t="s">
        <v>4437</v>
      </c>
      <c r="BN573" s="257" t="s">
        <v>5732</v>
      </c>
      <c r="BO573" s="257"/>
      <c r="BP573" s="257"/>
      <c r="BQ573" s="257"/>
      <c r="BR573" s="258"/>
    </row>
    <row r="574" spans="1:112" ht="27" customHeight="1">
      <c r="A574" s="197">
        <v>570</v>
      </c>
      <c r="B574" s="197" t="s">
        <v>4396</v>
      </c>
      <c r="C574" s="207" t="s">
        <v>4413</v>
      </c>
      <c r="D574" s="207">
        <v>1</v>
      </c>
      <c r="E574" s="250" t="s">
        <v>4398</v>
      </c>
      <c r="F574" s="214" t="s">
        <v>6854</v>
      </c>
      <c r="G574" s="207" t="s">
        <v>4400</v>
      </c>
      <c r="H574" s="207" t="s">
        <v>4401</v>
      </c>
      <c r="I574" s="217" t="s">
        <v>4402</v>
      </c>
      <c r="J574" s="215" t="s">
        <v>6859</v>
      </c>
      <c r="K574" s="215" t="s">
        <v>6860</v>
      </c>
      <c r="L574" s="215" t="s">
        <v>6861</v>
      </c>
      <c r="M574" s="207" t="s">
        <v>4405</v>
      </c>
      <c r="N574" s="207" t="s">
        <v>4442</v>
      </c>
      <c r="O574" s="202" t="s">
        <v>4409</v>
      </c>
      <c r="P574" s="202" t="s">
        <v>4409</v>
      </c>
      <c r="Q574" s="202" t="s">
        <v>4409</v>
      </c>
      <c r="R574" s="202" t="s">
        <v>4409</v>
      </c>
      <c r="S574" s="202" t="s">
        <v>4409</v>
      </c>
      <c r="T574" s="202" t="s">
        <v>4409</v>
      </c>
      <c r="U574" s="202" t="s">
        <v>4409</v>
      </c>
      <c r="V574" s="202" t="s">
        <v>4409</v>
      </c>
      <c r="W574" s="202" t="s">
        <v>4409</v>
      </c>
      <c r="X574" s="202" t="s">
        <v>4409</v>
      </c>
      <c r="Y574" s="202" t="s">
        <v>4409</v>
      </c>
      <c r="Z574" s="202"/>
      <c r="AA574" s="215" t="s">
        <v>6859</v>
      </c>
      <c r="AB574" s="215" t="s">
        <v>6860</v>
      </c>
      <c r="AC574" s="215" t="s">
        <v>6861</v>
      </c>
      <c r="AD574" s="207" t="s">
        <v>4402</v>
      </c>
      <c r="AE574" s="207" t="s">
        <v>4405</v>
      </c>
      <c r="AF574" s="218">
        <v>104927.75</v>
      </c>
      <c r="AG574" s="218">
        <v>104927.75</v>
      </c>
      <c r="AH574" s="207" t="s">
        <v>4433</v>
      </c>
      <c r="AI574" s="214" t="s">
        <v>4411</v>
      </c>
      <c r="AJ574" s="207">
        <v>160469000</v>
      </c>
      <c r="AK574" s="317">
        <v>46219</v>
      </c>
      <c r="AL574" s="317">
        <v>46219</v>
      </c>
      <c r="AM574" s="317">
        <v>46219</v>
      </c>
      <c r="AN574" s="317">
        <v>46219</v>
      </c>
      <c r="AO574" s="317">
        <v>46219</v>
      </c>
      <c r="AP574" s="317">
        <v>46219</v>
      </c>
      <c r="AQ574" s="314"/>
      <c r="AR574" s="315" t="str">
        <f t="shared" si="36"/>
        <v>FINALIZADO</v>
      </c>
      <c r="AS574" s="207" t="s">
        <v>4423</v>
      </c>
      <c r="AT574" s="219"/>
      <c r="AU574" s="220" t="s">
        <v>6862</v>
      </c>
      <c r="AV574" s="219" t="s">
        <v>4425</v>
      </c>
      <c r="AW574" s="207" t="s">
        <v>4425</v>
      </c>
      <c r="AX574" s="257" t="s">
        <v>4828</v>
      </c>
      <c r="AY574" s="228"/>
      <c r="AZ574" s="227"/>
      <c r="BA574" s="228"/>
      <c r="BB574" s="228"/>
      <c r="BC574" s="227"/>
      <c r="BD574" s="227"/>
      <c r="BE574" s="227"/>
      <c r="BF574" s="228" t="s">
        <v>4400</v>
      </c>
      <c r="BG574" s="229"/>
      <c r="BH574" s="321" t="str">
        <f t="shared" si="37"/>
        <v/>
      </c>
      <c r="BI574" s="98" t="str">
        <f t="shared" si="38"/>
        <v>INDENIZAÇÃO</v>
      </c>
      <c r="BJ574" s="98" t="str">
        <f t="shared" si="39"/>
        <v>NÃO</v>
      </c>
      <c r="BK574" s="219"/>
      <c r="BL574" s="219"/>
      <c r="BM574" s="219"/>
      <c r="BN574" s="257"/>
      <c r="BO574" s="257"/>
      <c r="BP574" s="257"/>
      <c r="BQ574" s="257"/>
      <c r="BR574" s="258"/>
    </row>
    <row r="575" spans="1:112" ht="27" hidden="1" customHeight="1">
      <c r="A575" s="197">
        <v>571</v>
      </c>
      <c r="B575" s="197" t="s">
        <v>4396</v>
      </c>
      <c r="C575" s="207" t="s">
        <v>4427</v>
      </c>
      <c r="D575" s="207">
        <v>1</v>
      </c>
      <c r="E575" s="207" t="s">
        <v>4398</v>
      </c>
      <c r="F575" s="214" t="s">
        <v>6863</v>
      </c>
      <c r="G575" s="207" t="s">
        <v>4400</v>
      </c>
      <c r="H575" s="207" t="s">
        <v>4401</v>
      </c>
      <c r="I575" s="217" t="s">
        <v>4402</v>
      </c>
      <c r="J575" s="215" t="s">
        <v>6864</v>
      </c>
      <c r="K575" s="215" t="s">
        <v>6865</v>
      </c>
      <c r="L575" s="215" t="s">
        <v>6866</v>
      </c>
      <c r="M575" s="207" t="s">
        <v>4405</v>
      </c>
      <c r="N575" s="207" t="s">
        <v>4406</v>
      </c>
      <c r="O575" s="202">
        <v>46002</v>
      </c>
      <c r="P575" s="202" t="s">
        <v>4407</v>
      </c>
      <c r="Q575" s="202">
        <v>45999</v>
      </c>
      <c r="R575" s="202">
        <v>46006</v>
      </c>
      <c r="S575" s="202">
        <v>46006</v>
      </c>
      <c r="T575" s="202">
        <v>46009</v>
      </c>
      <c r="U575" s="202" t="s">
        <v>4408</v>
      </c>
      <c r="V575" s="202" t="s">
        <v>4408</v>
      </c>
      <c r="W575" s="202">
        <v>46014</v>
      </c>
      <c r="X575" s="202">
        <v>46020</v>
      </c>
      <c r="Y575" s="202"/>
      <c r="Z575" s="207"/>
      <c r="AA575" s="215" t="s">
        <v>6864</v>
      </c>
      <c r="AB575" s="215" t="s">
        <v>6865</v>
      </c>
      <c r="AC575" s="215" t="s">
        <v>6866</v>
      </c>
      <c r="AD575" s="207" t="s">
        <v>4402</v>
      </c>
      <c r="AE575" s="207" t="s">
        <v>4405</v>
      </c>
      <c r="AF575" s="218" t="s">
        <v>4409</v>
      </c>
      <c r="AG575" s="218" t="s">
        <v>4409</v>
      </c>
      <c r="AH575" s="207" t="s">
        <v>4410</v>
      </c>
      <c r="AI575" s="214" t="s">
        <v>4411</v>
      </c>
      <c r="AJ575" s="207"/>
      <c r="AK575" s="316">
        <v>45996</v>
      </c>
      <c r="AL575" s="316">
        <v>45996</v>
      </c>
      <c r="AM575" s="316">
        <v>45996</v>
      </c>
      <c r="AN575" s="316">
        <v>45996</v>
      </c>
      <c r="AO575" s="316">
        <v>45996</v>
      </c>
      <c r="AP575" s="316">
        <v>45996</v>
      </c>
      <c r="AQ575" s="314"/>
      <c r="AR575" s="315" t="str">
        <f t="shared" si="36"/>
        <v>FINALIZADO</v>
      </c>
      <c r="AS575" s="207"/>
      <c r="AT575" s="207"/>
      <c r="AU575" s="225"/>
      <c r="AV575" s="207"/>
      <c r="AW575" s="207"/>
      <c r="AX575" s="207"/>
      <c r="AY575" s="207"/>
      <c r="AZ575" s="202"/>
      <c r="BA575" s="219"/>
      <c r="BB575" s="207"/>
      <c r="BC575" s="202"/>
      <c r="BD575" s="208"/>
      <c r="BE575" s="202"/>
      <c r="BF575" s="207"/>
      <c r="BG575" s="229"/>
      <c r="BH575" s="321" t="str">
        <f t="shared" si="37"/>
        <v/>
      </c>
      <c r="BI575" s="98" t="str">
        <f t="shared" si="38"/>
        <v>AA</v>
      </c>
      <c r="BJ575" s="98" t="str">
        <f t="shared" si="39"/>
        <v>NÃO</v>
      </c>
      <c r="BK575" s="230"/>
      <c r="BL575" s="230"/>
      <c r="BM575" s="230"/>
      <c r="BN575" s="230"/>
      <c r="BO575" s="230"/>
      <c r="BP575" s="230"/>
      <c r="BQ575" s="230"/>
      <c r="BR575" s="234"/>
      <c r="BS575" s="240"/>
      <c r="BT575" s="240"/>
      <c r="BU575" s="240"/>
      <c r="BV575" s="240"/>
      <c r="BW575" s="240"/>
      <c r="BX575" s="240"/>
      <c r="BY575" s="240"/>
      <c r="BZ575" s="240"/>
      <c r="CA575" s="240"/>
      <c r="CB575" s="240"/>
      <c r="CC575" s="240"/>
      <c r="CD575" s="240"/>
      <c r="CE575" s="240"/>
      <c r="CF575" s="240"/>
      <c r="CG575" s="240"/>
      <c r="CH575" s="240"/>
      <c r="CI575" s="240"/>
      <c r="CJ575" s="240"/>
      <c r="CK575" s="240"/>
      <c r="CL575" s="240"/>
      <c r="CM575" s="240"/>
      <c r="CN575" s="240"/>
      <c r="CO575" s="240"/>
      <c r="CP575" s="240"/>
      <c r="CQ575" s="240"/>
      <c r="CR575" s="240"/>
      <c r="CS575" s="240"/>
      <c r="CT575" s="240"/>
      <c r="CU575" s="240"/>
      <c r="CV575" s="240"/>
      <c r="CW575" s="240"/>
      <c r="CX575" s="240"/>
      <c r="CY575" s="240"/>
      <c r="CZ575" s="240"/>
      <c r="DA575" s="240"/>
      <c r="DB575" s="240"/>
      <c r="DC575" s="240"/>
      <c r="DD575" s="240"/>
      <c r="DE575" s="240"/>
      <c r="DF575" s="240"/>
      <c r="DG575" s="240"/>
      <c r="DH575" s="240"/>
    </row>
    <row r="576" spans="1:112" ht="27" hidden="1" customHeight="1">
      <c r="A576" s="207">
        <v>572</v>
      </c>
      <c r="B576" s="197" t="s">
        <v>4396</v>
      </c>
      <c r="C576" s="207" t="s">
        <v>4427</v>
      </c>
      <c r="D576" s="207">
        <v>1</v>
      </c>
      <c r="E576" s="207" t="s">
        <v>4398</v>
      </c>
      <c r="F576" s="214" t="s">
        <v>6867</v>
      </c>
      <c r="G576" s="207" t="s">
        <v>4400</v>
      </c>
      <c r="H576" s="207" t="s">
        <v>4401</v>
      </c>
      <c r="I576" s="217" t="s">
        <v>4402</v>
      </c>
      <c r="J576" s="215" t="s">
        <v>6868</v>
      </c>
      <c r="K576" s="215" t="s">
        <v>6869</v>
      </c>
      <c r="L576" s="215" t="s">
        <v>6870</v>
      </c>
      <c r="M576" s="207" t="s">
        <v>4405</v>
      </c>
      <c r="N576" s="207" t="s">
        <v>4406</v>
      </c>
      <c r="O576" s="202">
        <v>46176</v>
      </c>
      <c r="P576" s="202" t="s">
        <v>4407</v>
      </c>
      <c r="Q576" s="202">
        <v>46174</v>
      </c>
      <c r="R576" s="202">
        <v>46176</v>
      </c>
      <c r="S576" s="202">
        <v>46202</v>
      </c>
      <c r="T576" s="202">
        <v>46204</v>
      </c>
      <c r="U576" s="202" t="s">
        <v>4408</v>
      </c>
      <c r="V576" s="202" t="s">
        <v>4408</v>
      </c>
      <c r="W576" s="202">
        <v>46223</v>
      </c>
      <c r="X576" s="202"/>
      <c r="Y576" s="202"/>
      <c r="Z576" s="207"/>
      <c r="AA576" s="215"/>
      <c r="AB576" s="215"/>
      <c r="AC576" s="215"/>
      <c r="AD576" s="207"/>
      <c r="AE576" s="207"/>
      <c r="AF576" s="218"/>
      <c r="AG576" s="218"/>
      <c r="AH576" s="207"/>
      <c r="AI576" s="214" t="s">
        <v>4411</v>
      </c>
      <c r="AJ576" s="207"/>
      <c r="AK576" s="316"/>
      <c r="AL576" s="316"/>
      <c r="AM576" s="316"/>
      <c r="AN576" s="316"/>
      <c r="AO576" s="316"/>
      <c r="AP576" s="316"/>
      <c r="AQ576" s="314"/>
      <c r="AR576" s="315" t="str">
        <f t="shared" si="36"/>
        <v/>
      </c>
      <c r="AS576" s="207"/>
      <c r="AT576" s="207"/>
      <c r="AU576" s="225"/>
      <c r="AV576" s="207"/>
      <c r="AW576" s="207"/>
      <c r="AX576" s="207"/>
      <c r="AY576" s="207"/>
      <c r="AZ576" s="202"/>
      <c r="BA576" s="219"/>
      <c r="BB576" s="207"/>
      <c r="BC576" s="202"/>
      <c r="BD576" s="208"/>
      <c r="BE576" s="202"/>
      <c r="BF576" s="207"/>
      <c r="BG576" s="229"/>
      <c r="BH576" s="321" t="str">
        <f t="shared" si="37"/>
        <v/>
      </c>
      <c r="BI576" s="98" t="str">
        <f t="shared" si="38"/>
        <v>INDENIZAÇÃO</v>
      </c>
      <c r="BJ576" s="98" t="str">
        <f t="shared" si="39"/>
        <v>NÃO</v>
      </c>
      <c r="BK576" s="230"/>
      <c r="BL576" s="230"/>
      <c r="BM576" s="230"/>
      <c r="BN576" s="230"/>
      <c r="BO576" s="230"/>
      <c r="BP576" s="230"/>
      <c r="BQ576" s="230"/>
      <c r="BR576" s="234"/>
      <c r="BS576" s="240"/>
      <c r="BT576" s="240"/>
      <c r="BU576" s="240"/>
      <c r="BV576" s="240"/>
      <c r="BW576" s="240"/>
      <c r="BX576" s="240"/>
      <c r="BY576" s="240"/>
      <c r="BZ576" s="240"/>
      <c r="CA576" s="240"/>
      <c r="CB576" s="240"/>
      <c r="CC576" s="240"/>
      <c r="CD576" s="240"/>
      <c r="CE576" s="240"/>
      <c r="CF576" s="240"/>
      <c r="CG576" s="240"/>
      <c r="CH576" s="240"/>
      <c r="CI576" s="240"/>
      <c r="CJ576" s="240"/>
      <c r="CK576" s="240"/>
      <c r="CL576" s="240"/>
      <c r="CM576" s="240"/>
      <c r="CN576" s="240"/>
      <c r="CO576" s="240"/>
      <c r="CP576" s="240"/>
      <c r="CQ576" s="240"/>
      <c r="CR576" s="240"/>
      <c r="CS576" s="240"/>
      <c r="CT576" s="240"/>
      <c r="CU576" s="240"/>
      <c r="CV576" s="240"/>
      <c r="CW576" s="240"/>
      <c r="CX576" s="240"/>
      <c r="CY576" s="240"/>
      <c r="CZ576" s="240"/>
      <c r="DA576" s="240"/>
      <c r="DB576" s="240"/>
      <c r="DC576" s="240"/>
      <c r="DD576" s="240"/>
      <c r="DE576" s="240"/>
      <c r="DF576" s="240"/>
      <c r="DG576" s="240"/>
      <c r="DH576" s="240"/>
    </row>
    <row r="577" spans="1:112" ht="27" hidden="1" customHeight="1">
      <c r="A577" s="207">
        <v>573</v>
      </c>
      <c r="B577" s="197" t="s">
        <v>4396</v>
      </c>
      <c r="C577" s="207" t="s">
        <v>4427</v>
      </c>
      <c r="D577" s="207">
        <v>1</v>
      </c>
      <c r="E577" s="207" t="s">
        <v>4398</v>
      </c>
      <c r="F577" s="214" t="s">
        <v>6871</v>
      </c>
      <c r="G577" s="207" t="s">
        <v>4400</v>
      </c>
      <c r="H577" s="207" t="s">
        <v>4401</v>
      </c>
      <c r="I577" s="217" t="s">
        <v>4402</v>
      </c>
      <c r="J577" s="215" t="s">
        <v>6872</v>
      </c>
      <c r="K577" s="215" t="s">
        <v>6873</v>
      </c>
      <c r="L577" s="215" t="s">
        <v>6874</v>
      </c>
      <c r="M577" s="207" t="s">
        <v>4405</v>
      </c>
      <c r="N577" s="207" t="s">
        <v>4406</v>
      </c>
      <c r="O577" s="202">
        <v>45986</v>
      </c>
      <c r="P577" s="203" t="s">
        <v>4407</v>
      </c>
      <c r="Q577" s="203">
        <v>45985</v>
      </c>
      <c r="R577" s="203">
        <v>45986</v>
      </c>
      <c r="S577" s="203">
        <v>45987</v>
      </c>
      <c r="T577" s="203">
        <v>45992</v>
      </c>
      <c r="U577" s="202" t="s">
        <v>4408</v>
      </c>
      <c r="V577" s="202" t="s">
        <v>4408</v>
      </c>
      <c r="W577" s="202">
        <v>45999</v>
      </c>
      <c r="X577" s="202">
        <v>46000</v>
      </c>
      <c r="Y577" s="202"/>
      <c r="Z577" s="207"/>
      <c r="AA577" s="215" t="s">
        <v>6872</v>
      </c>
      <c r="AB577" s="215" t="s">
        <v>6873</v>
      </c>
      <c r="AC577" s="215" t="s">
        <v>6874</v>
      </c>
      <c r="AD577" s="207" t="s">
        <v>4402</v>
      </c>
      <c r="AE577" s="207" t="s">
        <v>4405</v>
      </c>
      <c r="AF577" s="218" t="s">
        <v>4409</v>
      </c>
      <c r="AG577" s="218" t="s">
        <v>4409</v>
      </c>
      <c r="AH577" s="241" t="s">
        <v>4410</v>
      </c>
      <c r="AI577" s="214" t="s">
        <v>4411</v>
      </c>
      <c r="AJ577" s="207"/>
      <c r="AK577" s="316">
        <v>45980</v>
      </c>
      <c r="AL577" s="316">
        <v>45980</v>
      </c>
      <c r="AM577" s="316">
        <v>45980</v>
      </c>
      <c r="AN577" s="316">
        <v>45980</v>
      </c>
      <c r="AO577" s="316">
        <v>45980</v>
      </c>
      <c r="AP577" s="316">
        <v>45980</v>
      </c>
      <c r="AQ577" s="314"/>
      <c r="AR577" s="315" t="str">
        <f t="shared" si="36"/>
        <v>FINALIZADO</v>
      </c>
      <c r="AS577" s="207"/>
      <c r="AT577" s="207"/>
      <c r="AU577" s="225"/>
      <c r="AV577" s="207"/>
      <c r="AW577" s="207"/>
      <c r="AX577" s="207" t="s">
        <v>4409</v>
      </c>
      <c r="AY577" s="207" t="s">
        <v>4409</v>
      </c>
      <c r="AZ577" s="207" t="s">
        <v>4409</v>
      </c>
      <c r="BA577" s="207" t="s">
        <v>4409</v>
      </c>
      <c r="BB577" s="207"/>
      <c r="BC577" s="202"/>
      <c r="BD577" s="208"/>
      <c r="BE577" s="202"/>
      <c r="BF577" s="207"/>
      <c r="BG577" s="229"/>
      <c r="BH577" s="321" t="str">
        <f t="shared" si="37"/>
        <v/>
      </c>
      <c r="BI577" s="98" t="str">
        <f t="shared" si="38"/>
        <v>AA</v>
      </c>
      <c r="BJ577" s="98" t="str">
        <f t="shared" si="39"/>
        <v>NÃO</v>
      </c>
      <c r="BK577" s="230"/>
      <c r="BL577" s="230"/>
      <c r="BM577" s="230"/>
      <c r="BN577" s="230"/>
      <c r="BO577" s="230"/>
      <c r="BP577" s="230"/>
      <c r="BQ577" s="230"/>
      <c r="BR577" s="234"/>
      <c r="BS577" s="240"/>
      <c r="BT577" s="240"/>
      <c r="BU577" s="240"/>
      <c r="BV577" s="240"/>
      <c r="BW577" s="240"/>
      <c r="BX577" s="240"/>
      <c r="BY577" s="240"/>
      <c r="BZ577" s="240"/>
      <c r="CA577" s="240"/>
      <c r="CB577" s="240"/>
      <c r="CC577" s="240"/>
      <c r="CD577" s="240"/>
      <c r="CE577" s="240"/>
      <c r="CF577" s="240"/>
      <c r="CG577" s="240"/>
      <c r="CH577" s="240"/>
      <c r="CI577" s="240"/>
      <c r="CJ577" s="240"/>
      <c r="CK577" s="240"/>
      <c r="CL577" s="240"/>
      <c r="CM577" s="240"/>
      <c r="CN577" s="240"/>
      <c r="CO577" s="240"/>
      <c r="CP577" s="240"/>
      <c r="CQ577" s="240"/>
      <c r="CR577" s="240"/>
      <c r="CS577" s="240"/>
      <c r="CT577" s="240"/>
      <c r="CU577" s="240"/>
      <c r="CV577" s="240"/>
      <c r="CW577" s="240"/>
      <c r="CX577" s="240"/>
      <c r="CY577" s="240"/>
      <c r="CZ577" s="240"/>
      <c r="DA577" s="240"/>
      <c r="DB577" s="240"/>
      <c r="DC577" s="240"/>
      <c r="DD577" s="240"/>
      <c r="DE577" s="240"/>
      <c r="DF577" s="240"/>
      <c r="DG577" s="240"/>
      <c r="DH577" s="240"/>
    </row>
    <row r="578" spans="1:112" ht="27" hidden="1" customHeight="1">
      <c r="A578" s="207">
        <v>574</v>
      </c>
      <c r="B578" s="197" t="s">
        <v>4396</v>
      </c>
      <c r="C578" s="207" t="s">
        <v>4427</v>
      </c>
      <c r="D578" s="207">
        <v>1</v>
      </c>
      <c r="E578" s="207" t="s">
        <v>4398</v>
      </c>
      <c r="F578" s="214" t="s">
        <v>6875</v>
      </c>
      <c r="G578" s="207" t="s">
        <v>4400</v>
      </c>
      <c r="H578" s="207" t="s">
        <v>4401</v>
      </c>
      <c r="I578" s="217" t="s">
        <v>4402</v>
      </c>
      <c r="J578" s="242" t="s">
        <v>6876</v>
      </c>
      <c r="K578" s="215" t="s">
        <v>6877</v>
      </c>
      <c r="L578" s="215" t="s">
        <v>6878</v>
      </c>
      <c r="M578" s="207" t="s">
        <v>4405</v>
      </c>
      <c r="N578" s="207" t="s">
        <v>4406</v>
      </c>
      <c r="O578" s="202">
        <v>45986</v>
      </c>
      <c r="P578" s="203" t="s">
        <v>4407</v>
      </c>
      <c r="Q578" s="203">
        <v>45985</v>
      </c>
      <c r="R578" s="203">
        <v>45986</v>
      </c>
      <c r="S578" s="203">
        <v>45987</v>
      </c>
      <c r="T578" s="203">
        <v>45992</v>
      </c>
      <c r="U578" s="202" t="s">
        <v>4408</v>
      </c>
      <c r="V578" s="202" t="s">
        <v>4408</v>
      </c>
      <c r="W578" s="202">
        <v>45999</v>
      </c>
      <c r="X578" s="202">
        <v>46000</v>
      </c>
      <c r="Y578" s="202"/>
      <c r="Z578" s="207"/>
      <c r="AA578" s="242" t="s">
        <v>6876</v>
      </c>
      <c r="AB578" s="215" t="s">
        <v>6877</v>
      </c>
      <c r="AC578" s="215" t="s">
        <v>6878</v>
      </c>
      <c r="AD578" s="207" t="s">
        <v>4402</v>
      </c>
      <c r="AE578" s="207" t="s">
        <v>4405</v>
      </c>
      <c r="AF578" s="218" t="s">
        <v>4409</v>
      </c>
      <c r="AG578" s="218" t="s">
        <v>4409</v>
      </c>
      <c r="AH578" s="204" t="s">
        <v>4410</v>
      </c>
      <c r="AI578" s="214" t="s">
        <v>4411</v>
      </c>
      <c r="AJ578" s="207"/>
      <c r="AK578" s="316">
        <v>45980</v>
      </c>
      <c r="AL578" s="316">
        <v>45980</v>
      </c>
      <c r="AM578" s="316">
        <v>45980</v>
      </c>
      <c r="AN578" s="316">
        <v>45980</v>
      </c>
      <c r="AO578" s="316">
        <v>45980</v>
      </c>
      <c r="AP578" s="316">
        <v>45980</v>
      </c>
      <c r="AQ578" s="314"/>
      <c r="AR578" s="315" t="str">
        <f t="shared" si="36"/>
        <v>FINALIZADO</v>
      </c>
      <c r="AS578" s="207"/>
      <c r="AT578" s="207"/>
      <c r="AU578" s="225"/>
      <c r="AV578" s="207"/>
      <c r="AW578" s="207"/>
      <c r="AX578" s="207" t="s">
        <v>4409</v>
      </c>
      <c r="AY578" s="207" t="s">
        <v>4409</v>
      </c>
      <c r="AZ578" s="207" t="s">
        <v>4409</v>
      </c>
      <c r="BA578" s="207" t="s">
        <v>4409</v>
      </c>
      <c r="BB578" s="207"/>
      <c r="BC578" s="202"/>
      <c r="BD578" s="208"/>
      <c r="BE578" s="202"/>
      <c r="BF578" s="207"/>
      <c r="BG578" s="229"/>
      <c r="BH578" s="321" t="str">
        <f t="shared" si="37"/>
        <v/>
      </c>
      <c r="BI578" s="98" t="str">
        <f t="shared" si="38"/>
        <v>AA</v>
      </c>
      <c r="BJ578" s="98" t="str">
        <f t="shared" si="39"/>
        <v>NÃO</v>
      </c>
      <c r="BK578" s="230"/>
      <c r="BL578" s="230"/>
      <c r="BM578" s="230"/>
      <c r="BN578" s="230"/>
      <c r="BO578" s="230"/>
      <c r="BP578" s="230"/>
      <c r="BQ578" s="230"/>
      <c r="BR578" s="234"/>
      <c r="BS578" s="240"/>
      <c r="BT578" s="240"/>
      <c r="BU578" s="240"/>
      <c r="BV578" s="240"/>
      <c r="BW578" s="240"/>
      <c r="BX578" s="240"/>
      <c r="BY578" s="240"/>
      <c r="BZ578" s="240"/>
      <c r="CA578" s="240"/>
      <c r="CB578" s="240"/>
      <c r="CC578" s="240"/>
      <c r="CD578" s="240"/>
      <c r="CE578" s="240"/>
      <c r="CF578" s="240"/>
      <c r="CG578" s="240"/>
      <c r="CH578" s="240"/>
      <c r="CI578" s="240"/>
      <c r="CJ578" s="240"/>
      <c r="CK578" s="240"/>
      <c r="CL578" s="240"/>
      <c r="CM578" s="240"/>
      <c r="CN578" s="240"/>
      <c r="CO578" s="240"/>
      <c r="CP578" s="240"/>
      <c r="CQ578" s="240"/>
      <c r="CR578" s="240"/>
      <c r="CS578" s="240"/>
      <c r="CT578" s="240"/>
      <c r="CU578" s="240"/>
      <c r="CV578" s="240"/>
      <c r="CW578" s="240"/>
      <c r="CX578" s="240"/>
      <c r="CY578" s="240"/>
      <c r="CZ578" s="240"/>
      <c r="DA578" s="240"/>
      <c r="DB578" s="240"/>
      <c r="DC578" s="240"/>
      <c r="DD578" s="240"/>
      <c r="DE578" s="240"/>
      <c r="DF578" s="240"/>
      <c r="DG578" s="240"/>
      <c r="DH578" s="240"/>
    </row>
    <row r="579" spans="1:112" ht="27" hidden="1" customHeight="1">
      <c r="A579" s="197">
        <v>575</v>
      </c>
      <c r="B579" s="197" t="s">
        <v>4396</v>
      </c>
      <c r="C579" s="207" t="s">
        <v>4427</v>
      </c>
      <c r="D579" s="207">
        <v>1</v>
      </c>
      <c r="E579" s="207" t="s">
        <v>4398</v>
      </c>
      <c r="F579" s="214" t="s">
        <v>6879</v>
      </c>
      <c r="G579" s="207" t="s">
        <v>4546</v>
      </c>
      <c r="H579" s="207" t="s">
        <v>6498</v>
      </c>
      <c r="I579" s="233" t="s">
        <v>4421</v>
      </c>
      <c r="J579" s="215" t="s">
        <v>6880</v>
      </c>
      <c r="K579" s="215" t="s">
        <v>6881</v>
      </c>
      <c r="L579" s="215" t="s">
        <v>6882</v>
      </c>
      <c r="M579" s="207" t="s">
        <v>4405</v>
      </c>
      <c r="N579" s="207" t="s">
        <v>4442</v>
      </c>
      <c r="O579" s="202" t="s">
        <v>4409</v>
      </c>
      <c r="P579" s="202" t="s">
        <v>4409</v>
      </c>
      <c r="Q579" s="202" t="s">
        <v>4409</v>
      </c>
      <c r="R579" s="202" t="s">
        <v>4409</v>
      </c>
      <c r="S579" s="202" t="s">
        <v>4409</v>
      </c>
      <c r="T579" s="202" t="s">
        <v>4409</v>
      </c>
      <c r="U579" s="202" t="s">
        <v>4409</v>
      </c>
      <c r="V579" s="202" t="s">
        <v>4409</v>
      </c>
      <c r="W579" s="202" t="s">
        <v>4409</v>
      </c>
      <c r="X579" s="202" t="s">
        <v>4409</v>
      </c>
      <c r="Y579" s="202"/>
      <c r="Z579" s="202"/>
      <c r="AA579" s="200" t="s">
        <v>6880</v>
      </c>
      <c r="AB579" s="200" t="s">
        <v>6881</v>
      </c>
      <c r="AC579" s="200" t="s">
        <v>6882</v>
      </c>
      <c r="AD579" s="252" t="s">
        <v>4421</v>
      </c>
      <c r="AE579" s="197" t="s">
        <v>4405</v>
      </c>
      <c r="AF579" s="243">
        <v>25687.49</v>
      </c>
      <c r="AG579" s="243">
        <v>25687.49</v>
      </c>
      <c r="AH579" s="197" t="s">
        <v>4433</v>
      </c>
      <c r="AI579" s="214" t="s">
        <v>4411</v>
      </c>
      <c r="AJ579" s="207">
        <v>150614018</v>
      </c>
      <c r="AK579" s="316">
        <v>46066</v>
      </c>
      <c r="AL579" s="316">
        <v>46066</v>
      </c>
      <c r="AM579" s="316">
        <v>46066</v>
      </c>
      <c r="AN579" s="316">
        <v>46066</v>
      </c>
      <c r="AO579" s="316">
        <v>46066</v>
      </c>
      <c r="AP579" s="316">
        <v>46066</v>
      </c>
      <c r="AQ579" s="314"/>
      <c r="AR579" s="315" t="str">
        <f t="shared" si="36"/>
        <v>FINALIZADO</v>
      </c>
      <c r="AS579" s="207" t="s">
        <v>4423</v>
      </c>
      <c r="AT579" s="207"/>
      <c r="AU579" s="225" t="s">
        <v>6883</v>
      </c>
      <c r="AV579" s="219" t="s">
        <v>4425</v>
      </c>
      <c r="AW579" s="219" t="s">
        <v>4425</v>
      </c>
      <c r="AX579" s="207" t="s">
        <v>4425</v>
      </c>
      <c r="AY579" s="207" t="s">
        <v>4425</v>
      </c>
      <c r="AZ579" s="202">
        <v>46153</v>
      </c>
      <c r="BA579" s="207" t="s">
        <v>4425</v>
      </c>
      <c r="BB579" s="207" t="s">
        <v>4425</v>
      </c>
      <c r="BC579" s="202">
        <v>46170</v>
      </c>
      <c r="BD579" s="227">
        <v>46170</v>
      </c>
      <c r="BE579" s="227" t="s">
        <v>4435</v>
      </c>
      <c r="BF579" s="236" t="s">
        <v>4436</v>
      </c>
      <c r="BG579" s="237" t="s">
        <v>4425</v>
      </c>
      <c r="BH579" s="321">
        <f t="shared" si="37"/>
        <v>104</v>
      </c>
      <c r="BI579" s="98" t="str">
        <f t="shared" si="38"/>
        <v>INDENIZAÇÃO</v>
      </c>
      <c r="BJ579" s="98" t="str">
        <f t="shared" si="39"/>
        <v>NÃO</v>
      </c>
      <c r="BK579" s="238" t="s">
        <v>4437</v>
      </c>
      <c r="BL579" s="238" t="s">
        <v>4437</v>
      </c>
      <c r="BM579" s="238" t="s">
        <v>4437</v>
      </c>
      <c r="BN579" s="273" t="s">
        <v>5732</v>
      </c>
      <c r="BO579" s="265"/>
      <c r="BP579" s="265"/>
      <c r="BQ579" s="265"/>
      <c r="BR579" s="231"/>
      <c r="BS579" s="240"/>
      <c r="BT579" s="240"/>
      <c r="BU579" s="240"/>
      <c r="BV579" s="240"/>
      <c r="BW579" s="240"/>
      <c r="BX579" s="240"/>
      <c r="BY579" s="240"/>
      <c r="BZ579" s="240"/>
      <c r="CA579" s="240"/>
      <c r="CB579" s="240"/>
      <c r="CC579" s="240"/>
      <c r="CD579" s="240"/>
      <c r="CE579" s="240"/>
      <c r="CF579" s="240"/>
      <c r="CG579" s="240"/>
      <c r="CH579" s="240"/>
      <c r="CI579" s="240"/>
      <c r="CJ579" s="240"/>
      <c r="CK579" s="240"/>
      <c r="CL579" s="240"/>
      <c r="CM579" s="240"/>
      <c r="CN579" s="240"/>
      <c r="CO579" s="240"/>
      <c r="CP579" s="240"/>
      <c r="CQ579" s="240"/>
      <c r="CR579" s="240"/>
      <c r="CS579" s="240"/>
      <c r="CT579" s="240"/>
      <c r="CU579" s="240"/>
      <c r="CV579" s="240"/>
      <c r="CW579" s="240"/>
      <c r="CX579" s="240"/>
      <c r="CY579" s="240"/>
      <c r="CZ579" s="240"/>
      <c r="DA579" s="240"/>
      <c r="DB579" s="240"/>
      <c r="DC579" s="240"/>
      <c r="DD579" s="240"/>
      <c r="DE579" s="240"/>
      <c r="DF579" s="240"/>
      <c r="DG579" s="240"/>
      <c r="DH579" s="240"/>
    </row>
    <row r="580" spans="1:112" ht="27" hidden="1" customHeight="1">
      <c r="A580" s="197">
        <v>576</v>
      </c>
      <c r="B580" s="197" t="s">
        <v>4396</v>
      </c>
      <c r="C580" s="207" t="s">
        <v>4427</v>
      </c>
      <c r="D580" s="207">
        <v>1</v>
      </c>
      <c r="E580" s="207" t="s">
        <v>4398</v>
      </c>
      <c r="F580" s="214" t="s">
        <v>6884</v>
      </c>
      <c r="G580" s="207" t="s">
        <v>4400</v>
      </c>
      <c r="H580" s="207" t="s">
        <v>4401</v>
      </c>
      <c r="I580" s="249" t="s">
        <v>4402</v>
      </c>
      <c r="J580" s="215" t="s">
        <v>6885</v>
      </c>
      <c r="K580" s="215" t="s">
        <v>6886</v>
      </c>
      <c r="L580" s="215" t="s">
        <v>6887</v>
      </c>
      <c r="M580" s="207" t="s">
        <v>4405</v>
      </c>
      <c r="N580" s="207" t="s">
        <v>4406</v>
      </c>
      <c r="O580" s="202">
        <v>46002</v>
      </c>
      <c r="P580" s="202" t="s">
        <v>4407</v>
      </c>
      <c r="Q580" s="202">
        <v>45999</v>
      </c>
      <c r="R580" s="202">
        <v>46006</v>
      </c>
      <c r="S580" s="202">
        <v>46006</v>
      </c>
      <c r="T580" s="202">
        <v>46009</v>
      </c>
      <c r="U580" s="202" t="s">
        <v>4408</v>
      </c>
      <c r="V580" s="202" t="s">
        <v>4408</v>
      </c>
      <c r="W580" s="202">
        <v>46014</v>
      </c>
      <c r="X580" s="202">
        <v>46031</v>
      </c>
      <c r="Y580" s="202"/>
      <c r="Z580" s="207"/>
      <c r="AA580" s="215" t="s">
        <v>6885</v>
      </c>
      <c r="AB580" s="215" t="s">
        <v>6886</v>
      </c>
      <c r="AC580" s="215" t="s">
        <v>6887</v>
      </c>
      <c r="AD580" s="207" t="s">
        <v>4402</v>
      </c>
      <c r="AE580" s="207" t="s">
        <v>4405</v>
      </c>
      <c r="AF580" s="218" t="s">
        <v>4409</v>
      </c>
      <c r="AG580" s="218" t="s">
        <v>4409</v>
      </c>
      <c r="AH580" s="197" t="s">
        <v>4410</v>
      </c>
      <c r="AI580" s="214" t="s">
        <v>4411</v>
      </c>
      <c r="AJ580" s="207"/>
      <c r="AK580" s="316">
        <v>45996</v>
      </c>
      <c r="AL580" s="316">
        <v>45996</v>
      </c>
      <c r="AM580" s="316">
        <v>45996</v>
      </c>
      <c r="AN580" s="316">
        <v>45996</v>
      </c>
      <c r="AO580" s="316">
        <v>45996</v>
      </c>
      <c r="AP580" s="316">
        <v>45996</v>
      </c>
      <c r="AQ580" s="314"/>
      <c r="AR580" s="315" t="str">
        <f t="shared" si="36"/>
        <v>FINALIZADO</v>
      </c>
      <c r="AS580" s="207"/>
      <c r="AT580" s="207"/>
      <c r="AU580" s="225"/>
      <c r="AV580" s="207"/>
      <c r="AW580" s="207"/>
      <c r="AX580" s="207"/>
      <c r="AY580" s="207"/>
      <c r="AZ580" s="202"/>
      <c r="BA580" s="219"/>
      <c r="BB580" s="207"/>
      <c r="BC580" s="202"/>
      <c r="BD580" s="208"/>
      <c r="BE580" s="202"/>
      <c r="BF580" s="207"/>
      <c r="BG580" s="229"/>
      <c r="BH580" s="321" t="str">
        <f t="shared" si="37"/>
        <v/>
      </c>
      <c r="BI580" s="98" t="str">
        <f t="shared" si="38"/>
        <v>AA</v>
      </c>
      <c r="BJ580" s="98" t="str">
        <f t="shared" si="39"/>
        <v>NÃO</v>
      </c>
      <c r="BK580" s="230"/>
      <c r="BL580" s="230"/>
      <c r="BM580" s="230"/>
      <c r="BN580" s="230"/>
      <c r="BO580" s="230"/>
      <c r="BP580" s="230"/>
      <c r="BQ580" s="230"/>
      <c r="BR580" s="234"/>
      <c r="BS580" s="240"/>
      <c r="BT580" s="240"/>
      <c r="BU580" s="240"/>
      <c r="BV580" s="240"/>
      <c r="BW580" s="240"/>
      <c r="BX580" s="240"/>
      <c r="BY580" s="240"/>
      <c r="BZ580" s="240"/>
      <c r="CA580" s="240"/>
      <c r="CB580" s="240"/>
      <c r="CC580" s="240"/>
      <c r="CD580" s="240"/>
      <c r="CE580" s="240"/>
      <c r="CF580" s="240"/>
      <c r="CG580" s="240"/>
      <c r="CH580" s="240"/>
      <c r="CI580" s="240"/>
      <c r="CJ580" s="240"/>
      <c r="CK580" s="240"/>
      <c r="CL580" s="240"/>
      <c r="CM580" s="240"/>
      <c r="CN580" s="240"/>
      <c r="CO580" s="240"/>
      <c r="CP580" s="240"/>
      <c r="CQ580" s="240"/>
      <c r="CR580" s="240"/>
      <c r="CS580" s="240"/>
      <c r="CT580" s="240"/>
      <c r="CU580" s="240"/>
      <c r="CV580" s="240"/>
      <c r="CW580" s="240"/>
      <c r="CX580" s="240"/>
      <c r="CY580" s="240"/>
      <c r="CZ580" s="240"/>
      <c r="DA580" s="240"/>
      <c r="DB580" s="240"/>
      <c r="DC580" s="240"/>
      <c r="DD580" s="240"/>
      <c r="DE580" s="240"/>
      <c r="DF580" s="240"/>
      <c r="DG580" s="240"/>
      <c r="DH580" s="240"/>
    </row>
    <row r="581" spans="1:112" ht="27" hidden="1" customHeight="1">
      <c r="A581" s="207">
        <v>577</v>
      </c>
      <c r="B581" s="197" t="s">
        <v>4396</v>
      </c>
      <c r="C581" s="207" t="s">
        <v>4427</v>
      </c>
      <c r="D581" s="207">
        <v>1</v>
      </c>
      <c r="E581" s="207" t="s">
        <v>4398</v>
      </c>
      <c r="F581" s="214" t="s">
        <v>6888</v>
      </c>
      <c r="G581" s="207" t="s">
        <v>4400</v>
      </c>
      <c r="H581" s="207" t="s">
        <v>4401</v>
      </c>
      <c r="I581" s="249" t="s">
        <v>4402</v>
      </c>
      <c r="J581" s="215" t="s">
        <v>6889</v>
      </c>
      <c r="K581" s="215" t="s">
        <v>6890</v>
      </c>
      <c r="L581" s="215" t="s">
        <v>6891</v>
      </c>
      <c r="M581" s="207" t="s">
        <v>4405</v>
      </c>
      <c r="N581" s="207" t="s">
        <v>4406</v>
      </c>
      <c r="O581" s="202">
        <v>46176</v>
      </c>
      <c r="P581" s="202" t="s">
        <v>4407</v>
      </c>
      <c r="Q581" s="202">
        <v>46174</v>
      </c>
      <c r="R581" s="202">
        <v>46176</v>
      </c>
      <c r="S581" s="202">
        <v>46202</v>
      </c>
      <c r="T581" s="202">
        <v>46204</v>
      </c>
      <c r="U581" s="202" t="s">
        <v>4408</v>
      </c>
      <c r="V581" s="202" t="s">
        <v>4408</v>
      </c>
      <c r="W581" s="202">
        <v>46223</v>
      </c>
      <c r="X581" s="202"/>
      <c r="Y581" s="202"/>
      <c r="Z581" s="207"/>
      <c r="AA581" s="215"/>
      <c r="AB581" s="215"/>
      <c r="AC581" s="215"/>
      <c r="AD581" s="207"/>
      <c r="AE581" s="207"/>
      <c r="AF581" s="218"/>
      <c r="AG581" s="218"/>
      <c r="AH581" s="197"/>
      <c r="AI581" s="214" t="s">
        <v>4411</v>
      </c>
      <c r="AJ581" s="207"/>
      <c r="AK581" s="316"/>
      <c r="AL581" s="316"/>
      <c r="AM581" s="316"/>
      <c r="AN581" s="316"/>
      <c r="AO581" s="316"/>
      <c r="AP581" s="316"/>
      <c r="AQ581" s="314"/>
      <c r="AR581" s="315" t="str">
        <f t="shared" si="36"/>
        <v/>
      </c>
      <c r="AS581" s="207"/>
      <c r="AT581" s="207"/>
      <c r="AU581" s="225"/>
      <c r="AV581" s="207"/>
      <c r="AW581" s="207"/>
      <c r="AX581" s="207"/>
      <c r="AY581" s="197"/>
      <c r="AZ581" s="202"/>
      <c r="BA581" s="219"/>
      <c r="BB581" s="207"/>
      <c r="BC581" s="202"/>
      <c r="BD581" s="208"/>
      <c r="BE581" s="202"/>
      <c r="BF581" s="207"/>
      <c r="BG581" s="229"/>
      <c r="BH581" s="321" t="str">
        <f t="shared" si="37"/>
        <v/>
      </c>
      <c r="BI581" s="98" t="str">
        <f t="shared" si="38"/>
        <v>INDENIZAÇÃO</v>
      </c>
      <c r="BJ581" s="98" t="str">
        <f t="shared" si="39"/>
        <v>NÃO</v>
      </c>
      <c r="BK581" s="230"/>
      <c r="BL581" s="230"/>
      <c r="BM581" s="230"/>
      <c r="BN581" s="230"/>
      <c r="BO581" s="230"/>
      <c r="BP581" s="230"/>
      <c r="BQ581" s="230"/>
      <c r="BR581" s="234"/>
      <c r="BS581" s="240"/>
      <c r="BT581" s="240"/>
      <c r="BU581" s="240"/>
      <c r="BV581" s="240"/>
      <c r="BW581" s="240"/>
      <c r="BX581" s="240"/>
      <c r="BY581" s="240"/>
      <c r="BZ581" s="240"/>
      <c r="CA581" s="240"/>
      <c r="CB581" s="240"/>
      <c r="CC581" s="240"/>
      <c r="CD581" s="240"/>
      <c r="CE581" s="240"/>
      <c r="CF581" s="240"/>
      <c r="CG581" s="240"/>
      <c r="CH581" s="240"/>
      <c r="CI581" s="240"/>
      <c r="CJ581" s="240"/>
      <c r="CK581" s="240"/>
      <c r="CL581" s="240"/>
      <c r="CM581" s="240"/>
      <c r="CN581" s="240"/>
      <c r="CO581" s="240"/>
      <c r="CP581" s="240"/>
      <c r="CQ581" s="240"/>
      <c r="CR581" s="240"/>
      <c r="CS581" s="240"/>
      <c r="CT581" s="240"/>
      <c r="CU581" s="240"/>
      <c r="CV581" s="240"/>
      <c r="CW581" s="240"/>
      <c r="CX581" s="240"/>
      <c r="CY581" s="240"/>
      <c r="CZ581" s="240"/>
      <c r="DA581" s="240"/>
      <c r="DB581" s="240"/>
      <c r="DC581" s="240"/>
      <c r="DD581" s="240"/>
      <c r="DE581" s="240"/>
      <c r="DF581" s="240"/>
      <c r="DG581" s="240"/>
      <c r="DH581" s="240"/>
    </row>
    <row r="582" spans="1:112" ht="27" customHeight="1">
      <c r="A582" s="207">
        <v>578</v>
      </c>
      <c r="B582" s="197" t="s">
        <v>4396</v>
      </c>
      <c r="C582" s="207" t="s">
        <v>4413</v>
      </c>
      <c r="D582" s="207">
        <v>1</v>
      </c>
      <c r="E582" s="207" t="s">
        <v>4398</v>
      </c>
      <c r="F582" s="214" t="s">
        <v>6892</v>
      </c>
      <c r="G582" s="207" t="s">
        <v>4400</v>
      </c>
      <c r="H582" s="207" t="s">
        <v>4401</v>
      </c>
      <c r="I582" s="207" t="s">
        <v>4402</v>
      </c>
      <c r="J582" s="215" t="s">
        <v>6893</v>
      </c>
      <c r="K582" s="215" t="s">
        <v>6894</v>
      </c>
      <c r="L582" s="215" t="s">
        <v>6895</v>
      </c>
      <c r="M582" s="207" t="s">
        <v>4405</v>
      </c>
      <c r="N582" s="207" t="s">
        <v>4406</v>
      </c>
      <c r="O582" s="202">
        <v>46147</v>
      </c>
      <c r="P582" s="202" t="s">
        <v>4407</v>
      </c>
      <c r="Q582" s="203">
        <v>46136</v>
      </c>
      <c r="R582" s="202">
        <v>46147</v>
      </c>
      <c r="S582" s="203">
        <v>46156</v>
      </c>
      <c r="T582" s="203">
        <v>46168</v>
      </c>
      <c r="U582" s="203" t="s">
        <v>4408</v>
      </c>
      <c r="V582" s="203" t="s">
        <v>4408</v>
      </c>
      <c r="W582" s="279">
        <v>46196</v>
      </c>
      <c r="X582" s="203">
        <v>46210</v>
      </c>
      <c r="Y582" s="203"/>
      <c r="Z582" s="219"/>
      <c r="AA582" s="215" t="s">
        <v>6893</v>
      </c>
      <c r="AB582" s="215" t="s">
        <v>6894</v>
      </c>
      <c r="AC582" s="215" t="s">
        <v>6895</v>
      </c>
      <c r="AD582" s="207" t="s">
        <v>4402</v>
      </c>
      <c r="AE582" s="207" t="s">
        <v>4405</v>
      </c>
      <c r="AF582" s="218" t="s">
        <v>4409</v>
      </c>
      <c r="AG582" s="218" t="s">
        <v>4409</v>
      </c>
      <c r="AH582" s="207" t="s">
        <v>4410</v>
      </c>
      <c r="AI582" s="214" t="s">
        <v>4411</v>
      </c>
      <c r="AJ582" s="207"/>
      <c r="AK582" s="317">
        <v>46134</v>
      </c>
      <c r="AL582" s="317">
        <v>46134</v>
      </c>
      <c r="AM582" s="317">
        <v>46134</v>
      </c>
      <c r="AN582" s="317">
        <v>46134</v>
      </c>
      <c r="AO582" s="317">
        <v>46134</v>
      </c>
      <c r="AP582" s="317">
        <v>46134</v>
      </c>
      <c r="AQ582" s="314"/>
      <c r="AR582" s="315" t="str">
        <f t="shared" ref="AR582" si="40">IF(AQ582="SIM","AGUARDANDO CORREÇÃO",IF(AP582&lt;&gt;"","FINALIZADO",IF(AO582&lt;&gt;"","AGUARDANDO ENVIO DTS",IF(AN582&lt;&gt;"","AGUARDANDO ASSINATURA GAB",IF(AM582&lt;&gt;"","AGUARDANDO ASSINATURA CTS",IF(AL582&lt;&gt;"","AGUARDANDO ENVIO ASSINATURA CTS",IF(AK582&lt;&gt;"","AGUARDANDO CONFERÊNCIA","")))))))</f>
        <v>FINALIZADO</v>
      </c>
      <c r="AS582" s="207"/>
      <c r="AT582" s="219"/>
      <c r="AU582" s="225"/>
      <c r="AV582" s="219"/>
      <c r="AW582" s="219"/>
      <c r="AX582" s="219"/>
      <c r="AY582" s="254"/>
      <c r="AZ582" s="219"/>
      <c r="BA582" s="219"/>
      <c r="BB582" s="219"/>
      <c r="BC582" s="219"/>
      <c r="BD582" s="208"/>
      <c r="BE582" s="203"/>
      <c r="BF582" s="219"/>
      <c r="BG582" s="219"/>
      <c r="BH582" s="321" t="str">
        <f t="shared" si="37"/>
        <v/>
      </c>
      <c r="BI582" s="98" t="str">
        <f t="shared" si="38"/>
        <v>AA</v>
      </c>
      <c r="BJ582" s="98" t="str">
        <f t="shared" si="39"/>
        <v>NÃO</v>
      </c>
      <c r="BK582" s="219"/>
      <c r="BL582" s="221"/>
      <c r="BM582" s="221"/>
      <c r="BN582" s="219"/>
      <c r="BO582" s="219"/>
      <c r="BP582" s="219"/>
      <c r="BQ582" s="219"/>
      <c r="BR582" s="222"/>
      <c r="BS582" s="240"/>
      <c r="BT582" s="240"/>
      <c r="BU582" s="240"/>
      <c r="BV582" s="240"/>
      <c r="BW582" s="240"/>
      <c r="BX582" s="240"/>
      <c r="BY582" s="240"/>
      <c r="BZ582" s="240"/>
      <c r="CA582" s="240"/>
      <c r="CB582" s="240"/>
      <c r="CC582" s="240"/>
      <c r="CD582" s="240"/>
      <c r="CE582" s="240"/>
      <c r="CF582" s="240"/>
      <c r="CG582" s="240"/>
      <c r="CH582" s="240"/>
      <c r="CI582" s="240"/>
      <c r="CJ582" s="240"/>
      <c r="CK582" s="240"/>
      <c r="CL582" s="240"/>
      <c r="CM582" s="240"/>
      <c r="CN582" s="240"/>
      <c r="CO582" s="240"/>
      <c r="CP582" s="240"/>
      <c r="CQ582" s="240"/>
      <c r="CR582" s="240"/>
      <c r="CS582" s="240"/>
      <c r="CT582" s="240"/>
      <c r="CU582" s="240"/>
      <c r="CV582" s="240"/>
      <c r="CW582" s="240"/>
      <c r="CX582" s="240"/>
      <c r="CY582" s="240"/>
      <c r="CZ582" s="240"/>
      <c r="DA582" s="240"/>
      <c r="DB582" s="240"/>
      <c r="DC582" s="240"/>
      <c r="DD582" s="240"/>
      <c r="DE582" s="240"/>
      <c r="DF582" s="240"/>
      <c r="DG582" s="240"/>
      <c r="DH582" s="240"/>
    </row>
    <row r="583" spans="1:112" ht="27" hidden="1" customHeight="1">
      <c r="A583" s="207">
        <v>579</v>
      </c>
      <c r="B583" s="197" t="s">
        <v>4396</v>
      </c>
      <c r="C583" s="207" t="s">
        <v>4427</v>
      </c>
      <c r="D583" s="207">
        <v>1</v>
      </c>
      <c r="E583" s="207" t="s">
        <v>4398</v>
      </c>
      <c r="F583" s="214" t="s">
        <v>6896</v>
      </c>
      <c r="G583" s="207" t="s">
        <v>4400</v>
      </c>
      <c r="H583" s="207" t="s">
        <v>4401</v>
      </c>
      <c r="I583" s="207" t="s">
        <v>4402</v>
      </c>
      <c r="J583" s="242" t="s">
        <v>6897</v>
      </c>
      <c r="K583" s="215" t="s">
        <v>4440</v>
      </c>
      <c r="L583" s="215" t="s">
        <v>6898</v>
      </c>
      <c r="M583" s="207" t="s">
        <v>4405</v>
      </c>
      <c r="N583" s="207" t="s">
        <v>4406</v>
      </c>
      <c r="O583" s="202">
        <v>46147</v>
      </c>
      <c r="P583" s="202" t="s">
        <v>4407</v>
      </c>
      <c r="Q583" s="203">
        <v>46136</v>
      </c>
      <c r="R583" s="202">
        <v>46147</v>
      </c>
      <c r="S583" s="203">
        <v>46156</v>
      </c>
      <c r="T583" s="203">
        <v>46168</v>
      </c>
      <c r="U583" s="203" t="s">
        <v>4408</v>
      </c>
      <c r="V583" s="203" t="s">
        <v>4408</v>
      </c>
      <c r="W583" s="279">
        <v>46196</v>
      </c>
      <c r="X583" s="203">
        <v>46209</v>
      </c>
      <c r="Y583" s="203"/>
      <c r="Z583" s="219"/>
      <c r="AA583" s="242" t="s">
        <v>6897</v>
      </c>
      <c r="AB583" s="215" t="s">
        <v>4440</v>
      </c>
      <c r="AC583" s="215" t="s">
        <v>6898</v>
      </c>
      <c r="AD583" s="207" t="s">
        <v>4402</v>
      </c>
      <c r="AE583" s="207" t="s">
        <v>4405</v>
      </c>
      <c r="AF583" s="218" t="s">
        <v>4409</v>
      </c>
      <c r="AG583" s="218" t="s">
        <v>4409</v>
      </c>
      <c r="AH583" s="207" t="s">
        <v>4410</v>
      </c>
      <c r="AI583" s="214" t="s">
        <v>4411</v>
      </c>
      <c r="AJ583" s="207"/>
      <c r="AK583" s="317">
        <v>46119</v>
      </c>
      <c r="AL583" s="317">
        <v>46119</v>
      </c>
      <c r="AM583" s="317">
        <v>46119</v>
      </c>
      <c r="AN583" s="317">
        <v>46119</v>
      </c>
      <c r="AO583" s="317">
        <v>46119</v>
      </c>
      <c r="AP583" s="317">
        <v>46119</v>
      </c>
      <c r="AQ583" s="314"/>
      <c r="AR583" s="315" t="str">
        <f t="shared" ref="AR583:AR645" si="41">IF(AQ583="SIM","AGUARDANDO CORREÇÃO",IF(AP583&lt;&gt;"","FINALIZADO",IF(AO583&lt;&gt;"","AGUARDANDO ENVIO DTS",IF(AN583&lt;&gt;"","AGUARDANDO ASSINATURA GAB",IF(AM583&lt;&gt;"","AGUARDANDO ASSINATURA CTS",IF(AL583&lt;&gt;"","AGUARDANDO ENVIO ASSINATURA CTS",IF(AK583&lt;&gt;"","AGUARDANDO CONFERÊNCIA","")))))))</f>
        <v>FINALIZADO</v>
      </c>
      <c r="AS583" s="207"/>
      <c r="AT583" s="219"/>
      <c r="AU583" s="225"/>
      <c r="AV583" s="254"/>
      <c r="AW583" s="219"/>
      <c r="AX583" s="219"/>
      <c r="AY583" s="219"/>
      <c r="AZ583" s="219"/>
      <c r="BA583" s="219"/>
      <c r="BB583" s="219"/>
      <c r="BC583" s="219"/>
      <c r="BD583" s="208"/>
      <c r="BE583" s="203"/>
      <c r="BF583" s="219"/>
      <c r="BG583" s="219"/>
      <c r="BH583" s="321" t="str">
        <f t="shared" ref="BH583:BH644" si="42">IFERROR(IF(BD583-KI583=0,"",BD583-AK583),"")</f>
        <v/>
      </c>
      <c r="BI583" s="98" t="str">
        <f t="shared" ref="BI583:BI644" si="43">IF(AND(AH583&lt;&gt;"SIM",AH583="UH"),"AA","INDENIZAÇÃO")</f>
        <v>AA</v>
      </c>
      <c r="BJ583" s="98" t="str">
        <f t="shared" ref="BJ583:BJ644" si="44">IF(AND(BD583&lt;&gt;"AGUARDANDO",BD583&lt;&gt;"",N583="AUXÍLIO ALUGUEL ATÉ INDENIZAÇÃO"),"SIM","NÃO")</f>
        <v>NÃO</v>
      </c>
      <c r="BK583" s="219"/>
      <c r="BL583" s="221"/>
      <c r="BM583" s="221"/>
      <c r="BN583" s="219"/>
      <c r="BO583" s="219"/>
      <c r="BP583" s="219"/>
      <c r="BQ583" s="219"/>
      <c r="BR583" s="222"/>
      <c r="BS583" s="240"/>
      <c r="BT583" s="240"/>
      <c r="BU583" s="240"/>
      <c r="BV583" s="240"/>
      <c r="BW583" s="240"/>
      <c r="BX583" s="240"/>
      <c r="BY583" s="240"/>
      <c r="BZ583" s="240"/>
      <c r="CA583" s="240"/>
      <c r="CB583" s="240"/>
      <c r="CC583" s="240"/>
      <c r="CD583" s="240"/>
      <c r="CE583" s="240"/>
      <c r="CF583" s="240"/>
      <c r="CG583" s="240"/>
      <c r="CH583" s="240"/>
      <c r="CI583" s="240"/>
      <c r="CJ583" s="240"/>
      <c r="CK583" s="240"/>
      <c r="CL583" s="240"/>
      <c r="CM583" s="240"/>
      <c r="CN583" s="240"/>
      <c r="CO583" s="240"/>
      <c r="CP583" s="240"/>
      <c r="CQ583" s="240"/>
      <c r="CR583" s="240"/>
      <c r="CS583" s="240"/>
      <c r="CT583" s="240"/>
      <c r="CU583" s="240"/>
      <c r="CV583" s="240"/>
      <c r="CW583" s="240"/>
      <c r="CX583" s="240"/>
      <c r="CY583" s="240"/>
      <c r="CZ583" s="240"/>
      <c r="DA583" s="240"/>
      <c r="DB583" s="240"/>
      <c r="DC583" s="240"/>
      <c r="DD583" s="240"/>
      <c r="DE583" s="240"/>
      <c r="DF583" s="240"/>
      <c r="DG583" s="240"/>
      <c r="DH583" s="240"/>
    </row>
    <row r="584" spans="1:112" ht="27" hidden="1" customHeight="1">
      <c r="A584" s="197">
        <v>580</v>
      </c>
      <c r="B584" s="197" t="s">
        <v>4396</v>
      </c>
      <c r="C584" s="207" t="s">
        <v>4427</v>
      </c>
      <c r="D584" s="207">
        <v>1</v>
      </c>
      <c r="E584" s="207" t="s">
        <v>4398</v>
      </c>
      <c r="F584" s="214" t="s">
        <v>6899</v>
      </c>
      <c r="G584" s="207" t="s">
        <v>4400</v>
      </c>
      <c r="H584" s="207" t="s">
        <v>4401</v>
      </c>
      <c r="I584" s="207" t="s">
        <v>4402</v>
      </c>
      <c r="J584" s="242" t="s">
        <v>6900</v>
      </c>
      <c r="K584" s="215" t="s">
        <v>4440</v>
      </c>
      <c r="L584" s="215" t="s">
        <v>6901</v>
      </c>
      <c r="M584" s="207" t="s">
        <v>4405</v>
      </c>
      <c r="N584" s="207" t="s">
        <v>4406</v>
      </c>
      <c r="O584" s="202">
        <v>46147</v>
      </c>
      <c r="P584" s="202" t="s">
        <v>4407</v>
      </c>
      <c r="Q584" s="203">
        <v>46136</v>
      </c>
      <c r="R584" s="202">
        <v>46147</v>
      </c>
      <c r="S584" s="203">
        <v>46156</v>
      </c>
      <c r="T584" s="203">
        <v>46168</v>
      </c>
      <c r="U584" s="203" t="s">
        <v>4408</v>
      </c>
      <c r="V584" s="203" t="s">
        <v>4408</v>
      </c>
      <c r="W584" s="279">
        <v>46196</v>
      </c>
      <c r="X584" s="203">
        <v>46199</v>
      </c>
      <c r="Y584" s="203"/>
      <c r="Z584" s="219"/>
      <c r="AA584" s="242" t="s">
        <v>6900</v>
      </c>
      <c r="AB584" s="215" t="s">
        <v>4440</v>
      </c>
      <c r="AC584" s="215" t="s">
        <v>6901</v>
      </c>
      <c r="AD584" s="207" t="s">
        <v>4402</v>
      </c>
      <c r="AE584" s="207" t="s">
        <v>4405</v>
      </c>
      <c r="AF584" s="218" t="s">
        <v>4409</v>
      </c>
      <c r="AG584" s="218" t="s">
        <v>4409</v>
      </c>
      <c r="AH584" s="207" t="s">
        <v>4410</v>
      </c>
      <c r="AI584" s="214" t="s">
        <v>4411</v>
      </c>
      <c r="AJ584" s="207"/>
      <c r="AK584" s="317">
        <v>46119</v>
      </c>
      <c r="AL584" s="317">
        <v>46119</v>
      </c>
      <c r="AM584" s="317">
        <v>46119</v>
      </c>
      <c r="AN584" s="317">
        <v>46119</v>
      </c>
      <c r="AO584" s="317">
        <v>46119</v>
      </c>
      <c r="AP584" s="317">
        <v>46119</v>
      </c>
      <c r="AQ584" s="314"/>
      <c r="AR584" s="315" t="str">
        <f t="shared" si="41"/>
        <v>FINALIZADO</v>
      </c>
      <c r="AS584" s="207"/>
      <c r="AT584" s="219"/>
      <c r="AU584" s="225"/>
      <c r="AV584" s="219"/>
      <c r="AW584" s="219"/>
      <c r="AX584" s="219"/>
      <c r="AY584" s="219"/>
      <c r="AZ584" s="219"/>
      <c r="BA584" s="219"/>
      <c r="BB584" s="219"/>
      <c r="BC584" s="219"/>
      <c r="BD584" s="208"/>
      <c r="BE584" s="203"/>
      <c r="BF584" s="219"/>
      <c r="BG584" s="219"/>
      <c r="BH584" s="321" t="str">
        <f t="shared" si="42"/>
        <v/>
      </c>
      <c r="BI584" s="98" t="str">
        <f t="shared" si="43"/>
        <v>AA</v>
      </c>
      <c r="BJ584" s="98" t="str">
        <f t="shared" si="44"/>
        <v>NÃO</v>
      </c>
      <c r="BK584" s="219"/>
      <c r="BL584" s="221"/>
      <c r="BM584" s="221"/>
      <c r="BN584" s="219"/>
      <c r="BO584" s="219"/>
      <c r="BP584" s="219"/>
      <c r="BQ584" s="219"/>
      <c r="BR584" s="222"/>
    </row>
    <row r="585" spans="1:112" ht="27" hidden="1" customHeight="1">
      <c r="A585" s="197">
        <v>581</v>
      </c>
      <c r="B585" s="197" t="s">
        <v>4396</v>
      </c>
      <c r="C585" s="207" t="s">
        <v>4427</v>
      </c>
      <c r="D585" s="207">
        <v>1</v>
      </c>
      <c r="E585" s="207" t="s">
        <v>4398</v>
      </c>
      <c r="F585" s="214" t="s">
        <v>6902</v>
      </c>
      <c r="G585" s="207" t="s">
        <v>4400</v>
      </c>
      <c r="H585" s="207" t="s">
        <v>4401</v>
      </c>
      <c r="I585" s="217" t="s">
        <v>4402</v>
      </c>
      <c r="J585" s="242" t="s">
        <v>6903</v>
      </c>
      <c r="K585" s="215" t="s">
        <v>6904</v>
      </c>
      <c r="L585" s="215" t="s">
        <v>6905</v>
      </c>
      <c r="M585" s="207" t="s">
        <v>4405</v>
      </c>
      <c r="N585" s="207" t="s">
        <v>4406</v>
      </c>
      <c r="O585" s="202">
        <v>46002</v>
      </c>
      <c r="P585" s="202" t="s">
        <v>4407</v>
      </c>
      <c r="Q585" s="202">
        <v>45999</v>
      </c>
      <c r="R585" s="202">
        <v>46006</v>
      </c>
      <c r="S585" s="202">
        <v>46006</v>
      </c>
      <c r="T585" s="202">
        <v>46009</v>
      </c>
      <c r="U585" s="202" t="s">
        <v>4408</v>
      </c>
      <c r="V585" s="202" t="s">
        <v>4408</v>
      </c>
      <c r="W585" s="202">
        <v>46014</v>
      </c>
      <c r="X585" s="202">
        <v>46020</v>
      </c>
      <c r="Y585" s="202"/>
      <c r="Z585" s="207"/>
      <c r="AA585" s="242" t="s">
        <v>6903</v>
      </c>
      <c r="AB585" s="215" t="s">
        <v>6904</v>
      </c>
      <c r="AC585" s="215" t="s">
        <v>6905</v>
      </c>
      <c r="AD585" s="207" t="s">
        <v>4402</v>
      </c>
      <c r="AE585" s="207" t="s">
        <v>4405</v>
      </c>
      <c r="AF585" s="218" t="s">
        <v>4409</v>
      </c>
      <c r="AG585" s="218" t="s">
        <v>4409</v>
      </c>
      <c r="AH585" s="207" t="s">
        <v>4410</v>
      </c>
      <c r="AI585" s="214" t="s">
        <v>4411</v>
      </c>
      <c r="AJ585" s="207"/>
      <c r="AK585" s="316">
        <v>45996</v>
      </c>
      <c r="AL585" s="316">
        <v>45996</v>
      </c>
      <c r="AM585" s="316">
        <v>45996</v>
      </c>
      <c r="AN585" s="316">
        <v>45996</v>
      </c>
      <c r="AO585" s="316">
        <v>45996</v>
      </c>
      <c r="AP585" s="316">
        <v>45996</v>
      </c>
      <c r="AQ585" s="314"/>
      <c r="AR585" s="315" t="str">
        <f t="shared" si="41"/>
        <v>FINALIZADO</v>
      </c>
      <c r="AS585" s="207"/>
      <c r="AT585" s="207"/>
      <c r="AU585" s="225"/>
      <c r="AV585" s="207"/>
      <c r="AW585" s="207"/>
      <c r="AX585" s="207"/>
      <c r="AY585" s="207"/>
      <c r="AZ585" s="202"/>
      <c r="BA585" s="219"/>
      <c r="BB585" s="207"/>
      <c r="BC585" s="202"/>
      <c r="BD585" s="208"/>
      <c r="BE585" s="202"/>
      <c r="BF585" s="207"/>
      <c r="BG585" s="229"/>
      <c r="BH585" s="321" t="str">
        <f t="shared" si="42"/>
        <v/>
      </c>
      <c r="BI585" s="98" t="str">
        <f t="shared" si="43"/>
        <v>AA</v>
      </c>
      <c r="BJ585" s="98" t="str">
        <f t="shared" si="44"/>
        <v>NÃO</v>
      </c>
      <c r="BK585" s="230"/>
      <c r="BL585" s="230"/>
      <c r="BM585" s="230"/>
      <c r="BN585" s="230"/>
      <c r="BO585" s="230"/>
      <c r="BP585" s="230"/>
      <c r="BQ585" s="230"/>
      <c r="BR585" s="234"/>
    </row>
    <row r="586" spans="1:112" ht="27" hidden="1" customHeight="1">
      <c r="A586" s="207">
        <v>582</v>
      </c>
      <c r="B586" s="197" t="s">
        <v>4396</v>
      </c>
      <c r="C586" s="207" t="s">
        <v>4427</v>
      </c>
      <c r="D586" s="207">
        <v>1</v>
      </c>
      <c r="E586" s="207" t="s">
        <v>4398</v>
      </c>
      <c r="F586" s="214" t="s">
        <v>6906</v>
      </c>
      <c r="G586" s="207" t="s">
        <v>4400</v>
      </c>
      <c r="H586" s="207" t="s">
        <v>4401</v>
      </c>
      <c r="I586" s="217" t="s">
        <v>4402</v>
      </c>
      <c r="J586" s="215" t="s">
        <v>6907</v>
      </c>
      <c r="K586" s="215" t="s">
        <v>6908</v>
      </c>
      <c r="L586" s="215" t="s">
        <v>6909</v>
      </c>
      <c r="M586" s="207" t="s">
        <v>4405</v>
      </c>
      <c r="N586" s="207" t="s">
        <v>4442</v>
      </c>
      <c r="O586" s="202" t="s">
        <v>4409</v>
      </c>
      <c r="P586" s="202" t="s">
        <v>4409</v>
      </c>
      <c r="Q586" s="202" t="s">
        <v>4409</v>
      </c>
      <c r="R586" s="202" t="s">
        <v>4409</v>
      </c>
      <c r="S586" s="202" t="s">
        <v>4409</v>
      </c>
      <c r="T586" s="202" t="s">
        <v>4409</v>
      </c>
      <c r="U586" s="202" t="s">
        <v>4409</v>
      </c>
      <c r="V586" s="202" t="s">
        <v>4409</v>
      </c>
      <c r="W586" s="202" t="s">
        <v>4409</v>
      </c>
      <c r="X586" s="202" t="s">
        <v>4409</v>
      </c>
      <c r="Y586" s="202"/>
      <c r="Z586" s="202"/>
      <c r="AA586" s="215" t="s">
        <v>6907</v>
      </c>
      <c r="AB586" s="215" t="s">
        <v>6908</v>
      </c>
      <c r="AC586" s="215" t="s">
        <v>6909</v>
      </c>
      <c r="AD586" s="207" t="s">
        <v>4402</v>
      </c>
      <c r="AE586" s="207" t="s">
        <v>4405</v>
      </c>
      <c r="AF586" s="218">
        <v>55469.48</v>
      </c>
      <c r="AG586" s="218">
        <v>60000</v>
      </c>
      <c r="AH586" s="207" t="s">
        <v>4433</v>
      </c>
      <c r="AI586" s="214" t="s">
        <v>4411</v>
      </c>
      <c r="AJ586" s="207">
        <v>151143591</v>
      </c>
      <c r="AK586" s="316">
        <v>46129</v>
      </c>
      <c r="AL586" s="316">
        <v>46129</v>
      </c>
      <c r="AM586" s="316">
        <v>46129</v>
      </c>
      <c r="AN586" s="316">
        <v>46129</v>
      </c>
      <c r="AO586" s="316">
        <v>46129</v>
      </c>
      <c r="AP586" s="316">
        <v>46129</v>
      </c>
      <c r="AQ586" s="314"/>
      <c r="AR586" s="315" t="str">
        <f t="shared" si="41"/>
        <v>FINALIZADO</v>
      </c>
      <c r="AS586" s="207" t="s">
        <v>4423</v>
      </c>
      <c r="AT586" s="207"/>
      <c r="AU586" s="263" t="s">
        <v>6910</v>
      </c>
      <c r="AV586" s="250" t="s">
        <v>4425</v>
      </c>
      <c r="AW586" s="207" t="s">
        <v>4425</v>
      </c>
      <c r="AX586" s="207" t="s">
        <v>4425</v>
      </c>
      <c r="AY586" s="219" t="s">
        <v>4425</v>
      </c>
      <c r="AZ586" s="202">
        <v>46226</v>
      </c>
      <c r="BA586" s="219" t="s">
        <v>4425</v>
      </c>
      <c r="BB586" s="219" t="s">
        <v>4425</v>
      </c>
      <c r="BC586" s="202">
        <v>46232</v>
      </c>
      <c r="BD586" s="226">
        <v>46232</v>
      </c>
      <c r="BE586" s="257" t="s">
        <v>4435</v>
      </c>
      <c r="BF586" s="257" t="s">
        <v>4436</v>
      </c>
      <c r="BG586" s="219" t="s">
        <v>4425</v>
      </c>
      <c r="BH586" s="321">
        <f t="shared" si="42"/>
        <v>103</v>
      </c>
      <c r="BI586" s="98" t="str">
        <f t="shared" si="43"/>
        <v>INDENIZAÇÃO</v>
      </c>
      <c r="BJ586" s="98" t="str">
        <f t="shared" si="44"/>
        <v>NÃO</v>
      </c>
      <c r="BK586" s="219" t="s">
        <v>4437</v>
      </c>
      <c r="BL586" s="219" t="s">
        <v>4437</v>
      </c>
      <c r="BM586" s="219" t="s">
        <v>4437</v>
      </c>
      <c r="BN586" s="257" t="s">
        <v>5732</v>
      </c>
      <c r="BO586" s="257"/>
      <c r="BP586" s="257"/>
      <c r="BQ586" s="257"/>
      <c r="BR586" s="258"/>
      <c r="BS586" s="223"/>
      <c r="BT586" s="240"/>
    </row>
    <row r="587" spans="1:112" ht="27" hidden="1" customHeight="1">
      <c r="A587" s="207">
        <v>583</v>
      </c>
      <c r="B587" s="197" t="s">
        <v>4396</v>
      </c>
      <c r="C587" s="207" t="s">
        <v>4427</v>
      </c>
      <c r="D587" s="207">
        <v>1</v>
      </c>
      <c r="E587" s="250" t="s">
        <v>4398</v>
      </c>
      <c r="F587" s="214" t="s">
        <v>6911</v>
      </c>
      <c r="G587" s="207" t="s">
        <v>4400</v>
      </c>
      <c r="H587" s="207" t="s">
        <v>4401</v>
      </c>
      <c r="I587" s="217" t="s">
        <v>4402</v>
      </c>
      <c r="J587" s="242" t="s">
        <v>6912</v>
      </c>
      <c r="K587" s="215" t="s">
        <v>6913</v>
      </c>
      <c r="L587" s="215" t="s">
        <v>6914</v>
      </c>
      <c r="M587" s="207" t="s">
        <v>4405</v>
      </c>
      <c r="N587" s="207" t="s">
        <v>4442</v>
      </c>
      <c r="O587" s="202" t="s">
        <v>4409</v>
      </c>
      <c r="P587" s="202" t="s">
        <v>4409</v>
      </c>
      <c r="Q587" s="202" t="s">
        <v>4409</v>
      </c>
      <c r="R587" s="202" t="s">
        <v>4409</v>
      </c>
      <c r="S587" s="202" t="s">
        <v>4409</v>
      </c>
      <c r="T587" s="202" t="s">
        <v>4409</v>
      </c>
      <c r="U587" s="202" t="s">
        <v>4409</v>
      </c>
      <c r="V587" s="202" t="s">
        <v>4409</v>
      </c>
      <c r="W587" s="202" t="s">
        <v>4409</v>
      </c>
      <c r="X587" s="202" t="s">
        <v>4409</v>
      </c>
      <c r="Y587" s="202" t="s">
        <v>4409</v>
      </c>
      <c r="Z587" s="202"/>
      <c r="AA587" s="242" t="s">
        <v>6912</v>
      </c>
      <c r="AB587" s="215" t="s">
        <v>6913</v>
      </c>
      <c r="AC587" s="215" t="s">
        <v>6914</v>
      </c>
      <c r="AD587" s="207" t="s">
        <v>4402</v>
      </c>
      <c r="AE587" s="207" t="s">
        <v>4405</v>
      </c>
      <c r="AF587" s="218">
        <v>60157.71</v>
      </c>
      <c r="AG587" s="218">
        <v>60157.71</v>
      </c>
      <c r="AH587" s="241" t="s">
        <v>4433</v>
      </c>
      <c r="AI587" s="214" t="s">
        <v>4411</v>
      </c>
      <c r="AJ587" s="207">
        <v>160469205</v>
      </c>
      <c r="AK587" s="316">
        <v>46219</v>
      </c>
      <c r="AL587" s="316">
        <v>46219</v>
      </c>
      <c r="AM587" s="316">
        <v>46219</v>
      </c>
      <c r="AN587" s="316">
        <v>46219</v>
      </c>
      <c r="AO587" s="316">
        <v>46219</v>
      </c>
      <c r="AP587" s="316">
        <v>46219</v>
      </c>
      <c r="AQ587" s="314"/>
      <c r="AR587" s="315" t="str">
        <f t="shared" si="41"/>
        <v>FINALIZADO</v>
      </c>
      <c r="AS587" s="207" t="s">
        <v>4423</v>
      </c>
      <c r="AT587" s="207"/>
      <c r="AU587" s="220" t="s">
        <v>4435</v>
      </c>
      <c r="AV587" s="219" t="s">
        <v>5487</v>
      </c>
      <c r="AW587" s="207"/>
      <c r="AX587" s="207"/>
      <c r="AY587" s="207"/>
      <c r="AZ587" s="207"/>
      <c r="BA587" s="207"/>
      <c r="BB587" s="207"/>
      <c r="BC587" s="202"/>
      <c r="BD587" s="208"/>
      <c r="BE587" s="202"/>
      <c r="BF587" s="207"/>
      <c r="BG587" s="229"/>
      <c r="BH587" s="321" t="str">
        <f t="shared" si="42"/>
        <v/>
      </c>
      <c r="BI587" s="98" t="str">
        <f t="shared" si="43"/>
        <v>INDENIZAÇÃO</v>
      </c>
      <c r="BJ587" s="98" t="str">
        <f t="shared" si="44"/>
        <v>NÃO</v>
      </c>
      <c r="BK587" s="230"/>
      <c r="BL587" s="230"/>
      <c r="BM587" s="230"/>
      <c r="BN587" s="230"/>
      <c r="BO587" s="230"/>
      <c r="BP587" s="230"/>
      <c r="BQ587" s="230"/>
      <c r="BR587" s="234"/>
      <c r="BS587" s="240"/>
      <c r="BT587" s="240"/>
      <c r="BU587" s="240"/>
      <c r="BV587" s="240"/>
      <c r="BW587" s="240"/>
      <c r="BX587" s="240"/>
      <c r="BY587" s="240"/>
      <c r="BZ587" s="240"/>
      <c r="CA587" s="240"/>
      <c r="CB587" s="240"/>
      <c r="CC587" s="240"/>
      <c r="CD587" s="240"/>
      <c r="CE587" s="240"/>
      <c r="CF587" s="240"/>
      <c r="CG587" s="240"/>
      <c r="CH587" s="240"/>
      <c r="CI587" s="240"/>
      <c r="CJ587" s="240"/>
      <c r="CK587" s="240"/>
      <c r="CL587" s="240"/>
      <c r="CM587" s="240"/>
      <c r="CN587" s="240"/>
      <c r="CO587" s="240"/>
      <c r="CP587" s="240"/>
      <c r="CQ587" s="240"/>
      <c r="CR587" s="240"/>
      <c r="CS587" s="240"/>
      <c r="CT587" s="240"/>
      <c r="CU587" s="240"/>
      <c r="CV587" s="240"/>
      <c r="CW587" s="240"/>
      <c r="CX587" s="240"/>
      <c r="CY587" s="240"/>
      <c r="CZ587" s="240"/>
      <c r="DA587" s="240"/>
      <c r="DB587" s="240"/>
      <c r="DC587" s="240"/>
      <c r="DD587" s="240"/>
      <c r="DE587" s="240"/>
      <c r="DF587" s="240"/>
      <c r="DG587" s="240"/>
      <c r="DH587" s="240"/>
    </row>
    <row r="588" spans="1:112" ht="27" hidden="1" customHeight="1">
      <c r="A588" s="207">
        <v>584</v>
      </c>
      <c r="B588" s="197" t="s">
        <v>4396</v>
      </c>
      <c r="C588" s="207" t="s">
        <v>4427</v>
      </c>
      <c r="D588" s="207">
        <v>1</v>
      </c>
      <c r="E588" s="207" t="s">
        <v>4398</v>
      </c>
      <c r="F588" s="214" t="s">
        <v>6915</v>
      </c>
      <c r="G588" s="207" t="s">
        <v>4400</v>
      </c>
      <c r="H588" s="207" t="s">
        <v>4401</v>
      </c>
      <c r="I588" s="217" t="s">
        <v>4402</v>
      </c>
      <c r="J588" s="215" t="s">
        <v>6916</v>
      </c>
      <c r="K588" s="215" t="s">
        <v>6917</v>
      </c>
      <c r="L588" s="215" t="s">
        <v>6918</v>
      </c>
      <c r="M588" s="207" t="s">
        <v>4405</v>
      </c>
      <c r="N588" s="207" t="s">
        <v>4406</v>
      </c>
      <c r="O588" s="202">
        <v>45986</v>
      </c>
      <c r="P588" s="203" t="s">
        <v>4407</v>
      </c>
      <c r="Q588" s="203">
        <v>45985</v>
      </c>
      <c r="R588" s="203">
        <v>45986</v>
      </c>
      <c r="S588" s="203">
        <v>45987</v>
      </c>
      <c r="T588" s="203">
        <v>45992</v>
      </c>
      <c r="U588" s="202" t="s">
        <v>4408</v>
      </c>
      <c r="V588" s="202" t="s">
        <v>4408</v>
      </c>
      <c r="W588" s="202">
        <v>45999</v>
      </c>
      <c r="X588" s="202">
        <v>46000</v>
      </c>
      <c r="Y588" s="202"/>
      <c r="Z588" s="207"/>
      <c r="AA588" s="215" t="s">
        <v>6916</v>
      </c>
      <c r="AB588" s="215" t="s">
        <v>6917</v>
      </c>
      <c r="AC588" s="215" t="s">
        <v>6918</v>
      </c>
      <c r="AD588" s="207" t="s">
        <v>4402</v>
      </c>
      <c r="AE588" s="207" t="s">
        <v>4405</v>
      </c>
      <c r="AF588" s="218" t="s">
        <v>4409</v>
      </c>
      <c r="AG588" s="218" t="s">
        <v>4409</v>
      </c>
      <c r="AH588" s="204" t="s">
        <v>4410</v>
      </c>
      <c r="AI588" s="214" t="s">
        <v>4411</v>
      </c>
      <c r="AJ588" s="207"/>
      <c r="AK588" s="316">
        <v>45980</v>
      </c>
      <c r="AL588" s="316">
        <v>45980</v>
      </c>
      <c r="AM588" s="316">
        <v>45980</v>
      </c>
      <c r="AN588" s="316">
        <v>45980</v>
      </c>
      <c r="AO588" s="316">
        <v>45980</v>
      </c>
      <c r="AP588" s="316">
        <v>45980</v>
      </c>
      <c r="AQ588" s="314"/>
      <c r="AR588" s="315" t="str">
        <f t="shared" si="41"/>
        <v>FINALIZADO</v>
      </c>
      <c r="AS588" s="207"/>
      <c r="AT588" s="207"/>
      <c r="AU588" s="225"/>
      <c r="AV588" s="207"/>
      <c r="AW588" s="207"/>
      <c r="AX588" s="207" t="s">
        <v>4409</v>
      </c>
      <c r="AY588" s="207" t="s">
        <v>4409</v>
      </c>
      <c r="AZ588" s="207" t="s">
        <v>4409</v>
      </c>
      <c r="BA588" s="207" t="s">
        <v>4409</v>
      </c>
      <c r="BB588" s="207"/>
      <c r="BC588" s="202"/>
      <c r="BD588" s="208"/>
      <c r="BE588" s="202"/>
      <c r="BF588" s="207"/>
      <c r="BG588" s="229"/>
      <c r="BH588" s="321" t="str">
        <f t="shared" si="42"/>
        <v/>
      </c>
      <c r="BI588" s="98" t="str">
        <f t="shared" si="43"/>
        <v>AA</v>
      </c>
      <c r="BJ588" s="98" t="str">
        <f t="shared" si="44"/>
        <v>NÃO</v>
      </c>
      <c r="BK588" s="230"/>
      <c r="BL588" s="230"/>
      <c r="BM588" s="230"/>
      <c r="BN588" s="230"/>
      <c r="BO588" s="230"/>
      <c r="BP588" s="230"/>
      <c r="BQ588" s="230"/>
      <c r="BR588" s="234"/>
      <c r="BS588" s="240"/>
      <c r="BT588" s="240"/>
      <c r="BU588" s="240"/>
      <c r="BV588" s="240"/>
      <c r="BW588" s="240"/>
      <c r="BX588" s="240"/>
      <c r="BY588" s="240"/>
      <c r="BZ588" s="240"/>
      <c r="CA588" s="240"/>
      <c r="CB588" s="240"/>
      <c r="CC588" s="240"/>
      <c r="CD588" s="240"/>
      <c r="CE588" s="240"/>
      <c r="CF588" s="240"/>
      <c r="CG588" s="240"/>
      <c r="CH588" s="240"/>
      <c r="CI588" s="240"/>
      <c r="CJ588" s="240"/>
      <c r="CK588" s="240"/>
      <c r="CL588" s="240"/>
      <c r="CM588" s="240"/>
      <c r="CN588" s="240"/>
      <c r="CO588" s="240"/>
      <c r="CP588" s="240"/>
      <c r="CQ588" s="240"/>
      <c r="CR588" s="240"/>
      <c r="CS588" s="240"/>
      <c r="CT588" s="240"/>
      <c r="CU588" s="240"/>
      <c r="CV588" s="240"/>
      <c r="CW588" s="240"/>
      <c r="CX588" s="240"/>
      <c r="CY588" s="240"/>
      <c r="CZ588" s="240"/>
      <c r="DA588" s="240"/>
      <c r="DB588" s="240"/>
      <c r="DC588" s="240"/>
      <c r="DD588" s="240"/>
      <c r="DE588" s="240"/>
      <c r="DF588" s="240"/>
      <c r="DG588" s="240"/>
      <c r="DH588" s="240"/>
    </row>
    <row r="589" spans="1:112" ht="27" hidden="1" customHeight="1">
      <c r="A589" s="197">
        <v>585</v>
      </c>
      <c r="B589" s="197" t="s">
        <v>4396</v>
      </c>
      <c r="C589" s="207" t="s">
        <v>4427</v>
      </c>
      <c r="D589" s="207">
        <v>1</v>
      </c>
      <c r="E589" s="207" t="s">
        <v>4398</v>
      </c>
      <c r="F589" s="214" t="s">
        <v>6919</v>
      </c>
      <c r="G589" s="207" t="s">
        <v>4400</v>
      </c>
      <c r="H589" s="207" t="s">
        <v>4401</v>
      </c>
      <c r="I589" s="217" t="s">
        <v>4402</v>
      </c>
      <c r="J589" s="242" t="s">
        <v>6920</v>
      </c>
      <c r="K589" s="215" t="s">
        <v>6921</v>
      </c>
      <c r="L589" s="215" t="s">
        <v>6922</v>
      </c>
      <c r="M589" s="207" t="s">
        <v>4405</v>
      </c>
      <c r="N589" s="207" t="s">
        <v>4406</v>
      </c>
      <c r="O589" s="202">
        <v>45986</v>
      </c>
      <c r="P589" s="203" t="s">
        <v>4407</v>
      </c>
      <c r="Q589" s="203">
        <v>45985</v>
      </c>
      <c r="R589" s="203">
        <v>45986</v>
      </c>
      <c r="S589" s="203">
        <v>45987</v>
      </c>
      <c r="T589" s="203">
        <v>45992</v>
      </c>
      <c r="U589" s="202" t="s">
        <v>4408</v>
      </c>
      <c r="V589" s="202" t="s">
        <v>4408</v>
      </c>
      <c r="W589" s="202">
        <v>45999</v>
      </c>
      <c r="X589" s="202">
        <v>46000</v>
      </c>
      <c r="Y589" s="202"/>
      <c r="Z589" s="207"/>
      <c r="AA589" s="242" t="s">
        <v>6920</v>
      </c>
      <c r="AB589" s="215" t="s">
        <v>6921</v>
      </c>
      <c r="AC589" s="215" t="s">
        <v>6922</v>
      </c>
      <c r="AD589" s="207" t="s">
        <v>4402</v>
      </c>
      <c r="AE589" s="207" t="s">
        <v>4405</v>
      </c>
      <c r="AF589" s="218" t="s">
        <v>4409</v>
      </c>
      <c r="AG589" s="218" t="s">
        <v>4409</v>
      </c>
      <c r="AH589" s="204" t="s">
        <v>4410</v>
      </c>
      <c r="AI589" s="214" t="s">
        <v>4411</v>
      </c>
      <c r="AJ589" s="207"/>
      <c r="AK589" s="316">
        <v>45980</v>
      </c>
      <c r="AL589" s="316">
        <v>45980</v>
      </c>
      <c r="AM589" s="316">
        <v>45980</v>
      </c>
      <c r="AN589" s="316">
        <v>45980</v>
      </c>
      <c r="AO589" s="316">
        <v>45980</v>
      </c>
      <c r="AP589" s="316">
        <v>45980</v>
      </c>
      <c r="AQ589" s="314"/>
      <c r="AR589" s="315" t="str">
        <f t="shared" si="41"/>
        <v>FINALIZADO</v>
      </c>
      <c r="AS589" s="207"/>
      <c r="AT589" s="207"/>
      <c r="AU589" s="225"/>
      <c r="AV589" s="207"/>
      <c r="AW589" s="207"/>
      <c r="AX589" s="207" t="s">
        <v>4409</v>
      </c>
      <c r="AY589" s="207" t="s">
        <v>4409</v>
      </c>
      <c r="AZ589" s="207" t="s">
        <v>4409</v>
      </c>
      <c r="BA589" s="207" t="s">
        <v>4409</v>
      </c>
      <c r="BB589" s="207"/>
      <c r="BC589" s="202"/>
      <c r="BD589" s="208"/>
      <c r="BE589" s="202"/>
      <c r="BF589" s="207"/>
      <c r="BG589" s="229"/>
      <c r="BH589" s="321" t="str">
        <f t="shared" si="42"/>
        <v/>
      </c>
      <c r="BI589" s="98" t="str">
        <f t="shared" si="43"/>
        <v>AA</v>
      </c>
      <c r="BJ589" s="98" t="str">
        <f t="shared" si="44"/>
        <v>NÃO</v>
      </c>
      <c r="BK589" s="230"/>
      <c r="BL589" s="230"/>
      <c r="BM589" s="230"/>
      <c r="BN589" s="230"/>
      <c r="BO589" s="230"/>
      <c r="BP589" s="230"/>
      <c r="BQ589" s="230"/>
      <c r="BR589" s="234"/>
      <c r="BS589" s="240"/>
      <c r="BT589" s="240"/>
      <c r="BU589" s="240"/>
      <c r="BV589" s="240"/>
      <c r="BW589" s="240"/>
      <c r="BX589" s="240"/>
      <c r="BY589" s="240"/>
      <c r="BZ589" s="240"/>
      <c r="CA589" s="240"/>
      <c r="CB589" s="240"/>
      <c r="CC589" s="240"/>
      <c r="CD589" s="240"/>
      <c r="CE589" s="240"/>
      <c r="CF589" s="240"/>
      <c r="CG589" s="240"/>
      <c r="CH589" s="240"/>
      <c r="CI589" s="240"/>
      <c r="CJ589" s="240"/>
      <c r="CK589" s="240"/>
      <c r="CL589" s="240"/>
      <c r="CM589" s="240"/>
      <c r="CN589" s="240"/>
      <c r="CO589" s="240"/>
      <c r="CP589" s="240"/>
      <c r="CQ589" s="240"/>
      <c r="CR589" s="240"/>
      <c r="CS589" s="240"/>
      <c r="CT589" s="240"/>
      <c r="CU589" s="240"/>
      <c r="CV589" s="240"/>
      <c r="CW589" s="240"/>
      <c r="CX589" s="240"/>
      <c r="CY589" s="240"/>
      <c r="CZ589" s="240"/>
      <c r="DA589" s="240"/>
      <c r="DB589" s="240"/>
      <c r="DC589" s="240"/>
      <c r="DD589" s="240"/>
      <c r="DE589" s="240"/>
      <c r="DF589" s="240"/>
      <c r="DG589" s="240"/>
      <c r="DH589" s="240"/>
    </row>
    <row r="590" spans="1:112" ht="27" hidden="1" customHeight="1">
      <c r="A590" s="197">
        <v>586</v>
      </c>
      <c r="B590" s="197" t="s">
        <v>4396</v>
      </c>
      <c r="C590" s="207" t="s">
        <v>4427</v>
      </c>
      <c r="D590" s="207">
        <v>1</v>
      </c>
      <c r="E590" s="250" t="s">
        <v>4398</v>
      </c>
      <c r="F590" s="214" t="s">
        <v>6923</v>
      </c>
      <c r="G590" s="207" t="s">
        <v>4400</v>
      </c>
      <c r="H590" s="207" t="s">
        <v>4401</v>
      </c>
      <c r="I590" s="217" t="s">
        <v>4402</v>
      </c>
      <c r="J590" s="242" t="s">
        <v>6924</v>
      </c>
      <c r="K590" s="215" t="s">
        <v>6925</v>
      </c>
      <c r="L590" s="215" t="s">
        <v>6926</v>
      </c>
      <c r="M590" s="207" t="s">
        <v>4405</v>
      </c>
      <c r="N590" s="207" t="s">
        <v>4432</v>
      </c>
      <c r="O590" s="202" t="s">
        <v>4409</v>
      </c>
      <c r="P590" s="202" t="s">
        <v>4409</v>
      </c>
      <c r="Q590" s="202" t="s">
        <v>4409</v>
      </c>
      <c r="R590" s="202" t="s">
        <v>4409</v>
      </c>
      <c r="S590" s="202" t="s">
        <v>4409</v>
      </c>
      <c r="T590" s="202" t="s">
        <v>4409</v>
      </c>
      <c r="U590" s="202" t="s">
        <v>4409</v>
      </c>
      <c r="V590" s="202" t="s">
        <v>4409</v>
      </c>
      <c r="W590" s="202" t="s">
        <v>4409</v>
      </c>
      <c r="X590" s="202" t="s">
        <v>4409</v>
      </c>
      <c r="Y590" s="202"/>
      <c r="AA590" s="242" t="s">
        <v>6924</v>
      </c>
      <c r="AB590" s="215" t="s">
        <v>6925</v>
      </c>
      <c r="AC590" s="215" t="s">
        <v>6926</v>
      </c>
      <c r="AD590" s="217" t="s">
        <v>4402</v>
      </c>
      <c r="AE590" s="207" t="s">
        <v>4405</v>
      </c>
      <c r="AF590" s="218">
        <v>43711.360000000001</v>
      </c>
      <c r="AG590" s="218">
        <v>60000</v>
      </c>
      <c r="AH590" s="204" t="s">
        <v>4433</v>
      </c>
      <c r="AI590" s="214" t="s">
        <v>4411</v>
      </c>
      <c r="AJ590" s="207">
        <v>160469314</v>
      </c>
      <c r="AK590" s="316">
        <v>46230</v>
      </c>
      <c r="AL590" s="316">
        <v>46230</v>
      </c>
      <c r="AM590" s="316">
        <v>46230</v>
      </c>
      <c r="AN590" s="316">
        <v>46230</v>
      </c>
      <c r="AO590" s="316">
        <v>46230</v>
      </c>
      <c r="AP590" s="316">
        <v>46230</v>
      </c>
      <c r="AQ590" s="314"/>
      <c r="AR590" s="315" t="str">
        <f t="shared" si="41"/>
        <v>FINALIZADO</v>
      </c>
      <c r="AS590" s="207" t="s">
        <v>4423</v>
      </c>
      <c r="AT590" s="207"/>
      <c r="AU590" s="220" t="s">
        <v>4435</v>
      </c>
      <c r="AV590" s="219" t="s">
        <v>5487</v>
      </c>
      <c r="AW590" s="207"/>
      <c r="AX590" s="207"/>
      <c r="AY590" s="207"/>
      <c r="AZ590" s="207"/>
      <c r="BA590" s="207"/>
      <c r="BB590" s="207"/>
      <c r="BC590" s="202"/>
      <c r="BD590" s="208"/>
      <c r="BE590" s="202"/>
      <c r="BF590" s="207"/>
      <c r="BG590" s="229"/>
      <c r="BH590" s="321" t="str">
        <f t="shared" si="42"/>
        <v/>
      </c>
      <c r="BI590" s="98" t="str">
        <f t="shared" si="43"/>
        <v>INDENIZAÇÃO</v>
      </c>
      <c r="BJ590" s="98" t="str">
        <f t="shared" si="44"/>
        <v>NÃO</v>
      </c>
      <c r="BK590" s="230"/>
      <c r="BL590" s="230"/>
      <c r="BM590" s="230"/>
      <c r="BN590" s="230"/>
      <c r="BO590" s="230"/>
      <c r="BP590" s="230"/>
      <c r="BQ590" s="230"/>
      <c r="BR590" s="234"/>
      <c r="BS590" s="240"/>
      <c r="BT590" s="240"/>
      <c r="BU590" s="240"/>
      <c r="BV590" s="240"/>
      <c r="BW590" s="240"/>
      <c r="BX590" s="240"/>
      <c r="BY590" s="240"/>
      <c r="BZ590" s="240"/>
      <c r="CA590" s="240"/>
      <c r="CB590" s="240"/>
      <c r="CC590" s="240"/>
      <c r="CD590" s="240"/>
      <c r="CE590" s="240"/>
      <c r="CF590" s="240"/>
      <c r="CG590" s="240"/>
      <c r="CH590" s="240"/>
      <c r="CI590" s="240"/>
      <c r="CJ590" s="240"/>
      <c r="CK590" s="240"/>
      <c r="CL590" s="240"/>
      <c r="CM590" s="240"/>
      <c r="CN590" s="240"/>
      <c r="CO590" s="240"/>
      <c r="CP590" s="240"/>
      <c r="CQ590" s="240"/>
      <c r="CR590" s="240"/>
      <c r="CS590" s="240"/>
      <c r="CT590" s="240"/>
      <c r="CU590" s="240"/>
      <c r="CV590" s="240"/>
      <c r="CW590" s="240"/>
      <c r="CX590" s="240"/>
      <c r="CY590" s="240"/>
      <c r="CZ590" s="240"/>
      <c r="DA590" s="240"/>
      <c r="DB590" s="240"/>
      <c r="DC590" s="240"/>
      <c r="DD590" s="240"/>
      <c r="DE590" s="240"/>
      <c r="DF590" s="240"/>
      <c r="DG590" s="240"/>
      <c r="DH590" s="240"/>
    </row>
    <row r="591" spans="1:112" ht="27" hidden="1" customHeight="1">
      <c r="A591" s="207">
        <v>587</v>
      </c>
      <c r="B591" s="197" t="s">
        <v>4396</v>
      </c>
      <c r="C591" s="207" t="s">
        <v>4427</v>
      </c>
      <c r="D591" s="207">
        <v>1</v>
      </c>
      <c r="E591" s="207" t="s">
        <v>4398</v>
      </c>
      <c r="F591" s="214" t="s">
        <v>6927</v>
      </c>
      <c r="G591" s="207" t="s">
        <v>4400</v>
      </c>
      <c r="H591" s="207" t="s">
        <v>4401</v>
      </c>
      <c r="I591" s="217" t="s">
        <v>4402</v>
      </c>
      <c r="J591" s="242" t="s">
        <v>6928</v>
      </c>
      <c r="K591" s="215" t="s">
        <v>6929</v>
      </c>
      <c r="L591" s="215" t="s">
        <v>6930</v>
      </c>
      <c r="M591" s="207" t="s">
        <v>4405</v>
      </c>
      <c r="N591" s="207" t="s">
        <v>4432</v>
      </c>
      <c r="O591" s="202" t="s">
        <v>4409</v>
      </c>
      <c r="P591" s="202" t="s">
        <v>4409</v>
      </c>
      <c r="Q591" s="202" t="s">
        <v>4409</v>
      </c>
      <c r="R591" s="202" t="s">
        <v>4409</v>
      </c>
      <c r="S591" s="202" t="s">
        <v>4409</v>
      </c>
      <c r="T591" s="202" t="s">
        <v>4409</v>
      </c>
      <c r="U591" s="202" t="s">
        <v>4409</v>
      </c>
      <c r="V591" s="202" t="s">
        <v>4409</v>
      </c>
      <c r="W591" s="202" t="s">
        <v>4409</v>
      </c>
      <c r="X591" s="202" t="s">
        <v>4409</v>
      </c>
      <c r="Y591" s="202" t="s">
        <v>6931</v>
      </c>
      <c r="AA591" s="242" t="s">
        <v>6928</v>
      </c>
      <c r="AB591" s="215" t="s">
        <v>6929</v>
      </c>
      <c r="AC591" s="215" t="s">
        <v>6930</v>
      </c>
      <c r="AD591" s="217" t="s">
        <v>4402</v>
      </c>
      <c r="AE591" s="207" t="s">
        <v>4405</v>
      </c>
      <c r="AF591" s="218">
        <v>47337.59</v>
      </c>
      <c r="AG591" s="218">
        <v>60000</v>
      </c>
      <c r="AH591" s="204" t="s">
        <v>4433</v>
      </c>
      <c r="AI591" s="214" t="s">
        <v>4411</v>
      </c>
      <c r="AJ591" s="207"/>
      <c r="AK591" s="316">
        <v>46238</v>
      </c>
      <c r="AL591" s="316">
        <v>46238</v>
      </c>
      <c r="AM591" s="316">
        <v>46238</v>
      </c>
      <c r="AN591" s="316">
        <v>46238</v>
      </c>
      <c r="AO591" s="316">
        <v>46238</v>
      </c>
      <c r="AP591" s="316">
        <v>46238</v>
      </c>
      <c r="AQ591" s="314"/>
      <c r="AR591" s="315" t="str">
        <f t="shared" si="41"/>
        <v>FINALIZADO</v>
      </c>
      <c r="AS591" s="207"/>
      <c r="AT591" s="207"/>
      <c r="AU591" s="225"/>
      <c r="AV591" s="207"/>
      <c r="AW591" s="207"/>
      <c r="AX591" s="207"/>
      <c r="AY591" s="207"/>
      <c r="AZ591" s="207"/>
      <c r="BA591" s="207"/>
      <c r="BB591" s="207"/>
      <c r="BC591" s="202"/>
      <c r="BD591" s="208"/>
      <c r="BE591" s="202"/>
      <c r="BF591" s="207"/>
      <c r="BG591" s="229"/>
      <c r="BH591" s="321" t="str">
        <f t="shared" si="42"/>
        <v/>
      </c>
      <c r="BI591" s="98" t="str">
        <f t="shared" si="43"/>
        <v>INDENIZAÇÃO</v>
      </c>
      <c r="BJ591" s="98" t="str">
        <f t="shared" si="44"/>
        <v>NÃO</v>
      </c>
      <c r="BK591" s="230"/>
      <c r="BL591" s="230"/>
      <c r="BM591" s="230"/>
      <c r="BN591" s="230"/>
      <c r="BO591" s="230"/>
      <c r="BP591" s="230"/>
      <c r="BQ591" s="230"/>
      <c r="BR591" s="234"/>
      <c r="BS591" s="240"/>
      <c r="BT591" s="240"/>
      <c r="BU591" s="240"/>
      <c r="BV591" s="240"/>
      <c r="BW591" s="240"/>
      <c r="BX591" s="240"/>
      <c r="BY591" s="240"/>
      <c r="BZ591" s="240"/>
      <c r="CA591" s="240"/>
      <c r="CB591" s="240"/>
      <c r="CC591" s="240"/>
      <c r="CD591" s="240"/>
      <c r="CE591" s="240"/>
      <c r="CF591" s="240"/>
      <c r="CG591" s="240"/>
      <c r="CH591" s="240"/>
      <c r="CI591" s="240"/>
      <c r="CJ591" s="240"/>
      <c r="CK591" s="240"/>
      <c r="CL591" s="240"/>
      <c r="CM591" s="240"/>
      <c r="CN591" s="240"/>
      <c r="CO591" s="240"/>
      <c r="CP591" s="240"/>
      <c r="CQ591" s="240"/>
      <c r="CR591" s="240"/>
      <c r="CS591" s="240"/>
      <c r="CT591" s="240"/>
      <c r="CU591" s="240"/>
      <c r="CV591" s="240"/>
      <c r="CW591" s="240"/>
      <c r="CX591" s="240"/>
      <c r="CY591" s="240"/>
      <c r="CZ591" s="240"/>
      <c r="DA591" s="240"/>
      <c r="DB591" s="240"/>
      <c r="DC591" s="240"/>
      <c r="DD591" s="240"/>
      <c r="DE591" s="240"/>
      <c r="DF591" s="240"/>
      <c r="DG591" s="240"/>
      <c r="DH591" s="240"/>
    </row>
    <row r="592" spans="1:112" ht="27" hidden="1" customHeight="1">
      <c r="A592" s="207">
        <v>588</v>
      </c>
      <c r="B592" s="197" t="s">
        <v>4396</v>
      </c>
      <c r="C592" s="207" t="s">
        <v>4427</v>
      </c>
      <c r="D592" s="207">
        <v>1</v>
      </c>
      <c r="E592" s="207" t="s">
        <v>4398</v>
      </c>
      <c r="F592" s="214" t="s">
        <v>6932</v>
      </c>
      <c r="G592" s="207" t="s">
        <v>4400</v>
      </c>
      <c r="H592" s="207" t="s">
        <v>4401</v>
      </c>
      <c r="I592" s="217" t="s">
        <v>4402</v>
      </c>
      <c r="J592" s="242" t="s">
        <v>6933</v>
      </c>
      <c r="K592" s="215"/>
      <c r="L592" s="215" t="s">
        <v>6934</v>
      </c>
      <c r="M592" s="207" t="s">
        <v>4405</v>
      </c>
      <c r="N592" s="207" t="s">
        <v>4406</v>
      </c>
      <c r="O592" s="202">
        <v>46176</v>
      </c>
      <c r="P592" s="202" t="s">
        <v>4407</v>
      </c>
      <c r="Q592" s="202">
        <v>46174</v>
      </c>
      <c r="R592" s="202">
        <v>46176</v>
      </c>
      <c r="S592" s="202">
        <v>46202</v>
      </c>
      <c r="T592" s="202">
        <v>46204</v>
      </c>
      <c r="U592" s="202" t="s">
        <v>4408</v>
      </c>
      <c r="V592" s="202" t="s">
        <v>4408</v>
      </c>
      <c r="W592" s="202">
        <v>46223</v>
      </c>
      <c r="X592" s="202"/>
      <c r="Y592" s="202"/>
      <c r="Z592" s="207"/>
      <c r="AA592" s="242"/>
      <c r="AB592" s="215"/>
      <c r="AC592" s="215"/>
      <c r="AD592" s="207"/>
      <c r="AE592" s="207"/>
      <c r="AF592" s="218"/>
      <c r="AG592" s="218"/>
      <c r="AH592" s="204"/>
      <c r="AI592" s="214" t="s">
        <v>4411</v>
      </c>
      <c r="AJ592" s="207"/>
      <c r="AK592" s="316"/>
      <c r="AL592" s="316"/>
      <c r="AM592" s="316"/>
      <c r="AN592" s="316"/>
      <c r="AO592" s="316"/>
      <c r="AP592" s="316"/>
      <c r="AQ592" s="314"/>
      <c r="AR592" s="315" t="str">
        <f t="shared" si="41"/>
        <v/>
      </c>
      <c r="AS592" s="207"/>
      <c r="AT592" s="207"/>
      <c r="AU592" s="225"/>
      <c r="AV592" s="207"/>
      <c r="AW592" s="207"/>
      <c r="AX592" s="207"/>
      <c r="AY592" s="207"/>
      <c r="AZ592" s="207"/>
      <c r="BA592" s="207"/>
      <c r="BB592" s="207"/>
      <c r="BC592" s="202"/>
      <c r="BD592" s="208"/>
      <c r="BE592" s="202"/>
      <c r="BF592" s="207"/>
      <c r="BG592" s="229"/>
      <c r="BH592" s="321" t="str">
        <f t="shared" si="42"/>
        <v/>
      </c>
      <c r="BI592" s="98" t="str">
        <f t="shared" si="43"/>
        <v>INDENIZAÇÃO</v>
      </c>
      <c r="BJ592" s="98" t="str">
        <f t="shared" si="44"/>
        <v>NÃO</v>
      </c>
      <c r="BK592" s="230"/>
      <c r="BL592" s="230"/>
      <c r="BM592" s="230"/>
      <c r="BN592" s="230"/>
      <c r="BO592" s="230"/>
      <c r="BP592" s="230"/>
      <c r="BQ592" s="230"/>
      <c r="BR592" s="234"/>
      <c r="BS592" s="240"/>
      <c r="BT592" s="240"/>
      <c r="BU592" s="240"/>
      <c r="BV592" s="240"/>
      <c r="BW592" s="240"/>
      <c r="BX592" s="240"/>
      <c r="BY592" s="240"/>
      <c r="BZ592" s="240"/>
      <c r="CA592" s="240"/>
      <c r="CB592" s="240"/>
      <c r="CC592" s="240"/>
      <c r="CD592" s="240"/>
      <c r="CE592" s="240"/>
      <c r="CF592" s="240"/>
      <c r="CG592" s="240"/>
      <c r="CH592" s="240"/>
      <c r="CI592" s="240"/>
      <c r="CJ592" s="240"/>
      <c r="CK592" s="240"/>
      <c r="CL592" s="240"/>
      <c r="CM592" s="240"/>
      <c r="CN592" s="240"/>
      <c r="CO592" s="240"/>
      <c r="CP592" s="240"/>
      <c r="CQ592" s="240"/>
      <c r="CR592" s="240"/>
      <c r="CS592" s="240"/>
      <c r="CT592" s="240"/>
      <c r="CU592" s="240"/>
      <c r="CV592" s="240"/>
      <c r="CW592" s="240"/>
      <c r="CX592" s="240"/>
      <c r="CY592" s="240"/>
      <c r="CZ592" s="240"/>
      <c r="DA592" s="240"/>
      <c r="DB592" s="240"/>
      <c r="DC592" s="240"/>
      <c r="DD592" s="240"/>
      <c r="DE592" s="240"/>
      <c r="DF592" s="240"/>
      <c r="DG592" s="240"/>
      <c r="DH592" s="240"/>
    </row>
    <row r="593" spans="1:112" ht="27" hidden="1" customHeight="1">
      <c r="A593" s="207">
        <v>589</v>
      </c>
      <c r="B593" s="197" t="s">
        <v>4396</v>
      </c>
      <c r="C593" s="207" t="s">
        <v>4427</v>
      </c>
      <c r="D593" s="207">
        <v>1</v>
      </c>
      <c r="E593" s="207" t="s">
        <v>4398</v>
      </c>
      <c r="F593" s="214" t="s">
        <v>6935</v>
      </c>
      <c r="G593" s="207" t="s">
        <v>4400</v>
      </c>
      <c r="H593" s="207" t="s">
        <v>4401</v>
      </c>
      <c r="I593" s="217" t="s">
        <v>4402</v>
      </c>
      <c r="J593" s="215" t="s">
        <v>6936</v>
      </c>
      <c r="K593" s="215" t="s">
        <v>6937</v>
      </c>
      <c r="L593" s="215" t="s">
        <v>6938</v>
      </c>
      <c r="M593" s="207" t="s">
        <v>4405</v>
      </c>
      <c r="N593" s="207" t="s">
        <v>4406</v>
      </c>
      <c r="O593" s="202">
        <v>46002</v>
      </c>
      <c r="P593" s="202" t="s">
        <v>4407</v>
      </c>
      <c r="Q593" s="202">
        <v>45999</v>
      </c>
      <c r="R593" s="202">
        <v>46006</v>
      </c>
      <c r="S593" s="202">
        <v>46006</v>
      </c>
      <c r="T593" s="202">
        <v>46009</v>
      </c>
      <c r="U593" s="202" t="s">
        <v>4408</v>
      </c>
      <c r="V593" s="202" t="s">
        <v>4408</v>
      </c>
      <c r="W593" s="202">
        <v>46014</v>
      </c>
      <c r="X593" s="202">
        <v>46015</v>
      </c>
      <c r="Y593" s="202"/>
      <c r="Z593" s="207"/>
      <c r="AA593" s="215" t="s">
        <v>6936</v>
      </c>
      <c r="AB593" s="215" t="s">
        <v>6937</v>
      </c>
      <c r="AC593" s="215" t="s">
        <v>6938</v>
      </c>
      <c r="AD593" s="207" t="s">
        <v>4402</v>
      </c>
      <c r="AE593" s="207" t="s">
        <v>4405</v>
      </c>
      <c r="AF593" s="218" t="s">
        <v>4409</v>
      </c>
      <c r="AG593" s="218" t="s">
        <v>4409</v>
      </c>
      <c r="AH593" s="197" t="s">
        <v>4410</v>
      </c>
      <c r="AI593" s="214" t="s">
        <v>4411</v>
      </c>
      <c r="AJ593" s="207"/>
      <c r="AK593" s="316">
        <v>45996</v>
      </c>
      <c r="AL593" s="316">
        <v>45996</v>
      </c>
      <c r="AM593" s="316">
        <v>45996</v>
      </c>
      <c r="AN593" s="316">
        <v>45996</v>
      </c>
      <c r="AO593" s="316">
        <v>45996</v>
      </c>
      <c r="AP593" s="316">
        <v>45996</v>
      </c>
      <c r="AQ593" s="314"/>
      <c r="AR593" s="315" t="str">
        <f t="shared" si="41"/>
        <v>FINALIZADO</v>
      </c>
      <c r="AS593" s="207"/>
      <c r="AT593" s="207"/>
      <c r="AU593" s="225"/>
      <c r="AV593" s="207"/>
      <c r="AW593" s="207"/>
      <c r="AX593" s="207"/>
      <c r="AY593" s="207"/>
      <c r="AZ593" s="202"/>
      <c r="BA593" s="219"/>
      <c r="BB593" s="207"/>
      <c r="BC593" s="202"/>
      <c r="BD593" s="208"/>
      <c r="BE593" s="202"/>
      <c r="BF593" s="207"/>
      <c r="BG593" s="229"/>
      <c r="BH593" s="321" t="str">
        <f t="shared" si="42"/>
        <v/>
      </c>
      <c r="BI593" s="98" t="str">
        <f t="shared" si="43"/>
        <v>AA</v>
      </c>
      <c r="BJ593" s="98" t="str">
        <f t="shared" si="44"/>
        <v>NÃO</v>
      </c>
      <c r="BK593" s="230"/>
      <c r="BL593" s="230"/>
      <c r="BM593" s="230"/>
      <c r="BN593" s="230"/>
      <c r="BO593" s="230"/>
      <c r="BP593" s="230"/>
      <c r="BQ593" s="230"/>
      <c r="BR593" s="234"/>
      <c r="BS593" s="240"/>
      <c r="BT593" s="240"/>
      <c r="BU593" s="240"/>
      <c r="BV593" s="240"/>
      <c r="BW593" s="240"/>
      <c r="BX593" s="240"/>
      <c r="BY593" s="240"/>
      <c r="BZ593" s="240"/>
      <c r="CA593" s="240"/>
      <c r="CB593" s="240"/>
      <c r="CC593" s="240"/>
      <c r="CD593" s="240"/>
      <c r="CE593" s="240"/>
      <c r="CF593" s="240"/>
      <c r="CG593" s="240"/>
      <c r="CH593" s="240"/>
      <c r="CI593" s="240"/>
      <c r="CJ593" s="240"/>
      <c r="CK593" s="240"/>
      <c r="CL593" s="240"/>
      <c r="CM593" s="240"/>
      <c r="CN593" s="240"/>
      <c r="CO593" s="240"/>
      <c r="CP593" s="240"/>
      <c r="CQ593" s="240"/>
      <c r="CR593" s="240"/>
      <c r="CS593" s="240"/>
      <c r="CT593" s="240"/>
      <c r="CU593" s="240"/>
      <c r="CV593" s="240"/>
      <c r="CW593" s="240"/>
      <c r="CX593" s="240"/>
      <c r="CY593" s="240"/>
      <c r="CZ593" s="240"/>
      <c r="DA593" s="240"/>
      <c r="DB593" s="240"/>
      <c r="DC593" s="240"/>
      <c r="DD593" s="240"/>
      <c r="DE593" s="240"/>
      <c r="DF593" s="240"/>
      <c r="DG593" s="240"/>
      <c r="DH593" s="240"/>
    </row>
    <row r="594" spans="1:112" ht="27" hidden="1" customHeight="1">
      <c r="A594" s="197">
        <v>590</v>
      </c>
      <c r="B594" s="197" t="s">
        <v>4396</v>
      </c>
      <c r="C594" s="207" t="s">
        <v>4427</v>
      </c>
      <c r="D594" s="207">
        <v>1</v>
      </c>
      <c r="E594" s="207" t="s">
        <v>4398</v>
      </c>
      <c r="F594" s="214" t="s">
        <v>6939</v>
      </c>
      <c r="G594" s="207" t="s">
        <v>4400</v>
      </c>
      <c r="H594" s="207" t="s">
        <v>4401</v>
      </c>
      <c r="I594" s="217" t="s">
        <v>4402</v>
      </c>
      <c r="J594" s="215" t="s">
        <v>6940</v>
      </c>
      <c r="K594" s="215" t="s">
        <v>6941</v>
      </c>
      <c r="L594" s="215" t="s">
        <v>6942</v>
      </c>
      <c r="M594" s="207" t="s">
        <v>4405</v>
      </c>
      <c r="N594" s="207" t="s">
        <v>4442</v>
      </c>
      <c r="O594" s="202" t="s">
        <v>4409</v>
      </c>
      <c r="P594" s="202" t="s">
        <v>4409</v>
      </c>
      <c r="Q594" s="202" t="s">
        <v>4409</v>
      </c>
      <c r="R594" s="202" t="s">
        <v>4409</v>
      </c>
      <c r="S594" s="202" t="s">
        <v>4409</v>
      </c>
      <c r="T594" s="202" t="s">
        <v>4409</v>
      </c>
      <c r="U594" s="202" t="s">
        <v>4409</v>
      </c>
      <c r="V594" s="202" t="s">
        <v>4409</v>
      </c>
      <c r="W594" s="202" t="s">
        <v>4409</v>
      </c>
      <c r="X594" s="202" t="s">
        <v>4409</v>
      </c>
      <c r="Y594" s="202"/>
      <c r="Z594" s="202"/>
      <c r="AA594" s="200" t="s">
        <v>6940</v>
      </c>
      <c r="AB594" s="200" t="s">
        <v>6941</v>
      </c>
      <c r="AC594" s="200" t="s">
        <v>6942</v>
      </c>
      <c r="AD594" s="199" t="s">
        <v>4402</v>
      </c>
      <c r="AE594" s="197" t="s">
        <v>4405</v>
      </c>
      <c r="AF594" s="243">
        <v>17507.61</v>
      </c>
      <c r="AG594" s="243">
        <v>47507.61</v>
      </c>
      <c r="AH594" s="197" t="s">
        <v>4433</v>
      </c>
      <c r="AI594" s="214" t="s">
        <v>4411</v>
      </c>
      <c r="AJ594" s="207">
        <v>153982636</v>
      </c>
      <c r="AK594" s="316">
        <v>46129</v>
      </c>
      <c r="AL594" s="316">
        <v>46129</v>
      </c>
      <c r="AM594" s="316">
        <v>46129</v>
      </c>
      <c r="AN594" s="316">
        <v>46129</v>
      </c>
      <c r="AO594" s="316">
        <v>46129</v>
      </c>
      <c r="AP594" s="316">
        <v>46129</v>
      </c>
      <c r="AQ594" s="314"/>
      <c r="AR594" s="315" t="str">
        <f t="shared" si="41"/>
        <v>FINALIZADO</v>
      </c>
      <c r="AS594" s="207" t="s">
        <v>4423</v>
      </c>
      <c r="AT594" s="207"/>
      <c r="AU594" s="225" t="s">
        <v>6943</v>
      </c>
      <c r="AV594" s="250" t="s">
        <v>4425</v>
      </c>
      <c r="AW594" s="207" t="s">
        <v>4425</v>
      </c>
      <c r="AX594" s="207" t="s">
        <v>4818</v>
      </c>
      <c r="AY594" s="207" t="s">
        <v>4818</v>
      </c>
      <c r="AZ594" s="202">
        <v>46233</v>
      </c>
      <c r="BA594" s="207" t="s">
        <v>4818</v>
      </c>
      <c r="BB594" s="207" t="s">
        <v>4818</v>
      </c>
      <c r="BC594" s="202">
        <v>46251</v>
      </c>
      <c r="BD594" s="227">
        <v>46251</v>
      </c>
      <c r="BE594" s="226" t="s">
        <v>4435</v>
      </c>
      <c r="BF594" s="228" t="s">
        <v>4436</v>
      </c>
      <c r="BG594" s="219" t="s">
        <v>4425</v>
      </c>
      <c r="BH594" s="321">
        <f t="shared" si="42"/>
        <v>122</v>
      </c>
      <c r="BI594" s="98" t="str">
        <f t="shared" si="43"/>
        <v>INDENIZAÇÃO</v>
      </c>
      <c r="BJ594" s="98" t="str">
        <f t="shared" si="44"/>
        <v>NÃO</v>
      </c>
      <c r="BK594" s="219" t="s">
        <v>4437</v>
      </c>
      <c r="BL594" s="219" t="s">
        <v>4437</v>
      </c>
      <c r="BM594" s="219" t="s">
        <v>4437</v>
      </c>
      <c r="BN594" s="257" t="s">
        <v>5732</v>
      </c>
      <c r="BO594" s="257"/>
      <c r="BP594" s="257"/>
      <c r="BQ594" s="257"/>
      <c r="BR594" s="258"/>
      <c r="BS594" s="240"/>
      <c r="BT594" s="240"/>
      <c r="BU594" s="240"/>
      <c r="BV594" s="240"/>
      <c r="BW594" s="240"/>
      <c r="BX594" s="240"/>
      <c r="BY594" s="240"/>
      <c r="BZ594" s="240"/>
      <c r="CA594" s="240"/>
      <c r="CB594" s="240"/>
      <c r="CC594" s="240"/>
      <c r="CD594" s="240"/>
      <c r="CE594" s="240"/>
      <c r="CF594" s="240"/>
      <c r="CG594" s="240"/>
      <c r="CH594" s="240"/>
      <c r="CI594" s="240"/>
      <c r="CJ594" s="240"/>
      <c r="CK594" s="240"/>
      <c r="CL594" s="240"/>
      <c r="CM594" s="240"/>
      <c r="CN594" s="240"/>
      <c r="CO594" s="240"/>
      <c r="CP594" s="240"/>
      <c r="CQ594" s="240"/>
      <c r="CR594" s="240"/>
      <c r="CS594" s="240"/>
      <c r="CT594" s="240"/>
      <c r="CU594" s="240"/>
      <c r="CV594" s="240"/>
      <c r="CW594" s="240"/>
      <c r="CX594" s="240"/>
      <c r="CY594" s="240"/>
      <c r="CZ594" s="240"/>
      <c r="DA594" s="240"/>
      <c r="DB594" s="240"/>
      <c r="DC594" s="240"/>
      <c r="DD594" s="240"/>
      <c r="DE594" s="240"/>
      <c r="DF594" s="240"/>
      <c r="DG594" s="240"/>
      <c r="DH594" s="240"/>
    </row>
    <row r="595" spans="1:112" ht="27" hidden="1" customHeight="1">
      <c r="A595" s="197">
        <v>591</v>
      </c>
      <c r="B595" s="197" t="s">
        <v>4396</v>
      </c>
      <c r="C595" s="207" t="s">
        <v>4427</v>
      </c>
      <c r="D595" s="207">
        <v>1</v>
      </c>
      <c r="E595" s="207" t="s">
        <v>4398</v>
      </c>
      <c r="F595" s="214" t="s">
        <v>6944</v>
      </c>
      <c r="G595" s="207" t="s">
        <v>4400</v>
      </c>
      <c r="H595" s="207" t="s">
        <v>4401</v>
      </c>
      <c r="I595" s="217" t="s">
        <v>4402</v>
      </c>
      <c r="J595" s="215" t="s">
        <v>6945</v>
      </c>
      <c r="K595" s="215" t="s">
        <v>6946</v>
      </c>
      <c r="L595" s="215" t="s">
        <v>6947</v>
      </c>
      <c r="M595" s="207" t="s">
        <v>4405</v>
      </c>
      <c r="N595" s="207" t="s">
        <v>4406</v>
      </c>
      <c r="O595" s="203">
        <v>46031</v>
      </c>
      <c r="P595" s="202" t="s">
        <v>4407</v>
      </c>
      <c r="Q595" s="203">
        <v>46030</v>
      </c>
      <c r="R595" s="203">
        <v>46031</v>
      </c>
      <c r="S595" s="203">
        <v>46036</v>
      </c>
      <c r="T595" s="203">
        <v>46045</v>
      </c>
      <c r="U595" s="203" t="s">
        <v>4408</v>
      </c>
      <c r="V595" s="203" t="s">
        <v>4408</v>
      </c>
      <c r="W595" s="202">
        <v>46055</v>
      </c>
      <c r="X595" s="202">
        <v>46056</v>
      </c>
      <c r="Y595" s="202"/>
      <c r="Z595" s="207"/>
      <c r="AA595" s="215" t="s">
        <v>6945</v>
      </c>
      <c r="AB595" s="215" t="s">
        <v>6946</v>
      </c>
      <c r="AC595" s="215" t="s">
        <v>6947</v>
      </c>
      <c r="AD595" s="207" t="s">
        <v>4402</v>
      </c>
      <c r="AE595" s="207" t="s">
        <v>4405</v>
      </c>
      <c r="AF595" s="218" t="s">
        <v>4409</v>
      </c>
      <c r="AG595" s="218" t="s">
        <v>4409</v>
      </c>
      <c r="AH595" s="207" t="s">
        <v>4410</v>
      </c>
      <c r="AI595" s="214" t="s">
        <v>4411</v>
      </c>
      <c r="AJ595" s="207"/>
      <c r="AK595" s="316">
        <v>45994</v>
      </c>
      <c r="AL595" s="316">
        <v>45994</v>
      </c>
      <c r="AM595" s="316">
        <v>45994</v>
      </c>
      <c r="AN595" s="316">
        <v>45994</v>
      </c>
      <c r="AO595" s="316">
        <v>45994</v>
      </c>
      <c r="AP595" s="316">
        <v>45994</v>
      </c>
      <c r="AQ595" s="314"/>
      <c r="AR595" s="315" t="str">
        <f t="shared" si="41"/>
        <v>FINALIZADO</v>
      </c>
      <c r="AS595" s="207"/>
      <c r="AT595" s="207"/>
      <c r="AU595" s="225"/>
      <c r="AV595" s="207"/>
      <c r="AW595" s="207"/>
      <c r="AX595" s="207"/>
      <c r="AY595" s="207"/>
      <c r="AZ595" s="202"/>
      <c r="BA595" s="219"/>
      <c r="BB595" s="207"/>
      <c r="BC595" s="202"/>
      <c r="BD595" s="208"/>
      <c r="BE595" s="202"/>
      <c r="BF595" s="207"/>
      <c r="BG595" s="229"/>
      <c r="BH595" s="321" t="str">
        <f t="shared" si="42"/>
        <v/>
      </c>
      <c r="BI595" s="98" t="str">
        <f t="shared" si="43"/>
        <v>AA</v>
      </c>
      <c r="BJ595" s="98" t="str">
        <f t="shared" si="44"/>
        <v>NÃO</v>
      </c>
      <c r="BK595" s="230"/>
      <c r="BL595" s="230"/>
      <c r="BM595" s="230"/>
      <c r="BN595" s="230"/>
      <c r="BO595" s="230"/>
      <c r="BP595" s="230"/>
      <c r="BQ595" s="230"/>
      <c r="BR595" s="234"/>
      <c r="BS595" s="240"/>
      <c r="BT595" s="240"/>
      <c r="BU595" s="240"/>
      <c r="BV595" s="240"/>
      <c r="BW595" s="240"/>
      <c r="BX595" s="240"/>
      <c r="BY595" s="240"/>
      <c r="BZ595" s="240"/>
      <c r="CA595" s="240"/>
      <c r="CB595" s="240"/>
      <c r="CC595" s="240"/>
      <c r="CD595" s="240"/>
      <c r="CE595" s="240"/>
      <c r="CF595" s="240"/>
      <c r="CG595" s="240"/>
      <c r="CH595" s="240"/>
      <c r="CI595" s="240"/>
      <c r="CJ595" s="240"/>
      <c r="CK595" s="240"/>
      <c r="CL595" s="240"/>
      <c r="CM595" s="240"/>
      <c r="CN595" s="240"/>
      <c r="CO595" s="240"/>
      <c r="CP595" s="240"/>
      <c r="CQ595" s="240"/>
      <c r="CR595" s="240"/>
      <c r="CS595" s="240"/>
      <c r="CT595" s="240"/>
      <c r="CU595" s="240"/>
      <c r="CV595" s="240"/>
      <c r="CW595" s="240"/>
      <c r="CX595" s="240"/>
      <c r="CY595" s="240"/>
      <c r="CZ595" s="240"/>
      <c r="DA595" s="240"/>
      <c r="DB595" s="240"/>
      <c r="DC595" s="240"/>
      <c r="DD595" s="240"/>
      <c r="DE595" s="240"/>
      <c r="DF595" s="240"/>
      <c r="DG595" s="240"/>
      <c r="DH595" s="240"/>
    </row>
    <row r="596" spans="1:112" ht="27" hidden="1" customHeight="1">
      <c r="A596" s="207">
        <v>592</v>
      </c>
      <c r="B596" s="197" t="s">
        <v>4396</v>
      </c>
      <c r="C596" s="207" t="s">
        <v>4427</v>
      </c>
      <c r="D596" s="207">
        <v>1</v>
      </c>
      <c r="E596" s="207" t="s">
        <v>4398</v>
      </c>
      <c r="F596" s="214" t="s">
        <v>6948</v>
      </c>
      <c r="G596" s="207" t="s">
        <v>4400</v>
      </c>
      <c r="H596" s="207" t="s">
        <v>4401</v>
      </c>
      <c r="I596" s="217" t="s">
        <v>4402</v>
      </c>
      <c r="J596" s="215" t="s">
        <v>6949</v>
      </c>
      <c r="K596" s="215" t="s">
        <v>6950</v>
      </c>
      <c r="L596" s="215" t="s">
        <v>6951</v>
      </c>
      <c r="M596" s="207" t="s">
        <v>4405</v>
      </c>
      <c r="N596" s="207" t="s">
        <v>4442</v>
      </c>
      <c r="O596" s="202" t="s">
        <v>4409</v>
      </c>
      <c r="P596" s="202" t="s">
        <v>4409</v>
      </c>
      <c r="Q596" s="202" t="s">
        <v>4409</v>
      </c>
      <c r="R596" s="202" t="s">
        <v>4409</v>
      </c>
      <c r="S596" s="202" t="s">
        <v>4409</v>
      </c>
      <c r="T596" s="202" t="s">
        <v>4409</v>
      </c>
      <c r="U596" s="202" t="s">
        <v>4409</v>
      </c>
      <c r="V596" s="202" t="s">
        <v>4409</v>
      </c>
      <c r="W596" s="202" t="s">
        <v>4409</v>
      </c>
      <c r="X596" s="202" t="s">
        <v>4409</v>
      </c>
      <c r="Y596" s="202"/>
      <c r="Z596" s="202"/>
      <c r="AA596" s="215" t="s">
        <v>6949</v>
      </c>
      <c r="AB596" s="215" t="s">
        <v>6950</v>
      </c>
      <c r="AC596" s="215" t="s">
        <v>6951</v>
      </c>
      <c r="AD596" s="207" t="s">
        <v>4402</v>
      </c>
      <c r="AE596" s="207" t="s">
        <v>4405</v>
      </c>
      <c r="AF596" s="218">
        <v>28530.17</v>
      </c>
      <c r="AG596" s="218">
        <f>AF596+30000</f>
        <v>58530.17</v>
      </c>
      <c r="AH596" s="207" t="s">
        <v>4433</v>
      </c>
      <c r="AI596" s="214" t="s">
        <v>4411</v>
      </c>
      <c r="AJ596" s="207">
        <v>146670504</v>
      </c>
      <c r="AK596" s="316">
        <v>46001</v>
      </c>
      <c r="AL596" s="316">
        <v>46001</v>
      </c>
      <c r="AM596" s="316">
        <v>46001</v>
      </c>
      <c r="AN596" s="316">
        <v>46001</v>
      </c>
      <c r="AO596" s="316">
        <v>46001</v>
      </c>
      <c r="AP596" s="316">
        <v>46001</v>
      </c>
      <c r="AQ596" s="314"/>
      <c r="AR596" s="315" t="str">
        <f t="shared" si="41"/>
        <v>FINALIZADO</v>
      </c>
      <c r="AS596" s="207" t="s">
        <v>4423</v>
      </c>
      <c r="AT596" s="219"/>
      <c r="AU596" s="225" t="s">
        <v>6952</v>
      </c>
      <c r="AV596" s="160" t="s">
        <v>4425</v>
      </c>
      <c r="AW596" s="207" t="s">
        <v>4425</v>
      </c>
      <c r="AX596" s="207" t="s">
        <v>4425</v>
      </c>
      <c r="AY596" s="207" t="s">
        <v>4425</v>
      </c>
      <c r="AZ596" s="203">
        <v>46017</v>
      </c>
      <c r="BA596" s="219" t="s">
        <v>4425</v>
      </c>
      <c r="BB596" s="207" t="s">
        <v>4425</v>
      </c>
      <c r="BC596" s="208">
        <v>46024</v>
      </c>
      <c r="BD596" s="227">
        <v>46024</v>
      </c>
      <c r="BE596" s="226" t="s">
        <v>4435</v>
      </c>
      <c r="BF596" s="228" t="s">
        <v>4436</v>
      </c>
      <c r="BG596" s="229" t="s">
        <v>4425</v>
      </c>
      <c r="BH596" s="321">
        <f t="shared" si="42"/>
        <v>23</v>
      </c>
      <c r="BI596" s="98" t="str">
        <f t="shared" si="43"/>
        <v>INDENIZAÇÃO</v>
      </c>
      <c r="BJ596" s="98" t="str">
        <f t="shared" si="44"/>
        <v>NÃO</v>
      </c>
      <c r="BK596" s="230" t="s">
        <v>4437</v>
      </c>
      <c r="BL596" s="230" t="s">
        <v>4437</v>
      </c>
      <c r="BM596" s="230" t="s">
        <v>4437</v>
      </c>
      <c r="BN596" s="265" t="s">
        <v>5732</v>
      </c>
      <c r="BO596" s="265"/>
      <c r="BP596" s="265"/>
      <c r="BQ596" s="265"/>
      <c r="BR596" s="231"/>
      <c r="BS596" s="240"/>
      <c r="BT596" s="240"/>
      <c r="BU596" s="240"/>
      <c r="BV596" s="240"/>
      <c r="BW596" s="240"/>
      <c r="BX596" s="240"/>
      <c r="BY596" s="240"/>
      <c r="BZ596" s="240"/>
      <c r="CA596" s="240"/>
      <c r="CB596" s="240"/>
      <c r="CC596" s="240"/>
      <c r="CD596" s="240"/>
      <c r="CE596" s="240"/>
      <c r="CF596" s="240"/>
      <c r="CG596" s="240"/>
      <c r="CH596" s="240"/>
      <c r="CI596" s="240"/>
      <c r="CJ596" s="240"/>
      <c r="CK596" s="240"/>
      <c r="CL596" s="240"/>
      <c r="CM596" s="240"/>
      <c r="CN596" s="240"/>
      <c r="CO596" s="240"/>
      <c r="CP596" s="240"/>
      <c r="CQ596" s="240"/>
      <c r="CR596" s="240"/>
      <c r="CS596" s="240"/>
      <c r="CT596" s="240"/>
      <c r="CU596" s="240"/>
      <c r="CV596" s="240"/>
      <c r="CW596" s="240"/>
      <c r="CX596" s="240"/>
      <c r="CY596" s="240"/>
      <c r="CZ596" s="240"/>
      <c r="DA596" s="240"/>
      <c r="DB596" s="240"/>
      <c r="DC596" s="240"/>
      <c r="DD596" s="240"/>
      <c r="DE596" s="240"/>
      <c r="DF596" s="240"/>
      <c r="DG596" s="240"/>
      <c r="DH596" s="240"/>
    </row>
    <row r="597" spans="1:112" ht="27" hidden="1" customHeight="1">
      <c r="A597" s="207">
        <v>593</v>
      </c>
      <c r="B597" s="197" t="s">
        <v>4396</v>
      </c>
      <c r="C597" s="207" t="s">
        <v>4427</v>
      </c>
      <c r="D597" s="207">
        <v>1</v>
      </c>
      <c r="E597" s="207" t="s">
        <v>4398</v>
      </c>
      <c r="F597" s="214" t="s">
        <v>6953</v>
      </c>
      <c r="G597" s="207" t="s">
        <v>4400</v>
      </c>
      <c r="H597" s="207" t="s">
        <v>4401</v>
      </c>
      <c r="I597" s="217" t="s">
        <v>4402</v>
      </c>
      <c r="J597" s="255" t="s">
        <v>6954</v>
      </c>
      <c r="K597" s="215" t="s">
        <v>6955</v>
      </c>
      <c r="L597" s="215" t="s">
        <v>6956</v>
      </c>
      <c r="M597" s="207" t="s">
        <v>4405</v>
      </c>
      <c r="N597" s="207" t="s">
        <v>4406</v>
      </c>
      <c r="O597" s="202">
        <v>46031</v>
      </c>
      <c r="P597" s="202" t="s">
        <v>4407</v>
      </c>
      <c r="Q597" s="202">
        <v>46023</v>
      </c>
      <c r="R597" s="202">
        <v>46023</v>
      </c>
      <c r="S597" s="202">
        <v>46036</v>
      </c>
      <c r="T597" s="202">
        <v>46045</v>
      </c>
      <c r="U597" s="202" t="s">
        <v>4408</v>
      </c>
      <c r="V597" s="202" t="s">
        <v>4408</v>
      </c>
      <c r="W597" s="202">
        <v>46055</v>
      </c>
      <c r="X597" s="202">
        <v>46056</v>
      </c>
      <c r="Y597" s="203"/>
      <c r="Z597" s="219"/>
      <c r="AA597" s="255" t="s">
        <v>6954</v>
      </c>
      <c r="AB597" s="215" t="s">
        <v>6955</v>
      </c>
      <c r="AC597" s="215" t="s">
        <v>6956</v>
      </c>
      <c r="AD597" s="207" t="s">
        <v>4402</v>
      </c>
      <c r="AE597" s="207" t="s">
        <v>4405</v>
      </c>
      <c r="AF597" s="218" t="s">
        <v>4409</v>
      </c>
      <c r="AG597" s="218" t="s">
        <v>4409</v>
      </c>
      <c r="AH597" s="207" t="s">
        <v>4410</v>
      </c>
      <c r="AI597" s="214" t="s">
        <v>4411</v>
      </c>
      <c r="AJ597" s="207"/>
      <c r="AK597" s="317"/>
      <c r="AL597" s="317"/>
      <c r="AM597" s="317"/>
      <c r="AN597" s="317"/>
      <c r="AO597" s="317"/>
      <c r="AP597" s="317"/>
      <c r="AQ597" s="314"/>
      <c r="AR597" s="315" t="str">
        <f t="shared" si="41"/>
        <v/>
      </c>
      <c r="AS597" s="207"/>
      <c r="AT597" s="219"/>
      <c r="AU597" s="225"/>
      <c r="AV597" s="219"/>
      <c r="AW597" s="219"/>
      <c r="AX597" s="219"/>
      <c r="AY597" s="219"/>
      <c r="AZ597" s="219"/>
      <c r="BA597" s="219"/>
      <c r="BB597" s="219"/>
      <c r="BC597" s="219"/>
      <c r="BD597" s="208"/>
      <c r="BE597" s="203"/>
      <c r="BF597" s="219"/>
      <c r="BG597" s="219"/>
      <c r="BH597" s="321" t="str">
        <f t="shared" si="42"/>
        <v/>
      </c>
      <c r="BI597" s="98" t="str">
        <f t="shared" si="43"/>
        <v>AA</v>
      </c>
      <c r="BJ597" s="98" t="str">
        <f t="shared" si="44"/>
        <v>NÃO</v>
      </c>
      <c r="BK597" s="219"/>
      <c r="BL597" s="221"/>
      <c r="BM597" s="221"/>
      <c r="BN597" s="219"/>
      <c r="BO597" s="219"/>
      <c r="BP597" s="219"/>
      <c r="BQ597" s="219"/>
      <c r="BR597" s="222"/>
      <c r="BS597" s="240"/>
      <c r="BT597" s="240"/>
      <c r="BU597" s="240"/>
      <c r="BV597" s="240"/>
      <c r="BW597" s="240"/>
      <c r="BX597" s="240"/>
      <c r="BY597" s="240"/>
      <c r="BZ597" s="240"/>
      <c r="CA597" s="240"/>
      <c r="CB597" s="240"/>
      <c r="CC597" s="240"/>
      <c r="CD597" s="240"/>
      <c r="CE597" s="240"/>
      <c r="CF597" s="240"/>
      <c r="CG597" s="240"/>
      <c r="CH597" s="240"/>
      <c r="CI597" s="240"/>
      <c r="CJ597" s="240"/>
      <c r="CK597" s="240"/>
      <c r="CL597" s="240"/>
      <c r="CM597" s="240"/>
      <c r="CN597" s="240"/>
      <c r="CO597" s="240"/>
      <c r="CP597" s="240"/>
      <c r="CQ597" s="240"/>
      <c r="CR597" s="240"/>
      <c r="CS597" s="240"/>
      <c r="CT597" s="240"/>
      <c r="CU597" s="240"/>
      <c r="CV597" s="240"/>
      <c r="CW597" s="240"/>
      <c r="CX597" s="240"/>
      <c r="CY597" s="240"/>
      <c r="CZ597" s="240"/>
      <c r="DA597" s="240"/>
      <c r="DB597" s="240"/>
      <c r="DC597" s="240"/>
      <c r="DD597" s="240"/>
      <c r="DE597" s="240"/>
      <c r="DF597" s="240"/>
      <c r="DG597" s="240"/>
      <c r="DH597" s="240"/>
    </row>
    <row r="598" spans="1:112" ht="27" hidden="1" customHeight="1">
      <c r="A598" s="207">
        <v>594</v>
      </c>
      <c r="B598" s="197" t="s">
        <v>4396</v>
      </c>
      <c r="C598" s="207" t="s">
        <v>4427</v>
      </c>
      <c r="D598" s="207">
        <v>1</v>
      </c>
      <c r="E598" s="207" t="s">
        <v>4398</v>
      </c>
      <c r="F598" s="214" t="s">
        <v>6957</v>
      </c>
      <c r="G598" s="207" t="s">
        <v>4400</v>
      </c>
      <c r="H598" s="207" t="s">
        <v>4401</v>
      </c>
      <c r="I598" s="217" t="s">
        <v>4402</v>
      </c>
      <c r="J598" s="242" t="s">
        <v>6958</v>
      </c>
      <c r="K598" s="215" t="s">
        <v>6959</v>
      </c>
      <c r="L598" s="215" t="s">
        <v>6960</v>
      </c>
      <c r="M598" s="207" t="s">
        <v>4405</v>
      </c>
      <c r="N598" s="207" t="s">
        <v>4406</v>
      </c>
      <c r="O598" s="203">
        <v>46090</v>
      </c>
      <c r="P598" s="202" t="s">
        <v>4407</v>
      </c>
      <c r="Q598" s="202">
        <v>46090</v>
      </c>
      <c r="R598" s="202">
        <v>46099</v>
      </c>
      <c r="S598" s="202">
        <v>46101</v>
      </c>
      <c r="T598" s="202">
        <v>46118</v>
      </c>
      <c r="U598" s="202" t="s">
        <v>4408</v>
      </c>
      <c r="V598" s="202" t="s">
        <v>4408</v>
      </c>
      <c r="W598" s="202">
        <v>46118</v>
      </c>
      <c r="X598" s="202">
        <v>46118</v>
      </c>
      <c r="Y598" s="202"/>
      <c r="Z598" s="207"/>
      <c r="AA598" s="242" t="s">
        <v>6958</v>
      </c>
      <c r="AB598" s="215" t="s">
        <v>6959</v>
      </c>
      <c r="AC598" s="215" t="s">
        <v>6960</v>
      </c>
      <c r="AD598" s="207" t="s">
        <v>4402</v>
      </c>
      <c r="AE598" s="207" t="s">
        <v>4405</v>
      </c>
      <c r="AF598" s="218" t="s">
        <v>4409</v>
      </c>
      <c r="AG598" s="218" t="s">
        <v>4409</v>
      </c>
      <c r="AH598" s="207" t="s">
        <v>4410</v>
      </c>
      <c r="AI598" s="214" t="s">
        <v>4411</v>
      </c>
      <c r="AJ598" s="207"/>
      <c r="AK598" s="316">
        <v>46091</v>
      </c>
      <c r="AL598" s="316">
        <v>46091</v>
      </c>
      <c r="AM598" s="316">
        <v>46091</v>
      </c>
      <c r="AN598" s="316">
        <v>46091</v>
      </c>
      <c r="AO598" s="316">
        <v>46091</v>
      </c>
      <c r="AP598" s="316">
        <v>46091</v>
      </c>
      <c r="AQ598" s="314"/>
      <c r="AR598" s="315" t="str">
        <f t="shared" si="41"/>
        <v>FINALIZADO</v>
      </c>
      <c r="AS598" s="207"/>
      <c r="AT598" s="207"/>
      <c r="AU598" s="225"/>
      <c r="AV598" s="207"/>
      <c r="AW598" s="207"/>
      <c r="AX598" s="207"/>
      <c r="AY598" s="207"/>
      <c r="AZ598" s="202"/>
      <c r="BA598" s="207"/>
      <c r="BB598" s="207"/>
      <c r="BC598" s="202"/>
      <c r="BD598" s="208"/>
      <c r="BE598" s="202"/>
      <c r="BF598" s="207"/>
      <c r="BG598" s="229"/>
      <c r="BH598" s="321" t="str">
        <f t="shared" si="42"/>
        <v/>
      </c>
      <c r="BI598" s="98" t="str">
        <f t="shared" si="43"/>
        <v>AA</v>
      </c>
      <c r="BJ598" s="98" t="str">
        <f t="shared" si="44"/>
        <v>NÃO</v>
      </c>
      <c r="BK598" s="230"/>
      <c r="BL598" s="230"/>
      <c r="BM598" s="230"/>
      <c r="BN598" s="230"/>
      <c r="BO598" s="230"/>
      <c r="BP598" s="230"/>
      <c r="BQ598" s="230"/>
      <c r="BR598" s="234"/>
      <c r="BS598" s="240"/>
      <c r="BT598" s="240"/>
      <c r="BU598" s="240"/>
      <c r="BV598" s="240"/>
      <c r="BW598" s="240"/>
      <c r="BX598" s="240"/>
      <c r="BY598" s="240"/>
      <c r="BZ598" s="240"/>
      <c r="CA598" s="240"/>
      <c r="CB598" s="240"/>
      <c r="CC598" s="240"/>
      <c r="CD598" s="240"/>
      <c r="CE598" s="240"/>
      <c r="CF598" s="240"/>
      <c r="CG598" s="240"/>
      <c r="CH598" s="240"/>
      <c r="CI598" s="240"/>
      <c r="CJ598" s="240"/>
      <c r="CK598" s="240"/>
      <c r="CL598" s="240"/>
      <c r="CM598" s="240"/>
      <c r="CN598" s="240"/>
      <c r="CO598" s="240"/>
      <c r="CP598" s="240"/>
      <c r="CQ598" s="240"/>
      <c r="CR598" s="240"/>
      <c r="CS598" s="240"/>
      <c r="CT598" s="240"/>
      <c r="CU598" s="240"/>
      <c r="CV598" s="240"/>
      <c r="CW598" s="240"/>
      <c r="CX598" s="240"/>
      <c r="CY598" s="240"/>
      <c r="CZ598" s="240"/>
      <c r="DA598" s="240"/>
      <c r="DB598" s="240"/>
      <c r="DC598" s="240"/>
      <c r="DD598" s="240"/>
      <c r="DE598" s="240"/>
      <c r="DF598" s="240"/>
      <c r="DG598" s="240"/>
      <c r="DH598" s="240"/>
    </row>
    <row r="599" spans="1:112" ht="27" hidden="1" customHeight="1">
      <c r="A599" s="197">
        <v>595</v>
      </c>
      <c r="B599" s="197" t="s">
        <v>4396</v>
      </c>
      <c r="C599" s="207" t="s">
        <v>4427</v>
      </c>
      <c r="D599" s="207">
        <v>1</v>
      </c>
      <c r="E599" s="207" t="s">
        <v>4398</v>
      </c>
      <c r="F599" s="214" t="s">
        <v>6961</v>
      </c>
      <c r="G599" s="207" t="s">
        <v>4400</v>
      </c>
      <c r="H599" s="207" t="s">
        <v>4401</v>
      </c>
      <c r="I599" s="217" t="s">
        <v>4402</v>
      </c>
      <c r="J599" s="215" t="s">
        <v>6962</v>
      </c>
      <c r="K599" s="215" t="s">
        <v>6963</v>
      </c>
      <c r="L599" s="215" t="s">
        <v>6964</v>
      </c>
      <c r="M599" s="207" t="s">
        <v>4405</v>
      </c>
      <c r="N599" s="207" t="s">
        <v>4406</v>
      </c>
      <c r="O599" s="203">
        <v>46031</v>
      </c>
      <c r="P599" s="202" t="s">
        <v>4407</v>
      </c>
      <c r="Q599" s="203">
        <v>46030</v>
      </c>
      <c r="R599" s="203">
        <v>46031</v>
      </c>
      <c r="S599" s="203">
        <v>46036</v>
      </c>
      <c r="T599" s="203">
        <v>46045</v>
      </c>
      <c r="U599" s="203" t="s">
        <v>4408</v>
      </c>
      <c r="V599" s="203" t="s">
        <v>4408</v>
      </c>
      <c r="W599" s="202">
        <v>46055</v>
      </c>
      <c r="X599" s="202">
        <v>46057</v>
      </c>
      <c r="Y599" s="202"/>
      <c r="Z599" s="207"/>
      <c r="AA599" s="215" t="s">
        <v>6962</v>
      </c>
      <c r="AB599" s="215" t="s">
        <v>6963</v>
      </c>
      <c r="AC599" s="215" t="s">
        <v>6964</v>
      </c>
      <c r="AD599" s="207" t="s">
        <v>4402</v>
      </c>
      <c r="AE599" s="207" t="s">
        <v>4405</v>
      </c>
      <c r="AF599" s="218" t="s">
        <v>4409</v>
      </c>
      <c r="AG599" s="218" t="s">
        <v>4409</v>
      </c>
      <c r="AH599" s="207" t="s">
        <v>4410</v>
      </c>
      <c r="AI599" s="214" t="s">
        <v>4411</v>
      </c>
      <c r="AJ599" s="207"/>
      <c r="AK599" s="316">
        <v>45996</v>
      </c>
      <c r="AL599" s="316">
        <v>45996</v>
      </c>
      <c r="AM599" s="316">
        <v>45996</v>
      </c>
      <c r="AN599" s="316">
        <v>45996</v>
      </c>
      <c r="AO599" s="316">
        <v>45996</v>
      </c>
      <c r="AP599" s="316">
        <v>45996</v>
      </c>
      <c r="AQ599" s="314"/>
      <c r="AR599" s="315" t="str">
        <f t="shared" si="41"/>
        <v>FINALIZADO</v>
      </c>
      <c r="AS599" s="207"/>
      <c r="AT599" s="207"/>
      <c r="AU599" s="225"/>
      <c r="AV599" s="207"/>
      <c r="AW599" s="207"/>
      <c r="AX599" s="207"/>
      <c r="AY599" s="207"/>
      <c r="AZ599" s="202"/>
      <c r="BA599" s="219"/>
      <c r="BB599" s="207"/>
      <c r="BC599" s="202"/>
      <c r="BD599" s="208"/>
      <c r="BE599" s="202"/>
      <c r="BF599" s="207"/>
      <c r="BG599" s="229"/>
      <c r="BH599" s="321" t="str">
        <f t="shared" si="42"/>
        <v/>
      </c>
      <c r="BI599" s="98" t="str">
        <f t="shared" si="43"/>
        <v>AA</v>
      </c>
      <c r="BJ599" s="98" t="str">
        <f t="shared" si="44"/>
        <v>NÃO</v>
      </c>
      <c r="BK599" s="230"/>
      <c r="BL599" s="230"/>
      <c r="BM599" s="230"/>
      <c r="BN599" s="230"/>
      <c r="BO599" s="230"/>
      <c r="BP599" s="230"/>
      <c r="BQ599" s="230"/>
      <c r="BR599" s="234"/>
      <c r="BS599" s="240"/>
      <c r="BT599" s="240"/>
      <c r="BU599" s="240"/>
      <c r="BV599" s="240"/>
      <c r="BW599" s="240"/>
      <c r="BX599" s="240"/>
      <c r="BY599" s="240"/>
      <c r="BZ599" s="240"/>
      <c r="CA599" s="240"/>
      <c r="CB599" s="240"/>
      <c r="CC599" s="240"/>
      <c r="CD599" s="240"/>
      <c r="CE599" s="240"/>
      <c r="CF599" s="240"/>
      <c r="CG599" s="240"/>
      <c r="CH599" s="240"/>
      <c r="CI599" s="240"/>
      <c r="CJ599" s="240"/>
      <c r="CK599" s="240"/>
      <c r="CL599" s="240"/>
      <c r="CM599" s="240"/>
      <c r="CN599" s="240"/>
      <c r="CO599" s="240"/>
      <c r="CP599" s="240"/>
      <c r="CQ599" s="240"/>
      <c r="CR599" s="240"/>
      <c r="CS599" s="240"/>
      <c r="CT599" s="240"/>
      <c r="CU599" s="240"/>
      <c r="CV599" s="240"/>
      <c r="CW599" s="240"/>
      <c r="CX599" s="240"/>
      <c r="CY599" s="240"/>
      <c r="CZ599" s="240"/>
      <c r="DA599" s="240"/>
      <c r="DB599" s="240"/>
      <c r="DC599" s="240"/>
      <c r="DD599" s="240"/>
      <c r="DE599" s="240"/>
      <c r="DF599" s="240"/>
      <c r="DG599" s="240"/>
      <c r="DH599" s="240"/>
    </row>
    <row r="600" spans="1:112" ht="27" hidden="1" customHeight="1">
      <c r="A600" s="197">
        <v>596</v>
      </c>
      <c r="B600" s="197" t="s">
        <v>4396</v>
      </c>
      <c r="C600" s="207" t="s">
        <v>4427</v>
      </c>
      <c r="D600" s="207">
        <v>1</v>
      </c>
      <c r="E600" s="207" t="s">
        <v>4398</v>
      </c>
      <c r="F600" s="214" t="s">
        <v>6965</v>
      </c>
      <c r="G600" s="207" t="s">
        <v>4400</v>
      </c>
      <c r="H600" s="207" t="s">
        <v>4401</v>
      </c>
      <c r="I600" s="217" t="s">
        <v>4402</v>
      </c>
      <c r="J600" s="215" t="s">
        <v>6966</v>
      </c>
      <c r="K600" s="215" t="s">
        <v>6967</v>
      </c>
      <c r="L600" s="215" t="s">
        <v>6968</v>
      </c>
      <c r="M600" s="207" t="s">
        <v>4405</v>
      </c>
      <c r="N600" s="207" t="s">
        <v>4406</v>
      </c>
      <c r="O600" s="202">
        <v>45986</v>
      </c>
      <c r="P600" s="203" t="s">
        <v>4407</v>
      </c>
      <c r="Q600" s="203">
        <v>45985</v>
      </c>
      <c r="R600" s="203">
        <v>45986</v>
      </c>
      <c r="S600" s="203">
        <v>45987</v>
      </c>
      <c r="T600" s="203">
        <v>45992</v>
      </c>
      <c r="U600" s="202" t="s">
        <v>4408</v>
      </c>
      <c r="V600" s="202" t="s">
        <v>4408</v>
      </c>
      <c r="W600" s="202">
        <v>45999</v>
      </c>
      <c r="X600" s="202">
        <v>46000</v>
      </c>
      <c r="Y600" s="202"/>
      <c r="Z600" s="207"/>
      <c r="AA600" s="215" t="s">
        <v>6966</v>
      </c>
      <c r="AB600" s="215" t="s">
        <v>6967</v>
      </c>
      <c r="AC600" s="215" t="s">
        <v>6968</v>
      </c>
      <c r="AD600" s="207" t="s">
        <v>4402</v>
      </c>
      <c r="AE600" s="207" t="s">
        <v>4405</v>
      </c>
      <c r="AF600" s="218" t="s">
        <v>4409</v>
      </c>
      <c r="AG600" s="218" t="s">
        <v>4409</v>
      </c>
      <c r="AH600" s="241" t="s">
        <v>4410</v>
      </c>
      <c r="AI600" s="214" t="s">
        <v>4411</v>
      </c>
      <c r="AJ600" s="207"/>
      <c r="AK600" s="316">
        <v>45980</v>
      </c>
      <c r="AL600" s="316">
        <v>45980</v>
      </c>
      <c r="AM600" s="316">
        <v>45980</v>
      </c>
      <c r="AN600" s="316">
        <v>45980</v>
      </c>
      <c r="AO600" s="316">
        <v>45980</v>
      </c>
      <c r="AP600" s="316">
        <v>45980</v>
      </c>
      <c r="AQ600" s="314"/>
      <c r="AR600" s="315" t="str">
        <f t="shared" si="41"/>
        <v>FINALIZADO</v>
      </c>
      <c r="AS600" s="207"/>
      <c r="AT600" s="207"/>
      <c r="AU600" s="225"/>
      <c r="AV600" s="160"/>
      <c r="AW600" s="207"/>
      <c r="AX600" s="207" t="s">
        <v>4409</v>
      </c>
      <c r="AY600" s="207" t="s">
        <v>4409</v>
      </c>
      <c r="AZ600" s="207" t="s">
        <v>4409</v>
      </c>
      <c r="BA600" s="207" t="s">
        <v>4409</v>
      </c>
      <c r="BB600" s="207"/>
      <c r="BC600" s="202"/>
      <c r="BD600" s="208"/>
      <c r="BE600" s="202"/>
      <c r="BF600" s="207"/>
      <c r="BG600" s="229"/>
      <c r="BH600" s="321" t="str">
        <f t="shared" si="42"/>
        <v/>
      </c>
      <c r="BI600" s="98" t="str">
        <f t="shared" si="43"/>
        <v>AA</v>
      </c>
      <c r="BJ600" s="98" t="str">
        <f t="shared" si="44"/>
        <v>NÃO</v>
      </c>
      <c r="BK600" s="230"/>
      <c r="BL600" s="230"/>
      <c r="BM600" s="230"/>
      <c r="BN600" s="230"/>
      <c r="BO600" s="230"/>
      <c r="BP600" s="230"/>
      <c r="BQ600" s="230"/>
      <c r="BR600" s="234"/>
      <c r="BS600" s="240"/>
      <c r="BT600" s="240"/>
      <c r="BU600" s="240"/>
      <c r="BV600" s="240"/>
      <c r="BW600" s="240"/>
      <c r="BX600" s="240"/>
      <c r="BY600" s="240"/>
      <c r="BZ600" s="240"/>
      <c r="CA600" s="240"/>
      <c r="CB600" s="240"/>
      <c r="CC600" s="240"/>
      <c r="CD600" s="240"/>
      <c r="CE600" s="240"/>
      <c r="CF600" s="240"/>
      <c r="CG600" s="240"/>
      <c r="CH600" s="240"/>
      <c r="CI600" s="240"/>
      <c r="CJ600" s="240"/>
      <c r="CK600" s="240"/>
      <c r="CL600" s="240"/>
      <c r="CM600" s="240"/>
      <c r="CN600" s="240"/>
      <c r="CO600" s="240"/>
      <c r="CP600" s="240"/>
      <c r="CQ600" s="240"/>
      <c r="CR600" s="240"/>
      <c r="CS600" s="240"/>
      <c r="CT600" s="240"/>
      <c r="CU600" s="240"/>
      <c r="CV600" s="240"/>
      <c r="CW600" s="240"/>
      <c r="CX600" s="240"/>
      <c r="CY600" s="240"/>
      <c r="CZ600" s="240"/>
      <c r="DA600" s="240"/>
      <c r="DB600" s="240"/>
      <c r="DC600" s="240"/>
      <c r="DD600" s="240"/>
      <c r="DE600" s="240"/>
      <c r="DF600" s="240"/>
      <c r="DG600" s="240"/>
      <c r="DH600" s="240"/>
    </row>
    <row r="601" spans="1:112" ht="27" hidden="1" customHeight="1">
      <c r="A601" s="207">
        <v>597</v>
      </c>
      <c r="B601" s="197" t="s">
        <v>4396</v>
      </c>
      <c r="C601" s="207" t="s">
        <v>4427</v>
      </c>
      <c r="D601" s="207">
        <v>1</v>
      </c>
      <c r="E601" s="207" t="s">
        <v>4398</v>
      </c>
      <c r="F601" s="214" t="s">
        <v>6969</v>
      </c>
      <c r="G601" s="207" t="s">
        <v>4400</v>
      </c>
      <c r="H601" s="207" t="s">
        <v>4401</v>
      </c>
      <c r="I601" s="217" t="s">
        <v>4402</v>
      </c>
      <c r="J601" s="215" t="s">
        <v>6970</v>
      </c>
      <c r="K601" s="215" t="s">
        <v>6971</v>
      </c>
      <c r="L601" s="215" t="s">
        <v>6972</v>
      </c>
      <c r="M601" s="207" t="s">
        <v>4405</v>
      </c>
      <c r="N601" s="207" t="s">
        <v>4406</v>
      </c>
      <c r="O601" s="202">
        <v>46002</v>
      </c>
      <c r="P601" s="202" t="s">
        <v>4407</v>
      </c>
      <c r="Q601" s="202">
        <v>45999</v>
      </c>
      <c r="R601" s="202">
        <v>46006</v>
      </c>
      <c r="S601" s="202">
        <v>46006</v>
      </c>
      <c r="T601" s="202">
        <v>46009</v>
      </c>
      <c r="U601" s="202" t="s">
        <v>4408</v>
      </c>
      <c r="V601" s="202" t="s">
        <v>4408</v>
      </c>
      <c r="W601" s="202">
        <v>46014</v>
      </c>
      <c r="X601" s="202">
        <v>46014</v>
      </c>
      <c r="Y601" s="202"/>
      <c r="Z601" s="207"/>
      <c r="AA601" s="215" t="s">
        <v>6970</v>
      </c>
      <c r="AB601" s="215" t="s">
        <v>6971</v>
      </c>
      <c r="AC601" s="215" t="s">
        <v>6972</v>
      </c>
      <c r="AD601" s="207" t="s">
        <v>4402</v>
      </c>
      <c r="AE601" s="207" t="s">
        <v>4405</v>
      </c>
      <c r="AF601" s="218" t="s">
        <v>4409</v>
      </c>
      <c r="AG601" s="218" t="s">
        <v>4409</v>
      </c>
      <c r="AH601" s="197" t="s">
        <v>4410</v>
      </c>
      <c r="AI601" s="214" t="s">
        <v>4411</v>
      </c>
      <c r="AJ601" s="207"/>
      <c r="AK601" s="316">
        <v>45996</v>
      </c>
      <c r="AL601" s="316">
        <v>45996</v>
      </c>
      <c r="AM601" s="316">
        <v>45996</v>
      </c>
      <c r="AN601" s="316">
        <v>45996</v>
      </c>
      <c r="AO601" s="316">
        <v>45996</v>
      </c>
      <c r="AP601" s="316">
        <v>45996</v>
      </c>
      <c r="AQ601" s="314"/>
      <c r="AR601" s="315" t="str">
        <f t="shared" si="41"/>
        <v>FINALIZADO</v>
      </c>
      <c r="AS601" s="207"/>
      <c r="AT601" s="207"/>
      <c r="AU601" s="225"/>
      <c r="AV601" s="207"/>
      <c r="AW601" s="207"/>
      <c r="AX601" s="207"/>
      <c r="AY601" s="207"/>
      <c r="AZ601" s="202"/>
      <c r="BA601" s="219"/>
      <c r="BB601" s="207"/>
      <c r="BC601" s="202"/>
      <c r="BD601" s="208"/>
      <c r="BE601" s="202"/>
      <c r="BF601" s="207"/>
      <c r="BG601" s="229"/>
      <c r="BH601" s="321" t="str">
        <f t="shared" si="42"/>
        <v/>
      </c>
      <c r="BI601" s="98" t="str">
        <f t="shared" si="43"/>
        <v>AA</v>
      </c>
      <c r="BJ601" s="98" t="str">
        <f t="shared" si="44"/>
        <v>NÃO</v>
      </c>
      <c r="BK601" s="230"/>
      <c r="BL601" s="230"/>
      <c r="BM601" s="230"/>
      <c r="BN601" s="230"/>
      <c r="BO601" s="230"/>
      <c r="BP601" s="230"/>
      <c r="BQ601" s="230"/>
      <c r="BR601" s="234"/>
      <c r="BS601" s="240"/>
      <c r="BT601" s="240"/>
      <c r="BU601" s="240"/>
      <c r="BV601" s="240"/>
      <c r="BW601" s="240"/>
      <c r="BX601" s="240"/>
      <c r="BY601" s="240"/>
      <c r="BZ601" s="240"/>
      <c r="CA601" s="240"/>
      <c r="CB601" s="240"/>
      <c r="CC601" s="240"/>
      <c r="CD601" s="240"/>
      <c r="CE601" s="240"/>
      <c r="CF601" s="240"/>
      <c r="CG601" s="240"/>
      <c r="CH601" s="240"/>
      <c r="CI601" s="240"/>
      <c r="CJ601" s="240"/>
      <c r="CK601" s="240"/>
      <c r="CL601" s="240"/>
      <c r="CM601" s="240"/>
      <c r="CN601" s="240"/>
      <c r="CO601" s="240"/>
      <c r="CP601" s="240"/>
      <c r="CQ601" s="240"/>
      <c r="CR601" s="240"/>
      <c r="CS601" s="240"/>
      <c r="CT601" s="240"/>
      <c r="CU601" s="240"/>
      <c r="CV601" s="240"/>
      <c r="CW601" s="240"/>
      <c r="CX601" s="240"/>
      <c r="CY601" s="240"/>
      <c r="CZ601" s="240"/>
      <c r="DA601" s="240"/>
      <c r="DB601" s="240"/>
      <c r="DC601" s="240"/>
      <c r="DD601" s="240"/>
      <c r="DE601" s="240"/>
      <c r="DF601" s="240"/>
      <c r="DG601" s="240"/>
      <c r="DH601" s="240"/>
    </row>
    <row r="602" spans="1:112" ht="27" hidden="1" customHeight="1">
      <c r="A602" s="207">
        <v>598</v>
      </c>
      <c r="B602" s="197" t="s">
        <v>4396</v>
      </c>
      <c r="C602" s="207" t="s">
        <v>4427</v>
      </c>
      <c r="D602" s="207">
        <v>1</v>
      </c>
      <c r="E602" s="207" t="s">
        <v>4398</v>
      </c>
      <c r="F602" s="214" t="s">
        <v>6973</v>
      </c>
      <c r="G602" s="207" t="s">
        <v>4400</v>
      </c>
      <c r="H602" s="207" t="s">
        <v>4401</v>
      </c>
      <c r="I602" s="217" t="s">
        <v>4402</v>
      </c>
      <c r="J602" s="215" t="s">
        <v>6974</v>
      </c>
      <c r="K602" s="215" t="s">
        <v>6975</v>
      </c>
      <c r="L602" s="215" t="s">
        <v>6976</v>
      </c>
      <c r="M602" s="207" t="s">
        <v>4405</v>
      </c>
      <c r="N602" s="207" t="s">
        <v>4406</v>
      </c>
      <c r="O602" s="202">
        <v>45986</v>
      </c>
      <c r="P602" s="203" t="s">
        <v>4407</v>
      </c>
      <c r="Q602" s="203">
        <v>45985</v>
      </c>
      <c r="R602" s="203">
        <v>45986</v>
      </c>
      <c r="S602" s="203">
        <v>45987</v>
      </c>
      <c r="T602" s="203">
        <v>45992</v>
      </c>
      <c r="U602" s="203" t="s">
        <v>4408</v>
      </c>
      <c r="V602" s="203" t="s">
        <v>4408</v>
      </c>
      <c r="W602" s="202">
        <v>45999</v>
      </c>
      <c r="X602" s="202">
        <v>46001</v>
      </c>
      <c r="Y602" s="202"/>
      <c r="Z602" s="207"/>
      <c r="AA602" s="215" t="s">
        <v>6974</v>
      </c>
      <c r="AB602" s="215" t="s">
        <v>6975</v>
      </c>
      <c r="AC602" s="215" t="s">
        <v>6976</v>
      </c>
      <c r="AD602" s="207" t="s">
        <v>4402</v>
      </c>
      <c r="AE602" s="207" t="s">
        <v>4405</v>
      </c>
      <c r="AF602" s="218" t="s">
        <v>4409</v>
      </c>
      <c r="AG602" s="218" t="s">
        <v>4409</v>
      </c>
      <c r="AH602" s="241" t="s">
        <v>4410</v>
      </c>
      <c r="AI602" s="214" t="s">
        <v>4411</v>
      </c>
      <c r="AJ602" s="207"/>
      <c r="AK602" s="316">
        <v>45980</v>
      </c>
      <c r="AL602" s="316">
        <v>45980</v>
      </c>
      <c r="AM602" s="316">
        <v>45980</v>
      </c>
      <c r="AN602" s="316">
        <v>45980</v>
      </c>
      <c r="AO602" s="316">
        <v>45980</v>
      </c>
      <c r="AP602" s="316">
        <v>45980</v>
      </c>
      <c r="AQ602" s="314"/>
      <c r="AR602" s="315" t="str">
        <f t="shared" si="41"/>
        <v>FINALIZADO</v>
      </c>
      <c r="AS602" s="207"/>
      <c r="AT602" s="207"/>
      <c r="AU602" s="225"/>
      <c r="AV602" s="160"/>
      <c r="AW602" s="207"/>
      <c r="AX602" s="207" t="s">
        <v>4409</v>
      </c>
      <c r="AY602" s="207" t="s">
        <v>4409</v>
      </c>
      <c r="AZ602" s="207" t="s">
        <v>4409</v>
      </c>
      <c r="BA602" s="207" t="s">
        <v>4409</v>
      </c>
      <c r="BB602" s="207"/>
      <c r="BC602" s="202"/>
      <c r="BD602" s="208"/>
      <c r="BE602" s="202"/>
      <c r="BF602" s="207"/>
      <c r="BG602" s="229"/>
      <c r="BH602" s="321" t="str">
        <f t="shared" si="42"/>
        <v/>
      </c>
      <c r="BI602" s="98" t="str">
        <f t="shared" si="43"/>
        <v>AA</v>
      </c>
      <c r="BJ602" s="98" t="str">
        <f t="shared" si="44"/>
        <v>NÃO</v>
      </c>
      <c r="BK602" s="230"/>
      <c r="BL602" s="230"/>
      <c r="BM602" s="230"/>
      <c r="BN602" s="230"/>
      <c r="BO602" s="230"/>
      <c r="BP602" s="230"/>
      <c r="BQ602" s="230"/>
      <c r="BR602" s="234"/>
      <c r="BS602" s="240"/>
      <c r="BT602" s="240"/>
      <c r="BU602" s="240"/>
      <c r="BV602" s="240"/>
      <c r="BW602" s="240"/>
      <c r="BX602" s="240"/>
      <c r="BY602" s="240"/>
      <c r="BZ602" s="240"/>
      <c r="CA602" s="240"/>
      <c r="CB602" s="240"/>
      <c r="CC602" s="240"/>
      <c r="CD602" s="240"/>
      <c r="CE602" s="240"/>
      <c r="CF602" s="240"/>
      <c r="CG602" s="240"/>
      <c r="CH602" s="240"/>
      <c r="CI602" s="240"/>
      <c r="CJ602" s="240"/>
      <c r="CK602" s="240"/>
      <c r="CL602" s="240"/>
      <c r="CM602" s="240"/>
      <c r="CN602" s="240"/>
      <c r="CO602" s="240"/>
      <c r="CP602" s="240"/>
      <c r="CQ602" s="240"/>
      <c r="CR602" s="240"/>
      <c r="CS602" s="240"/>
      <c r="CT602" s="240"/>
      <c r="CU602" s="240"/>
      <c r="CV602" s="240"/>
      <c r="CW602" s="240"/>
      <c r="CX602" s="240"/>
      <c r="CY602" s="240"/>
      <c r="CZ602" s="240"/>
      <c r="DA602" s="240"/>
      <c r="DB602" s="240"/>
      <c r="DC602" s="240"/>
      <c r="DD602" s="240"/>
      <c r="DE602" s="240"/>
      <c r="DF602" s="240"/>
      <c r="DG602" s="240"/>
      <c r="DH602" s="240"/>
    </row>
    <row r="603" spans="1:112" ht="27" hidden="1" customHeight="1">
      <c r="A603" s="207">
        <v>599</v>
      </c>
      <c r="B603" s="197" t="s">
        <v>4396</v>
      </c>
      <c r="C603" s="207" t="s">
        <v>4427</v>
      </c>
      <c r="D603" s="207">
        <v>1</v>
      </c>
      <c r="E603" s="207" t="s">
        <v>4398</v>
      </c>
      <c r="F603" s="214" t="s">
        <v>6977</v>
      </c>
      <c r="G603" s="207" t="s">
        <v>4400</v>
      </c>
      <c r="H603" s="207" t="s">
        <v>4401</v>
      </c>
      <c r="I603" s="217" t="s">
        <v>4402</v>
      </c>
      <c r="J603" s="215" t="s">
        <v>6978</v>
      </c>
      <c r="K603" s="215" t="s">
        <v>6979</v>
      </c>
      <c r="L603" s="215" t="s">
        <v>6980</v>
      </c>
      <c r="M603" s="207" t="s">
        <v>4405</v>
      </c>
      <c r="N603" s="207" t="s">
        <v>4406</v>
      </c>
      <c r="O603" s="202">
        <v>46002</v>
      </c>
      <c r="P603" s="202" t="s">
        <v>4407</v>
      </c>
      <c r="Q603" s="202">
        <v>45999</v>
      </c>
      <c r="R603" s="202">
        <v>46006</v>
      </c>
      <c r="S603" s="202">
        <v>46006</v>
      </c>
      <c r="T603" s="202">
        <v>46009</v>
      </c>
      <c r="U603" s="202" t="s">
        <v>4408</v>
      </c>
      <c r="V603" s="202" t="s">
        <v>4408</v>
      </c>
      <c r="W603" s="202">
        <v>46014</v>
      </c>
      <c r="X603" s="202">
        <v>46020</v>
      </c>
      <c r="Y603" s="202"/>
      <c r="Z603" s="207"/>
      <c r="AA603" s="215" t="s">
        <v>6978</v>
      </c>
      <c r="AB603" s="215" t="s">
        <v>6979</v>
      </c>
      <c r="AC603" s="215" t="s">
        <v>6980</v>
      </c>
      <c r="AD603" s="207" t="s">
        <v>4402</v>
      </c>
      <c r="AE603" s="207" t="s">
        <v>4405</v>
      </c>
      <c r="AF603" s="218" t="s">
        <v>4409</v>
      </c>
      <c r="AG603" s="218" t="s">
        <v>4409</v>
      </c>
      <c r="AH603" s="197" t="s">
        <v>4410</v>
      </c>
      <c r="AI603" s="214" t="s">
        <v>4411</v>
      </c>
      <c r="AJ603" s="207"/>
      <c r="AK603" s="316">
        <v>45996</v>
      </c>
      <c r="AL603" s="316">
        <v>45996</v>
      </c>
      <c r="AM603" s="316">
        <v>45996</v>
      </c>
      <c r="AN603" s="316">
        <v>45996</v>
      </c>
      <c r="AO603" s="316">
        <v>45996</v>
      </c>
      <c r="AP603" s="316">
        <v>45996</v>
      </c>
      <c r="AQ603" s="314"/>
      <c r="AR603" s="315" t="str">
        <f t="shared" si="41"/>
        <v>FINALIZADO</v>
      </c>
      <c r="AS603" s="207"/>
      <c r="AT603" s="207"/>
      <c r="AU603" s="225"/>
      <c r="AV603" s="207"/>
      <c r="AW603" s="207"/>
      <c r="AX603" s="207"/>
      <c r="AY603" s="207"/>
      <c r="AZ603" s="202"/>
      <c r="BA603" s="219"/>
      <c r="BB603" s="207"/>
      <c r="BC603" s="202"/>
      <c r="BD603" s="208"/>
      <c r="BE603" s="202"/>
      <c r="BF603" s="207"/>
      <c r="BG603" s="229"/>
      <c r="BH603" s="321" t="str">
        <f t="shared" si="42"/>
        <v/>
      </c>
      <c r="BI603" s="98" t="str">
        <f t="shared" si="43"/>
        <v>AA</v>
      </c>
      <c r="BJ603" s="98" t="str">
        <f t="shared" si="44"/>
        <v>NÃO</v>
      </c>
      <c r="BK603" s="230"/>
      <c r="BL603" s="230"/>
      <c r="BM603" s="230"/>
      <c r="BN603" s="230"/>
      <c r="BO603" s="230"/>
      <c r="BP603" s="230"/>
      <c r="BQ603" s="230"/>
      <c r="BR603" s="234"/>
      <c r="BS603" s="240"/>
      <c r="BT603" s="240"/>
      <c r="BU603" s="240"/>
      <c r="BV603" s="240"/>
      <c r="BW603" s="240"/>
      <c r="BX603" s="240"/>
      <c r="BY603" s="240"/>
      <c r="BZ603" s="240"/>
      <c r="CA603" s="240"/>
      <c r="CB603" s="240"/>
      <c r="CC603" s="240"/>
      <c r="CD603" s="240"/>
      <c r="CE603" s="240"/>
      <c r="CF603" s="240"/>
      <c r="CG603" s="240"/>
      <c r="CH603" s="240"/>
      <c r="CI603" s="240"/>
      <c r="CJ603" s="240"/>
      <c r="CK603" s="240"/>
      <c r="CL603" s="240"/>
      <c r="CM603" s="240"/>
      <c r="CN603" s="240"/>
      <c r="CO603" s="240"/>
      <c r="CP603" s="240"/>
      <c r="CQ603" s="240"/>
      <c r="CR603" s="240"/>
      <c r="CS603" s="240"/>
      <c r="CT603" s="240"/>
      <c r="CU603" s="240"/>
      <c r="CV603" s="240"/>
      <c r="CW603" s="240"/>
      <c r="CX603" s="240"/>
      <c r="CY603" s="240"/>
      <c r="CZ603" s="240"/>
      <c r="DA603" s="240"/>
      <c r="DB603" s="240"/>
      <c r="DC603" s="240"/>
      <c r="DD603" s="240"/>
      <c r="DE603" s="240"/>
      <c r="DF603" s="240"/>
      <c r="DG603" s="240"/>
      <c r="DH603" s="240"/>
    </row>
    <row r="604" spans="1:112" ht="27" hidden="1" customHeight="1">
      <c r="A604" s="197">
        <v>600</v>
      </c>
      <c r="B604" s="197" t="s">
        <v>4396</v>
      </c>
      <c r="C604" s="207" t="s">
        <v>4427</v>
      </c>
      <c r="D604" s="207">
        <v>1</v>
      </c>
      <c r="E604" s="207" t="s">
        <v>4398</v>
      </c>
      <c r="F604" s="214" t="s">
        <v>6981</v>
      </c>
      <c r="G604" s="207" t="s">
        <v>4400</v>
      </c>
      <c r="H604" s="207" t="s">
        <v>4401</v>
      </c>
      <c r="I604" s="217" t="s">
        <v>4402</v>
      </c>
      <c r="J604" s="215" t="s">
        <v>6982</v>
      </c>
      <c r="K604" s="215" t="s">
        <v>6983</v>
      </c>
      <c r="L604" s="215" t="s">
        <v>6984</v>
      </c>
      <c r="M604" s="207" t="s">
        <v>4405</v>
      </c>
      <c r="N604" s="207" t="s">
        <v>4406</v>
      </c>
      <c r="O604" s="202">
        <v>46176</v>
      </c>
      <c r="P604" s="202" t="s">
        <v>4407</v>
      </c>
      <c r="Q604" s="202">
        <v>46174</v>
      </c>
      <c r="R604" s="202">
        <v>46176</v>
      </c>
      <c r="S604" s="202">
        <v>46202</v>
      </c>
      <c r="T604" s="202">
        <v>46204</v>
      </c>
      <c r="U604" s="202" t="s">
        <v>4408</v>
      </c>
      <c r="V604" s="202" t="s">
        <v>4408</v>
      </c>
      <c r="W604" s="202">
        <v>46223</v>
      </c>
      <c r="X604" s="202"/>
      <c r="Y604" s="202"/>
      <c r="Z604" s="207"/>
      <c r="AA604" s="215"/>
      <c r="AB604" s="215"/>
      <c r="AC604" s="215"/>
      <c r="AD604" s="207"/>
      <c r="AE604" s="207"/>
      <c r="AF604" s="218"/>
      <c r="AG604" s="218"/>
      <c r="AH604" s="197"/>
      <c r="AI604" s="214" t="s">
        <v>4411</v>
      </c>
      <c r="AJ604" s="207"/>
      <c r="AK604" s="316"/>
      <c r="AL604" s="316"/>
      <c r="AM604" s="316"/>
      <c r="AN604" s="316"/>
      <c r="AO604" s="316"/>
      <c r="AP604" s="316"/>
      <c r="AQ604" s="314"/>
      <c r="AR604" s="315" t="str">
        <f t="shared" si="41"/>
        <v/>
      </c>
      <c r="AS604" s="207"/>
      <c r="AT604" s="207"/>
      <c r="AU604" s="225"/>
      <c r="AV604" s="160"/>
      <c r="AW604" s="207"/>
      <c r="AX604" s="207"/>
      <c r="AY604" s="207"/>
      <c r="AZ604" s="202"/>
      <c r="BA604" s="219"/>
      <c r="BB604" s="207"/>
      <c r="BC604" s="202"/>
      <c r="BD604" s="208"/>
      <c r="BE604" s="202"/>
      <c r="BF604" s="207"/>
      <c r="BG604" s="229"/>
      <c r="BH604" s="321" t="str">
        <f t="shared" si="42"/>
        <v/>
      </c>
      <c r="BI604" s="98" t="str">
        <f t="shared" si="43"/>
        <v>INDENIZAÇÃO</v>
      </c>
      <c r="BJ604" s="98" t="str">
        <f t="shared" si="44"/>
        <v>NÃO</v>
      </c>
      <c r="BK604" s="230"/>
      <c r="BL604" s="230"/>
      <c r="BM604" s="230"/>
      <c r="BN604" s="230"/>
      <c r="BO604" s="230"/>
      <c r="BP604" s="230"/>
      <c r="BQ604" s="230"/>
      <c r="BR604" s="234"/>
      <c r="BS604" s="240"/>
      <c r="BT604" s="240"/>
      <c r="BU604" s="240"/>
      <c r="BV604" s="240"/>
      <c r="BW604" s="240"/>
      <c r="BX604" s="240"/>
      <c r="BY604" s="240"/>
      <c r="BZ604" s="240"/>
      <c r="CA604" s="240"/>
      <c r="CB604" s="240"/>
      <c r="CC604" s="240"/>
      <c r="CD604" s="240"/>
      <c r="CE604" s="240"/>
      <c r="CF604" s="240"/>
      <c r="CG604" s="240"/>
      <c r="CH604" s="240"/>
      <c r="CI604" s="240"/>
      <c r="CJ604" s="240"/>
      <c r="CK604" s="240"/>
      <c r="CL604" s="240"/>
      <c r="CM604" s="240"/>
      <c r="CN604" s="240"/>
      <c r="CO604" s="240"/>
      <c r="CP604" s="240"/>
      <c r="CQ604" s="240"/>
      <c r="CR604" s="240"/>
      <c r="CS604" s="240"/>
      <c r="CT604" s="240"/>
      <c r="CU604" s="240"/>
      <c r="CV604" s="240"/>
      <c r="CW604" s="240"/>
      <c r="CX604" s="240"/>
      <c r="CY604" s="240"/>
      <c r="CZ604" s="240"/>
      <c r="DA604" s="240"/>
      <c r="DB604" s="240"/>
      <c r="DC604" s="240"/>
      <c r="DD604" s="240"/>
      <c r="DE604" s="240"/>
      <c r="DF604" s="240"/>
      <c r="DG604" s="240"/>
      <c r="DH604" s="240"/>
    </row>
    <row r="605" spans="1:112" ht="27" hidden="1" customHeight="1">
      <c r="A605" s="197">
        <v>601</v>
      </c>
      <c r="B605" s="197" t="s">
        <v>4396</v>
      </c>
      <c r="C605" s="207" t="s">
        <v>4427</v>
      </c>
      <c r="D605" s="207">
        <v>1</v>
      </c>
      <c r="E605" s="207" t="s">
        <v>4398</v>
      </c>
      <c r="F605" s="214" t="s">
        <v>6985</v>
      </c>
      <c r="G605" s="207" t="s">
        <v>4400</v>
      </c>
      <c r="H605" s="207" t="s">
        <v>4401</v>
      </c>
      <c r="I605" s="217" t="s">
        <v>4402</v>
      </c>
      <c r="J605" s="215" t="s">
        <v>6986</v>
      </c>
      <c r="K605" s="215" t="s">
        <v>6987</v>
      </c>
      <c r="L605" s="215" t="s">
        <v>6988</v>
      </c>
      <c r="M605" s="207" t="s">
        <v>4405</v>
      </c>
      <c r="N605" s="207" t="s">
        <v>4406</v>
      </c>
      <c r="O605" s="202">
        <v>46176</v>
      </c>
      <c r="P605" s="202" t="s">
        <v>4407</v>
      </c>
      <c r="Q605" s="202">
        <v>46174</v>
      </c>
      <c r="R605" s="202">
        <v>46176</v>
      </c>
      <c r="S605" s="202">
        <v>46202</v>
      </c>
      <c r="T605" s="202">
        <v>46204</v>
      </c>
      <c r="U605" s="202" t="s">
        <v>4408</v>
      </c>
      <c r="V605" s="202" t="s">
        <v>4408</v>
      </c>
      <c r="W605" s="202">
        <v>46223</v>
      </c>
      <c r="X605" s="202"/>
      <c r="Y605" s="202"/>
      <c r="Z605" s="207"/>
      <c r="AA605" s="215"/>
      <c r="AB605" s="215"/>
      <c r="AC605" s="215"/>
      <c r="AD605" s="207"/>
      <c r="AE605" s="207"/>
      <c r="AF605" s="218"/>
      <c r="AG605" s="218"/>
      <c r="AH605" s="197"/>
      <c r="AI605" s="214" t="s">
        <v>4411</v>
      </c>
      <c r="AJ605" s="207"/>
      <c r="AK605" s="316"/>
      <c r="AL605" s="316"/>
      <c r="AM605" s="316"/>
      <c r="AN605" s="316"/>
      <c r="AO605" s="316"/>
      <c r="AP605" s="316"/>
      <c r="AQ605" s="314"/>
      <c r="AR605" s="315" t="str">
        <f t="shared" si="41"/>
        <v/>
      </c>
      <c r="AS605" s="207"/>
      <c r="AT605" s="207"/>
      <c r="AU605" s="225"/>
      <c r="AV605" s="160"/>
      <c r="AW605" s="207"/>
      <c r="AX605" s="207"/>
      <c r="AY605" s="207"/>
      <c r="AZ605" s="202"/>
      <c r="BA605" s="219"/>
      <c r="BB605" s="207"/>
      <c r="BC605" s="202"/>
      <c r="BD605" s="208"/>
      <c r="BE605" s="202"/>
      <c r="BF605" s="207"/>
      <c r="BG605" s="229"/>
      <c r="BH605" s="321" t="str">
        <f t="shared" si="42"/>
        <v/>
      </c>
      <c r="BI605" s="98" t="str">
        <f t="shared" si="43"/>
        <v>INDENIZAÇÃO</v>
      </c>
      <c r="BJ605" s="98" t="str">
        <f t="shared" si="44"/>
        <v>NÃO</v>
      </c>
      <c r="BK605" s="230"/>
      <c r="BL605" s="230"/>
      <c r="BM605" s="230"/>
      <c r="BN605" s="230"/>
      <c r="BO605" s="230"/>
      <c r="BP605" s="230"/>
      <c r="BQ605" s="230"/>
      <c r="BR605" s="234"/>
      <c r="BS605" s="240"/>
      <c r="BT605" s="240"/>
      <c r="BU605" s="240"/>
      <c r="BV605" s="240"/>
      <c r="BW605" s="240"/>
      <c r="BX605" s="240"/>
      <c r="BY605" s="240"/>
      <c r="BZ605" s="240"/>
      <c r="CA605" s="240"/>
      <c r="CB605" s="240"/>
      <c r="CC605" s="240"/>
      <c r="CD605" s="240"/>
      <c r="CE605" s="240"/>
      <c r="CF605" s="240"/>
      <c r="CG605" s="240"/>
      <c r="CH605" s="240"/>
      <c r="CI605" s="240"/>
      <c r="CJ605" s="240"/>
      <c r="CK605" s="240"/>
      <c r="CL605" s="240"/>
      <c r="CM605" s="240"/>
      <c r="CN605" s="240"/>
      <c r="CO605" s="240"/>
      <c r="CP605" s="240"/>
      <c r="CQ605" s="240"/>
      <c r="CR605" s="240"/>
      <c r="CS605" s="240"/>
      <c r="CT605" s="240"/>
      <c r="CU605" s="240"/>
      <c r="CV605" s="240"/>
      <c r="CW605" s="240"/>
      <c r="CX605" s="240"/>
      <c r="CY605" s="240"/>
      <c r="CZ605" s="240"/>
      <c r="DA605" s="240"/>
      <c r="DB605" s="240"/>
      <c r="DC605" s="240"/>
      <c r="DD605" s="240"/>
      <c r="DE605" s="240"/>
      <c r="DF605" s="240"/>
      <c r="DG605" s="240"/>
      <c r="DH605" s="240"/>
    </row>
    <row r="606" spans="1:112" ht="27" hidden="1" customHeight="1">
      <c r="A606" s="207">
        <v>602</v>
      </c>
      <c r="B606" s="197" t="s">
        <v>4396</v>
      </c>
      <c r="C606" s="207" t="s">
        <v>4427</v>
      </c>
      <c r="D606" s="207">
        <v>1</v>
      </c>
      <c r="E606" s="207" t="s">
        <v>4398</v>
      </c>
      <c r="F606" s="214" t="s">
        <v>6989</v>
      </c>
      <c r="G606" s="207" t="s">
        <v>4400</v>
      </c>
      <c r="H606" s="207" t="s">
        <v>4401</v>
      </c>
      <c r="I606" s="217" t="s">
        <v>4402</v>
      </c>
      <c r="J606" s="215" t="s">
        <v>6990</v>
      </c>
      <c r="K606" s="215" t="s">
        <v>6991</v>
      </c>
      <c r="L606" s="215" t="s">
        <v>6992</v>
      </c>
      <c r="M606" s="207" t="s">
        <v>4405</v>
      </c>
      <c r="N606" s="207" t="s">
        <v>4406</v>
      </c>
      <c r="O606" s="202">
        <v>46106</v>
      </c>
      <c r="P606" s="202" t="s">
        <v>4407</v>
      </c>
      <c r="Q606" s="202">
        <v>46106</v>
      </c>
      <c r="R606" s="202">
        <v>46107</v>
      </c>
      <c r="S606" s="202">
        <v>46111</v>
      </c>
      <c r="T606" s="202">
        <v>46087</v>
      </c>
      <c r="U606" s="202" t="s">
        <v>4408</v>
      </c>
      <c r="V606" s="202" t="s">
        <v>4408</v>
      </c>
      <c r="W606" s="202">
        <v>46132</v>
      </c>
      <c r="X606" s="203">
        <v>46135</v>
      </c>
      <c r="Y606" s="202"/>
      <c r="Z606" s="202"/>
      <c r="AA606" s="215" t="s">
        <v>6990</v>
      </c>
      <c r="AB606" s="215" t="s">
        <v>6991</v>
      </c>
      <c r="AC606" s="215" t="s">
        <v>6992</v>
      </c>
      <c r="AD606" s="207" t="s">
        <v>4402</v>
      </c>
      <c r="AE606" s="207" t="s">
        <v>4405</v>
      </c>
      <c r="AF606" s="218" t="s">
        <v>4409</v>
      </c>
      <c r="AG606" s="218" t="s">
        <v>4409</v>
      </c>
      <c r="AH606" s="207" t="s">
        <v>4410</v>
      </c>
      <c r="AI606" s="214" t="s">
        <v>4411</v>
      </c>
      <c r="AJ606" s="207"/>
      <c r="AK606" s="316">
        <v>45996</v>
      </c>
      <c r="AL606" s="316">
        <v>45996</v>
      </c>
      <c r="AM606" s="316">
        <v>45996</v>
      </c>
      <c r="AN606" s="316">
        <v>45996</v>
      </c>
      <c r="AO606" s="316">
        <v>45996</v>
      </c>
      <c r="AP606" s="316">
        <v>45996</v>
      </c>
      <c r="AQ606" s="314"/>
      <c r="AR606" s="315" t="str">
        <f t="shared" si="41"/>
        <v>FINALIZADO</v>
      </c>
      <c r="AS606" s="207"/>
      <c r="AT606" s="207"/>
      <c r="AU606" s="225"/>
      <c r="AV606" s="160"/>
      <c r="AW606" s="207"/>
      <c r="AX606" s="207"/>
      <c r="AY606" s="207"/>
      <c r="AZ606" s="202"/>
      <c r="BA606" s="219"/>
      <c r="BB606" s="207"/>
      <c r="BC606" s="202"/>
      <c r="BD606" s="208"/>
      <c r="BE606" s="202"/>
      <c r="BF606" s="207"/>
      <c r="BG606" s="229"/>
      <c r="BH606" s="321" t="str">
        <f t="shared" si="42"/>
        <v/>
      </c>
      <c r="BI606" s="98" t="str">
        <f t="shared" si="43"/>
        <v>AA</v>
      </c>
      <c r="BJ606" s="98" t="str">
        <f t="shared" si="44"/>
        <v>NÃO</v>
      </c>
      <c r="BK606" s="230"/>
      <c r="BL606" s="230"/>
      <c r="BM606" s="230"/>
      <c r="BN606" s="230"/>
      <c r="BO606" s="230"/>
      <c r="BP606" s="230"/>
      <c r="BQ606" s="230"/>
      <c r="BR606" s="234"/>
      <c r="BS606" s="240"/>
      <c r="BT606" s="240"/>
      <c r="BU606" s="240"/>
      <c r="BV606" s="240"/>
      <c r="BW606" s="240"/>
      <c r="BX606" s="240"/>
      <c r="BY606" s="240"/>
      <c r="BZ606" s="240"/>
      <c r="CA606" s="240"/>
      <c r="CB606" s="240"/>
      <c r="CC606" s="240"/>
      <c r="CD606" s="240"/>
      <c r="CE606" s="240"/>
      <c r="CF606" s="240"/>
      <c r="CG606" s="240"/>
      <c r="CH606" s="240"/>
      <c r="CI606" s="240"/>
      <c r="CJ606" s="240"/>
      <c r="CK606" s="240"/>
      <c r="CL606" s="240"/>
      <c r="CM606" s="240"/>
      <c r="CN606" s="240"/>
      <c r="CO606" s="240"/>
      <c r="CP606" s="240"/>
      <c r="CQ606" s="240"/>
      <c r="CR606" s="240"/>
      <c r="CS606" s="240"/>
      <c r="CT606" s="240"/>
      <c r="CU606" s="240"/>
      <c r="CV606" s="240"/>
      <c r="CW606" s="240"/>
      <c r="CX606" s="240"/>
      <c r="CY606" s="240"/>
      <c r="CZ606" s="240"/>
      <c r="DA606" s="240"/>
      <c r="DB606" s="240"/>
      <c r="DC606" s="240"/>
      <c r="DD606" s="240"/>
      <c r="DE606" s="240"/>
      <c r="DF606" s="240"/>
      <c r="DG606" s="240"/>
      <c r="DH606" s="240"/>
    </row>
    <row r="607" spans="1:112" ht="27" hidden="1" customHeight="1">
      <c r="A607" s="207">
        <v>603</v>
      </c>
      <c r="B607" s="197" t="s">
        <v>4396</v>
      </c>
      <c r="C607" s="207" t="s">
        <v>4427</v>
      </c>
      <c r="D607" s="207">
        <v>1</v>
      </c>
      <c r="E607" s="207" t="s">
        <v>4398</v>
      </c>
      <c r="F607" s="214" t="s">
        <v>6993</v>
      </c>
      <c r="G607" s="207" t="s">
        <v>4400</v>
      </c>
      <c r="H607" s="207" t="s">
        <v>4401</v>
      </c>
      <c r="I607" s="217" t="s">
        <v>4402</v>
      </c>
      <c r="J607" s="215" t="s">
        <v>6994</v>
      </c>
      <c r="K607" s="215" t="s">
        <v>6995</v>
      </c>
      <c r="L607" s="215" t="s">
        <v>6996</v>
      </c>
      <c r="M607" s="207" t="s">
        <v>4405</v>
      </c>
      <c r="N607" s="207" t="s">
        <v>4406</v>
      </c>
      <c r="O607" s="202">
        <v>46176</v>
      </c>
      <c r="P607" s="202" t="s">
        <v>4407</v>
      </c>
      <c r="Q607" s="202">
        <v>46174</v>
      </c>
      <c r="R607" s="202">
        <v>46176</v>
      </c>
      <c r="S607" s="202">
        <v>46202</v>
      </c>
      <c r="T607" s="202">
        <v>46204</v>
      </c>
      <c r="U607" s="202" t="s">
        <v>4408</v>
      </c>
      <c r="V607" s="202" t="s">
        <v>4408</v>
      </c>
      <c r="W607" s="202">
        <v>46223</v>
      </c>
      <c r="X607" s="203"/>
      <c r="Y607" s="202"/>
      <c r="Z607" s="202"/>
      <c r="AA607" s="215"/>
      <c r="AB607" s="215"/>
      <c r="AC607" s="215"/>
      <c r="AD607" s="207"/>
      <c r="AE607" s="207"/>
      <c r="AF607" s="218"/>
      <c r="AG607" s="218"/>
      <c r="AH607" s="207"/>
      <c r="AI607" s="214" t="s">
        <v>4411</v>
      </c>
      <c r="AJ607" s="207"/>
      <c r="AK607" s="316"/>
      <c r="AL607" s="316"/>
      <c r="AM607" s="316"/>
      <c r="AN607" s="316"/>
      <c r="AO607" s="316"/>
      <c r="AP607" s="316"/>
      <c r="AQ607" s="314"/>
      <c r="AR607" s="315" t="str">
        <f t="shared" si="41"/>
        <v/>
      </c>
      <c r="AS607" s="207"/>
      <c r="AT607" s="207"/>
      <c r="AU607" s="225"/>
      <c r="AV607" s="160"/>
      <c r="AW607" s="207"/>
      <c r="AX607" s="207"/>
      <c r="AY607" s="207"/>
      <c r="AZ607" s="202"/>
      <c r="BA607" s="219"/>
      <c r="BB607" s="207"/>
      <c r="BC607" s="202"/>
      <c r="BD607" s="208"/>
      <c r="BE607" s="202"/>
      <c r="BF607" s="207"/>
      <c r="BG607" s="229"/>
      <c r="BH607" s="321" t="str">
        <f t="shared" si="42"/>
        <v/>
      </c>
      <c r="BI607" s="98" t="str">
        <f t="shared" si="43"/>
        <v>INDENIZAÇÃO</v>
      </c>
      <c r="BJ607" s="98" t="str">
        <f t="shared" si="44"/>
        <v>NÃO</v>
      </c>
      <c r="BK607" s="230"/>
      <c r="BL607" s="230"/>
      <c r="BM607" s="230"/>
      <c r="BN607" s="230"/>
      <c r="BO607" s="230"/>
      <c r="BP607" s="230"/>
      <c r="BQ607" s="230"/>
      <c r="BR607" s="234"/>
      <c r="BS607" s="240"/>
      <c r="BT607" s="240"/>
      <c r="BU607" s="240"/>
      <c r="BV607" s="240"/>
      <c r="BW607" s="240"/>
      <c r="BX607" s="240"/>
      <c r="BY607" s="240"/>
      <c r="BZ607" s="240"/>
      <c r="CA607" s="240"/>
      <c r="CB607" s="240"/>
      <c r="CC607" s="240"/>
      <c r="CD607" s="240"/>
      <c r="CE607" s="240"/>
      <c r="CF607" s="240"/>
      <c r="CG607" s="240"/>
      <c r="CH607" s="240"/>
      <c r="CI607" s="240"/>
      <c r="CJ607" s="240"/>
      <c r="CK607" s="240"/>
      <c r="CL607" s="240"/>
      <c r="CM607" s="240"/>
      <c r="CN607" s="240"/>
      <c r="CO607" s="240"/>
      <c r="CP607" s="240"/>
      <c r="CQ607" s="240"/>
      <c r="CR607" s="240"/>
      <c r="CS607" s="240"/>
      <c r="CT607" s="240"/>
      <c r="CU607" s="240"/>
      <c r="CV607" s="240"/>
      <c r="CW607" s="240"/>
      <c r="CX607" s="240"/>
      <c r="CY607" s="240"/>
      <c r="CZ607" s="240"/>
      <c r="DA607" s="240"/>
      <c r="DB607" s="240"/>
      <c r="DC607" s="240"/>
      <c r="DD607" s="240"/>
      <c r="DE607" s="240"/>
      <c r="DF607" s="240"/>
      <c r="DG607" s="240"/>
      <c r="DH607" s="240"/>
    </row>
    <row r="608" spans="1:112" ht="27" hidden="1" customHeight="1">
      <c r="A608" s="207">
        <v>604</v>
      </c>
      <c r="B608" s="197" t="s">
        <v>4396</v>
      </c>
      <c r="C608" s="207" t="s">
        <v>4427</v>
      </c>
      <c r="D608" s="207">
        <v>1</v>
      </c>
      <c r="E608" s="207" t="s">
        <v>4398</v>
      </c>
      <c r="F608" s="214" t="s">
        <v>6997</v>
      </c>
      <c r="G608" s="219" t="s">
        <v>4545</v>
      </c>
      <c r="H608" s="207" t="s">
        <v>6498</v>
      </c>
      <c r="I608" s="233" t="s">
        <v>4421</v>
      </c>
      <c r="J608" s="215" t="s">
        <v>6998</v>
      </c>
      <c r="K608" s="215" t="s">
        <v>6999</v>
      </c>
      <c r="L608" s="215" t="s">
        <v>7000</v>
      </c>
      <c r="M608" s="207" t="s">
        <v>4405</v>
      </c>
      <c r="N608" s="207" t="s">
        <v>4442</v>
      </c>
      <c r="O608" s="202" t="s">
        <v>4409</v>
      </c>
      <c r="P608" s="202" t="s">
        <v>4409</v>
      </c>
      <c r="Q608" s="202" t="s">
        <v>4409</v>
      </c>
      <c r="R608" s="202" t="s">
        <v>4409</v>
      </c>
      <c r="S608" s="202" t="s">
        <v>4409</v>
      </c>
      <c r="T608" s="202" t="s">
        <v>4409</v>
      </c>
      <c r="U608" s="202" t="s">
        <v>4409</v>
      </c>
      <c r="V608" s="202" t="s">
        <v>4409</v>
      </c>
      <c r="W608" s="202" t="s">
        <v>4409</v>
      </c>
      <c r="X608" s="202" t="s">
        <v>4409</v>
      </c>
      <c r="Y608" s="202"/>
      <c r="Z608" s="202"/>
      <c r="AA608" s="215" t="s">
        <v>6998</v>
      </c>
      <c r="AB608" s="215" t="s">
        <v>6999</v>
      </c>
      <c r="AC608" s="215" t="s">
        <v>7000</v>
      </c>
      <c r="AD608" s="233" t="s">
        <v>4421</v>
      </c>
      <c r="AE608" s="207" t="s">
        <v>4405</v>
      </c>
      <c r="AF608" s="218">
        <v>23244.14</v>
      </c>
      <c r="AG608" s="218">
        <f>AF608+30000</f>
        <v>53244.14</v>
      </c>
      <c r="AH608" s="207" t="s">
        <v>4433</v>
      </c>
      <c r="AI608" s="214" t="s">
        <v>4411</v>
      </c>
      <c r="AJ608" s="207">
        <v>146670595</v>
      </c>
      <c r="AK608" s="316">
        <v>46045</v>
      </c>
      <c r="AL608" s="316">
        <v>46045</v>
      </c>
      <c r="AM608" s="316">
        <v>46045</v>
      </c>
      <c r="AN608" s="316">
        <v>46045</v>
      </c>
      <c r="AO608" s="316">
        <v>46045</v>
      </c>
      <c r="AP608" s="316">
        <v>46045</v>
      </c>
      <c r="AQ608" s="314"/>
      <c r="AR608" s="315" t="str">
        <f t="shared" si="41"/>
        <v>FINALIZADO</v>
      </c>
      <c r="AS608" s="207" t="s">
        <v>4423</v>
      </c>
      <c r="AT608" s="207"/>
      <c r="AU608" s="225" t="s">
        <v>7001</v>
      </c>
      <c r="AV608" s="197" t="s">
        <v>4425</v>
      </c>
      <c r="AW608" s="207" t="s">
        <v>4425</v>
      </c>
      <c r="AX608" s="207" t="s">
        <v>4425</v>
      </c>
      <c r="AY608" s="207" t="s">
        <v>4425</v>
      </c>
      <c r="AZ608" s="202">
        <v>46127</v>
      </c>
      <c r="BA608" s="207" t="s">
        <v>4425</v>
      </c>
      <c r="BB608" s="207" t="s">
        <v>4425</v>
      </c>
      <c r="BC608" s="202">
        <v>46139</v>
      </c>
      <c r="BD608" s="227">
        <v>46139</v>
      </c>
      <c r="BE608" s="227" t="s">
        <v>4435</v>
      </c>
      <c r="BF608" s="228" t="s">
        <v>4436</v>
      </c>
      <c r="BG608" s="229" t="s">
        <v>4425</v>
      </c>
      <c r="BH608" s="321">
        <f t="shared" si="42"/>
        <v>94</v>
      </c>
      <c r="BI608" s="98" t="str">
        <f t="shared" si="43"/>
        <v>INDENIZAÇÃO</v>
      </c>
      <c r="BJ608" s="98" t="str">
        <f t="shared" si="44"/>
        <v>NÃO</v>
      </c>
      <c r="BK608" s="230" t="s">
        <v>4437</v>
      </c>
      <c r="BL608" s="230" t="s">
        <v>4437</v>
      </c>
      <c r="BM608" s="230" t="s">
        <v>4437</v>
      </c>
      <c r="BN608" s="265" t="s">
        <v>5732</v>
      </c>
      <c r="BO608" s="265"/>
      <c r="BP608" s="265"/>
      <c r="BQ608" s="265"/>
      <c r="BR608" s="231"/>
      <c r="BS608" s="240"/>
      <c r="BT608" s="240"/>
      <c r="BU608" s="240"/>
      <c r="BV608" s="240"/>
      <c r="BW608" s="240"/>
      <c r="BX608" s="240"/>
      <c r="BY608" s="240"/>
      <c r="BZ608" s="240"/>
      <c r="CA608" s="240"/>
      <c r="CB608" s="240"/>
      <c r="CC608" s="240"/>
      <c r="CD608" s="240"/>
      <c r="CE608" s="240"/>
      <c r="CF608" s="240"/>
      <c r="CG608" s="240"/>
      <c r="CH608" s="240"/>
      <c r="CI608" s="240"/>
      <c r="CJ608" s="240"/>
      <c r="CK608" s="240"/>
      <c r="CL608" s="240"/>
      <c r="CM608" s="240"/>
      <c r="CN608" s="240"/>
      <c r="CO608" s="240"/>
      <c r="CP608" s="240"/>
      <c r="CQ608" s="240"/>
      <c r="CR608" s="240"/>
      <c r="CS608" s="240"/>
      <c r="CT608" s="240"/>
      <c r="CU608" s="240"/>
      <c r="CV608" s="240"/>
      <c r="CW608" s="240"/>
      <c r="CX608" s="240"/>
      <c r="CY608" s="240"/>
      <c r="CZ608" s="240"/>
      <c r="DA608" s="240"/>
      <c r="DB608" s="240"/>
      <c r="DC608" s="240"/>
      <c r="DD608" s="240"/>
      <c r="DE608" s="240"/>
      <c r="DF608" s="240"/>
      <c r="DG608" s="240"/>
      <c r="DH608" s="240"/>
    </row>
    <row r="609" spans="1:112" ht="27" hidden="1" customHeight="1">
      <c r="A609" s="197">
        <v>605</v>
      </c>
      <c r="B609" s="197" t="s">
        <v>4396</v>
      </c>
      <c r="C609" s="207" t="s">
        <v>4427</v>
      </c>
      <c r="D609" s="207">
        <v>1</v>
      </c>
      <c r="E609" s="207" t="s">
        <v>4398</v>
      </c>
      <c r="F609" s="214" t="s">
        <v>7002</v>
      </c>
      <c r="G609" s="160" t="s">
        <v>4400</v>
      </c>
      <c r="H609" s="207" t="s">
        <v>4401</v>
      </c>
      <c r="I609" s="249" t="s">
        <v>4402</v>
      </c>
      <c r="J609" s="215" t="s">
        <v>7003</v>
      </c>
      <c r="K609" s="215" t="s">
        <v>7004</v>
      </c>
      <c r="L609" s="215" t="s">
        <v>7005</v>
      </c>
      <c r="M609" s="207" t="s">
        <v>4405</v>
      </c>
      <c r="N609" s="207" t="s">
        <v>4442</v>
      </c>
      <c r="O609" s="202" t="s">
        <v>4409</v>
      </c>
      <c r="P609" s="202" t="s">
        <v>4409</v>
      </c>
      <c r="Q609" s="202" t="s">
        <v>4409</v>
      </c>
      <c r="R609" s="202" t="s">
        <v>4409</v>
      </c>
      <c r="S609" s="202" t="s">
        <v>4409</v>
      </c>
      <c r="T609" s="202" t="s">
        <v>4409</v>
      </c>
      <c r="U609" s="202" t="s">
        <v>4409</v>
      </c>
      <c r="V609" s="202" t="s">
        <v>4409</v>
      </c>
      <c r="W609" s="202" t="s">
        <v>4409</v>
      </c>
      <c r="X609" s="202" t="s">
        <v>4409</v>
      </c>
      <c r="Y609" s="202"/>
      <c r="Z609" s="202"/>
      <c r="AA609" s="215" t="s">
        <v>7003</v>
      </c>
      <c r="AB609" s="215" t="s">
        <v>7004</v>
      </c>
      <c r="AC609" s="215" t="s">
        <v>7005</v>
      </c>
      <c r="AD609" s="207" t="s">
        <v>4402</v>
      </c>
      <c r="AE609" s="207" t="s">
        <v>4405</v>
      </c>
      <c r="AF609" s="218">
        <v>59568.93</v>
      </c>
      <c r="AG609" s="218">
        <v>60000</v>
      </c>
      <c r="AH609" s="207" t="s">
        <v>4433</v>
      </c>
      <c r="AI609" s="214" t="s">
        <v>4411</v>
      </c>
      <c r="AJ609" s="207">
        <v>146041017</v>
      </c>
      <c r="AK609" s="316">
        <v>46045</v>
      </c>
      <c r="AL609" s="316">
        <v>46045</v>
      </c>
      <c r="AM609" s="316">
        <v>46045</v>
      </c>
      <c r="AN609" s="316">
        <v>46045</v>
      </c>
      <c r="AO609" s="316">
        <v>46045</v>
      </c>
      <c r="AP609" s="316">
        <v>46045</v>
      </c>
      <c r="AQ609" s="314"/>
      <c r="AR609" s="315" t="str">
        <f t="shared" si="41"/>
        <v>FINALIZADO</v>
      </c>
      <c r="AS609" s="207" t="s">
        <v>4423</v>
      </c>
      <c r="AT609" s="207"/>
      <c r="AU609" s="225" t="s">
        <v>7006</v>
      </c>
      <c r="AV609" s="197" t="s">
        <v>4425</v>
      </c>
      <c r="AW609" s="207" t="s">
        <v>4425</v>
      </c>
      <c r="AX609" s="207" t="s">
        <v>4425</v>
      </c>
      <c r="AY609" s="207" t="s">
        <v>4425</v>
      </c>
      <c r="AZ609" s="202">
        <v>46084</v>
      </c>
      <c r="BA609" s="219" t="s">
        <v>4425</v>
      </c>
      <c r="BB609" s="219" t="s">
        <v>4425</v>
      </c>
      <c r="BC609" s="239">
        <v>46092</v>
      </c>
      <c r="BD609" s="227">
        <v>46092</v>
      </c>
      <c r="BE609" s="226" t="s">
        <v>4435</v>
      </c>
      <c r="BF609" s="228" t="s">
        <v>4436</v>
      </c>
      <c r="BG609" s="229" t="s">
        <v>4425</v>
      </c>
      <c r="BH609" s="321">
        <f t="shared" si="42"/>
        <v>47</v>
      </c>
      <c r="BI609" s="98" t="str">
        <f t="shared" si="43"/>
        <v>INDENIZAÇÃO</v>
      </c>
      <c r="BJ609" s="98" t="str">
        <f t="shared" si="44"/>
        <v>NÃO</v>
      </c>
      <c r="BK609" s="230" t="s">
        <v>4437</v>
      </c>
      <c r="BL609" s="230" t="s">
        <v>4437</v>
      </c>
      <c r="BM609" s="230" t="s">
        <v>4437</v>
      </c>
      <c r="BN609" s="265" t="s">
        <v>5732</v>
      </c>
      <c r="BO609" s="265"/>
      <c r="BP609" s="265"/>
      <c r="BQ609" s="265"/>
      <c r="BR609" s="231"/>
      <c r="BS609" s="240"/>
      <c r="BT609" s="240"/>
      <c r="BU609" s="240"/>
      <c r="BV609" s="240"/>
      <c r="BW609" s="240"/>
      <c r="BX609" s="240"/>
      <c r="BY609" s="240"/>
      <c r="BZ609" s="240"/>
      <c r="CA609" s="240"/>
      <c r="CB609" s="240"/>
      <c r="CC609" s="240"/>
      <c r="CD609" s="240"/>
      <c r="CE609" s="240"/>
      <c r="CF609" s="240"/>
      <c r="CG609" s="240"/>
      <c r="CH609" s="240"/>
      <c r="CI609" s="240"/>
      <c r="CJ609" s="240"/>
      <c r="CK609" s="240"/>
      <c r="CL609" s="240"/>
      <c r="CM609" s="240"/>
      <c r="CN609" s="240"/>
      <c r="CO609" s="240"/>
      <c r="CP609" s="240"/>
      <c r="CQ609" s="240"/>
      <c r="CR609" s="240"/>
      <c r="CS609" s="240"/>
      <c r="CT609" s="240"/>
      <c r="CU609" s="240"/>
      <c r="CV609" s="240"/>
      <c r="CW609" s="240"/>
      <c r="CX609" s="240"/>
      <c r="CY609" s="240"/>
      <c r="CZ609" s="240"/>
      <c r="DA609" s="240"/>
      <c r="DB609" s="240"/>
      <c r="DC609" s="240"/>
      <c r="DD609" s="240"/>
      <c r="DE609" s="240"/>
      <c r="DF609" s="240"/>
      <c r="DG609" s="240"/>
      <c r="DH609" s="240"/>
    </row>
    <row r="610" spans="1:112" ht="27" hidden="1" customHeight="1">
      <c r="A610" s="197">
        <v>606</v>
      </c>
      <c r="B610" s="197" t="s">
        <v>4396</v>
      </c>
      <c r="C610" s="207" t="s">
        <v>4427</v>
      </c>
      <c r="D610" s="207">
        <v>1</v>
      </c>
      <c r="E610" s="207" t="s">
        <v>4398</v>
      </c>
      <c r="F610" s="214" t="s">
        <v>7007</v>
      </c>
      <c r="G610" s="219" t="s">
        <v>4545</v>
      </c>
      <c r="H610" s="207" t="s">
        <v>6498</v>
      </c>
      <c r="I610" s="233" t="s">
        <v>4421</v>
      </c>
      <c r="J610" s="215" t="s">
        <v>7008</v>
      </c>
      <c r="K610" s="215" t="s">
        <v>7009</v>
      </c>
      <c r="L610" s="215" t="s">
        <v>7010</v>
      </c>
      <c r="M610" s="207" t="s">
        <v>4405</v>
      </c>
      <c r="N610" s="207" t="s">
        <v>4442</v>
      </c>
      <c r="O610" s="202" t="s">
        <v>4409</v>
      </c>
      <c r="P610" s="202" t="s">
        <v>4409</v>
      </c>
      <c r="Q610" s="202" t="s">
        <v>4409</v>
      </c>
      <c r="R610" s="202" t="s">
        <v>4409</v>
      </c>
      <c r="S610" s="202" t="s">
        <v>4409</v>
      </c>
      <c r="T610" s="202" t="s">
        <v>4409</v>
      </c>
      <c r="U610" s="202" t="s">
        <v>4409</v>
      </c>
      <c r="V610" s="202" t="s">
        <v>4409</v>
      </c>
      <c r="W610" s="202" t="s">
        <v>4409</v>
      </c>
      <c r="X610" s="202" t="s">
        <v>4409</v>
      </c>
      <c r="Y610" s="202"/>
      <c r="Z610" s="202"/>
      <c r="AA610" s="215" t="s">
        <v>7008</v>
      </c>
      <c r="AB610" s="215" t="s">
        <v>7009</v>
      </c>
      <c r="AC610" s="215" t="s">
        <v>7010</v>
      </c>
      <c r="AD610" s="233" t="s">
        <v>4421</v>
      </c>
      <c r="AE610" s="207" t="s">
        <v>4405</v>
      </c>
      <c r="AF610" s="218">
        <v>23021.02</v>
      </c>
      <c r="AG610" s="218">
        <v>23021.02</v>
      </c>
      <c r="AH610" s="207" t="s">
        <v>4433</v>
      </c>
      <c r="AI610" s="214" t="s">
        <v>4411</v>
      </c>
      <c r="AJ610">
        <v>148267124</v>
      </c>
      <c r="AK610" s="316">
        <v>46051</v>
      </c>
      <c r="AL610" s="316">
        <v>46051</v>
      </c>
      <c r="AM610" s="316">
        <v>46051</v>
      </c>
      <c r="AN610" s="316">
        <v>46051</v>
      </c>
      <c r="AO610" s="316">
        <v>46051</v>
      </c>
      <c r="AP610" s="316">
        <v>46051</v>
      </c>
      <c r="AQ610" s="314"/>
      <c r="AR610" s="315" t="str">
        <f t="shared" si="41"/>
        <v>FINALIZADO</v>
      </c>
      <c r="AS610" s="207" t="s">
        <v>4423</v>
      </c>
      <c r="AT610" s="207"/>
      <c r="AU610" s="225" t="s">
        <v>7011</v>
      </c>
      <c r="AV610" s="197" t="s">
        <v>4425</v>
      </c>
      <c r="AW610" s="207" t="s">
        <v>4425</v>
      </c>
      <c r="AX610" s="207" t="s">
        <v>4425</v>
      </c>
      <c r="AY610" s="207" t="s">
        <v>4425</v>
      </c>
      <c r="AZ610" s="202">
        <v>46153</v>
      </c>
      <c r="BA610" s="207" t="s">
        <v>4425</v>
      </c>
      <c r="BB610" s="207" t="s">
        <v>4425</v>
      </c>
      <c r="BC610" s="202">
        <v>46157</v>
      </c>
      <c r="BD610" s="227">
        <v>46157</v>
      </c>
      <c r="BE610" s="227" t="s">
        <v>4435</v>
      </c>
      <c r="BF610" s="228" t="s">
        <v>4436</v>
      </c>
      <c r="BG610" s="229" t="s">
        <v>4425</v>
      </c>
      <c r="BH610" s="321">
        <f t="shared" si="42"/>
        <v>106</v>
      </c>
      <c r="BI610" s="98" t="str">
        <f t="shared" si="43"/>
        <v>INDENIZAÇÃO</v>
      </c>
      <c r="BJ610" s="98" t="str">
        <f t="shared" si="44"/>
        <v>NÃO</v>
      </c>
      <c r="BK610" s="230" t="s">
        <v>4437</v>
      </c>
      <c r="BL610" s="230" t="s">
        <v>4437</v>
      </c>
      <c r="BM610" s="230" t="s">
        <v>4437</v>
      </c>
      <c r="BN610" s="265" t="s">
        <v>5732</v>
      </c>
      <c r="BO610" s="265"/>
      <c r="BP610" s="265"/>
      <c r="BQ610" s="265"/>
      <c r="BR610" s="231"/>
      <c r="BS610" s="240"/>
      <c r="BT610" s="240"/>
      <c r="BU610" s="240"/>
      <c r="BV610" s="240"/>
      <c r="BW610" s="240"/>
      <c r="BX610" s="240"/>
      <c r="BY610" s="240"/>
      <c r="BZ610" s="240"/>
      <c r="CA610" s="240"/>
      <c r="CB610" s="240"/>
      <c r="CC610" s="240"/>
      <c r="CD610" s="240"/>
      <c r="CE610" s="240"/>
      <c r="CF610" s="240"/>
      <c r="CG610" s="240"/>
      <c r="CH610" s="240"/>
      <c r="CI610" s="240"/>
      <c r="CJ610" s="240"/>
      <c r="CK610" s="240"/>
      <c r="CL610" s="240"/>
      <c r="CM610" s="240"/>
      <c r="CN610" s="240"/>
      <c r="CO610" s="240"/>
      <c r="CP610" s="240"/>
      <c r="CQ610" s="240"/>
      <c r="CR610" s="240"/>
      <c r="CS610" s="240"/>
      <c r="CT610" s="240"/>
      <c r="CU610" s="240"/>
      <c r="CV610" s="240"/>
      <c r="CW610" s="240"/>
      <c r="CX610" s="240"/>
      <c r="CY610" s="240"/>
      <c r="CZ610" s="240"/>
      <c r="DA610" s="240"/>
      <c r="DB610" s="240"/>
      <c r="DC610" s="240"/>
      <c r="DD610" s="240"/>
      <c r="DE610" s="240"/>
      <c r="DF610" s="240"/>
      <c r="DG610" s="240"/>
      <c r="DH610" s="240"/>
    </row>
    <row r="611" spans="1:112" ht="27" hidden="1" customHeight="1">
      <c r="A611" s="207">
        <v>607</v>
      </c>
      <c r="B611" s="197" t="s">
        <v>4396</v>
      </c>
      <c r="C611" s="207" t="s">
        <v>4427</v>
      </c>
      <c r="D611" s="207">
        <v>1</v>
      </c>
      <c r="E611" s="207" t="s">
        <v>4398</v>
      </c>
      <c r="F611" s="214" t="s">
        <v>7012</v>
      </c>
      <c r="G611" s="160" t="s">
        <v>4400</v>
      </c>
      <c r="H611" s="207" t="s">
        <v>4401</v>
      </c>
      <c r="I611" s="249" t="s">
        <v>4402</v>
      </c>
      <c r="J611" s="215" t="s">
        <v>7013</v>
      </c>
      <c r="K611" s="215" t="s">
        <v>7014</v>
      </c>
      <c r="L611" s="215" t="s">
        <v>7015</v>
      </c>
      <c r="M611" s="207" t="s">
        <v>4405</v>
      </c>
      <c r="N611" s="207" t="s">
        <v>4442</v>
      </c>
      <c r="O611" s="202" t="s">
        <v>4409</v>
      </c>
      <c r="P611" s="202" t="s">
        <v>4409</v>
      </c>
      <c r="Q611" s="202" t="s">
        <v>4409</v>
      </c>
      <c r="R611" s="202" t="s">
        <v>4409</v>
      </c>
      <c r="S611" s="202" t="s">
        <v>4409</v>
      </c>
      <c r="T611" s="202" t="s">
        <v>4409</v>
      </c>
      <c r="U611" s="202" t="s">
        <v>4409</v>
      </c>
      <c r="V611" s="202" t="s">
        <v>4409</v>
      </c>
      <c r="W611" s="202" t="s">
        <v>4409</v>
      </c>
      <c r="X611" s="202" t="s">
        <v>4409</v>
      </c>
      <c r="Y611" s="202"/>
      <c r="Z611" s="202"/>
      <c r="AA611" s="215" t="s">
        <v>7013</v>
      </c>
      <c r="AB611" s="215" t="s">
        <v>7014</v>
      </c>
      <c r="AC611" s="215" t="s">
        <v>7015</v>
      </c>
      <c r="AD611" s="207" t="s">
        <v>4402</v>
      </c>
      <c r="AE611" s="207" t="s">
        <v>4405</v>
      </c>
      <c r="AF611" s="218">
        <v>26293.73</v>
      </c>
      <c r="AG611" s="218">
        <v>56293.73</v>
      </c>
      <c r="AH611" s="207" t="s">
        <v>4433</v>
      </c>
      <c r="AI611" s="214" t="s">
        <v>4411</v>
      </c>
      <c r="AJ611" s="207">
        <v>150614301</v>
      </c>
      <c r="AK611" s="316">
        <v>46064</v>
      </c>
      <c r="AL611" s="316">
        <v>46064</v>
      </c>
      <c r="AM611" s="316">
        <v>46064</v>
      </c>
      <c r="AN611" s="316">
        <v>46064</v>
      </c>
      <c r="AO611" s="316">
        <v>46064</v>
      </c>
      <c r="AP611" s="316">
        <v>46064</v>
      </c>
      <c r="AQ611" s="314"/>
      <c r="AR611" s="315" t="str">
        <f t="shared" si="41"/>
        <v>FINALIZADO</v>
      </c>
      <c r="AS611" s="207" t="s">
        <v>4423</v>
      </c>
      <c r="AT611" s="207"/>
      <c r="AU611" s="225" t="s">
        <v>7016</v>
      </c>
      <c r="AV611" s="207" t="s">
        <v>4425</v>
      </c>
      <c r="AW611" s="207" t="s">
        <v>4425</v>
      </c>
      <c r="AX611" s="207" t="s">
        <v>4425</v>
      </c>
      <c r="AY611" s="197" t="s">
        <v>4425</v>
      </c>
      <c r="AZ611" s="202">
        <v>46127</v>
      </c>
      <c r="BA611" s="207" t="s">
        <v>4425</v>
      </c>
      <c r="BB611" s="197" t="s">
        <v>4425</v>
      </c>
      <c r="BC611" s="202">
        <v>46139</v>
      </c>
      <c r="BD611" s="227">
        <v>46139</v>
      </c>
      <c r="BE611" s="227" t="s">
        <v>4435</v>
      </c>
      <c r="BF611" s="228" t="s">
        <v>4436</v>
      </c>
      <c r="BG611" s="229" t="s">
        <v>4425</v>
      </c>
      <c r="BH611" s="321">
        <f t="shared" si="42"/>
        <v>75</v>
      </c>
      <c r="BI611" s="98" t="str">
        <f t="shared" si="43"/>
        <v>INDENIZAÇÃO</v>
      </c>
      <c r="BJ611" s="98" t="str">
        <f t="shared" si="44"/>
        <v>NÃO</v>
      </c>
      <c r="BK611" s="219" t="s">
        <v>4437</v>
      </c>
      <c r="BL611" s="219" t="s">
        <v>4437</v>
      </c>
      <c r="BM611" s="219" t="s">
        <v>4437</v>
      </c>
      <c r="BN611" s="257" t="s">
        <v>5732</v>
      </c>
      <c r="BO611" s="257"/>
      <c r="BP611" s="257"/>
      <c r="BQ611" s="257"/>
      <c r="BR611" s="258"/>
      <c r="BS611" s="240"/>
      <c r="BT611" s="240"/>
      <c r="BU611" s="240"/>
      <c r="BV611" s="240"/>
      <c r="BW611" s="240"/>
      <c r="BX611" s="240"/>
      <c r="BY611" s="240"/>
      <c r="BZ611" s="240"/>
      <c r="CA611" s="240"/>
      <c r="CB611" s="240"/>
      <c r="CC611" s="240"/>
      <c r="CD611" s="240"/>
      <c r="CE611" s="240"/>
      <c r="CF611" s="240"/>
      <c r="CG611" s="240"/>
      <c r="CH611" s="240"/>
      <c r="CI611" s="240"/>
      <c r="CJ611" s="240"/>
      <c r="CK611" s="240"/>
      <c r="CL611" s="240"/>
      <c r="CM611" s="240"/>
      <c r="CN611" s="240"/>
      <c r="CO611" s="240"/>
      <c r="CP611" s="240"/>
      <c r="CQ611" s="240"/>
      <c r="CR611" s="240"/>
      <c r="CS611" s="240"/>
      <c r="CT611" s="240"/>
      <c r="CU611" s="240"/>
      <c r="CV611" s="240"/>
      <c r="CW611" s="240"/>
      <c r="CX611" s="240"/>
      <c r="CY611" s="240"/>
      <c r="CZ611" s="240"/>
      <c r="DA611" s="240"/>
      <c r="DB611" s="240"/>
      <c r="DC611" s="240"/>
      <c r="DD611" s="240"/>
      <c r="DE611" s="240"/>
      <c r="DF611" s="240"/>
      <c r="DG611" s="240"/>
      <c r="DH611" s="240"/>
    </row>
    <row r="612" spans="1:112" ht="27" hidden="1" customHeight="1">
      <c r="A612" s="207">
        <v>608</v>
      </c>
      <c r="B612" s="197" t="s">
        <v>4396</v>
      </c>
      <c r="C612" s="207" t="s">
        <v>4427</v>
      </c>
      <c r="D612" s="207">
        <v>1</v>
      </c>
      <c r="E612" s="207" t="s">
        <v>4398</v>
      </c>
      <c r="F612" s="214" t="s">
        <v>7017</v>
      </c>
      <c r="G612" s="207" t="s">
        <v>4400</v>
      </c>
      <c r="H612" s="207" t="s">
        <v>4401</v>
      </c>
      <c r="I612" s="217" t="s">
        <v>4402</v>
      </c>
      <c r="J612" s="215" t="s">
        <v>7018</v>
      </c>
      <c r="K612" s="215" t="s">
        <v>7019</v>
      </c>
      <c r="L612" s="215" t="s">
        <v>7020</v>
      </c>
      <c r="M612" s="207" t="s">
        <v>4405</v>
      </c>
      <c r="N612" s="207" t="s">
        <v>4406</v>
      </c>
      <c r="O612" s="202">
        <v>46002</v>
      </c>
      <c r="P612" s="202" t="s">
        <v>4407</v>
      </c>
      <c r="Q612" s="202">
        <v>45999</v>
      </c>
      <c r="R612" s="202">
        <v>46006</v>
      </c>
      <c r="S612" s="202">
        <v>46006</v>
      </c>
      <c r="T612" s="202">
        <v>46009</v>
      </c>
      <c r="U612" s="202" t="s">
        <v>4408</v>
      </c>
      <c r="V612" s="202" t="s">
        <v>4408</v>
      </c>
      <c r="W612" s="202">
        <v>46014</v>
      </c>
      <c r="X612" s="202">
        <v>46017</v>
      </c>
      <c r="Y612" s="202"/>
      <c r="Z612" s="207"/>
      <c r="AA612" s="215" t="s">
        <v>7018</v>
      </c>
      <c r="AB612" s="215" t="s">
        <v>7019</v>
      </c>
      <c r="AC612" s="215" t="s">
        <v>7020</v>
      </c>
      <c r="AD612" s="207" t="s">
        <v>4402</v>
      </c>
      <c r="AE612" s="207" t="s">
        <v>4405</v>
      </c>
      <c r="AF612" s="218" t="s">
        <v>4409</v>
      </c>
      <c r="AG612" s="218" t="s">
        <v>4409</v>
      </c>
      <c r="AH612" s="207" t="s">
        <v>4410</v>
      </c>
      <c r="AI612" s="214" t="s">
        <v>4411</v>
      </c>
      <c r="AJ612" s="207"/>
      <c r="AK612" s="316">
        <v>45996</v>
      </c>
      <c r="AL612" s="316">
        <v>45996</v>
      </c>
      <c r="AM612" s="316">
        <v>45996</v>
      </c>
      <c r="AN612" s="316">
        <v>45996</v>
      </c>
      <c r="AO612" s="316">
        <v>45996</v>
      </c>
      <c r="AP612" s="316">
        <v>45996</v>
      </c>
      <c r="AQ612" s="314"/>
      <c r="AR612" s="315" t="str">
        <f t="shared" si="41"/>
        <v>FINALIZADO</v>
      </c>
      <c r="AS612" s="207"/>
      <c r="AT612" s="207"/>
      <c r="AU612" s="225"/>
      <c r="AV612" s="207"/>
      <c r="AW612" s="207"/>
      <c r="AX612" s="207"/>
      <c r="AY612" s="207"/>
      <c r="AZ612" s="202"/>
      <c r="BA612" s="219"/>
      <c r="BB612" s="207"/>
      <c r="BC612" s="202"/>
      <c r="BD612" s="208"/>
      <c r="BE612" s="202"/>
      <c r="BF612" s="207"/>
      <c r="BG612" s="229"/>
      <c r="BH612" s="321" t="str">
        <f t="shared" si="42"/>
        <v/>
      </c>
      <c r="BI612" s="98" t="str">
        <f t="shared" si="43"/>
        <v>AA</v>
      </c>
      <c r="BJ612" s="98" t="str">
        <f t="shared" si="44"/>
        <v>NÃO</v>
      </c>
      <c r="BK612" s="230"/>
      <c r="BL612" s="230"/>
      <c r="BM612" s="230"/>
      <c r="BN612" s="230"/>
      <c r="BO612" s="230"/>
      <c r="BP612" s="230"/>
      <c r="BQ612" s="230"/>
      <c r="BR612" s="234"/>
      <c r="BS612" s="240"/>
      <c r="BT612" s="240"/>
      <c r="BU612" s="240"/>
      <c r="BV612" s="240"/>
      <c r="BW612" s="240"/>
      <c r="BX612" s="240"/>
      <c r="BY612" s="240"/>
      <c r="BZ612" s="240"/>
      <c r="CA612" s="240"/>
      <c r="CB612" s="240"/>
      <c r="CC612" s="240"/>
      <c r="CD612" s="240"/>
      <c r="CE612" s="240"/>
      <c r="CF612" s="240"/>
      <c r="CG612" s="240"/>
      <c r="CH612" s="240"/>
      <c r="CI612" s="240"/>
      <c r="CJ612" s="240"/>
      <c r="CK612" s="240"/>
      <c r="CL612" s="240"/>
      <c r="CM612" s="240"/>
      <c r="CN612" s="240"/>
      <c r="CO612" s="240"/>
      <c r="CP612" s="240"/>
      <c r="CQ612" s="240"/>
      <c r="CR612" s="240"/>
      <c r="CS612" s="240"/>
      <c r="CT612" s="240"/>
      <c r="CU612" s="240"/>
      <c r="CV612" s="240"/>
      <c r="CW612" s="240"/>
      <c r="CX612" s="240"/>
      <c r="CY612" s="240"/>
      <c r="CZ612" s="240"/>
      <c r="DA612" s="240"/>
      <c r="DB612" s="240"/>
      <c r="DC612" s="240"/>
      <c r="DD612" s="240"/>
      <c r="DE612" s="240"/>
      <c r="DF612" s="240"/>
      <c r="DG612" s="240"/>
      <c r="DH612" s="240"/>
    </row>
    <row r="613" spans="1:112" ht="27" hidden="1" customHeight="1">
      <c r="A613" s="207">
        <v>609</v>
      </c>
      <c r="B613" s="197" t="s">
        <v>4396</v>
      </c>
      <c r="C613" s="207" t="s">
        <v>4427</v>
      </c>
      <c r="D613" s="207">
        <v>1</v>
      </c>
      <c r="E613" s="207" t="s">
        <v>4398</v>
      </c>
      <c r="F613" s="214" t="s">
        <v>7021</v>
      </c>
      <c r="G613" s="207" t="s">
        <v>4400</v>
      </c>
      <c r="H613" s="207" t="s">
        <v>4401</v>
      </c>
      <c r="I613" s="217" t="s">
        <v>7022</v>
      </c>
      <c r="J613" s="215" t="s">
        <v>7023</v>
      </c>
      <c r="K613" s="215" t="s">
        <v>7024</v>
      </c>
      <c r="L613" s="215" t="s">
        <v>7025</v>
      </c>
      <c r="M613" s="207" t="s">
        <v>4405</v>
      </c>
      <c r="N613" s="207" t="s">
        <v>4406</v>
      </c>
      <c r="O613" s="202">
        <v>45986</v>
      </c>
      <c r="P613" s="203" t="s">
        <v>4407</v>
      </c>
      <c r="Q613" s="203">
        <v>45985</v>
      </c>
      <c r="R613" s="203">
        <v>45986</v>
      </c>
      <c r="S613" s="203">
        <v>45987</v>
      </c>
      <c r="T613" s="203">
        <v>45992</v>
      </c>
      <c r="U613" s="202" t="s">
        <v>4408</v>
      </c>
      <c r="V613" s="202" t="s">
        <v>4408</v>
      </c>
      <c r="W613" s="202">
        <v>45999</v>
      </c>
      <c r="X613" s="202">
        <v>46002</v>
      </c>
      <c r="Y613" s="202"/>
      <c r="Z613" s="207"/>
      <c r="AA613" s="215" t="s">
        <v>7023</v>
      </c>
      <c r="AB613" s="215" t="s">
        <v>7024</v>
      </c>
      <c r="AC613" s="215" t="s">
        <v>7025</v>
      </c>
      <c r="AD613" s="207" t="s">
        <v>4402</v>
      </c>
      <c r="AE613" s="207" t="s">
        <v>4405</v>
      </c>
      <c r="AF613" s="218" t="s">
        <v>4409</v>
      </c>
      <c r="AG613" s="218" t="s">
        <v>4409</v>
      </c>
      <c r="AH613" s="241" t="s">
        <v>4410</v>
      </c>
      <c r="AI613" s="214" t="s">
        <v>4411</v>
      </c>
      <c r="AJ613" s="207"/>
      <c r="AK613" s="316">
        <v>45980</v>
      </c>
      <c r="AL613" s="316">
        <v>45980</v>
      </c>
      <c r="AM613" s="316">
        <v>45980</v>
      </c>
      <c r="AN613" s="316">
        <v>45980</v>
      </c>
      <c r="AO613" s="316">
        <v>45980</v>
      </c>
      <c r="AP613" s="316">
        <v>45980</v>
      </c>
      <c r="AQ613" s="314"/>
      <c r="AR613" s="315" t="str">
        <f t="shared" si="41"/>
        <v>FINALIZADO</v>
      </c>
      <c r="AS613" s="207"/>
      <c r="AT613" s="207"/>
      <c r="AU613" s="225"/>
      <c r="AV613" s="207"/>
      <c r="AW613" s="207"/>
      <c r="AX613" s="207" t="s">
        <v>4409</v>
      </c>
      <c r="AY613" s="207" t="s">
        <v>4409</v>
      </c>
      <c r="AZ613" s="207" t="s">
        <v>4409</v>
      </c>
      <c r="BA613" s="207" t="s">
        <v>4409</v>
      </c>
      <c r="BB613" s="207"/>
      <c r="BC613" s="202"/>
      <c r="BD613" s="208"/>
      <c r="BE613" s="202"/>
      <c r="BF613" s="207"/>
      <c r="BG613" s="229"/>
      <c r="BH613" s="321" t="str">
        <f t="shared" si="42"/>
        <v/>
      </c>
      <c r="BI613" s="98" t="str">
        <f t="shared" si="43"/>
        <v>AA</v>
      </c>
      <c r="BJ613" s="98" t="str">
        <f t="shared" si="44"/>
        <v>NÃO</v>
      </c>
      <c r="BK613" s="230"/>
      <c r="BL613" s="230"/>
      <c r="BM613" s="230"/>
      <c r="BN613" s="230"/>
      <c r="BO613" s="230"/>
      <c r="BP613" s="230"/>
      <c r="BQ613" s="230"/>
      <c r="BR613" s="234"/>
    </row>
    <row r="614" spans="1:112" ht="27" hidden="1" customHeight="1">
      <c r="A614" s="197">
        <v>610</v>
      </c>
      <c r="B614" s="197" t="s">
        <v>4396</v>
      </c>
      <c r="C614" s="207" t="s">
        <v>4427</v>
      </c>
      <c r="D614" s="207">
        <v>1</v>
      </c>
      <c r="E614" s="207" t="s">
        <v>4398</v>
      </c>
      <c r="F614" s="214" t="s">
        <v>7026</v>
      </c>
      <c r="G614" s="207" t="s">
        <v>4400</v>
      </c>
      <c r="H614" s="207" t="s">
        <v>4401</v>
      </c>
      <c r="I614" s="217" t="s">
        <v>4402</v>
      </c>
      <c r="J614" s="215" t="s">
        <v>7027</v>
      </c>
      <c r="K614" s="215" t="s">
        <v>7028</v>
      </c>
      <c r="L614" s="215" t="s">
        <v>7029</v>
      </c>
      <c r="M614" s="207" t="s">
        <v>4405</v>
      </c>
      <c r="N614" s="207" t="s">
        <v>4406</v>
      </c>
      <c r="O614" s="202">
        <v>45986</v>
      </c>
      <c r="P614" s="203" t="s">
        <v>4407</v>
      </c>
      <c r="Q614" s="203">
        <v>45985</v>
      </c>
      <c r="R614" s="203">
        <v>45986</v>
      </c>
      <c r="S614" s="203">
        <v>45987</v>
      </c>
      <c r="T614" s="203">
        <v>45992</v>
      </c>
      <c r="U614" s="203" t="s">
        <v>4408</v>
      </c>
      <c r="V614" s="203" t="s">
        <v>4408</v>
      </c>
      <c r="W614" s="202">
        <v>45999</v>
      </c>
      <c r="X614" s="202">
        <v>46000</v>
      </c>
      <c r="Y614" s="202"/>
      <c r="Z614" s="207"/>
      <c r="AA614" s="215" t="s">
        <v>7027</v>
      </c>
      <c r="AB614" s="215" t="s">
        <v>7028</v>
      </c>
      <c r="AC614" s="215" t="s">
        <v>7029</v>
      </c>
      <c r="AD614" s="207" t="s">
        <v>4402</v>
      </c>
      <c r="AE614" s="207" t="s">
        <v>4405</v>
      </c>
      <c r="AF614" s="218" t="s">
        <v>4409</v>
      </c>
      <c r="AG614" s="218" t="s">
        <v>4409</v>
      </c>
      <c r="AH614" s="204" t="s">
        <v>4410</v>
      </c>
      <c r="AI614" s="214" t="s">
        <v>4411</v>
      </c>
      <c r="AJ614" s="207"/>
      <c r="AK614" s="316">
        <v>45980</v>
      </c>
      <c r="AL614" s="316">
        <v>45980</v>
      </c>
      <c r="AM614" s="316">
        <v>45980</v>
      </c>
      <c r="AN614" s="316">
        <v>45980</v>
      </c>
      <c r="AO614" s="316">
        <v>45980</v>
      </c>
      <c r="AP614" s="316">
        <v>45980</v>
      </c>
      <c r="AQ614" s="314"/>
      <c r="AR614" s="315" t="str">
        <f t="shared" si="41"/>
        <v>FINALIZADO</v>
      </c>
      <c r="AS614" s="207"/>
      <c r="AT614" s="207"/>
      <c r="AU614" s="225"/>
      <c r="AV614" s="207"/>
      <c r="AW614" s="207"/>
      <c r="AX614" s="207" t="s">
        <v>4409</v>
      </c>
      <c r="AY614" s="207" t="s">
        <v>4409</v>
      </c>
      <c r="AZ614" s="207" t="s">
        <v>4409</v>
      </c>
      <c r="BA614" s="207" t="s">
        <v>4409</v>
      </c>
      <c r="BB614" s="207"/>
      <c r="BC614" s="202"/>
      <c r="BD614" s="208"/>
      <c r="BE614" s="202"/>
      <c r="BF614" s="207"/>
      <c r="BG614" s="229"/>
      <c r="BH614" s="321" t="str">
        <f t="shared" si="42"/>
        <v/>
      </c>
      <c r="BI614" s="98" t="str">
        <f t="shared" si="43"/>
        <v>AA</v>
      </c>
      <c r="BJ614" s="98" t="str">
        <f t="shared" si="44"/>
        <v>NÃO</v>
      </c>
      <c r="BK614" s="230"/>
      <c r="BL614" s="230"/>
      <c r="BM614" s="230"/>
      <c r="BN614" s="230"/>
      <c r="BO614" s="230"/>
      <c r="BP614" s="230"/>
      <c r="BQ614" s="230"/>
      <c r="BR614" s="234"/>
    </row>
    <row r="615" spans="1:112" ht="27" hidden="1" customHeight="1">
      <c r="A615" s="197">
        <v>611</v>
      </c>
      <c r="B615" s="197" t="s">
        <v>4396</v>
      </c>
      <c r="C615" s="207" t="s">
        <v>4427</v>
      </c>
      <c r="D615" s="207">
        <v>1</v>
      </c>
      <c r="E615" s="207" t="s">
        <v>4398</v>
      </c>
      <c r="F615" s="214" t="s">
        <v>7030</v>
      </c>
      <c r="G615" s="207" t="s">
        <v>4400</v>
      </c>
      <c r="H615" s="207" t="s">
        <v>4401</v>
      </c>
      <c r="I615" s="217" t="s">
        <v>7022</v>
      </c>
      <c r="J615" s="215" t="s">
        <v>7031</v>
      </c>
      <c r="K615" s="215" t="s">
        <v>7032</v>
      </c>
      <c r="L615" s="215" t="s">
        <v>7033</v>
      </c>
      <c r="M615" s="207" t="s">
        <v>4405</v>
      </c>
      <c r="N615" s="207" t="s">
        <v>4406</v>
      </c>
      <c r="O615" s="202">
        <v>45986</v>
      </c>
      <c r="P615" s="203" t="s">
        <v>4407</v>
      </c>
      <c r="Q615" s="203">
        <v>45985</v>
      </c>
      <c r="R615" s="203">
        <v>45986</v>
      </c>
      <c r="S615" s="203">
        <v>45987</v>
      </c>
      <c r="T615" s="203">
        <v>45992</v>
      </c>
      <c r="U615" s="202" t="s">
        <v>4408</v>
      </c>
      <c r="V615" s="202" t="s">
        <v>4408</v>
      </c>
      <c r="W615" s="202">
        <v>45999</v>
      </c>
      <c r="X615" s="202">
        <v>46000</v>
      </c>
      <c r="Y615" s="203"/>
      <c r="Z615" s="219"/>
      <c r="AA615" s="215" t="s">
        <v>7031</v>
      </c>
      <c r="AB615" s="215" t="s">
        <v>7032</v>
      </c>
      <c r="AC615" s="215" t="s">
        <v>7033</v>
      </c>
      <c r="AD615" s="207" t="s">
        <v>4402</v>
      </c>
      <c r="AE615" s="207" t="s">
        <v>4405</v>
      </c>
      <c r="AF615" s="218" t="s">
        <v>4409</v>
      </c>
      <c r="AG615" s="218" t="s">
        <v>4409</v>
      </c>
      <c r="AH615" s="204" t="s">
        <v>4410</v>
      </c>
      <c r="AI615" s="214" t="s">
        <v>4411</v>
      </c>
      <c r="AJ615" s="207"/>
      <c r="AK615" s="316">
        <v>45980</v>
      </c>
      <c r="AL615" s="316">
        <v>45980</v>
      </c>
      <c r="AM615" s="316">
        <v>45980</v>
      </c>
      <c r="AN615" s="316">
        <v>45980</v>
      </c>
      <c r="AO615" s="316">
        <v>45980</v>
      </c>
      <c r="AP615" s="316">
        <v>45980</v>
      </c>
      <c r="AQ615" s="314"/>
      <c r="AR615" s="315" t="str">
        <f t="shared" si="41"/>
        <v>FINALIZADO</v>
      </c>
      <c r="AS615" s="207"/>
      <c r="AT615" s="219"/>
      <c r="AU615" s="225"/>
      <c r="AV615" s="207"/>
      <c r="AW615" s="207"/>
      <c r="AX615" s="207" t="s">
        <v>4409</v>
      </c>
      <c r="AY615" s="207" t="s">
        <v>4409</v>
      </c>
      <c r="AZ615" s="207" t="s">
        <v>4409</v>
      </c>
      <c r="BA615" s="207" t="s">
        <v>4409</v>
      </c>
      <c r="BB615" s="219"/>
      <c r="BC615" s="219"/>
      <c r="BD615" s="208"/>
      <c r="BE615" s="202"/>
      <c r="BF615" s="207"/>
      <c r="BG615" s="229"/>
      <c r="BH615" s="321" t="str">
        <f t="shared" si="42"/>
        <v/>
      </c>
      <c r="BI615" s="98" t="str">
        <f t="shared" si="43"/>
        <v>AA</v>
      </c>
      <c r="BJ615" s="98" t="str">
        <f t="shared" si="44"/>
        <v>NÃO</v>
      </c>
      <c r="BK615" s="230"/>
      <c r="BL615" s="230"/>
      <c r="BM615" s="230"/>
      <c r="BN615" s="230"/>
      <c r="BO615" s="230"/>
      <c r="BP615" s="230"/>
      <c r="BQ615" s="230"/>
      <c r="BR615" s="234"/>
    </row>
    <row r="616" spans="1:112" ht="27" hidden="1" customHeight="1">
      <c r="A616" s="207">
        <v>612</v>
      </c>
      <c r="B616" s="197" t="s">
        <v>4396</v>
      </c>
      <c r="C616" s="207" t="s">
        <v>4427</v>
      </c>
      <c r="D616" s="207">
        <v>1</v>
      </c>
      <c r="E616" s="207" t="s">
        <v>4398</v>
      </c>
      <c r="F616" s="214" t="s">
        <v>7034</v>
      </c>
      <c r="G616" s="207" t="s">
        <v>4400</v>
      </c>
      <c r="H616" s="207" t="s">
        <v>4401</v>
      </c>
      <c r="I616" s="217" t="s">
        <v>4402</v>
      </c>
      <c r="J616" s="215" t="s">
        <v>7035</v>
      </c>
      <c r="K616" s="215" t="s">
        <v>7036</v>
      </c>
      <c r="L616" s="215" t="s">
        <v>7037</v>
      </c>
      <c r="M616" s="207" t="s">
        <v>4405</v>
      </c>
      <c r="N616" s="207" t="s">
        <v>4442</v>
      </c>
      <c r="O616" s="202" t="s">
        <v>4409</v>
      </c>
      <c r="P616" s="202" t="s">
        <v>4409</v>
      </c>
      <c r="Q616" s="202" t="s">
        <v>4409</v>
      </c>
      <c r="R616" s="202" t="s">
        <v>4409</v>
      </c>
      <c r="S616" s="202" t="s">
        <v>4409</v>
      </c>
      <c r="T616" s="202" t="s">
        <v>4409</v>
      </c>
      <c r="U616" s="202" t="s">
        <v>4409</v>
      </c>
      <c r="V616" s="202" t="s">
        <v>4409</v>
      </c>
      <c r="W616" s="202" t="s">
        <v>4409</v>
      </c>
      <c r="X616" s="202" t="s">
        <v>4409</v>
      </c>
      <c r="Y616" s="202"/>
      <c r="Z616" s="202"/>
      <c r="AA616" s="200" t="s">
        <v>7035</v>
      </c>
      <c r="AB616" s="200" t="s">
        <v>7036</v>
      </c>
      <c r="AC616" s="200" t="s">
        <v>7037</v>
      </c>
      <c r="AD616" s="197" t="s">
        <v>4402</v>
      </c>
      <c r="AE616" s="197" t="s">
        <v>4405</v>
      </c>
      <c r="AF616" s="243">
        <v>30282.02</v>
      </c>
      <c r="AG616" s="243">
        <v>60000</v>
      </c>
      <c r="AH616" s="197" t="s">
        <v>4433</v>
      </c>
      <c r="AI616" s="214" t="s">
        <v>4411</v>
      </c>
      <c r="AJ616" s="207">
        <v>146670767</v>
      </c>
      <c r="AK616" s="316">
        <v>45980</v>
      </c>
      <c r="AL616" s="316">
        <v>45980</v>
      </c>
      <c r="AM616" s="316">
        <v>45980</v>
      </c>
      <c r="AN616" s="316">
        <v>45980</v>
      </c>
      <c r="AO616" s="316">
        <v>45980</v>
      </c>
      <c r="AP616" s="316">
        <v>45980</v>
      </c>
      <c r="AQ616" s="314"/>
      <c r="AR616" s="315" t="str">
        <f t="shared" si="41"/>
        <v>FINALIZADO</v>
      </c>
      <c r="AS616" s="207" t="s">
        <v>4423</v>
      </c>
      <c r="AT616" s="219"/>
      <c r="AU616" s="225" t="s">
        <v>7038</v>
      </c>
      <c r="AV616" s="207" t="s">
        <v>4425</v>
      </c>
      <c r="AW616" s="207" t="s">
        <v>4425</v>
      </c>
      <c r="AX616" s="207" t="s">
        <v>4425</v>
      </c>
      <c r="AY616" s="207" t="s">
        <v>4425</v>
      </c>
      <c r="AZ616" s="202">
        <v>46020</v>
      </c>
      <c r="BA616" s="219" t="s">
        <v>4425</v>
      </c>
      <c r="BB616" s="207" t="s">
        <v>4425</v>
      </c>
      <c r="BC616" s="208">
        <v>46024</v>
      </c>
      <c r="BD616" s="226">
        <v>46024</v>
      </c>
      <c r="BE616" s="226" t="s">
        <v>4435</v>
      </c>
      <c r="BF616" s="228" t="s">
        <v>4436</v>
      </c>
      <c r="BG616" s="229" t="s">
        <v>4425</v>
      </c>
      <c r="BH616" s="321">
        <f t="shared" si="42"/>
        <v>44</v>
      </c>
      <c r="BI616" s="98" t="str">
        <f t="shared" si="43"/>
        <v>INDENIZAÇÃO</v>
      </c>
      <c r="BJ616" s="98" t="str">
        <f t="shared" si="44"/>
        <v>NÃO</v>
      </c>
      <c r="BK616" s="230" t="s">
        <v>4437</v>
      </c>
      <c r="BL616" s="230" t="s">
        <v>4437</v>
      </c>
      <c r="BM616" s="230" t="s">
        <v>4437</v>
      </c>
      <c r="BN616" s="265" t="s">
        <v>5732</v>
      </c>
      <c r="BO616" s="265"/>
      <c r="BP616" s="265"/>
      <c r="BQ616" s="265"/>
      <c r="BR616" s="231"/>
    </row>
    <row r="617" spans="1:112" ht="27" hidden="1" customHeight="1">
      <c r="A617" s="207">
        <v>613</v>
      </c>
      <c r="B617" s="197" t="s">
        <v>4396</v>
      </c>
      <c r="C617" s="207" t="s">
        <v>4427</v>
      </c>
      <c r="D617" s="207">
        <v>1</v>
      </c>
      <c r="E617" s="207" t="s">
        <v>4398</v>
      </c>
      <c r="F617" s="214" t="s">
        <v>7039</v>
      </c>
      <c r="G617" s="207" t="s">
        <v>4400</v>
      </c>
      <c r="H617" s="207" t="s">
        <v>4401</v>
      </c>
      <c r="I617" s="217" t="s">
        <v>4402</v>
      </c>
      <c r="J617" s="215" t="s">
        <v>7040</v>
      </c>
      <c r="K617" s="215" t="s">
        <v>7041</v>
      </c>
      <c r="L617" s="215" t="s">
        <v>7042</v>
      </c>
      <c r="M617" s="207" t="s">
        <v>4405</v>
      </c>
      <c r="N617" s="207" t="s">
        <v>4406</v>
      </c>
      <c r="O617" s="202">
        <v>45986</v>
      </c>
      <c r="P617" s="203" t="s">
        <v>4407</v>
      </c>
      <c r="Q617" s="203">
        <v>45985</v>
      </c>
      <c r="R617" s="203">
        <v>45986</v>
      </c>
      <c r="S617" s="203">
        <v>45987</v>
      </c>
      <c r="T617" s="203">
        <v>45992</v>
      </c>
      <c r="U617" s="203" t="s">
        <v>4408</v>
      </c>
      <c r="V617" s="203" t="s">
        <v>4408</v>
      </c>
      <c r="W617" s="202">
        <v>45999</v>
      </c>
      <c r="X617" s="202">
        <v>46003</v>
      </c>
      <c r="Y617" s="202"/>
      <c r="Z617" s="207"/>
      <c r="AA617" s="215" t="s">
        <v>7040</v>
      </c>
      <c r="AB617" s="215" t="s">
        <v>7041</v>
      </c>
      <c r="AC617" s="215" t="s">
        <v>7042</v>
      </c>
      <c r="AD617" s="207" t="s">
        <v>4402</v>
      </c>
      <c r="AE617" s="207" t="s">
        <v>4405</v>
      </c>
      <c r="AF617" s="218" t="s">
        <v>4409</v>
      </c>
      <c r="AG617" s="218" t="s">
        <v>4409</v>
      </c>
      <c r="AH617" s="241" t="s">
        <v>4410</v>
      </c>
      <c r="AI617" s="214" t="s">
        <v>4411</v>
      </c>
      <c r="AJ617" s="207"/>
      <c r="AK617" s="316">
        <v>45980</v>
      </c>
      <c r="AL617" s="316">
        <v>45980</v>
      </c>
      <c r="AM617" s="316">
        <v>45980</v>
      </c>
      <c r="AN617" s="316">
        <v>45980</v>
      </c>
      <c r="AO617" s="316">
        <v>45980</v>
      </c>
      <c r="AP617" s="316">
        <v>45980</v>
      </c>
      <c r="AQ617" s="314"/>
      <c r="AR617" s="315" t="str">
        <f t="shared" si="41"/>
        <v>FINALIZADO</v>
      </c>
      <c r="AS617" s="207"/>
      <c r="AT617" s="207"/>
      <c r="AU617" s="225"/>
      <c r="AV617" s="207"/>
      <c r="AW617" s="207"/>
      <c r="AX617" s="207" t="s">
        <v>4409</v>
      </c>
      <c r="AY617" s="207" t="s">
        <v>4409</v>
      </c>
      <c r="AZ617" s="207" t="s">
        <v>4409</v>
      </c>
      <c r="BA617" s="207" t="s">
        <v>4409</v>
      </c>
      <c r="BB617" s="207"/>
      <c r="BC617" s="202"/>
      <c r="BD617" s="208"/>
      <c r="BE617" s="202"/>
      <c r="BF617" s="207"/>
      <c r="BG617" s="229"/>
      <c r="BH617" s="321" t="str">
        <f t="shared" si="42"/>
        <v/>
      </c>
      <c r="BI617" s="98" t="str">
        <f t="shared" si="43"/>
        <v>AA</v>
      </c>
      <c r="BJ617" s="98" t="str">
        <f t="shared" si="44"/>
        <v>NÃO</v>
      </c>
      <c r="BK617" s="230"/>
      <c r="BL617" s="230"/>
      <c r="BM617" s="230"/>
      <c r="BN617" s="230"/>
      <c r="BO617" s="230"/>
      <c r="BP617" s="230"/>
      <c r="BQ617" s="230"/>
      <c r="BR617" s="234"/>
      <c r="BS617" s="240"/>
    </row>
    <row r="618" spans="1:112" ht="27" hidden="1" customHeight="1">
      <c r="A618" s="207">
        <v>614</v>
      </c>
      <c r="B618" s="197" t="s">
        <v>4396</v>
      </c>
      <c r="C618" s="207" t="s">
        <v>4427</v>
      </c>
      <c r="D618" s="207">
        <v>1</v>
      </c>
      <c r="E618" s="207" t="s">
        <v>4398</v>
      </c>
      <c r="F618" s="214" t="s">
        <v>7043</v>
      </c>
      <c r="G618" s="207" t="s">
        <v>4400</v>
      </c>
      <c r="H618" s="207" t="s">
        <v>4401</v>
      </c>
      <c r="I618" s="217" t="s">
        <v>4402</v>
      </c>
      <c r="J618" s="242" t="s">
        <v>7044</v>
      </c>
      <c r="K618" s="215" t="s">
        <v>7045</v>
      </c>
      <c r="L618" s="215" t="s">
        <v>7046</v>
      </c>
      <c r="M618" s="207" t="s">
        <v>4405</v>
      </c>
      <c r="N618" s="207" t="s">
        <v>4406</v>
      </c>
      <c r="O618" s="202">
        <v>45986</v>
      </c>
      <c r="P618" s="203" t="s">
        <v>4407</v>
      </c>
      <c r="Q618" s="203">
        <v>45985</v>
      </c>
      <c r="R618" s="203">
        <v>45986</v>
      </c>
      <c r="S618" s="203">
        <v>45987</v>
      </c>
      <c r="T618" s="203">
        <v>45992</v>
      </c>
      <c r="U618" s="202" t="s">
        <v>4408</v>
      </c>
      <c r="V618" s="202" t="s">
        <v>4408</v>
      </c>
      <c r="W618" s="202">
        <v>45999</v>
      </c>
      <c r="X618" s="202">
        <v>46000</v>
      </c>
      <c r="Y618" s="202"/>
      <c r="Z618" s="207"/>
      <c r="AA618" s="242" t="s">
        <v>7044</v>
      </c>
      <c r="AB618" s="215" t="s">
        <v>7045</v>
      </c>
      <c r="AC618" s="215" t="s">
        <v>7046</v>
      </c>
      <c r="AD618" s="207" t="s">
        <v>4402</v>
      </c>
      <c r="AE618" s="207" t="s">
        <v>4405</v>
      </c>
      <c r="AF618" s="218" t="s">
        <v>4409</v>
      </c>
      <c r="AG618" s="218" t="s">
        <v>4409</v>
      </c>
      <c r="AH618" s="204" t="s">
        <v>4410</v>
      </c>
      <c r="AI618" s="214" t="s">
        <v>4411</v>
      </c>
      <c r="AJ618" s="207"/>
      <c r="AK618" s="316">
        <v>45980</v>
      </c>
      <c r="AL618" s="316">
        <v>45980</v>
      </c>
      <c r="AM618" s="316">
        <v>45980</v>
      </c>
      <c r="AN618" s="316">
        <v>45980</v>
      </c>
      <c r="AO618" s="316">
        <v>45980</v>
      </c>
      <c r="AP618" s="316">
        <v>45980</v>
      </c>
      <c r="AQ618" s="314"/>
      <c r="AR618" s="315" t="str">
        <f t="shared" si="41"/>
        <v>FINALIZADO</v>
      </c>
      <c r="AS618" s="207"/>
      <c r="AT618" s="207"/>
      <c r="AU618" s="225"/>
      <c r="AV618" s="207"/>
      <c r="AW618" s="207"/>
      <c r="AX618" s="207" t="s">
        <v>4409</v>
      </c>
      <c r="AY618" s="207" t="s">
        <v>4409</v>
      </c>
      <c r="AZ618" s="207" t="s">
        <v>4409</v>
      </c>
      <c r="BA618" s="207" t="s">
        <v>4409</v>
      </c>
      <c r="BB618" s="207"/>
      <c r="BC618" s="202"/>
      <c r="BD618" s="208"/>
      <c r="BE618" s="202"/>
      <c r="BF618" s="207"/>
      <c r="BG618" s="229"/>
      <c r="BH618" s="321" t="str">
        <f t="shared" si="42"/>
        <v/>
      </c>
      <c r="BI618" s="98" t="str">
        <f t="shared" si="43"/>
        <v>AA</v>
      </c>
      <c r="BJ618" s="98" t="str">
        <f t="shared" si="44"/>
        <v>NÃO</v>
      </c>
      <c r="BK618" s="230"/>
      <c r="BL618" s="230"/>
      <c r="BM618" s="230"/>
      <c r="BN618" s="230"/>
      <c r="BO618" s="230"/>
      <c r="BP618" s="230"/>
      <c r="BQ618" s="230"/>
      <c r="BR618" s="234"/>
    </row>
    <row r="619" spans="1:112" ht="27" hidden="1" customHeight="1">
      <c r="A619" s="197">
        <v>615</v>
      </c>
      <c r="B619" s="197" t="s">
        <v>4396</v>
      </c>
      <c r="C619" s="207" t="s">
        <v>4427</v>
      </c>
      <c r="D619" s="207">
        <v>1</v>
      </c>
      <c r="E619" s="250" t="s">
        <v>4398</v>
      </c>
      <c r="F619" s="214" t="s">
        <v>7047</v>
      </c>
      <c r="G619" s="207" t="s">
        <v>4546</v>
      </c>
      <c r="H619" s="207" t="s">
        <v>4546</v>
      </c>
      <c r="I619" s="233" t="s">
        <v>4421</v>
      </c>
      <c r="J619" s="215" t="s">
        <v>7048</v>
      </c>
      <c r="K619" s="215" t="s">
        <v>7049</v>
      </c>
      <c r="L619" s="215" t="s">
        <v>7050</v>
      </c>
      <c r="M619" s="207" t="s">
        <v>4405</v>
      </c>
      <c r="N619" s="207" t="s">
        <v>4442</v>
      </c>
      <c r="O619" s="202" t="s">
        <v>4409</v>
      </c>
      <c r="P619" s="202" t="s">
        <v>4409</v>
      </c>
      <c r="Q619" s="202" t="s">
        <v>4409</v>
      </c>
      <c r="R619" s="202" t="s">
        <v>4409</v>
      </c>
      <c r="S619" s="202" t="s">
        <v>4409</v>
      </c>
      <c r="T619" s="202" t="s">
        <v>4409</v>
      </c>
      <c r="U619" s="202" t="s">
        <v>4409</v>
      </c>
      <c r="V619" s="202" t="s">
        <v>4409</v>
      </c>
      <c r="W619" s="202" t="s">
        <v>4409</v>
      </c>
      <c r="X619" s="202" t="s">
        <v>4409</v>
      </c>
      <c r="Y619" s="202"/>
      <c r="Z619" s="202"/>
      <c r="AA619" s="200" t="s">
        <v>7048</v>
      </c>
      <c r="AB619" s="200" t="s">
        <v>7049</v>
      </c>
      <c r="AC619" s="200" t="s">
        <v>7050</v>
      </c>
      <c r="AD619" s="252" t="s">
        <v>4421</v>
      </c>
      <c r="AE619" s="197" t="s">
        <v>4405</v>
      </c>
      <c r="AF619" s="243">
        <v>3662.81</v>
      </c>
      <c r="AG619" s="243">
        <v>3662.81</v>
      </c>
      <c r="AH619" s="197" t="s">
        <v>4433</v>
      </c>
      <c r="AI619" s="214" t="s">
        <v>4411</v>
      </c>
      <c r="AJ619" s="207">
        <v>151380319</v>
      </c>
      <c r="AK619" s="316">
        <v>46206</v>
      </c>
      <c r="AL619" s="316">
        <v>46206</v>
      </c>
      <c r="AM619" s="316">
        <v>46206</v>
      </c>
      <c r="AN619" s="316">
        <v>46206</v>
      </c>
      <c r="AO619" s="316">
        <v>46206</v>
      </c>
      <c r="AP619" s="316">
        <v>46206</v>
      </c>
      <c r="AQ619" s="314"/>
      <c r="AR619" s="315" t="str">
        <f t="shared" si="41"/>
        <v>FINALIZADO</v>
      </c>
      <c r="AS619" s="207" t="s">
        <v>4423</v>
      </c>
      <c r="AT619" s="207"/>
      <c r="AU619" s="220" t="s">
        <v>4435</v>
      </c>
      <c r="AV619" s="219" t="s">
        <v>5487</v>
      </c>
      <c r="AW619" s="207"/>
      <c r="AX619" s="207"/>
      <c r="AY619" s="207"/>
      <c r="AZ619" s="202"/>
      <c r="BA619" s="219"/>
      <c r="BB619" s="207"/>
      <c r="BC619" s="202"/>
      <c r="BD619" s="208"/>
      <c r="BE619" s="202"/>
      <c r="BF619" s="207"/>
      <c r="BG619" s="229"/>
      <c r="BH619" s="321" t="str">
        <f t="shared" si="42"/>
        <v/>
      </c>
      <c r="BI619" s="98" t="str">
        <f t="shared" si="43"/>
        <v>INDENIZAÇÃO</v>
      </c>
      <c r="BJ619" s="98" t="str">
        <f t="shared" si="44"/>
        <v>NÃO</v>
      </c>
      <c r="BK619" s="230"/>
      <c r="BL619" s="230"/>
      <c r="BM619" s="230"/>
      <c r="BN619" s="230"/>
      <c r="BO619" s="230"/>
      <c r="BP619" s="230"/>
      <c r="BQ619" s="230"/>
      <c r="BR619" s="234"/>
    </row>
    <row r="620" spans="1:112" ht="27" hidden="1" customHeight="1">
      <c r="A620" s="197">
        <v>616</v>
      </c>
      <c r="B620" s="197" t="s">
        <v>4396</v>
      </c>
      <c r="C620" s="207" t="s">
        <v>4427</v>
      </c>
      <c r="D620" s="207">
        <v>1</v>
      </c>
      <c r="E620" s="207" t="s">
        <v>4398</v>
      </c>
      <c r="F620" s="214" t="s">
        <v>7051</v>
      </c>
      <c r="G620" s="207" t="s">
        <v>4400</v>
      </c>
      <c r="H620" s="207" t="s">
        <v>4401</v>
      </c>
      <c r="I620" s="249" t="s">
        <v>4402</v>
      </c>
      <c r="J620" s="215" t="s">
        <v>7052</v>
      </c>
      <c r="K620" s="215" t="s">
        <v>4440</v>
      </c>
      <c r="L620" s="215" t="s">
        <v>7053</v>
      </c>
      <c r="M620" s="207" t="s">
        <v>4405</v>
      </c>
      <c r="N620" s="207" t="s">
        <v>4406</v>
      </c>
      <c r="O620" s="202">
        <v>46065</v>
      </c>
      <c r="P620" s="203" t="s">
        <v>4407</v>
      </c>
      <c r="Q620" s="202">
        <v>46072</v>
      </c>
      <c r="R620" s="203">
        <v>46072</v>
      </c>
      <c r="S620" s="203">
        <v>46080</v>
      </c>
      <c r="T620" s="202">
        <v>46083</v>
      </c>
      <c r="U620" s="202" t="s">
        <v>4408</v>
      </c>
      <c r="V620" s="202" t="s">
        <v>4408</v>
      </c>
      <c r="W620" s="203">
        <v>46055</v>
      </c>
      <c r="X620" s="203">
        <v>46091</v>
      </c>
      <c r="Y620" s="202"/>
      <c r="Z620" s="207"/>
      <c r="AA620" s="215" t="s">
        <v>7052</v>
      </c>
      <c r="AB620" s="215" t="s">
        <v>4440</v>
      </c>
      <c r="AC620" s="215" t="s">
        <v>7053</v>
      </c>
      <c r="AD620" s="207" t="s">
        <v>4402</v>
      </c>
      <c r="AE620" s="207" t="s">
        <v>4405</v>
      </c>
      <c r="AF620" s="218" t="s">
        <v>4409</v>
      </c>
      <c r="AG620" s="218" t="s">
        <v>4409</v>
      </c>
      <c r="AH620" s="294" t="s">
        <v>4410</v>
      </c>
      <c r="AI620" s="214" t="s">
        <v>4411</v>
      </c>
      <c r="AJ620" s="218"/>
      <c r="AK620" s="316">
        <v>45996</v>
      </c>
      <c r="AL620" s="316">
        <v>45996</v>
      </c>
      <c r="AM620" s="316">
        <v>45996</v>
      </c>
      <c r="AN620" s="316">
        <v>45996</v>
      </c>
      <c r="AO620" s="316">
        <v>45996</v>
      </c>
      <c r="AP620" s="316">
        <v>45996</v>
      </c>
      <c r="AQ620" s="314"/>
      <c r="AR620" s="315" t="str">
        <f t="shared" si="41"/>
        <v>FINALIZADO</v>
      </c>
      <c r="AS620" s="218"/>
      <c r="AT620" s="218"/>
      <c r="AU620" s="225"/>
      <c r="AV620" s="207"/>
      <c r="AW620" s="207"/>
      <c r="AX620" s="207"/>
      <c r="AY620" s="207"/>
      <c r="AZ620" s="202"/>
      <c r="BA620" s="219"/>
      <c r="BB620" s="207"/>
      <c r="BC620" s="202"/>
      <c r="BD620" s="208"/>
      <c r="BE620" s="202"/>
      <c r="BF620" s="207"/>
      <c r="BG620" s="229"/>
      <c r="BH620" s="321" t="str">
        <f t="shared" si="42"/>
        <v/>
      </c>
      <c r="BI620" s="98" t="str">
        <f t="shared" si="43"/>
        <v>AA</v>
      </c>
      <c r="BJ620" s="98" t="str">
        <f t="shared" si="44"/>
        <v>NÃO</v>
      </c>
      <c r="BK620" s="230"/>
      <c r="BL620" s="230"/>
      <c r="BM620" s="230"/>
      <c r="BN620" s="230"/>
      <c r="BO620" s="230"/>
      <c r="BP620" s="230"/>
      <c r="BQ620" s="230"/>
      <c r="BR620" s="234"/>
    </row>
    <row r="621" spans="1:112" ht="27" hidden="1" customHeight="1">
      <c r="A621" s="207">
        <v>617</v>
      </c>
      <c r="B621" s="197" t="s">
        <v>4396</v>
      </c>
      <c r="C621" s="207" t="s">
        <v>4427</v>
      </c>
      <c r="D621" s="207">
        <v>1</v>
      </c>
      <c r="E621" s="207" t="s">
        <v>4398</v>
      </c>
      <c r="F621" s="214" t="s">
        <v>7054</v>
      </c>
      <c r="G621" s="207" t="s">
        <v>4400</v>
      </c>
      <c r="H621" s="207" t="s">
        <v>4401</v>
      </c>
      <c r="I621" s="217" t="s">
        <v>4402</v>
      </c>
      <c r="J621" s="215" t="s">
        <v>7055</v>
      </c>
      <c r="K621" s="215" t="s">
        <v>7056</v>
      </c>
      <c r="L621" s="215" t="s">
        <v>7057</v>
      </c>
      <c r="M621" s="207" t="s">
        <v>4405</v>
      </c>
      <c r="N621" s="207" t="s">
        <v>4406</v>
      </c>
      <c r="O621" s="202">
        <v>45986</v>
      </c>
      <c r="P621" s="203" t="s">
        <v>4407</v>
      </c>
      <c r="Q621" s="203">
        <v>45985</v>
      </c>
      <c r="R621" s="203">
        <v>45986</v>
      </c>
      <c r="S621" s="203">
        <v>45987</v>
      </c>
      <c r="T621" s="203">
        <v>45992</v>
      </c>
      <c r="U621" s="202" t="s">
        <v>4408</v>
      </c>
      <c r="V621" s="202" t="s">
        <v>4408</v>
      </c>
      <c r="W621" s="202">
        <v>45999</v>
      </c>
      <c r="X621" s="202">
        <v>46000</v>
      </c>
      <c r="Y621" s="202"/>
      <c r="Z621" s="207"/>
      <c r="AA621" s="215" t="s">
        <v>7055</v>
      </c>
      <c r="AB621" s="215" t="s">
        <v>7056</v>
      </c>
      <c r="AC621" s="215" t="s">
        <v>7057</v>
      </c>
      <c r="AD621" s="207" t="s">
        <v>4402</v>
      </c>
      <c r="AE621" s="207" t="s">
        <v>4405</v>
      </c>
      <c r="AF621" s="218" t="s">
        <v>4409</v>
      </c>
      <c r="AG621" s="218" t="s">
        <v>4409</v>
      </c>
      <c r="AH621" s="241" t="s">
        <v>4410</v>
      </c>
      <c r="AI621" s="214" t="s">
        <v>4411</v>
      </c>
      <c r="AJ621" s="207"/>
      <c r="AK621" s="316">
        <v>45980</v>
      </c>
      <c r="AL621" s="316">
        <v>45980</v>
      </c>
      <c r="AM621" s="316">
        <v>45980</v>
      </c>
      <c r="AN621" s="316">
        <v>45980</v>
      </c>
      <c r="AO621" s="316">
        <v>45980</v>
      </c>
      <c r="AP621" s="316">
        <v>45980</v>
      </c>
      <c r="AQ621" s="314"/>
      <c r="AR621" s="315" t="str">
        <f t="shared" si="41"/>
        <v>FINALIZADO</v>
      </c>
      <c r="AS621" s="207"/>
      <c r="AT621" s="207"/>
      <c r="AU621" s="225"/>
      <c r="AV621" s="207"/>
      <c r="AW621" s="207"/>
      <c r="AX621" s="207" t="s">
        <v>4409</v>
      </c>
      <c r="AY621" s="207" t="s">
        <v>4409</v>
      </c>
      <c r="AZ621" s="207" t="s">
        <v>4409</v>
      </c>
      <c r="BA621" s="207" t="s">
        <v>4409</v>
      </c>
      <c r="BB621" s="257"/>
      <c r="BC621" s="257"/>
      <c r="BD621" s="208"/>
      <c r="BE621" s="227"/>
      <c r="BF621" s="228"/>
      <c r="BG621" s="229"/>
      <c r="BH621" s="321" t="str">
        <f t="shared" si="42"/>
        <v/>
      </c>
      <c r="BI621" s="98" t="str">
        <f t="shared" si="43"/>
        <v>AA</v>
      </c>
      <c r="BJ621" s="98" t="str">
        <f t="shared" si="44"/>
        <v>NÃO</v>
      </c>
      <c r="BK621" s="230"/>
      <c r="BL621" s="230"/>
      <c r="BM621" s="230"/>
      <c r="BN621" s="230"/>
      <c r="BO621" s="230"/>
      <c r="BP621" s="230"/>
      <c r="BQ621" s="230"/>
      <c r="BR621" s="234"/>
    </row>
    <row r="622" spans="1:112" ht="27" hidden="1" customHeight="1">
      <c r="A622" s="207">
        <v>618</v>
      </c>
      <c r="B622" s="197" t="s">
        <v>4396</v>
      </c>
      <c r="C622" s="207" t="s">
        <v>4427</v>
      </c>
      <c r="D622" s="207">
        <v>1</v>
      </c>
      <c r="E622" s="207" t="s">
        <v>4398</v>
      </c>
      <c r="F622" s="214" t="s">
        <v>7058</v>
      </c>
      <c r="G622" s="207" t="s">
        <v>4400</v>
      </c>
      <c r="H622" s="207" t="s">
        <v>4401</v>
      </c>
      <c r="I622" s="217" t="s">
        <v>4402</v>
      </c>
      <c r="J622" s="215" t="s">
        <v>7059</v>
      </c>
      <c r="K622" s="215" t="s">
        <v>7060</v>
      </c>
      <c r="L622" s="215" t="s">
        <v>7061</v>
      </c>
      <c r="M622" s="207" t="s">
        <v>4405</v>
      </c>
      <c r="N622" s="207" t="s">
        <v>4442</v>
      </c>
      <c r="O622" s="202" t="s">
        <v>4409</v>
      </c>
      <c r="P622" s="202" t="s">
        <v>4409</v>
      </c>
      <c r="Q622" s="202" t="s">
        <v>4409</v>
      </c>
      <c r="R622" s="202" t="s">
        <v>4409</v>
      </c>
      <c r="S622" s="202" t="s">
        <v>4409</v>
      </c>
      <c r="T622" s="202" t="s">
        <v>4409</v>
      </c>
      <c r="U622" s="202" t="s">
        <v>4409</v>
      </c>
      <c r="V622" s="202" t="s">
        <v>4409</v>
      </c>
      <c r="W622" s="202" t="s">
        <v>4409</v>
      </c>
      <c r="X622" s="202" t="s">
        <v>4409</v>
      </c>
      <c r="Y622" s="202"/>
      <c r="Z622" s="202"/>
      <c r="AA622" s="200" t="s">
        <v>7059</v>
      </c>
      <c r="AB622" s="200" t="s">
        <v>7060</v>
      </c>
      <c r="AC622" s="200" t="s">
        <v>7061</v>
      </c>
      <c r="AD622" s="197" t="s">
        <v>4402</v>
      </c>
      <c r="AE622" s="197" t="s">
        <v>4405</v>
      </c>
      <c r="AF622" s="243">
        <v>22842.9</v>
      </c>
      <c r="AG622" s="243">
        <f>AF622+30000</f>
        <v>52842.9</v>
      </c>
      <c r="AH622" s="197" t="s">
        <v>4433</v>
      </c>
      <c r="AI622" s="214" t="s">
        <v>4411</v>
      </c>
      <c r="AJ622" s="207">
        <v>146671194</v>
      </c>
      <c r="AK622" s="316">
        <v>45980</v>
      </c>
      <c r="AL622" s="316">
        <v>45980</v>
      </c>
      <c r="AM622" s="316">
        <v>45980</v>
      </c>
      <c r="AN622" s="316">
        <v>45980</v>
      </c>
      <c r="AO622" s="316">
        <v>45980</v>
      </c>
      <c r="AP622" s="316">
        <v>45980</v>
      </c>
      <c r="AQ622" s="314"/>
      <c r="AR622" s="315" t="str">
        <f t="shared" si="41"/>
        <v>FINALIZADO</v>
      </c>
      <c r="AS622" s="207" t="s">
        <v>4423</v>
      </c>
      <c r="AT622" s="219"/>
      <c r="AU622" s="225" t="s">
        <v>7062</v>
      </c>
      <c r="AV622" s="207" t="s">
        <v>4425</v>
      </c>
      <c r="AW622" s="207" t="s">
        <v>4425</v>
      </c>
      <c r="AX622" s="207" t="s">
        <v>4425</v>
      </c>
      <c r="AY622" s="207" t="s">
        <v>4425</v>
      </c>
      <c r="AZ622" s="202">
        <v>46009</v>
      </c>
      <c r="BA622" s="219" t="s">
        <v>4425</v>
      </c>
      <c r="BB622" s="207" t="s">
        <v>4425</v>
      </c>
      <c r="BC622" s="239">
        <v>46021</v>
      </c>
      <c r="BD622" s="227">
        <v>46021</v>
      </c>
      <c r="BE622" s="226" t="s">
        <v>4435</v>
      </c>
      <c r="BF622" s="228" t="s">
        <v>4436</v>
      </c>
      <c r="BG622" s="229" t="s">
        <v>4425</v>
      </c>
      <c r="BH622" s="321">
        <f t="shared" si="42"/>
        <v>41</v>
      </c>
      <c r="BI622" s="98" t="str">
        <f t="shared" si="43"/>
        <v>INDENIZAÇÃO</v>
      </c>
      <c r="BJ622" s="98" t="str">
        <f t="shared" si="44"/>
        <v>NÃO</v>
      </c>
      <c r="BK622" s="230" t="s">
        <v>4437</v>
      </c>
      <c r="BL622" s="230" t="s">
        <v>4437</v>
      </c>
      <c r="BM622" s="230" t="s">
        <v>4437</v>
      </c>
      <c r="BN622" s="207" t="s">
        <v>4425</v>
      </c>
      <c r="BO622" s="207" t="s">
        <v>4425</v>
      </c>
      <c r="BP622" s="202">
        <v>46205</v>
      </c>
      <c r="BQ622" s="207" t="s">
        <v>4425</v>
      </c>
      <c r="BR622" s="232" t="s">
        <v>4435</v>
      </c>
    </row>
    <row r="623" spans="1:112" ht="27" hidden="1" customHeight="1">
      <c r="A623" s="207">
        <v>619</v>
      </c>
      <c r="B623" s="197" t="s">
        <v>4396</v>
      </c>
      <c r="C623" s="207" t="s">
        <v>4427</v>
      </c>
      <c r="D623" s="207">
        <v>1</v>
      </c>
      <c r="E623" s="207" t="s">
        <v>4398</v>
      </c>
      <c r="F623" s="214" t="s">
        <v>7063</v>
      </c>
      <c r="G623" s="207" t="s">
        <v>4400</v>
      </c>
      <c r="H623" s="207" t="s">
        <v>4583</v>
      </c>
      <c r="I623" s="217" t="s">
        <v>4402</v>
      </c>
      <c r="J623" s="215" t="s">
        <v>7064</v>
      </c>
      <c r="K623" s="215" t="s">
        <v>4440</v>
      </c>
      <c r="L623" s="215" t="s">
        <v>7065</v>
      </c>
      <c r="M623" s="207" t="s">
        <v>4405</v>
      </c>
      <c r="N623" s="207" t="s">
        <v>4406</v>
      </c>
      <c r="O623" s="202">
        <v>46065</v>
      </c>
      <c r="P623" s="203" t="s">
        <v>4407</v>
      </c>
      <c r="Q623" s="202">
        <v>46072</v>
      </c>
      <c r="R623" s="203">
        <v>46072</v>
      </c>
      <c r="S623" s="203">
        <v>46080</v>
      </c>
      <c r="T623" s="202">
        <v>46083</v>
      </c>
      <c r="U623" s="202" t="s">
        <v>4408</v>
      </c>
      <c r="V623" s="202" t="s">
        <v>4408</v>
      </c>
      <c r="W623" s="203">
        <v>46055</v>
      </c>
      <c r="X623" s="203">
        <v>46091</v>
      </c>
      <c r="Y623" s="202"/>
      <c r="Z623" s="207"/>
      <c r="AA623" s="215" t="s">
        <v>7064</v>
      </c>
      <c r="AB623" s="215" t="s">
        <v>4440</v>
      </c>
      <c r="AC623" s="215" t="s">
        <v>7065</v>
      </c>
      <c r="AD623" s="207" t="s">
        <v>4402</v>
      </c>
      <c r="AE623" s="207" t="s">
        <v>4405</v>
      </c>
      <c r="AF623" s="218" t="s">
        <v>4409</v>
      </c>
      <c r="AG623" s="218" t="s">
        <v>4409</v>
      </c>
      <c r="AH623" s="207" t="s">
        <v>4410</v>
      </c>
      <c r="AI623" s="214" t="s">
        <v>4411</v>
      </c>
      <c r="AJ623" s="207"/>
      <c r="AK623" s="316"/>
      <c r="AL623" s="316"/>
      <c r="AM623" s="316"/>
      <c r="AN623" s="316"/>
      <c r="AO623" s="316"/>
      <c r="AP623" s="316"/>
      <c r="AQ623" s="314"/>
      <c r="AR623" s="315" t="str">
        <f t="shared" si="41"/>
        <v/>
      </c>
      <c r="AS623" s="207"/>
      <c r="AT623" s="219"/>
      <c r="AU623" s="225"/>
      <c r="AV623" s="207"/>
      <c r="AW623" s="207"/>
      <c r="AX623" s="207"/>
      <c r="AY623" s="207"/>
      <c r="AZ623" s="202"/>
      <c r="BA623" s="219"/>
      <c r="BB623" s="207"/>
      <c r="BC623" s="239"/>
      <c r="BD623" s="208"/>
      <c r="BE623" s="226"/>
      <c r="BF623" s="228"/>
      <c r="BG623" s="229"/>
      <c r="BH623" s="321" t="str">
        <f t="shared" si="42"/>
        <v/>
      </c>
      <c r="BI623" s="98" t="str">
        <f t="shared" si="43"/>
        <v>AA</v>
      </c>
      <c r="BJ623" s="98" t="str">
        <f t="shared" si="44"/>
        <v>NÃO</v>
      </c>
      <c r="BK623" s="230"/>
      <c r="BL623" s="230"/>
      <c r="BM623" s="230"/>
      <c r="BN623" s="265"/>
      <c r="BO623" s="265"/>
      <c r="BP623" s="265"/>
      <c r="BQ623" s="265"/>
      <c r="BR623" s="231"/>
      <c r="BS623" s="240"/>
    </row>
    <row r="624" spans="1:112" ht="27" hidden="1" customHeight="1">
      <c r="A624" s="197">
        <v>620</v>
      </c>
      <c r="B624" s="197" t="s">
        <v>4396</v>
      </c>
      <c r="C624" s="207" t="s">
        <v>4427</v>
      </c>
      <c r="D624" s="207">
        <v>1</v>
      </c>
      <c r="E624" s="207" t="s">
        <v>4398</v>
      </c>
      <c r="F624" s="214" t="s">
        <v>7066</v>
      </c>
      <c r="G624" s="207" t="s">
        <v>4400</v>
      </c>
      <c r="H624" s="207" t="s">
        <v>4401</v>
      </c>
      <c r="I624" s="217" t="s">
        <v>4402</v>
      </c>
      <c r="J624" s="215" t="s">
        <v>7067</v>
      </c>
      <c r="K624" s="215" t="s">
        <v>7068</v>
      </c>
      <c r="L624" s="215" t="s">
        <v>7069</v>
      </c>
      <c r="M624" s="207" t="s">
        <v>4405</v>
      </c>
      <c r="N624" s="207" t="s">
        <v>4442</v>
      </c>
      <c r="O624" s="202" t="s">
        <v>4409</v>
      </c>
      <c r="P624" s="202" t="s">
        <v>4409</v>
      </c>
      <c r="Q624" s="202" t="s">
        <v>4409</v>
      </c>
      <c r="R624" s="202" t="s">
        <v>4409</v>
      </c>
      <c r="S624" s="202" t="s">
        <v>4409</v>
      </c>
      <c r="T624" s="202" t="s">
        <v>4409</v>
      </c>
      <c r="U624" s="202" t="s">
        <v>4409</v>
      </c>
      <c r="V624" s="202" t="s">
        <v>4409</v>
      </c>
      <c r="W624" s="202" t="s">
        <v>4409</v>
      </c>
      <c r="X624" s="202" t="s">
        <v>4409</v>
      </c>
      <c r="Y624" s="202"/>
      <c r="Z624" s="202"/>
      <c r="AA624" s="215" t="s">
        <v>7067</v>
      </c>
      <c r="AB624" s="215" t="s">
        <v>7068</v>
      </c>
      <c r="AC624" s="215" t="s">
        <v>7069</v>
      </c>
      <c r="AD624" s="207" t="s">
        <v>4402</v>
      </c>
      <c r="AE624" s="207" t="s">
        <v>4405</v>
      </c>
      <c r="AF624" s="218">
        <v>23178.12</v>
      </c>
      <c r="AG624" s="218">
        <f>AF624+30000</f>
        <v>53178.119999999995</v>
      </c>
      <c r="AH624" s="207" t="s">
        <v>4433</v>
      </c>
      <c r="AI624" s="214" t="s">
        <v>4411</v>
      </c>
      <c r="AJ624" s="207">
        <v>146671460</v>
      </c>
      <c r="AK624" s="316">
        <v>45980</v>
      </c>
      <c r="AL624" s="316">
        <v>45980</v>
      </c>
      <c r="AM624" s="316">
        <v>45980</v>
      </c>
      <c r="AN624" s="316">
        <v>45980</v>
      </c>
      <c r="AO624" s="316">
        <v>45980</v>
      </c>
      <c r="AP624" s="316">
        <v>45980</v>
      </c>
      <c r="AQ624" s="314"/>
      <c r="AR624" s="315" t="str">
        <f t="shared" si="41"/>
        <v>FINALIZADO</v>
      </c>
      <c r="AS624" s="207" t="s">
        <v>4423</v>
      </c>
      <c r="AT624" s="219"/>
      <c r="AU624" s="225" t="s">
        <v>7070</v>
      </c>
      <c r="AV624" s="207" t="s">
        <v>4425</v>
      </c>
      <c r="AW624" s="207" t="s">
        <v>4425</v>
      </c>
      <c r="AX624" s="207" t="s">
        <v>4425</v>
      </c>
      <c r="AY624" s="207" t="s">
        <v>4425</v>
      </c>
      <c r="AZ624" s="203">
        <v>46017</v>
      </c>
      <c r="BA624" s="219" t="s">
        <v>4425</v>
      </c>
      <c r="BB624" s="207" t="s">
        <v>4425</v>
      </c>
      <c r="BC624" s="208">
        <v>46024</v>
      </c>
      <c r="BD624" s="227">
        <v>46024</v>
      </c>
      <c r="BE624" s="226" t="s">
        <v>4435</v>
      </c>
      <c r="BF624" s="228" t="s">
        <v>4436</v>
      </c>
      <c r="BG624" s="229" t="s">
        <v>4425</v>
      </c>
      <c r="BH624" s="321">
        <f t="shared" si="42"/>
        <v>44</v>
      </c>
      <c r="BI624" s="98" t="str">
        <f t="shared" si="43"/>
        <v>INDENIZAÇÃO</v>
      </c>
      <c r="BJ624" s="98" t="str">
        <f t="shared" si="44"/>
        <v>NÃO</v>
      </c>
      <c r="BK624" s="230" t="s">
        <v>4437</v>
      </c>
      <c r="BL624" s="230" t="s">
        <v>4437</v>
      </c>
      <c r="BM624" s="230" t="s">
        <v>4437</v>
      </c>
      <c r="BN624" s="265" t="s">
        <v>5732</v>
      </c>
      <c r="BO624" s="265"/>
      <c r="BP624" s="265"/>
      <c r="BQ624" s="265"/>
      <c r="BR624" s="231"/>
      <c r="BS624" s="240"/>
    </row>
    <row r="625" spans="1:72" ht="27" hidden="1" customHeight="1">
      <c r="A625" s="197">
        <v>621</v>
      </c>
      <c r="B625" s="197" t="s">
        <v>4396</v>
      </c>
      <c r="C625" s="207" t="s">
        <v>4427</v>
      </c>
      <c r="D625" s="207">
        <v>1</v>
      </c>
      <c r="E625" s="207" t="s">
        <v>4398</v>
      </c>
      <c r="F625" s="214" t="s">
        <v>7071</v>
      </c>
      <c r="G625" s="207" t="s">
        <v>4400</v>
      </c>
      <c r="H625" s="207" t="s">
        <v>4401</v>
      </c>
      <c r="I625" s="217" t="s">
        <v>4402</v>
      </c>
      <c r="J625" s="215" t="s">
        <v>7072</v>
      </c>
      <c r="K625" s="215" t="s">
        <v>7073</v>
      </c>
      <c r="L625" s="215" t="s">
        <v>7074</v>
      </c>
      <c r="M625" s="207" t="s">
        <v>4405</v>
      </c>
      <c r="N625" s="207" t="s">
        <v>4406</v>
      </c>
      <c r="O625" s="202">
        <v>46002</v>
      </c>
      <c r="P625" s="202" t="s">
        <v>4407</v>
      </c>
      <c r="Q625" s="202">
        <v>45999</v>
      </c>
      <c r="R625" s="202">
        <v>46006</v>
      </c>
      <c r="S625" s="202">
        <v>46006</v>
      </c>
      <c r="T625" s="202">
        <v>46009</v>
      </c>
      <c r="U625" s="202" t="s">
        <v>4408</v>
      </c>
      <c r="V625" s="202" t="s">
        <v>4408</v>
      </c>
      <c r="W625" s="202">
        <v>46014</v>
      </c>
      <c r="X625" s="202">
        <v>46020</v>
      </c>
      <c r="Y625" s="202"/>
      <c r="Z625" s="207"/>
      <c r="AA625" s="215" t="s">
        <v>7072</v>
      </c>
      <c r="AB625" s="215" t="s">
        <v>7073</v>
      </c>
      <c r="AC625" s="215" t="s">
        <v>7074</v>
      </c>
      <c r="AD625" s="207" t="s">
        <v>4402</v>
      </c>
      <c r="AE625" s="207" t="s">
        <v>4405</v>
      </c>
      <c r="AF625" s="218" t="s">
        <v>4409</v>
      </c>
      <c r="AG625" s="218" t="s">
        <v>4409</v>
      </c>
      <c r="AH625" s="207" t="s">
        <v>4410</v>
      </c>
      <c r="AI625" s="214" t="s">
        <v>4411</v>
      </c>
      <c r="AJ625" s="207"/>
      <c r="AK625" s="316">
        <v>45986</v>
      </c>
      <c r="AL625" s="316">
        <v>45986</v>
      </c>
      <c r="AM625" s="316">
        <v>45986</v>
      </c>
      <c r="AN625" s="316">
        <v>45986</v>
      </c>
      <c r="AO625" s="316">
        <v>45986</v>
      </c>
      <c r="AP625" s="316">
        <v>45986</v>
      </c>
      <c r="AQ625" s="314"/>
      <c r="AR625" s="315" t="str">
        <f t="shared" si="41"/>
        <v>FINALIZADO</v>
      </c>
      <c r="AS625" s="207"/>
      <c r="AT625" s="207"/>
      <c r="AU625" s="225"/>
      <c r="AV625" s="207"/>
      <c r="AW625" s="207"/>
      <c r="AX625" s="207"/>
      <c r="AY625" s="207"/>
      <c r="AZ625" s="202"/>
      <c r="BA625" s="219"/>
      <c r="BB625" s="207"/>
      <c r="BC625" s="202"/>
      <c r="BD625" s="208"/>
      <c r="BE625" s="202"/>
      <c r="BF625" s="207"/>
      <c r="BG625" s="229"/>
      <c r="BH625" s="321" t="str">
        <f t="shared" si="42"/>
        <v/>
      </c>
      <c r="BI625" s="98" t="str">
        <f t="shared" si="43"/>
        <v>AA</v>
      </c>
      <c r="BJ625" s="98" t="str">
        <f t="shared" si="44"/>
        <v>NÃO</v>
      </c>
      <c r="BK625" s="230"/>
      <c r="BL625" s="230"/>
      <c r="BM625" s="230"/>
      <c r="BN625" s="230"/>
      <c r="BO625" s="230"/>
      <c r="BP625" s="230"/>
      <c r="BQ625" s="230"/>
      <c r="BR625" s="234"/>
      <c r="BS625" s="240"/>
    </row>
    <row r="626" spans="1:72" ht="27" hidden="1" customHeight="1">
      <c r="A626" s="207">
        <v>622</v>
      </c>
      <c r="B626" s="197" t="s">
        <v>4396</v>
      </c>
      <c r="C626" s="207" t="s">
        <v>4427</v>
      </c>
      <c r="D626" s="207">
        <v>1</v>
      </c>
      <c r="E626" s="207" t="s">
        <v>4398</v>
      </c>
      <c r="F626" s="214" t="s">
        <v>7075</v>
      </c>
      <c r="G626" s="207" t="s">
        <v>4400</v>
      </c>
      <c r="H626" s="207" t="s">
        <v>4401</v>
      </c>
      <c r="I626" s="217" t="s">
        <v>4402</v>
      </c>
      <c r="J626" s="242" t="s">
        <v>7076</v>
      </c>
      <c r="K626" s="215" t="s">
        <v>7077</v>
      </c>
      <c r="L626" s="215" t="s">
        <v>7078</v>
      </c>
      <c r="M626" s="207" t="s">
        <v>4405</v>
      </c>
      <c r="N626" s="207" t="s">
        <v>4406</v>
      </c>
      <c r="O626" s="202">
        <v>46002</v>
      </c>
      <c r="P626" s="202" t="s">
        <v>4407</v>
      </c>
      <c r="Q626" s="202">
        <v>45999</v>
      </c>
      <c r="R626" s="202">
        <v>46006</v>
      </c>
      <c r="S626" s="202">
        <v>46006</v>
      </c>
      <c r="T626" s="202">
        <v>46009</v>
      </c>
      <c r="U626" s="202" t="s">
        <v>4408</v>
      </c>
      <c r="V626" s="202" t="s">
        <v>4408</v>
      </c>
      <c r="W626" s="202">
        <v>46014</v>
      </c>
      <c r="X626" s="202">
        <v>46020</v>
      </c>
      <c r="Y626" s="202"/>
      <c r="Z626" s="207"/>
      <c r="AA626" s="242" t="s">
        <v>7076</v>
      </c>
      <c r="AB626" s="215" t="s">
        <v>7077</v>
      </c>
      <c r="AC626" s="215" t="s">
        <v>7078</v>
      </c>
      <c r="AD626" s="207" t="s">
        <v>4402</v>
      </c>
      <c r="AE626" s="207" t="s">
        <v>4405</v>
      </c>
      <c r="AF626" s="218" t="s">
        <v>4409</v>
      </c>
      <c r="AG626" s="218" t="s">
        <v>4409</v>
      </c>
      <c r="AH626" s="207" t="s">
        <v>4410</v>
      </c>
      <c r="AI626" s="214" t="s">
        <v>4411</v>
      </c>
      <c r="AJ626" s="207"/>
      <c r="AK626" s="316">
        <v>45996</v>
      </c>
      <c r="AL626" s="316">
        <v>45996</v>
      </c>
      <c r="AM626" s="316">
        <v>45996</v>
      </c>
      <c r="AN626" s="316">
        <v>45996</v>
      </c>
      <c r="AO626" s="316">
        <v>45996</v>
      </c>
      <c r="AP626" s="316">
        <v>45996</v>
      </c>
      <c r="AQ626" s="314"/>
      <c r="AR626" s="315" t="str">
        <f t="shared" si="41"/>
        <v>FINALIZADO</v>
      </c>
      <c r="AS626" s="207"/>
      <c r="AT626" s="207"/>
      <c r="AU626" s="225"/>
      <c r="AV626" s="207"/>
      <c r="AW626" s="207"/>
      <c r="AX626" s="207"/>
      <c r="AY626" s="207"/>
      <c r="AZ626" s="202"/>
      <c r="BA626" s="219"/>
      <c r="BB626" s="207"/>
      <c r="BC626" s="202"/>
      <c r="BD626" s="208"/>
      <c r="BE626" s="202"/>
      <c r="BF626" s="207"/>
      <c r="BG626" s="229"/>
      <c r="BH626" s="321" t="str">
        <f t="shared" si="42"/>
        <v/>
      </c>
      <c r="BI626" s="98" t="str">
        <f t="shared" si="43"/>
        <v>AA</v>
      </c>
      <c r="BJ626" s="98" t="str">
        <f t="shared" si="44"/>
        <v>NÃO</v>
      </c>
      <c r="BK626" s="230"/>
      <c r="BL626" s="230"/>
      <c r="BM626" s="230"/>
      <c r="BN626" s="230"/>
      <c r="BO626" s="230"/>
      <c r="BP626" s="230"/>
      <c r="BQ626" s="230"/>
      <c r="BR626" s="234"/>
    </row>
    <row r="627" spans="1:72" ht="27" hidden="1" customHeight="1">
      <c r="A627" s="207">
        <v>623</v>
      </c>
      <c r="B627" s="197" t="s">
        <v>4396</v>
      </c>
      <c r="C627" s="207" t="s">
        <v>4427</v>
      </c>
      <c r="D627" s="207">
        <v>1</v>
      </c>
      <c r="E627" s="207" t="s">
        <v>4398</v>
      </c>
      <c r="F627" s="214" t="s">
        <v>7079</v>
      </c>
      <c r="G627" s="207" t="s">
        <v>4400</v>
      </c>
      <c r="H627" s="207" t="s">
        <v>4401</v>
      </c>
      <c r="I627" s="217" t="s">
        <v>4402</v>
      </c>
      <c r="J627" s="242" t="s">
        <v>7080</v>
      </c>
      <c r="K627" s="215" t="s">
        <v>4440</v>
      </c>
      <c r="L627" s="215" t="s">
        <v>7081</v>
      </c>
      <c r="M627" s="207" t="s">
        <v>4405</v>
      </c>
      <c r="N627" s="207" t="s">
        <v>4406</v>
      </c>
      <c r="O627" s="203">
        <v>46044</v>
      </c>
      <c r="P627" s="203" t="s">
        <v>4407</v>
      </c>
      <c r="Q627" s="203">
        <v>46043</v>
      </c>
      <c r="R627" s="203">
        <v>46044</v>
      </c>
      <c r="S627" s="203">
        <v>46045</v>
      </c>
      <c r="T627" s="203">
        <v>46155</v>
      </c>
      <c r="U627" s="202" t="s">
        <v>4408</v>
      </c>
      <c r="V627" s="202" t="s">
        <v>4408</v>
      </c>
      <c r="W627" s="202">
        <v>46055</v>
      </c>
      <c r="X627" s="202">
        <v>46062</v>
      </c>
      <c r="Y627" s="202"/>
      <c r="Z627" s="207"/>
      <c r="AA627" s="242" t="s">
        <v>7080</v>
      </c>
      <c r="AB627" s="215" t="s">
        <v>4440</v>
      </c>
      <c r="AC627" s="215" t="s">
        <v>7081</v>
      </c>
      <c r="AD627" s="207" t="s">
        <v>4402</v>
      </c>
      <c r="AE627" s="207" t="s">
        <v>4405</v>
      </c>
      <c r="AF627" s="218" t="s">
        <v>4409</v>
      </c>
      <c r="AG627" s="218" t="s">
        <v>4409</v>
      </c>
      <c r="AH627" s="207" t="s">
        <v>4410</v>
      </c>
      <c r="AI627" s="214" t="s">
        <v>4411</v>
      </c>
      <c r="AJ627" s="207"/>
      <c r="AK627" s="316">
        <v>46041</v>
      </c>
      <c r="AL627" s="316">
        <v>46041</v>
      </c>
      <c r="AM627" s="316">
        <v>46041</v>
      </c>
      <c r="AN627" s="316">
        <v>46041</v>
      </c>
      <c r="AO627" s="316">
        <v>46041</v>
      </c>
      <c r="AP627" s="316">
        <v>46041</v>
      </c>
      <c r="AQ627" s="314"/>
      <c r="AR627" s="315" t="str">
        <f t="shared" si="41"/>
        <v>FINALIZADO</v>
      </c>
      <c r="AS627" s="207"/>
      <c r="AT627" s="207"/>
      <c r="AU627" s="225"/>
      <c r="AV627" s="207"/>
      <c r="AW627" s="207"/>
      <c r="AX627" s="207"/>
      <c r="AY627" s="207"/>
      <c r="AZ627" s="202"/>
      <c r="BA627" s="219"/>
      <c r="BB627" s="207"/>
      <c r="BC627" s="202"/>
      <c r="BD627" s="208"/>
      <c r="BE627" s="202"/>
      <c r="BF627" s="207"/>
      <c r="BG627" s="229"/>
      <c r="BH627" s="321" t="str">
        <f t="shared" si="42"/>
        <v/>
      </c>
      <c r="BI627" s="98" t="str">
        <f t="shared" si="43"/>
        <v>AA</v>
      </c>
      <c r="BJ627" s="98" t="str">
        <f t="shared" si="44"/>
        <v>NÃO</v>
      </c>
      <c r="BK627" s="230"/>
      <c r="BL627" s="230"/>
      <c r="BM627" s="230"/>
      <c r="BN627" s="230"/>
      <c r="BO627" s="230"/>
      <c r="BP627" s="230"/>
      <c r="BQ627" s="230"/>
      <c r="BR627" s="234"/>
    </row>
    <row r="628" spans="1:72" ht="27" hidden="1" customHeight="1">
      <c r="A628" s="207">
        <v>624</v>
      </c>
      <c r="B628" s="197" t="s">
        <v>4396</v>
      </c>
      <c r="C628" s="207" t="s">
        <v>4427</v>
      </c>
      <c r="D628" s="207">
        <v>1</v>
      </c>
      <c r="E628" s="207" t="s">
        <v>4398</v>
      </c>
      <c r="F628" s="214" t="s">
        <v>7082</v>
      </c>
      <c r="G628" s="207" t="s">
        <v>4400</v>
      </c>
      <c r="H628" s="207" t="s">
        <v>4401</v>
      </c>
      <c r="I628" s="217" t="s">
        <v>4414</v>
      </c>
      <c r="J628" s="242" t="s">
        <v>7083</v>
      </c>
      <c r="K628" s="215" t="s">
        <v>7084</v>
      </c>
      <c r="L628" s="215" t="s">
        <v>7085</v>
      </c>
      <c r="M628" s="207" t="s">
        <v>4405</v>
      </c>
      <c r="N628" s="207" t="s">
        <v>4406</v>
      </c>
      <c r="O628" s="202">
        <v>45986</v>
      </c>
      <c r="P628" s="203" t="s">
        <v>4407</v>
      </c>
      <c r="Q628" s="203">
        <v>45985</v>
      </c>
      <c r="R628" s="203">
        <v>45986</v>
      </c>
      <c r="S628" s="203">
        <v>45987</v>
      </c>
      <c r="T628" s="203">
        <v>45992</v>
      </c>
      <c r="U628" s="202" t="s">
        <v>4408</v>
      </c>
      <c r="V628" s="202" t="s">
        <v>4408</v>
      </c>
      <c r="W628" s="202">
        <v>45999</v>
      </c>
      <c r="X628" s="202">
        <v>46002</v>
      </c>
      <c r="Y628" s="202"/>
      <c r="Z628" s="207"/>
      <c r="AA628" s="215" t="s">
        <v>7086</v>
      </c>
      <c r="AB628" s="215" t="s">
        <v>4398</v>
      </c>
      <c r="AC628" s="215" t="s">
        <v>7087</v>
      </c>
      <c r="AD628" s="217" t="s">
        <v>4421</v>
      </c>
      <c r="AE628" s="207" t="s">
        <v>4405</v>
      </c>
      <c r="AF628" s="218">
        <v>6316.23</v>
      </c>
      <c r="AG628" s="218">
        <v>6316.23</v>
      </c>
      <c r="AH628" s="207" t="s">
        <v>4433</v>
      </c>
      <c r="AI628" s="214" t="s">
        <v>4411</v>
      </c>
      <c r="AJ628" s="207">
        <v>146671536</v>
      </c>
      <c r="AK628" s="316">
        <v>45980</v>
      </c>
      <c r="AL628" s="316">
        <v>45980</v>
      </c>
      <c r="AM628" s="316">
        <v>45980</v>
      </c>
      <c r="AN628" s="316">
        <v>45980</v>
      </c>
      <c r="AO628" s="316">
        <v>45980</v>
      </c>
      <c r="AP628" s="316">
        <v>45980</v>
      </c>
      <c r="AQ628" s="314"/>
      <c r="AR628" s="315" t="str">
        <f t="shared" si="41"/>
        <v>FINALIZADO</v>
      </c>
      <c r="AS628" s="207" t="s">
        <v>4423</v>
      </c>
      <c r="AT628" s="219"/>
      <c r="AU628" s="225" t="s">
        <v>7088</v>
      </c>
      <c r="AV628" s="207" t="s">
        <v>4425</v>
      </c>
      <c r="AW628" s="207" t="s">
        <v>4425</v>
      </c>
      <c r="AX628" s="207" t="s">
        <v>4425</v>
      </c>
      <c r="AY628" s="207" t="s">
        <v>4425</v>
      </c>
      <c r="AZ628" s="203">
        <v>46017</v>
      </c>
      <c r="BA628" s="219" t="s">
        <v>4425</v>
      </c>
      <c r="BB628" s="207" t="s">
        <v>4425</v>
      </c>
      <c r="BC628" s="208">
        <v>46024</v>
      </c>
      <c r="BD628" s="227">
        <v>46024</v>
      </c>
      <c r="BE628" s="226" t="s">
        <v>4435</v>
      </c>
      <c r="BF628" s="228" t="s">
        <v>4436</v>
      </c>
      <c r="BG628" s="229" t="s">
        <v>4425</v>
      </c>
      <c r="BH628" s="321">
        <f t="shared" si="42"/>
        <v>44</v>
      </c>
      <c r="BI628" s="98" t="str">
        <f t="shared" si="43"/>
        <v>INDENIZAÇÃO</v>
      </c>
      <c r="BJ628" s="98" t="str">
        <f t="shared" si="44"/>
        <v>NÃO</v>
      </c>
      <c r="BK628" s="230" t="s">
        <v>4437</v>
      </c>
      <c r="BL628" s="230" t="s">
        <v>4437</v>
      </c>
      <c r="BM628" s="230" t="s">
        <v>4437</v>
      </c>
      <c r="BN628" s="265" t="s">
        <v>5732</v>
      </c>
      <c r="BO628" s="265"/>
      <c r="BP628" s="265"/>
      <c r="BQ628" s="265"/>
      <c r="BR628" s="231"/>
    </row>
    <row r="629" spans="1:72" ht="27" hidden="1" customHeight="1">
      <c r="A629" s="197">
        <v>625</v>
      </c>
      <c r="B629" s="197" t="s">
        <v>4396</v>
      </c>
      <c r="C629" s="207" t="s">
        <v>4427</v>
      </c>
      <c r="D629" s="207">
        <v>1</v>
      </c>
      <c r="E629" s="207" t="s">
        <v>4398</v>
      </c>
      <c r="F629" s="214" t="s">
        <v>7089</v>
      </c>
      <c r="G629" s="207" t="s">
        <v>4400</v>
      </c>
      <c r="H629" s="207" t="s">
        <v>4401</v>
      </c>
      <c r="I629" s="217" t="s">
        <v>4402</v>
      </c>
      <c r="J629" s="215" t="s">
        <v>7090</v>
      </c>
      <c r="K629" s="215" t="s">
        <v>7091</v>
      </c>
      <c r="L629" s="215" t="s">
        <v>7092</v>
      </c>
      <c r="M629" s="207" t="s">
        <v>4405</v>
      </c>
      <c r="N629" s="207" t="s">
        <v>4406</v>
      </c>
      <c r="O629" s="202">
        <v>45986</v>
      </c>
      <c r="P629" s="203" t="s">
        <v>4407</v>
      </c>
      <c r="Q629" s="203">
        <v>45985</v>
      </c>
      <c r="R629" s="203">
        <v>45986</v>
      </c>
      <c r="S629" s="203">
        <v>45987</v>
      </c>
      <c r="T629" s="203">
        <v>45992</v>
      </c>
      <c r="U629" s="203" t="s">
        <v>4408</v>
      </c>
      <c r="V629" s="203" t="s">
        <v>4408</v>
      </c>
      <c r="W629" s="202">
        <v>45999</v>
      </c>
      <c r="X629" s="202">
        <v>46000</v>
      </c>
      <c r="Y629" s="203"/>
      <c r="Z629" s="219"/>
      <c r="AA629" s="215" t="s">
        <v>7090</v>
      </c>
      <c r="AB629" s="215" t="s">
        <v>7091</v>
      </c>
      <c r="AC629" s="215" t="s">
        <v>7092</v>
      </c>
      <c r="AD629" s="207" t="s">
        <v>4402</v>
      </c>
      <c r="AE629" s="207" t="s">
        <v>4405</v>
      </c>
      <c r="AF629" s="218" t="s">
        <v>4409</v>
      </c>
      <c r="AG629" s="218" t="s">
        <v>4409</v>
      </c>
      <c r="AH629" s="241" t="s">
        <v>4410</v>
      </c>
      <c r="AI629" s="214" t="s">
        <v>4411</v>
      </c>
      <c r="AJ629" s="207"/>
      <c r="AK629" s="316">
        <v>45980</v>
      </c>
      <c r="AL629" s="316">
        <v>45980</v>
      </c>
      <c r="AM629" s="316">
        <v>45980</v>
      </c>
      <c r="AN629" s="316">
        <v>45980</v>
      </c>
      <c r="AO629" s="316">
        <v>45980</v>
      </c>
      <c r="AP629" s="316">
        <v>45980</v>
      </c>
      <c r="AQ629" s="314"/>
      <c r="AR629" s="315" t="str">
        <f t="shared" si="41"/>
        <v>FINALIZADO</v>
      </c>
      <c r="AS629" s="207"/>
      <c r="AT629" s="219"/>
      <c r="AU629" s="225"/>
      <c r="AV629" s="207"/>
      <c r="AW629" s="207"/>
      <c r="AX629" s="207" t="s">
        <v>4409</v>
      </c>
      <c r="AY629" s="207" t="s">
        <v>4409</v>
      </c>
      <c r="AZ629" s="207" t="s">
        <v>4409</v>
      </c>
      <c r="BA629" s="207" t="s">
        <v>4409</v>
      </c>
      <c r="BB629" s="219"/>
      <c r="BC629" s="219"/>
      <c r="BD629" s="208"/>
      <c r="BE629" s="202"/>
      <c r="BF629" s="207"/>
      <c r="BG629" s="229"/>
      <c r="BH629" s="321" t="str">
        <f t="shared" si="42"/>
        <v/>
      </c>
      <c r="BI629" s="98" t="str">
        <f t="shared" si="43"/>
        <v>AA</v>
      </c>
      <c r="BJ629" s="98" t="str">
        <f t="shared" si="44"/>
        <v>NÃO</v>
      </c>
      <c r="BK629" s="230"/>
      <c r="BL629" s="230"/>
      <c r="BM629" s="230"/>
      <c r="BN629" s="230"/>
      <c r="BO629" s="230"/>
      <c r="BP629" s="230"/>
      <c r="BQ629" s="230"/>
      <c r="BR629" s="234"/>
      <c r="BS629" s="240"/>
    </row>
    <row r="630" spans="1:72" ht="27" hidden="1" customHeight="1">
      <c r="A630" s="197">
        <v>626</v>
      </c>
      <c r="B630" s="197" t="s">
        <v>4396</v>
      </c>
      <c r="C630" s="207" t="s">
        <v>4427</v>
      </c>
      <c r="D630" s="207">
        <v>1</v>
      </c>
      <c r="E630" s="207" t="s">
        <v>4398</v>
      </c>
      <c r="F630" s="214" t="s">
        <v>7093</v>
      </c>
      <c r="G630" s="207" t="s">
        <v>4400</v>
      </c>
      <c r="H630" s="207" t="s">
        <v>4401</v>
      </c>
      <c r="I630" s="217" t="s">
        <v>4402</v>
      </c>
      <c r="J630" s="215" t="s">
        <v>7094</v>
      </c>
      <c r="K630" s="215" t="s">
        <v>7095</v>
      </c>
      <c r="L630" s="215" t="s">
        <v>7096</v>
      </c>
      <c r="M630" s="207" t="s">
        <v>4405</v>
      </c>
      <c r="N630" s="207" t="s">
        <v>4406</v>
      </c>
      <c r="O630" s="202">
        <v>45986</v>
      </c>
      <c r="P630" s="203" t="s">
        <v>4407</v>
      </c>
      <c r="Q630" s="203">
        <v>45985</v>
      </c>
      <c r="R630" s="203">
        <v>45986</v>
      </c>
      <c r="S630" s="203">
        <v>45987</v>
      </c>
      <c r="T630" s="203">
        <v>45992</v>
      </c>
      <c r="U630" s="202" t="s">
        <v>4408</v>
      </c>
      <c r="V630" s="202" t="s">
        <v>4408</v>
      </c>
      <c r="W630" s="202">
        <v>45999</v>
      </c>
      <c r="X630" s="202">
        <v>46006</v>
      </c>
      <c r="Y630" s="202"/>
      <c r="Z630" s="207"/>
      <c r="AA630" s="215" t="s">
        <v>7094</v>
      </c>
      <c r="AB630" s="215" t="s">
        <v>7095</v>
      </c>
      <c r="AC630" s="215" t="s">
        <v>7096</v>
      </c>
      <c r="AD630" s="207" t="s">
        <v>4402</v>
      </c>
      <c r="AE630" s="207" t="s">
        <v>4405</v>
      </c>
      <c r="AF630" s="218" t="s">
        <v>4409</v>
      </c>
      <c r="AG630" s="218" t="s">
        <v>4409</v>
      </c>
      <c r="AH630" s="204" t="s">
        <v>4410</v>
      </c>
      <c r="AI630" s="214" t="s">
        <v>4411</v>
      </c>
      <c r="AJ630" s="207"/>
      <c r="AK630" s="316">
        <v>45980</v>
      </c>
      <c r="AL630" s="316">
        <v>45980</v>
      </c>
      <c r="AM630" s="316">
        <v>45980</v>
      </c>
      <c r="AN630" s="316">
        <v>45980</v>
      </c>
      <c r="AO630" s="316">
        <v>45980</v>
      </c>
      <c r="AP630" s="316">
        <v>45980</v>
      </c>
      <c r="AQ630" s="314"/>
      <c r="AR630" s="315" t="str">
        <f t="shared" si="41"/>
        <v>FINALIZADO</v>
      </c>
      <c r="AS630" s="207"/>
      <c r="AT630" s="207"/>
      <c r="AU630" s="225"/>
      <c r="AV630" s="207"/>
      <c r="AW630" s="207"/>
      <c r="AX630" s="207" t="s">
        <v>4409</v>
      </c>
      <c r="AY630" s="207" t="s">
        <v>4409</v>
      </c>
      <c r="AZ630" s="207" t="s">
        <v>4409</v>
      </c>
      <c r="BA630" s="207" t="s">
        <v>4409</v>
      </c>
      <c r="BB630" s="207"/>
      <c r="BC630" s="202"/>
      <c r="BD630" s="208"/>
      <c r="BE630" s="202"/>
      <c r="BF630" s="207"/>
      <c r="BG630" s="229"/>
      <c r="BH630" s="321" t="str">
        <f t="shared" si="42"/>
        <v/>
      </c>
      <c r="BI630" s="98" t="str">
        <f t="shared" si="43"/>
        <v>AA</v>
      </c>
      <c r="BJ630" s="98" t="str">
        <f t="shared" si="44"/>
        <v>NÃO</v>
      </c>
      <c r="BK630" s="230"/>
      <c r="BL630" s="230"/>
      <c r="BM630" s="230"/>
      <c r="BN630" s="230"/>
      <c r="BO630" s="230"/>
      <c r="BP630" s="230"/>
      <c r="BQ630" s="230"/>
      <c r="BR630" s="234"/>
    </row>
    <row r="631" spans="1:72" ht="27" hidden="1" customHeight="1">
      <c r="A631" s="207">
        <v>627</v>
      </c>
      <c r="B631" s="197" t="s">
        <v>4396</v>
      </c>
      <c r="C631" s="207" t="s">
        <v>4427</v>
      </c>
      <c r="D631" s="207">
        <v>1</v>
      </c>
      <c r="E631" s="207" t="s">
        <v>4398</v>
      </c>
      <c r="F631" s="214" t="s">
        <v>7097</v>
      </c>
      <c r="G631" s="207" t="s">
        <v>4400</v>
      </c>
      <c r="H631" s="207" t="s">
        <v>4401</v>
      </c>
      <c r="I631" s="217" t="s">
        <v>4402</v>
      </c>
      <c r="J631" s="215" t="s">
        <v>7098</v>
      </c>
      <c r="K631" s="215" t="s">
        <v>7099</v>
      </c>
      <c r="L631" s="215" t="s">
        <v>7100</v>
      </c>
      <c r="M631" s="207" t="s">
        <v>4405</v>
      </c>
      <c r="N631" s="207" t="s">
        <v>4442</v>
      </c>
      <c r="O631" s="202" t="s">
        <v>4409</v>
      </c>
      <c r="P631" s="202" t="s">
        <v>4409</v>
      </c>
      <c r="Q631" s="202" t="s">
        <v>4409</v>
      </c>
      <c r="R631" s="202" t="s">
        <v>4409</v>
      </c>
      <c r="S631" s="202" t="s">
        <v>4409</v>
      </c>
      <c r="T631" s="202" t="s">
        <v>4409</v>
      </c>
      <c r="U631" s="202" t="s">
        <v>4409</v>
      </c>
      <c r="V631" s="202" t="s">
        <v>4409</v>
      </c>
      <c r="W631" s="202" t="s">
        <v>4409</v>
      </c>
      <c r="X631" s="202" t="s">
        <v>4409</v>
      </c>
      <c r="Y631" s="202"/>
      <c r="Z631" s="202"/>
      <c r="AA631" s="200" t="s">
        <v>7098</v>
      </c>
      <c r="AB631" s="200" t="s">
        <v>7099</v>
      </c>
      <c r="AC631" s="200" t="s">
        <v>7100</v>
      </c>
      <c r="AD631" s="197" t="s">
        <v>4402</v>
      </c>
      <c r="AE631" s="197" t="s">
        <v>4405</v>
      </c>
      <c r="AF631" s="243">
        <v>41025.519999999997</v>
      </c>
      <c r="AG631" s="243">
        <v>60000</v>
      </c>
      <c r="AH631" s="197" t="s">
        <v>4433</v>
      </c>
      <c r="AI631" s="214" t="s">
        <v>4411</v>
      </c>
      <c r="AJ631" s="207">
        <v>146671616</v>
      </c>
      <c r="AK631" s="316">
        <v>46001</v>
      </c>
      <c r="AL631" s="316">
        <v>46001</v>
      </c>
      <c r="AM631" s="316">
        <v>46001</v>
      </c>
      <c r="AN631" s="316">
        <v>46001</v>
      </c>
      <c r="AO631" s="316">
        <v>46001</v>
      </c>
      <c r="AP631" s="316">
        <v>46001</v>
      </c>
      <c r="AQ631" s="314"/>
      <c r="AR631" s="315" t="str">
        <f t="shared" si="41"/>
        <v>FINALIZADO</v>
      </c>
      <c r="AS631" s="207" t="s">
        <v>4423</v>
      </c>
      <c r="AT631" s="295"/>
      <c r="AU631" s="225" t="s">
        <v>7101</v>
      </c>
      <c r="AV631" s="207" t="s">
        <v>4425</v>
      </c>
      <c r="AW631" s="207" t="s">
        <v>4425</v>
      </c>
      <c r="AX631" s="207" t="s">
        <v>4425</v>
      </c>
      <c r="AY631" s="207" t="s">
        <v>4425</v>
      </c>
      <c r="AZ631" s="203">
        <v>46024</v>
      </c>
      <c r="BA631" s="219" t="s">
        <v>4425</v>
      </c>
      <c r="BB631" s="207" t="s">
        <v>4425</v>
      </c>
      <c r="BC631" s="208">
        <v>46038</v>
      </c>
      <c r="BD631" s="226">
        <v>46038</v>
      </c>
      <c r="BE631" s="226" t="s">
        <v>4435</v>
      </c>
      <c r="BF631" s="228" t="s">
        <v>4436</v>
      </c>
      <c r="BG631" s="229" t="s">
        <v>4425</v>
      </c>
      <c r="BH631" s="321">
        <f t="shared" si="42"/>
        <v>37</v>
      </c>
      <c r="BI631" s="98" t="str">
        <f t="shared" si="43"/>
        <v>INDENIZAÇÃO</v>
      </c>
      <c r="BJ631" s="98" t="str">
        <f t="shared" si="44"/>
        <v>NÃO</v>
      </c>
      <c r="BK631" s="230" t="s">
        <v>4437</v>
      </c>
      <c r="BL631" s="230" t="s">
        <v>4437</v>
      </c>
      <c r="BM631" s="230" t="s">
        <v>4437</v>
      </c>
      <c r="BN631" s="265" t="s">
        <v>5732</v>
      </c>
      <c r="BO631" s="265"/>
      <c r="BP631" s="265"/>
      <c r="BQ631" s="265"/>
      <c r="BR631" s="231"/>
    </row>
    <row r="632" spans="1:72" ht="27" hidden="1" customHeight="1">
      <c r="A632" s="207">
        <v>628</v>
      </c>
      <c r="B632" s="197" t="s">
        <v>4396</v>
      </c>
      <c r="C632" s="207" t="s">
        <v>4427</v>
      </c>
      <c r="D632" s="207">
        <v>1</v>
      </c>
      <c r="E632" s="207" t="s">
        <v>4398</v>
      </c>
      <c r="F632" s="214" t="s">
        <v>7102</v>
      </c>
      <c r="G632" s="207" t="s">
        <v>4400</v>
      </c>
      <c r="H632" s="207" t="s">
        <v>4401</v>
      </c>
      <c r="I632" s="217" t="s">
        <v>4402</v>
      </c>
      <c r="J632" s="215" t="s">
        <v>7103</v>
      </c>
      <c r="K632" s="215" t="s">
        <v>7104</v>
      </c>
      <c r="L632" s="215" t="s">
        <v>7105</v>
      </c>
      <c r="M632" s="207" t="s">
        <v>4405</v>
      </c>
      <c r="N632" s="207" t="s">
        <v>4406</v>
      </c>
      <c r="O632" s="202">
        <v>45986</v>
      </c>
      <c r="P632" s="203" t="s">
        <v>4407</v>
      </c>
      <c r="Q632" s="203">
        <v>45985</v>
      </c>
      <c r="R632" s="203">
        <v>45986</v>
      </c>
      <c r="S632" s="203">
        <v>45987</v>
      </c>
      <c r="T632" s="203">
        <v>45992</v>
      </c>
      <c r="U632" s="202" t="s">
        <v>4408</v>
      </c>
      <c r="V632" s="202" t="s">
        <v>4408</v>
      </c>
      <c r="W632" s="202">
        <v>45999</v>
      </c>
      <c r="X632" s="202">
        <v>46003</v>
      </c>
      <c r="Y632" s="203"/>
      <c r="Z632" s="219"/>
      <c r="AA632" s="215" t="s">
        <v>7103</v>
      </c>
      <c r="AB632" s="215" t="s">
        <v>7104</v>
      </c>
      <c r="AC632" s="215" t="s">
        <v>7105</v>
      </c>
      <c r="AD632" s="207" t="s">
        <v>4402</v>
      </c>
      <c r="AE632" s="207" t="s">
        <v>4405</v>
      </c>
      <c r="AF632" s="218" t="s">
        <v>4409</v>
      </c>
      <c r="AG632" s="218" t="s">
        <v>4409</v>
      </c>
      <c r="AH632" s="241" t="s">
        <v>4410</v>
      </c>
      <c r="AI632" s="214" t="s">
        <v>4411</v>
      </c>
      <c r="AJ632" s="207"/>
      <c r="AK632" s="316">
        <v>45980</v>
      </c>
      <c r="AL632" s="316">
        <v>45980</v>
      </c>
      <c r="AM632" s="316">
        <v>45980</v>
      </c>
      <c r="AN632" s="316">
        <v>45980</v>
      </c>
      <c r="AO632" s="316">
        <v>45980</v>
      </c>
      <c r="AP632" s="316">
        <v>45980</v>
      </c>
      <c r="AQ632" s="314"/>
      <c r="AR632" s="315" t="str">
        <f t="shared" si="41"/>
        <v>FINALIZADO</v>
      </c>
      <c r="AS632" s="207"/>
      <c r="AT632" s="219"/>
      <c r="AU632" s="225"/>
      <c r="AV632" s="207"/>
      <c r="AW632" s="207"/>
      <c r="AX632" s="207" t="s">
        <v>4409</v>
      </c>
      <c r="AY632" s="207" t="s">
        <v>4409</v>
      </c>
      <c r="AZ632" s="207" t="s">
        <v>4409</v>
      </c>
      <c r="BA632" s="207" t="s">
        <v>4409</v>
      </c>
      <c r="BB632" s="219"/>
      <c r="BC632" s="219"/>
      <c r="BD632" s="208"/>
      <c r="BE632" s="202"/>
      <c r="BF632" s="207"/>
      <c r="BG632" s="229"/>
      <c r="BH632" s="321" t="str">
        <f t="shared" si="42"/>
        <v/>
      </c>
      <c r="BI632" s="98" t="str">
        <f t="shared" si="43"/>
        <v>AA</v>
      </c>
      <c r="BJ632" s="98" t="str">
        <f t="shared" si="44"/>
        <v>NÃO</v>
      </c>
      <c r="BK632" s="230"/>
      <c r="BL632" s="230"/>
      <c r="BM632" s="230"/>
      <c r="BN632" s="230"/>
      <c r="BO632" s="230"/>
      <c r="BP632" s="230"/>
      <c r="BQ632" s="230"/>
      <c r="BR632" s="234"/>
      <c r="BS632" s="240"/>
    </row>
    <row r="633" spans="1:72" ht="27" hidden="1" customHeight="1">
      <c r="A633" s="207">
        <v>629</v>
      </c>
      <c r="B633" s="197" t="s">
        <v>4396</v>
      </c>
      <c r="C633" s="207" t="s">
        <v>4427</v>
      </c>
      <c r="D633" s="207">
        <v>1</v>
      </c>
      <c r="E633" s="207" t="s">
        <v>4398</v>
      </c>
      <c r="F633" s="214" t="s">
        <v>7106</v>
      </c>
      <c r="G633" s="207" t="s">
        <v>4400</v>
      </c>
      <c r="H633" s="207" t="s">
        <v>4401</v>
      </c>
      <c r="I633" s="217" t="s">
        <v>4402</v>
      </c>
      <c r="J633" s="242" t="s">
        <v>7107</v>
      </c>
      <c r="K633" s="215" t="s">
        <v>7108</v>
      </c>
      <c r="L633" s="215" t="s">
        <v>7109</v>
      </c>
      <c r="M633" s="207" t="s">
        <v>4405</v>
      </c>
      <c r="N633" s="207" t="s">
        <v>4406</v>
      </c>
      <c r="O633" s="202">
        <v>46002</v>
      </c>
      <c r="P633" s="202" t="s">
        <v>4407</v>
      </c>
      <c r="Q633" s="202">
        <v>45999</v>
      </c>
      <c r="R633" s="202">
        <v>46006</v>
      </c>
      <c r="S633" s="202">
        <v>46006</v>
      </c>
      <c r="T633" s="202">
        <v>46009</v>
      </c>
      <c r="U633" s="202" t="s">
        <v>4408</v>
      </c>
      <c r="V633" s="202" t="s">
        <v>4408</v>
      </c>
      <c r="W633" s="202">
        <v>46014</v>
      </c>
      <c r="X633" s="202">
        <v>46020</v>
      </c>
      <c r="Y633" s="202"/>
      <c r="Z633" s="207"/>
      <c r="AA633" s="200" t="s">
        <v>7107</v>
      </c>
      <c r="AB633" s="200" t="s">
        <v>7108</v>
      </c>
      <c r="AC633" s="200" t="s">
        <v>7109</v>
      </c>
      <c r="AD633" s="197" t="s">
        <v>4402</v>
      </c>
      <c r="AE633" s="197" t="s">
        <v>4405</v>
      </c>
      <c r="AF633" s="218" t="s">
        <v>4409</v>
      </c>
      <c r="AG633" s="218" t="s">
        <v>4409</v>
      </c>
      <c r="AH633" s="197" t="s">
        <v>4410</v>
      </c>
      <c r="AI633" s="214" t="s">
        <v>4411</v>
      </c>
      <c r="AJ633" s="207"/>
      <c r="AK633" s="316">
        <v>45980</v>
      </c>
      <c r="AL633" s="316">
        <v>45980</v>
      </c>
      <c r="AM633" s="316">
        <v>45980</v>
      </c>
      <c r="AN633" s="316">
        <v>45980</v>
      </c>
      <c r="AO633" s="316">
        <v>45980</v>
      </c>
      <c r="AP633" s="316">
        <v>45980</v>
      </c>
      <c r="AQ633" s="314"/>
      <c r="AR633" s="315" t="str">
        <f t="shared" si="41"/>
        <v>FINALIZADO</v>
      </c>
      <c r="AS633" s="207"/>
      <c r="AT633" s="207"/>
      <c r="AU633" s="225"/>
      <c r="AV633" s="207"/>
      <c r="AW633" s="207"/>
      <c r="AX633" s="207"/>
      <c r="AY633" s="207"/>
      <c r="AZ633" s="202"/>
      <c r="BA633" s="219"/>
      <c r="BB633" s="207"/>
      <c r="BC633" s="202"/>
      <c r="BD633" s="208"/>
      <c r="BE633" s="202"/>
      <c r="BF633" s="207"/>
      <c r="BG633" s="229"/>
      <c r="BH633" s="321" t="str">
        <f t="shared" si="42"/>
        <v/>
      </c>
      <c r="BI633" s="98" t="str">
        <f t="shared" si="43"/>
        <v>AA</v>
      </c>
      <c r="BJ633" s="98" t="str">
        <f t="shared" si="44"/>
        <v>NÃO</v>
      </c>
      <c r="BK633" s="230"/>
      <c r="BL633" s="230"/>
      <c r="BM633" s="230"/>
      <c r="BN633" s="230"/>
      <c r="BO633" s="230"/>
      <c r="BP633" s="230"/>
      <c r="BQ633" s="230"/>
      <c r="BR633" s="234"/>
    </row>
    <row r="634" spans="1:72" ht="27" hidden="1" customHeight="1">
      <c r="A634" s="197">
        <v>630</v>
      </c>
      <c r="B634" s="197" t="s">
        <v>4396</v>
      </c>
      <c r="C634" s="207" t="s">
        <v>4427</v>
      </c>
      <c r="D634" s="207">
        <v>1</v>
      </c>
      <c r="E634" s="207" t="s">
        <v>4398</v>
      </c>
      <c r="F634" s="214" t="s">
        <v>7110</v>
      </c>
      <c r="G634" s="207" t="s">
        <v>4400</v>
      </c>
      <c r="H634" s="207" t="s">
        <v>4401</v>
      </c>
      <c r="I634" s="217" t="s">
        <v>4402</v>
      </c>
      <c r="J634" s="215" t="s">
        <v>7111</v>
      </c>
      <c r="K634" s="215" t="s">
        <v>7112</v>
      </c>
      <c r="L634" s="215" t="s">
        <v>7113</v>
      </c>
      <c r="M634" s="207" t="s">
        <v>4405</v>
      </c>
      <c r="N634" s="207" t="s">
        <v>4406</v>
      </c>
      <c r="O634" s="202">
        <v>46002</v>
      </c>
      <c r="P634" s="202" t="s">
        <v>4407</v>
      </c>
      <c r="Q634" s="202">
        <v>45999</v>
      </c>
      <c r="R634" s="202">
        <v>46006</v>
      </c>
      <c r="S634" s="202">
        <v>46006</v>
      </c>
      <c r="T634" s="202">
        <v>46009</v>
      </c>
      <c r="U634" s="202" t="s">
        <v>4408</v>
      </c>
      <c r="V634" s="202" t="s">
        <v>4408</v>
      </c>
      <c r="W634" s="202">
        <v>46014</v>
      </c>
      <c r="X634" s="202">
        <v>46020</v>
      </c>
      <c r="Y634" s="202"/>
      <c r="Z634" s="207"/>
      <c r="AA634" s="215" t="s">
        <v>7111</v>
      </c>
      <c r="AB634" s="215" t="s">
        <v>7112</v>
      </c>
      <c r="AC634" s="215" t="s">
        <v>7113</v>
      </c>
      <c r="AD634" s="197" t="s">
        <v>4402</v>
      </c>
      <c r="AE634" s="197" t="s">
        <v>4405</v>
      </c>
      <c r="AF634" s="218" t="s">
        <v>4409</v>
      </c>
      <c r="AG634" s="218" t="s">
        <v>4409</v>
      </c>
      <c r="AH634" s="207" t="s">
        <v>4410</v>
      </c>
      <c r="AI634" s="214" t="s">
        <v>4411</v>
      </c>
      <c r="AJ634" s="207"/>
      <c r="AK634" s="316">
        <v>45993</v>
      </c>
      <c r="AL634" s="316">
        <v>45993</v>
      </c>
      <c r="AM634" s="316">
        <v>45993</v>
      </c>
      <c r="AN634" s="316">
        <v>45993</v>
      </c>
      <c r="AO634" s="316">
        <v>45993</v>
      </c>
      <c r="AP634" s="316">
        <v>45993</v>
      </c>
      <c r="AQ634" s="314"/>
      <c r="AR634" s="315" t="str">
        <f t="shared" si="41"/>
        <v>FINALIZADO</v>
      </c>
      <c r="AS634" s="207"/>
      <c r="AT634" s="207"/>
      <c r="AU634" s="225"/>
      <c r="AV634" s="207"/>
      <c r="AW634" s="207"/>
      <c r="AX634" s="207"/>
      <c r="AY634" s="207"/>
      <c r="AZ634" s="202"/>
      <c r="BA634" s="219"/>
      <c r="BB634" s="207"/>
      <c r="BC634" s="202"/>
      <c r="BD634" s="208"/>
      <c r="BE634" s="202"/>
      <c r="BF634" s="207"/>
      <c r="BG634" s="229"/>
      <c r="BH634" s="321" t="str">
        <f t="shared" si="42"/>
        <v/>
      </c>
      <c r="BI634" s="98" t="str">
        <f t="shared" si="43"/>
        <v>AA</v>
      </c>
      <c r="BJ634" s="98" t="str">
        <f t="shared" si="44"/>
        <v>NÃO</v>
      </c>
      <c r="BK634" s="230"/>
      <c r="BL634" s="230"/>
      <c r="BM634" s="230"/>
      <c r="BN634" s="230"/>
      <c r="BO634" s="230"/>
      <c r="BP634" s="230"/>
      <c r="BQ634" s="230"/>
      <c r="BR634" s="234"/>
    </row>
    <row r="635" spans="1:72" ht="27" hidden="1" customHeight="1">
      <c r="A635" s="197">
        <v>631</v>
      </c>
      <c r="B635" s="197" t="s">
        <v>4396</v>
      </c>
      <c r="C635" s="207" t="s">
        <v>4427</v>
      </c>
      <c r="D635" s="207">
        <v>1</v>
      </c>
      <c r="E635" s="207" t="s">
        <v>4398</v>
      </c>
      <c r="F635" s="214" t="s">
        <v>7114</v>
      </c>
      <c r="G635" s="207" t="s">
        <v>4400</v>
      </c>
      <c r="H635" s="207" t="s">
        <v>4401</v>
      </c>
      <c r="I635" s="217" t="s">
        <v>4402</v>
      </c>
      <c r="J635" s="215" t="s">
        <v>7115</v>
      </c>
      <c r="K635" s="215" t="s">
        <v>4440</v>
      </c>
      <c r="L635" s="215" t="s">
        <v>7116</v>
      </c>
      <c r="M635" s="207" t="s">
        <v>4405</v>
      </c>
      <c r="N635" s="207" t="s">
        <v>4442</v>
      </c>
      <c r="O635" s="202" t="s">
        <v>4409</v>
      </c>
      <c r="P635" s="202" t="s">
        <v>4409</v>
      </c>
      <c r="Q635" s="202" t="s">
        <v>4409</v>
      </c>
      <c r="R635" s="202" t="s">
        <v>4409</v>
      </c>
      <c r="S635" s="202" t="s">
        <v>4409</v>
      </c>
      <c r="T635" s="202" t="s">
        <v>4409</v>
      </c>
      <c r="U635" s="202" t="s">
        <v>4409</v>
      </c>
      <c r="V635" s="202" t="s">
        <v>4409</v>
      </c>
      <c r="W635" s="202" t="s">
        <v>4409</v>
      </c>
      <c r="X635" s="202" t="s">
        <v>4409</v>
      </c>
      <c r="Y635" s="202"/>
      <c r="Z635" s="202"/>
      <c r="AA635" s="215" t="s">
        <v>7115</v>
      </c>
      <c r="AB635" s="215" t="s">
        <v>4440</v>
      </c>
      <c r="AC635" s="215" t="s">
        <v>7116</v>
      </c>
      <c r="AD635" s="207" t="s">
        <v>4402</v>
      </c>
      <c r="AE635" s="207" t="s">
        <v>5045</v>
      </c>
      <c r="AF635" s="218">
        <v>19603.16</v>
      </c>
      <c r="AG635" s="218">
        <v>49603.16</v>
      </c>
      <c r="AH635" s="207" t="s">
        <v>4433</v>
      </c>
      <c r="AI635" s="214" t="s">
        <v>4411</v>
      </c>
      <c r="AJ635" s="207">
        <v>150614345</v>
      </c>
      <c r="AK635" s="316">
        <v>46064</v>
      </c>
      <c r="AL635" s="316">
        <v>46064</v>
      </c>
      <c r="AM635" s="316">
        <v>46064</v>
      </c>
      <c r="AN635" s="316">
        <v>46064</v>
      </c>
      <c r="AO635" s="316">
        <v>46064</v>
      </c>
      <c r="AP635" s="316">
        <v>46064</v>
      </c>
      <c r="AQ635" s="314"/>
      <c r="AR635" s="315" t="str">
        <f t="shared" si="41"/>
        <v>FINALIZADO</v>
      </c>
      <c r="AS635" s="207" t="s">
        <v>4423</v>
      </c>
      <c r="AT635" s="207"/>
      <c r="AU635" s="225" t="s">
        <v>7117</v>
      </c>
      <c r="AV635" s="207" t="s">
        <v>4425</v>
      </c>
      <c r="AW635" s="207" t="s">
        <v>4425</v>
      </c>
      <c r="AX635" s="207" t="s">
        <v>4425</v>
      </c>
      <c r="AY635" s="207" t="s">
        <v>4425</v>
      </c>
      <c r="AZ635" s="202">
        <v>46111</v>
      </c>
      <c r="BA635" s="207" t="s">
        <v>4425</v>
      </c>
      <c r="BB635" s="207" t="s">
        <v>4425</v>
      </c>
      <c r="BC635" s="202">
        <v>46114</v>
      </c>
      <c r="BD635" s="227">
        <v>46114</v>
      </c>
      <c r="BE635" s="227" t="s">
        <v>4435</v>
      </c>
      <c r="BF635" s="228" t="s">
        <v>4436</v>
      </c>
      <c r="BG635" s="229" t="s">
        <v>4425</v>
      </c>
      <c r="BH635" s="321">
        <f t="shared" si="42"/>
        <v>50</v>
      </c>
      <c r="BI635" s="98" t="str">
        <f t="shared" si="43"/>
        <v>INDENIZAÇÃO</v>
      </c>
      <c r="BJ635" s="98" t="str">
        <f t="shared" si="44"/>
        <v>NÃO</v>
      </c>
      <c r="BK635" s="230" t="s">
        <v>4437</v>
      </c>
      <c r="BL635" s="230" t="s">
        <v>4437</v>
      </c>
      <c r="BM635" s="230" t="s">
        <v>4437</v>
      </c>
      <c r="BN635" s="265" t="s">
        <v>5732</v>
      </c>
      <c r="BO635" s="265"/>
      <c r="BP635" s="265"/>
      <c r="BQ635" s="265"/>
      <c r="BR635" s="231"/>
    </row>
    <row r="636" spans="1:72" ht="27" hidden="1" customHeight="1">
      <c r="A636" s="207">
        <v>632</v>
      </c>
      <c r="B636" s="197" t="s">
        <v>4396</v>
      </c>
      <c r="C636" s="207" t="s">
        <v>4427</v>
      </c>
      <c r="D636" s="207">
        <v>1</v>
      </c>
      <c r="E636" s="207" t="s">
        <v>4398</v>
      </c>
      <c r="F636" s="214" t="s">
        <v>7118</v>
      </c>
      <c r="G636" s="207" t="s">
        <v>4400</v>
      </c>
      <c r="H636" s="207" t="s">
        <v>4401</v>
      </c>
      <c r="I636" s="217" t="s">
        <v>4402</v>
      </c>
      <c r="J636" s="215" t="s">
        <v>7119</v>
      </c>
      <c r="K636" s="215" t="s">
        <v>7120</v>
      </c>
      <c r="L636" s="215" t="s">
        <v>7121</v>
      </c>
      <c r="M636" s="207" t="s">
        <v>4405</v>
      </c>
      <c r="N636" s="207" t="s">
        <v>4406</v>
      </c>
      <c r="O636" s="202">
        <v>45986</v>
      </c>
      <c r="P636" s="203" t="s">
        <v>4407</v>
      </c>
      <c r="Q636" s="203">
        <v>45985</v>
      </c>
      <c r="R636" s="203">
        <v>45986</v>
      </c>
      <c r="S636" s="203">
        <v>45987</v>
      </c>
      <c r="T636" s="203">
        <v>45992</v>
      </c>
      <c r="U636" s="202" t="s">
        <v>4408</v>
      </c>
      <c r="V636" s="202" t="s">
        <v>4408</v>
      </c>
      <c r="W636" s="202">
        <v>45999</v>
      </c>
      <c r="X636" s="202">
        <v>46000</v>
      </c>
      <c r="Y636" s="202"/>
      <c r="Z636" s="207"/>
      <c r="AA636" s="215" t="s">
        <v>7119</v>
      </c>
      <c r="AB636" s="215" t="s">
        <v>7120</v>
      </c>
      <c r="AC636" s="215" t="s">
        <v>7121</v>
      </c>
      <c r="AD636" s="197" t="s">
        <v>4402</v>
      </c>
      <c r="AE636" s="197" t="s">
        <v>4405</v>
      </c>
      <c r="AF636" s="218" t="s">
        <v>4409</v>
      </c>
      <c r="AG636" s="218" t="s">
        <v>4409</v>
      </c>
      <c r="AH636" s="241" t="s">
        <v>4410</v>
      </c>
      <c r="AI636" s="214" t="s">
        <v>4411</v>
      </c>
      <c r="AJ636" s="207"/>
      <c r="AK636" s="316">
        <v>45980</v>
      </c>
      <c r="AL636" s="316">
        <v>45980</v>
      </c>
      <c r="AM636" s="316">
        <v>45980</v>
      </c>
      <c r="AN636" s="316">
        <v>45980</v>
      </c>
      <c r="AO636" s="316">
        <v>45980</v>
      </c>
      <c r="AP636" s="316">
        <v>45980</v>
      </c>
      <c r="AQ636" s="314"/>
      <c r="AR636" s="315" t="str">
        <f t="shared" si="41"/>
        <v>FINALIZADO</v>
      </c>
      <c r="AS636" s="207"/>
      <c r="AT636" s="207"/>
      <c r="AU636" s="225"/>
      <c r="AV636" s="207"/>
      <c r="AW636" s="207"/>
      <c r="AX636" s="207" t="s">
        <v>4409</v>
      </c>
      <c r="AY636" s="207" t="s">
        <v>4409</v>
      </c>
      <c r="AZ636" s="207" t="s">
        <v>4409</v>
      </c>
      <c r="BA636" s="207" t="s">
        <v>4409</v>
      </c>
      <c r="BB636" s="207"/>
      <c r="BC636" s="202"/>
      <c r="BD636" s="208"/>
      <c r="BE636" s="202"/>
      <c r="BF636" s="207"/>
      <c r="BG636" s="229"/>
      <c r="BH636" s="321" t="str">
        <f t="shared" si="42"/>
        <v/>
      </c>
      <c r="BI636" s="98" t="str">
        <f t="shared" si="43"/>
        <v>AA</v>
      </c>
      <c r="BJ636" s="98" t="str">
        <f t="shared" si="44"/>
        <v>NÃO</v>
      </c>
      <c r="BK636" s="230"/>
      <c r="BL636" s="230"/>
      <c r="BM636" s="230"/>
      <c r="BN636" s="230"/>
      <c r="BO636" s="230"/>
      <c r="BP636" s="230"/>
      <c r="BQ636" s="230"/>
      <c r="BR636" s="234"/>
    </row>
    <row r="637" spans="1:72" ht="27" hidden="1" customHeight="1">
      <c r="A637" s="207">
        <v>633</v>
      </c>
      <c r="B637" s="197" t="s">
        <v>4396</v>
      </c>
      <c r="C637" s="207" t="s">
        <v>4427</v>
      </c>
      <c r="D637" s="207">
        <v>1</v>
      </c>
      <c r="E637" s="207" t="s">
        <v>4398</v>
      </c>
      <c r="F637" s="214" t="s">
        <v>7122</v>
      </c>
      <c r="G637" s="207" t="s">
        <v>4400</v>
      </c>
      <c r="H637" s="207" t="s">
        <v>4401</v>
      </c>
      <c r="I637" s="217" t="s">
        <v>4402</v>
      </c>
      <c r="J637" s="215" t="s">
        <v>7123</v>
      </c>
      <c r="K637" s="215" t="s">
        <v>7124</v>
      </c>
      <c r="L637" s="215" t="s">
        <v>7125</v>
      </c>
      <c r="M637" s="207" t="s">
        <v>4405</v>
      </c>
      <c r="N637" s="207" t="s">
        <v>4442</v>
      </c>
      <c r="O637" s="202" t="s">
        <v>4409</v>
      </c>
      <c r="P637" s="202" t="s">
        <v>4409</v>
      </c>
      <c r="Q637" s="202" t="s">
        <v>4409</v>
      </c>
      <c r="R637" s="202" t="s">
        <v>4409</v>
      </c>
      <c r="S637" s="202" t="s">
        <v>4409</v>
      </c>
      <c r="T637" s="202" t="s">
        <v>4409</v>
      </c>
      <c r="U637" s="202" t="s">
        <v>4409</v>
      </c>
      <c r="V637" s="202" t="s">
        <v>4409</v>
      </c>
      <c r="W637" s="202" t="s">
        <v>4409</v>
      </c>
      <c r="X637" s="202" t="s">
        <v>4409</v>
      </c>
      <c r="Y637" s="202"/>
      <c r="Z637" s="202"/>
      <c r="AA637" s="200" t="s">
        <v>7123</v>
      </c>
      <c r="AB637" s="200" t="s">
        <v>7124</v>
      </c>
      <c r="AC637" s="200" t="s">
        <v>7125</v>
      </c>
      <c r="AD637" s="197" t="s">
        <v>4402</v>
      </c>
      <c r="AE637" s="197" t="s">
        <v>4405</v>
      </c>
      <c r="AF637" s="243">
        <v>47877.65</v>
      </c>
      <c r="AG637" s="243">
        <v>60000</v>
      </c>
      <c r="AH637" s="197" t="s">
        <v>4433</v>
      </c>
      <c r="AI637" s="214" t="s">
        <v>4411</v>
      </c>
      <c r="AJ637" s="207">
        <v>146672002</v>
      </c>
      <c r="AK637" s="316">
        <v>45980</v>
      </c>
      <c r="AL637" s="316">
        <v>45980</v>
      </c>
      <c r="AM637" s="316">
        <v>45980</v>
      </c>
      <c r="AN637" s="316">
        <v>45980</v>
      </c>
      <c r="AO637" s="316">
        <v>45980</v>
      </c>
      <c r="AP637" s="316">
        <v>45980</v>
      </c>
      <c r="AQ637" s="314"/>
      <c r="AR637" s="315" t="str">
        <f t="shared" si="41"/>
        <v>FINALIZADO</v>
      </c>
      <c r="AS637" s="207" t="s">
        <v>4423</v>
      </c>
      <c r="AT637" s="219"/>
      <c r="AU637" s="225" t="s">
        <v>7126</v>
      </c>
      <c r="AV637" s="207" t="s">
        <v>4425</v>
      </c>
      <c r="AW637" s="207" t="s">
        <v>4425</v>
      </c>
      <c r="AX637" s="207" t="s">
        <v>4425</v>
      </c>
      <c r="AY637" s="207" t="s">
        <v>4425</v>
      </c>
      <c r="AZ637" s="202">
        <v>46008</v>
      </c>
      <c r="BA637" s="219" t="s">
        <v>4425</v>
      </c>
      <c r="BB637" s="207" t="s">
        <v>4425</v>
      </c>
      <c r="BC637" s="239">
        <v>46049</v>
      </c>
      <c r="BD637" s="226">
        <v>46049</v>
      </c>
      <c r="BE637" s="226" t="s">
        <v>4435</v>
      </c>
      <c r="BF637" s="228" t="s">
        <v>4436</v>
      </c>
      <c r="BG637" s="229" t="s">
        <v>4425</v>
      </c>
      <c r="BH637" s="321">
        <f t="shared" si="42"/>
        <v>69</v>
      </c>
      <c r="BI637" s="98" t="str">
        <f t="shared" si="43"/>
        <v>INDENIZAÇÃO</v>
      </c>
      <c r="BJ637" s="98" t="str">
        <f t="shared" si="44"/>
        <v>NÃO</v>
      </c>
      <c r="BK637" s="230" t="s">
        <v>4437</v>
      </c>
      <c r="BL637" s="230" t="s">
        <v>4437</v>
      </c>
      <c r="BM637" s="230" t="s">
        <v>4437</v>
      </c>
      <c r="BN637" s="265" t="s">
        <v>5732</v>
      </c>
      <c r="BO637" s="265"/>
      <c r="BP637" s="265"/>
      <c r="BQ637" s="265"/>
      <c r="BR637" s="231"/>
    </row>
    <row r="638" spans="1:72" ht="27" hidden="1" customHeight="1">
      <c r="A638" s="207">
        <v>634</v>
      </c>
      <c r="B638" s="197" t="s">
        <v>4396</v>
      </c>
      <c r="C638" s="207" t="s">
        <v>4427</v>
      </c>
      <c r="D638" s="207">
        <v>1</v>
      </c>
      <c r="E638" s="207" t="s">
        <v>4398</v>
      </c>
      <c r="F638" s="214" t="s">
        <v>7127</v>
      </c>
      <c r="G638" s="207" t="s">
        <v>4400</v>
      </c>
      <c r="H638" s="207" t="s">
        <v>4401</v>
      </c>
      <c r="I638" s="217" t="s">
        <v>4402</v>
      </c>
      <c r="J638" s="215" t="s">
        <v>7128</v>
      </c>
      <c r="K638" s="215" t="s">
        <v>7129</v>
      </c>
      <c r="L638" s="215" t="s">
        <v>7130</v>
      </c>
      <c r="M638" s="207" t="s">
        <v>4405</v>
      </c>
      <c r="N638" s="207" t="s">
        <v>4406</v>
      </c>
      <c r="O638" s="202">
        <v>45986</v>
      </c>
      <c r="P638" s="203" t="s">
        <v>4407</v>
      </c>
      <c r="Q638" s="203">
        <v>45985</v>
      </c>
      <c r="R638" s="203">
        <v>45986</v>
      </c>
      <c r="S638" s="203">
        <v>45987</v>
      </c>
      <c r="T638" s="203">
        <v>45992</v>
      </c>
      <c r="U638" s="203" t="s">
        <v>4408</v>
      </c>
      <c r="V638" s="203" t="s">
        <v>4408</v>
      </c>
      <c r="W638" s="202">
        <v>45999</v>
      </c>
      <c r="X638" s="202">
        <v>46002</v>
      </c>
      <c r="Y638" s="203"/>
      <c r="Z638" s="219"/>
      <c r="AA638" s="215" t="s">
        <v>7128</v>
      </c>
      <c r="AB638" s="215" t="s">
        <v>7129</v>
      </c>
      <c r="AC638" s="215" t="s">
        <v>7130</v>
      </c>
      <c r="AD638" s="197" t="s">
        <v>4402</v>
      </c>
      <c r="AE638" s="197" t="s">
        <v>4405</v>
      </c>
      <c r="AF638" s="218" t="s">
        <v>4409</v>
      </c>
      <c r="AG638" s="218" t="s">
        <v>4409</v>
      </c>
      <c r="AH638" s="241" t="s">
        <v>4410</v>
      </c>
      <c r="AI638" s="214" t="s">
        <v>4411</v>
      </c>
      <c r="AJ638" s="207"/>
      <c r="AK638" s="316">
        <v>45980</v>
      </c>
      <c r="AL638" s="316">
        <v>45980</v>
      </c>
      <c r="AM638" s="316">
        <v>45980</v>
      </c>
      <c r="AN638" s="316">
        <v>45980</v>
      </c>
      <c r="AO638" s="316">
        <v>45980</v>
      </c>
      <c r="AP638" s="316">
        <v>45980</v>
      </c>
      <c r="AQ638" s="314"/>
      <c r="AR638" s="315" t="str">
        <f t="shared" si="41"/>
        <v>FINALIZADO</v>
      </c>
      <c r="AS638" s="207"/>
      <c r="AT638" s="219"/>
      <c r="AU638" s="225"/>
      <c r="AV638" s="207"/>
      <c r="AW638" s="207"/>
      <c r="AX638" s="207" t="s">
        <v>4409</v>
      </c>
      <c r="AY638" s="207" t="s">
        <v>4409</v>
      </c>
      <c r="AZ638" s="207" t="s">
        <v>4409</v>
      </c>
      <c r="BA638" s="207" t="s">
        <v>4409</v>
      </c>
      <c r="BB638" s="219"/>
      <c r="BC638" s="219"/>
      <c r="BD638" s="208"/>
      <c r="BE638" s="202"/>
      <c r="BF638" s="207"/>
      <c r="BG638" s="229"/>
      <c r="BH638" s="321" t="str">
        <f t="shared" si="42"/>
        <v/>
      </c>
      <c r="BI638" s="98" t="str">
        <f t="shared" si="43"/>
        <v>AA</v>
      </c>
      <c r="BJ638" s="98" t="str">
        <f t="shared" si="44"/>
        <v>NÃO</v>
      </c>
      <c r="BK638" s="230"/>
      <c r="BL638" s="230"/>
      <c r="BM638" s="230"/>
      <c r="BN638" s="230"/>
      <c r="BO638" s="230"/>
      <c r="BP638" s="230"/>
      <c r="BQ638" s="230"/>
      <c r="BR638" s="234"/>
      <c r="BS638" s="240"/>
    </row>
    <row r="639" spans="1:72" ht="27" hidden="1" customHeight="1">
      <c r="A639" s="197">
        <v>635</v>
      </c>
      <c r="B639" s="197" t="s">
        <v>4396</v>
      </c>
      <c r="C639" s="207" t="s">
        <v>4427</v>
      </c>
      <c r="D639" s="207">
        <v>1</v>
      </c>
      <c r="E639" s="207" t="s">
        <v>4398</v>
      </c>
      <c r="F639" s="214" t="s">
        <v>7131</v>
      </c>
      <c r="G639" s="207" t="s">
        <v>4400</v>
      </c>
      <c r="H639" s="207" t="s">
        <v>4401</v>
      </c>
      <c r="I639" s="217" t="s">
        <v>4414</v>
      </c>
      <c r="J639" s="242" t="s">
        <v>7132</v>
      </c>
      <c r="K639" s="215" t="s">
        <v>7133</v>
      </c>
      <c r="L639" s="215" t="s">
        <v>7134</v>
      </c>
      <c r="M639" s="207" t="s">
        <v>4405</v>
      </c>
      <c r="N639" s="207" t="s">
        <v>4406</v>
      </c>
      <c r="O639" s="202">
        <v>46002</v>
      </c>
      <c r="P639" s="202" t="s">
        <v>4407</v>
      </c>
      <c r="Q639" s="202">
        <v>45999</v>
      </c>
      <c r="R639" s="202">
        <v>46006</v>
      </c>
      <c r="S639" s="202">
        <v>46006</v>
      </c>
      <c r="T639" s="202">
        <v>46009</v>
      </c>
      <c r="U639" s="202" t="s">
        <v>4408</v>
      </c>
      <c r="V639" s="202" t="s">
        <v>4408</v>
      </c>
      <c r="W639" s="202">
        <v>46014</v>
      </c>
      <c r="X639" s="203">
        <v>46044</v>
      </c>
      <c r="Y639" s="203"/>
      <c r="Z639" s="219"/>
      <c r="AA639" s="200" t="s">
        <v>7135</v>
      </c>
      <c r="AB639" s="200" t="s">
        <v>7136</v>
      </c>
      <c r="AC639" s="200" t="s">
        <v>7137</v>
      </c>
      <c r="AD639" s="199" t="s">
        <v>4421</v>
      </c>
      <c r="AE639" s="254" t="s">
        <v>4405</v>
      </c>
      <c r="AF639" s="243">
        <v>60200.27</v>
      </c>
      <c r="AG639" s="243">
        <v>60200.27</v>
      </c>
      <c r="AH639" s="197" t="s">
        <v>4433</v>
      </c>
      <c r="AI639" s="214" t="s">
        <v>4411</v>
      </c>
      <c r="AJ639" s="207">
        <v>148267225</v>
      </c>
      <c r="AK639" s="316">
        <v>45996</v>
      </c>
      <c r="AL639" s="316">
        <v>45996</v>
      </c>
      <c r="AM639" s="316">
        <v>45996</v>
      </c>
      <c r="AN639" s="316">
        <v>45996</v>
      </c>
      <c r="AO639" s="316">
        <v>45996</v>
      </c>
      <c r="AP639" s="316">
        <v>45996</v>
      </c>
      <c r="AQ639" s="314"/>
      <c r="AR639" s="315" t="str">
        <f t="shared" si="41"/>
        <v>FINALIZADO</v>
      </c>
      <c r="AS639" s="207" t="s">
        <v>4423</v>
      </c>
      <c r="AT639" s="219"/>
      <c r="AU639" s="225" t="s">
        <v>7138</v>
      </c>
      <c r="AV639" s="207" t="s">
        <v>4425</v>
      </c>
      <c r="AW639" s="207" t="s">
        <v>4425</v>
      </c>
      <c r="AX639" s="207" t="s">
        <v>4425</v>
      </c>
      <c r="AY639" s="207" t="s">
        <v>4425</v>
      </c>
      <c r="AZ639" s="202">
        <v>46118</v>
      </c>
      <c r="BA639" s="207" t="s">
        <v>4425</v>
      </c>
      <c r="BB639" s="207" t="s">
        <v>4425</v>
      </c>
      <c r="BC639" s="202">
        <v>46126</v>
      </c>
      <c r="BD639" s="227">
        <v>46126</v>
      </c>
      <c r="BE639" s="227" t="s">
        <v>4435</v>
      </c>
      <c r="BF639" s="228" t="s">
        <v>4436</v>
      </c>
      <c r="BG639" s="229" t="s">
        <v>4425</v>
      </c>
      <c r="BH639" s="321">
        <f t="shared" si="42"/>
        <v>130</v>
      </c>
      <c r="BI639" s="98" t="str">
        <f t="shared" si="43"/>
        <v>INDENIZAÇÃO</v>
      </c>
      <c r="BJ639" s="98" t="str">
        <f t="shared" si="44"/>
        <v>NÃO</v>
      </c>
      <c r="BK639" s="219" t="s">
        <v>4437</v>
      </c>
      <c r="BL639" s="219" t="s">
        <v>4437</v>
      </c>
      <c r="BM639" s="219" t="s">
        <v>4437</v>
      </c>
      <c r="BN639" s="257" t="s">
        <v>5732</v>
      </c>
      <c r="BO639" s="257"/>
      <c r="BP639" s="257"/>
      <c r="BQ639" s="257"/>
      <c r="BR639" s="258"/>
    </row>
    <row r="640" spans="1:72" ht="27" hidden="1" customHeight="1">
      <c r="A640" s="197">
        <v>636</v>
      </c>
      <c r="B640" s="197" t="s">
        <v>4396</v>
      </c>
      <c r="C640" s="207" t="s">
        <v>4427</v>
      </c>
      <c r="D640" s="207">
        <v>1</v>
      </c>
      <c r="E640" s="207" t="s">
        <v>4398</v>
      </c>
      <c r="F640" s="214" t="s">
        <v>7139</v>
      </c>
      <c r="G640" s="207" t="s">
        <v>4400</v>
      </c>
      <c r="H640" s="207" t="s">
        <v>4401</v>
      </c>
      <c r="I640" s="217" t="s">
        <v>4402</v>
      </c>
      <c r="J640" s="242" t="s">
        <v>7140</v>
      </c>
      <c r="K640" s="215" t="s">
        <v>7141</v>
      </c>
      <c r="L640" s="215" t="s">
        <v>7142</v>
      </c>
      <c r="M640" s="207" t="s">
        <v>4405</v>
      </c>
      <c r="N640" s="207" t="s">
        <v>4442</v>
      </c>
      <c r="O640" s="202" t="s">
        <v>4409</v>
      </c>
      <c r="P640" s="202" t="s">
        <v>4409</v>
      </c>
      <c r="Q640" s="202" t="s">
        <v>4409</v>
      </c>
      <c r="R640" s="202" t="s">
        <v>4409</v>
      </c>
      <c r="S640" s="202" t="s">
        <v>4409</v>
      </c>
      <c r="T640" s="202" t="s">
        <v>4409</v>
      </c>
      <c r="U640" s="202" t="s">
        <v>4409</v>
      </c>
      <c r="V640" s="202" t="s">
        <v>4409</v>
      </c>
      <c r="W640" s="202" t="s">
        <v>4409</v>
      </c>
      <c r="X640" s="202" t="s">
        <v>4409</v>
      </c>
      <c r="Y640" s="202"/>
      <c r="Z640" s="202"/>
      <c r="AA640" s="215" t="s">
        <v>7140</v>
      </c>
      <c r="AB640" s="215" t="s">
        <v>7141</v>
      </c>
      <c r="AC640" s="215" t="s">
        <v>7142</v>
      </c>
      <c r="AD640" s="207" t="s">
        <v>4402</v>
      </c>
      <c r="AE640" s="207" t="s">
        <v>4405</v>
      </c>
      <c r="AF640" s="218">
        <v>34520.269999999997</v>
      </c>
      <c r="AG640" s="218">
        <v>60000</v>
      </c>
      <c r="AH640" s="207" t="s">
        <v>4433</v>
      </c>
      <c r="AI640" s="214" t="s">
        <v>4411</v>
      </c>
      <c r="AJ640" s="207">
        <v>146672083</v>
      </c>
      <c r="AK640" s="316">
        <v>45980</v>
      </c>
      <c r="AL640" s="316">
        <v>45980</v>
      </c>
      <c r="AM640" s="316">
        <v>45980</v>
      </c>
      <c r="AN640" s="316">
        <v>45980</v>
      </c>
      <c r="AO640" s="316">
        <v>45980</v>
      </c>
      <c r="AP640" s="316">
        <v>45980</v>
      </c>
      <c r="AQ640" s="314"/>
      <c r="AR640" s="315" t="str">
        <f t="shared" si="41"/>
        <v>FINALIZADO</v>
      </c>
      <c r="AS640" s="207" t="s">
        <v>4423</v>
      </c>
      <c r="AT640" s="219"/>
      <c r="AU640" s="225" t="s">
        <v>7143</v>
      </c>
      <c r="AV640" s="207" t="s">
        <v>4425</v>
      </c>
      <c r="AW640" s="207" t="s">
        <v>4425</v>
      </c>
      <c r="AX640" s="207" t="s">
        <v>4425</v>
      </c>
      <c r="AY640" s="207" t="s">
        <v>4425</v>
      </c>
      <c r="AZ640" s="203">
        <v>46017</v>
      </c>
      <c r="BA640" s="219" t="s">
        <v>4425</v>
      </c>
      <c r="BB640" s="207" t="s">
        <v>4425</v>
      </c>
      <c r="BC640" s="208">
        <v>46024</v>
      </c>
      <c r="BD640" s="226">
        <v>46024</v>
      </c>
      <c r="BE640" s="226" t="s">
        <v>4435</v>
      </c>
      <c r="BF640" s="245" t="s">
        <v>4436</v>
      </c>
      <c r="BG640" s="229" t="s">
        <v>4425</v>
      </c>
      <c r="BH640" s="321">
        <f t="shared" si="42"/>
        <v>44</v>
      </c>
      <c r="BI640" s="98" t="str">
        <f t="shared" si="43"/>
        <v>INDENIZAÇÃO</v>
      </c>
      <c r="BJ640" s="98" t="str">
        <f t="shared" si="44"/>
        <v>NÃO</v>
      </c>
      <c r="BK640" s="230" t="s">
        <v>4437</v>
      </c>
      <c r="BL640" s="230" t="s">
        <v>4437</v>
      </c>
      <c r="BM640" s="230" t="s">
        <v>4437</v>
      </c>
      <c r="BN640" s="265" t="s">
        <v>5732</v>
      </c>
      <c r="BO640" s="265"/>
      <c r="BP640" s="265"/>
      <c r="BQ640" s="265"/>
      <c r="BR640" s="231"/>
      <c r="BS640" s="223"/>
      <c r="BT640" s="223"/>
    </row>
    <row r="641" spans="1:71" ht="27" hidden="1" customHeight="1">
      <c r="A641" s="207">
        <v>637</v>
      </c>
      <c r="B641" s="197" t="s">
        <v>4396</v>
      </c>
      <c r="C641" s="207" t="s">
        <v>4427</v>
      </c>
      <c r="D641" s="207">
        <v>1</v>
      </c>
      <c r="E641" s="207" t="s">
        <v>4398</v>
      </c>
      <c r="F641" s="214" t="s">
        <v>7144</v>
      </c>
      <c r="G641" s="207" t="s">
        <v>4400</v>
      </c>
      <c r="H641" s="207" t="s">
        <v>4401</v>
      </c>
      <c r="I641" s="217" t="s">
        <v>4402</v>
      </c>
      <c r="J641" s="215" t="s">
        <v>7145</v>
      </c>
      <c r="K641" s="215" t="s">
        <v>7146</v>
      </c>
      <c r="L641" s="215" t="s">
        <v>7147</v>
      </c>
      <c r="M641" s="207" t="s">
        <v>4405</v>
      </c>
      <c r="N641" s="207" t="s">
        <v>4442</v>
      </c>
      <c r="O641" s="202" t="s">
        <v>4409</v>
      </c>
      <c r="P641" s="202" t="s">
        <v>4409</v>
      </c>
      <c r="Q641" s="202" t="s">
        <v>4409</v>
      </c>
      <c r="R641" s="202" t="s">
        <v>4409</v>
      </c>
      <c r="S641" s="202" t="s">
        <v>4409</v>
      </c>
      <c r="T641" s="202" t="s">
        <v>4409</v>
      </c>
      <c r="U641" s="202" t="s">
        <v>4409</v>
      </c>
      <c r="V641" s="202" t="s">
        <v>4409</v>
      </c>
      <c r="W641" s="202" t="s">
        <v>4409</v>
      </c>
      <c r="X641" s="202" t="s">
        <v>4409</v>
      </c>
      <c r="Y641" s="202"/>
      <c r="Z641" s="202"/>
      <c r="AA641" s="215" t="s">
        <v>7145</v>
      </c>
      <c r="AB641" s="215" t="s">
        <v>7146</v>
      </c>
      <c r="AC641" s="215" t="s">
        <v>7147</v>
      </c>
      <c r="AD641" s="207" t="s">
        <v>4402</v>
      </c>
      <c r="AE641" s="207" t="s">
        <v>4405</v>
      </c>
      <c r="AF641" s="218">
        <v>106038.77</v>
      </c>
      <c r="AG641" s="218">
        <v>106038.77</v>
      </c>
      <c r="AH641" s="207" t="s">
        <v>4433</v>
      </c>
      <c r="AI641" s="214" t="s">
        <v>4411</v>
      </c>
      <c r="AJ641" s="207">
        <v>147998553</v>
      </c>
      <c r="AK641" s="316">
        <v>46001</v>
      </c>
      <c r="AL641" s="316">
        <v>46001</v>
      </c>
      <c r="AM641" s="316">
        <v>46001</v>
      </c>
      <c r="AN641" s="316">
        <v>46001</v>
      </c>
      <c r="AO641" s="316">
        <v>46001</v>
      </c>
      <c r="AP641" s="316">
        <v>46001</v>
      </c>
      <c r="AQ641" s="314"/>
      <c r="AR641" s="315" t="str">
        <f t="shared" si="41"/>
        <v>FINALIZADO</v>
      </c>
      <c r="AS641" s="207" t="s">
        <v>4423</v>
      </c>
      <c r="AT641" s="207"/>
      <c r="AU641" s="225" t="s">
        <v>7148</v>
      </c>
      <c r="AV641" s="207" t="s">
        <v>4425</v>
      </c>
      <c r="AW641" s="207" t="s">
        <v>4425</v>
      </c>
      <c r="AX641" s="207" t="s">
        <v>4425</v>
      </c>
      <c r="AY641" s="207" t="s">
        <v>4425</v>
      </c>
      <c r="AZ641" s="202">
        <v>46021</v>
      </c>
      <c r="BA641" s="207" t="s">
        <v>4425</v>
      </c>
      <c r="BB641" s="207" t="s">
        <v>4425</v>
      </c>
      <c r="BC641" s="202">
        <v>46105</v>
      </c>
      <c r="BD641" s="226">
        <v>46105</v>
      </c>
      <c r="BE641" s="226" t="s">
        <v>4435</v>
      </c>
      <c r="BF641" s="245" t="s">
        <v>4436</v>
      </c>
      <c r="BG641" s="229" t="s">
        <v>4425</v>
      </c>
      <c r="BH641" s="321">
        <f t="shared" si="42"/>
        <v>104</v>
      </c>
      <c r="BI641" s="98" t="str">
        <f t="shared" si="43"/>
        <v>INDENIZAÇÃO</v>
      </c>
      <c r="BJ641" s="98" t="str">
        <f t="shared" si="44"/>
        <v>NÃO</v>
      </c>
      <c r="BK641" s="230" t="s">
        <v>4437</v>
      </c>
      <c r="BL641" s="230" t="s">
        <v>4437</v>
      </c>
      <c r="BM641" s="230" t="s">
        <v>4437</v>
      </c>
      <c r="BN641" s="265" t="s">
        <v>5732</v>
      </c>
      <c r="BO641" s="265"/>
      <c r="BP641" s="265"/>
      <c r="BQ641" s="265"/>
      <c r="BR641" s="231"/>
      <c r="BS641" s="223"/>
    </row>
    <row r="642" spans="1:71" ht="27" hidden="1" customHeight="1">
      <c r="A642" s="207">
        <v>638</v>
      </c>
      <c r="B642" s="197" t="s">
        <v>4396</v>
      </c>
      <c r="C642" s="207" t="s">
        <v>4427</v>
      </c>
      <c r="D642" s="207">
        <v>1</v>
      </c>
      <c r="E642" s="207" t="s">
        <v>4398</v>
      </c>
      <c r="F642" s="214" t="s">
        <v>7149</v>
      </c>
      <c r="G642" s="207" t="s">
        <v>4400</v>
      </c>
      <c r="H642" s="207" t="s">
        <v>4401</v>
      </c>
      <c r="I642" s="217" t="s">
        <v>4402</v>
      </c>
      <c r="J642" s="215" t="s">
        <v>7150</v>
      </c>
      <c r="K642" s="215" t="s">
        <v>7151</v>
      </c>
      <c r="L642" s="215" t="s">
        <v>7152</v>
      </c>
      <c r="M642" s="207" t="s">
        <v>4405</v>
      </c>
      <c r="N642" s="207" t="s">
        <v>4442</v>
      </c>
      <c r="O642" s="202" t="s">
        <v>4409</v>
      </c>
      <c r="P642" s="202" t="s">
        <v>4409</v>
      </c>
      <c r="Q642" s="202" t="s">
        <v>4409</v>
      </c>
      <c r="R642" s="202" t="s">
        <v>4409</v>
      </c>
      <c r="S642" s="202" t="s">
        <v>4409</v>
      </c>
      <c r="T642" s="202" t="s">
        <v>4409</v>
      </c>
      <c r="U642" s="202" t="s">
        <v>4409</v>
      </c>
      <c r="V642" s="202" t="s">
        <v>4409</v>
      </c>
      <c r="W642" s="202" t="s">
        <v>4409</v>
      </c>
      <c r="X642" s="202" t="s">
        <v>4409</v>
      </c>
      <c r="Y642" s="202"/>
      <c r="Z642" s="202"/>
      <c r="AA642" s="215" t="s">
        <v>7150</v>
      </c>
      <c r="AB642" s="215" t="s">
        <v>7151</v>
      </c>
      <c r="AC642" s="215" t="s">
        <v>7152</v>
      </c>
      <c r="AD642" s="207" t="s">
        <v>4402</v>
      </c>
      <c r="AE642" s="207" t="s">
        <v>4405</v>
      </c>
      <c r="AF642" s="218">
        <v>50410.89</v>
      </c>
      <c r="AG642" s="218">
        <v>60000</v>
      </c>
      <c r="AH642" s="207" t="s">
        <v>4433</v>
      </c>
      <c r="AI642" s="214" t="s">
        <v>4411</v>
      </c>
      <c r="AJ642" s="207">
        <v>147998835</v>
      </c>
      <c r="AK642" s="316">
        <v>46001</v>
      </c>
      <c r="AL642" s="316">
        <v>46001</v>
      </c>
      <c r="AM642" s="316">
        <v>46001</v>
      </c>
      <c r="AN642" s="316">
        <v>46001</v>
      </c>
      <c r="AO642" s="316">
        <v>46001</v>
      </c>
      <c r="AP642" s="316">
        <v>46001</v>
      </c>
      <c r="AQ642" s="314"/>
      <c r="AR642" s="315" t="str">
        <f t="shared" si="41"/>
        <v>FINALIZADO</v>
      </c>
      <c r="AS642" s="207" t="s">
        <v>4423</v>
      </c>
      <c r="AT642" s="207"/>
      <c r="AU642" s="225" t="s">
        <v>7153</v>
      </c>
      <c r="AV642" s="207" t="s">
        <v>4425</v>
      </c>
      <c r="AW642" s="207" t="s">
        <v>4425</v>
      </c>
      <c r="AX642" s="207" t="s">
        <v>4425</v>
      </c>
      <c r="AY642" s="207" t="s">
        <v>4425</v>
      </c>
      <c r="AZ642" s="202">
        <v>46021</v>
      </c>
      <c r="BA642" s="219" t="s">
        <v>4425</v>
      </c>
      <c r="BB642" s="207" t="s">
        <v>4425</v>
      </c>
      <c r="BC642" s="239">
        <v>46041</v>
      </c>
      <c r="BD642" s="226">
        <v>46041</v>
      </c>
      <c r="BE642" s="226" t="s">
        <v>4435</v>
      </c>
      <c r="BF642" s="245" t="s">
        <v>4436</v>
      </c>
      <c r="BG642" s="229" t="s">
        <v>4425</v>
      </c>
      <c r="BH642" s="321">
        <f t="shared" si="42"/>
        <v>40</v>
      </c>
      <c r="BI642" s="98" t="str">
        <f t="shared" si="43"/>
        <v>INDENIZAÇÃO</v>
      </c>
      <c r="BJ642" s="98" t="str">
        <f t="shared" si="44"/>
        <v>NÃO</v>
      </c>
      <c r="BK642" s="230" t="s">
        <v>4437</v>
      </c>
      <c r="BL642" s="230" t="s">
        <v>4437</v>
      </c>
      <c r="BM642" s="230" t="s">
        <v>4437</v>
      </c>
      <c r="BN642" s="265" t="s">
        <v>5732</v>
      </c>
      <c r="BO642" s="265"/>
      <c r="BP642" s="265"/>
      <c r="BQ642" s="265"/>
      <c r="BR642" s="231"/>
      <c r="BS642" s="223"/>
    </row>
    <row r="643" spans="1:71" ht="27" hidden="1" customHeight="1">
      <c r="A643" s="207">
        <v>639</v>
      </c>
      <c r="B643" s="197" t="s">
        <v>4396</v>
      </c>
      <c r="C643" s="207" t="s">
        <v>4427</v>
      </c>
      <c r="D643" s="207">
        <v>1</v>
      </c>
      <c r="E643" s="207" t="s">
        <v>4398</v>
      </c>
      <c r="F643" s="214" t="s">
        <v>7154</v>
      </c>
      <c r="G643" s="207" t="s">
        <v>4400</v>
      </c>
      <c r="H643" s="207" t="s">
        <v>4401</v>
      </c>
      <c r="I643" s="217" t="s">
        <v>4402</v>
      </c>
      <c r="J643" s="215" t="s">
        <v>7155</v>
      </c>
      <c r="K643" s="215" t="s">
        <v>7156</v>
      </c>
      <c r="L643" s="215" t="s">
        <v>7157</v>
      </c>
      <c r="M643" s="207" t="s">
        <v>4405</v>
      </c>
      <c r="N643" s="207" t="s">
        <v>4406</v>
      </c>
      <c r="O643" s="202">
        <v>46031</v>
      </c>
      <c r="P643" s="202" t="s">
        <v>4407</v>
      </c>
      <c r="Q643" s="202">
        <v>46023</v>
      </c>
      <c r="R643" s="202">
        <v>46023</v>
      </c>
      <c r="S643" s="202">
        <v>46036</v>
      </c>
      <c r="T643" s="202">
        <v>46045</v>
      </c>
      <c r="U643" s="202" t="s">
        <v>4408</v>
      </c>
      <c r="V643" s="202" t="s">
        <v>4408</v>
      </c>
      <c r="W643" s="202">
        <v>46055</v>
      </c>
      <c r="X643" s="202">
        <v>46057</v>
      </c>
      <c r="Y643" s="202"/>
      <c r="Z643" s="207"/>
      <c r="AA643" s="215" t="s">
        <v>7155</v>
      </c>
      <c r="AB643" s="215" t="s">
        <v>7156</v>
      </c>
      <c r="AC643" s="215" t="s">
        <v>7157</v>
      </c>
      <c r="AD643" s="197" t="s">
        <v>4402</v>
      </c>
      <c r="AE643" s="197" t="s">
        <v>4405</v>
      </c>
      <c r="AF643" s="218" t="s">
        <v>4409</v>
      </c>
      <c r="AG643" s="218" t="s">
        <v>4409</v>
      </c>
      <c r="AH643" s="207" t="s">
        <v>4410</v>
      </c>
      <c r="AI643" s="214" t="s">
        <v>4411</v>
      </c>
      <c r="AJ643" s="207"/>
      <c r="AK643" s="316">
        <v>46007</v>
      </c>
      <c r="AL643" s="316">
        <v>46007</v>
      </c>
      <c r="AM643" s="316">
        <v>46007</v>
      </c>
      <c r="AN643" s="316">
        <v>46007</v>
      </c>
      <c r="AO643" s="316">
        <v>46007</v>
      </c>
      <c r="AP643" s="316">
        <v>46007</v>
      </c>
      <c r="AQ643" s="314"/>
      <c r="AR643" s="315" t="str">
        <f t="shared" si="41"/>
        <v>FINALIZADO</v>
      </c>
      <c r="AS643" s="207"/>
      <c r="AT643" s="207"/>
      <c r="AU643" s="225"/>
      <c r="AV643" s="207"/>
      <c r="AW643" s="207"/>
      <c r="AX643" s="207"/>
      <c r="AY643" s="207"/>
      <c r="AZ643" s="202"/>
      <c r="BA643" s="219"/>
      <c r="BB643" s="207"/>
      <c r="BC643" s="202"/>
      <c r="BD643" s="208"/>
      <c r="BE643" s="202"/>
      <c r="BF643" s="207"/>
      <c r="BG643" s="229"/>
      <c r="BH643" s="321" t="str">
        <f t="shared" si="42"/>
        <v/>
      </c>
      <c r="BI643" s="98" t="str">
        <f t="shared" si="43"/>
        <v>AA</v>
      </c>
      <c r="BJ643" s="98" t="str">
        <f t="shared" si="44"/>
        <v>NÃO</v>
      </c>
      <c r="BK643" s="230"/>
      <c r="BL643" s="230"/>
      <c r="BM643" s="230"/>
      <c r="BN643" s="230"/>
      <c r="BO643" s="230"/>
      <c r="BP643" s="230"/>
      <c r="BQ643" s="230"/>
      <c r="BR643" s="234"/>
      <c r="BS643" s="240"/>
    </row>
    <row r="644" spans="1:71" ht="27" hidden="1" customHeight="1">
      <c r="A644" s="197">
        <v>640</v>
      </c>
      <c r="B644" s="197" t="s">
        <v>4396</v>
      </c>
      <c r="C644" s="207" t="s">
        <v>4427</v>
      </c>
      <c r="D644" s="207">
        <v>1</v>
      </c>
      <c r="E644" s="207" t="s">
        <v>4398</v>
      </c>
      <c r="F644" s="214" t="s">
        <v>7158</v>
      </c>
      <c r="G644" s="207" t="s">
        <v>4400</v>
      </c>
      <c r="H644" s="207" t="s">
        <v>4401</v>
      </c>
      <c r="I644" s="217" t="s">
        <v>4402</v>
      </c>
      <c r="J644" s="215" t="s">
        <v>7159</v>
      </c>
      <c r="K644" s="215" t="s">
        <v>7160</v>
      </c>
      <c r="L644" s="215" t="s">
        <v>7161</v>
      </c>
      <c r="M644" s="207" t="s">
        <v>4405</v>
      </c>
      <c r="N644" s="207" t="s">
        <v>4406</v>
      </c>
      <c r="O644" s="203">
        <v>46031</v>
      </c>
      <c r="P644" s="202" t="s">
        <v>4407</v>
      </c>
      <c r="Q644" s="203">
        <v>46030</v>
      </c>
      <c r="R644" s="203">
        <v>46031</v>
      </c>
      <c r="S644" s="203">
        <v>46036</v>
      </c>
      <c r="T644" s="203">
        <v>46045</v>
      </c>
      <c r="U644" s="203" t="s">
        <v>4408</v>
      </c>
      <c r="V644" s="203" t="s">
        <v>4408</v>
      </c>
      <c r="W644" s="202">
        <v>46055</v>
      </c>
      <c r="X644" s="202">
        <v>46057</v>
      </c>
      <c r="Y644" s="203"/>
      <c r="Z644" s="219"/>
      <c r="AA644" s="215" t="s">
        <v>7159</v>
      </c>
      <c r="AB644" s="215" t="s">
        <v>7160</v>
      </c>
      <c r="AC644" s="215" t="s">
        <v>7161</v>
      </c>
      <c r="AD644" s="197" t="s">
        <v>4402</v>
      </c>
      <c r="AE644" s="197" t="s">
        <v>4405</v>
      </c>
      <c r="AF644" s="218" t="s">
        <v>4409</v>
      </c>
      <c r="AG644" s="218" t="s">
        <v>4409</v>
      </c>
      <c r="AH644" s="207" t="s">
        <v>4410</v>
      </c>
      <c r="AI644" s="214" t="s">
        <v>4411</v>
      </c>
      <c r="AJ644" s="207"/>
      <c r="AK644" s="317">
        <v>46007</v>
      </c>
      <c r="AL644" s="317">
        <v>46007</v>
      </c>
      <c r="AM644" s="317">
        <v>46007</v>
      </c>
      <c r="AN644" s="317">
        <v>46007</v>
      </c>
      <c r="AO644" s="317">
        <v>46007</v>
      </c>
      <c r="AP644" s="317">
        <v>46007</v>
      </c>
      <c r="AQ644" s="314"/>
      <c r="AR644" s="315" t="str">
        <f t="shared" si="41"/>
        <v>FINALIZADO</v>
      </c>
      <c r="AS644" s="207"/>
      <c r="AT644" s="219"/>
      <c r="AU644" s="225"/>
      <c r="AV644" s="219"/>
      <c r="AW644" s="219"/>
      <c r="AX644" s="219"/>
      <c r="AY644" s="219"/>
      <c r="AZ644" s="219"/>
      <c r="BA644" s="219"/>
      <c r="BB644" s="219"/>
      <c r="BC644" s="219"/>
      <c r="BD644" s="208"/>
      <c r="BE644" s="203"/>
      <c r="BF644" s="219"/>
      <c r="BG644" s="219"/>
      <c r="BH644" s="321" t="str">
        <f t="shared" si="42"/>
        <v/>
      </c>
      <c r="BI644" s="98" t="str">
        <f t="shared" si="43"/>
        <v>AA</v>
      </c>
      <c r="BJ644" s="98" t="str">
        <f t="shared" si="44"/>
        <v>NÃO</v>
      </c>
      <c r="BK644" s="219"/>
      <c r="BL644" s="221"/>
      <c r="BM644" s="221"/>
      <c r="BN644" s="219"/>
      <c r="BO644" s="219"/>
      <c r="BP644" s="219"/>
      <c r="BQ644" s="219"/>
      <c r="BR644" s="222"/>
    </row>
    <row r="645" spans="1:71" ht="27" hidden="1" customHeight="1">
      <c r="A645" s="197">
        <v>641</v>
      </c>
      <c r="B645" s="197" t="s">
        <v>4396</v>
      </c>
      <c r="C645" s="207" t="s">
        <v>4427</v>
      </c>
      <c r="D645" s="207">
        <v>1</v>
      </c>
      <c r="E645" s="207" t="s">
        <v>4398</v>
      </c>
      <c r="F645" s="214" t="s">
        <v>7162</v>
      </c>
      <c r="G645" s="207" t="s">
        <v>4400</v>
      </c>
      <c r="H645" s="207" t="s">
        <v>4401</v>
      </c>
      <c r="I645" s="217" t="s">
        <v>4402</v>
      </c>
      <c r="J645" s="215" t="s">
        <v>7163</v>
      </c>
      <c r="K645" s="215" t="s">
        <v>7164</v>
      </c>
      <c r="L645" s="215" t="s">
        <v>7165</v>
      </c>
      <c r="M645" s="207" t="s">
        <v>4405</v>
      </c>
      <c r="N645" s="207" t="s">
        <v>4406</v>
      </c>
      <c r="O645" s="202">
        <v>46002</v>
      </c>
      <c r="P645" s="202" t="s">
        <v>4407</v>
      </c>
      <c r="Q645" s="202">
        <v>45999</v>
      </c>
      <c r="R645" s="202">
        <v>46006</v>
      </c>
      <c r="S645" s="202">
        <v>46006</v>
      </c>
      <c r="T645" s="202">
        <v>46009</v>
      </c>
      <c r="U645" s="202" t="s">
        <v>4408</v>
      </c>
      <c r="V645" s="202" t="s">
        <v>4408</v>
      </c>
      <c r="W645" s="202">
        <v>46014</v>
      </c>
      <c r="X645" s="202">
        <v>46020</v>
      </c>
      <c r="Y645" s="202"/>
      <c r="Z645" s="207"/>
      <c r="AA645" s="215" t="s">
        <v>7163</v>
      </c>
      <c r="AB645" s="215" t="s">
        <v>7164</v>
      </c>
      <c r="AC645" s="215" t="s">
        <v>7165</v>
      </c>
      <c r="AD645" s="197" t="s">
        <v>4402</v>
      </c>
      <c r="AE645" s="197" t="s">
        <v>4405</v>
      </c>
      <c r="AF645" s="218" t="s">
        <v>4409</v>
      </c>
      <c r="AG645" s="218" t="s">
        <v>4409</v>
      </c>
      <c r="AH645" s="207" t="s">
        <v>4410</v>
      </c>
      <c r="AI645" s="214" t="s">
        <v>4411</v>
      </c>
      <c r="AJ645" s="207"/>
      <c r="AK645" s="316">
        <v>45996</v>
      </c>
      <c r="AL645" s="316">
        <v>45996</v>
      </c>
      <c r="AM645" s="316">
        <v>45996</v>
      </c>
      <c r="AN645" s="316">
        <v>45996</v>
      </c>
      <c r="AO645" s="316">
        <v>45996</v>
      </c>
      <c r="AP645" s="316">
        <v>45996</v>
      </c>
      <c r="AQ645" s="314"/>
      <c r="AR645" s="315" t="str">
        <f t="shared" si="41"/>
        <v>FINALIZADO</v>
      </c>
      <c r="AS645" s="207"/>
      <c r="AT645" s="207"/>
      <c r="AU645" s="225"/>
      <c r="AV645" s="207"/>
      <c r="AW645" s="207"/>
      <c r="AX645" s="207"/>
      <c r="AY645" s="207"/>
      <c r="AZ645" s="202"/>
      <c r="BA645" s="219"/>
      <c r="BB645" s="207"/>
      <c r="BC645" s="202"/>
      <c r="BD645" s="208"/>
      <c r="BE645" s="202"/>
      <c r="BF645" s="207"/>
      <c r="BG645" s="229"/>
      <c r="BH645" s="321" t="str">
        <f t="shared" ref="BH645:BH708" si="45">IFERROR(IF(BD645-KI645=0,"",BD645-AK645),"")</f>
        <v/>
      </c>
      <c r="BI645" s="98" t="str">
        <f t="shared" ref="BI645:BI708" si="46">IF(AND(AH645&lt;&gt;"SIM",AH645="UH"),"AA","INDENIZAÇÃO")</f>
        <v>AA</v>
      </c>
      <c r="BJ645" s="98" t="str">
        <f t="shared" ref="BJ645:BJ708" si="47">IF(AND(BD645&lt;&gt;"AGUARDANDO",BD645&lt;&gt;"",N645="AUXÍLIO ALUGUEL ATÉ INDENIZAÇÃO"),"SIM","NÃO")</f>
        <v>NÃO</v>
      </c>
      <c r="BK645" s="230"/>
      <c r="BL645" s="230"/>
      <c r="BM645" s="230"/>
      <c r="BN645" s="230"/>
      <c r="BO645" s="230"/>
      <c r="BP645" s="230"/>
      <c r="BQ645" s="230"/>
      <c r="BR645" s="234"/>
    </row>
    <row r="646" spans="1:71" ht="27" hidden="1" customHeight="1">
      <c r="A646" s="207">
        <v>642</v>
      </c>
      <c r="B646" s="197" t="s">
        <v>4396</v>
      </c>
      <c r="C646" s="207" t="s">
        <v>4427</v>
      </c>
      <c r="D646" s="207">
        <v>1</v>
      </c>
      <c r="E646" s="207" t="s">
        <v>4398</v>
      </c>
      <c r="F646" s="214" t="s">
        <v>7166</v>
      </c>
      <c r="G646" s="207" t="s">
        <v>4400</v>
      </c>
      <c r="H646" s="207" t="s">
        <v>4401</v>
      </c>
      <c r="I646" s="217" t="s">
        <v>4402</v>
      </c>
      <c r="J646" s="215" t="s">
        <v>7167</v>
      </c>
      <c r="K646" s="215" t="s">
        <v>7168</v>
      </c>
      <c r="L646" s="215" t="s">
        <v>7169</v>
      </c>
      <c r="M646" s="207" t="s">
        <v>4405</v>
      </c>
      <c r="N646" s="207" t="s">
        <v>4406</v>
      </c>
      <c r="O646" s="202">
        <v>46002</v>
      </c>
      <c r="P646" s="202" t="s">
        <v>4407</v>
      </c>
      <c r="Q646" s="202">
        <v>45999</v>
      </c>
      <c r="R646" s="202">
        <v>46006</v>
      </c>
      <c r="S646" s="202">
        <v>46006</v>
      </c>
      <c r="T646" s="202">
        <v>46009</v>
      </c>
      <c r="U646" s="202" t="s">
        <v>4408</v>
      </c>
      <c r="V646" s="202" t="s">
        <v>4408</v>
      </c>
      <c r="W646" s="202">
        <v>46014</v>
      </c>
      <c r="X646" s="202">
        <v>46020</v>
      </c>
      <c r="Y646" s="202"/>
      <c r="Z646" s="207"/>
      <c r="AA646" s="215" t="s">
        <v>7167</v>
      </c>
      <c r="AB646" s="215" t="s">
        <v>7168</v>
      </c>
      <c r="AC646" s="215" t="s">
        <v>7169</v>
      </c>
      <c r="AD646" s="197" t="s">
        <v>4402</v>
      </c>
      <c r="AE646" s="197" t="s">
        <v>4405</v>
      </c>
      <c r="AF646" s="218" t="s">
        <v>4409</v>
      </c>
      <c r="AG646" s="218" t="s">
        <v>4409</v>
      </c>
      <c r="AH646" s="207" t="s">
        <v>4410</v>
      </c>
      <c r="AI646" s="214" t="s">
        <v>4411</v>
      </c>
      <c r="AJ646" s="207"/>
      <c r="AK646" s="316">
        <v>45986</v>
      </c>
      <c r="AL646" s="316">
        <v>45986</v>
      </c>
      <c r="AM646" s="316">
        <v>45986</v>
      </c>
      <c r="AN646" s="316">
        <v>45986</v>
      </c>
      <c r="AO646" s="316">
        <v>45986</v>
      </c>
      <c r="AP646" s="316">
        <v>45986</v>
      </c>
      <c r="AQ646" s="314"/>
      <c r="AR646" s="315" t="str">
        <f t="shared" ref="AR646:AR709" si="48">IF(AQ646="SIM","AGUARDANDO CORREÇÃO",IF(AP646&lt;&gt;"","FINALIZADO",IF(AO646&lt;&gt;"","AGUARDANDO ENVIO DTS",IF(AN646&lt;&gt;"","AGUARDANDO ASSINATURA GAB",IF(AM646&lt;&gt;"","AGUARDANDO ASSINATURA CTS",IF(AL646&lt;&gt;"","AGUARDANDO ENVIO ASSINATURA CTS",IF(AK646&lt;&gt;"","AGUARDANDO CONFERÊNCIA","")))))))</f>
        <v>FINALIZADO</v>
      </c>
      <c r="AS646" s="207"/>
      <c r="AT646" s="207"/>
      <c r="AU646" s="225"/>
      <c r="AV646" s="207"/>
      <c r="AW646" s="207"/>
      <c r="AX646" s="207"/>
      <c r="AY646" s="207"/>
      <c r="AZ646" s="202"/>
      <c r="BA646" s="219"/>
      <c r="BB646" s="207"/>
      <c r="BC646" s="202"/>
      <c r="BD646" s="208"/>
      <c r="BE646" s="202"/>
      <c r="BF646" s="207"/>
      <c r="BG646" s="229"/>
      <c r="BH646" s="321" t="str">
        <f t="shared" si="45"/>
        <v/>
      </c>
      <c r="BI646" s="98" t="str">
        <f t="shared" si="46"/>
        <v>AA</v>
      </c>
      <c r="BJ646" s="98" t="str">
        <f t="shared" si="47"/>
        <v>NÃO</v>
      </c>
      <c r="BK646" s="230"/>
      <c r="BL646" s="230"/>
      <c r="BM646" s="230"/>
      <c r="BN646" s="230"/>
      <c r="BO646" s="230"/>
      <c r="BP646" s="230"/>
      <c r="BQ646" s="230"/>
      <c r="BR646" s="234"/>
    </row>
    <row r="647" spans="1:71" ht="27" hidden="1" customHeight="1">
      <c r="A647" s="207">
        <v>643</v>
      </c>
      <c r="B647" s="197" t="s">
        <v>4396</v>
      </c>
      <c r="C647" s="207" t="s">
        <v>4427</v>
      </c>
      <c r="D647" s="207">
        <v>1</v>
      </c>
      <c r="E647" s="207" t="s">
        <v>4398</v>
      </c>
      <c r="F647" s="214" t="s">
        <v>7170</v>
      </c>
      <c r="G647" s="207" t="s">
        <v>4400</v>
      </c>
      <c r="H647" s="207" t="s">
        <v>4401</v>
      </c>
      <c r="I647" s="217" t="s">
        <v>4402</v>
      </c>
      <c r="J647" s="215" t="s">
        <v>7171</v>
      </c>
      <c r="K647" s="215" t="s">
        <v>7172</v>
      </c>
      <c r="L647" s="215" t="s">
        <v>7173</v>
      </c>
      <c r="M647" s="207" t="s">
        <v>4405</v>
      </c>
      <c r="N647" s="207" t="s">
        <v>4406</v>
      </c>
      <c r="O647" s="202">
        <v>46065</v>
      </c>
      <c r="P647" s="203" t="s">
        <v>4407</v>
      </c>
      <c r="Q647" s="202">
        <v>46072</v>
      </c>
      <c r="R647" s="203">
        <v>46072</v>
      </c>
      <c r="S647" s="203">
        <v>46080</v>
      </c>
      <c r="T647" s="202">
        <v>46083</v>
      </c>
      <c r="U647" s="202" t="s">
        <v>4408</v>
      </c>
      <c r="V647" s="202" t="s">
        <v>4408</v>
      </c>
      <c r="W647" s="203">
        <v>46055</v>
      </c>
      <c r="X647" s="203">
        <v>46091</v>
      </c>
      <c r="Y647" s="202"/>
      <c r="Z647" s="207"/>
      <c r="AA647" s="215" t="s">
        <v>7171</v>
      </c>
      <c r="AB647" s="215" t="s">
        <v>7172</v>
      </c>
      <c r="AC647" s="215" t="s">
        <v>7173</v>
      </c>
      <c r="AD647" s="197" t="s">
        <v>4402</v>
      </c>
      <c r="AE647" s="197" t="s">
        <v>4405</v>
      </c>
      <c r="AF647" s="218" t="s">
        <v>4409</v>
      </c>
      <c r="AG647" s="218" t="s">
        <v>4409</v>
      </c>
      <c r="AH647" s="207" t="s">
        <v>4410</v>
      </c>
      <c r="AI647" s="214" t="s">
        <v>4411</v>
      </c>
      <c r="AJ647" s="207"/>
      <c r="AK647" s="316">
        <v>45988</v>
      </c>
      <c r="AL647" s="316">
        <v>45988</v>
      </c>
      <c r="AM647" s="316">
        <v>45988</v>
      </c>
      <c r="AN647" s="316">
        <v>45988</v>
      </c>
      <c r="AO647" s="316">
        <v>45988</v>
      </c>
      <c r="AP647" s="316">
        <v>45988</v>
      </c>
      <c r="AQ647" s="314"/>
      <c r="AR647" s="315" t="str">
        <f t="shared" si="48"/>
        <v>FINALIZADO</v>
      </c>
      <c r="AS647" s="207"/>
      <c r="AT647" s="207"/>
      <c r="AU647" s="225"/>
      <c r="AV647" s="207"/>
      <c r="AW647" s="207"/>
      <c r="AX647" s="207"/>
      <c r="AY647" s="207"/>
      <c r="AZ647" s="202"/>
      <c r="BA647" s="219"/>
      <c r="BB647" s="207"/>
      <c r="BC647" s="202"/>
      <c r="BD647" s="208"/>
      <c r="BE647" s="202"/>
      <c r="BF647" s="207"/>
      <c r="BG647" s="229"/>
      <c r="BH647" s="321" t="str">
        <f t="shared" si="45"/>
        <v/>
      </c>
      <c r="BI647" s="98" t="str">
        <f t="shared" si="46"/>
        <v>AA</v>
      </c>
      <c r="BJ647" s="98" t="str">
        <f t="shared" si="47"/>
        <v>NÃO</v>
      </c>
      <c r="BK647" s="230"/>
      <c r="BL647" s="230"/>
      <c r="BM647" s="230"/>
      <c r="BN647" s="230"/>
      <c r="BO647" s="230"/>
      <c r="BP647" s="230"/>
      <c r="BQ647" s="230"/>
      <c r="BR647" s="234"/>
    </row>
    <row r="648" spans="1:71" ht="27" hidden="1" customHeight="1">
      <c r="A648" s="207">
        <v>644</v>
      </c>
      <c r="B648" s="197" t="s">
        <v>4396</v>
      </c>
      <c r="C648" s="207" t="s">
        <v>4427</v>
      </c>
      <c r="D648" s="207">
        <v>1</v>
      </c>
      <c r="E648" s="207" t="s">
        <v>4398</v>
      </c>
      <c r="F648" s="214" t="s">
        <v>7174</v>
      </c>
      <c r="G648" s="207" t="s">
        <v>4400</v>
      </c>
      <c r="H648" s="207" t="s">
        <v>4401</v>
      </c>
      <c r="I648" s="217" t="s">
        <v>4402</v>
      </c>
      <c r="J648" s="215" t="s">
        <v>7175</v>
      </c>
      <c r="K648" s="215" t="s">
        <v>7176</v>
      </c>
      <c r="L648" s="215" t="s">
        <v>7177</v>
      </c>
      <c r="M648" s="207" t="s">
        <v>4405</v>
      </c>
      <c r="N648" s="207" t="s">
        <v>4406</v>
      </c>
      <c r="O648" s="202">
        <v>46002</v>
      </c>
      <c r="P648" s="202" t="s">
        <v>4407</v>
      </c>
      <c r="Q648" s="202">
        <v>45999</v>
      </c>
      <c r="R648" s="202">
        <v>46006</v>
      </c>
      <c r="S648" s="202">
        <v>46006</v>
      </c>
      <c r="T648" s="202">
        <v>46009</v>
      </c>
      <c r="U648" s="202" t="s">
        <v>4408</v>
      </c>
      <c r="V648" s="202" t="s">
        <v>4408</v>
      </c>
      <c r="W648" s="202">
        <v>46014</v>
      </c>
      <c r="X648" s="202">
        <v>46020</v>
      </c>
      <c r="Y648" s="202"/>
      <c r="Z648" s="207"/>
      <c r="AA648" s="215" t="s">
        <v>7175</v>
      </c>
      <c r="AB648" s="215" t="s">
        <v>7176</v>
      </c>
      <c r="AC648" s="215" t="s">
        <v>7177</v>
      </c>
      <c r="AD648" s="197" t="s">
        <v>4402</v>
      </c>
      <c r="AE648" s="197" t="s">
        <v>4405</v>
      </c>
      <c r="AF648" s="218" t="s">
        <v>4409</v>
      </c>
      <c r="AG648" s="218" t="s">
        <v>4409</v>
      </c>
      <c r="AH648" s="207" t="s">
        <v>4410</v>
      </c>
      <c r="AI648" s="214" t="s">
        <v>4411</v>
      </c>
      <c r="AJ648" s="207"/>
      <c r="AK648" s="316">
        <v>45996</v>
      </c>
      <c r="AL648" s="316">
        <v>45996</v>
      </c>
      <c r="AM648" s="316">
        <v>45996</v>
      </c>
      <c r="AN648" s="316">
        <v>45996</v>
      </c>
      <c r="AO648" s="316">
        <v>45996</v>
      </c>
      <c r="AP648" s="316">
        <v>45996</v>
      </c>
      <c r="AQ648" s="314"/>
      <c r="AR648" s="315" t="str">
        <f t="shared" si="48"/>
        <v>FINALIZADO</v>
      </c>
      <c r="AS648" s="207"/>
      <c r="AT648" s="207"/>
      <c r="AU648" s="225"/>
      <c r="AV648" s="160"/>
      <c r="AW648" s="207"/>
      <c r="AX648" s="207"/>
      <c r="AY648" s="207"/>
      <c r="AZ648" s="202"/>
      <c r="BA648" s="219"/>
      <c r="BB648" s="207"/>
      <c r="BC648" s="202"/>
      <c r="BD648" s="208"/>
      <c r="BE648" s="202"/>
      <c r="BF648" s="207"/>
      <c r="BG648" s="229"/>
      <c r="BH648" s="321" t="str">
        <f t="shared" si="45"/>
        <v/>
      </c>
      <c r="BI648" s="98" t="str">
        <f t="shared" si="46"/>
        <v>AA</v>
      </c>
      <c r="BJ648" s="98" t="str">
        <f t="shared" si="47"/>
        <v>NÃO</v>
      </c>
      <c r="BK648" s="230"/>
      <c r="BL648" s="230"/>
      <c r="BM648" s="230"/>
      <c r="BN648" s="230"/>
      <c r="BO648" s="230"/>
      <c r="BP648" s="230"/>
      <c r="BQ648" s="230"/>
      <c r="BR648" s="234"/>
    </row>
    <row r="649" spans="1:71" ht="27" hidden="1" customHeight="1">
      <c r="A649" s="197">
        <v>645</v>
      </c>
      <c r="B649" s="197" t="s">
        <v>4396</v>
      </c>
      <c r="C649" s="207" t="s">
        <v>4427</v>
      </c>
      <c r="D649" s="207">
        <v>1</v>
      </c>
      <c r="E649" s="207" t="s">
        <v>4398</v>
      </c>
      <c r="F649" s="214" t="s">
        <v>7178</v>
      </c>
      <c r="G649" s="219" t="s">
        <v>4545</v>
      </c>
      <c r="H649" s="207" t="s">
        <v>4546</v>
      </c>
      <c r="I649" s="233" t="s">
        <v>4421</v>
      </c>
      <c r="J649" s="215" t="s">
        <v>7179</v>
      </c>
      <c r="K649" s="215" t="s">
        <v>7180</v>
      </c>
      <c r="L649" s="215" t="s">
        <v>7181</v>
      </c>
      <c r="M649" s="207" t="s">
        <v>4405</v>
      </c>
      <c r="N649" s="207" t="s">
        <v>4442</v>
      </c>
      <c r="O649" s="202" t="s">
        <v>4409</v>
      </c>
      <c r="P649" s="202" t="s">
        <v>4409</v>
      </c>
      <c r="Q649" s="202" t="s">
        <v>4409</v>
      </c>
      <c r="R649" s="202" t="s">
        <v>4409</v>
      </c>
      <c r="S649" s="202" t="s">
        <v>4409</v>
      </c>
      <c r="T649" s="202" t="s">
        <v>4409</v>
      </c>
      <c r="U649" s="202" t="s">
        <v>4409</v>
      </c>
      <c r="V649" s="202" t="s">
        <v>4409</v>
      </c>
      <c r="W649" s="202" t="s">
        <v>4409</v>
      </c>
      <c r="X649" s="202" t="s">
        <v>4409</v>
      </c>
      <c r="Y649" s="202"/>
      <c r="Z649" s="202"/>
      <c r="AA649" s="215" t="s">
        <v>7179</v>
      </c>
      <c r="AB649" s="215" t="s">
        <v>7180</v>
      </c>
      <c r="AC649" s="215" t="s">
        <v>7181</v>
      </c>
      <c r="AD649" s="233" t="s">
        <v>4421</v>
      </c>
      <c r="AE649" s="207" t="s">
        <v>4405</v>
      </c>
      <c r="AF649" s="218">
        <v>9923.85</v>
      </c>
      <c r="AG649" s="218">
        <v>9923.85</v>
      </c>
      <c r="AH649" s="207" t="s">
        <v>4433</v>
      </c>
      <c r="AI649" s="214" t="s">
        <v>4411</v>
      </c>
      <c r="AJ649" s="207">
        <v>151380424</v>
      </c>
      <c r="AK649" s="316">
        <v>46106</v>
      </c>
      <c r="AL649" s="316">
        <v>46106</v>
      </c>
      <c r="AM649" s="316">
        <v>46106</v>
      </c>
      <c r="AN649" s="316">
        <v>46106</v>
      </c>
      <c r="AO649" s="316">
        <v>46106</v>
      </c>
      <c r="AP649" s="316">
        <v>46106</v>
      </c>
      <c r="AQ649" s="314"/>
      <c r="AR649" s="315" t="str">
        <f t="shared" si="48"/>
        <v>FINALIZADO</v>
      </c>
      <c r="AS649" s="207" t="s">
        <v>4423</v>
      </c>
      <c r="AT649" s="207"/>
      <c r="AU649" s="225" t="s">
        <v>7182</v>
      </c>
      <c r="AV649" s="270" t="s">
        <v>4425</v>
      </c>
      <c r="AW649" s="250" t="s">
        <v>4425</v>
      </c>
      <c r="AX649" s="207" t="s">
        <v>4425</v>
      </c>
      <c r="AY649" s="207" t="s">
        <v>4425</v>
      </c>
      <c r="AZ649" s="202">
        <v>46150</v>
      </c>
      <c r="BA649" s="207" t="s">
        <v>4425</v>
      </c>
      <c r="BB649" s="207" t="s">
        <v>4425</v>
      </c>
      <c r="BC649" s="202">
        <v>46157</v>
      </c>
      <c r="BD649" s="227">
        <v>46157</v>
      </c>
      <c r="BE649" s="227" t="s">
        <v>4435</v>
      </c>
      <c r="BF649" s="245" t="s">
        <v>4436</v>
      </c>
      <c r="BG649" s="229" t="s">
        <v>4425</v>
      </c>
      <c r="BH649" s="321">
        <f t="shared" si="45"/>
        <v>51</v>
      </c>
      <c r="BI649" s="98" t="str">
        <f t="shared" si="46"/>
        <v>INDENIZAÇÃO</v>
      </c>
      <c r="BJ649" s="98" t="str">
        <f t="shared" si="47"/>
        <v>NÃO</v>
      </c>
      <c r="BK649" s="230" t="s">
        <v>4437</v>
      </c>
      <c r="BL649" s="230" t="s">
        <v>4437</v>
      </c>
      <c r="BM649" s="230" t="s">
        <v>4437</v>
      </c>
      <c r="BN649" s="265" t="s">
        <v>5732</v>
      </c>
      <c r="BO649" s="265"/>
      <c r="BP649" s="265"/>
      <c r="BQ649" s="265"/>
      <c r="BR649" s="231"/>
      <c r="BS649" s="223"/>
    </row>
    <row r="650" spans="1:71" ht="27" hidden="1" customHeight="1">
      <c r="A650" s="197">
        <v>646</v>
      </c>
      <c r="B650" s="197" t="s">
        <v>4396</v>
      </c>
      <c r="C650" s="207" t="s">
        <v>4427</v>
      </c>
      <c r="D650" s="207">
        <v>1</v>
      </c>
      <c r="E650" s="207" t="s">
        <v>4398</v>
      </c>
      <c r="F650" s="214" t="s">
        <v>7183</v>
      </c>
      <c r="G650" s="160" t="s">
        <v>4400</v>
      </c>
      <c r="H650" s="207" t="s">
        <v>4401</v>
      </c>
      <c r="I650" s="249" t="s">
        <v>4402</v>
      </c>
      <c r="J650" s="215" t="s">
        <v>7184</v>
      </c>
      <c r="K650" s="215" t="s">
        <v>7185</v>
      </c>
      <c r="L650" s="215" t="s">
        <v>7186</v>
      </c>
      <c r="M650" s="207" t="s">
        <v>4405</v>
      </c>
      <c r="N650" s="207" t="s">
        <v>4406</v>
      </c>
      <c r="O650" s="203">
        <v>46044</v>
      </c>
      <c r="P650" s="203" t="s">
        <v>4407</v>
      </c>
      <c r="Q650" s="203">
        <v>46043</v>
      </c>
      <c r="R650" s="203">
        <v>46044</v>
      </c>
      <c r="S650" s="203">
        <v>46045</v>
      </c>
      <c r="T650" s="203">
        <v>46155</v>
      </c>
      <c r="U650" s="202" t="s">
        <v>4408</v>
      </c>
      <c r="V650" s="202" t="s">
        <v>4408</v>
      </c>
      <c r="W650" s="202">
        <v>46055</v>
      </c>
      <c r="X650" s="202">
        <v>46087</v>
      </c>
      <c r="Y650" s="202"/>
      <c r="Z650" s="207"/>
      <c r="AA650" s="215" t="s">
        <v>7184</v>
      </c>
      <c r="AB650" s="215" t="s">
        <v>7185</v>
      </c>
      <c r="AC650" s="215" t="s">
        <v>7186</v>
      </c>
      <c r="AD650" s="197" t="s">
        <v>4402</v>
      </c>
      <c r="AE650" s="197" t="s">
        <v>4405</v>
      </c>
      <c r="AF650" s="218" t="s">
        <v>4409</v>
      </c>
      <c r="AG650" s="218" t="s">
        <v>4409</v>
      </c>
      <c r="AH650" s="207" t="s">
        <v>4410</v>
      </c>
      <c r="AI650" s="214" t="s">
        <v>4411</v>
      </c>
      <c r="AJ650" s="207"/>
      <c r="AK650" s="316">
        <v>46041</v>
      </c>
      <c r="AL650" s="316">
        <v>46041</v>
      </c>
      <c r="AM650" s="316">
        <v>46041</v>
      </c>
      <c r="AN650" s="316">
        <v>46041</v>
      </c>
      <c r="AO650" s="316">
        <v>46041</v>
      </c>
      <c r="AP650" s="316">
        <v>46041</v>
      </c>
      <c r="AQ650" s="314"/>
      <c r="AR650" s="315" t="str">
        <f t="shared" si="48"/>
        <v>FINALIZADO</v>
      </c>
      <c r="AS650" s="207"/>
      <c r="AT650" s="207"/>
      <c r="AU650" s="225"/>
      <c r="AV650" s="207"/>
      <c r="AW650" s="207"/>
      <c r="AX650" s="207"/>
      <c r="AY650" s="207"/>
      <c r="AZ650" s="202"/>
      <c r="BA650" s="219"/>
      <c r="BB650" s="207"/>
      <c r="BC650" s="202"/>
      <c r="BD650" s="208"/>
      <c r="BE650" s="202"/>
      <c r="BF650" s="207"/>
      <c r="BG650" s="229"/>
      <c r="BH650" s="321" t="str">
        <f t="shared" si="45"/>
        <v/>
      </c>
      <c r="BI650" s="98" t="str">
        <f t="shared" si="46"/>
        <v>AA</v>
      </c>
      <c r="BJ650" s="98" t="str">
        <f t="shared" si="47"/>
        <v>NÃO</v>
      </c>
      <c r="BK650" s="230"/>
      <c r="BL650" s="230"/>
      <c r="BM650" s="230"/>
      <c r="BN650" s="230"/>
      <c r="BO650" s="230"/>
      <c r="BP650" s="230"/>
      <c r="BQ650" s="230"/>
      <c r="BR650" s="234"/>
    </row>
    <row r="651" spans="1:71" ht="27" hidden="1" customHeight="1">
      <c r="A651" s="207">
        <v>647</v>
      </c>
      <c r="B651" s="197" t="s">
        <v>4396</v>
      </c>
      <c r="C651" s="207" t="s">
        <v>4427</v>
      </c>
      <c r="D651" s="207">
        <v>1</v>
      </c>
      <c r="E651" s="207" t="s">
        <v>4398</v>
      </c>
      <c r="F651" s="214" t="s">
        <v>7187</v>
      </c>
      <c r="G651" s="207" t="s">
        <v>4400</v>
      </c>
      <c r="H651" s="207" t="s">
        <v>4401</v>
      </c>
      <c r="I651" s="217" t="s">
        <v>4402</v>
      </c>
      <c r="J651" s="215" t="s">
        <v>7188</v>
      </c>
      <c r="K651" s="215" t="s">
        <v>7189</v>
      </c>
      <c r="L651" s="215" t="s">
        <v>7190</v>
      </c>
      <c r="M651" s="207" t="s">
        <v>4405</v>
      </c>
      <c r="N651" s="207" t="s">
        <v>4406</v>
      </c>
      <c r="O651" s="202">
        <v>45986</v>
      </c>
      <c r="P651" s="203" t="s">
        <v>4407</v>
      </c>
      <c r="Q651" s="203">
        <v>45985</v>
      </c>
      <c r="R651" s="203">
        <v>45986</v>
      </c>
      <c r="S651" s="203">
        <v>45987</v>
      </c>
      <c r="T651" s="203">
        <v>45992</v>
      </c>
      <c r="U651" s="202" t="s">
        <v>4408</v>
      </c>
      <c r="V651" s="202" t="s">
        <v>4408</v>
      </c>
      <c r="W651" s="202">
        <v>45999</v>
      </c>
      <c r="X651" s="202">
        <v>46001</v>
      </c>
      <c r="Y651" s="202"/>
      <c r="Z651" s="207"/>
      <c r="AA651" s="215" t="s">
        <v>7188</v>
      </c>
      <c r="AB651" s="215" t="s">
        <v>7189</v>
      </c>
      <c r="AC651" s="215" t="s">
        <v>7190</v>
      </c>
      <c r="AD651" s="197" t="s">
        <v>4402</v>
      </c>
      <c r="AE651" s="197" t="s">
        <v>4405</v>
      </c>
      <c r="AF651" s="218" t="s">
        <v>4409</v>
      </c>
      <c r="AG651" s="218" t="s">
        <v>4409</v>
      </c>
      <c r="AH651" s="241" t="s">
        <v>4410</v>
      </c>
      <c r="AI651" s="214" t="s">
        <v>4411</v>
      </c>
      <c r="AJ651" s="207"/>
      <c r="AK651" s="316">
        <v>45980</v>
      </c>
      <c r="AL651" s="316">
        <v>45980</v>
      </c>
      <c r="AM651" s="316">
        <v>45980</v>
      </c>
      <c r="AN651" s="316">
        <v>45980</v>
      </c>
      <c r="AO651" s="316">
        <v>45980</v>
      </c>
      <c r="AP651" s="316">
        <v>45980</v>
      </c>
      <c r="AQ651" s="314"/>
      <c r="AR651" s="315" t="str">
        <f t="shared" si="48"/>
        <v>FINALIZADO</v>
      </c>
      <c r="AS651" s="207"/>
      <c r="AT651" s="207"/>
      <c r="AU651" s="225"/>
      <c r="AV651" s="207"/>
      <c r="AW651" s="207"/>
      <c r="AX651" s="207" t="s">
        <v>4409</v>
      </c>
      <c r="AY651" s="207" t="s">
        <v>4409</v>
      </c>
      <c r="AZ651" s="207" t="s">
        <v>4409</v>
      </c>
      <c r="BA651" s="207" t="s">
        <v>4409</v>
      </c>
      <c r="BB651" s="207"/>
      <c r="BC651" s="202"/>
      <c r="BD651" s="208"/>
      <c r="BE651" s="202"/>
      <c r="BF651" s="207"/>
      <c r="BG651" s="229"/>
      <c r="BH651" s="321" t="str">
        <f t="shared" si="45"/>
        <v/>
      </c>
      <c r="BI651" s="98" t="str">
        <f t="shared" si="46"/>
        <v>AA</v>
      </c>
      <c r="BJ651" s="98" t="str">
        <f t="shared" si="47"/>
        <v>NÃO</v>
      </c>
      <c r="BK651" s="230"/>
      <c r="BL651" s="230"/>
      <c r="BM651" s="230"/>
      <c r="BN651" s="230"/>
      <c r="BO651" s="230"/>
      <c r="BP651" s="230"/>
      <c r="BQ651" s="230"/>
      <c r="BR651" s="234"/>
    </row>
    <row r="652" spans="1:71" ht="27" hidden="1" customHeight="1">
      <c r="A652" s="207">
        <v>648</v>
      </c>
      <c r="B652" s="197" t="s">
        <v>4396</v>
      </c>
      <c r="C652" s="207" t="s">
        <v>4427</v>
      </c>
      <c r="D652" s="207">
        <v>1</v>
      </c>
      <c r="E652" s="207" t="s">
        <v>4398</v>
      </c>
      <c r="F652" s="214" t="s">
        <v>7191</v>
      </c>
      <c r="G652" s="207" t="s">
        <v>4400</v>
      </c>
      <c r="H652" s="207" t="s">
        <v>4401</v>
      </c>
      <c r="I652" s="217" t="s">
        <v>7022</v>
      </c>
      <c r="J652" s="215" t="s">
        <v>7192</v>
      </c>
      <c r="K652" s="215" t="s">
        <v>7193</v>
      </c>
      <c r="L652" s="215" t="s">
        <v>7194</v>
      </c>
      <c r="M652" s="207" t="s">
        <v>4405</v>
      </c>
      <c r="N652" s="207" t="s">
        <v>4406</v>
      </c>
      <c r="O652" s="202">
        <v>46002</v>
      </c>
      <c r="P652" s="202" t="s">
        <v>4407</v>
      </c>
      <c r="Q652" s="202">
        <v>45999</v>
      </c>
      <c r="R652" s="202">
        <v>46006</v>
      </c>
      <c r="S652" s="202">
        <v>46006</v>
      </c>
      <c r="T652" s="202">
        <v>46009</v>
      </c>
      <c r="U652" s="202" t="s">
        <v>4408</v>
      </c>
      <c r="V652" s="202" t="s">
        <v>4408</v>
      </c>
      <c r="W652" s="202">
        <v>46014</v>
      </c>
      <c r="X652" s="202">
        <v>46024</v>
      </c>
      <c r="Y652" s="202"/>
      <c r="Z652" s="207"/>
      <c r="AA652" s="215" t="s">
        <v>7192</v>
      </c>
      <c r="AB652" s="215" t="s">
        <v>7193</v>
      </c>
      <c r="AC652" s="215" t="s">
        <v>7194</v>
      </c>
      <c r="AD652" s="197" t="s">
        <v>4402</v>
      </c>
      <c r="AE652" s="197" t="s">
        <v>4405</v>
      </c>
      <c r="AF652" s="218" t="s">
        <v>4409</v>
      </c>
      <c r="AG652" s="218" t="s">
        <v>4409</v>
      </c>
      <c r="AH652" s="197" t="s">
        <v>4410</v>
      </c>
      <c r="AI652" s="214" t="s">
        <v>4411</v>
      </c>
      <c r="AJ652" s="207"/>
      <c r="AK652" s="316">
        <v>45980</v>
      </c>
      <c r="AL652" s="316">
        <v>45980</v>
      </c>
      <c r="AM652" s="316">
        <v>45980</v>
      </c>
      <c r="AN652" s="316">
        <v>45980</v>
      </c>
      <c r="AO652" s="316">
        <v>45980</v>
      </c>
      <c r="AP652" s="316">
        <v>45980</v>
      </c>
      <c r="AQ652" s="314"/>
      <c r="AR652" s="315" t="str">
        <f t="shared" si="48"/>
        <v>FINALIZADO</v>
      </c>
      <c r="AS652" s="207"/>
      <c r="AT652" s="207"/>
      <c r="AU652" s="225"/>
      <c r="AV652" s="207"/>
      <c r="AW652" s="207"/>
      <c r="AX652" s="207"/>
      <c r="AY652" s="207"/>
      <c r="AZ652" s="202"/>
      <c r="BA652" s="219"/>
      <c r="BB652" s="160"/>
      <c r="BC652" s="202"/>
      <c r="BD652" s="208"/>
      <c r="BE652" s="202"/>
      <c r="BF652" s="207"/>
      <c r="BG652" s="229"/>
      <c r="BH652" s="321" t="str">
        <f t="shared" si="45"/>
        <v/>
      </c>
      <c r="BI652" s="98" t="str">
        <f t="shared" si="46"/>
        <v>AA</v>
      </c>
      <c r="BJ652" s="98" t="str">
        <f t="shared" si="47"/>
        <v>NÃO</v>
      </c>
      <c r="BK652" s="230"/>
      <c r="BL652" s="230"/>
      <c r="BM652" s="230"/>
      <c r="BN652" s="230"/>
      <c r="BO652" s="230"/>
      <c r="BP652" s="230"/>
      <c r="BQ652" s="230"/>
      <c r="BR652" s="234"/>
    </row>
    <row r="653" spans="1:71" ht="27" hidden="1" customHeight="1">
      <c r="A653" s="207">
        <v>649</v>
      </c>
      <c r="B653" s="197" t="s">
        <v>4396</v>
      </c>
      <c r="C653" s="207" t="s">
        <v>4427</v>
      </c>
      <c r="D653" s="207">
        <v>1</v>
      </c>
      <c r="E653" s="207" t="s">
        <v>4398</v>
      </c>
      <c r="F653" s="214" t="s">
        <v>7195</v>
      </c>
      <c r="G653" s="207" t="s">
        <v>4400</v>
      </c>
      <c r="H653" s="207" t="s">
        <v>4401</v>
      </c>
      <c r="I653" s="217" t="s">
        <v>4414</v>
      </c>
      <c r="J653" s="215" t="s">
        <v>7196</v>
      </c>
      <c r="K653" s="215" t="s">
        <v>7197</v>
      </c>
      <c r="L653" s="215" t="s">
        <v>7198</v>
      </c>
      <c r="M653" s="207" t="s">
        <v>4405</v>
      </c>
      <c r="N653" s="207" t="s">
        <v>4406</v>
      </c>
      <c r="O653" s="202">
        <v>46217</v>
      </c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  <c r="AA653" s="215" t="s">
        <v>7199</v>
      </c>
      <c r="AB653" s="215" t="s">
        <v>7200</v>
      </c>
      <c r="AC653" s="215" t="s">
        <v>7201</v>
      </c>
      <c r="AD653" s="217" t="s">
        <v>4421</v>
      </c>
      <c r="AE653" s="217" t="s">
        <v>4402</v>
      </c>
      <c r="AF653" s="218">
        <v>117246.92</v>
      </c>
      <c r="AG653" s="218">
        <v>117246.92</v>
      </c>
      <c r="AH653" s="207" t="s">
        <v>4422</v>
      </c>
      <c r="AI653" s="214" t="s">
        <v>4411</v>
      </c>
      <c r="AJ653" s="207">
        <v>151553351</v>
      </c>
      <c r="AK653" s="316">
        <v>46094</v>
      </c>
      <c r="AL653" s="316">
        <v>46094</v>
      </c>
      <c r="AM653" s="316">
        <v>46094</v>
      </c>
      <c r="AN653" s="316">
        <v>46094</v>
      </c>
      <c r="AO653" s="316">
        <v>46094</v>
      </c>
      <c r="AP653" s="316">
        <v>46094</v>
      </c>
      <c r="AQ653" s="314"/>
      <c r="AR653" s="315" t="str">
        <f t="shared" si="48"/>
        <v>FINALIZADO</v>
      </c>
      <c r="AS653" s="207" t="s">
        <v>4423</v>
      </c>
      <c r="AT653" s="219"/>
      <c r="AU653" s="225" t="s">
        <v>7202</v>
      </c>
      <c r="AV653" s="207" t="s">
        <v>4425</v>
      </c>
      <c r="AW653" s="207" t="s">
        <v>4425</v>
      </c>
      <c r="AX653" s="207" t="s">
        <v>4425</v>
      </c>
      <c r="AY653" s="207" t="s">
        <v>4425</v>
      </c>
      <c r="AZ653" s="202">
        <v>46170</v>
      </c>
      <c r="BA653" s="207" t="s">
        <v>4425</v>
      </c>
      <c r="BB653" s="207" t="s">
        <v>4425</v>
      </c>
      <c r="BC653" s="202">
        <v>46182</v>
      </c>
      <c r="BD653" s="227">
        <v>46179</v>
      </c>
      <c r="BE653" s="227" t="s">
        <v>4435</v>
      </c>
      <c r="BF653" s="228" t="s">
        <v>4436</v>
      </c>
      <c r="BG653" s="219" t="s">
        <v>4425</v>
      </c>
      <c r="BH653" s="321">
        <f t="shared" si="45"/>
        <v>85</v>
      </c>
      <c r="BI653" s="98" t="str">
        <f t="shared" si="46"/>
        <v>INDENIZAÇÃO</v>
      </c>
      <c r="BJ653" s="98" t="str">
        <f t="shared" si="47"/>
        <v>NÃO</v>
      </c>
      <c r="BK653" s="219" t="s">
        <v>4437</v>
      </c>
      <c r="BL653" s="219" t="s">
        <v>4437</v>
      </c>
      <c r="BM653" s="219" t="s">
        <v>4437</v>
      </c>
      <c r="BN653" s="265" t="s">
        <v>5732</v>
      </c>
      <c r="BO653" s="257"/>
      <c r="BP653" s="257"/>
      <c r="BQ653" s="257"/>
      <c r="BR653" s="258"/>
    </row>
    <row r="654" spans="1:71" ht="27" hidden="1" customHeight="1">
      <c r="A654" s="197">
        <v>650</v>
      </c>
      <c r="B654" s="197" t="s">
        <v>4396</v>
      </c>
      <c r="C654" s="207" t="s">
        <v>4427</v>
      </c>
      <c r="D654" s="207">
        <v>1</v>
      </c>
      <c r="E654" s="207" t="s">
        <v>4398</v>
      </c>
      <c r="F654" s="214" t="s">
        <v>7203</v>
      </c>
      <c r="G654" s="207" t="s">
        <v>4400</v>
      </c>
      <c r="H654" s="207" t="s">
        <v>4401</v>
      </c>
      <c r="I654" s="217" t="s">
        <v>4402</v>
      </c>
      <c r="J654" s="215" t="s">
        <v>7204</v>
      </c>
      <c r="K654" s="215" t="s">
        <v>7205</v>
      </c>
      <c r="L654" s="215" t="s">
        <v>7206</v>
      </c>
      <c r="M654" s="207" t="s">
        <v>4405</v>
      </c>
      <c r="N654" s="207" t="s">
        <v>4442</v>
      </c>
      <c r="O654" s="202" t="s">
        <v>4409</v>
      </c>
      <c r="P654" s="202" t="s">
        <v>4409</v>
      </c>
      <c r="Q654" s="202" t="s">
        <v>4409</v>
      </c>
      <c r="R654" s="202" t="s">
        <v>4409</v>
      </c>
      <c r="S654" s="202" t="s">
        <v>4409</v>
      </c>
      <c r="T654" s="202" t="s">
        <v>4409</v>
      </c>
      <c r="U654" s="202" t="s">
        <v>4409</v>
      </c>
      <c r="V654" s="202" t="s">
        <v>4409</v>
      </c>
      <c r="W654" s="202" t="s">
        <v>4409</v>
      </c>
      <c r="X654" s="202" t="s">
        <v>4409</v>
      </c>
      <c r="Y654" s="202"/>
      <c r="Z654" s="202"/>
      <c r="AA654" s="215" t="s">
        <v>7204</v>
      </c>
      <c r="AB654" s="215" t="s">
        <v>7205</v>
      </c>
      <c r="AC654" s="215" t="s">
        <v>7206</v>
      </c>
      <c r="AD654" s="197" t="s">
        <v>4402</v>
      </c>
      <c r="AE654" s="197" t="s">
        <v>4405</v>
      </c>
      <c r="AF654" s="243">
        <v>208913.76</v>
      </c>
      <c r="AG654" s="243">
        <v>208913.76</v>
      </c>
      <c r="AH654" s="197" t="s">
        <v>4422</v>
      </c>
      <c r="AI654" s="214" t="s">
        <v>4411</v>
      </c>
      <c r="AJ654" s="207">
        <v>153362453</v>
      </c>
      <c r="AK654" s="316">
        <v>46106</v>
      </c>
      <c r="AL654" s="316">
        <v>46106</v>
      </c>
      <c r="AM654" s="316">
        <v>46106</v>
      </c>
      <c r="AN654" s="316">
        <v>46106</v>
      </c>
      <c r="AO654" s="316">
        <v>46106</v>
      </c>
      <c r="AP654" s="316">
        <v>46106</v>
      </c>
      <c r="AQ654" s="314"/>
      <c r="AR654" s="315" t="str">
        <f t="shared" si="48"/>
        <v>FINALIZADO</v>
      </c>
      <c r="AS654" s="207" t="s">
        <v>4423</v>
      </c>
      <c r="AT654" s="207"/>
      <c r="AU654" s="225" t="s">
        <v>7207</v>
      </c>
      <c r="AV654" s="207" t="s">
        <v>4425</v>
      </c>
      <c r="AW654" s="207" t="s">
        <v>4425</v>
      </c>
      <c r="AX654" s="207" t="s">
        <v>4425</v>
      </c>
      <c r="AY654" s="207" t="s">
        <v>4425</v>
      </c>
      <c r="AZ654" s="202">
        <v>46153</v>
      </c>
      <c r="BA654" s="207" t="s">
        <v>4425</v>
      </c>
      <c r="BB654" s="207" t="s">
        <v>4425</v>
      </c>
      <c r="BC654" s="202">
        <v>46157</v>
      </c>
      <c r="BD654" s="227">
        <v>46157</v>
      </c>
      <c r="BE654" s="227" t="s">
        <v>4435</v>
      </c>
      <c r="BF654" s="245" t="s">
        <v>4436</v>
      </c>
      <c r="BG654" s="229" t="s">
        <v>4425</v>
      </c>
      <c r="BH654" s="321">
        <f t="shared" si="45"/>
        <v>51</v>
      </c>
      <c r="BI654" s="98" t="str">
        <f t="shared" si="46"/>
        <v>INDENIZAÇÃO</v>
      </c>
      <c r="BJ654" s="98" t="str">
        <f t="shared" si="47"/>
        <v>NÃO</v>
      </c>
      <c r="BK654" s="230" t="s">
        <v>4437</v>
      </c>
      <c r="BL654" s="230" t="s">
        <v>4437</v>
      </c>
      <c r="BM654" s="230" t="s">
        <v>4437</v>
      </c>
      <c r="BN654" s="265" t="s">
        <v>5732</v>
      </c>
      <c r="BO654" s="265"/>
      <c r="BP654" s="265"/>
      <c r="BQ654" s="265"/>
      <c r="BR654" s="231"/>
      <c r="BS654" s="223"/>
    </row>
    <row r="655" spans="1:71" ht="27" hidden="1" customHeight="1">
      <c r="A655" s="197">
        <v>651</v>
      </c>
      <c r="B655" s="197" t="s">
        <v>4396</v>
      </c>
      <c r="C655" s="207" t="s">
        <v>4427</v>
      </c>
      <c r="D655" s="207">
        <v>1</v>
      </c>
      <c r="E655" s="207" t="s">
        <v>4398</v>
      </c>
      <c r="F655" s="214" t="s">
        <v>7208</v>
      </c>
      <c r="G655" s="207" t="s">
        <v>4400</v>
      </c>
      <c r="H655" s="207" t="s">
        <v>4401</v>
      </c>
      <c r="I655" s="217" t="s">
        <v>4402</v>
      </c>
      <c r="J655" s="215" t="s">
        <v>7209</v>
      </c>
      <c r="K655" s="215" t="s">
        <v>7210</v>
      </c>
      <c r="L655" s="215" t="s">
        <v>7211</v>
      </c>
      <c r="M655" s="207" t="s">
        <v>4405</v>
      </c>
      <c r="N655" s="207" t="s">
        <v>4406</v>
      </c>
      <c r="O655" s="202">
        <v>46002</v>
      </c>
      <c r="P655" s="202" t="s">
        <v>4407</v>
      </c>
      <c r="Q655" s="202">
        <v>45999</v>
      </c>
      <c r="R655" s="202">
        <v>46006</v>
      </c>
      <c r="S655" s="202">
        <v>46006</v>
      </c>
      <c r="T655" s="202">
        <v>46009</v>
      </c>
      <c r="U655" s="202" t="s">
        <v>4408</v>
      </c>
      <c r="V655" s="202" t="s">
        <v>4408</v>
      </c>
      <c r="W655" s="202">
        <v>46014</v>
      </c>
      <c r="X655" s="202">
        <v>46020</v>
      </c>
      <c r="Y655" s="202"/>
      <c r="Z655" s="207"/>
      <c r="AA655" s="215" t="s">
        <v>7209</v>
      </c>
      <c r="AB655" s="215" t="s">
        <v>7210</v>
      </c>
      <c r="AC655" s="215" t="s">
        <v>7211</v>
      </c>
      <c r="AD655" s="197" t="s">
        <v>4402</v>
      </c>
      <c r="AE655" s="197" t="s">
        <v>4405</v>
      </c>
      <c r="AF655" s="218" t="s">
        <v>4409</v>
      </c>
      <c r="AG655" s="218" t="s">
        <v>4409</v>
      </c>
      <c r="AH655" s="197" t="s">
        <v>4410</v>
      </c>
      <c r="AI655" s="214" t="s">
        <v>4411</v>
      </c>
      <c r="AJ655" s="207"/>
      <c r="AK655" s="316">
        <v>45996</v>
      </c>
      <c r="AL655" s="316">
        <v>45996</v>
      </c>
      <c r="AM655" s="316">
        <v>45996</v>
      </c>
      <c r="AN655" s="316">
        <v>45996</v>
      </c>
      <c r="AO655" s="316">
        <v>45996</v>
      </c>
      <c r="AP655" s="316">
        <v>45996</v>
      </c>
      <c r="AQ655" s="314"/>
      <c r="AR655" s="315" t="str">
        <f t="shared" si="48"/>
        <v>FINALIZADO</v>
      </c>
      <c r="AS655" s="207"/>
      <c r="AT655" s="207"/>
      <c r="AU655" s="225"/>
      <c r="AV655" s="207"/>
      <c r="AW655" s="207"/>
      <c r="AX655" s="207"/>
      <c r="AY655" s="207"/>
      <c r="AZ655" s="202"/>
      <c r="BA655" s="219"/>
      <c r="BB655" s="207"/>
      <c r="BC655" s="202"/>
      <c r="BD655" s="208"/>
      <c r="BE655" s="202"/>
      <c r="BF655" s="207"/>
      <c r="BG655" s="229"/>
      <c r="BH655" s="321" t="str">
        <f t="shared" si="45"/>
        <v/>
      </c>
      <c r="BI655" s="98" t="str">
        <f t="shared" si="46"/>
        <v>AA</v>
      </c>
      <c r="BJ655" s="98" t="str">
        <f t="shared" si="47"/>
        <v>NÃO</v>
      </c>
      <c r="BK655" s="230"/>
      <c r="BL655" s="230"/>
      <c r="BM655" s="230"/>
      <c r="BN655" s="230"/>
      <c r="BO655" s="230"/>
      <c r="BP655" s="230"/>
      <c r="BQ655" s="230"/>
      <c r="BR655" s="234"/>
    </row>
    <row r="656" spans="1:71" ht="27" hidden="1" customHeight="1">
      <c r="A656" s="207">
        <v>652</v>
      </c>
      <c r="B656" s="197" t="s">
        <v>4396</v>
      </c>
      <c r="C656" s="207" t="s">
        <v>4427</v>
      </c>
      <c r="D656" s="207">
        <v>1</v>
      </c>
      <c r="E656" s="207" t="s">
        <v>4398</v>
      </c>
      <c r="F656" s="214" t="s">
        <v>7212</v>
      </c>
      <c r="G656" s="207" t="s">
        <v>4400</v>
      </c>
      <c r="H656" s="207" t="s">
        <v>4401</v>
      </c>
      <c r="I656" s="217" t="s">
        <v>4414</v>
      </c>
      <c r="J656" s="215" t="s">
        <v>7213</v>
      </c>
      <c r="K656" s="215" t="s">
        <v>6591</v>
      </c>
      <c r="L656" s="215" t="s">
        <v>7214</v>
      </c>
      <c r="M656" s="207" t="s">
        <v>4405</v>
      </c>
      <c r="N656" s="207" t="s">
        <v>4406</v>
      </c>
      <c r="O656" s="202">
        <v>46002</v>
      </c>
      <c r="P656" s="202" t="s">
        <v>4407</v>
      </c>
      <c r="Q656" s="202">
        <v>45999</v>
      </c>
      <c r="R656" s="202">
        <v>46006</v>
      </c>
      <c r="S656" s="202">
        <v>46006</v>
      </c>
      <c r="T656" s="202">
        <v>46009</v>
      </c>
      <c r="U656" s="202" t="s">
        <v>4408</v>
      </c>
      <c r="V656" s="202" t="s">
        <v>4408</v>
      </c>
      <c r="W656" s="202">
        <v>46014</v>
      </c>
      <c r="X656" s="202">
        <v>46020</v>
      </c>
      <c r="Y656" s="202"/>
      <c r="Z656" s="207"/>
      <c r="AA656" s="215" t="s">
        <v>7215</v>
      </c>
      <c r="AB656" s="215" t="s">
        <v>7216</v>
      </c>
      <c r="AC656" s="215" t="s">
        <v>7217</v>
      </c>
      <c r="AD656" s="217" t="s">
        <v>4421</v>
      </c>
      <c r="AE656" s="207" t="s">
        <v>4405</v>
      </c>
      <c r="AF656" s="218">
        <v>24631.83</v>
      </c>
      <c r="AG656" s="218">
        <v>24631.83</v>
      </c>
      <c r="AH656" s="207" t="s">
        <v>4433</v>
      </c>
      <c r="AI656" s="214" t="s">
        <v>4411</v>
      </c>
      <c r="AJ656" s="207">
        <v>150959722</v>
      </c>
      <c r="AK656" s="316">
        <v>46079</v>
      </c>
      <c r="AL656" s="316">
        <v>46079</v>
      </c>
      <c r="AM656" s="316">
        <v>46079</v>
      </c>
      <c r="AN656" s="316">
        <v>46079</v>
      </c>
      <c r="AO656" s="316">
        <v>46079</v>
      </c>
      <c r="AP656" s="316">
        <v>46079</v>
      </c>
      <c r="AQ656" s="314"/>
      <c r="AR656" s="315" t="str">
        <f t="shared" si="48"/>
        <v>FINALIZADO</v>
      </c>
      <c r="AS656" s="207" t="s">
        <v>4423</v>
      </c>
      <c r="AT656" s="207"/>
      <c r="AU656" s="225" t="s">
        <v>7218</v>
      </c>
      <c r="AV656" s="207" t="s">
        <v>4425</v>
      </c>
      <c r="AW656" s="207" t="s">
        <v>4425</v>
      </c>
      <c r="AX656" s="207" t="s">
        <v>4425</v>
      </c>
      <c r="AY656" s="207" t="s">
        <v>4425</v>
      </c>
      <c r="AZ656" s="202">
        <v>46170</v>
      </c>
      <c r="BA656" s="207" t="s">
        <v>4425</v>
      </c>
      <c r="BB656" s="207" t="s">
        <v>4425</v>
      </c>
      <c r="BC656" s="202">
        <v>46210</v>
      </c>
      <c r="BD656" s="227">
        <v>46210</v>
      </c>
      <c r="BE656" s="266" t="s">
        <v>4435</v>
      </c>
      <c r="BF656" s="228" t="s">
        <v>4436</v>
      </c>
      <c r="BG656" s="229" t="s">
        <v>4425</v>
      </c>
      <c r="BH656" s="321">
        <f t="shared" si="45"/>
        <v>131</v>
      </c>
      <c r="BI656" s="98" t="str">
        <f t="shared" si="46"/>
        <v>INDENIZAÇÃO</v>
      </c>
      <c r="BJ656" s="98" t="str">
        <f t="shared" si="47"/>
        <v>NÃO</v>
      </c>
      <c r="BK656" s="230" t="s">
        <v>4437</v>
      </c>
      <c r="BL656" s="230" t="s">
        <v>4437</v>
      </c>
      <c r="BM656" s="230" t="s">
        <v>4437</v>
      </c>
      <c r="BN656" s="265" t="s">
        <v>5732</v>
      </c>
      <c r="BO656" s="265"/>
      <c r="BP656" s="265"/>
      <c r="BQ656" s="265"/>
      <c r="BR656" s="231"/>
    </row>
    <row r="657" spans="1:74" ht="27" hidden="1" customHeight="1">
      <c r="A657" s="207">
        <v>653</v>
      </c>
      <c r="B657" s="197" t="s">
        <v>4396</v>
      </c>
      <c r="C657" s="207" t="s">
        <v>4427</v>
      </c>
      <c r="D657" s="207">
        <v>1</v>
      </c>
      <c r="E657" s="207" t="s">
        <v>4398</v>
      </c>
      <c r="F657" s="214" t="s">
        <v>7219</v>
      </c>
      <c r="G657" s="207" t="s">
        <v>4400</v>
      </c>
      <c r="H657" s="207" t="s">
        <v>4401</v>
      </c>
      <c r="I657" s="217" t="s">
        <v>4402</v>
      </c>
      <c r="J657" s="215" t="s">
        <v>7220</v>
      </c>
      <c r="K657" s="215" t="s">
        <v>7221</v>
      </c>
      <c r="L657" s="215" t="s">
        <v>7222</v>
      </c>
      <c r="M657" s="207" t="s">
        <v>4405</v>
      </c>
      <c r="N657" s="207" t="s">
        <v>4442</v>
      </c>
      <c r="O657" s="202" t="s">
        <v>4409</v>
      </c>
      <c r="P657" s="202" t="s">
        <v>4409</v>
      </c>
      <c r="Q657" s="202" t="s">
        <v>4409</v>
      </c>
      <c r="R657" s="202" t="s">
        <v>4409</v>
      </c>
      <c r="S657" s="202" t="s">
        <v>4409</v>
      </c>
      <c r="T657" s="202" t="s">
        <v>4409</v>
      </c>
      <c r="U657" s="202" t="s">
        <v>4409</v>
      </c>
      <c r="V657" s="202" t="s">
        <v>4409</v>
      </c>
      <c r="W657" s="202" t="s">
        <v>4409</v>
      </c>
      <c r="X657" s="202" t="s">
        <v>4409</v>
      </c>
      <c r="Y657" s="202"/>
      <c r="Z657" s="202"/>
      <c r="AA657" s="215" t="s">
        <v>7220</v>
      </c>
      <c r="AB657" s="215" t="s">
        <v>7221</v>
      </c>
      <c r="AC657" s="215" t="s">
        <v>7222</v>
      </c>
      <c r="AD657" s="207" t="s">
        <v>4402</v>
      </c>
      <c r="AE657" s="207" t="s">
        <v>4405</v>
      </c>
      <c r="AF657" s="218"/>
      <c r="AG657" s="218"/>
      <c r="AH657" s="207"/>
      <c r="AI657" s="214" t="s">
        <v>4411</v>
      </c>
      <c r="AJ657" s="207"/>
      <c r="AK657" s="316">
        <v>45996</v>
      </c>
      <c r="AL657" s="316">
        <v>45996</v>
      </c>
      <c r="AM657" s="316">
        <v>45996</v>
      </c>
      <c r="AN657" s="316">
        <v>45996</v>
      </c>
      <c r="AO657" s="316">
        <v>45996</v>
      </c>
      <c r="AP657" s="316">
        <v>45996</v>
      </c>
      <c r="AQ657" s="314"/>
      <c r="AR657" s="315" t="str">
        <f t="shared" si="48"/>
        <v>FINALIZADO</v>
      </c>
      <c r="AS657" s="207"/>
      <c r="AT657" s="207"/>
      <c r="AU657" s="225"/>
      <c r="AV657" s="207"/>
      <c r="AW657" s="207"/>
      <c r="AX657" s="207"/>
      <c r="AY657" s="197"/>
      <c r="AZ657" s="202"/>
      <c r="BA657" s="219"/>
      <c r="BB657" s="197"/>
      <c r="BC657" s="202"/>
      <c r="BD657" s="208"/>
      <c r="BE657" s="202"/>
      <c r="BF657" s="207"/>
      <c r="BG657" s="229"/>
      <c r="BH657" s="321" t="str">
        <f t="shared" si="45"/>
        <v/>
      </c>
      <c r="BI657" s="98" t="str">
        <f t="shared" si="46"/>
        <v>INDENIZAÇÃO</v>
      </c>
      <c r="BJ657" s="98" t="str">
        <f t="shared" si="47"/>
        <v>NÃO</v>
      </c>
      <c r="BK657" s="230"/>
      <c r="BL657" s="230"/>
      <c r="BM657" s="230"/>
      <c r="BN657" s="230"/>
      <c r="BO657" s="230"/>
      <c r="BP657" s="230"/>
      <c r="BQ657" s="230"/>
      <c r="BR657" s="234"/>
    </row>
    <row r="658" spans="1:74" ht="27" hidden="1" customHeight="1">
      <c r="A658" s="207">
        <v>654</v>
      </c>
      <c r="B658" s="197" t="s">
        <v>4396</v>
      </c>
      <c r="C658" s="207" t="s">
        <v>4427</v>
      </c>
      <c r="D658" s="207">
        <v>1</v>
      </c>
      <c r="E658" s="207" t="s">
        <v>4398</v>
      </c>
      <c r="F658" s="214" t="s">
        <v>7223</v>
      </c>
      <c r="G658" s="207" t="s">
        <v>4400</v>
      </c>
      <c r="H658" s="207" t="s">
        <v>4401</v>
      </c>
      <c r="I658" s="217" t="s">
        <v>4402</v>
      </c>
      <c r="J658" s="215" t="s">
        <v>7224</v>
      </c>
      <c r="K658" s="215" t="s">
        <v>7225</v>
      </c>
      <c r="L658" s="215" t="s">
        <v>7226</v>
      </c>
      <c r="M658" s="207" t="s">
        <v>4405</v>
      </c>
      <c r="N658" s="207" t="s">
        <v>4442</v>
      </c>
      <c r="O658" s="202" t="s">
        <v>4409</v>
      </c>
      <c r="P658" s="202" t="s">
        <v>4409</v>
      </c>
      <c r="Q658" s="202" t="s">
        <v>4409</v>
      </c>
      <c r="R658" s="202" t="s">
        <v>4409</v>
      </c>
      <c r="S658" s="202" t="s">
        <v>4409</v>
      </c>
      <c r="T658" s="202" t="s">
        <v>4409</v>
      </c>
      <c r="U658" s="202" t="s">
        <v>4409</v>
      </c>
      <c r="V658" s="202" t="s">
        <v>4409</v>
      </c>
      <c r="W658" s="202" t="s">
        <v>4409</v>
      </c>
      <c r="X658" s="202" t="s">
        <v>4409</v>
      </c>
      <c r="Y658" s="202"/>
      <c r="Z658" s="202"/>
      <c r="AA658" s="215" t="s">
        <v>7224</v>
      </c>
      <c r="AB658" s="215" t="s">
        <v>7225</v>
      </c>
      <c r="AC658" s="215" t="s">
        <v>7226</v>
      </c>
      <c r="AD658" s="207" t="s">
        <v>4402</v>
      </c>
      <c r="AE658" s="207" t="s">
        <v>4405</v>
      </c>
      <c r="AF658" s="218">
        <v>25529.98</v>
      </c>
      <c r="AG658" s="218">
        <f>AF658+30000</f>
        <v>55529.979999999996</v>
      </c>
      <c r="AH658" s="207" t="s">
        <v>4433</v>
      </c>
      <c r="AI658" s="214" t="s">
        <v>4411</v>
      </c>
      <c r="AJ658" s="207">
        <v>150614435</v>
      </c>
      <c r="AK658" s="316">
        <v>46002</v>
      </c>
      <c r="AL658" s="316">
        <v>46002</v>
      </c>
      <c r="AM658" s="316">
        <v>46002</v>
      </c>
      <c r="AN658" s="316">
        <v>46002</v>
      </c>
      <c r="AO658" s="316">
        <v>46002</v>
      </c>
      <c r="AP658" s="316">
        <v>46002</v>
      </c>
      <c r="AQ658" s="314"/>
      <c r="AR658" s="315" t="str">
        <f t="shared" si="48"/>
        <v>FINALIZADO</v>
      </c>
      <c r="AS658" s="207" t="s">
        <v>4423</v>
      </c>
      <c r="AT658" s="207"/>
      <c r="AU658" s="225" t="s">
        <v>7227</v>
      </c>
      <c r="AV658" s="207" t="s">
        <v>4425</v>
      </c>
      <c r="AW658" s="207" t="s">
        <v>4425</v>
      </c>
      <c r="AX658" s="207" t="s">
        <v>4425</v>
      </c>
      <c r="AY658" s="207" t="s">
        <v>4425</v>
      </c>
      <c r="AZ658" s="202">
        <v>46128</v>
      </c>
      <c r="BA658" s="207" t="s">
        <v>4425</v>
      </c>
      <c r="BB658" s="207" t="s">
        <v>4425</v>
      </c>
      <c r="BC658" s="202">
        <v>46139</v>
      </c>
      <c r="BD658" s="227">
        <v>46139</v>
      </c>
      <c r="BE658" s="227" t="s">
        <v>4435</v>
      </c>
      <c r="BF658" s="245" t="s">
        <v>4436</v>
      </c>
      <c r="BG658" s="229" t="s">
        <v>4425</v>
      </c>
      <c r="BH658" s="321">
        <f t="shared" si="45"/>
        <v>137</v>
      </c>
      <c r="BI658" s="98" t="str">
        <f t="shared" si="46"/>
        <v>INDENIZAÇÃO</v>
      </c>
      <c r="BJ658" s="98" t="str">
        <f t="shared" si="47"/>
        <v>NÃO</v>
      </c>
      <c r="BK658" s="219" t="s">
        <v>4437</v>
      </c>
      <c r="BL658" s="219" t="s">
        <v>4437</v>
      </c>
      <c r="BM658" s="219" t="s">
        <v>4437</v>
      </c>
      <c r="BN658" s="257" t="s">
        <v>5732</v>
      </c>
      <c r="BO658" s="257"/>
      <c r="BP658" s="257"/>
      <c r="BQ658" s="257"/>
      <c r="BR658" s="258"/>
      <c r="BS658" s="223"/>
    </row>
    <row r="659" spans="1:74" ht="27" hidden="1" customHeight="1">
      <c r="A659" s="197">
        <v>655</v>
      </c>
      <c r="B659" s="197" t="s">
        <v>4396</v>
      </c>
      <c r="C659" s="207" t="s">
        <v>4427</v>
      </c>
      <c r="D659" s="207">
        <v>1</v>
      </c>
      <c r="E659" s="207" t="s">
        <v>4398</v>
      </c>
      <c r="F659" s="214" t="s">
        <v>7228</v>
      </c>
      <c r="G659" s="207" t="s">
        <v>4400</v>
      </c>
      <c r="H659" s="207" t="s">
        <v>4401</v>
      </c>
      <c r="I659" s="217" t="s">
        <v>4402</v>
      </c>
      <c r="J659" s="215" t="s">
        <v>7229</v>
      </c>
      <c r="K659" s="215" t="s">
        <v>7230</v>
      </c>
      <c r="L659" s="215" t="s">
        <v>7231</v>
      </c>
      <c r="M659" s="207" t="s">
        <v>4405</v>
      </c>
      <c r="N659" s="207" t="s">
        <v>4442</v>
      </c>
      <c r="O659" s="202" t="s">
        <v>4409</v>
      </c>
      <c r="P659" s="202" t="s">
        <v>4409</v>
      </c>
      <c r="Q659" s="202" t="s">
        <v>4409</v>
      </c>
      <c r="R659" s="202" t="s">
        <v>4409</v>
      </c>
      <c r="S659" s="202" t="s">
        <v>4409</v>
      </c>
      <c r="T659" s="202" t="s">
        <v>4409</v>
      </c>
      <c r="U659" s="202" t="s">
        <v>4409</v>
      </c>
      <c r="V659" s="202" t="s">
        <v>4409</v>
      </c>
      <c r="W659" s="202" t="s">
        <v>4409</v>
      </c>
      <c r="X659" s="202" t="s">
        <v>4409</v>
      </c>
      <c r="Y659" s="202"/>
      <c r="Z659" s="202"/>
      <c r="AA659" s="215" t="s">
        <v>7229</v>
      </c>
      <c r="AB659" s="215" t="s">
        <v>7230</v>
      </c>
      <c r="AC659" s="215" t="s">
        <v>7231</v>
      </c>
      <c r="AD659" s="207" t="s">
        <v>4402</v>
      </c>
      <c r="AE659" s="207" t="s">
        <v>4405</v>
      </c>
      <c r="AF659" s="218">
        <v>1249.72</v>
      </c>
      <c r="AG659" s="218">
        <f>AF659+30000</f>
        <v>31249.72</v>
      </c>
      <c r="AH659" s="207" t="s">
        <v>4433</v>
      </c>
      <c r="AI659" s="214" t="s">
        <v>4411</v>
      </c>
      <c r="AJ659" s="207">
        <v>148267354</v>
      </c>
      <c r="AK659" s="316">
        <v>46045</v>
      </c>
      <c r="AL659" s="316">
        <v>46045</v>
      </c>
      <c r="AM659" s="316">
        <v>46045</v>
      </c>
      <c r="AN659" s="316">
        <v>46045</v>
      </c>
      <c r="AO659" s="316">
        <v>46045</v>
      </c>
      <c r="AP659" s="316">
        <v>46045</v>
      </c>
      <c r="AQ659" s="314"/>
      <c r="AR659" s="315" t="str">
        <f t="shared" si="48"/>
        <v>FINALIZADO</v>
      </c>
      <c r="AS659" s="207" t="s">
        <v>4423</v>
      </c>
      <c r="AT659" s="207"/>
      <c r="AU659" s="225" t="s">
        <v>7232</v>
      </c>
      <c r="AV659" s="207" t="s">
        <v>4425</v>
      </c>
      <c r="AW659" s="207" t="s">
        <v>4425</v>
      </c>
      <c r="AX659" s="207" t="s">
        <v>4425</v>
      </c>
      <c r="AY659" s="207" t="s">
        <v>4425</v>
      </c>
      <c r="AZ659" s="202">
        <v>46084</v>
      </c>
      <c r="BA659" s="219" t="s">
        <v>4425</v>
      </c>
      <c r="BB659" s="219" t="s">
        <v>4425</v>
      </c>
      <c r="BC659" s="239">
        <v>46092</v>
      </c>
      <c r="BD659" s="226">
        <v>46092</v>
      </c>
      <c r="BE659" s="226" t="s">
        <v>4435</v>
      </c>
      <c r="BF659" s="245" t="s">
        <v>4436</v>
      </c>
      <c r="BG659" s="229" t="s">
        <v>4425</v>
      </c>
      <c r="BH659" s="321">
        <f t="shared" si="45"/>
        <v>47</v>
      </c>
      <c r="BI659" s="98" t="str">
        <f t="shared" si="46"/>
        <v>INDENIZAÇÃO</v>
      </c>
      <c r="BJ659" s="98" t="str">
        <f t="shared" si="47"/>
        <v>NÃO</v>
      </c>
      <c r="BK659" s="230" t="s">
        <v>4437</v>
      </c>
      <c r="BL659" s="230" t="s">
        <v>4437</v>
      </c>
      <c r="BM659" s="230" t="s">
        <v>4437</v>
      </c>
      <c r="BN659" s="265" t="s">
        <v>5732</v>
      </c>
      <c r="BO659" s="265"/>
      <c r="BP659" s="265"/>
      <c r="BQ659" s="265"/>
      <c r="BR659" s="231"/>
      <c r="BS659" s="223"/>
    </row>
    <row r="660" spans="1:74" ht="27" hidden="1" customHeight="1">
      <c r="A660" s="197">
        <v>656</v>
      </c>
      <c r="B660" s="197" t="s">
        <v>4396</v>
      </c>
      <c r="C660" s="207" t="s">
        <v>4427</v>
      </c>
      <c r="D660" s="207">
        <v>1</v>
      </c>
      <c r="E660" s="207" t="s">
        <v>4398</v>
      </c>
      <c r="F660" s="214" t="s">
        <v>7233</v>
      </c>
      <c r="G660" s="207" t="s">
        <v>4400</v>
      </c>
      <c r="H660" s="207" t="s">
        <v>4401</v>
      </c>
      <c r="I660" s="217" t="s">
        <v>4402</v>
      </c>
      <c r="J660" s="242" t="s">
        <v>7234</v>
      </c>
      <c r="K660" s="215" t="s">
        <v>7235</v>
      </c>
      <c r="L660" s="215" t="s">
        <v>7236</v>
      </c>
      <c r="M660" s="207" t="s">
        <v>4405</v>
      </c>
      <c r="N660" s="207" t="s">
        <v>4406</v>
      </c>
      <c r="O660" s="203">
        <v>46090</v>
      </c>
      <c r="P660" s="202" t="s">
        <v>4407</v>
      </c>
      <c r="Q660" s="202">
        <v>46090</v>
      </c>
      <c r="R660" s="202">
        <v>46099</v>
      </c>
      <c r="S660" s="202">
        <v>46101</v>
      </c>
      <c r="T660" s="202">
        <v>46118</v>
      </c>
      <c r="U660" s="202" t="s">
        <v>4408</v>
      </c>
      <c r="V660" s="202" t="s">
        <v>4408</v>
      </c>
      <c r="W660" s="202">
        <v>46118</v>
      </c>
      <c r="X660" s="202">
        <v>46140</v>
      </c>
      <c r="Y660" s="202"/>
      <c r="Z660" s="207"/>
      <c r="AA660" s="242" t="s">
        <v>7234</v>
      </c>
      <c r="AB660" s="215" t="s">
        <v>7235</v>
      </c>
      <c r="AC660" s="215" t="s">
        <v>7236</v>
      </c>
      <c r="AD660" s="197" t="s">
        <v>4402</v>
      </c>
      <c r="AE660" s="197" t="s">
        <v>4405</v>
      </c>
      <c r="AF660" s="218" t="s">
        <v>4409</v>
      </c>
      <c r="AG660" s="218" t="s">
        <v>4409</v>
      </c>
      <c r="AH660" s="207" t="s">
        <v>4410</v>
      </c>
      <c r="AI660" s="214" t="s">
        <v>4411</v>
      </c>
      <c r="AJ660" s="207"/>
      <c r="AK660" s="316">
        <v>46091</v>
      </c>
      <c r="AL660" s="316">
        <v>46091</v>
      </c>
      <c r="AM660" s="316">
        <v>46091</v>
      </c>
      <c r="AN660" s="316">
        <v>46091</v>
      </c>
      <c r="AO660" s="316">
        <v>46091</v>
      </c>
      <c r="AP660" s="316">
        <v>46091</v>
      </c>
      <c r="AQ660" s="314"/>
      <c r="AR660" s="315" t="str">
        <f t="shared" si="48"/>
        <v>FINALIZADO</v>
      </c>
      <c r="AS660" s="207"/>
      <c r="AT660" s="207"/>
      <c r="AU660" s="225"/>
      <c r="AV660" s="207"/>
      <c r="AW660" s="207"/>
      <c r="AX660" s="207"/>
      <c r="AY660" s="207"/>
      <c r="AZ660" s="202"/>
      <c r="BA660" s="207"/>
      <c r="BB660" s="207"/>
      <c r="BC660" s="202"/>
      <c r="BD660" s="208"/>
      <c r="BE660" s="202"/>
      <c r="BF660" s="207"/>
      <c r="BG660" s="229"/>
      <c r="BH660" s="321" t="str">
        <f t="shared" si="45"/>
        <v/>
      </c>
      <c r="BI660" s="98" t="str">
        <f t="shared" si="46"/>
        <v>AA</v>
      </c>
      <c r="BJ660" s="98" t="str">
        <f t="shared" si="47"/>
        <v>NÃO</v>
      </c>
      <c r="BK660" s="230"/>
      <c r="BL660" s="230"/>
      <c r="BM660" s="230"/>
      <c r="BN660" s="230"/>
      <c r="BO660" s="230"/>
      <c r="BP660" s="230"/>
      <c r="BQ660" s="230"/>
      <c r="BR660" s="234"/>
    </row>
    <row r="661" spans="1:74" ht="27" hidden="1" customHeight="1">
      <c r="A661" s="207">
        <v>657</v>
      </c>
      <c r="B661" s="197" t="s">
        <v>4396</v>
      </c>
      <c r="C661" s="207" t="s">
        <v>4427</v>
      </c>
      <c r="D661" s="207">
        <v>1</v>
      </c>
      <c r="E661" s="207" t="s">
        <v>4398</v>
      </c>
      <c r="F661" s="214" t="s">
        <v>7237</v>
      </c>
      <c r="G661" s="207" t="s">
        <v>4400</v>
      </c>
      <c r="H661" s="207" t="s">
        <v>4401</v>
      </c>
      <c r="I661" s="217" t="s">
        <v>4402</v>
      </c>
      <c r="J661" s="242" t="s">
        <v>7238</v>
      </c>
      <c r="K661" s="215" t="s">
        <v>7239</v>
      </c>
      <c r="L661" s="215" t="s">
        <v>7240</v>
      </c>
      <c r="M661" s="207" t="s">
        <v>4405</v>
      </c>
      <c r="N661" s="207" t="s">
        <v>4406</v>
      </c>
      <c r="O661" s="203">
        <v>46090</v>
      </c>
      <c r="P661" s="202" t="s">
        <v>4407</v>
      </c>
      <c r="Q661" s="202">
        <v>46090</v>
      </c>
      <c r="R661" s="202">
        <v>46099</v>
      </c>
      <c r="S661" s="202">
        <v>46101</v>
      </c>
      <c r="T661" s="202">
        <v>46118</v>
      </c>
      <c r="U661" s="202" t="s">
        <v>4408</v>
      </c>
      <c r="V661" s="202" t="s">
        <v>4408</v>
      </c>
      <c r="W661" s="202">
        <v>46118</v>
      </c>
      <c r="X661" s="202">
        <v>46140</v>
      </c>
      <c r="Y661" s="202"/>
      <c r="Z661" s="207"/>
      <c r="AA661" s="242" t="s">
        <v>7238</v>
      </c>
      <c r="AB661" s="215" t="s">
        <v>7239</v>
      </c>
      <c r="AC661" s="215" t="s">
        <v>7240</v>
      </c>
      <c r="AD661" s="197" t="s">
        <v>4402</v>
      </c>
      <c r="AE661" s="197" t="s">
        <v>4405</v>
      </c>
      <c r="AF661" s="218" t="s">
        <v>4409</v>
      </c>
      <c r="AG661" s="218" t="s">
        <v>4409</v>
      </c>
      <c r="AH661" s="207" t="s">
        <v>4410</v>
      </c>
      <c r="AI661" s="214" t="s">
        <v>4411</v>
      </c>
      <c r="AJ661" s="207"/>
      <c r="AK661" s="316">
        <v>46091</v>
      </c>
      <c r="AL661" s="316">
        <v>46091</v>
      </c>
      <c r="AM661" s="316">
        <v>46091</v>
      </c>
      <c r="AN661" s="316">
        <v>46091</v>
      </c>
      <c r="AO661" s="316">
        <v>46091</v>
      </c>
      <c r="AP661" s="316">
        <v>46091</v>
      </c>
      <c r="AQ661" s="314"/>
      <c r="AR661" s="315" t="str">
        <f t="shared" si="48"/>
        <v>FINALIZADO</v>
      </c>
      <c r="AS661" s="207"/>
      <c r="AT661" s="207"/>
      <c r="AU661" s="225"/>
      <c r="AV661" s="207"/>
      <c r="AW661" s="207"/>
      <c r="AX661" s="207"/>
      <c r="AY661" s="207"/>
      <c r="AZ661" s="202"/>
      <c r="BA661" s="207"/>
      <c r="BB661" s="207"/>
      <c r="BC661" s="202"/>
      <c r="BD661" s="208"/>
      <c r="BE661" s="202"/>
      <c r="BF661" s="207"/>
      <c r="BG661" s="229"/>
      <c r="BH661" s="321" t="str">
        <f t="shared" si="45"/>
        <v/>
      </c>
      <c r="BI661" s="98" t="str">
        <f t="shared" si="46"/>
        <v>AA</v>
      </c>
      <c r="BJ661" s="98" t="str">
        <f t="shared" si="47"/>
        <v>NÃO</v>
      </c>
      <c r="BK661" s="230"/>
      <c r="BL661" s="230"/>
      <c r="BM661" s="230"/>
      <c r="BN661" s="230"/>
      <c r="BO661" s="230"/>
      <c r="BP661" s="230"/>
      <c r="BQ661" s="230"/>
      <c r="BR661" s="234"/>
    </row>
    <row r="662" spans="1:74" ht="27" hidden="1" customHeight="1">
      <c r="A662" s="207">
        <v>658</v>
      </c>
      <c r="B662" s="197" t="s">
        <v>4396</v>
      </c>
      <c r="C662" s="207" t="s">
        <v>4427</v>
      </c>
      <c r="D662" s="207">
        <v>1</v>
      </c>
      <c r="E662" s="207" t="s">
        <v>4398</v>
      </c>
      <c r="F662" s="214" t="s">
        <v>7241</v>
      </c>
      <c r="G662" s="207" t="s">
        <v>4400</v>
      </c>
      <c r="H662" s="207" t="s">
        <v>4401</v>
      </c>
      <c r="I662" s="217" t="s">
        <v>4402</v>
      </c>
      <c r="J662" s="215" t="s">
        <v>7242</v>
      </c>
      <c r="K662" s="215" t="s">
        <v>4440</v>
      </c>
      <c r="L662" s="215" t="s">
        <v>7243</v>
      </c>
      <c r="M662" s="207" t="s">
        <v>4405</v>
      </c>
      <c r="N662" s="207" t="s">
        <v>4442</v>
      </c>
      <c r="O662" s="202" t="s">
        <v>4409</v>
      </c>
      <c r="P662" s="202" t="s">
        <v>4409</v>
      </c>
      <c r="Q662" s="202" t="s">
        <v>4409</v>
      </c>
      <c r="R662" s="202" t="s">
        <v>4409</v>
      </c>
      <c r="S662" s="202" t="s">
        <v>4409</v>
      </c>
      <c r="T662" s="202" t="s">
        <v>4409</v>
      </c>
      <c r="U662" s="202" t="s">
        <v>4409</v>
      </c>
      <c r="V662" s="202" t="s">
        <v>4409</v>
      </c>
      <c r="W662" s="202" t="s">
        <v>4409</v>
      </c>
      <c r="X662" s="202" t="s">
        <v>4409</v>
      </c>
      <c r="Y662" s="202"/>
      <c r="Z662" s="202"/>
      <c r="AA662" s="215" t="s">
        <v>7242</v>
      </c>
      <c r="AB662" s="215" t="s">
        <v>4440</v>
      </c>
      <c r="AC662" s="215" t="s">
        <v>7243</v>
      </c>
      <c r="AD662" s="207" t="s">
        <v>5217</v>
      </c>
      <c r="AE662" s="207" t="s">
        <v>4405</v>
      </c>
      <c r="AF662" s="218">
        <v>25139.25</v>
      </c>
      <c r="AG662" s="218">
        <v>55139.25</v>
      </c>
      <c r="AH662" s="207" t="s">
        <v>4433</v>
      </c>
      <c r="AI662" s="214" t="s">
        <v>4411</v>
      </c>
      <c r="AJ662" s="207">
        <v>158037926</v>
      </c>
      <c r="AK662" s="316"/>
      <c r="AL662" s="316"/>
      <c r="AM662" s="316"/>
      <c r="AN662" s="316"/>
      <c r="AO662" s="316"/>
      <c r="AP662" s="316"/>
      <c r="AQ662" s="314"/>
      <c r="AR662" s="315" t="str">
        <f t="shared" si="48"/>
        <v/>
      </c>
      <c r="AS662" s="207"/>
      <c r="AT662" s="296"/>
      <c r="AU662" s="225"/>
      <c r="AV662" s="207"/>
      <c r="AW662" s="207"/>
      <c r="AX662" s="207"/>
      <c r="AY662" s="207"/>
      <c r="AZ662" s="202"/>
      <c r="BA662" s="219"/>
      <c r="BB662" s="219"/>
      <c r="BC662" s="239"/>
      <c r="BD662" s="208"/>
      <c r="BE662" s="226"/>
      <c r="BF662" s="228"/>
      <c r="BG662" s="229"/>
      <c r="BH662" s="321" t="str">
        <f t="shared" si="45"/>
        <v/>
      </c>
      <c r="BI662" s="98" t="str">
        <f t="shared" si="46"/>
        <v>INDENIZAÇÃO</v>
      </c>
      <c r="BJ662" s="98" t="str">
        <f t="shared" si="47"/>
        <v>NÃO</v>
      </c>
      <c r="BK662" s="230"/>
      <c r="BL662" s="230"/>
      <c r="BM662" s="230"/>
      <c r="BN662" s="265"/>
      <c r="BO662" s="265"/>
      <c r="BP662" s="265"/>
      <c r="BQ662" s="265"/>
      <c r="BR662" s="231"/>
      <c r="BS662" s="240"/>
      <c r="BT662" s="240"/>
      <c r="BU662" s="240"/>
      <c r="BV662" s="240"/>
    </row>
    <row r="663" spans="1:74" ht="27" hidden="1" customHeight="1">
      <c r="A663" s="207">
        <v>659</v>
      </c>
      <c r="B663" s="197" t="s">
        <v>4396</v>
      </c>
      <c r="C663" s="207" t="s">
        <v>4427</v>
      </c>
      <c r="D663" s="207">
        <v>1</v>
      </c>
      <c r="E663" s="207" t="s">
        <v>4398</v>
      </c>
      <c r="F663" s="214" t="s">
        <v>7244</v>
      </c>
      <c r="G663" s="207" t="s">
        <v>4400</v>
      </c>
      <c r="H663" s="207" t="s">
        <v>4401</v>
      </c>
      <c r="I663" s="217" t="s">
        <v>4414</v>
      </c>
      <c r="J663" s="215" t="s">
        <v>7245</v>
      </c>
      <c r="K663" s="215" t="s">
        <v>7246</v>
      </c>
      <c r="L663" s="215" t="s">
        <v>7247</v>
      </c>
      <c r="M663" s="207" t="s">
        <v>4405</v>
      </c>
      <c r="N663" s="207" t="s">
        <v>4406</v>
      </c>
      <c r="O663" s="202">
        <v>46058</v>
      </c>
      <c r="P663" s="203" t="s">
        <v>4407</v>
      </c>
      <c r="Q663" s="202">
        <v>46058</v>
      </c>
      <c r="R663" s="202">
        <v>46058</v>
      </c>
      <c r="S663" s="202">
        <v>46059</v>
      </c>
      <c r="T663" s="202">
        <v>46063</v>
      </c>
      <c r="U663" s="202" t="s">
        <v>4408</v>
      </c>
      <c r="V663" s="202" t="s">
        <v>4408</v>
      </c>
      <c r="W663" s="203">
        <v>46073</v>
      </c>
      <c r="X663" s="202" t="s">
        <v>4440</v>
      </c>
      <c r="Y663" s="202"/>
      <c r="Z663" s="207" t="s">
        <v>6214</v>
      </c>
      <c r="AA663" s="215" t="s">
        <v>7248</v>
      </c>
      <c r="AB663" s="215" t="s">
        <v>7249</v>
      </c>
      <c r="AC663" s="215" t="s">
        <v>7250</v>
      </c>
      <c r="AD663" s="217" t="s">
        <v>4421</v>
      </c>
      <c r="AE663" s="207" t="s">
        <v>4405</v>
      </c>
      <c r="AF663" s="218">
        <v>12254.75</v>
      </c>
      <c r="AG663" s="218">
        <v>12254.75</v>
      </c>
      <c r="AH663" s="207" t="s">
        <v>4433</v>
      </c>
      <c r="AI663" s="214" t="s">
        <v>4411</v>
      </c>
      <c r="AJ663" s="207">
        <v>154260453</v>
      </c>
      <c r="AK663" s="316">
        <v>46093</v>
      </c>
      <c r="AL663" s="316">
        <v>46093</v>
      </c>
      <c r="AM663" s="316">
        <v>46093</v>
      </c>
      <c r="AN663" s="316">
        <v>46093</v>
      </c>
      <c r="AO663" s="316">
        <v>46093</v>
      </c>
      <c r="AP663" s="316">
        <v>46093</v>
      </c>
      <c r="AQ663" s="314"/>
      <c r="AR663" s="315" t="str">
        <f t="shared" si="48"/>
        <v>FINALIZADO</v>
      </c>
      <c r="AS663" s="207" t="s">
        <v>4423</v>
      </c>
      <c r="AT663" s="207"/>
      <c r="AU663" s="225" t="s">
        <v>7251</v>
      </c>
      <c r="AV663" s="207" t="s">
        <v>4425</v>
      </c>
      <c r="AW663" s="207" t="s">
        <v>4425</v>
      </c>
      <c r="AX663" s="207" t="s">
        <v>4425</v>
      </c>
      <c r="AY663" s="207" t="s">
        <v>4425</v>
      </c>
      <c r="AZ663" s="202">
        <v>46170</v>
      </c>
      <c r="BA663" s="207" t="s">
        <v>4425</v>
      </c>
      <c r="BB663" s="207" t="s">
        <v>4425</v>
      </c>
      <c r="BC663" s="202">
        <v>46182</v>
      </c>
      <c r="BD663" s="227">
        <v>46182</v>
      </c>
      <c r="BE663" s="227" t="s">
        <v>4435</v>
      </c>
      <c r="BF663" s="228" t="s">
        <v>4436</v>
      </c>
      <c r="BG663" s="229" t="s">
        <v>4425</v>
      </c>
      <c r="BH663" s="321">
        <f t="shared" si="45"/>
        <v>89</v>
      </c>
      <c r="BI663" s="98" t="str">
        <f t="shared" si="46"/>
        <v>INDENIZAÇÃO</v>
      </c>
      <c r="BJ663" s="98" t="str">
        <f t="shared" si="47"/>
        <v>NÃO</v>
      </c>
      <c r="BK663" s="230" t="s">
        <v>4437</v>
      </c>
      <c r="BL663" s="230" t="s">
        <v>4437</v>
      </c>
      <c r="BM663" s="230" t="s">
        <v>4437</v>
      </c>
      <c r="BN663" s="265" t="s">
        <v>5732</v>
      </c>
      <c r="BO663" s="265"/>
      <c r="BP663" s="265"/>
      <c r="BQ663" s="265"/>
      <c r="BR663" s="231"/>
      <c r="BS663" s="240"/>
      <c r="BT663" s="240"/>
      <c r="BU663" s="240"/>
      <c r="BV663" s="240"/>
    </row>
    <row r="664" spans="1:74" ht="27" hidden="1" customHeight="1">
      <c r="A664" s="197">
        <v>660</v>
      </c>
      <c r="B664" s="197" t="s">
        <v>4396</v>
      </c>
      <c r="C664" s="207" t="s">
        <v>4427</v>
      </c>
      <c r="D664" s="207">
        <v>1</v>
      </c>
      <c r="E664" s="207" t="s">
        <v>4398</v>
      </c>
      <c r="F664" s="214" t="s">
        <v>7252</v>
      </c>
      <c r="G664" s="207" t="s">
        <v>4400</v>
      </c>
      <c r="H664" s="207" t="s">
        <v>4401</v>
      </c>
      <c r="I664" s="217" t="s">
        <v>4402</v>
      </c>
      <c r="J664" s="215" t="s">
        <v>7253</v>
      </c>
      <c r="K664" s="215" t="s">
        <v>7254</v>
      </c>
      <c r="L664" s="215" t="s">
        <v>7255</v>
      </c>
      <c r="M664" s="207" t="s">
        <v>4405</v>
      </c>
      <c r="N664" s="207" t="s">
        <v>4406</v>
      </c>
      <c r="O664" s="202">
        <v>45986</v>
      </c>
      <c r="P664" s="203" t="s">
        <v>4407</v>
      </c>
      <c r="Q664" s="203">
        <v>45985</v>
      </c>
      <c r="R664" s="203">
        <v>45986</v>
      </c>
      <c r="S664" s="203">
        <v>45987</v>
      </c>
      <c r="T664" s="203">
        <v>45992</v>
      </c>
      <c r="U664" s="202" t="s">
        <v>4408</v>
      </c>
      <c r="V664" s="202" t="s">
        <v>4408</v>
      </c>
      <c r="W664" s="202">
        <v>45999</v>
      </c>
      <c r="X664" s="202">
        <v>46000</v>
      </c>
      <c r="Y664" s="202"/>
      <c r="Z664" s="207"/>
      <c r="AA664" s="215" t="s">
        <v>7253</v>
      </c>
      <c r="AB664" s="215" t="s">
        <v>7254</v>
      </c>
      <c r="AC664" s="215" t="s">
        <v>7255</v>
      </c>
      <c r="AD664" s="207" t="s">
        <v>4402</v>
      </c>
      <c r="AE664" s="207" t="s">
        <v>4405</v>
      </c>
      <c r="AF664" s="218" t="s">
        <v>4409</v>
      </c>
      <c r="AG664" s="218" t="s">
        <v>4409</v>
      </c>
      <c r="AH664" s="241" t="s">
        <v>4410</v>
      </c>
      <c r="AI664" s="214" t="s">
        <v>4411</v>
      </c>
      <c r="AJ664" s="207"/>
      <c r="AK664" s="316">
        <v>45980</v>
      </c>
      <c r="AL664" s="316">
        <v>45980</v>
      </c>
      <c r="AM664" s="316">
        <v>45980</v>
      </c>
      <c r="AN664" s="316">
        <v>45980</v>
      </c>
      <c r="AO664" s="316">
        <v>45980</v>
      </c>
      <c r="AP664" s="316">
        <v>45980</v>
      </c>
      <c r="AQ664" s="314"/>
      <c r="AR664" s="315" t="str">
        <f t="shared" si="48"/>
        <v>FINALIZADO</v>
      </c>
      <c r="AS664" s="207"/>
      <c r="AT664" s="207"/>
      <c r="AU664" s="225"/>
      <c r="AV664" s="207"/>
      <c r="AW664" s="207"/>
      <c r="AX664" s="207" t="s">
        <v>4409</v>
      </c>
      <c r="AY664" s="207" t="s">
        <v>4409</v>
      </c>
      <c r="AZ664" s="207" t="s">
        <v>4409</v>
      </c>
      <c r="BA664" s="207" t="s">
        <v>4409</v>
      </c>
      <c r="BB664" s="207"/>
      <c r="BC664" s="202"/>
      <c r="BD664" s="208"/>
      <c r="BE664" s="202"/>
      <c r="BF664" s="207"/>
      <c r="BG664" s="229"/>
      <c r="BH664" s="321" t="str">
        <f t="shared" si="45"/>
        <v/>
      </c>
      <c r="BI664" s="98" t="str">
        <f t="shared" si="46"/>
        <v>AA</v>
      </c>
      <c r="BJ664" s="98" t="str">
        <f t="shared" si="47"/>
        <v>NÃO</v>
      </c>
      <c r="BK664" s="230"/>
      <c r="BL664" s="230"/>
      <c r="BM664" s="230"/>
      <c r="BN664" s="230"/>
      <c r="BO664" s="230"/>
      <c r="BP664" s="230"/>
      <c r="BQ664" s="230"/>
      <c r="BR664" s="234"/>
    </row>
    <row r="665" spans="1:74" ht="27" hidden="1" customHeight="1">
      <c r="A665" s="197">
        <v>661</v>
      </c>
      <c r="B665" s="197" t="s">
        <v>4396</v>
      </c>
      <c r="C665" s="207" t="s">
        <v>4427</v>
      </c>
      <c r="D665" s="207">
        <v>1</v>
      </c>
      <c r="E665" s="207" t="s">
        <v>4398</v>
      </c>
      <c r="F665" s="214" t="s">
        <v>7256</v>
      </c>
      <c r="G665" s="207" t="s">
        <v>4400</v>
      </c>
      <c r="H665" s="207" t="s">
        <v>4401</v>
      </c>
      <c r="I665" s="217" t="s">
        <v>4402</v>
      </c>
      <c r="J665" s="215" t="s">
        <v>7257</v>
      </c>
      <c r="K665" s="215" t="s">
        <v>7258</v>
      </c>
      <c r="L665" s="215" t="s">
        <v>7259</v>
      </c>
      <c r="M665" s="207" t="s">
        <v>4405</v>
      </c>
      <c r="N665" s="207" t="s">
        <v>4406</v>
      </c>
      <c r="O665" s="202">
        <v>46002</v>
      </c>
      <c r="P665" s="202" t="s">
        <v>4407</v>
      </c>
      <c r="Q665" s="202">
        <v>45999</v>
      </c>
      <c r="R665" s="202">
        <v>46006</v>
      </c>
      <c r="S665" s="202">
        <v>46006</v>
      </c>
      <c r="T665" s="202">
        <v>46009</v>
      </c>
      <c r="U665" s="202" t="s">
        <v>4408</v>
      </c>
      <c r="V665" s="202" t="s">
        <v>4408</v>
      </c>
      <c r="W665" s="202">
        <v>46014</v>
      </c>
      <c r="X665" s="202">
        <v>46020</v>
      </c>
      <c r="Y665" s="202"/>
      <c r="Z665" s="207"/>
      <c r="AA665" s="215" t="s">
        <v>7257</v>
      </c>
      <c r="AB665" s="215" t="s">
        <v>7258</v>
      </c>
      <c r="AC665" s="215" t="s">
        <v>7259</v>
      </c>
      <c r="AD665" s="207" t="s">
        <v>4402</v>
      </c>
      <c r="AE665" s="207" t="s">
        <v>4405</v>
      </c>
      <c r="AF665" s="218" t="s">
        <v>4409</v>
      </c>
      <c r="AG665" s="218" t="s">
        <v>4409</v>
      </c>
      <c r="AH665" s="197" t="s">
        <v>4410</v>
      </c>
      <c r="AI665" s="214" t="s">
        <v>4411</v>
      </c>
      <c r="AJ665" s="207"/>
      <c r="AK665" s="316">
        <v>45988</v>
      </c>
      <c r="AL665" s="316">
        <v>45988</v>
      </c>
      <c r="AM665" s="316">
        <v>45988</v>
      </c>
      <c r="AN665" s="316">
        <v>45988</v>
      </c>
      <c r="AO665" s="316">
        <v>45988</v>
      </c>
      <c r="AP665" s="316">
        <v>45988</v>
      </c>
      <c r="AQ665" s="314"/>
      <c r="AR665" s="315" t="str">
        <f t="shared" si="48"/>
        <v>FINALIZADO</v>
      </c>
      <c r="AS665" s="207"/>
      <c r="AT665" s="207"/>
      <c r="AU665" s="225"/>
      <c r="AV665" s="207"/>
      <c r="AW665" s="207"/>
      <c r="AX665" s="207"/>
      <c r="AY665" s="207"/>
      <c r="AZ665" s="202"/>
      <c r="BA665" s="219"/>
      <c r="BB665" s="207"/>
      <c r="BC665" s="202"/>
      <c r="BD665" s="208"/>
      <c r="BE665" s="202"/>
      <c r="BF665" s="207"/>
      <c r="BG665" s="229"/>
      <c r="BH665" s="321" t="str">
        <f t="shared" si="45"/>
        <v/>
      </c>
      <c r="BI665" s="98" t="str">
        <f t="shared" si="46"/>
        <v>AA</v>
      </c>
      <c r="BJ665" s="98" t="str">
        <f t="shared" si="47"/>
        <v>NÃO</v>
      </c>
      <c r="BK665" s="230"/>
      <c r="BL665" s="230"/>
      <c r="BM665" s="230"/>
      <c r="BN665" s="230"/>
      <c r="BO665" s="230"/>
      <c r="BP665" s="230"/>
      <c r="BQ665" s="230"/>
      <c r="BR665" s="234"/>
    </row>
    <row r="666" spans="1:74" ht="27" hidden="1" customHeight="1">
      <c r="A666" s="207">
        <v>662</v>
      </c>
      <c r="B666" s="197" t="s">
        <v>4396</v>
      </c>
      <c r="C666" s="207" t="s">
        <v>4427</v>
      </c>
      <c r="D666" s="207">
        <v>1</v>
      </c>
      <c r="E666" s="207" t="s">
        <v>4398</v>
      </c>
      <c r="F666" s="214" t="s">
        <v>7260</v>
      </c>
      <c r="G666" s="207" t="s">
        <v>4400</v>
      </c>
      <c r="H666" s="207" t="s">
        <v>4401</v>
      </c>
      <c r="I666" s="217" t="s">
        <v>4402</v>
      </c>
      <c r="J666" s="215" t="s">
        <v>7261</v>
      </c>
      <c r="K666" s="215" t="s">
        <v>7262</v>
      </c>
      <c r="L666" s="215" t="s">
        <v>7263</v>
      </c>
      <c r="M666" s="207" t="s">
        <v>4405</v>
      </c>
      <c r="N666" s="207" t="s">
        <v>4406</v>
      </c>
      <c r="O666" s="202">
        <v>46065</v>
      </c>
      <c r="P666" s="203" t="s">
        <v>4407</v>
      </c>
      <c r="Q666" s="202">
        <v>46072</v>
      </c>
      <c r="R666" s="203">
        <v>46072</v>
      </c>
      <c r="S666" s="203">
        <v>46080</v>
      </c>
      <c r="T666" s="202">
        <v>46083</v>
      </c>
      <c r="U666" s="202" t="s">
        <v>4408</v>
      </c>
      <c r="V666" s="202" t="s">
        <v>4408</v>
      </c>
      <c r="W666" s="203">
        <v>46055</v>
      </c>
      <c r="X666" s="203">
        <v>46156</v>
      </c>
      <c r="Y666" s="202"/>
      <c r="Z666" s="217" t="s">
        <v>7264</v>
      </c>
      <c r="AA666" s="215" t="s">
        <v>7261</v>
      </c>
      <c r="AB666" s="215" t="s">
        <v>7262</v>
      </c>
      <c r="AC666" s="215" t="s">
        <v>7263</v>
      </c>
      <c r="AD666" s="207" t="s">
        <v>4402</v>
      </c>
      <c r="AE666" s="207" t="s">
        <v>4405</v>
      </c>
      <c r="AF666" s="218" t="s">
        <v>4409</v>
      </c>
      <c r="AG666" s="218" t="s">
        <v>4409</v>
      </c>
      <c r="AH666" s="207" t="s">
        <v>4410</v>
      </c>
      <c r="AI666" s="214" t="s">
        <v>4411</v>
      </c>
      <c r="AJ666" s="207"/>
      <c r="AK666" s="316">
        <v>45996</v>
      </c>
      <c r="AL666" s="316">
        <v>45996</v>
      </c>
      <c r="AM666" s="316">
        <v>45996</v>
      </c>
      <c r="AN666" s="316">
        <v>45996</v>
      </c>
      <c r="AO666" s="316">
        <v>45996</v>
      </c>
      <c r="AP666" s="316">
        <v>45996</v>
      </c>
      <c r="AQ666" s="314"/>
      <c r="AR666" s="315" t="str">
        <f t="shared" si="48"/>
        <v>FINALIZADO</v>
      </c>
      <c r="AS666" s="207"/>
      <c r="AT666" s="207"/>
      <c r="AU666" s="225"/>
      <c r="AV666" s="207"/>
      <c r="AW666" s="207"/>
      <c r="AX666" s="207"/>
      <c r="AY666" s="207"/>
      <c r="AZ666" s="202"/>
      <c r="BA666" s="219"/>
      <c r="BB666" s="207"/>
      <c r="BC666" s="202"/>
      <c r="BD666" s="208"/>
      <c r="BE666" s="202"/>
      <c r="BF666" s="207"/>
      <c r="BG666" s="229"/>
      <c r="BH666" s="321" t="str">
        <f t="shared" si="45"/>
        <v/>
      </c>
      <c r="BI666" s="98" t="str">
        <f t="shared" si="46"/>
        <v>AA</v>
      </c>
      <c r="BJ666" s="98" t="str">
        <f t="shared" si="47"/>
        <v>NÃO</v>
      </c>
      <c r="BK666" s="230"/>
      <c r="BL666" s="230"/>
      <c r="BM666" s="230"/>
      <c r="BN666" s="230"/>
      <c r="BO666" s="230"/>
      <c r="BP666" s="230"/>
      <c r="BQ666" s="230"/>
      <c r="BR666" s="234"/>
    </row>
    <row r="667" spans="1:74" ht="27" hidden="1" customHeight="1">
      <c r="A667" s="207">
        <v>663</v>
      </c>
      <c r="B667" s="197" t="s">
        <v>4396</v>
      </c>
      <c r="C667" s="207" t="s">
        <v>4427</v>
      </c>
      <c r="D667" s="207">
        <v>1</v>
      </c>
      <c r="E667" s="207" t="s">
        <v>4398</v>
      </c>
      <c r="F667" s="214" t="s">
        <v>7265</v>
      </c>
      <c r="G667" s="207" t="s">
        <v>4400</v>
      </c>
      <c r="H667" s="207" t="s">
        <v>4401</v>
      </c>
      <c r="I667" s="217" t="s">
        <v>4402</v>
      </c>
      <c r="J667" s="215" t="s">
        <v>7266</v>
      </c>
      <c r="K667" s="215" t="s">
        <v>7267</v>
      </c>
      <c r="L667" s="215" t="s">
        <v>7268</v>
      </c>
      <c r="M667" s="207" t="s">
        <v>4405</v>
      </c>
      <c r="N667" s="207" t="s">
        <v>4406</v>
      </c>
      <c r="O667" s="203">
        <v>46031</v>
      </c>
      <c r="P667" s="202" t="s">
        <v>4407</v>
      </c>
      <c r="Q667" s="203">
        <v>46030</v>
      </c>
      <c r="R667" s="203">
        <v>46031</v>
      </c>
      <c r="S667" s="203">
        <v>46036</v>
      </c>
      <c r="T667" s="203">
        <v>46045</v>
      </c>
      <c r="U667" s="203" t="s">
        <v>4408</v>
      </c>
      <c r="V667" s="203" t="s">
        <v>4408</v>
      </c>
      <c r="W667" s="202">
        <v>46055</v>
      </c>
      <c r="X667" s="202">
        <v>46079</v>
      </c>
      <c r="Y667" s="202"/>
      <c r="Z667" s="207"/>
      <c r="AA667" s="215" t="s">
        <v>7266</v>
      </c>
      <c r="AB667" s="215" t="s">
        <v>7267</v>
      </c>
      <c r="AC667" s="215" t="s">
        <v>7268</v>
      </c>
      <c r="AD667" s="207" t="s">
        <v>4402</v>
      </c>
      <c r="AE667" s="207" t="s">
        <v>4405</v>
      </c>
      <c r="AF667" s="218" t="s">
        <v>4409</v>
      </c>
      <c r="AG667" s="218" t="s">
        <v>4409</v>
      </c>
      <c r="AH667" s="207" t="s">
        <v>4410</v>
      </c>
      <c r="AI667" s="214" t="s">
        <v>4411</v>
      </c>
      <c r="AJ667" s="207"/>
      <c r="AK667" s="316">
        <v>46007</v>
      </c>
      <c r="AL667" s="316">
        <v>46007</v>
      </c>
      <c r="AM667" s="316">
        <v>46007</v>
      </c>
      <c r="AN667" s="316">
        <v>46007</v>
      </c>
      <c r="AO667" s="316">
        <v>46007</v>
      </c>
      <c r="AP667" s="316">
        <v>46007</v>
      </c>
      <c r="AQ667" s="314"/>
      <c r="AR667" s="315" t="str">
        <f t="shared" si="48"/>
        <v>FINALIZADO</v>
      </c>
      <c r="AS667" s="207"/>
      <c r="AT667" s="207"/>
      <c r="AU667" s="225"/>
      <c r="AV667" s="207"/>
      <c r="AW667" s="207"/>
      <c r="AX667" s="207"/>
      <c r="AY667" s="207"/>
      <c r="AZ667" s="202"/>
      <c r="BA667" s="219"/>
      <c r="BB667" s="207"/>
      <c r="BC667" s="202"/>
      <c r="BD667" s="208"/>
      <c r="BE667" s="202"/>
      <c r="BF667" s="207"/>
      <c r="BG667" s="229"/>
      <c r="BH667" s="321" t="str">
        <f t="shared" si="45"/>
        <v/>
      </c>
      <c r="BI667" s="98" t="str">
        <f t="shared" si="46"/>
        <v>AA</v>
      </c>
      <c r="BJ667" s="98" t="str">
        <f t="shared" si="47"/>
        <v>NÃO</v>
      </c>
      <c r="BK667" s="230"/>
      <c r="BL667" s="230"/>
      <c r="BM667" s="230"/>
      <c r="BN667" s="230"/>
      <c r="BO667" s="230"/>
      <c r="BP667" s="230"/>
      <c r="BQ667" s="230"/>
      <c r="BR667" s="234"/>
    </row>
    <row r="668" spans="1:74" ht="27" hidden="1" customHeight="1">
      <c r="A668" s="207">
        <v>664</v>
      </c>
      <c r="B668" s="197" t="s">
        <v>4396</v>
      </c>
      <c r="C668" s="207" t="s">
        <v>4427</v>
      </c>
      <c r="D668" s="207">
        <v>1</v>
      </c>
      <c r="E668" s="207" t="s">
        <v>4398</v>
      </c>
      <c r="F668" s="214" t="s">
        <v>7269</v>
      </c>
      <c r="G668" s="207" t="s">
        <v>4400</v>
      </c>
      <c r="H668" s="207" t="s">
        <v>4401</v>
      </c>
      <c r="I668" s="217" t="s">
        <v>4402</v>
      </c>
      <c r="J668" s="215" t="s">
        <v>7270</v>
      </c>
      <c r="K668" s="215" t="s">
        <v>4440</v>
      </c>
      <c r="L668" s="215" t="s">
        <v>7271</v>
      </c>
      <c r="M668" s="207" t="s">
        <v>4405</v>
      </c>
      <c r="N668" s="207" t="s">
        <v>4406</v>
      </c>
      <c r="O668" s="202">
        <v>45986</v>
      </c>
      <c r="P668" s="203" t="s">
        <v>4407</v>
      </c>
      <c r="Q668" s="203">
        <v>45985</v>
      </c>
      <c r="R668" s="203">
        <v>45986</v>
      </c>
      <c r="S668" s="203">
        <v>45987</v>
      </c>
      <c r="T668" s="203">
        <v>45992</v>
      </c>
      <c r="U668" s="202" t="s">
        <v>4408</v>
      </c>
      <c r="V668" s="202" t="s">
        <v>4408</v>
      </c>
      <c r="W668" s="202">
        <v>45999</v>
      </c>
      <c r="X668" s="202">
        <v>46000</v>
      </c>
      <c r="Y668" s="202"/>
      <c r="Z668" s="207"/>
      <c r="AA668" s="215" t="s">
        <v>7270</v>
      </c>
      <c r="AB668" s="215" t="s">
        <v>4440</v>
      </c>
      <c r="AC668" s="215" t="s">
        <v>7271</v>
      </c>
      <c r="AD668" s="207" t="s">
        <v>4402</v>
      </c>
      <c r="AE668" s="207" t="s">
        <v>4405</v>
      </c>
      <c r="AF668" s="218" t="s">
        <v>4409</v>
      </c>
      <c r="AG668" s="218" t="s">
        <v>4409</v>
      </c>
      <c r="AH668" s="241" t="s">
        <v>4410</v>
      </c>
      <c r="AI668" s="214" t="s">
        <v>4411</v>
      </c>
      <c r="AJ668" s="207"/>
      <c r="AK668" s="316">
        <v>45980</v>
      </c>
      <c r="AL668" s="316">
        <v>45980</v>
      </c>
      <c r="AM668" s="316">
        <v>45980</v>
      </c>
      <c r="AN668" s="316">
        <v>45980</v>
      </c>
      <c r="AO668" s="316">
        <v>45980</v>
      </c>
      <c r="AP668" s="316">
        <v>45980</v>
      </c>
      <c r="AQ668" s="314"/>
      <c r="AR668" s="315" t="str">
        <f t="shared" si="48"/>
        <v>FINALIZADO</v>
      </c>
      <c r="AS668" s="207"/>
      <c r="AT668" s="207"/>
      <c r="AU668" s="225"/>
      <c r="AV668" s="207"/>
      <c r="AW668" s="207"/>
      <c r="AX668" s="207" t="s">
        <v>4409</v>
      </c>
      <c r="AY668" s="207" t="s">
        <v>4409</v>
      </c>
      <c r="AZ668" s="207" t="s">
        <v>4409</v>
      </c>
      <c r="BA668" s="207" t="s">
        <v>4409</v>
      </c>
      <c r="BB668" s="207"/>
      <c r="BC668" s="202"/>
      <c r="BD668" s="208"/>
      <c r="BE668" s="202"/>
      <c r="BF668" s="207"/>
      <c r="BG668" s="229"/>
      <c r="BH668" s="321" t="str">
        <f t="shared" si="45"/>
        <v/>
      </c>
      <c r="BI668" s="98" t="str">
        <f t="shared" si="46"/>
        <v>AA</v>
      </c>
      <c r="BJ668" s="98" t="str">
        <f t="shared" si="47"/>
        <v>NÃO</v>
      </c>
      <c r="BK668" s="230"/>
      <c r="BL668" s="230"/>
      <c r="BM668" s="230"/>
      <c r="BN668" s="230"/>
      <c r="BO668" s="230"/>
      <c r="BP668" s="230"/>
      <c r="BQ668" s="230"/>
      <c r="BR668" s="234"/>
    </row>
    <row r="669" spans="1:74" ht="27" hidden="1" customHeight="1">
      <c r="A669" s="197">
        <v>665</v>
      </c>
      <c r="B669" s="197" t="s">
        <v>4396</v>
      </c>
      <c r="C669" s="207" t="s">
        <v>4427</v>
      </c>
      <c r="D669" s="207">
        <v>1</v>
      </c>
      <c r="E669" s="207" t="s">
        <v>4398</v>
      </c>
      <c r="F669" s="214" t="s">
        <v>7272</v>
      </c>
      <c r="G669" s="207" t="s">
        <v>4400</v>
      </c>
      <c r="H669" s="207" t="s">
        <v>4401</v>
      </c>
      <c r="I669" s="217" t="s">
        <v>4402</v>
      </c>
      <c r="J669" s="215" t="s">
        <v>7273</v>
      </c>
      <c r="K669" s="215" t="s">
        <v>7274</v>
      </c>
      <c r="L669" s="215" t="s">
        <v>7275</v>
      </c>
      <c r="M669" s="207" t="s">
        <v>4405</v>
      </c>
      <c r="N669" s="207" t="s">
        <v>4550</v>
      </c>
      <c r="O669" s="202">
        <v>45986</v>
      </c>
      <c r="P669" s="203" t="s">
        <v>4407</v>
      </c>
      <c r="Q669" s="203">
        <v>45985</v>
      </c>
      <c r="R669" s="203">
        <v>45986</v>
      </c>
      <c r="S669" s="203">
        <v>45987</v>
      </c>
      <c r="T669" s="203">
        <v>45992</v>
      </c>
      <c r="U669" s="202" t="s">
        <v>4408</v>
      </c>
      <c r="V669" s="202" t="s">
        <v>4408</v>
      </c>
      <c r="W669" s="202">
        <v>45999</v>
      </c>
      <c r="X669" s="280" t="s">
        <v>4440</v>
      </c>
      <c r="Y669" s="202"/>
      <c r="Z669" s="217" t="s">
        <v>7276</v>
      </c>
      <c r="AA669" s="215" t="s">
        <v>7273</v>
      </c>
      <c r="AB669" s="215" t="s">
        <v>7274</v>
      </c>
      <c r="AC669" s="215" t="s">
        <v>7275</v>
      </c>
      <c r="AD669" s="297" t="s">
        <v>4409</v>
      </c>
      <c r="AE669" s="297" t="s">
        <v>4409</v>
      </c>
      <c r="AF669" s="205" t="s">
        <v>4398</v>
      </c>
      <c r="AG669" s="205" t="s">
        <v>4398</v>
      </c>
      <c r="AH669" s="205" t="s">
        <v>4410</v>
      </c>
      <c r="AI669" s="214" t="s">
        <v>4411</v>
      </c>
      <c r="AJ669" s="207"/>
      <c r="AK669" s="316">
        <v>45980</v>
      </c>
      <c r="AL669" s="316">
        <v>45980</v>
      </c>
      <c r="AM669" s="316">
        <v>45980</v>
      </c>
      <c r="AN669" s="316">
        <v>45980</v>
      </c>
      <c r="AO669" s="316">
        <v>45980</v>
      </c>
      <c r="AP669" s="316">
        <v>45980</v>
      </c>
      <c r="AQ669" s="314"/>
      <c r="AR669" s="315" t="str">
        <f t="shared" si="48"/>
        <v>FINALIZADO</v>
      </c>
      <c r="AS669" s="207"/>
      <c r="AT669" s="207"/>
      <c r="AU669" s="225"/>
      <c r="AV669" s="207"/>
      <c r="AW669" s="207"/>
      <c r="AX669" s="207" t="s">
        <v>4409</v>
      </c>
      <c r="AY669" s="207" t="s">
        <v>4409</v>
      </c>
      <c r="AZ669" s="207" t="s">
        <v>4409</v>
      </c>
      <c r="BA669" s="207" t="s">
        <v>4409</v>
      </c>
      <c r="BB669" s="207"/>
      <c r="BC669" s="202"/>
      <c r="BD669" s="208"/>
      <c r="BE669" s="202"/>
      <c r="BF669" s="207"/>
      <c r="BG669" s="229"/>
      <c r="BH669" s="321" t="str">
        <f t="shared" si="45"/>
        <v/>
      </c>
      <c r="BI669" s="98" t="str">
        <f t="shared" si="46"/>
        <v>AA</v>
      </c>
      <c r="BJ669" s="98" t="str">
        <f t="shared" si="47"/>
        <v>NÃO</v>
      </c>
      <c r="BK669" s="230"/>
      <c r="BL669" s="230"/>
      <c r="BM669" s="230"/>
      <c r="BN669" s="230"/>
      <c r="BO669" s="230"/>
      <c r="BP669" s="230"/>
      <c r="BQ669" s="230"/>
      <c r="BR669" s="234"/>
    </row>
    <row r="670" spans="1:74" ht="27" hidden="1" customHeight="1">
      <c r="A670" s="197">
        <v>666</v>
      </c>
      <c r="B670" s="197" t="s">
        <v>4396</v>
      </c>
      <c r="C670" s="207" t="s">
        <v>4427</v>
      </c>
      <c r="D670" s="207">
        <v>1</v>
      </c>
      <c r="E670" s="207" t="s">
        <v>4398</v>
      </c>
      <c r="F670" s="214" t="s">
        <v>7277</v>
      </c>
      <c r="G670" s="207" t="s">
        <v>4400</v>
      </c>
      <c r="H670" s="207" t="s">
        <v>4401</v>
      </c>
      <c r="I670" s="217" t="s">
        <v>4402</v>
      </c>
      <c r="J670" s="215" t="s">
        <v>7278</v>
      </c>
      <c r="K670" s="215" t="s">
        <v>7279</v>
      </c>
      <c r="L670" s="215" t="s">
        <v>7280</v>
      </c>
      <c r="M670" s="207" t="s">
        <v>4405</v>
      </c>
      <c r="N670" s="207" t="s">
        <v>4406</v>
      </c>
      <c r="O670" s="202">
        <v>45986</v>
      </c>
      <c r="P670" s="203" t="s">
        <v>4407</v>
      </c>
      <c r="Q670" s="203">
        <v>45985</v>
      </c>
      <c r="R670" s="203">
        <v>45986</v>
      </c>
      <c r="S670" s="203">
        <v>45987</v>
      </c>
      <c r="T670" s="203">
        <v>45992</v>
      </c>
      <c r="U670" s="202" t="s">
        <v>4408</v>
      </c>
      <c r="V670" s="202" t="s">
        <v>4408</v>
      </c>
      <c r="W670" s="202">
        <v>45999</v>
      </c>
      <c r="X670" s="202">
        <v>46000</v>
      </c>
      <c r="Y670" s="202"/>
      <c r="Z670" s="207"/>
      <c r="AA670" s="215" t="s">
        <v>7278</v>
      </c>
      <c r="AB670" s="215" t="s">
        <v>7279</v>
      </c>
      <c r="AC670" s="215" t="s">
        <v>7280</v>
      </c>
      <c r="AD670" s="207" t="s">
        <v>4402</v>
      </c>
      <c r="AE670" s="207" t="s">
        <v>4405</v>
      </c>
      <c r="AF670" s="218" t="s">
        <v>4409</v>
      </c>
      <c r="AG670" s="218" t="s">
        <v>4409</v>
      </c>
      <c r="AH670" s="204" t="s">
        <v>4410</v>
      </c>
      <c r="AI670" s="214" t="s">
        <v>4411</v>
      </c>
      <c r="AJ670" s="207"/>
      <c r="AK670" s="316">
        <v>45980</v>
      </c>
      <c r="AL670" s="316">
        <v>45980</v>
      </c>
      <c r="AM670" s="316">
        <v>45980</v>
      </c>
      <c r="AN670" s="316">
        <v>45980</v>
      </c>
      <c r="AO670" s="316">
        <v>45980</v>
      </c>
      <c r="AP670" s="316">
        <v>45980</v>
      </c>
      <c r="AQ670" s="314"/>
      <c r="AR670" s="315" t="str">
        <f t="shared" si="48"/>
        <v>FINALIZADO</v>
      </c>
      <c r="AS670" s="207"/>
      <c r="AT670" s="207"/>
      <c r="AU670" s="225"/>
      <c r="AV670" s="207"/>
      <c r="AW670" s="207"/>
      <c r="AX670" s="207" t="s">
        <v>4409</v>
      </c>
      <c r="AY670" s="207" t="s">
        <v>4409</v>
      </c>
      <c r="AZ670" s="207" t="s">
        <v>4409</v>
      </c>
      <c r="BA670" s="207" t="s">
        <v>4409</v>
      </c>
      <c r="BB670" s="207"/>
      <c r="BC670" s="202"/>
      <c r="BD670" s="208"/>
      <c r="BE670" s="202"/>
      <c r="BF670" s="207"/>
      <c r="BG670" s="229"/>
      <c r="BH670" s="321" t="str">
        <f t="shared" si="45"/>
        <v/>
      </c>
      <c r="BI670" s="98" t="str">
        <f t="shared" si="46"/>
        <v>AA</v>
      </c>
      <c r="BJ670" s="98" t="str">
        <f t="shared" si="47"/>
        <v>NÃO</v>
      </c>
      <c r="BK670" s="230"/>
      <c r="BL670" s="230"/>
      <c r="BM670" s="230"/>
      <c r="BN670" s="230"/>
      <c r="BO670" s="230"/>
      <c r="BP670" s="230"/>
      <c r="BQ670" s="230"/>
      <c r="BR670" s="234"/>
    </row>
    <row r="671" spans="1:74" ht="27" hidden="1" customHeight="1">
      <c r="A671" s="207">
        <v>667</v>
      </c>
      <c r="B671" s="197" t="s">
        <v>4396</v>
      </c>
      <c r="C671" s="207" t="s">
        <v>4427</v>
      </c>
      <c r="D671" s="207">
        <v>1</v>
      </c>
      <c r="E671" s="207" t="s">
        <v>4398</v>
      </c>
      <c r="F671" s="214" t="s">
        <v>7281</v>
      </c>
      <c r="G671" s="207" t="s">
        <v>4400</v>
      </c>
      <c r="H671" s="207" t="s">
        <v>4401</v>
      </c>
      <c r="I671" s="207" t="s">
        <v>4402</v>
      </c>
      <c r="J671" s="215" t="s">
        <v>7282</v>
      </c>
      <c r="K671" s="298" t="s">
        <v>6591</v>
      </c>
      <c r="L671" s="215" t="s">
        <v>7283</v>
      </c>
      <c r="M671" s="207" t="s">
        <v>4405</v>
      </c>
      <c r="N671" s="207" t="s">
        <v>4442</v>
      </c>
      <c r="O671" s="202" t="s">
        <v>4409</v>
      </c>
      <c r="P671" s="202" t="s">
        <v>4409</v>
      </c>
      <c r="Q671" s="202" t="s">
        <v>4409</v>
      </c>
      <c r="R671" s="202" t="s">
        <v>4409</v>
      </c>
      <c r="S671" s="202" t="s">
        <v>4409</v>
      </c>
      <c r="T671" s="202" t="s">
        <v>4409</v>
      </c>
      <c r="U671" s="202" t="s">
        <v>4409</v>
      </c>
      <c r="V671" s="202" t="s">
        <v>4409</v>
      </c>
      <c r="W671" s="202" t="s">
        <v>4409</v>
      </c>
      <c r="X671" s="202" t="s">
        <v>4409</v>
      </c>
      <c r="Y671" s="202"/>
      <c r="Z671" s="202"/>
      <c r="AA671" s="200" t="s">
        <v>7282</v>
      </c>
      <c r="AB671" s="299" t="s">
        <v>6591</v>
      </c>
      <c r="AC671" s="200" t="s">
        <v>7283</v>
      </c>
      <c r="AD671" s="197" t="s">
        <v>4402</v>
      </c>
      <c r="AE671" s="197" t="s">
        <v>4405</v>
      </c>
      <c r="AF671" s="243">
        <v>9643.0400000000009</v>
      </c>
      <c r="AG671" s="243">
        <v>39643.040000000001</v>
      </c>
      <c r="AH671" s="197" t="s">
        <v>4422</v>
      </c>
      <c r="AI671" s="214" t="s">
        <v>4411</v>
      </c>
      <c r="AJ671" s="207">
        <v>151553826</v>
      </c>
      <c r="AK671" s="316">
        <v>46093</v>
      </c>
      <c r="AL671" s="316">
        <v>46093</v>
      </c>
      <c r="AM671" s="316">
        <v>46093</v>
      </c>
      <c r="AN671" s="316">
        <v>46093</v>
      </c>
      <c r="AO671" s="316">
        <v>46093</v>
      </c>
      <c r="AP671" s="316">
        <v>46093</v>
      </c>
      <c r="AQ671" s="314"/>
      <c r="AR671" s="315" t="str">
        <f t="shared" si="48"/>
        <v>FINALIZADO</v>
      </c>
      <c r="AS671" s="207" t="s">
        <v>4423</v>
      </c>
      <c r="AT671" s="219"/>
      <c r="AU671" s="225" t="s">
        <v>7284</v>
      </c>
      <c r="AV671" s="207" t="s">
        <v>4425</v>
      </c>
      <c r="AW671" s="207" t="s">
        <v>4425</v>
      </c>
      <c r="AX671" s="207" t="s">
        <v>4425</v>
      </c>
      <c r="AY671" s="207" t="s">
        <v>4425</v>
      </c>
      <c r="AZ671" s="202">
        <v>46150</v>
      </c>
      <c r="BA671" s="207" t="s">
        <v>4425</v>
      </c>
      <c r="BB671" s="207" t="s">
        <v>4425</v>
      </c>
      <c r="BC671" s="202">
        <v>46157</v>
      </c>
      <c r="BD671" s="227">
        <v>46157</v>
      </c>
      <c r="BE671" s="227" t="s">
        <v>4435</v>
      </c>
      <c r="BF671" s="228" t="s">
        <v>4436</v>
      </c>
      <c r="BG671" s="229" t="s">
        <v>4425</v>
      </c>
      <c r="BH671" s="321">
        <f t="shared" si="45"/>
        <v>64</v>
      </c>
      <c r="BI671" s="98" t="str">
        <f t="shared" si="46"/>
        <v>INDENIZAÇÃO</v>
      </c>
      <c r="BJ671" s="98" t="str">
        <f t="shared" si="47"/>
        <v>NÃO</v>
      </c>
      <c r="BK671" s="230" t="s">
        <v>4437</v>
      </c>
      <c r="BL671" s="230" t="s">
        <v>4437</v>
      </c>
      <c r="BM671" s="230" t="s">
        <v>4437</v>
      </c>
      <c r="BN671" s="265" t="s">
        <v>5732</v>
      </c>
      <c r="BO671" s="265"/>
      <c r="BP671" s="265"/>
      <c r="BQ671" s="265"/>
      <c r="BR671" s="231"/>
    </row>
    <row r="672" spans="1:74" ht="27" hidden="1" customHeight="1">
      <c r="A672" s="207">
        <v>668</v>
      </c>
      <c r="B672" s="197" t="s">
        <v>4396</v>
      </c>
      <c r="C672" s="207" t="s">
        <v>4427</v>
      </c>
      <c r="D672" s="207">
        <v>1</v>
      </c>
      <c r="E672" s="207" t="s">
        <v>4398</v>
      </c>
      <c r="F672" s="214" t="s">
        <v>7285</v>
      </c>
      <c r="G672" s="207" t="s">
        <v>4400</v>
      </c>
      <c r="H672" s="207" t="s">
        <v>4401</v>
      </c>
      <c r="I672" s="217" t="s">
        <v>4402</v>
      </c>
      <c r="J672" s="215" t="s">
        <v>7286</v>
      </c>
      <c r="K672" s="215" t="s">
        <v>7287</v>
      </c>
      <c r="L672" s="215" t="s">
        <v>7288</v>
      </c>
      <c r="M672" s="207" t="s">
        <v>4405</v>
      </c>
      <c r="N672" s="207" t="s">
        <v>4406</v>
      </c>
      <c r="O672" s="203">
        <v>46044</v>
      </c>
      <c r="P672" s="203" t="s">
        <v>4407</v>
      </c>
      <c r="Q672" s="203">
        <v>46043</v>
      </c>
      <c r="R672" s="203">
        <v>46044</v>
      </c>
      <c r="S672" s="203">
        <v>46045</v>
      </c>
      <c r="T672" s="203">
        <v>46155</v>
      </c>
      <c r="U672" s="202" t="s">
        <v>4408</v>
      </c>
      <c r="V672" s="202" t="s">
        <v>4408</v>
      </c>
      <c r="W672" s="202">
        <v>46055</v>
      </c>
      <c r="X672" s="202">
        <v>46056</v>
      </c>
      <c r="Y672" s="202"/>
      <c r="Z672" s="207"/>
      <c r="AA672" s="215" t="s">
        <v>7286</v>
      </c>
      <c r="AB672" s="215" t="s">
        <v>7287</v>
      </c>
      <c r="AC672" s="215" t="s">
        <v>7288</v>
      </c>
      <c r="AD672" s="207" t="s">
        <v>4402</v>
      </c>
      <c r="AE672" s="207" t="s">
        <v>4405</v>
      </c>
      <c r="AF672" s="218" t="s">
        <v>4409</v>
      </c>
      <c r="AG672" s="218" t="s">
        <v>4409</v>
      </c>
      <c r="AH672" s="207" t="s">
        <v>4410</v>
      </c>
      <c r="AI672" s="214" t="s">
        <v>4411</v>
      </c>
      <c r="AJ672" s="207"/>
      <c r="AK672" s="316">
        <v>46041</v>
      </c>
      <c r="AL672" s="316">
        <v>46041</v>
      </c>
      <c r="AM672" s="316">
        <v>46041</v>
      </c>
      <c r="AN672" s="316">
        <v>46041</v>
      </c>
      <c r="AO672" s="316">
        <v>46041</v>
      </c>
      <c r="AP672" s="316">
        <v>46041</v>
      </c>
      <c r="AQ672" s="314"/>
      <c r="AR672" s="315" t="str">
        <f t="shared" si="48"/>
        <v>FINALIZADO</v>
      </c>
      <c r="AS672" s="207"/>
      <c r="AT672" s="207"/>
      <c r="AU672" s="225"/>
      <c r="AV672" s="207"/>
      <c r="AW672" s="207"/>
      <c r="AX672" s="207"/>
      <c r="AY672" s="207"/>
      <c r="AZ672" s="202"/>
      <c r="BB672" s="207"/>
      <c r="BC672" s="202"/>
      <c r="BD672" s="208"/>
      <c r="BE672" s="202"/>
      <c r="BF672" s="207"/>
      <c r="BG672" s="229"/>
      <c r="BH672" s="321" t="str">
        <f t="shared" si="45"/>
        <v/>
      </c>
      <c r="BI672" s="98" t="str">
        <f t="shared" si="46"/>
        <v>AA</v>
      </c>
      <c r="BJ672" s="98" t="str">
        <f t="shared" si="47"/>
        <v>NÃO</v>
      </c>
      <c r="BK672" s="230"/>
      <c r="BL672" s="230"/>
      <c r="BM672" s="230"/>
      <c r="BN672" s="230"/>
      <c r="BO672" s="230"/>
      <c r="BP672" s="230"/>
      <c r="BQ672" s="230"/>
      <c r="BR672" s="234"/>
    </row>
    <row r="673" spans="1:71" ht="27" hidden="1" customHeight="1">
      <c r="A673" s="207">
        <v>669</v>
      </c>
      <c r="B673" s="197" t="s">
        <v>4396</v>
      </c>
      <c r="C673" s="207" t="s">
        <v>4427</v>
      </c>
      <c r="D673" s="207">
        <v>1</v>
      </c>
      <c r="E673" s="207" t="s">
        <v>4398</v>
      </c>
      <c r="F673" s="214" t="s">
        <v>7289</v>
      </c>
      <c r="G673" s="207" t="s">
        <v>4400</v>
      </c>
      <c r="H673" s="207" t="s">
        <v>4401</v>
      </c>
      <c r="I673" s="217" t="s">
        <v>4402</v>
      </c>
      <c r="J673" s="215" t="s">
        <v>7290</v>
      </c>
      <c r="K673" s="215" t="s">
        <v>7291</v>
      </c>
      <c r="L673" s="215" t="s">
        <v>7292</v>
      </c>
      <c r="M673" s="207" t="s">
        <v>4405</v>
      </c>
      <c r="N673" s="207" t="s">
        <v>4406</v>
      </c>
      <c r="O673" s="202">
        <v>46084</v>
      </c>
      <c r="P673" s="202" t="s">
        <v>4407</v>
      </c>
      <c r="Q673" s="202">
        <v>46083</v>
      </c>
      <c r="R673" s="203">
        <v>46084</v>
      </c>
      <c r="S673" s="203">
        <v>46087</v>
      </c>
      <c r="T673" s="203">
        <v>46090</v>
      </c>
      <c r="U673" s="202" t="s">
        <v>4408</v>
      </c>
      <c r="V673" s="202" t="s">
        <v>4408</v>
      </c>
      <c r="W673" s="202">
        <v>46101</v>
      </c>
      <c r="X673" s="202">
        <v>46101</v>
      </c>
      <c r="Y673" s="202"/>
      <c r="Z673" s="202"/>
      <c r="AA673" s="215" t="s">
        <v>7290</v>
      </c>
      <c r="AB673" s="215" t="s">
        <v>7291</v>
      </c>
      <c r="AC673" s="215" t="s">
        <v>7292</v>
      </c>
      <c r="AD673" s="207" t="s">
        <v>4402</v>
      </c>
      <c r="AE673" s="207" t="s">
        <v>4405</v>
      </c>
      <c r="AF673" s="218" t="s">
        <v>4409</v>
      </c>
      <c r="AG673" s="218" t="s">
        <v>4409</v>
      </c>
      <c r="AH673" s="207" t="s">
        <v>4410</v>
      </c>
      <c r="AI673" s="214" t="s">
        <v>4411</v>
      </c>
      <c r="AJ673" s="207"/>
      <c r="AK673" s="316">
        <v>46041</v>
      </c>
      <c r="AL673" s="316">
        <v>46041</v>
      </c>
      <c r="AM673" s="316">
        <v>46041</v>
      </c>
      <c r="AN673" s="316">
        <v>46041</v>
      </c>
      <c r="AO673" s="316">
        <v>46041</v>
      </c>
      <c r="AP673" s="316">
        <v>46041</v>
      </c>
      <c r="AQ673" s="314"/>
      <c r="AR673" s="315" t="str">
        <f t="shared" si="48"/>
        <v>FINALIZADO</v>
      </c>
      <c r="AS673" s="207"/>
      <c r="AT673" s="207"/>
      <c r="AU673" s="225"/>
      <c r="AV673" s="207"/>
      <c r="AW673" s="207"/>
      <c r="AX673" s="207"/>
      <c r="AY673" s="207"/>
      <c r="AZ673" s="202"/>
      <c r="BA673" s="219"/>
      <c r="BB673" s="207"/>
      <c r="BC673" s="202"/>
      <c r="BD673" s="208"/>
      <c r="BE673" s="202"/>
      <c r="BF673" s="207"/>
      <c r="BG673" s="229"/>
      <c r="BH673" s="321" t="str">
        <f t="shared" si="45"/>
        <v/>
      </c>
      <c r="BI673" s="98" t="str">
        <f t="shared" si="46"/>
        <v>AA</v>
      </c>
      <c r="BJ673" s="98" t="str">
        <f t="shared" si="47"/>
        <v>NÃO</v>
      </c>
      <c r="BK673" s="230"/>
      <c r="BL673" s="230"/>
      <c r="BM673" s="230"/>
      <c r="BN673" s="230"/>
      <c r="BO673" s="230"/>
      <c r="BP673" s="230"/>
      <c r="BQ673" s="230"/>
      <c r="BR673" s="234"/>
    </row>
    <row r="674" spans="1:71" ht="27" hidden="1" customHeight="1">
      <c r="A674" s="197">
        <v>670</v>
      </c>
      <c r="B674" s="197" t="s">
        <v>4396</v>
      </c>
      <c r="C674" s="207" t="s">
        <v>4427</v>
      </c>
      <c r="D674" s="207">
        <v>1</v>
      </c>
      <c r="E674" s="207" t="s">
        <v>4398</v>
      </c>
      <c r="F674" s="214" t="s">
        <v>7293</v>
      </c>
      <c r="G674" s="207" t="s">
        <v>4400</v>
      </c>
      <c r="H674" s="207" t="s">
        <v>4401</v>
      </c>
      <c r="I674" s="217" t="s">
        <v>4402</v>
      </c>
      <c r="J674" s="255" t="s">
        <v>7294</v>
      </c>
      <c r="K674" s="215" t="s">
        <v>7295</v>
      </c>
      <c r="L674" s="215" t="s">
        <v>7296</v>
      </c>
      <c r="M674" s="207" t="s">
        <v>4405</v>
      </c>
      <c r="N674" s="207" t="s">
        <v>4406</v>
      </c>
      <c r="O674" s="203">
        <v>46044</v>
      </c>
      <c r="P674" s="203" t="s">
        <v>4407</v>
      </c>
      <c r="Q674" s="203">
        <v>46043</v>
      </c>
      <c r="R674" s="203">
        <v>46044</v>
      </c>
      <c r="S674" s="203">
        <v>46045</v>
      </c>
      <c r="T674" s="203">
        <v>46155</v>
      </c>
      <c r="U674" s="202" t="s">
        <v>4408</v>
      </c>
      <c r="V674" s="202" t="s">
        <v>4408</v>
      </c>
      <c r="W674" s="202">
        <v>46055</v>
      </c>
      <c r="X674" s="202">
        <v>46056</v>
      </c>
      <c r="Y674" s="202"/>
      <c r="Z674" s="207"/>
      <c r="AA674" s="255" t="s">
        <v>7294</v>
      </c>
      <c r="AB674" s="215" t="s">
        <v>7295</v>
      </c>
      <c r="AC674" s="215" t="s">
        <v>7296</v>
      </c>
      <c r="AD674" s="207" t="s">
        <v>4402</v>
      </c>
      <c r="AE674" s="207" t="s">
        <v>4405</v>
      </c>
      <c r="AF674" s="218" t="s">
        <v>4409</v>
      </c>
      <c r="AG674" s="218" t="s">
        <v>4409</v>
      </c>
      <c r="AH674" s="207" t="s">
        <v>4410</v>
      </c>
      <c r="AI674" s="214" t="s">
        <v>4411</v>
      </c>
      <c r="AJ674" s="207"/>
      <c r="AK674" s="316">
        <v>46041</v>
      </c>
      <c r="AL674" s="316">
        <v>46041</v>
      </c>
      <c r="AM674" s="316">
        <v>46041</v>
      </c>
      <c r="AN674" s="316">
        <v>46041</v>
      </c>
      <c r="AO674" s="316">
        <v>46041</v>
      </c>
      <c r="AP674" s="316">
        <v>46041</v>
      </c>
      <c r="AQ674" s="314"/>
      <c r="AR674" s="315" t="str">
        <f t="shared" si="48"/>
        <v>FINALIZADO</v>
      </c>
      <c r="AS674" s="207"/>
      <c r="AT674" s="207"/>
      <c r="AU674" s="225"/>
      <c r="AV674" s="207"/>
      <c r="AW674" s="207"/>
      <c r="AX674" s="207"/>
      <c r="AY674" s="207"/>
      <c r="AZ674" s="202"/>
      <c r="BA674" s="219"/>
      <c r="BB674" s="207"/>
      <c r="BC674" s="202"/>
      <c r="BD674" s="208"/>
      <c r="BE674" s="202"/>
      <c r="BF674" s="207"/>
      <c r="BG674" s="229"/>
      <c r="BH674" s="321" t="str">
        <f t="shared" si="45"/>
        <v/>
      </c>
      <c r="BI674" s="98" t="str">
        <f t="shared" si="46"/>
        <v>AA</v>
      </c>
      <c r="BJ674" s="98" t="str">
        <f t="shared" si="47"/>
        <v>NÃO</v>
      </c>
      <c r="BK674" s="230"/>
      <c r="BL674" s="230"/>
      <c r="BM674" s="230"/>
      <c r="BN674" s="230"/>
      <c r="BO674" s="230"/>
      <c r="BP674" s="230"/>
      <c r="BQ674" s="230"/>
      <c r="BR674" s="234"/>
    </row>
    <row r="675" spans="1:71" ht="27" hidden="1" customHeight="1">
      <c r="A675" s="197">
        <v>671</v>
      </c>
      <c r="B675" s="197" t="s">
        <v>4396</v>
      </c>
      <c r="C675" s="207" t="s">
        <v>4427</v>
      </c>
      <c r="D675" s="207">
        <v>1</v>
      </c>
      <c r="E675" s="207" t="s">
        <v>4398</v>
      </c>
      <c r="F675" s="214" t="s">
        <v>7297</v>
      </c>
      <c r="G675" s="207" t="s">
        <v>4400</v>
      </c>
      <c r="H675" s="207" t="s">
        <v>4401</v>
      </c>
      <c r="I675" s="217" t="s">
        <v>4402</v>
      </c>
      <c r="J675" s="255" t="s">
        <v>7298</v>
      </c>
      <c r="K675" s="215" t="s">
        <v>7299</v>
      </c>
      <c r="L675" s="215" t="s">
        <v>7300</v>
      </c>
      <c r="M675" s="207" t="s">
        <v>4405</v>
      </c>
      <c r="N675" s="207" t="s">
        <v>4406</v>
      </c>
      <c r="O675" s="203">
        <v>46044</v>
      </c>
      <c r="P675" s="203" t="s">
        <v>4407</v>
      </c>
      <c r="Q675" s="203">
        <v>46043</v>
      </c>
      <c r="R675" s="203">
        <v>46044</v>
      </c>
      <c r="S675" s="203">
        <v>46045</v>
      </c>
      <c r="T675" s="203">
        <v>46155</v>
      </c>
      <c r="U675" s="202" t="s">
        <v>4408</v>
      </c>
      <c r="V675" s="202" t="s">
        <v>4408</v>
      </c>
      <c r="W675" s="202">
        <v>46055</v>
      </c>
      <c r="X675" s="202">
        <v>46059</v>
      </c>
      <c r="Y675" s="202"/>
      <c r="Z675" s="207"/>
      <c r="AA675" s="255" t="s">
        <v>7298</v>
      </c>
      <c r="AB675" s="215" t="s">
        <v>7299</v>
      </c>
      <c r="AC675" s="215" t="s">
        <v>7300</v>
      </c>
      <c r="AD675" s="207" t="s">
        <v>4402</v>
      </c>
      <c r="AE675" s="207" t="s">
        <v>4405</v>
      </c>
      <c r="AF675" s="218" t="s">
        <v>4409</v>
      </c>
      <c r="AG675" s="218" t="s">
        <v>4409</v>
      </c>
      <c r="AH675" s="207" t="s">
        <v>4410</v>
      </c>
      <c r="AI675" s="214" t="s">
        <v>4411</v>
      </c>
      <c r="AJ675" s="207"/>
      <c r="AK675" s="316">
        <v>46041</v>
      </c>
      <c r="AL675" s="316">
        <v>46041</v>
      </c>
      <c r="AM675" s="316">
        <v>46041</v>
      </c>
      <c r="AN675" s="316">
        <v>46041</v>
      </c>
      <c r="AO675" s="316">
        <v>46041</v>
      </c>
      <c r="AP675" s="316">
        <v>46041</v>
      </c>
      <c r="AQ675" s="314"/>
      <c r="AR675" s="315" t="str">
        <f t="shared" si="48"/>
        <v>FINALIZADO</v>
      </c>
      <c r="AS675" s="207"/>
      <c r="AT675" s="207"/>
      <c r="AU675" s="225"/>
      <c r="AV675" s="207"/>
      <c r="AW675" s="207"/>
      <c r="AX675" s="207"/>
      <c r="AY675" s="207"/>
      <c r="AZ675" s="202"/>
      <c r="BA675" s="219"/>
      <c r="BB675" s="207"/>
      <c r="BC675" s="202"/>
      <c r="BD675" s="208"/>
      <c r="BE675" s="202"/>
      <c r="BF675" s="207"/>
      <c r="BG675" s="229"/>
      <c r="BH675" s="321" t="str">
        <f t="shared" si="45"/>
        <v/>
      </c>
      <c r="BI675" s="98" t="str">
        <f t="shared" si="46"/>
        <v>AA</v>
      </c>
      <c r="BJ675" s="98" t="str">
        <f t="shared" si="47"/>
        <v>NÃO</v>
      </c>
      <c r="BK675" s="230"/>
      <c r="BL675" s="230"/>
      <c r="BM675" s="230"/>
      <c r="BN675" s="230"/>
      <c r="BO675" s="230"/>
      <c r="BP675" s="230"/>
      <c r="BQ675" s="230"/>
      <c r="BR675" s="234"/>
    </row>
    <row r="676" spans="1:71" ht="27" hidden="1" customHeight="1">
      <c r="A676" s="207">
        <v>672</v>
      </c>
      <c r="B676" s="197" t="s">
        <v>4396</v>
      </c>
      <c r="C676" s="207" t="s">
        <v>4427</v>
      </c>
      <c r="D676" s="207">
        <v>1</v>
      </c>
      <c r="E676" s="207" t="s">
        <v>4398</v>
      </c>
      <c r="F676" s="214" t="s">
        <v>7301</v>
      </c>
      <c r="G676" s="207" t="s">
        <v>4400</v>
      </c>
      <c r="H676" s="207" t="s">
        <v>4401</v>
      </c>
      <c r="I676" s="217" t="s">
        <v>4402</v>
      </c>
      <c r="J676" s="255" t="s">
        <v>7302</v>
      </c>
      <c r="K676" s="215" t="s">
        <v>4440</v>
      </c>
      <c r="L676" s="215" t="s">
        <v>7303</v>
      </c>
      <c r="M676" s="207" t="s">
        <v>4405</v>
      </c>
      <c r="N676" s="207" t="s">
        <v>4406</v>
      </c>
      <c r="O676" s="203">
        <v>46044</v>
      </c>
      <c r="P676" s="203" t="s">
        <v>4407</v>
      </c>
      <c r="Q676" s="203">
        <v>46043</v>
      </c>
      <c r="R676" s="203">
        <v>46044</v>
      </c>
      <c r="S676" s="203">
        <v>46045</v>
      </c>
      <c r="T676" s="203">
        <v>46155</v>
      </c>
      <c r="U676" s="202" t="s">
        <v>4408</v>
      </c>
      <c r="V676" s="202" t="s">
        <v>4408</v>
      </c>
      <c r="W676" s="202">
        <v>46055</v>
      </c>
      <c r="X676" s="202">
        <v>46056</v>
      </c>
      <c r="Y676" s="202"/>
      <c r="Z676" s="207"/>
      <c r="AA676" s="255" t="s">
        <v>7302</v>
      </c>
      <c r="AB676" s="215" t="s">
        <v>4440</v>
      </c>
      <c r="AC676" s="215" t="s">
        <v>7303</v>
      </c>
      <c r="AD676" s="207" t="s">
        <v>4402</v>
      </c>
      <c r="AE676" s="207" t="s">
        <v>4405</v>
      </c>
      <c r="AF676" s="218" t="s">
        <v>4409</v>
      </c>
      <c r="AG676" s="218" t="s">
        <v>4409</v>
      </c>
      <c r="AH676" s="207" t="s">
        <v>4410</v>
      </c>
      <c r="AI676" s="214" t="s">
        <v>4411</v>
      </c>
      <c r="AJ676" s="207"/>
      <c r="AK676" s="316">
        <v>46041</v>
      </c>
      <c r="AL676" s="316">
        <v>46041</v>
      </c>
      <c r="AM676" s="316">
        <v>46041</v>
      </c>
      <c r="AN676" s="316">
        <v>46041</v>
      </c>
      <c r="AO676" s="316">
        <v>46041</v>
      </c>
      <c r="AP676" s="316">
        <v>46041</v>
      </c>
      <c r="AQ676" s="314"/>
      <c r="AR676" s="315" t="str">
        <f t="shared" si="48"/>
        <v>FINALIZADO</v>
      </c>
      <c r="AS676" s="207"/>
      <c r="AT676" s="207"/>
      <c r="AU676" s="225"/>
      <c r="AV676" s="207"/>
      <c r="AW676" s="207"/>
      <c r="AX676" s="207"/>
      <c r="AY676" s="207"/>
      <c r="AZ676" s="202"/>
      <c r="BA676" s="219"/>
      <c r="BB676" s="207"/>
      <c r="BC676" s="202"/>
      <c r="BD676" s="208"/>
      <c r="BE676" s="202"/>
      <c r="BF676" s="207"/>
      <c r="BG676" s="229"/>
      <c r="BH676" s="321" t="str">
        <f t="shared" si="45"/>
        <v/>
      </c>
      <c r="BI676" s="98" t="str">
        <f t="shared" si="46"/>
        <v>AA</v>
      </c>
      <c r="BJ676" s="98" t="str">
        <f t="shared" si="47"/>
        <v>NÃO</v>
      </c>
      <c r="BK676" s="230"/>
      <c r="BL676" s="230"/>
      <c r="BM676" s="230"/>
      <c r="BN676" s="230"/>
      <c r="BO676" s="230"/>
      <c r="BP676" s="230"/>
      <c r="BQ676" s="230"/>
      <c r="BR676" s="234"/>
    </row>
    <row r="677" spans="1:71" ht="27" hidden="1" customHeight="1">
      <c r="A677" s="207">
        <v>673</v>
      </c>
      <c r="B677" s="197" t="s">
        <v>4396</v>
      </c>
      <c r="C677" s="207" t="s">
        <v>4427</v>
      </c>
      <c r="D677" s="207">
        <v>1</v>
      </c>
      <c r="E677" s="207" t="s">
        <v>4398</v>
      </c>
      <c r="F677" s="214" t="s">
        <v>7304</v>
      </c>
      <c r="G677" s="207" t="s">
        <v>4400</v>
      </c>
      <c r="H677" s="207" t="s">
        <v>4401</v>
      </c>
      <c r="I677" s="217" t="s">
        <v>4402</v>
      </c>
      <c r="J677" s="255" t="s">
        <v>7305</v>
      </c>
      <c r="K677" s="215" t="s">
        <v>7306</v>
      </c>
      <c r="L677" s="215" t="s">
        <v>7307</v>
      </c>
      <c r="M677" s="207" t="s">
        <v>4405</v>
      </c>
      <c r="N677" s="207" t="s">
        <v>4406</v>
      </c>
      <c r="O677" s="203">
        <v>46044</v>
      </c>
      <c r="P677" s="203" t="s">
        <v>4407</v>
      </c>
      <c r="Q677" s="203">
        <v>46043</v>
      </c>
      <c r="R677" s="203">
        <v>46044</v>
      </c>
      <c r="S677" s="203">
        <v>46045</v>
      </c>
      <c r="T677" s="203">
        <v>46155</v>
      </c>
      <c r="U677" s="202" t="s">
        <v>4408</v>
      </c>
      <c r="V677" s="202" t="s">
        <v>4408</v>
      </c>
      <c r="W677" s="202">
        <v>46055</v>
      </c>
      <c r="X677" s="202">
        <v>46056</v>
      </c>
      <c r="Y677" s="202"/>
      <c r="Z677" s="207"/>
      <c r="AA677" s="255" t="s">
        <v>7305</v>
      </c>
      <c r="AB677" s="215" t="s">
        <v>7306</v>
      </c>
      <c r="AC677" s="215" t="s">
        <v>7307</v>
      </c>
      <c r="AD677" s="207" t="s">
        <v>4402</v>
      </c>
      <c r="AE677" s="207" t="s">
        <v>4405</v>
      </c>
      <c r="AF677" s="218" t="s">
        <v>4409</v>
      </c>
      <c r="AG677" s="218" t="s">
        <v>4409</v>
      </c>
      <c r="AH677" s="207" t="s">
        <v>4410</v>
      </c>
      <c r="AI677" s="214" t="s">
        <v>4411</v>
      </c>
      <c r="AJ677" s="207"/>
      <c r="AK677" s="316"/>
      <c r="AL677" s="316"/>
      <c r="AM677" s="316"/>
      <c r="AN677" s="316"/>
      <c r="AO677" s="316"/>
      <c r="AP677" s="316"/>
      <c r="AQ677" s="314"/>
      <c r="AR677" s="315" t="str">
        <f t="shared" si="48"/>
        <v/>
      </c>
      <c r="AS677" s="207"/>
      <c r="AT677" s="207"/>
      <c r="AU677" s="225"/>
      <c r="AV677" s="207"/>
      <c r="AW677" s="207"/>
      <c r="AX677" s="207"/>
      <c r="AY677" s="207"/>
      <c r="AZ677" s="202"/>
      <c r="BA677" s="219"/>
      <c r="BB677" s="207"/>
      <c r="BC677" s="202"/>
      <c r="BD677" s="208"/>
      <c r="BE677" s="202"/>
      <c r="BF677" s="207"/>
      <c r="BG677" s="229"/>
      <c r="BH677" s="321" t="str">
        <f t="shared" si="45"/>
        <v/>
      </c>
      <c r="BI677" s="98" t="str">
        <f t="shared" si="46"/>
        <v>AA</v>
      </c>
      <c r="BJ677" s="98" t="str">
        <f t="shared" si="47"/>
        <v>NÃO</v>
      </c>
      <c r="BK677" s="230"/>
      <c r="BL677" s="230"/>
      <c r="BM677" s="230"/>
      <c r="BN677" s="230"/>
      <c r="BO677" s="230"/>
      <c r="BP677" s="230"/>
      <c r="BQ677" s="230"/>
      <c r="BR677" s="234"/>
    </row>
    <row r="678" spans="1:71" ht="27" hidden="1" customHeight="1">
      <c r="A678" s="207">
        <v>674</v>
      </c>
      <c r="B678" s="197" t="s">
        <v>4396</v>
      </c>
      <c r="C678" s="207" t="s">
        <v>4427</v>
      </c>
      <c r="D678" s="207">
        <v>1</v>
      </c>
      <c r="E678" s="207" t="s">
        <v>4398</v>
      </c>
      <c r="F678" s="214" t="s">
        <v>7308</v>
      </c>
      <c r="G678" s="207" t="s">
        <v>4400</v>
      </c>
      <c r="H678" s="207" t="s">
        <v>4401</v>
      </c>
      <c r="I678" s="217" t="s">
        <v>4402</v>
      </c>
      <c r="J678" s="255" t="s">
        <v>7309</v>
      </c>
      <c r="K678" s="215" t="s">
        <v>7310</v>
      </c>
      <c r="L678" s="215" t="s">
        <v>7311</v>
      </c>
      <c r="M678" s="207" t="s">
        <v>4405</v>
      </c>
      <c r="N678" s="207" t="s">
        <v>4406</v>
      </c>
      <c r="O678" s="203">
        <v>46031</v>
      </c>
      <c r="P678" s="202" t="s">
        <v>4407</v>
      </c>
      <c r="Q678" s="203">
        <v>46030</v>
      </c>
      <c r="R678" s="203">
        <v>46031</v>
      </c>
      <c r="S678" s="203">
        <v>46036</v>
      </c>
      <c r="T678" s="203">
        <v>46045</v>
      </c>
      <c r="U678" s="203" t="s">
        <v>4408</v>
      </c>
      <c r="V678" s="203" t="s">
        <v>4408</v>
      </c>
      <c r="W678" s="202">
        <v>46055</v>
      </c>
      <c r="X678" s="202">
        <v>46056</v>
      </c>
      <c r="Y678" s="203"/>
      <c r="Z678" s="219"/>
      <c r="AA678" s="255" t="s">
        <v>7309</v>
      </c>
      <c r="AB678" s="215" t="s">
        <v>7310</v>
      </c>
      <c r="AC678" s="215" t="s">
        <v>7311</v>
      </c>
      <c r="AD678" s="207" t="s">
        <v>4402</v>
      </c>
      <c r="AE678" s="207" t="s">
        <v>4405</v>
      </c>
      <c r="AF678" s="218" t="s">
        <v>4409</v>
      </c>
      <c r="AG678" s="218" t="s">
        <v>4409</v>
      </c>
      <c r="AH678" s="207" t="s">
        <v>4410</v>
      </c>
      <c r="AI678" s="214" t="s">
        <v>4411</v>
      </c>
      <c r="AJ678" s="207"/>
      <c r="AK678" s="317"/>
      <c r="AL678" s="317"/>
      <c r="AM678" s="317"/>
      <c r="AN678" s="317"/>
      <c r="AO678" s="317"/>
      <c r="AP678" s="317"/>
      <c r="AQ678" s="314"/>
      <c r="AR678" s="315" t="str">
        <f t="shared" si="48"/>
        <v/>
      </c>
      <c r="AS678" s="207"/>
      <c r="AT678" s="219"/>
      <c r="AU678" s="225"/>
      <c r="AV678" s="219"/>
      <c r="AW678" s="219"/>
      <c r="AX678" s="219"/>
      <c r="AY678" s="219"/>
      <c r="AZ678" s="219"/>
      <c r="BA678" s="219"/>
      <c r="BB678" s="219"/>
      <c r="BC678" s="219"/>
      <c r="BD678" s="208"/>
      <c r="BE678" s="203"/>
      <c r="BF678" s="219"/>
      <c r="BG678" s="219"/>
      <c r="BH678" s="321" t="str">
        <f t="shared" si="45"/>
        <v/>
      </c>
      <c r="BI678" s="98" t="str">
        <f t="shared" si="46"/>
        <v>AA</v>
      </c>
      <c r="BJ678" s="98" t="str">
        <f t="shared" si="47"/>
        <v>NÃO</v>
      </c>
      <c r="BK678" s="219"/>
      <c r="BL678" s="221"/>
      <c r="BM678" s="221"/>
      <c r="BN678" s="219"/>
      <c r="BO678" s="219"/>
      <c r="BP678" s="219"/>
      <c r="BQ678" s="219"/>
      <c r="BR678" s="222"/>
    </row>
    <row r="679" spans="1:71" ht="27" hidden="1" customHeight="1">
      <c r="A679" s="197">
        <v>675</v>
      </c>
      <c r="B679" s="197" t="s">
        <v>4396</v>
      </c>
      <c r="C679" s="207" t="s">
        <v>4427</v>
      </c>
      <c r="D679" s="207">
        <v>1</v>
      </c>
      <c r="E679" s="207" t="s">
        <v>4398</v>
      </c>
      <c r="F679" s="214" t="s">
        <v>7312</v>
      </c>
      <c r="G679" s="207" t="s">
        <v>4400</v>
      </c>
      <c r="H679" s="207" t="s">
        <v>4583</v>
      </c>
      <c r="I679" s="217" t="s">
        <v>4402</v>
      </c>
      <c r="J679" s="215" t="s">
        <v>7313</v>
      </c>
      <c r="K679" s="215" t="s">
        <v>7314</v>
      </c>
      <c r="L679" s="215" t="s">
        <v>7315</v>
      </c>
      <c r="M679" s="207" t="s">
        <v>4405</v>
      </c>
      <c r="N679" s="207" t="s">
        <v>4442</v>
      </c>
      <c r="O679" s="202" t="s">
        <v>4409</v>
      </c>
      <c r="P679" s="202" t="s">
        <v>4409</v>
      </c>
      <c r="Q679" s="202" t="s">
        <v>4409</v>
      </c>
      <c r="R679" s="202" t="s">
        <v>4409</v>
      </c>
      <c r="S679" s="202" t="s">
        <v>4409</v>
      </c>
      <c r="T679" s="202" t="s">
        <v>4409</v>
      </c>
      <c r="U679" s="202" t="s">
        <v>4409</v>
      </c>
      <c r="V679" s="202" t="s">
        <v>4409</v>
      </c>
      <c r="W679" s="202" t="s">
        <v>4409</v>
      </c>
      <c r="X679" s="202" t="s">
        <v>4409</v>
      </c>
      <c r="Y679" s="202"/>
      <c r="Z679" s="202"/>
      <c r="AA679" s="215" t="s">
        <v>7313</v>
      </c>
      <c r="AB679" s="215" t="s">
        <v>7314</v>
      </c>
      <c r="AC679" s="215" t="s">
        <v>7315</v>
      </c>
      <c r="AD679" s="207" t="s">
        <v>4402</v>
      </c>
      <c r="AE679" s="207" t="s">
        <v>4405</v>
      </c>
      <c r="AF679" s="218">
        <v>46615.76</v>
      </c>
      <c r="AG679" s="218">
        <v>60000</v>
      </c>
      <c r="AH679" s="207" t="s">
        <v>4433</v>
      </c>
      <c r="AI679" s="214" t="s">
        <v>4411</v>
      </c>
      <c r="AJ679" s="207">
        <v>146672713</v>
      </c>
      <c r="AK679" s="316">
        <v>45980</v>
      </c>
      <c r="AL679" s="316">
        <v>45980</v>
      </c>
      <c r="AM679" s="316">
        <v>45980</v>
      </c>
      <c r="AN679" s="316">
        <v>45980</v>
      </c>
      <c r="AO679" s="316">
        <v>45980</v>
      </c>
      <c r="AP679" s="316">
        <v>45980</v>
      </c>
      <c r="AQ679" s="314"/>
      <c r="AR679" s="315" t="str">
        <f t="shared" si="48"/>
        <v>FINALIZADO</v>
      </c>
      <c r="AS679" s="207" t="s">
        <v>4423</v>
      </c>
      <c r="AT679" s="219"/>
      <c r="AU679" s="225" t="s">
        <v>7316</v>
      </c>
      <c r="AV679" s="207" t="s">
        <v>4425</v>
      </c>
      <c r="AW679" s="207" t="s">
        <v>4425</v>
      </c>
      <c r="AX679" s="207" t="s">
        <v>4425</v>
      </c>
      <c r="AY679" s="207" t="s">
        <v>4425</v>
      </c>
      <c r="AZ679" s="202">
        <v>46021</v>
      </c>
      <c r="BA679" s="219" t="s">
        <v>4425</v>
      </c>
      <c r="BB679" s="207" t="s">
        <v>4425</v>
      </c>
      <c r="BC679" s="239">
        <v>46041</v>
      </c>
      <c r="BD679" s="226">
        <v>46041</v>
      </c>
      <c r="BE679" s="226" t="s">
        <v>4435</v>
      </c>
      <c r="BF679" s="245" t="s">
        <v>4436</v>
      </c>
      <c r="BG679" s="229" t="s">
        <v>4425</v>
      </c>
      <c r="BH679" s="321">
        <f t="shared" si="45"/>
        <v>61</v>
      </c>
      <c r="BI679" s="98" t="str">
        <f t="shared" si="46"/>
        <v>INDENIZAÇÃO</v>
      </c>
      <c r="BJ679" s="98" t="str">
        <f t="shared" si="47"/>
        <v>NÃO</v>
      </c>
      <c r="BK679" s="230" t="s">
        <v>4437</v>
      </c>
      <c r="BL679" s="230" t="s">
        <v>4437</v>
      </c>
      <c r="BM679" s="230" t="s">
        <v>4437</v>
      </c>
      <c r="BN679" s="265" t="s">
        <v>5732</v>
      </c>
      <c r="BO679" s="265"/>
      <c r="BP679" s="265"/>
      <c r="BQ679" s="265"/>
      <c r="BR679" s="231"/>
      <c r="BS679" s="223"/>
    </row>
    <row r="680" spans="1:71" ht="27" hidden="1" customHeight="1">
      <c r="A680" s="197">
        <v>676</v>
      </c>
      <c r="B680" s="197" t="s">
        <v>4396</v>
      </c>
      <c r="C680" s="207" t="s">
        <v>4427</v>
      </c>
      <c r="D680" s="207">
        <v>1</v>
      </c>
      <c r="E680" s="207" t="s">
        <v>4398</v>
      </c>
      <c r="F680" s="214" t="s">
        <v>7317</v>
      </c>
      <c r="G680" s="207" t="s">
        <v>4400</v>
      </c>
      <c r="H680" s="207" t="s">
        <v>4401</v>
      </c>
      <c r="I680" s="217" t="s">
        <v>4402</v>
      </c>
      <c r="J680" s="215" t="s">
        <v>7318</v>
      </c>
      <c r="K680" s="215" t="s">
        <v>7319</v>
      </c>
      <c r="L680" s="215" t="s">
        <v>7320</v>
      </c>
      <c r="M680" s="207" t="s">
        <v>4405</v>
      </c>
      <c r="N680" s="207" t="s">
        <v>4442</v>
      </c>
      <c r="O680" s="202" t="s">
        <v>4409</v>
      </c>
      <c r="P680" s="202" t="s">
        <v>4409</v>
      </c>
      <c r="Q680" s="202" t="s">
        <v>4409</v>
      </c>
      <c r="R680" s="202" t="s">
        <v>4409</v>
      </c>
      <c r="S680" s="202" t="s">
        <v>4409</v>
      </c>
      <c r="T680" s="202" t="s">
        <v>4409</v>
      </c>
      <c r="U680" s="202" t="s">
        <v>4409</v>
      </c>
      <c r="V680" s="202" t="s">
        <v>4409</v>
      </c>
      <c r="W680" s="202" t="s">
        <v>4409</v>
      </c>
      <c r="X680" s="202" t="s">
        <v>4409</v>
      </c>
      <c r="Y680" s="202"/>
      <c r="Z680" s="202"/>
      <c r="AA680" s="215" t="s">
        <v>7321</v>
      </c>
      <c r="AB680" s="215" t="s">
        <v>7319</v>
      </c>
      <c r="AC680" s="215" t="s">
        <v>7320</v>
      </c>
      <c r="AD680" s="207" t="s">
        <v>4402</v>
      </c>
      <c r="AE680" s="207" t="s">
        <v>4405</v>
      </c>
      <c r="AF680" s="218">
        <v>31783.47</v>
      </c>
      <c r="AG680" s="218">
        <v>60000</v>
      </c>
      <c r="AH680" s="207" t="s">
        <v>4433</v>
      </c>
      <c r="AI680" s="214" t="s">
        <v>4411</v>
      </c>
      <c r="AJ680" s="207">
        <v>146672782</v>
      </c>
      <c r="AK680" s="316">
        <v>46001</v>
      </c>
      <c r="AL680" s="316">
        <v>46001</v>
      </c>
      <c r="AM680" s="316">
        <v>46001</v>
      </c>
      <c r="AN680" s="316">
        <v>46001</v>
      </c>
      <c r="AO680" s="316">
        <v>46001</v>
      </c>
      <c r="AP680" s="316">
        <v>46001</v>
      </c>
      <c r="AQ680" s="314"/>
      <c r="AR680" s="315" t="str">
        <f t="shared" si="48"/>
        <v>FINALIZADO</v>
      </c>
      <c r="AS680" s="207" t="s">
        <v>4423</v>
      </c>
      <c r="AT680" s="219"/>
      <c r="AU680" s="225" t="s">
        <v>7322</v>
      </c>
      <c r="AV680" s="207" t="s">
        <v>4425</v>
      </c>
      <c r="AW680" s="207" t="s">
        <v>4425</v>
      </c>
      <c r="AX680" s="207" t="s">
        <v>4425</v>
      </c>
      <c r="AY680" s="207" t="s">
        <v>4425</v>
      </c>
      <c r="AZ680" s="203">
        <v>46024</v>
      </c>
      <c r="BA680" s="219" t="s">
        <v>4425</v>
      </c>
      <c r="BB680" s="207" t="s">
        <v>4425</v>
      </c>
      <c r="BC680" s="208">
        <v>46038</v>
      </c>
      <c r="BD680" s="226">
        <v>46038</v>
      </c>
      <c r="BE680" s="226" t="s">
        <v>4435</v>
      </c>
      <c r="BF680" s="228" t="s">
        <v>4436</v>
      </c>
      <c r="BG680" s="229" t="s">
        <v>4425</v>
      </c>
      <c r="BH680" s="321">
        <f t="shared" si="45"/>
        <v>37</v>
      </c>
      <c r="BI680" s="98" t="str">
        <f t="shared" si="46"/>
        <v>INDENIZAÇÃO</v>
      </c>
      <c r="BJ680" s="98" t="str">
        <f t="shared" si="47"/>
        <v>NÃO</v>
      </c>
      <c r="BK680" s="230" t="s">
        <v>4437</v>
      </c>
      <c r="BL680" s="230" t="s">
        <v>4437</v>
      </c>
      <c r="BM680" s="230" t="s">
        <v>4437</v>
      </c>
      <c r="BN680" s="265" t="s">
        <v>5732</v>
      </c>
      <c r="BO680" s="265"/>
      <c r="BP680" s="265"/>
      <c r="BQ680" s="265"/>
      <c r="BR680" s="231"/>
      <c r="BS680" s="223"/>
    </row>
    <row r="681" spans="1:71" ht="27" hidden="1" customHeight="1">
      <c r="A681" s="207">
        <v>677</v>
      </c>
      <c r="B681" s="197" t="s">
        <v>4396</v>
      </c>
      <c r="C681" s="207" t="s">
        <v>4427</v>
      </c>
      <c r="D681" s="207">
        <v>1</v>
      </c>
      <c r="E681" s="207" t="s">
        <v>4398</v>
      </c>
      <c r="F681" s="214" t="s">
        <v>7323</v>
      </c>
      <c r="G681" s="207" t="s">
        <v>4400</v>
      </c>
      <c r="H681" s="207" t="s">
        <v>4401</v>
      </c>
      <c r="I681" s="217" t="s">
        <v>4402</v>
      </c>
      <c r="J681" s="215" t="s">
        <v>7324</v>
      </c>
      <c r="K681" s="215" t="s">
        <v>7325</v>
      </c>
      <c r="L681" s="215" t="s">
        <v>7326</v>
      </c>
      <c r="M681" s="207" t="s">
        <v>4405</v>
      </c>
      <c r="N681" s="207" t="s">
        <v>4406</v>
      </c>
      <c r="O681" s="202">
        <v>45986</v>
      </c>
      <c r="P681" s="203" t="s">
        <v>4407</v>
      </c>
      <c r="Q681" s="203">
        <v>45985</v>
      </c>
      <c r="R681" s="203">
        <v>45986</v>
      </c>
      <c r="S681" s="203">
        <v>45987</v>
      </c>
      <c r="T681" s="203">
        <v>45992</v>
      </c>
      <c r="U681" s="202" t="s">
        <v>4408</v>
      </c>
      <c r="V681" s="202" t="s">
        <v>4408</v>
      </c>
      <c r="W681" s="202">
        <v>45999</v>
      </c>
      <c r="X681" s="202">
        <v>46002</v>
      </c>
      <c r="Y681" s="202"/>
      <c r="Z681" s="207"/>
      <c r="AA681" s="215" t="s">
        <v>7324</v>
      </c>
      <c r="AB681" s="215" t="s">
        <v>7325</v>
      </c>
      <c r="AC681" s="215" t="s">
        <v>7326</v>
      </c>
      <c r="AD681" s="207" t="s">
        <v>4402</v>
      </c>
      <c r="AE681" s="207" t="s">
        <v>4405</v>
      </c>
      <c r="AF681" s="218" t="s">
        <v>4409</v>
      </c>
      <c r="AG681" s="218" t="s">
        <v>4409</v>
      </c>
      <c r="AH681" s="241" t="s">
        <v>4410</v>
      </c>
      <c r="AI681" s="214" t="s">
        <v>4411</v>
      </c>
      <c r="AJ681" s="207"/>
      <c r="AK681" s="316">
        <v>45980</v>
      </c>
      <c r="AL681" s="316">
        <v>45980</v>
      </c>
      <c r="AM681" s="316">
        <v>45980</v>
      </c>
      <c r="AN681" s="316">
        <v>45980</v>
      </c>
      <c r="AO681" s="316">
        <v>45980</v>
      </c>
      <c r="AP681" s="316">
        <v>45980</v>
      </c>
      <c r="AQ681" s="314"/>
      <c r="AR681" s="315" t="str">
        <f t="shared" si="48"/>
        <v>FINALIZADO</v>
      </c>
      <c r="AS681" s="207"/>
      <c r="AT681" s="207"/>
      <c r="AU681" s="225"/>
      <c r="AV681" s="207"/>
      <c r="AW681" s="207"/>
      <c r="AX681" s="207" t="s">
        <v>4409</v>
      </c>
      <c r="AY681" s="207" t="s">
        <v>4409</v>
      </c>
      <c r="AZ681" s="207" t="s">
        <v>4409</v>
      </c>
      <c r="BA681" s="207" t="s">
        <v>4409</v>
      </c>
      <c r="BB681" s="207"/>
      <c r="BC681" s="202"/>
      <c r="BD681" s="208"/>
      <c r="BE681" s="202"/>
      <c r="BF681" s="207"/>
      <c r="BG681" s="229"/>
      <c r="BH681" s="321" t="str">
        <f t="shared" si="45"/>
        <v/>
      </c>
      <c r="BI681" s="98" t="str">
        <f t="shared" si="46"/>
        <v>AA</v>
      </c>
      <c r="BJ681" s="98" t="str">
        <f t="shared" si="47"/>
        <v>NÃO</v>
      </c>
      <c r="BK681" s="230"/>
      <c r="BL681" s="230"/>
      <c r="BM681" s="230"/>
      <c r="BN681" s="230"/>
      <c r="BO681" s="230"/>
      <c r="BP681" s="230"/>
      <c r="BQ681" s="230"/>
      <c r="BR681" s="234"/>
      <c r="BS681" s="240"/>
    </row>
    <row r="682" spans="1:71" ht="27" hidden="1" customHeight="1">
      <c r="A682" s="207">
        <v>678</v>
      </c>
      <c r="B682" s="197" t="s">
        <v>4396</v>
      </c>
      <c r="C682" s="207" t="s">
        <v>4427</v>
      </c>
      <c r="D682" s="207">
        <v>1</v>
      </c>
      <c r="E682" s="207" t="s">
        <v>4398</v>
      </c>
      <c r="F682" s="214" t="s">
        <v>7327</v>
      </c>
      <c r="G682" s="207" t="s">
        <v>4400</v>
      </c>
      <c r="H682" s="207" t="s">
        <v>4401</v>
      </c>
      <c r="I682" s="217" t="s">
        <v>4402</v>
      </c>
      <c r="J682" s="215" t="s">
        <v>7321</v>
      </c>
      <c r="K682" s="215" t="s">
        <v>7328</v>
      </c>
      <c r="L682" s="215" t="s">
        <v>7329</v>
      </c>
      <c r="M682" s="207" t="s">
        <v>4405</v>
      </c>
      <c r="N682" s="207" t="s">
        <v>4406</v>
      </c>
      <c r="O682" s="202">
        <v>46002</v>
      </c>
      <c r="P682" s="202" t="s">
        <v>4407</v>
      </c>
      <c r="Q682" s="202">
        <v>45999</v>
      </c>
      <c r="R682" s="202">
        <v>46006</v>
      </c>
      <c r="S682" s="202">
        <v>46006</v>
      </c>
      <c r="T682" s="202">
        <v>46009</v>
      </c>
      <c r="U682" s="202" t="s">
        <v>4408</v>
      </c>
      <c r="V682" s="202" t="s">
        <v>4408</v>
      </c>
      <c r="W682" s="202">
        <v>46014</v>
      </c>
      <c r="X682" s="202">
        <v>46029</v>
      </c>
      <c r="Y682" s="202"/>
      <c r="Z682" s="207"/>
      <c r="AA682" s="215" t="s">
        <v>7321</v>
      </c>
      <c r="AB682" s="215" t="s">
        <v>7328</v>
      </c>
      <c r="AC682" s="215" t="s">
        <v>7329</v>
      </c>
      <c r="AD682" s="207" t="s">
        <v>4402</v>
      </c>
      <c r="AE682" s="207" t="s">
        <v>4405</v>
      </c>
      <c r="AF682" s="218" t="s">
        <v>4409</v>
      </c>
      <c r="AG682" s="218" t="s">
        <v>4409</v>
      </c>
      <c r="AH682" s="197" t="s">
        <v>4410</v>
      </c>
      <c r="AI682" s="214" t="s">
        <v>4411</v>
      </c>
      <c r="AJ682" s="207"/>
      <c r="AK682" s="316">
        <v>45980</v>
      </c>
      <c r="AL682" s="316">
        <v>45980</v>
      </c>
      <c r="AM682" s="316">
        <v>45980</v>
      </c>
      <c r="AN682" s="316">
        <v>45980</v>
      </c>
      <c r="AO682" s="316">
        <v>45980</v>
      </c>
      <c r="AP682" s="316">
        <v>45980</v>
      </c>
      <c r="AQ682" s="314"/>
      <c r="AR682" s="315" t="str">
        <f t="shared" si="48"/>
        <v>FINALIZADO</v>
      </c>
      <c r="AS682" s="207"/>
      <c r="AT682" s="207"/>
      <c r="AU682" s="225"/>
      <c r="AV682" s="207"/>
      <c r="AW682" s="207"/>
      <c r="AX682" s="207"/>
      <c r="AY682" s="207"/>
      <c r="AZ682" s="202"/>
      <c r="BA682" s="219"/>
      <c r="BB682" s="207"/>
      <c r="BC682" s="202"/>
      <c r="BD682" s="208"/>
      <c r="BE682" s="202"/>
      <c r="BF682" s="207"/>
      <c r="BG682" s="229"/>
      <c r="BH682" s="321" t="str">
        <f t="shared" si="45"/>
        <v/>
      </c>
      <c r="BI682" s="98" t="str">
        <f t="shared" si="46"/>
        <v>AA</v>
      </c>
      <c r="BJ682" s="98" t="str">
        <f t="shared" si="47"/>
        <v>NÃO</v>
      </c>
      <c r="BK682" s="230"/>
      <c r="BL682" s="230"/>
      <c r="BM682" s="230"/>
      <c r="BN682" s="230"/>
      <c r="BO682" s="230"/>
      <c r="BP682" s="230"/>
      <c r="BQ682" s="230"/>
      <c r="BR682" s="234"/>
    </row>
    <row r="683" spans="1:71" ht="27" hidden="1" customHeight="1">
      <c r="A683" s="207">
        <v>679</v>
      </c>
      <c r="B683" s="197" t="s">
        <v>4396</v>
      </c>
      <c r="C683" s="207" t="s">
        <v>4427</v>
      </c>
      <c r="D683" s="207">
        <v>1</v>
      </c>
      <c r="E683" s="207" t="s">
        <v>4398</v>
      </c>
      <c r="F683" s="214" t="s">
        <v>7330</v>
      </c>
      <c r="G683" s="207" t="s">
        <v>4400</v>
      </c>
      <c r="H683" s="207" t="s">
        <v>4401</v>
      </c>
      <c r="I683" s="217" t="s">
        <v>4402</v>
      </c>
      <c r="J683" s="215" t="s">
        <v>7331</v>
      </c>
      <c r="K683" s="215" t="s">
        <v>7332</v>
      </c>
      <c r="L683" s="215" t="s">
        <v>7333</v>
      </c>
      <c r="M683" s="207" t="s">
        <v>4405</v>
      </c>
      <c r="N683" s="207" t="s">
        <v>4406</v>
      </c>
      <c r="O683" s="202">
        <v>45986</v>
      </c>
      <c r="P683" s="203" t="s">
        <v>4407</v>
      </c>
      <c r="Q683" s="203">
        <v>45985</v>
      </c>
      <c r="R683" s="203">
        <v>45986</v>
      </c>
      <c r="S683" s="203">
        <v>45987</v>
      </c>
      <c r="T683" s="203">
        <v>45992</v>
      </c>
      <c r="U683" s="202" t="s">
        <v>4408</v>
      </c>
      <c r="V683" s="202" t="s">
        <v>4408</v>
      </c>
      <c r="W683" s="202">
        <v>45999</v>
      </c>
      <c r="X683" s="202">
        <v>46001</v>
      </c>
      <c r="Y683" s="202"/>
      <c r="Z683" s="207"/>
      <c r="AA683" s="215" t="s">
        <v>7331</v>
      </c>
      <c r="AB683" s="215" t="s">
        <v>7332</v>
      </c>
      <c r="AC683" s="215" t="s">
        <v>7333</v>
      </c>
      <c r="AD683" s="207" t="s">
        <v>4402</v>
      </c>
      <c r="AE683" s="207" t="s">
        <v>4405</v>
      </c>
      <c r="AF683" s="218" t="s">
        <v>4409</v>
      </c>
      <c r="AG683" s="218" t="s">
        <v>4409</v>
      </c>
      <c r="AH683" s="241" t="s">
        <v>4410</v>
      </c>
      <c r="AI683" s="214" t="s">
        <v>4411</v>
      </c>
      <c r="AJ683" s="207"/>
      <c r="AK683" s="316">
        <v>45980</v>
      </c>
      <c r="AL683" s="316">
        <v>45980</v>
      </c>
      <c r="AM683" s="316">
        <v>45980</v>
      </c>
      <c r="AN683" s="316">
        <v>45980</v>
      </c>
      <c r="AO683" s="316">
        <v>45980</v>
      </c>
      <c r="AP683" s="316">
        <v>45980</v>
      </c>
      <c r="AQ683" s="314"/>
      <c r="AR683" s="315" t="str">
        <f t="shared" si="48"/>
        <v>FINALIZADO</v>
      </c>
      <c r="AS683" s="207"/>
      <c r="AT683" s="207"/>
      <c r="AU683" s="225"/>
      <c r="AV683" s="207"/>
      <c r="AW683" s="207"/>
      <c r="AX683" s="207" t="s">
        <v>4409</v>
      </c>
      <c r="AY683" s="207" t="s">
        <v>4409</v>
      </c>
      <c r="AZ683" s="207" t="s">
        <v>4409</v>
      </c>
      <c r="BA683" s="207" t="s">
        <v>4409</v>
      </c>
      <c r="BB683" s="207"/>
      <c r="BC683" s="202"/>
      <c r="BD683" s="208"/>
      <c r="BE683" s="202"/>
      <c r="BF683" s="207"/>
      <c r="BG683" s="229"/>
      <c r="BH683" s="321" t="str">
        <f t="shared" si="45"/>
        <v/>
      </c>
      <c r="BI683" s="98" t="str">
        <f t="shared" si="46"/>
        <v>AA</v>
      </c>
      <c r="BJ683" s="98" t="str">
        <f t="shared" si="47"/>
        <v>NÃO</v>
      </c>
      <c r="BK683" s="230"/>
      <c r="BL683" s="230"/>
      <c r="BM683" s="230"/>
      <c r="BN683" s="230"/>
      <c r="BO683" s="230"/>
      <c r="BP683" s="230"/>
      <c r="BQ683" s="230"/>
      <c r="BR683" s="234"/>
    </row>
    <row r="684" spans="1:71" ht="27" hidden="1" customHeight="1">
      <c r="A684" s="197">
        <v>680</v>
      </c>
      <c r="B684" s="197" t="s">
        <v>4396</v>
      </c>
      <c r="C684" s="207" t="s">
        <v>4427</v>
      </c>
      <c r="D684" s="207">
        <v>1</v>
      </c>
      <c r="E684" s="207" t="s">
        <v>4398</v>
      </c>
      <c r="F684" s="214" t="s">
        <v>7334</v>
      </c>
      <c r="G684" s="207" t="s">
        <v>4400</v>
      </c>
      <c r="H684" s="207" t="s">
        <v>4401</v>
      </c>
      <c r="I684" s="217" t="s">
        <v>7022</v>
      </c>
      <c r="J684" s="215" t="s">
        <v>7335</v>
      </c>
      <c r="K684" s="215" t="s">
        <v>7336</v>
      </c>
      <c r="L684" s="215" t="s">
        <v>7337</v>
      </c>
      <c r="M684" s="207" t="s">
        <v>4405</v>
      </c>
      <c r="N684" s="207" t="s">
        <v>4406</v>
      </c>
      <c r="O684" s="202">
        <v>45986</v>
      </c>
      <c r="P684" s="203" t="s">
        <v>4407</v>
      </c>
      <c r="Q684" s="203">
        <v>45985</v>
      </c>
      <c r="R684" s="203">
        <v>45986</v>
      </c>
      <c r="S684" s="203">
        <v>45987</v>
      </c>
      <c r="T684" s="203">
        <v>45992</v>
      </c>
      <c r="U684" s="202" t="s">
        <v>4408</v>
      </c>
      <c r="V684" s="202" t="s">
        <v>4408</v>
      </c>
      <c r="W684" s="202">
        <v>45999</v>
      </c>
      <c r="X684" s="202">
        <v>46001</v>
      </c>
      <c r="Y684" s="202"/>
      <c r="Z684" s="207"/>
      <c r="AA684" s="215" t="s">
        <v>7335</v>
      </c>
      <c r="AB684" s="215" t="s">
        <v>7336</v>
      </c>
      <c r="AC684" s="215" t="s">
        <v>7337</v>
      </c>
      <c r="AD684" s="207" t="s">
        <v>4402</v>
      </c>
      <c r="AE684" s="207" t="s">
        <v>4405</v>
      </c>
      <c r="AF684" s="218" t="s">
        <v>4409</v>
      </c>
      <c r="AG684" s="218" t="s">
        <v>4409</v>
      </c>
      <c r="AH684" s="204" t="s">
        <v>4410</v>
      </c>
      <c r="AI684" s="214" t="s">
        <v>4411</v>
      </c>
      <c r="AJ684" s="207"/>
      <c r="AK684" s="316">
        <v>45980</v>
      </c>
      <c r="AL684" s="316">
        <v>45980</v>
      </c>
      <c r="AM684" s="316">
        <v>45980</v>
      </c>
      <c r="AN684" s="316">
        <v>45980</v>
      </c>
      <c r="AO684" s="316">
        <v>45980</v>
      </c>
      <c r="AP684" s="316">
        <v>45980</v>
      </c>
      <c r="AQ684" s="314"/>
      <c r="AR684" s="315" t="str">
        <f t="shared" si="48"/>
        <v>FINALIZADO</v>
      </c>
      <c r="AS684" s="207"/>
      <c r="AT684" s="207"/>
      <c r="AU684" s="225"/>
      <c r="AV684" s="207"/>
      <c r="AW684" s="207"/>
      <c r="AX684" s="207" t="s">
        <v>4409</v>
      </c>
      <c r="AY684" s="207" t="s">
        <v>4409</v>
      </c>
      <c r="AZ684" s="207" t="s">
        <v>4409</v>
      </c>
      <c r="BA684" s="207" t="s">
        <v>4409</v>
      </c>
      <c r="BB684" s="207"/>
      <c r="BC684" s="202"/>
      <c r="BD684" s="208"/>
      <c r="BE684" s="202"/>
      <c r="BF684" s="207"/>
      <c r="BG684" s="229"/>
      <c r="BH684" s="321" t="str">
        <f t="shared" si="45"/>
        <v/>
      </c>
      <c r="BI684" s="98" t="str">
        <f t="shared" si="46"/>
        <v>AA</v>
      </c>
      <c r="BJ684" s="98" t="str">
        <f t="shared" si="47"/>
        <v>NÃO</v>
      </c>
      <c r="BK684" s="230"/>
      <c r="BL684" s="230"/>
      <c r="BM684" s="230"/>
      <c r="BN684" s="230"/>
      <c r="BO684" s="230"/>
      <c r="BP684" s="230"/>
      <c r="BQ684" s="230"/>
      <c r="BR684" s="234"/>
    </row>
    <row r="685" spans="1:71" ht="27" hidden="1" customHeight="1">
      <c r="A685" s="197">
        <v>681</v>
      </c>
      <c r="B685" s="197" t="s">
        <v>4396</v>
      </c>
      <c r="C685" s="207" t="s">
        <v>4427</v>
      </c>
      <c r="D685" s="207">
        <v>1</v>
      </c>
      <c r="E685" s="207" t="s">
        <v>4398</v>
      </c>
      <c r="F685" s="214" t="s">
        <v>7338</v>
      </c>
      <c r="G685" s="207" t="s">
        <v>4400</v>
      </c>
      <c r="H685" s="207" t="s">
        <v>4401</v>
      </c>
      <c r="I685" s="217" t="s">
        <v>4402</v>
      </c>
      <c r="J685" s="215" t="s">
        <v>7339</v>
      </c>
      <c r="K685" s="215" t="s">
        <v>7340</v>
      </c>
      <c r="L685" s="215" t="s">
        <v>7341</v>
      </c>
      <c r="M685" s="207" t="s">
        <v>4405</v>
      </c>
      <c r="N685" s="207" t="s">
        <v>4406</v>
      </c>
      <c r="O685" s="202">
        <v>45986</v>
      </c>
      <c r="P685" s="203" t="s">
        <v>4407</v>
      </c>
      <c r="Q685" s="203">
        <v>45985</v>
      </c>
      <c r="R685" s="203">
        <v>45986</v>
      </c>
      <c r="S685" s="203">
        <v>45987</v>
      </c>
      <c r="T685" s="203">
        <v>45992</v>
      </c>
      <c r="U685" s="203" t="s">
        <v>4408</v>
      </c>
      <c r="V685" s="203" t="s">
        <v>4408</v>
      </c>
      <c r="W685" s="202">
        <v>45999</v>
      </c>
      <c r="X685" s="202">
        <v>46001</v>
      </c>
      <c r="Y685" s="202"/>
      <c r="Z685" s="207"/>
      <c r="AA685" s="215" t="s">
        <v>7339</v>
      </c>
      <c r="AB685" s="215" t="s">
        <v>7340</v>
      </c>
      <c r="AC685" s="215" t="s">
        <v>7341</v>
      </c>
      <c r="AD685" s="207" t="s">
        <v>4402</v>
      </c>
      <c r="AE685" s="207" t="s">
        <v>4405</v>
      </c>
      <c r="AF685" s="218" t="s">
        <v>4409</v>
      </c>
      <c r="AG685" s="218" t="s">
        <v>4409</v>
      </c>
      <c r="AH685" s="204" t="s">
        <v>4410</v>
      </c>
      <c r="AI685" s="214" t="s">
        <v>4411</v>
      </c>
      <c r="AJ685" s="207"/>
      <c r="AK685" s="316">
        <v>45980</v>
      </c>
      <c r="AL685" s="316">
        <v>45980</v>
      </c>
      <c r="AM685" s="316">
        <v>45980</v>
      </c>
      <c r="AN685" s="316">
        <v>45980</v>
      </c>
      <c r="AO685" s="316">
        <v>45980</v>
      </c>
      <c r="AP685" s="316">
        <v>45980</v>
      </c>
      <c r="AQ685" s="314"/>
      <c r="AR685" s="315" t="str">
        <f t="shared" si="48"/>
        <v>FINALIZADO</v>
      </c>
      <c r="AS685" s="207"/>
      <c r="AT685" s="207"/>
      <c r="AU685" s="225"/>
      <c r="AV685" s="207"/>
      <c r="AW685" s="207"/>
      <c r="AX685" s="207" t="s">
        <v>4409</v>
      </c>
      <c r="AY685" s="207" t="s">
        <v>4409</v>
      </c>
      <c r="AZ685" s="207" t="s">
        <v>4409</v>
      </c>
      <c r="BA685" s="207" t="s">
        <v>4409</v>
      </c>
      <c r="BB685" s="207"/>
      <c r="BC685" s="202"/>
      <c r="BD685" s="208"/>
      <c r="BE685" s="202"/>
      <c r="BF685" s="207"/>
      <c r="BG685" s="229"/>
      <c r="BH685" s="321" t="str">
        <f t="shared" si="45"/>
        <v/>
      </c>
      <c r="BI685" s="98" t="str">
        <f t="shared" si="46"/>
        <v>AA</v>
      </c>
      <c r="BJ685" s="98" t="str">
        <f t="shared" si="47"/>
        <v>NÃO</v>
      </c>
      <c r="BK685" s="230"/>
      <c r="BL685" s="230"/>
      <c r="BM685" s="230"/>
      <c r="BN685" s="230"/>
      <c r="BO685" s="230"/>
      <c r="BP685" s="230"/>
      <c r="BQ685" s="230"/>
      <c r="BR685" s="234"/>
    </row>
    <row r="686" spans="1:71" ht="27" hidden="1" customHeight="1">
      <c r="A686" s="207">
        <v>682</v>
      </c>
      <c r="B686" s="197" t="s">
        <v>4396</v>
      </c>
      <c r="C686" s="207" t="s">
        <v>4427</v>
      </c>
      <c r="D686" s="207">
        <v>1</v>
      </c>
      <c r="E686" s="207" t="s">
        <v>4398</v>
      </c>
      <c r="F686" s="214" t="s">
        <v>7342</v>
      </c>
      <c r="G686" s="207" t="s">
        <v>4400</v>
      </c>
      <c r="H686" s="207" t="s">
        <v>4401</v>
      </c>
      <c r="I686" s="217" t="s">
        <v>4402</v>
      </c>
      <c r="J686" s="215" t="s">
        <v>7343</v>
      </c>
      <c r="K686" s="215" t="s">
        <v>7344</v>
      </c>
      <c r="L686" s="215" t="s">
        <v>7345</v>
      </c>
      <c r="M686" s="207" t="s">
        <v>4405</v>
      </c>
      <c r="N686" s="207" t="s">
        <v>4406</v>
      </c>
      <c r="O686" s="202">
        <v>45986</v>
      </c>
      <c r="P686" s="203" t="s">
        <v>4407</v>
      </c>
      <c r="Q686" s="203">
        <v>45985</v>
      </c>
      <c r="R686" s="203">
        <v>45986</v>
      </c>
      <c r="S686" s="203">
        <v>45987</v>
      </c>
      <c r="T686" s="203">
        <v>45992</v>
      </c>
      <c r="U686" s="202" t="s">
        <v>4408</v>
      </c>
      <c r="V686" s="202" t="s">
        <v>4408</v>
      </c>
      <c r="W686" s="202">
        <v>45999</v>
      </c>
      <c r="X686" s="202">
        <v>46009</v>
      </c>
      <c r="Y686" s="203"/>
      <c r="Z686" s="219"/>
      <c r="AA686" s="215" t="s">
        <v>7343</v>
      </c>
      <c r="AB686" s="215" t="s">
        <v>7344</v>
      </c>
      <c r="AC686" s="215" t="s">
        <v>7345</v>
      </c>
      <c r="AD686" s="207" t="s">
        <v>4402</v>
      </c>
      <c r="AE686" s="207" t="s">
        <v>4405</v>
      </c>
      <c r="AF686" s="218" t="s">
        <v>4409</v>
      </c>
      <c r="AG686" s="218" t="s">
        <v>4409</v>
      </c>
      <c r="AH686" s="204" t="s">
        <v>4410</v>
      </c>
      <c r="AI686" s="214" t="s">
        <v>4411</v>
      </c>
      <c r="AJ686" s="207"/>
      <c r="AK686" s="316">
        <v>45980</v>
      </c>
      <c r="AL686" s="316">
        <v>45980</v>
      </c>
      <c r="AM686" s="316">
        <v>45980</v>
      </c>
      <c r="AN686" s="316">
        <v>45980</v>
      </c>
      <c r="AO686" s="316">
        <v>45980</v>
      </c>
      <c r="AP686" s="316">
        <v>45980</v>
      </c>
      <c r="AQ686" s="314"/>
      <c r="AR686" s="315" t="str">
        <f t="shared" si="48"/>
        <v>FINALIZADO</v>
      </c>
      <c r="AS686" s="207"/>
      <c r="AT686" s="219"/>
      <c r="AU686" s="225"/>
      <c r="AV686" s="207"/>
      <c r="AW686" s="207"/>
      <c r="AX686" s="207" t="s">
        <v>4409</v>
      </c>
      <c r="AY686" s="207" t="s">
        <v>4409</v>
      </c>
      <c r="AZ686" s="207" t="s">
        <v>4409</v>
      </c>
      <c r="BA686" s="207" t="s">
        <v>4409</v>
      </c>
      <c r="BB686" s="219"/>
      <c r="BC686" s="219"/>
      <c r="BD686" s="208"/>
      <c r="BE686" s="202"/>
      <c r="BF686" s="207"/>
      <c r="BG686" s="229"/>
      <c r="BH686" s="321" t="str">
        <f t="shared" si="45"/>
        <v/>
      </c>
      <c r="BI686" s="98" t="str">
        <f t="shared" si="46"/>
        <v>AA</v>
      </c>
      <c r="BJ686" s="98" t="str">
        <f t="shared" si="47"/>
        <v>NÃO</v>
      </c>
      <c r="BK686" s="230"/>
      <c r="BL686" s="230"/>
      <c r="BM686" s="230"/>
      <c r="BN686" s="230"/>
      <c r="BO686" s="230"/>
      <c r="BP686" s="230"/>
      <c r="BQ686" s="230"/>
      <c r="BR686" s="234"/>
    </row>
    <row r="687" spans="1:71" ht="27" hidden="1" customHeight="1">
      <c r="A687" s="207">
        <v>683</v>
      </c>
      <c r="B687" s="197" t="s">
        <v>4396</v>
      </c>
      <c r="C687" s="207" t="s">
        <v>4427</v>
      </c>
      <c r="D687" s="207">
        <v>1</v>
      </c>
      <c r="E687" s="207" t="s">
        <v>4398</v>
      </c>
      <c r="F687" s="214" t="s">
        <v>7346</v>
      </c>
      <c r="G687" s="207" t="s">
        <v>4400</v>
      </c>
      <c r="H687" s="207" t="s">
        <v>4401</v>
      </c>
      <c r="I687" s="217" t="s">
        <v>4402</v>
      </c>
      <c r="J687" s="215" t="s">
        <v>7347</v>
      </c>
      <c r="K687" s="215" t="s">
        <v>7348</v>
      </c>
      <c r="L687" s="215" t="s">
        <v>7349</v>
      </c>
      <c r="M687" s="207" t="s">
        <v>4405</v>
      </c>
      <c r="N687" s="207" t="s">
        <v>4406</v>
      </c>
      <c r="O687" s="202">
        <v>45986</v>
      </c>
      <c r="P687" s="203" t="s">
        <v>4407</v>
      </c>
      <c r="Q687" s="203">
        <v>45985</v>
      </c>
      <c r="R687" s="203">
        <v>45986</v>
      </c>
      <c r="S687" s="203">
        <v>45987</v>
      </c>
      <c r="T687" s="203">
        <v>45992</v>
      </c>
      <c r="U687" s="202" t="s">
        <v>4408</v>
      </c>
      <c r="V687" s="202" t="s">
        <v>4408</v>
      </c>
      <c r="W687" s="202">
        <v>45999</v>
      </c>
      <c r="X687" s="202">
        <v>46001</v>
      </c>
      <c r="Y687" s="202"/>
      <c r="Z687" s="207"/>
      <c r="AA687" s="215" t="s">
        <v>7347</v>
      </c>
      <c r="AB687" s="215" t="s">
        <v>7348</v>
      </c>
      <c r="AC687" s="215" t="s">
        <v>7349</v>
      </c>
      <c r="AD687" s="207" t="s">
        <v>4402</v>
      </c>
      <c r="AE687" s="207" t="s">
        <v>4405</v>
      </c>
      <c r="AF687" s="218" t="s">
        <v>4409</v>
      </c>
      <c r="AG687" s="218" t="s">
        <v>4409</v>
      </c>
      <c r="AH687" s="204" t="s">
        <v>4410</v>
      </c>
      <c r="AI687" s="214" t="s">
        <v>4411</v>
      </c>
      <c r="AJ687" s="207"/>
      <c r="AK687" s="316">
        <v>45980</v>
      </c>
      <c r="AL687" s="316">
        <v>45980</v>
      </c>
      <c r="AM687" s="316">
        <v>45980</v>
      </c>
      <c r="AN687" s="316">
        <v>45980</v>
      </c>
      <c r="AO687" s="316">
        <v>45980</v>
      </c>
      <c r="AP687" s="316">
        <v>45980</v>
      </c>
      <c r="AQ687" s="314"/>
      <c r="AR687" s="315" t="str">
        <f t="shared" si="48"/>
        <v>FINALIZADO</v>
      </c>
      <c r="AS687" s="207"/>
      <c r="AT687" s="207"/>
      <c r="AU687" s="225"/>
      <c r="AV687" s="207"/>
      <c r="AW687" s="207"/>
      <c r="AX687" s="207" t="s">
        <v>4409</v>
      </c>
      <c r="AY687" s="207" t="s">
        <v>4409</v>
      </c>
      <c r="AZ687" s="207" t="s">
        <v>4409</v>
      </c>
      <c r="BA687" s="207" t="s">
        <v>4409</v>
      </c>
      <c r="BB687" s="207"/>
      <c r="BC687" s="202"/>
      <c r="BD687" s="208"/>
      <c r="BE687" s="202"/>
      <c r="BF687" s="207"/>
      <c r="BG687" s="229"/>
      <c r="BH687" s="321" t="str">
        <f t="shared" si="45"/>
        <v/>
      </c>
      <c r="BI687" s="98" t="str">
        <f t="shared" si="46"/>
        <v>AA</v>
      </c>
      <c r="BJ687" s="98" t="str">
        <f t="shared" si="47"/>
        <v>NÃO</v>
      </c>
      <c r="BK687" s="230"/>
      <c r="BL687" s="230"/>
      <c r="BM687" s="230"/>
      <c r="BN687" s="230"/>
      <c r="BO687" s="230"/>
      <c r="BP687" s="230"/>
      <c r="BQ687" s="230"/>
      <c r="BR687" s="234"/>
    </row>
    <row r="688" spans="1:71" ht="27" hidden="1" customHeight="1">
      <c r="A688" s="207">
        <v>684</v>
      </c>
      <c r="B688" s="197" t="s">
        <v>4396</v>
      </c>
      <c r="C688" s="207" t="s">
        <v>4427</v>
      </c>
      <c r="D688" s="207">
        <v>1</v>
      </c>
      <c r="E688" s="207" t="s">
        <v>4398</v>
      </c>
      <c r="F688" s="214" t="s">
        <v>7350</v>
      </c>
      <c r="G688" s="207" t="s">
        <v>4400</v>
      </c>
      <c r="H688" s="207" t="s">
        <v>4401</v>
      </c>
      <c r="I688" s="217" t="s">
        <v>4402</v>
      </c>
      <c r="J688" s="215" t="s">
        <v>7351</v>
      </c>
      <c r="K688" s="215" t="s">
        <v>7352</v>
      </c>
      <c r="L688" s="215" t="s">
        <v>7353</v>
      </c>
      <c r="M688" s="207" t="s">
        <v>4405</v>
      </c>
      <c r="N688" s="207" t="s">
        <v>4406</v>
      </c>
      <c r="O688" s="202">
        <v>45986</v>
      </c>
      <c r="P688" s="203" t="s">
        <v>4407</v>
      </c>
      <c r="Q688" s="203">
        <v>45985</v>
      </c>
      <c r="R688" s="203">
        <v>45986</v>
      </c>
      <c r="S688" s="203">
        <v>45987</v>
      </c>
      <c r="T688" s="203">
        <v>45992</v>
      </c>
      <c r="U688" s="202" t="s">
        <v>4408</v>
      </c>
      <c r="V688" s="202" t="s">
        <v>4408</v>
      </c>
      <c r="W688" s="202">
        <v>45999</v>
      </c>
      <c r="X688" s="202">
        <v>46000</v>
      </c>
      <c r="Y688" s="202"/>
      <c r="Z688" s="207"/>
      <c r="AA688" s="215" t="s">
        <v>7351</v>
      </c>
      <c r="AB688" s="215" t="s">
        <v>7352</v>
      </c>
      <c r="AC688" s="215" t="s">
        <v>7353</v>
      </c>
      <c r="AD688" s="207" t="s">
        <v>4402</v>
      </c>
      <c r="AE688" s="207" t="s">
        <v>4405</v>
      </c>
      <c r="AF688" s="218" t="s">
        <v>4409</v>
      </c>
      <c r="AG688" s="218" t="s">
        <v>4409</v>
      </c>
      <c r="AH688" s="204" t="s">
        <v>4410</v>
      </c>
      <c r="AI688" s="214" t="s">
        <v>4411</v>
      </c>
      <c r="AJ688" s="207"/>
      <c r="AK688" s="316">
        <v>45980</v>
      </c>
      <c r="AL688" s="316">
        <v>45980</v>
      </c>
      <c r="AM688" s="316">
        <v>45980</v>
      </c>
      <c r="AN688" s="316">
        <v>45980</v>
      </c>
      <c r="AO688" s="316">
        <v>45980</v>
      </c>
      <c r="AP688" s="316">
        <v>45980</v>
      </c>
      <c r="AQ688" s="314"/>
      <c r="AR688" s="315" t="str">
        <f t="shared" si="48"/>
        <v>FINALIZADO</v>
      </c>
      <c r="AS688" s="207"/>
      <c r="AT688" s="207"/>
      <c r="AU688" s="225"/>
      <c r="AV688" s="207"/>
      <c r="AW688" s="207"/>
      <c r="AX688" s="207" t="s">
        <v>4409</v>
      </c>
      <c r="AY688" s="207" t="s">
        <v>4409</v>
      </c>
      <c r="AZ688" s="207" t="s">
        <v>4409</v>
      </c>
      <c r="BA688" s="207" t="s">
        <v>4409</v>
      </c>
      <c r="BB688" s="207"/>
      <c r="BC688" s="202"/>
      <c r="BD688" s="208"/>
      <c r="BE688" s="202"/>
      <c r="BF688" s="207"/>
      <c r="BG688" s="229"/>
      <c r="BH688" s="321" t="str">
        <f t="shared" si="45"/>
        <v/>
      </c>
      <c r="BI688" s="98" t="str">
        <f t="shared" si="46"/>
        <v>AA</v>
      </c>
      <c r="BJ688" s="98" t="str">
        <f t="shared" si="47"/>
        <v>NÃO</v>
      </c>
      <c r="BK688" s="230"/>
      <c r="BL688" s="230"/>
      <c r="BM688" s="230"/>
      <c r="BN688" s="230"/>
      <c r="BO688" s="230"/>
      <c r="BP688" s="230"/>
      <c r="BQ688" s="230"/>
      <c r="BR688" s="234"/>
    </row>
    <row r="689" spans="1:71" ht="27" hidden="1" customHeight="1">
      <c r="A689" s="197">
        <v>685</v>
      </c>
      <c r="B689" s="197" t="s">
        <v>4396</v>
      </c>
      <c r="C689" s="207" t="s">
        <v>4427</v>
      </c>
      <c r="D689" s="207">
        <v>1</v>
      </c>
      <c r="E689" s="207" t="s">
        <v>4398</v>
      </c>
      <c r="F689" s="214" t="s">
        <v>7354</v>
      </c>
      <c r="G689" s="207" t="s">
        <v>4400</v>
      </c>
      <c r="H689" s="207" t="s">
        <v>4401</v>
      </c>
      <c r="I689" s="217" t="s">
        <v>4402</v>
      </c>
      <c r="J689" s="242" t="s">
        <v>7355</v>
      </c>
      <c r="K689" s="215" t="s">
        <v>7356</v>
      </c>
      <c r="L689" s="215" t="s">
        <v>7357</v>
      </c>
      <c r="M689" s="207" t="s">
        <v>4405</v>
      </c>
      <c r="N689" s="207" t="s">
        <v>4406</v>
      </c>
      <c r="O689" s="202">
        <v>46002</v>
      </c>
      <c r="P689" s="202" t="s">
        <v>4407</v>
      </c>
      <c r="Q689" s="202">
        <v>45999</v>
      </c>
      <c r="R689" s="202">
        <v>46006</v>
      </c>
      <c r="S689" s="202">
        <v>46006</v>
      </c>
      <c r="T689" s="202">
        <v>46009</v>
      </c>
      <c r="U689" s="202" t="s">
        <v>4408</v>
      </c>
      <c r="V689" s="202" t="s">
        <v>4408</v>
      </c>
      <c r="W689" s="202">
        <v>46014</v>
      </c>
      <c r="X689" s="202">
        <v>46020</v>
      </c>
      <c r="Y689" s="202"/>
      <c r="Z689" s="207"/>
      <c r="AA689" s="242" t="s">
        <v>7355</v>
      </c>
      <c r="AB689" s="215" t="s">
        <v>7356</v>
      </c>
      <c r="AC689" s="215" t="s">
        <v>7357</v>
      </c>
      <c r="AD689" s="207" t="s">
        <v>4402</v>
      </c>
      <c r="AE689" s="207" t="s">
        <v>4405</v>
      </c>
      <c r="AF689" s="218" t="s">
        <v>4409</v>
      </c>
      <c r="AG689" s="218" t="s">
        <v>4409</v>
      </c>
      <c r="AH689" s="197" t="s">
        <v>4410</v>
      </c>
      <c r="AI689" s="214" t="s">
        <v>4411</v>
      </c>
      <c r="AJ689" s="207"/>
      <c r="AK689" s="316">
        <v>45996</v>
      </c>
      <c r="AL689" s="316">
        <v>45996</v>
      </c>
      <c r="AM689" s="316">
        <v>45996</v>
      </c>
      <c r="AN689" s="316">
        <v>45996</v>
      </c>
      <c r="AO689" s="316">
        <v>45996</v>
      </c>
      <c r="AP689" s="316">
        <v>45996</v>
      </c>
      <c r="AQ689" s="314"/>
      <c r="AR689" s="315" t="str">
        <f t="shared" si="48"/>
        <v>FINALIZADO</v>
      </c>
      <c r="AS689" s="207"/>
      <c r="AT689" s="207"/>
      <c r="AU689" s="225"/>
      <c r="AV689" s="207"/>
      <c r="AW689" s="207"/>
      <c r="AX689" s="207"/>
      <c r="AY689" s="207"/>
      <c r="AZ689" s="202"/>
      <c r="BA689" s="219"/>
      <c r="BB689" s="207"/>
      <c r="BC689" s="202"/>
      <c r="BD689" s="208"/>
      <c r="BE689" s="202"/>
      <c r="BF689" s="207"/>
      <c r="BG689" s="229"/>
      <c r="BH689" s="321" t="str">
        <f t="shared" si="45"/>
        <v/>
      </c>
      <c r="BI689" s="98" t="str">
        <f t="shared" si="46"/>
        <v>AA</v>
      </c>
      <c r="BJ689" s="98" t="str">
        <f t="shared" si="47"/>
        <v>NÃO</v>
      </c>
      <c r="BK689" s="230"/>
      <c r="BL689" s="230"/>
      <c r="BM689" s="230"/>
      <c r="BN689" s="230"/>
      <c r="BO689" s="230"/>
      <c r="BP689" s="230"/>
      <c r="BQ689" s="230"/>
      <c r="BR689" s="234"/>
    </row>
    <row r="690" spans="1:71" ht="27" hidden="1" customHeight="1">
      <c r="A690" s="197">
        <v>686</v>
      </c>
      <c r="B690" s="197" t="s">
        <v>4396</v>
      </c>
      <c r="C690" s="207" t="s">
        <v>4427</v>
      </c>
      <c r="D690" s="207">
        <v>1</v>
      </c>
      <c r="E690" s="207" t="s">
        <v>4398</v>
      </c>
      <c r="F690" s="214" t="s">
        <v>7358</v>
      </c>
      <c r="G690" s="207" t="s">
        <v>4400</v>
      </c>
      <c r="H690" s="207" t="s">
        <v>4401</v>
      </c>
      <c r="I690" s="217" t="s">
        <v>4402</v>
      </c>
      <c r="J690" s="242" t="s">
        <v>7359</v>
      </c>
      <c r="K690" s="215" t="s">
        <v>7360</v>
      </c>
      <c r="L690" s="215" t="s">
        <v>7361</v>
      </c>
      <c r="M690" s="207" t="s">
        <v>4405</v>
      </c>
      <c r="N690" s="207" t="s">
        <v>4406</v>
      </c>
      <c r="O690" s="202">
        <v>45986</v>
      </c>
      <c r="P690" s="203" t="s">
        <v>4407</v>
      </c>
      <c r="Q690" s="203">
        <v>45985</v>
      </c>
      <c r="R690" s="203">
        <v>45986</v>
      </c>
      <c r="S690" s="203">
        <v>45987</v>
      </c>
      <c r="T690" s="203">
        <v>45992</v>
      </c>
      <c r="U690" s="202" t="s">
        <v>4408</v>
      </c>
      <c r="V690" s="202" t="s">
        <v>4408</v>
      </c>
      <c r="W690" s="202">
        <v>45999</v>
      </c>
      <c r="X690" s="202">
        <v>46002</v>
      </c>
      <c r="Y690" s="202"/>
      <c r="Z690" s="207"/>
      <c r="AA690" s="242" t="s">
        <v>7359</v>
      </c>
      <c r="AB690" s="215" t="s">
        <v>7360</v>
      </c>
      <c r="AC690" s="215" t="s">
        <v>7361</v>
      </c>
      <c r="AD690" s="207" t="s">
        <v>4402</v>
      </c>
      <c r="AE690" s="207" t="s">
        <v>4405</v>
      </c>
      <c r="AF690" s="218" t="s">
        <v>4409</v>
      </c>
      <c r="AG690" s="218" t="s">
        <v>4409</v>
      </c>
      <c r="AH690" s="241" t="s">
        <v>4410</v>
      </c>
      <c r="AI690" s="214" t="s">
        <v>4411</v>
      </c>
      <c r="AJ690" s="207"/>
      <c r="AK690" s="316">
        <v>45980</v>
      </c>
      <c r="AL690" s="316">
        <v>45980</v>
      </c>
      <c r="AM690" s="316">
        <v>45980</v>
      </c>
      <c r="AN690" s="316">
        <v>45980</v>
      </c>
      <c r="AO690" s="316">
        <v>45980</v>
      </c>
      <c r="AP690" s="316">
        <v>45980</v>
      </c>
      <c r="AQ690" s="314"/>
      <c r="AR690" s="315" t="str">
        <f t="shared" si="48"/>
        <v>FINALIZADO</v>
      </c>
      <c r="AS690" s="207"/>
      <c r="AT690" s="207"/>
      <c r="AU690" s="225"/>
      <c r="AV690" s="207"/>
      <c r="AW690" s="207"/>
      <c r="AX690" s="207" t="s">
        <v>4409</v>
      </c>
      <c r="AY690" s="207" t="s">
        <v>4409</v>
      </c>
      <c r="AZ690" s="207" t="s">
        <v>4409</v>
      </c>
      <c r="BA690" s="207" t="s">
        <v>4409</v>
      </c>
      <c r="BB690" s="207"/>
      <c r="BC690" s="202"/>
      <c r="BD690" s="208"/>
      <c r="BE690" s="202"/>
      <c r="BF690" s="207"/>
      <c r="BG690" s="229"/>
      <c r="BH690" s="321" t="str">
        <f t="shared" si="45"/>
        <v/>
      </c>
      <c r="BI690" s="98" t="str">
        <f t="shared" si="46"/>
        <v>AA</v>
      </c>
      <c r="BJ690" s="98" t="str">
        <f t="shared" si="47"/>
        <v>NÃO</v>
      </c>
      <c r="BK690" s="230"/>
      <c r="BL690" s="230"/>
      <c r="BM690" s="230"/>
      <c r="BN690" s="230"/>
      <c r="BO690" s="230"/>
      <c r="BP690" s="230"/>
      <c r="BQ690" s="230"/>
      <c r="BR690" s="234"/>
    </row>
    <row r="691" spans="1:71" ht="27" hidden="1" customHeight="1">
      <c r="A691" s="207">
        <v>687</v>
      </c>
      <c r="B691" s="197" t="s">
        <v>4396</v>
      </c>
      <c r="C691" s="207" t="s">
        <v>4427</v>
      </c>
      <c r="D691" s="207">
        <v>1</v>
      </c>
      <c r="E691" s="207" t="s">
        <v>4398</v>
      </c>
      <c r="F691" s="214" t="s">
        <v>7362</v>
      </c>
      <c r="G691" s="207" t="s">
        <v>4400</v>
      </c>
      <c r="H691" s="207" t="s">
        <v>4401</v>
      </c>
      <c r="I691" s="217" t="s">
        <v>4402</v>
      </c>
      <c r="J691" s="215" t="s">
        <v>7363</v>
      </c>
      <c r="K691" s="215" t="s">
        <v>7364</v>
      </c>
      <c r="L691" s="215" t="s">
        <v>7365</v>
      </c>
      <c r="M691" s="207" t="s">
        <v>4405</v>
      </c>
      <c r="N691" s="207" t="s">
        <v>4406</v>
      </c>
      <c r="O691" s="202">
        <v>45986</v>
      </c>
      <c r="P691" s="203" t="s">
        <v>4407</v>
      </c>
      <c r="Q691" s="203">
        <v>45985</v>
      </c>
      <c r="R691" s="203">
        <v>45986</v>
      </c>
      <c r="S691" s="203">
        <v>45987</v>
      </c>
      <c r="T691" s="203">
        <v>45992</v>
      </c>
      <c r="U691" s="203" t="s">
        <v>4408</v>
      </c>
      <c r="V691" s="203" t="s">
        <v>4408</v>
      </c>
      <c r="W691" s="202">
        <v>45999</v>
      </c>
      <c r="X691" s="202">
        <v>46000</v>
      </c>
      <c r="Y691" s="203"/>
      <c r="Z691" s="219"/>
      <c r="AA691" s="215" t="s">
        <v>7363</v>
      </c>
      <c r="AB691" s="215" t="s">
        <v>7364</v>
      </c>
      <c r="AC691" s="215" t="s">
        <v>7365</v>
      </c>
      <c r="AD691" s="207" t="s">
        <v>4402</v>
      </c>
      <c r="AE691" s="207" t="s">
        <v>4405</v>
      </c>
      <c r="AF691" s="218" t="s">
        <v>4409</v>
      </c>
      <c r="AG691" s="218" t="s">
        <v>4409</v>
      </c>
      <c r="AH691" s="204" t="s">
        <v>4410</v>
      </c>
      <c r="AI691" s="214" t="s">
        <v>4411</v>
      </c>
      <c r="AJ691" s="207"/>
      <c r="AK691" s="316">
        <v>45980</v>
      </c>
      <c r="AL691" s="316">
        <v>45980</v>
      </c>
      <c r="AM691" s="316">
        <v>45980</v>
      </c>
      <c r="AN691" s="316">
        <v>45980</v>
      </c>
      <c r="AO691" s="316">
        <v>45980</v>
      </c>
      <c r="AP691" s="316">
        <v>45980</v>
      </c>
      <c r="AQ691" s="314"/>
      <c r="AR691" s="315" t="str">
        <f t="shared" si="48"/>
        <v>FINALIZADO</v>
      </c>
      <c r="AS691" s="207"/>
      <c r="AT691" s="219"/>
      <c r="AU691" s="225"/>
      <c r="AV691" s="207"/>
      <c r="AW691" s="207"/>
      <c r="AX691" s="207" t="s">
        <v>4409</v>
      </c>
      <c r="AY691" s="207" t="s">
        <v>4409</v>
      </c>
      <c r="AZ691" s="207" t="s">
        <v>4409</v>
      </c>
      <c r="BA691" s="207" t="s">
        <v>4409</v>
      </c>
      <c r="BB691" s="219"/>
      <c r="BC691" s="219"/>
      <c r="BD691" s="208"/>
      <c r="BE691" s="202"/>
      <c r="BF691" s="207"/>
      <c r="BG691" s="229"/>
      <c r="BH691" s="321" t="str">
        <f t="shared" si="45"/>
        <v/>
      </c>
      <c r="BI691" s="98" t="str">
        <f t="shared" si="46"/>
        <v>AA</v>
      </c>
      <c r="BJ691" s="98" t="str">
        <f t="shared" si="47"/>
        <v>NÃO</v>
      </c>
      <c r="BK691" s="230"/>
      <c r="BL691" s="230"/>
      <c r="BM691" s="230"/>
      <c r="BN691" s="230"/>
      <c r="BO691" s="230"/>
      <c r="BP691" s="230"/>
      <c r="BQ691" s="230"/>
      <c r="BR691" s="234"/>
    </row>
    <row r="692" spans="1:71" ht="27" hidden="1" customHeight="1">
      <c r="A692" s="207">
        <v>688</v>
      </c>
      <c r="B692" s="197" t="s">
        <v>4396</v>
      </c>
      <c r="C692" s="207" t="s">
        <v>4427</v>
      </c>
      <c r="D692" s="207">
        <v>1</v>
      </c>
      <c r="E692" s="207" t="s">
        <v>4398</v>
      </c>
      <c r="F692" s="214" t="s">
        <v>7366</v>
      </c>
      <c r="G692" s="207" t="s">
        <v>4400</v>
      </c>
      <c r="H692" s="207" t="s">
        <v>4401</v>
      </c>
      <c r="I692" s="217" t="s">
        <v>4402</v>
      </c>
      <c r="J692" s="215" t="s">
        <v>7367</v>
      </c>
      <c r="K692" s="215" t="s">
        <v>7368</v>
      </c>
      <c r="L692" s="215" t="s">
        <v>7369</v>
      </c>
      <c r="M692" s="207" t="s">
        <v>4405</v>
      </c>
      <c r="N692" s="207" t="s">
        <v>4406</v>
      </c>
      <c r="O692" s="202">
        <v>45986</v>
      </c>
      <c r="P692" s="203" t="s">
        <v>4407</v>
      </c>
      <c r="Q692" s="203">
        <v>45985</v>
      </c>
      <c r="R692" s="203">
        <v>45986</v>
      </c>
      <c r="S692" s="203">
        <v>45987</v>
      </c>
      <c r="T692" s="203">
        <v>45992</v>
      </c>
      <c r="U692" s="202" t="s">
        <v>4408</v>
      </c>
      <c r="V692" s="202" t="s">
        <v>4408</v>
      </c>
      <c r="W692" s="202">
        <v>45999</v>
      </c>
      <c r="X692" s="203">
        <v>46034</v>
      </c>
      <c r="Y692" s="203"/>
      <c r="Z692" s="219"/>
      <c r="AA692" s="215" t="s">
        <v>7367</v>
      </c>
      <c r="AB692" s="215" t="s">
        <v>7368</v>
      </c>
      <c r="AC692" s="215" t="s">
        <v>7369</v>
      </c>
      <c r="AD692" s="207" t="s">
        <v>4402</v>
      </c>
      <c r="AE692" s="207" t="s">
        <v>4405</v>
      </c>
      <c r="AF692" s="218" t="s">
        <v>4409</v>
      </c>
      <c r="AG692" s="218" t="s">
        <v>4409</v>
      </c>
      <c r="AH692" s="204" t="s">
        <v>4410</v>
      </c>
      <c r="AI692" s="214" t="s">
        <v>4411</v>
      </c>
      <c r="AJ692" s="207"/>
      <c r="AK692" s="316">
        <v>45980</v>
      </c>
      <c r="AL692" s="316">
        <v>45980</v>
      </c>
      <c r="AM692" s="316">
        <v>45980</v>
      </c>
      <c r="AN692" s="316">
        <v>45980</v>
      </c>
      <c r="AO692" s="316">
        <v>45980</v>
      </c>
      <c r="AP692" s="316">
        <v>45980</v>
      </c>
      <c r="AQ692" s="314"/>
      <c r="AR692" s="315" t="str">
        <f t="shared" si="48"/>
        <v>FINALIZADO</v>
      </c>
      <c r="AS692" s="207"/>
      <c r="AT692" s="219"/>
      <c r="AU692" s="225"/>
      <c r="AV692" s="207"/>
      <c r="AW692" s="207"/>
      <c r="AX692" s="207" t="s">
        <v>4409</v>
      </c>
      <c r="AY692" s="207" t="s">
        <v>4409</v>
      </c>
      <c r="AZ692" s="207" t="s">
        <v>4409</v>
      </c>
      <c r="BA692" s="207" t="s">
        <v>4409</v>
      </c>
      <c r="BB692" s="219"/>
      <c r="BC692" s="219"/>
      <c r="BD692" s="208"/>
      <c r="BE692" s="202"/>
      <c r="BF692" s="207"/>
      <c r="BG692" s="229"/>
      <c r="BH692" s="321" t="str">
        <f t="shared" si="45"/>
        <v/>
      </c>
      <c r="BI692" s="98" t="str">
        <f t="shared" si="46"/>
        <v>AA</v>
      </c>
      <c r="BJ692" s="98" t="str">
        <f t="shared" si="47"/>
        <v>NÃO</v>
      </c>
      <c r="BK692" s="230"/>
      <c r="BL692" s="230"/>
      <c r="BM692" s="230"/>
      <c r="BN692" s="230"/>
      <c r="BO692" s="230"/>
      <c r="BP692" s="230"/>
      <c r="BQ692" s="230"/>
      <c r="BR692" s="234"/>
    </row>
    <row r="693" spans="1:71" ht="27" hidden="1" customHeight="1">
      <c r="A693" s="207">
        <v>689</v>
      </c>
      <c r="B693" s="197" t="s">
        <v>4396</v>
      </c>
      <c r="C693" s="207" t="s">
        <v>4427</v>
      </c>
      <c r="D693" s="207">
        <v>1</v>
      </c>
      <c r="E693" s="207" t="s">
        <v>4398</v>
      </c>
      <c r="F693" s="214" t="s">
        <v>7370</v>
      </c>
      <c r="G693" s="207" t="s">
        <v>4400</v>
      </c>
      <c r="H693" s="207" t="s">
        <v>4401</v>
      </c>
      <c r="I693" s="217" t="s">
        <v>4402</v>
      </c>
      <c r="J693" s="215" t="s">
        <v>7371</v>
      </c>
      <c r="K693" s="215" t="s">
        <v>7372</v>
      </c>
      <c r="L693" s="215" t="s">
        <v>7373</v>
      </c>
      <c r="M693" s="207" t="s">
        <v>4405</v>
      </c>
      <c r="N693" s="207" t="s">
        <v>4406</v>
      </c>
      <c r="O693" s="202">
        <v>45986</v>
      </c>
      <c r="P693" s="203" t="s">
        <v>4407</v>
      </c>
      <c r="Q693" s="203">
        <v>45985</v>
      </c>
      <c r="R693" s="203">
        <v>45986</v>
      </c>
      <c r="S693" s="203">
        <v>45987</v>
      </c>
      <c r="T693" s="203">
        <v>45992</v>
      </c>
      <c r="U693" s="202" t="s">
        <v>4408</v>
      </c>
      <c r="V693" s="202" t="s">
        <v>4408</v>
      </c>
      <c r="W693" s="202">
        <v>45999</v>
      </c>
      <c r="X693" s="202">
        <v>46001</v>
      </c>
      <c r="Y693" s="203"/>
      <c r="Z693" s="219"/>
      <c r="AA693" s="215" t="s">
        <v>7371</v>
      </c>
      <c r="AB693" s="215" t="s">
        <v>7372</v>
      </c>
      <c r="AC693" s="215" t="s">
        <v>7373</v>
      </c>
      <c r="AD693" s="207" t="s">
        <v>4402</v>
      </c>
      <c r="AE693" s="207" t="s">
        <v>4405</v>
      </c>
      <c r="AF693" s="218" t="s">
        <v>4409</v>
      </c>
      <c r="AG693" s="218" t="s">
        <v>4409</v>
      </c>
      <c r="AH693" s="204" t="s">
        <v>4410</v>
      </c>
      <c r="AI693" s="214" t="s">
        <v>4411</v>
      </c>
      <c r="AJ693" s="207"/>
      <c r="AK693" s="316">
        <v>45980</v>
      </c>
      <c r="AL693" s="316">
        <v>45980</v>
      </c>
      <c r="AM693" s="316">
        <v>45980</v>
      </c>
      <c r="AN693" s="316">
        <v>45980</v>
      </c>
      <c r="AO693" s="316">
        <v>45980</v>
      </c>
      <c r="AP693" s="316">
        <v>45980</v>
      </c>
      <c r="AQ693" s="314"/>
      <c r="AR693" s="315" t="str">
        <f t="shared" si="48"/>
        <v>FINALIZADO</v>
      </c>
      <c r="AS693" s="207"/>
      <c r="AT693" s="219"/>
      <c r="AU693" s="225"/>
      <c r="AV693" s="207"/>
      <c r="AW693" s="207"/>
      <c r="AX693" s="207" t="s">
        <v>4409</v>
      </c>
      <c r="AY693" s="207" t="s">
        <v>4409</v>
      </c>
      <c r="AZ693" s="207" t="s">
        <v>4409</v>
      </c>
      <c r="BA693" s="207" t="s">
        <v>4409</v>
      </c>
      <c r="BB693" s="219"/>
      <c r="BC693" s="219"/>
      <c r="BD693" s="208"/>
      <c r="BE693" s="202"/>
      <c r="BF693" s="207"/>
      <c r="BG693" s="229"/>
      <c r="BH693" s="321" t="str">
        <f t="shared" si="45"/>
        <v/>
      </c>
      <c r="BI693" s="98" t="str">
        <f t="shared" si="46"/>
        <v>AA</v>
      </c>
      <c r="BJ693" s="98" t="str">
        <f t="shared" si="47"/>
        <v>NÃO</v>
      </c>
      <c r="BK693" s="230"/>
      <c r="BL693" s="230"/>
      <c r="BM693" s="230"/>
      <c r="BN693" s="230"/>
      <c r="BO693" s="230"/>
      <c r="BP693" s="230"/>
      <c r="BQ693" s="230"/>
      <c r="BR693" s="234"/>
    </row>
    <row r="694" spans="1:71" ht="27" hidden="1" customHeight="1">
      <c r="A694" s="197">
        <v>690</v>
      </c>
      <c r="B694" s="197" t="s">
        <v>4396</v>
      </c>
      <c r="C694" s="207" t="s">
        <v>4427</v>
      </c>
      <c r="D694" s="207">
        <v>1</v>
      </c>
      <c r="E694" s="207" t="s">
        <v>4398</v>
      </c>
      <c r="F694" s="214" t="s">
        <v>7374</v>
      </c>
      <c r="G694" s="207" t="s">
        <v>4400</v>
      </c>
      <c r="H694" s="207" t="s">
        <v>4401</v>
      </c>
      <c r="I694" s="217" t="s">
        <v>4402</v>
      </c>
      <c r="J694" s="215" t="s">
        <v>7375</v>
      </c>
      <c r="K694" s="215" t="s">
        <v>7376</v>
      </c>
      <c r="L694" s="215" t="s">
        <v>7377</v>
      </c>
      <c r="M694" s="207" t="s">
        <v>4405</v>
      </c>
      <c r="N694" s="207" t="s">
        <v>4406</v>
      </c>
      <c r="O694" s="203">
        <v>46044</v>
      </c>
      <c r="P694" s="203" t="s">
        <v>4407</v>
      </c>
      <c r="Q694" s="203">
        <v>46043</v>
      </c>
      <c r="R694" s="203">
        <v>46044</v>
      </c>
      <c r="S694" s="203">
        <v>46045</v>
      </c>
      <c r="T694" s="203">
        <v>46155</v>
      </c>
      <c r="U694" s="202" t="s">
        <v>4408</v>
      </c>
      <c r="V694" s="202" t="s">
        <v>4408</v>
      </c>
      <c r="W694" s="202">
        <v>46055</v>
      </c>
      <c r="X694" s="202">
        <v>46056</v>
      </c>
      <c r="Y694" s="203"/>
      <c r="Z694" s="219"/>
      <c r="AA694" s="215" t="s">
        <v>7375</v>
      </c>
      <c r="AB694" s="215" t="s">
        <v>7376</v>
      </c>
      <c r="AC694" s="215" t="s">
        <v>7377</v>
      </c>
      <c r="AD694" s="207" t="s">
        <v>4402</v>
      </c>
      <c r="AE694" s="207" t="s">
        <v>4405</v>
      </c>
      <c r="AF694" s="218" t="s">
        <v>4409</v>
      </c>
      <c r="AG694" s="218" t="s">
        <v>4409</v>
      </c>
      <c r="AH694" s="197" t="s">
        <v>4410</v>
      </c>
      <c r="AI694" s="214" t="s">
        <v>4411</v>
      </c>
      <c r="AJ694" s="207"/>
      <c r="AK694" s="316">
        <v>46041</v>
      </c>
      <c r="AL694" s="316">
        <v>46041</v>
      </c>
      <c r="AM694" s="316">
        <v>46041</v>
      </c>
      <c r="AN694" s="316">
        <v>46041</v>
      </c>
      <c r="AO694" s="316">
        <v>46041</v>
      </c>
      <c r="AP694" s="316">
        <v>46041</v>
      </c>
      <c r="AQ694" s="314"/>
      <c r="AR694" s="315" t="str">
        <f t="shared" si="48"/>
        <v>FINALIZADO</v>
      </c>
      <c r="AS694" s="207"/>
      <c r="AT694" s="219"/>
      <c r="AU694" s="225"/>
      <c r="AV694" s="219"/>
      <c r="AW694" s="219"/>
      <c r="AX694" s="219"/>
      <c r="AY694" s="219"/>
      <c r="AZ694" s="219"/>
      <c r="BA694" s="219"/>
      <c r="BB694" s="219"/>
      <c r="BC694" s="219"/>
      <c r="BD694" s="208"/>
      <c r="BE694" s="202"/>
      <c r="BF694" s="207"/>
      <c r="BG694" s="229"/>
      <c r="BH694" s="321" t="str">
        <f t="shared" si="45"/>
        <v/>
      </c>
      <c r="BI694" s="98" t="str">
        <f t="shared" si="46"/>
        <v>AA</v>
      </c>
      <c r="BJ694" s="98" t="str">
        <f t="shared" si="47"/>
        <v>NÃO</v>
      </c>
      <c r="BK694" s="230"/>
      <c r="BL694" s="230"/>
      <c r="BM694" s="230"/>
      <c r="BN694" s="230"/>
      <c r="BO694" s="230"/>
      <c r="BP694" s="230"/>
      <c r="BQ694" s="230"/>
      <c r="BR694" s="234"/>
    </row>
    <row r="695" spans="1:71" ht="27" hidden="1" customHeight="1">
      <c r="A695" s="197">
        <v>691</v>
      </c>
      <c r="B695" s="197" t="s">
        <v>4396</v>
      </c>
      <c r="C695" s="207" t="s">
        <v>4427</v>
      </c>
      <c r="D695" s="207">
        <v>1</v>
      </c>
      <c r="E695" s="207" t="s">
        <v>4398</v>
      </c>
      <c r="F695" s="214" t="s">
        <v>7378</v>
      </c>
      <c r="G695" s="207" t="s">
        <v>4400</v>
      </c>
      <c r="H695" s="207" t="s">
        <v>4401</v>
      </c>
      <c r="I695" s="217" t="s">
        <v>4402</v>
      </c>
      <c r="J695" s="215" t="s">
        <v>7379</v>
      </c>
      <c r="K695" s="215" t="s">
        <v>4440</v>
      </c>
      <c r="L695" s="215" t="s">
        <v>7380</v>
      </c>
      <c r="M695" s="207" t="s">
        <v>4405</v>
      </c>
      <c r="N695" s="207" t="s">
        <v>4406</v>
      </c>
      <c r="O695" s="202">
        <v>46065</v>
      </c>
      <c r="P695" s="203" t="s">
        <v>4407</v>
      </c>
      <c r="Q695" s="202">
        <v>46072</v>
      </c>
      <c r="R695" s="203">
        <v>46072</v>
      </c>
      <c r="S695" s="203">
        <v>46080</v>
      </c>
      <c r="T695" s="202">
        <v>46083</v>
      </c>
      <c r="U695" s="202" t="s">
        <v>4408</v>
      </c>
      <c r="V695" s="202" t="s">
        <v>4408</v>
      </c>
      <c r="W695" s="203">
        <v>46055</v>
      </c>
      <c r="X695" s="203">
        <v>46091</v>
      </c>
      <c r="Y695" s="203"/>
      <c r="Z695" s="219"/>
      <c r="AA695" s="215" t="s">
        <v>7379</v>
      </c>
      <c r="AB695" s="215" t="s">
        <v>4440</v>
      </c>
      <c r="AC695" s="215" t="s">
        <v>7380</v>
      </c>
      <c r="AD695" s="207" t="s">
        <v>4402</v>
      </c>
      <c r="AE695" s="207" t="s">
        <v>4405</v>
      </c>
      <c r="AF695" s="218" t="s">
        <v>4409</v>
      </c>
      <c r="AG695" s="218" t="s">
        <v>4409</v>
      </c>
      <c r="AH695" s="207" t="s">
        <v>4410</v>
      </c>
      <c r="AI695" s="214" t="s">
        <v>4411</v>
      </c>
      <c r="AJ695" s="207"/>
      <c r="AK695" s="316"/>
      <c r="AL695" s="316"/>
      <c r="AM695" s="316"/>
      <c r="AN695" s="316"/>
      <c r="AO695" s="316"/>
      <c r="AP695" s="316"/>
      <c r="AQ695" s="314"/>
      <c r="AR695" s="315" t="str">
        <f t="shared" si="48"/>
        <v/>
      </c>
      <c r="AS695" s="207"/>
      <c r="AT695" s="219"/>
      <c r="AU695" s="225"/>
      <c r="AV695" s="219"/>
      <c r="AW695" s="219"/>
      <c r="AX695" s="219"/>
      <c r="AY695" s="219"/>
      <c r="AZ695" s="219"/>
      <c r="BA695" s="219"/>
      <c r="BB695" s="219"/>
      <c r="BC695" s="219"/>
      <c r="BD695" s="208"/>
      <c r="BE695" s="202"/>
      <c r="BF695" s="207"/>
      <c r="BG695" s="229"/>
      <c r="BH695" s="321" t="str">
        <f t="shared" si="45"/>
        <v/>
      </c>
      <c r="BI695" s="98" t="str">
        <f t="shared" si="46"/>
        <v>AA</v>
      </c>
      <c r="BJ695" s="98" t="str">
        <f t="shared" si="47"/>
        <v>NÃO</v>
      </c>
      <c r="BK695" s="230"/>
      <c r="BL695" s="230"/>
      <c r="BM695" s="230"/>
      <c r="BN695" s="230"/>
      <c r="BO695" s="230"/>
      <c r="BP695" s="230"/>
      <c r="BQ695" s="230"/>
      <c r="BR695" s="234"/>
    </row>
    <row r="696" spans="1:71" ht="27" hidden="1" customHeight="1">
      <c r="A696" s="207">
        <v>692</v>
      </c>
      <c r="B696" s="197" t="s">
        <v>4396</v>
      </c>
      <c r="C696" s="207" t="s">
        <v>4427</v>
      </c>
      <c r="D696" s="207">
        <v>1</v>
      </c>
      <c r="E696" s="207" t="s">
        <v>4398</v>
      </c>
      <c r="F696" s="214" t="s">
        <v>7381</v>
      </c>
      <c r="G696" s="207" t="s">
        <v>4400</v>
      </c>
      <c r="H696" s="207" t="s">
        <v>4401</v>
      </c>
      <c r="I696" s="217" t="s">
        <v>4402</v>
      </c>
      <c r="J696" s="215" t="s">
        <v>7382</v>
      </c>
      <c r="K696" s="215" t="s">
        <v>7383</v>
      </c>
      <c r="L696" s="215" t="s">
        <v>7384</v>
      </c>
      <c r="M696" s="207" t="s">
        <v>4405</v>
      </c>
      <c r="N696" s="207" t="s">
        <v>4442</v>
      </c>
      <c r="O696" s="202" t="s">
        <v>4409</v>
      </c>
      <c r="P696" s="202" t="s">
        <v>4409</v>
      </c>
      <c r="Q696" s="202" t="s">
        <v>4409</v>
      </c>
      <c r="R696" s="202" t="s">
        <v>4409</v>
      </c>
      <c r="S696" s="202" t="s">
        <v>4409</v>
      </c>
      <c r="T696" s="202" t="s">
        <v>4409</v>
      </c>
      <c r="U696" s="202" t="s">
        <v>4409</v>
      </c>
      <c r="V696" s="202" t="s">
        <v>4409</v>
      </c>
      <c r="W696" s="202" t="s">
        <v>4409</v>
      </c>
      <c r="X696" s="202" t="s">
        <v>4409</v>
      </c>
      <c r="Y696" s="202"/>
      <c r="Z696" s="202"/>
      <c r="AA696" s="215" t="s">
        <v>7385</v>
      </c>
      <c r="AB696" s="215" t="s">
        <v>7383</v>
      </c>
      <c r="AC696" s="215" t="s">
        <v>7384</v>
      </c>
      <c r="AD696" s="207" t="s">
        <v>4402</v>
      </c>
      <c r="AE696" s="207" t="s">
        <v>4405</v>
      </c>
      <c r="AF696" s="218">
        <v>2812.4</v>
      </c>
      <c r="AG696" s="218">
        <f>AF696+30000</f>
        <v>32812.400000000001</v>
      </c>
      <c r="AH696" s="207" t="s">
        <v>4433</v>
      </c>
      <c r="AI696" s="214" t="s">
        <v>4411</v>
      </c>
      <c r="AJ696" s="207">
        <v>150959865</v>
      </c>
      <c r="AK696" s="316">
        <v>46077</v>
      </c>
      <c r="AL696" s="316">
        <v>46077</v>
      </c>
      <c r="AM696" s="316">
        <v>46077</v>
      </c>
      <c r="AN696" s="316">
        <v>46077</v>
      </c>
      <c r="AO696" s="316">
        <v>46077</v>
      </c>
      <c r="AP696" s="316">
        <v>46077</v>
      </c>
      <c r="AQ696" s="314"/>
      <c r="AR696" s="315" t="str">
        <f t="shared" si="48"/>
        <v>FINALIZADO</v>
      </c>
      <c r="AS696" s="207" t="s">
        <v>4423</v>
      </c>
      <c r="AT696" s="219"/>
      <c r="AU696" s="225" t="s">
        <v>7386</v>
      </c>
      <c r="AV696" s="207" t="s">
        <v>4425</v>
      </c>
      <c r="AW696" s="207" t="s">
        <v>4425</v>
      </c>
      <c r="AX696" s="207" t="s">
        <v>4425</v>
      </c>
      <c r="AY696" s="207" t="s">
        <v>4425</v>
      </c>
      <c r="AZ696" s="202">
        <v>46127</v>
      </c>
      <c r="BA696" s="207" t="s">
        <v>4425</v>
      </c>
      <c r="BB696" s="207" t="s">
        <v>4425</v>
      </c>
      <c r="BC696" s="202">
        <v>46139</v>
      </c>
      <c r="BD696" s="227">
        <v>46139</v>
      </c>
      <c r="BE696" s="227" t="s">
        <v>4435</v>
      </c>
      <c r="BF696" s="245" t="s">
        <v>4436</v>
      </c>
      <c r="BG696" s="229" t="s">
        <v>4425</v>
      </c>
      <c r="BH696" s="321">
        <f t="shared" si="45"/>
        <v>62</v>
      </c>
      <c r="BI696" s="98" t="str">
        <f t="shared" si="46"/>
        <v>INDENIZAÇÃO</v>
      </c>
      <c r="BJ696" s="98" t="str">
        <f t="shared" si="47"/>
        <v>NÃO</v>
      </c>
      <c r="BK696" s="219" t="s">
        <v>4437</v>
      </c>
      <c r="BL696" s="219" t="s">
        <v>4437</v>
      </c>
      <c r="BM696" s="219" t="s">
        <v>4437</v>
      </c>
      <c r="BN696" s="257" t="s">
        <v>5732</v>
      </c>
      <c r="BO696" s="257"/>
      <c r="BP696" s="257"/>
      <c r="BQ696" s="257"/>
      <c r="BR696" s="258"/>
      <c r="BS696" s="223"/>
    </row>
    <row r="697" spans="1:71" ht="27" hidden="1" customHeight="1">
      <c r="A697" s="207">
        <v>693</v>
      </c>
      <c r="B697" s="197" t="s">
        <v>4396</v>
      </c>
      <c r="C697" s="207" t="s">
        <v>4427</v>
      </c>
      <c r="D697" s="207">
        <v>1</v>
      </c>
      <c r="E697" s="207" t="s">
        <v>4398</v>
      </c>
      <c r="F697" s="214" t="s">
        <v>7387</v>
      </c>
      <c r="G697" s="207" t="s">
        <v>4400</v>
      </c>
      <c r="H697" s="207" t="s">
        <v>4401</v>
      </c>
      <c r="I697" s="217" t="s">
        <v>4402</v>
      </c>
      <c r="J697" s="215" t="s">
        <v>7388</v>
      </c>
      <c r="K697" s="215" t="s">
        <v>7389</v>
      </c>
      <c r="L697" s="215" t="s">
        <v>7390</v>
      </c>
      <c r="M697" s="207" t="s">
        <v>4405</v>
      </c>
      <c r="N697" s="207" t="s">
        <v>4406</v>
      </c>
      <c r="O697" s="203">
        <v>46084</v>
      </c>
      <c r="P697" s="202" t="s">
        <v>4407</v>
      </c>
      <c r="Q697" s="202">
        <v>46083</v>
      </c>
      <c r="R697" s="203">
        <v>46084</v>
      </c>
      <c r="S697" s="203">
        <v>46087</v>
      </c>
      <c r="T697" s="203">
        <v>46090</v>
      </c>
      <c r="U697" s="202" t="s">
        <v>4408</v>
      </c>
      <c r="V697" s="202" t="s">
        <v>4408</v>
      </c>
      <c r="W697" s="202">
        <v>46101</v>
      </c>
      <c r="X697" s="202">
        <v>46101</v>
      </c>
      <c r="Y697" s="203"/>
      <c r="Z697" s="219"/>
      <c r="AA697" s="215" t="s">
        <v>7388</v>
      </c>
      <c r="AB697" s="215" t="s">
        <v>7389</v>
      </c>
      <c r="AC697" s="215" t="s">
        <v>7390</v>
      </c>
      <c r="AD697" s="207" t="s">
        <v>4402</v>
      </c>
      <c r="AE697" s="207" t="s">
        <v>4405</v>
      </c>
      <c r="AF697" s="218" t="s">
        <v>4409</v>
      </c>
      <c r="AG697" s="218" t="s">
        <v>4409</v>
      </c>
      <c r="AH697" s="207" t="s">
        <v>4410</v>
      </c>
      <c r="AI697" s="214" t="s">
        <v>4411</v>
      </c>
      <c r="AJ697" s="207"/>
      <c r="AK697" s="316"/>
      <c r="AL697" s="316"/>
      <c r="AM697" s="316"/>
      <c r="AN697" s="316"/>
      <c r="AO697" s="316"/>
      <c r="AP697" s="316"/>
      <c r="AQ697" s="314"/>
      <c r="AR697" s="315" t="str">
        <f t="shared" si="48"/>
        <v/>
      </c>
      <c r="AS697" s="207"/>
      <c r="AT697" s="219"/>
      <c r="AU697" s="225"/>
      <c r="AV697" s="207"/>
      <c r="AW697" s="207"/>
      <c r="AX697" s="207"/>
      <c r="AY697" s="207"/>
      <c r="AZ697" s="202"/>
      <c r="BA697" s="207"/>
      <c r="BB697" s="228"/>
      <c r="BC697" s="227"/>
      <c r="BD697" s="208"/>
      <c r="BE697" s="227"/>
      <c r="BF697" s="228"/>
      <c r="BG697" s="229"/>
      <c r="BH697" s="321" t="str">
        <f t="shared" si="45"/>
        <v/>
      </c>
      <c r="BI697" s="98" t="str">
        <f t="shared" si="46"/>
        <v>AA</v>
      </c>
      <c r="BJ697" s="98" t="str">
        <f t="shared" si="47"/>
        <v>NÃO</v>
      </c>
      <c r="BK697" s="230"/>
      <c r="BL697" s="230"/>
      <c r="BM697" s="230"/>
      <c r="BN697" s="230"/>
      <c r="BO697" s="230"/>
      <c r="BP697" s="230"/>
      <c r="BQ697" s="230"/>
      <c r="BR697" s="234"/>
    </row>
    <row r="698" spans="1:71" ht="27" hidden="1" customHeight="1">
      <c r="A698" s="207">
        <v>694</v>
      </c>
      <c r="B698" s="197" t="s">
        <v>4396</v>
      </c>
      <c r="C698" s="207" t="s">
        <v>4427</v>
      </c>
      <c r="D698" s="207">
        <v>1</v>
      </c>
      <c r="E698" s="207" t="s">
        <v>4398</v>
      </c>
      <c r="F698" s="214" t="s">
        <v>7391</v>
      </c>
      <c r="G698" s="207" t="s">
        <v>4400</v>
      </c>
      <c r="H698" s="207" t="s">
        <v>4401</v>
      </c>
      <c r="I698" s="217" t="s">
        <v>4402</v>
      </c>
      <c r="J698" s="215" t="s">
        <v>7392</v>
      </c>
      <c r="K698" s="215" t="s">
        <v>4440</v>
      </c>
      <c r="L698" s="215" t="s">
        <v>7393</v>
      </c>
      <c r="M698" s="207" t="s">
        <v>4405</v>
      </c>
      <c r="N698" s="207" t="s">
        <v>4406</v>
      </c>
      <c r="O698" s="202">
        <v>46058</v>
      </c>
      <c r="P698" s="203" t="s">
        <v>4407</v>
      </c>
      <c r="Q698" s="202">
        <v>46058</v>
      </c>
      <c r="R698" s="202">
        <v>46058</v>
      </c>
      <c r="S698" s="202">
        <v>46059</v>
      </c>
      <c r="T698" s="202">
        <v>46063</v>
      </c>
      <c r="U698" s="202" t="s">
        <v>4408</v>
      </c>
      <c r="V698" s="202" t="s">
        <v>4408</v>
      </c>
      <c r="W698" s="203">
        <v>46073</v>
      </c>
      <c r="X698" s="202">
        <v>46078</v>
      </c>
      <c r="Y698" s="202"/>
      <c r="Z698" s="219"/>
      <c r="AA698" s="215" t="s">
        <v>7392</v>
      </c>
      <c r="AB698" s="215" t="s">
        <v>4440</v>
      </c>
      <c r="AC698" s="215" t="s">
        <v>7393</v>
      </c>
      <c r="AD698" s="207" t="s">
        <v>4402</v>
      </c>
      <c r="AE698" s="207" t="s">
        <v>4405</v>
      </c>
      <c r="AF698" s="218" t="s">
        <v>4409</v>
      </c>
      <c r="AG698" s="218" t="s">
        <v>4409</v>
      </c>
      <c r="AH698" s="207" t="s">
        <v>4410</v>
      </c>
      <c r="AI698" s="214" t="s">
        <v>4411</v>
      </c>
      <c r="AJ698" s="207"/>
      <c r="AK698" s="316">
        <v>46055</v>
      </c>
      <c r="AL698" s="316">
        <v>46055</v>
      </c>
      <c r="AM698" s="316">
        <v>46055</v>
      </c>
      <c r="AN698" s="316">
        <v>46055</v>
      </c>
      <c r="AO698" s="316">
        <v>46055</v>
      </c>
      <c r="AP698" s="316">
        <v>46055</v>
      </c>
      <c r="AQ698" s="314"/>
      <c r="AR698" s="315" t="str">
        <f t="shared" si="48"/>
        <v>FINALIZADO</v>
      </c>
      <c r="AS698" s="207"/>
      <c r="AT698" s="219"/>
      <c r="AU698" s="225"/>
      <c r="AV698" s="219"/>
      <c r="AW698" s="219"/>
      <c r="AX698" s="219"/>
      <c r="AY698" s="219"/>
      <c r="AZ698" s="219"/>
      <c r="BA698" s="219"/>
      <c r="BB698" s="219"/>
      <c r="BC698" s="219"/>
      <c r="BD698" s="208"/>
      <c r="BE698" s="202"/>
      <c r="BF698" s="207"/>
      <c r="BG698" s="229"/>
      <c r="BH698" s="321" t="str">
        <f t="shared" si="45"/>
        <v/>
      </c>
      <c r="BI698" s="98" t="str">
        <f t="shared" si="46"/>
        <v>AA</v>
      </c>
      <c r="BJ698" s="98" t="str">
        <f t="shared" si="47"/>
        <v>NÃO</v>
      </c>
      <c r="BK698" s="230"/>
      <c r="BL698" s="230"/>
      <c r="BM698" s="230"/>
      <c r="BN698" s="230"/>
      <c r="BO698" s="230"/>
      <c r="BP698" s="230"/>
      <c r="BQ698" s="230"/>
      <c r="BR698" s="234"/>
    </row>
    <row r="699" spans="1:71" ht="27" hidden="1" customHeight="1">
      <c r="A699" s="197">
        <v>695</v>
      </c>
      <c r="B699" s="197" t="s">
        <v>4396</v>
      </c>
      <c r="C699" s="207" t="s">
        <v>4427</v>
      </c>
      <c r="D699" s="207">
        <v>1</v>
      </c>
      <c r="E699" s="207" t="s">
        <v>4398</v>
      </c>
      <c r="F699" s="214" t="s">
        <v>7394</v>
      </c>
      <c r="G699" s="207" t="s">
        <v>4400</v>
      </c>
      <c r="H699" s="207" t="s">
        <v>4401</v>
      </c>
      <c r="I699" s="217" t="s">
        <v>4402</v>
      </c>
      <c r="J699" s="215" t="s">
        <v>7395</v>
      </c>
      <c r="K699" s="215" t="s">
        <v>7396</v>
      </c>
      <c r="L699" s="215">
        <v>41217591842</v>
      </c>
      <c r="M699" s="207" t="s">
        <v>4405</v>
      </c>
      <c r="N699" s="207" t="s">
        <v>4406</v>
      </c>
      <c r="O699" s="202">
        <v>46058</v>
      </c>
      <c r="P699" s="203" t="s">
        <v>4407</v>
      </c>
      <c r="Q699" s="202">
        <v>46058</v>
      </c>
      <c r="R699" s="202">
        <v>46058</v>
      </c>
      <c r="S699" s="202">
        <v>46059</v>
      </c>
      <c r="T699" s="202">
        <v>46063</v>
      </c>
      <c r="U699" s="202" t="s">
        <v>4408</v>
      </c>
      <c r="V699" s="202" t="s">
        <v>4408</v>
      </c>
      <c r="W699" s="203">
        <v>46073</v>
      </c>
      <c r="X699" s="202">
        <v>46078</v>
      </c>
      <c r="Y699" s="202"/>
      <c r="Z699" s="219"/>
      <c r="AA699" s="215" t="s">
        <v>7395</v>
      </c>
      <c r="AB699" s="215" t="s">
        <v>7396</v>
      </c>
      <c r="AC699" s="215">
        <v>41217591842</v>
      </c>
      <c r="AD699" s="207" t="s">
        <v>4402</v>
      </c>
      <c r="AE699" s="207" t="s">
        <v>4405</v>
      </c>
      <c r="AF699" s="218" t="s">
        <v>4409</v>
      </c>
      <c r="AG699" s="218" t="s">
        <v>4409</v>
      </c>
      <c r="AH699" s="207" t="s">
        <v>4410</v>
      </c>
      <c r="AI699" s="214" t="s">
        <v>4411</v>
      </c>
      <c r="AJ699" s="207"/>
      <c r="AK699" s="316">
        <v>46055</v>
      </c>
      <c r="AL699" s="316">
        <v>46055</v>
      </c>
      <c r="AM699" s="316">
        <v>46055</v>
      </c>
      <c r="AN699" s="316">
        <v>46055</v>
      </c>
      <c r="AO699" s="316">
        <v>46055</v>
      </c>
      <c r="AP699" s="316">
        <v>46055</v>
      </c>
      <c r="AQ699" s="314"/>
      <c r="AR699" s="315" t="str">
        <f t="shared" si="48"/>
        <v>FINALIZADO</v>
      </c>
      <c r="AS699" s="207"/>
      <c r="AT699" s="219"/>
      <c r="AU699" s="225"/>
      <c r="AV699" s="219"/>
      <c r="AW699" s="219"/>
      <c r="AX699" s="219"/>
      <c r="AY699" s="219"/>
      <c r="AZ699" s="219"/>
      <c r="BA699" s="219"/>
      <c r="BB699" s="219"/>
      <c r="BC699" s="219"/>
      <c r="BD699" s="208"/>
      <c r="BE699" s="202"/>
      <c r="BF699" s="207"/>
      <c r="BG699" s="229"/>
      <c r="BH699" s="321" t="str">
        <f t="shared" si="45"/>
        <v/>
      </c>
      <c r="BI699" s="98" t="str">
        <f t="shared" si="46"/>
        <v>AA</v>
      </c>
      <c r="BJ699" s="98" t="str">
        <f t="shared" si="47"/>
        <v>NÃO</v>
      </c>
      <c r="BK699" s="230"/>
      <c r="BL699" s="230"/>
      <c r="BM699" s="230"/>
      <c r="BN699" s="230"/>
      <c r="BO699" s="230"/>
      <c r="BP699" s="230"/>
      <c r="BQ699" s="230"/>
      <c r="BR699" s="234"/>
    </row>
    <row r="700" spans="1:71" ht="27" hidden="1" customHeight="1">
      <c r="A700" s="197">
        <v>696</v>
      </c>
      <c r="B700" s="197" t="s">
        <v>4396</v>
      </c>
      <c r="C700" s="207" t="s">
        <v>4427</v>
      </c>
      <c r="D700" s="207">
        <v>1</v>
      </c>
      <c r="E700" s="207" t="s">
        <v>4398</v>
      </c>
      <c r="F700" s="214" t="s">
        <v>7397</v>
      </c>
      <c r="G700" s="207" t="s">
        <v>4400</v>
      </c>
      <c r="H700" s="207" t="s">
        <v>4401</v>
      </c>
      <c r="I700" s="217" t="s">
        <v>4402</v>
      </c>
      <c r="J700" s="215" t="s">
        <v>7398</v>
      </c>
      <c r="K700" s="215" t="s">
        <v>4440</v>
      </c>
      <c r="L700" s="215" t="s">
        <v>7399</v>
      </c>
      <c r="M700" s="207" t="s">
        <v>4405</v>
      </c>
      <c r="N700" s="207" t="s">
        <v>4406</v>
      </c>
      <c r="O700" s="202">
        <v>46065</v>
      </c>
      <c r="P700" s="203" t="s">
        <v>4407</v>
      </c>
      <c r="Q700" s="202">
        <v>46072</v>
      </c>
      <c r="R700" s="203">
        <v>46072</v>
      </c>
      <c r="S700" s="203">
        <v>46080</v>
      </c>
      <c r="T700" s="202">
        <v>46083</v>
      </c>
      <c r="U700" s="202" t="s">
        <v>4408</v>
      </c>
      <c r="V700" s="202" t="s">
        <v>4408</v>
      </c>
      <c r="W700" s="203">
        <v>46055</v>
      </c>
      <c r="X700" s="203">
        <v>46093</v>
      </c>
      <c r="Y700" s="202"/>
      <c r="Z700" s="219"/>
      <c r="AA700" s="215" t="s">
        <v>7398</v>
      </c>
      <c r="AB700" s="215" t="s">
        <v>4440</v>
      </c>
      <c r="AC700" s="215" t="s">
        <v>7399</v>
      </c>
      <c r="AD700" s="207" t="s">
        <v>4402</v>
      </c>
      <c r="AE700" s="207" t="s">
        <v>4405</v>
      </c>
      <c r="AF700" s="218" t="s">
        <v>4409</v>
      </c>
      <c r="AG700" s="218" t="s">
        <v>4409</v>
      </c>
      <c r="AH700" s="207" t="s">
        <v>4410</v>
      </c>
      <c r="AI700" s="214" t="s">
        <v>4411</v>
      </c>
      <c r="AJ700" s="207"/>
      <c r="AK700" s="316">
        <v>46041</v>
      </c>
      <c r="AL700" s="316">
        <v>46041</v>
      </c>
      <c r="AM700" s="316">
        <v>46041</v>
      </c>
      <c r="AN700" s="316">
        <v>46041</v>
      </c>
      <c r="AO700" s="316">
        <v>46041</v>
      </c>
      <c r="AP700" s="316">
        <v>46041</v>
      </c>
      <c r="AQ700" s="314"/>
      <c r="AR700" s="315" t="str">
        <f t="shared" si="48"/>
        <v>FINALIZADO</v>
      </c>
      <c r="AS700" s="207"/>
      <c r="AT700" s="219"/>
      <c r="AU700" s="225"/>
      <c r="AV700" s="219"/>
      <c r="AW700" s="219"/>
      <c r="AX700" s="219"/>
      <c r="AY700" s="219"/>
      <c r="AZ700" s="219"/>
      <c r="BA700" s="219"/>
      <c r="BB700" s="219"/>
      <c r="BC700" s="219"/>
      <c r="BD700" s="208"/>
      <c r="BE700" s="203"/>
      <c r="BF700" s="219"/>
      <c r="BG700" s="219"/>
      <c r="BH700" s="321" t="str">
        <f t="shared" si="45"/>
        <v/>
      </c>
      <c r="BI700" s="98" t="str">
        <f t="shared" si="46"/>
        <v>AA</v>
      </c>
      <c r="BJ700" s="98" t="str">
        <f t="shared" si="47"/>
        <v>NÃO</v>
      </c>
      <c r="BK700" s="219"/>
      <c r="BL700" s="221"/>
      <c r="BM700" s="221"/>
      <c r="BN700" s="219"/>
      <c r="BO700" s="219"/>
      <c r="BP700" s="219"/>
      <c r="BQ700" s="219"/>
      <c r="BR700" s="222"/>
    </row>
    <row r="701" spans="1:71" ht="27" hidden="1" customHeight="1">
      <c r="A701" s="207">
        <v>697</v>
      </c>
      <c r="B701" s="197" t="s">
        <v>4396</v>
      </c>
      <c r="C701" s="207" t="s">
        <v>4427</v>
      </c>
      <c r="D701" s="207">
        <v>1</v>
      </c>
      <c r="E701" s="207" t="s">
        <v>4398</v>
      </c>
      <c r="F701" s="214" t="s">
        <v>7400</v>
      </c>
      <c r="G701" s="207" t="s">
        <v>4400</v>
      </c>
      <c r="H701" s="207" t="s">
        <v>4401</v>
      </c>
      <c r="I701" s="217" t="s">
        <v>4402</v>
      </c>
      <c r="J701" s="215" t="s">
        <v>7401</v>
      </c>
      <c r="K701" s="215" t="s">
        <v>7402</v>
      </c>
      <c r="L701" s="215" t="s">
        <v>7403</v>
      </c>
      <c r="M701" s="207" t="s">
        <v>4405</v>
      </c>
      <c r="N701" s="207" t="s">
        <v>4406</v>
      </c>
      <c r="O701" s="202">
        <v>45986</v>
      </c>
      <c r="P701" s="203" t="s">
        <v>4407</v>
      </c>
      <c r="Q701" s="203">
        <v>45985</v>
      </c>
      <c r="R701" s="203">
        <v>45986</v>
      </c>
      <c r="S701" s="203">
        <v>45987</v>
      </c>
      <c r="T701" s="203">
        <v>45992</v>
      </c>
      <c r="U701" s="203" t="s">
        <v>4408</v>
      </c>
      <c r="V701" s="203" t="s">
        <v>4408</v>
      </c>
      <c r="W701" s="202">
        <v>45999</v>
      </c>
      <c r="X701" s="202">
        <v>46001</v>
      </c>
      <c r="Y701" s="202"/>
      <c r="Z701" s="207"/>
      <c r="AA701" s="215" t="s">
        <v>7401</v>
      </c>
      <c r="AB701" s="215" t="s">
        <v>7402</v>
      </c>
      <c r="AC701" s="215" t="s">
        <v>7403</v>
      </c>
      <c r="AD701" s="207" t="s">
        <v>4402</v>
      </c>
      <c r="AE701" s="207" t="s">
        <v>4405</v>
      </c>
      <c r="AF701" s="218" t="s">
        <v>4409</v>
      </c>
      <c r="AG701" s="218" t="s">
        <v>4409</v>
      </c>
      <c r="AH701" s="241" t="s">
        <v>4410</v>
      </c>
      <c r="AI701" s="214" t="s">
        <v>4411</v>
      </c>
      <c r="AJ701" s="207"/>
      <c r="AK701" s="316">
        <v>45980</v>
      </c>
      <c r="AL701" s="316">
        <v>45980</v>
      </c>
      <c r="AM701" s="316">
        <v>45980</v>
      </c>
      <c r="AN701" s="316">
        <v>45980</v>
      </c>
      <c r="AO701" s="316">
        <v>45980</v>
      </c>
      <c r="AP701" s="316">
        <v>45980</v>
      </c>
      <c r="AQ701" s="314"/>
      <c r="AR701" s="315" t="str">
        <f t="shared" si="48"/>
        <v>FINALIZADO</v>
      </c>
      <c r="AS701" s="207"/>
      <c r="AT701" s="207"/>
      <c r="AU701" s="225"/>
      <c r="AV701" s="207"/>
      <c r="AW701" s="207"/>
      <c r="AX701" s="207" t="s">
        <v>4409</v>
      </c>
      <c r="AY701" s="207" t="s">
        <v>4409</v>
      </c>
      <c r="AZ701" s="207" t="s">
        <v>4409</v>
      </c>
      <c r="BA701" s="207" t="s">
        <v>4409</v>
      </c>
      <c r="BB701" s="207"/>
      <c r="BC701" s="202"/>
      <c r="BD701" s="208"/>
      <c r="BE701" s="202"/>
      <c r="BF701" s="207"/>
      <c r="BG701" s="229"/>
      <c r="BH701" s="321" t="str">
        <f t="shared" si="45"/>
        <v/>
      </c>
      <c r="BI701" s="98" t="str">
        <f t="shared" si="46"/>
        <v>AA</v>
      </c>
      <c r="BJ701" s="98" t="str">
        <f t="shared" si="47"/>
        <v>NÃO</v>
      </c>
      <c r="BK701" s="230"/>
      <c r="BL701" s="230"/>
      <c r="BM701" s="230"/>
      <c r="BN701" s="230"/>
      <c r="BO701" s="230"/>
      <c r="BP701" s="230"/>
      <c r="BQ701" s="230"/>
      <c r="BR701" s="234"/>
    </row>
    <row r="702" spans="1:71" ht="27" hidden="1" customHeight="1">
      <c r="A702" s="207">
        <v>698</v>
      </c>
      <c r="B702" s="197" t="s">
        <v>4396</v>
      </c>
      <c r="C702" s="207" t="s">
        <v>4427</v>
      </c>
      <c r="D702" s="207">
        <v>1</v>
      </c>
      <c r="E702" s="207" t="s">
        <v>4398</v>
      </c>
      <c r="F702" s="214" t="s">
        <v>7404</v>
      </c>
      <c r="G702" s="207" t="s">
        <v>4400</v>
      </c>
      <c r="H702" s="207" t="s">
        <v>4401</v>
      </c>
      <c r="I702" s="217" t="s">
        <v>4402</v>
      </c>
      <c r="J702" s="215" t="s">
        <v>7405</v>
      </c>
      <c r="K702" s="215" t="s">
        <v>4440</v>
      </c>
      <c r="L702" s="215" t="s">
        <v>7406</v>
      </c>
      <c r="M702" s="207" t="s">
        <v>4405</v>
      </c>
      <c r="N702" s="207" t="s">
        <v>4406</v>
      </c>
      <c r="O702" s="202">
        <v>45986</v>
      </c>
      <c r="P702" s="203" t="s">
        <v>4407</v>
      </c>
      <c r="Q702" s="203">
        <v>45985</v>
      </c>
      <c r="R702" s="203">
        <v>45986</v>
      </c>
      <c r="S702" s="203">
        <v>45987</v>
      </c>
      <c r="T702" s="203">
        <v>45992</v>
      </c>
      <c r="U702" s="202" t="s">
        <v>4408</v>
      </c>
      <c r="V702" s="202" t="s">
        <v>4408</v>
      </c>
      <c r="W702" s="202">
        <v>45999</v>
      </c>
      <c r="X702" s="202">
        <v>46001</v>
      </c>
      <c r="Y702" s="203"/>
      <c r="Z702" s="219"/>
      <c r="AA702" s="215" t="s">
        <v>7405</v>
      </c>
      <c r="AB702" s="215" t="s">
        <v>4440</v>
      </c>
      <c r="AC702" s="215" t="s">
        <v>7406</v>
      </c>
      <c r="AD702" s="207" t="s">
        <v>4402</v>
      </c>
      <c r="AE702" s="207" t="s">
        <v>4405</v>
      </c>
      <c r="AF702" s="218" t="s">
        <v>4409</v>
      </c>
      <c r="AG702" s="218" t="s">
        <v>4409</v>
      </c>
      <c r="AH702" s="204" t="s">
        <v>4410</v>
      </c>
      <c r="AI702" s="214" t="s">
        <v>4411</v>
      </c>
      <c r="AJ702" s="207"/>
      <c r="AK702" s="316">
        <v>45980</v>
      </c>
      <c r="AL702" s="316">
        <v>45980</v>
      </c>
      <c r="AM702" s="316">
        <v>45980</v>
      </c>
      <c r="AN702" s="316">
        <v>45980</v>
      </c>
      <c r="AO702" s="316">
        <v>45980</v>
      </c>
      <c r="AP702" s="316">
        <v>45980</v>
      </c>
      <c r="AQ702" s="314"/>
      <c r="AR702" s="315" t="str">
        <f t="shared" si="48"/>
        <v>FINALIZADO</v>
      </c>
      <c r="AS702" s="207"/>
      <c r="AT702" s="219"/>
      <c r="AU702" s="225"/>
      <c r="AV702" s="207"/>
      <c r="AW702" s="207"/>
      <c r="AX702" s="207" t="s">
        <v>4409</v>
      </c>
      <c r="AY702" s="207" t="s">
        <v>4409</v>
      </c>
      <c r="AZ702" s="207" t="s">
        <v>4409</v>
      </c>
      <c r="BA702" s="207" t="s">
        <v>4409</v>
      </c>
      <c r="BB702" s="219"/>
      <c r="BC702" s="219"/>
      <c r="BD702" s="208"/>
      <c r="BE702" s="202"/>
      <c r="BF702" s="207"/>
      <c r="BG702" s="229"/>
      <c r="BH702" s="321" t="str">
        <f t="shared" si="45"/>
        <v/>
      </c>
      <c r="BI702" s="98" t="str">
        <f t="shared" si="46"/>
        <v>AA</v>
      </c>
      <c r="BJ702" s="98" t="str">
        <f t="shared" si="47"/>
        <v>NÃO</v>
      </c>
      <c r="BK702" s="230"/>
      <c r="BL702" s="230"/>
      <c r="BM702" s="230"/>
      <c r="BN702" s="230"/>
      <c r="BO702" s="230"/>
      <c r="BP702" s="230"/>
      <c r="BQ702" s="230"/>
      <c r="BR702" s="234"/>
    </row>
    <row r="703" spans="1:71" ht="27" hidden="1" customHeight="1">
      <c r="A703" s="207">
        <v>699</v>
      </c>
      <c r="B703" s="197" t="s">
        <v>4396</v>
      </c>
      <c r="C703" s="207" t="s">
        <v>4427</v>
      </c>
      <c r="D703" s="207">
        <v>1</v>
      </c>
      <c r="E703" s="207" t="s">
        <v>4398</v>
      </c>
      <c r="F703" s="214" t="s">
        <v>7407</v>
      </c>
      <c r="G703" s="207" t="s">
        <v>4400</v>
      </c>
      <c r="H703" s="207" t="s">
        <v>4401</v>
      </c>
      <c r="I703" s="217" t="s">
        <v>4402</v>
      </c>
      <c r="J703" s="215" t="s">
        <v>7408</v>
      </c>
      <c r="K703" s="215" t="s">
        <v>7409</v>
      </c>
      <c r="L703" s="215" t="s">
        <v>7410</v>
      </c>
      <c r="M703" s="207" t="s">
        <v>4405</v>
      </c>
      <c r="N703" s="207" t="s">
        <v>4406</v>
      </c>
      <c r="O703" s="202">
        <v>45986</v>
      </c>
      <c r="P703" s="203" t="s">
        <v>4407</v>
      </c>
      <c r="Q703" s="203">
        <v>45985</v>
      </c>
      <c r="R703" s="203">
        <v>45986</v>
      </c>
      <c r="S703" s="203">
        <v>45987</v>
      </c>
      <c r="T703" s="203">
        <v>45992</v>
      </c>
      <c r="U703" s="202" t="s">
        <v>4408</v>
      </c>
      <c r="V703" s="202" t="s">
        <v>4408</v>
      </c>
      <c r="W703" s="202">
        <v>45999</v>
      </c>
      <c r="X703" s="202">
        <v>46002</v>
      </c>
      <c r="Y703" s="202"/>
      <c r="Z703" s="207"/>
      <c r="AA703" s="215" t="s">
        <v>7408</v>
      </c>
      <c r="AB703" s="215" t="s">
        <v>7409</v>
      </c>
      <c r="AC703" s="215" t="s">
        <v>7410</v>
      </c>
      <c r="AD703" s="207" t="s">
        <v>4402</v>
      </c>
      <c r="AE703" s="207" t="s">
        <v>4405</v>
      </c>
      <c r="AF703" s="218" t="s">
        <v>4409</v>
      </c>
      <c r="AG703" s="218" t="s">
        <v>4409</v>
      </c>
      <c r="AH703" s="204" t="s">
        <v>4410</v>
      </c>
      <c r="AI703" s="214" t="s">
        <v>4411</v>
      </c>
      <c r="AJ703" s="207"/>
      <c r="AK703" s="316">
        <v>45980</v>
      </c>
      <c r="AL703" s="316">
        <v>45980</v>
      </c>
      <c r="AM703" s="316">
        <v>45980</v>
      </c>
      <c r="AN703" s="316">
        <v>45980</v>
      </c>
      <c r="AO703" s="316">
        <v>45980</v>
      </c>
      <c r="AP703" s="316">
        <v>45980</v>
      </c>
      <c r="AQ703" s="314"/>
      <c r="AR703" s="315" t="str">
        <f t="shared" si="48"/>
        <v>FINALIZADO</v>
      </c>
      <c r="AS703" s="207"/>
      <c r="AT703" s="207"/>
      <c r="AU703" s="225"/>
      <c r="AV703" s="207"/>
      <c r="AW703" s="207"/>
      <c r="AX703" s="207" t="s">
        <v>4409</v>
      </c>
      <c r="AY703" s="207" t="s">
        <v>4409</v>
      </c>
      <c r="AZ703" s="207" t="s">
        <v>4409</v>
      </c>
      <c r="BA703" s="207" t="s">
        <v>4409</v>
      </c>
      <c r="BB703" s="207"/>
      <c r="BC703" s="202"/>
      <c r="BD703" s="208"/>
      <c r="BE703" s="202"/>
      <c r="BF703" s="207"/>
      <c r="BG703" s="229"/>
      <c r="BH703" s="321" t="str">
        <f t="shared" si="45"/>
        <v/>
      </c>
      <c r="BI703" s="98" t="str">
        <f t="shared" si="46"/>
        <v>AA</v>
      </c>
      <c r="BJ703" s="98" t="str">
        <f t="shared" si="47"/>
        <v>NÃO</v>
      </c>
      <c r="BK703" s="230"/>
      <c r="BL703" s="230"/>
      <c r="BM703" s="230"/>
      <c r="BN703" s="230"/>
      <c r="BO703" s="230"/>
      <c r="BP703" s="230"/>
      <c r="BQ703" s="230"/>
      <c r="BR703" s="234"/>
    </row>
    <row r="704" spans="1:71" ht="27" hidden="1" customHeight="1">
      <c r="A704" s="197">
        <v>700</v>
      </c>
      <c r="B704" s="197" t="s">
        <v>4396</v>
      </c>
      <c r="C704" s="207" t="s">
        <v>4427</v>
      </c>
      <c r="D704" s="207">
        <v>1</v>
      </c>
      <c r="E704" s="207" t="s">
        <v>4398</v>
      </c>
      <c r="F704" s="214" t="s">
        <v>7411</v>
      </c>
      <c r="G704" s="207" t="s">
        <v>4400</v>
      </c>
      <c r="H704" s="207" t="s">
        <v>4401</v>
      </c>
      <c r="I704" s="217" t="s">
        <v>4402</v>
      </c>
      <c r="J704" s="215" t="s">
        <v>7412</v>
      </c>
      <c r="K704" s="215" t="s">
        <v>7413</v>
      </c>
      <c r="L704" s="215" t="s">
        <v>7414</v>
      </c>
      <c r="M704" s="207" t="s">
        <v>4405</v>
      </c>
      <c r="N704" s="207" t="s">
        <v>4406</v>
      </c>
      <c r="O704" s="202">
        <v>46002</v>
      </c>
      <c r="P704" s="202" t="s">
        <v>4407</v>
      </c>
      <c r="Q704" s="202">
        <v>45999</v>
      </c>
      <c r="R704" s="202">
        <v>46006</v>
      </c>
      <c r="S704" s="202">
        <v>46006</v>
      </c>
      <c r="T704" s="202">
        <v>46009</v>
      </c>
      <c r="U704" s="202" t="s">
        <v>4408</v>
      </c>
      <c r="V704" s="202" t="s">
        <v>4408</v>
      </c>
      <c r="W704" s="202">
        <v>46014</v>
      </c>
      <c r="X704" s="202">
        <v>46020</v>
      </c>
      <c r="Y704" s="203"/>
      <c r="Z704" s="219"/>
      <c r="AA704" s="215" t="s">
        <v>7412</v>
      </c>
      <c r="AB704" s="215" t="s">
        <v>7413</v>
      </c>
      <c r="AC704" s="215" t="s">
        <v>7414</v>
      </c>
      <c r="AD704" s="207" t="s">
        <v>4402</v>
      </c>
      <c r="AE704" s="207" t="s">
        <v>4405</v>
      </c>
      <c r="AF704" s="218" t="s">
        <v>4409</v>
      </c>
      <c r="AG704" s="218" t="s">
        <v>4409</v>
      </c>
      <c r="AH704" s="197" t="s">
        <v>4410</v>
      </c>
      <c r="AI704" s="214" t="s">
        <v>4411</v>
      </c>
      <c r="AJ704" s="207"/>
      <c r="AK704" s="316">
        <v>45980</v>
      </c>
      <c r="AL704" s="316">
        <v>45980</v>
      </c>
      <c r="AM704" s="316">
        <v>45980</v>
      </c>
      <c r="AN704" s="316">
        <v>45980</v>
      </c>
      <c r="AO704" s="316">
        <v>45980</v>
      </c>
      <c r="AP704" s="316">
        <v>45980</v>
      </c>
      <c r="AQ704" s="314"/>
      <c r="AR704" s="315" t="str">
        <f t="shared" si="48"/>
        <v>FINALIZADO</v>
      </c>
      <c r="AS704" s="207"/>
      <c r="AT704" s="219"/>
      <c r="AU704" s="225"/>
      <c r="AV704" s="219"/>
      <c r="AW704" s="219"/>
      <c r="AX704" s="219"/>
      <c r="AY704" s="219"/>
      <c r="AZ704" s="219"/>
      <c r="BA704" s="219"/>
      <c r="BB704" s="219"/>
      <c r="BC704" s="219"/>
      <c r="BD704" s="208"/>
      <c r="BE704" s="202"/>
      <c r="BF704" s="207"/>
      <c r="BG704" s="229"/>
      <c r="BH704" s="321" t="str">
        <f t="shared" si="45"/>
        <v/>
      </c>
      <c r="BI704" s="98" t="str">
        <f t="shared" si="46"/>
        <v>AA</v>
      </c>
      <c r="BJ704" s="98" t="str">
        <f t="shared" si="47"/>
        <v>NÃO</v>
      </c>
      <c r="BK704" s="230"/>
      <c r="BL704" s="230"/>
      <c r="BM704" s="230"/>
      <c r="BN704" s="230"/>
      <c r="BO704" s="230"/>
      <c r="BP704" s="230"/>
      <c r="BQ704" s="230"/>
      <c r="BR704" s="234"/>
    </row>
    <row r="705" spans="1:74" ht="27" hidden="1" customHeight="1">
      <c r="A705" s="197">
        <v>701</v>
      </c>
      <c r="B705" s="197" t="s">
        <v>4396</v>
      </c>
      <c r="C705" s="207" t="s">
        <v>4427</v>
      </c>
      <c r="D705" s="207">
        <v>1</v>
      </c>
      <c r="E705" s="207" t="s">
        <v>4398</v>
      </c>
      <c r="F705" s="214" t="s">
        <v>7415</v>
      </c>
      <c r="G705" s="207" t="s">
        <v>4400</v>
      </c>
      <c r="H705" s="207" t="s">
        <v>4401</v>
      </c>
      <c r="I705" s="217" t="s">
        <v>4402</v>
      </c>
      <c r="J705" s="215" t="s">
        <v>7416</v>
      </c>
      <c r="K705" s="215" t="s">
        <v>7417</v>
      </c>
      <c r="L705" s="215" t="s">
        <v>7418</v>
      </c>
      <c r="M705" s="207" t="s">
        <v>4405</v>
      </c>
      <c r="N705" s="207" t="s">
        <v>4406</v>
      </c>
      <c r="O705" s="202">
        <v>45986</v>
      </c>
      <c r="P705" s="203" t="s">
        <v>4407</v>
      </c>
      <c r="Q705" s="203">
        <v>45985</v>
      </c>
      <c r="R705" s="203">
        <v>45986</v>
      </c>
      <c r="S705" s="203">
        <v>45987</v>
      </c>
      <c r="T705" s="203">
        <v>45992</v>
      </c>
      <c r="U705" s="202" t="s">
        <v>4408</v>
      </c>
      <c r="V705" s="202" t="s">
        <v>4408</v>
      </c>
      <c r="W705" s="202">
        <v>45999</v>
      </c>
      <c r="X705" s="202">
        <v>46001</v>
      </c>
      <c r="Y705" s="203"/>
      <c r="Z705" s="219"/>
      <c r="AA705" s="215" t="s">
        <v>7416</v>
      </c>
      <c r="AB705" s="215" t="s">
        <v>7417</v>
      </c>
      <c r="AC705" s="215" t="s">
        <v>7418</v>
      </c>
      <c r="AD705" s="207" t="s">
        <v>4402</v>
      </c>
      <c r="AE705" s="207" t="s">
        <v>4405</v>
      </c>
      <c r="AF705" s="218" t="s">
        <v>4409</v>
      </c>
      <c r="AG705" s="218" t="s">
        <v>4409</v>
      </c>
      <c r="AH705" s="241" t="s">
        <v>4410</v>
      </c>
      <c r="AI705" s="214" t="s">
        <v>4411</v>
      </c>
      <c r="AJ705" s="207"/>
      <c r="AK705" s="316">
        <v>45980</v>
      </c>
      <c r="AL705" s="316">
        <v>45980</v>
      </c>
      <c r="AM705" s="316">
        <v>45980</v>
      </c>
      <c r="AN705" s="316">
        <v>45980</v>
      </c>
      <c r="AO705" s="316">
        <v>45980</v>
      </c>
      <c r="AP705" s="316">
        <v>45980</v>
      </c>
      <c r="AQ705" s="314"/>
      <c r="AR705" s="315" t="str">
        <f t="shared" si="48"/>
        <v>FINALIZADO</v>
      </c>
      <c r="AS705" s="207"/>
      <c r="AT705" s="219"/>
      <c r="AU705" s="225"/>
      <c r="AV705" s="207"/>
      <c r="AW705" s="207"/>
      <c r="AX705" s="207" t="s">
        <v>4409</v>
      </c>
      <c r="AY705" s="207" t="s">
        <v>4409</v>
      </c>
      <c r="AZ705" s="207" t="s">
        <v>4409</v>
      </c>
      <c r="BA705" s="207" t="s">
        <v>4409</v>
      </c>
      <c r="BB705" s="219"/>
      <c r="BC705" s="219"/>
      <c r="BD705" s="208"/>
      <c r="BE705" s="202"/>
      <c r="BF705" s="207"/>
      <c r="BG705" s="229"/>
      <c r="BH705" s="321" t="str">
        <f t="shared" si="45"/>
        <v/>
      </c>
      <c r="BI705" s="98" t="str">
        <f t="shared" si="46"/>
        <v>AA</v>
      </c>
      <c r="BJ705" s="98" t="str">
        <f t="shared" si="47"/>
        <v>NÃO</v>
      </c>
      <c r="BK705" s="230"/>
      <c r="BL705" s="230"/>
      <c r="BM705" s="230"/>
      <c r="BN705" s="230"/>
      <c r="BO705" s="230"/>
      <c r="BP705" s="230"/>
      <c r="BQ705" s="230"/>
      <c r="BR705" s="234"/>
    </row>
    <row r="706" spans="1:74" ht="27" hidden="1" customHeight="1">
      <c r="A706" s="207">
        <v>702</v>
      </c>
      <c r="B706" s="197" t="s">
        <v>4396</v>
      </c>
      <c r="C706" s="207" t="s">
        <v>4427</v>
      </c>
      <c r="D706" s="207">
        <v>1</v>
      </c>
      <c r="E706" s="207" t="s">
        <v>4398</v>
      </c>
      <c r="F706" s="214" t="s">
        <v>7419</v>
      </c>
      <c r="G706" s="207" t="s">
        <v>4400</v>
      </c>
      <c r="H706" s="207" t="s">
        <v>4401</v>
      </c>
      <c r="I706" s="217" t="s">
        <v>4402</v>
      </c>
      <c r="J706" s="215" t="s">
        <v>7420</v>
      </c>
      <c r="K706" s="215" t="s">
        <v>7421</v>
      </c>
      <c r="L706" s="215" t="s">
        <v>7422</v>
      </c>
      <c r="M706" s="207" t="s">
        <v>4405</v>
      </c>
      <c r="N706" s="207" t="s">
        <v>4406</v>
      </c>
      <c r="O706" s="202">
        <v>45986</v>
      </c>
      <c r="P706" s="203" t="s">
        <v>4407</v>
      </c>
      <c r="Q706" s="203">
        <v>45985</v>
      </c>
      <c r="R706" s="203">
        <v>45986</v>
      </c>
      <c r="S706" s="203">
        <v>45987</v>
      </c>
      <c r="T706" s="203">
        <v>45992</v>
      </c>
      <c r="U706" s="202" t="s">
        <v>4408</v>
      </c>
      <c r="V706" s="202" t="s">
        <v>4408</v>
      </c>
      <c r="W706" s="202">
        <v>45999</v>
      </c>
      <c r="X706" s="202">
        <v>46002</v>
      </c>
      <c r="Y706" s="203"/>
      <c r="Z706" s="219"/>
      <c r="AA706" s="215" t="s">
        <v>7420</v>
      </c>
      <c r="AB706" s="215" t="s">
        <v>7421</v>
      </c>
      <c r="AC706" s="215" t="s">
        <v>7422</v>
      </c>
      <c r="AD706" s="207" t="s">
        <v>4402</v>
      </c>
      <c r="AE706" s="207" t="s">
        <v>4405</v>
      </c>
      <c r="AF706" s="218" t="s">
        <v>4409</v>
      </c>
      <c r="AG706" s="218" t="s">
        <v>4409</v>
      </c>
      <c r="AH706" s="204" t="s">
        <v>4410</v>
      </c>
      <c r="AI706" s="214" t="s">
        <v>4411</v>
      </c>
      <c r="AJ706" s="207"/>
      <c r="AK706" s="317">
        <v>45993</v>
      </c>
      <c r="AL706" s="317">
        <v>45993</v>
      </c>
      <c r="AM706" s="317">
        <v>45993</v>
      </c>
      <c r="AN706" s="317">
        <v>45993</v>
      </c>
      <c r="AO706" s="317">
        <v>45993</v>
      </c>
      <c r="AP706" s="317">
        <v>45993</v>
      </c>
      <c r="AQ706" s="314"/>
      <c r="AR706" s="315" t="str">
        <f t="shared" si="48"/>
        <v>FINALIZADO</v>
      </c>
      <c r="AS706" s="207"/>
      <c r="AT706" s="219"/>
      <c r="AU706" s="225"/>
      <c r="AV706" s="207"/>
      <c r="AW706" s="207"/>
      <c r="AX706" s="207" t="s">
        <v>4409</v>
      </c>
      <c r="AY706" s="207" t="s">
        <v>4409</v>
      </c>
      <c r="AZ706" s="207" t="s">
        <v>4409</v>
      </c>
      <c r="BA706" s="207" t="s">
        <v>4409</v>
      </c>
      <c r="BB706" s="219"/>
      <c r="BC706" s="219"/>
      <c r="BD706" s="208"/>
      <c r="BE706" s="202"/>
      <c r="BF706" s="207"/>
      <c r="BG706" s="229"/>
      <c r="BH706" s="321" t="str">
        <f t="shared" si="45"/>
        <v/>
      </c>
      <c r="BI706" s="98" t="str">
        <f t="shared" si="46"/>
        <v>AA</v>
      </c>
      <c r="BJ706" s="98" t="str">
        <f t="shared" si="47"/>
        <v>NÃO</v>
      </c>
      <c r="BK706" s="230"/>
      <c r="BL706" s="230"/>
      <c r="BM706" s="230"/>
      <c r="BN706" s="230"/>
      <c r="BO706" s="230"/>
      <c r="BP706" s="230"/>
      <c r="BQ706" s="230"/>
      <c r="BR706" s="234"/>
    </row>
    <row r="707" spans="1:74" ht="27" hidden="1" customHeight="1">
      <c r="A707" s="207">
        <v>703</v>
      </c>
      <c r="B707" s="197" t="s">
        <v>4396</v>
      </c>
      <c r="C707" s="207" t="s">
        <v>4427</v>
      </c>
      <c r="D707" s="207">
        <v>1</v>
      </c>
      <c r="E707" s="207" t="s">
        <v>4398</v>
      </c>
      <c r="F707" s="214" t="s">
        <v>7423</v>
      </c>
      <c r="G707" s="207" t="s">
        <v>4400</v>
      </c>
      <c r="H707" s="207" t="s">
        <v>4401</v>
      </c>
      <c r="I707" s="217" t="s">
        <v>4402</v>
      </c>
      <c r="J707" s="215" t="s">
        <v>7424</v>
      </c>
      <c r="K707" s="215" t="s">
        <v>7425</v>
      </c>
      <c r="L707" s="215" t="s">
        <v>7426</v>
      </c>
      <c r="M707" s="207" t="s">
        <v>4405</v>
      </c>
      <c r="N707" s="207" t="s">
        <v>4406</v>
      </c>
      <c r="O707" s="202">
        <v>45986</v>
      </c>
      <c r="P707" s="203" t="s">
        <v>4407</v>
      </c>
      <c r="Q707" s="203">
        <v>45985</v>
      </c>
      <c r="R707" s="203">
        <v>45986</v>
      </c>
      <c r="S707" s="203">
        <v>45987</v>
      </c>
      <c r="T707" s="203">
        <v>45992</v>
      </c>
      <c r="U707" s="203" t="s">
        <v>4408</v>
      </c>
      <c r="V707" s="203" t="s">
        <v>4408</v>
      </c>
      <c r="W707" s="202">
        <v>45999</v>
      </c>
      <c r="X707" s="202">
        <v>46002</v>
      </c>
      <c r="Y707" s="203"/>
      <c r="Z707" s="219"/>
      <c r="AA707" s="215" t="s">
        <v>7424</v>
      </c>
      <c r="AB707" s="215" t="s">
        <v>7425</v>
      </c>
      <c r="AC707" s="215" t="s">
        <v>7426</v>
      </c>
      <c r="AD707" s="207" t="s">
        <v>4402</v>
      </c>
      <c r="AE707" s="207" t="s">
        <v>4405</v>
      </c>
      <c r="AF707" s="218" t="s">
        <v>4409</v>
      </c>
      <c r="AG707" s="218" t="s">
        <v>4409</v>
      </c>
      <c r="AH707" s="204" t="s">
        <v>4410</v>
      </c>
      <c r="AI707" s="214" t="s">
        <v>4411</v>
      </c>
      <c r="AJ707" s="207"/>
      <c r="AK707" s="316">
        <v>45980</v>
      </c>
      <c r="AL707" s="316">
        <v>45980</v>
      </c>
      <c r="AM707" s="316">
        <v>45980</v>
      </c>
      <c r="AN707" s="316">
        <v>45980</v>
      </c>
      <c r="AO707" s="316">
        <v>45980</v>
      </c>
      <c r="AP707" s="316">
        <v>45980</v>
      </c>
      <c r="AQ707" s="314"/>
      <c r="AR707" s="315" t="str">
        <f t="shared" si="48"/>
        <v>FINALIZADO</v>
      </c>
      <c r="AS707" s="207"/>
      <c r="AT707" s="219"/>
      <c r="AU707" s="225"/>
      <c r="AV707" s="207"/>
      <c r="AW707" s="207"/>
      <c r="AX707" s="207" t="s">
        <v>4409</v>
      </c>
      <c r="AY707" s="207" t="s">
        <v>4409</v>
      </c>
      <c r="AZ707" s="207" t="s">
        <v>4409</v>
      </c>
      <c r="BA707" s="207" t="s">
        <v>4409</v>
      </c>
      <c r="BB707" s="219"/>
      <c r="BC707" s="219"/>
      <c r="BD707" s="208"/>
      <c r="BE707" s="202"/>
      <c r="BF707" s="207"/>
      <c r="BG707" s="229"/>
      <c r="BH707" s="321" t="str">
        <f t="shared" si="45"/>
        <v/>
      </c>
      <c r="BI707" s="98" t="str">
        <f t="shared" si="46"/>
        <v>AA</v>
      </c>
      <c r="BJ707" s="98" t="str">
        <f t="shared" si="47"/>
        <v>NÃO</v>
      </c>
      <c r="BK707" s="230"/>
      <c r="BL707" s="230"/>
      <c r="BM707" s="230"/>
      <c r="BN707" s="230"/>
      <c r="BO707" s="230"/>
      <c r="BP707" s="230"/>
      <c r="BQ707" s="230"/>
      <c r="BR707" s="234"/>
    </row>
    <row r="708" spans="1:74" ht="27" hidden="1" customHeight="1">
      <c r="A708" s="207">
        <v>704</v>
      </c>
      <c r="B708" s="197" t="s">
        <v>4396</v>
      </c>
      <c r="C708" s="207" t="s">
        <v>4427</v>
      </c>
      <c r="D708" s="207">
        <v>1</v>
      </c>
      <c r="E708" s="207" t="s">
        <v>4398</v>
      </c>
      <c r="F708" s="214" t="s">
        <v>7427</v>
      </c>
      <c r="G708" s="207" t="s">
        <v>4400</v>
      </c>
      <c r="H708" s="207" t="s">
        <v>4401</v>
      </c>
      <c r="I708" s="217" t="s">
        <v>4402</v>
      </c>
      <c r="J708" s="215" t="s">
        <v>7428</v>
      </c>
      <c r="K708" s="215" t="s">
        <v>7429</v>
      </c>
      <c r="L708" s="215" t="s">
        <v>7430</v>
      </c>
      <c r="M708" s="207" t="s">
        <v>4405</v>
      </c>
      <c r="N708" s="207" t="s">
        <v>4406</v>
      </c>
      <c r="O708" s="202">
        <v>45986</v>
      </c>
      <c r="P708" s="203" t="s">
        <v>4407</v>
      </c>
      <c r="Q708" s="203">
        <v>45985</v>
      </c>
      <c r="R708" s="203">
        <v>45986</v>
      </c>
      <c r="S708" s="203">
        <v>45987</v>
      </c>
      <c r="T708" s="203">
        <v>45992</v>
      </c>
      <c r="U708" s="202" t="s">
        <v>4408</v>
      </c>
      <c r="V708" s="202" t="s">
        <v>4408</v>
      </c>
      <c r="W708" s="202">
        <v>45999</v>
      </c>
      <c r="X708" s="202">
        <v>46000</v>
      </c>
      <c r="Y708" s="203"/>
      <c r="Z708" s="219"/>
      <c r="AA708" s="215" t="s">
        <v>7428</v>
      </c>
      <c r="AB708" s="215" t="s">
        <v>7429</v>
      </c>
      <c r="AC708" s="215" t="s">
        <v>7430</v>
      </c>
      <c r="AD708" s="207" t="s">
        <v>4402</v>
      </c>
      <c r="AE708" s="207" t="s">
        <v>4405</v>
      </c>
      <c r="AF708" s="218" t="s">
        <v>4409</v>
      </c>
      <c r="AG708" s="218" t="s">
        <v>4409</v>
      </c>
      <c r="AH708" s="204" t="s">
        <v>4410</v>
      </c>
      <c r="AI708" s="214" t="s">
        <v>4411</v>
      </c>
      <c r="AJ708" s="207"/>
      <c r="AK708" s="316">
        <v>45980</v>
      </c>
      <c r="AL708" s="316">
        <v>45980</v>
      </c>
      <c r="AM708" s="316">
        <v>45980</v>
      </c>
      <c r="AN708" s="316">
        <v>45980</v>
      </c>
      <c r="AO708" s="316">
        <v>45980</v>
      </c>
      <c r="AP708" s="316">
        <v>45980</v>
      </c>
      <c r="AQ708" s="314"/>
      <c r="AR708" s="315" t="str">
        <f t="shared" si="48"/>
        <v>FINALIZADO</v>
      </c>
      <c r="AS708" s="207"/>
      <c r="AT708" s="219"/>
      <c r="AU708" s="225"/>
      <c r="AV708" s="207"/>
      <c r="AW708" s="207"/>
      <c r="AX708" s="207" t="s">
        <v>4409</v>
      </c>
      <c r="AY708" s="207" t="s">
        <v>4409</v>
      </c>
      <c r="AZ708" s="207" t="s">
        <v>4409</v>
      </c>
      <c r="BA708" s="207" t="s">
        <v>4409</v>
      </c>
      <c r="BB708" s="219"/>
      <c r="BC708" s="219"/>
      <c r="BD708" s="208"/>
      <c r="BE708" s="202"/>
      <c r="BF708" s="207"/>
      <c r="BG708" s="229"/>
      <c r="BH708" s="321" t="str">
        <f t="shared" si="45"/>
        <v/>
      </c>
      <c r="BI708" s="98" t="str">
        <f t="shared" si="46"/>
        <v>AA</v>
      </c>
      <c r="BJ708" s="98" t="str">
        <f t="shared" si="47"/>
        <v>NÃO</v>
      </c>
      <c r="BK708" s="230"/>
      <c r="BL708" s="230"/>
      <c r="BM708" s="230"/>
      <c r="BN708" s="230"/>
      <c r="BO708" s="230"/>
      <c r="BP708" s="230"/>
      <c r="BQ708" s="230"/>
      <c r="BR708" s="234"/>
    </row>
    <row r="709" spans="1:74" ht="27" hidden="1" customHeight="1">
      <c r="A709" s="197">
        <v>705</v>
      </c>
      <c r="B709" s="197" t="s">
        <v>4396</v>
      </c>
      <c r="C709" s="207" t="s">
        <v>4427</v>
      </c>
      <c r="D709" s="207">
        <v>1</v>
      </c>
      <c r="E709" s="207" t="s">
        <v>4398</v>
      </c>
      <c r="F709" s="214" t="s">
        <v>7431</v>
      </c>
      <c r="G709" s="207" t="s">
        <v>4400</v>
      </c>
      <c r="H709" s="207" t="s">
        <v>4401</v>
      </c>
      <c r="I709" s="217" t="s">
        <v>4402</v>
      </c>
      <c r="J709" s="215" t="s">
        <v>7432</v>
      </c>
      <c r="K709" s="215" t="s">
        <v>7433</v>
      </c>
      <c r="L709" s="215" t="s">
        <v>7434</v>
      </c>
      <c r="M709" s="207" t="s">
        <v>4405</v>
      </c>
      <c r="N709" s="207" t="s">
        <v>4406</v>
      </c>
      <c r="O709" s="202">
        <v>45986</v>
      </c>
      <c r="P709" s="203" t="s">
        <v>4407</v>
      </c>
      <c r="Q709" s="203">
        <v>45985</v>
      </c>
      <c r="R709" s="203">
        <v>45986</v>
      </c>
      <c r="S709" s="203">
        <v>45987</v>
      </c>
      <c r="T709" s="203">
        <v>45992</v>
      </c>
      <c r="U709" s="202" t="s">
        <v>4408</v>
      </c>
      <c r="V709" s="202" t="s">
        <v>4408</v>
      </c>
      <c r="W709" s="202">
        <v>45999</v>
      </c>
      <c r="X709" s="202">
        <v>46001</v>
      </c>
      <c r="Y709" s="202"/>
      <c r="Z709" s="207"/>
      <c r="AA709" s="215" t="s">
        <v>7432</v>
      </c>
      <c r="AB709" s="215" t="s">
        <v>7433</v>
      </c>
      <c r="AC709" s="215" t="s">
        <v>7434</v>
      </c>
      <c r="AD709" s="207" t="s">
        <v>4402</v>
      </c>
      <c r="AE709" s="207" t="s">
        <v>4405</v>
      </c>
      <c r="AF709" s="218" t="s">
        <v>4409</v>
      </c>
      <c r="AG709" s="218" t="s">
        <v>4409</v>
      </c>
      <c r="AH709" s="204" t="s">
        <v>4410</v>
      </c>
      <c r="AI709" s="214" t="s">
        <v>4411</v>
      </c>
      <c r="AJ709" s="207"/>
      <c r="AK709" s="316">
        <v>45980</v>
      </c>
      <c r="AL709" s="316">
        <v>45980</v>
      </c>
      <c r="AM709" s="316">
        <v>45980</v>
      </c>
      <c r="AN709" s="316">
        <v>45980</v>
      </c>
      <c r="AO709" s="316">
        <v>45980</v>
      </c>
      <c r="AP709" s="316">
        <v>45980</v>
      </c>
      <c r="AQ709" s="314"/>
      <c r="AR709" s="315" t="str">
        <f t="shared" si="48"/>
        <v>FINALIZADO</v>
      </c>
      <c r="AS709" s="207"/>
      <c r="AT709" s="207"/>
      <c r="AU709" s="225"/>
      <c r="AV709" s="207"/>
      <c r="AW709" s="207"/>
      <c r="AX709" s="207" t="s">
        <v>4409</v>
      </c>
      <c r="AY709" s="207" t="s">
        <v>4409</v>
      </c>
      <c r="AZ709" s="207" t="s">
        <v>4409</v>
      </c>
      <c r="BA709" s="207" t="s">
        <v>4409</v>
      </c>
      <c r="BB709" s="207"/>
      <c r="BC709" s="202"/>
      <c r="BD709" s="208"/>
      <c r="BE709" s="202"/>
      <c r="BF709" s="207"/>
      <c r="BG709" s="229"/>
      <c r="BH709" s="321" t="str">
        <f t="shared" ref="BH709:BH772" si="49">IFERROR(IF(BD709-KI709=0,"",BD709-AK709),"")</f>
        <v/>
      </c>
      <c r="BI709" s="98" t="str">
        <f t="shared" ref="BI709:BI772" si="50">IF(AND(AH709&lt;&gt;"SIM",AH709="UH"),"AA","INDENIZAÇÃO")</f>
        <v>AA</v>
      </c>
      <c r="BJ709" s="98" t="str">
        <f t="shared" ref="BJ709:BJ772" si="51">IF(AND(BD709&lt;&gt;"AGUARDANDO",BD709&lt;&gt;"",N709="AUXÍLIO ALUGUEL ATÉ INDENIZAÇÃO"),"SIM","NÃO")</f>
        <v>NÃO</v>
      </c>
      <c r="BK709" s="230"/>
      <c r="BL709" s="230"/>
      <c r="BM709" s="230"/>
      <c r="BN709" s="230"/>
      <c r="BO709" s="230"/>
      <c r="BP709" s="230"/>
      <c r="BQ709" s="230"/>
      <c r="BR709" s="234"/>
    </row>
    <row r="710" spans="1:74" ht="27" hidden="1" customHeight="1">
      <c r="A710" s="197">
        <v>706</v>
      </c>
      <c r="B710" s="197" t="s">
        <v>4396</v>
      </c>
      <c r="C710" s="207" t="s">
        <v>4427</v>
      </c>
      <c r="D710" s="207">
        <v>1</v>
      </c>
      <c r="E710" s="207" t="s">
        <v>4398</v>
      </c>
      <c r="F710" s="214" t="s">
        <v>7435</v>
      </c>
      <c r="G710" s="207" t="s">
        <v>4400</v>
      </c>
      <c r="H710" s="207" t="s">
        <v>4401</v>
      </c>
      <c r="I710" s="217" t="s">
        <v>4402</v>
      </c>
      <c r="J710" s="215" t="s">
        <v>7436</v>
      </c>
      <c r="K710" s="215" t="s">
        <v>7437</v>
      </c>
      <c r="L710" s="215" t="s">
        <v>7438</v>
      </c>
      <c r="M710" s="207" t="s">
        <v>4405</v>
      </c>
      <c r="N710" s="207" t="s">
        <v>4406</v>
      </c>
      <c r="O710" s="202">
        <v>45986</v>
      </c>
      <c r="P710" s="230" t="s">
        <v>4407</v>
      </c>
      <c r="Q710" s="202">
        <v>45985</v>
      </c>
      <c r="R710" s="202">
        <v>45986</v>
      </c>
      <c r="S710" s="202">
        <v>45987</v>
      </c>
      <c r="T710" s="202">
        <v>45992</v>
      </c>
      <c r="U710" s="230" t="s">
        <v>4408</v>
      </c>
      <c r="V710" s="230" t="s">
        <v>4408</v>
      </c>
      <c r="W710" s="202">
        <v>45999</v>
      </c>
      <c r="X710" s="202">
        <v>46001</v>
      </c>
      <c r="Y710" s="202"/>
      <c r="Z710" s="207"/>
      <c r="AA710" s="215" t="s">
        <v>7436</v>
      </c>
      <c r="AB710" s="215" t="s">
        <v>7437</v>
      </c>
      <c r="AC710" s="215" t="s">
        <v>7438</v>
      </c>
      <c r="AD710" s="207" t="s">
        <v>4402</v>
      </c>
      <c r="AE710" s="207" t="s">
        <v>4405</v>
      </c>
      <c r="AF710" s="218" t="s">
        <v>4409</v>
      </c>
      <c r="AG710" s="218" t="s">
        <v>4409</v>
      </c>
      <c r="AH710" s="204" t="s">
        <v>4410</v>
      </c>
      <c r="AI710" s="214" t="s">
        <v>4411</v>
      </c>
      <c r="AJ710" s="207"/>
      <c r="AK710" s="316">
        <v>45980</v>
      </c>
      <c r="AL710" s="316">
        <v>45980</v>
      </c>
      <c r="AM710" s="316">
        <v>45980</v>
      </c>
      <c r="AN710" s="316">
        <v>45980</v>
      </c>
      <c r="AO710" s="316">
        <v>45980</v>
      </c>
      <c r="AP710" s="316">
        <v>45980</v>
      </c>
      <c r="AQ710" s="314"/>
      <c r="AR710" s="315" t="str">
        <f t="shared" ref="AR710:AR773" si="52">IF(AQ710="SIM","AGUARDANDO CORREÇÃO",IF(AP710&lt;&gt;"","FINALIZADO",IF(AO710&lt;&gt;"","AGUARDANDO ENVIO DTS",IF(AN710&lt;&gt;"","AGUARDANDO ASSINATURA GAB",IF(AM710&lt;&gt;"","AGUARDANDO ASSINATURA CTS",IF(AL710&lt;&gt;"","AGUARDANDO ENVIO ASSINATURA CTS",IF(AK710&lt;&gt;"","AGUARDANDO CONFERÊNCIA","")))))))</f>
        <v>FINALIZADO</v>
      </c>
      <c r="AS710" s="207"/>
      <c r="AT710" s="207"/>
      <c r="AU710" s="225"/>
      <c r="AV710" s="207"/>
      <c r="AW710" s="207"/>
      <c r="AX710" s="207" t="s">
        <v>4409</v>
      </c>
      <c r="AY710" s="207" t="s">
        <v>4409</v>
      </c>
      <c r="AZ710" s="207" t="s">
        <v>4409</v>
      </c>
      <c r="BA710" s="207" t="s">
        <v>4409</v>
      </c>
      <c r="BB710" s="207"/>
      <c r="BC710" s="202"/>
      <c r="BD710" s="208"/>
      <c r="BE710" s="202"/>
      <c r="BF710" s="207"/>
      <c r="BG710" s="229"/>
      <c r="BH710" s="321" t="str">
        <f t="shared" si="49"/>
        <v/>
      </c>
      <c r="BI710" s="98" t="str">
        <f t="shared" si="50"/>
        <v>AA</v>
      </c>
      <c r="BJ710" s="98" t="str">
        <f t="shared" si="51"/>
        <v>NÃO</v>
      </c>
      <c r="BK710" s="230"/>
      <c r="BL710" s="230"/>
      <c r="BM710" s="230"/>
      <c r="BN710" s="230"/>
      <c r="BO710" s="230"/>
      <c r="BP710" s="230"/>
      <c r="BQ710" s="230"/>
      <c r="BR710" s="234"/>
    </row>
    <row r="711" spans="1:74" ht="27" hidden="1" customHeight="1">
      <c r="A711" s="207">
        <v>707</v>
      </c>
      <c r="B711" s="197" t="s">
        <v>4396</v>
      </c>
      <c r="C711" s="207" t="s">
        <v>4427</v>
      </c>
      <c r="D711" s="207">
        <v>1</v>
      </c>
      <c r="E711" s="207" t="s">
        <v>4398</v>
      </c>
      <c r="F711" s="214" t="s">
        <v>7439</v>
      </c>
      <c r="G711" s="207" t="s">
        <v>4400</v>
      </c>
      <c r="H711" s="207" t="s">
        <v>4401</v>
      </c>
      <c r="I711" s="217" t="s">
        <v>4402</v>
      </c>
      <c r="J711" s="215" t="s">
        <v>7440</v>
      </c>
      <c r="K711" s="215" t="s">
        <v>4440</v>
      </c>
      <c r="L711" s="215" t="s">
        <v>7441</v>
      </c>
      <c r="M711" s="207" t="s">
        <v>4405</v>
      </c>
      <c r="N711" s="207" t="s">
        <v>4406</v>
      </c>
      <c r="O711" s="202">
        <v>46031</v>
      </c>
      <c r="P711" s="202" t="s">
        <v>4407</v>
      </c>
      <c r="Q711" s="202">
        <v>46023</v>
      </c>
      <c r="R711" s="202">
        <v>46023</v>
      </c>
      <c r="S711" s="202">
        <v>46036</v>
      </c>
      <c r="T711" s="202">
        <v>46045</v>
      </c>
      <c r="U711" s="202" t="s">
        <v>4408</v>
      </c>
      <c r="V711" s="202" t="s">
        <v>4408</v>
      </c>
      <c r="W711" s="202">
        <v>46055</v>
      </c>
      <c r="X711" s="202">
        <v>46056</v>
      </c>
      <c r="Y711" s="202"/>
      <c r="Z711" s="207"/>
      <c r="AA711" s="215" t="s">
        <v>7440</v>
      </c>
      <c r="AB711" s="215" t="s">
        <v>4440</v>
      </c>
      <c r="AC711" s="215" t="s">
        <v>7441</v>
      </c>
      <c r="AD711" s="207" t="s">
        <v>4402</v>
      </c>
      <c r="AE711" s="207" t="s">
        <v>4405</v>
      </c>
      <c r="AF711" s="218" t="s">
        <v>4409</v>
      </c>
      <c r="AG711" s="218" t="s">
        <v>4409</v>
      </c>
      <c r="AH711" s="197" t="s">
        <v>4410</v>
      </c>
      <c r="AI711" s="214" t="s">
        <v>4411</v>
      </c>
      <c r="AJ711" s="207"/>
      <c r="AK711" s="316"/>
      <c r="AL711" s="316"/>
      <c r="AM711" s="316"/>
      <c r="AN711" s="316"/>
      <c r="AO711" s="316"/>
      <c r="AP711" s="316"/>
      <c r="AQ711" s="314"/>
      <c r="AR711" s="315" t="str">
        <f t="shared" si="52"/>
        <v/>
      </c>
      <c r="AS711" s="207"/>
      <c r="AT711" s="207"/>
      <c r="AU711" s="225"/>
      <c r="AV711" s="207"/>
      <c r="AW711" s="207"/>
      <c r="AX711" s="207"/>
      <c r="AY711" s="207"/>
      <c r="AZ711" s="202"/>
      <c r="BA711" s="219"/>
      <c r="BB711" s="207"/>
      <c r="BC711" s="202"/>
      <c r="BD711" s="208"/>
      <c r="BE711" s="202"/>
      <c r="BF711" s="207"/>
      <c r="BG711" s="229"/>
      <c r="BH711" s="321" t="str">
        <f t="shared" si="49"/>
        <v/>
      </c>
      <c r="BI711" s="98" t="str">
        <f t="shared" si="50"/>
        <v>AA</v>
      </c>
      <c r="BJ711" s="98" t="str">
        <f t="shared" si="51"/>
        <v>NÃO</v>
      </c>
      <c r="BK711" s="230"/>
      <c r="BL711" s="230"/>
      <c r="BM711" s="230"/>
      <c r="BN711" s="230"/>
      <c r="BO711" s="230"/>
      <c r="BP711" s="230"/>
      <c r="BQ711" s="230"/>
      <c r="BR711" s="234"/>
    </row>
    <row r="712" spans="1:74" ht="27" hidden="1" customHeight="1">
      <c r="A712" s="207">
        <v>708</v>
      </c>
      <c r="B712" s="197" t="s">
        <v>4396</v>
      </c>
      <c r="C712" s="207" t="s">
        <v>4427</v>
      </c>
      <c r="D712" s="207">
        <v>1</v>
      </c>
      <c r="E712" s="207" t="s">
        <v>4398</v>
      </c>
      <c r="F712" s="214" t="s">
        <v>7442</v>
      </c>
      <c r="G712" s="207" t="s">
        <v>4400</v>
      </c>
      <c r="H712" s="207" t="s">
        <v>4401</v>
      </c>
      <c r="I712" s="217" t="s">
        <v>4402</v>
      </c>
      <c r="J712" s="215" t="s">
        <v>7443</v>
      </c>
      <c r="K712" s="215" t="s">
        <v>7444</v>
      </c>
      <c r="L712" s="215" t="s">
        <v>7445</v>
      </c>
      <c r="M712" s="207" t="s">
        <v>4405</v>
      </c>
      <c r="N712" s="207" t="s">
        <v>4406</v>
      </c>
      <c r="O712" s="202">
        <v>45986</v>
      </c>
      <c r="P712" s="203" t="s">
        <v>4407</v>
      </c>
      <c r="Q712" s="203">
        <v>45985</v>
      </c>
      <c r="R712" s="203">
        <v>45986</v>
      </c>
      <c r="S712" s="203">
        <v>45987</v>
      </c>
      <c r="T712" s="203">
        <v>45992</v>
      </c>
      <c r="U712" s="203" t="s">
        <v>4408</v>
      </c>
      <c r="V712" s="203" t="s">
        <v>4408</v>
      </c>
      <c r="W712" s="202">
        <v>45999</v>
      </c>
      <c r="X712" s="202">
        <v>46001</v>
      </c>
      <c r="Y712" s="203"/>
      <c r="Z712" s="219"/>
      <c r="AA712" s="215" t="s">
        <v>7443</v>
      </c>
      <c r="AB712" s="215" t="s">
        <v>7444</v>
      </c>
      <c r="AC712" s="215" t="s">
        <v>7445</v>
      </c>
      <c r="AD712" s="207" t="s">
        <v>4402</v>
      </c>
      <c r="AE712" s="207" t="s">
        <v>4405</v>
      </c>
      <c r="AF712" s="218" t="s">
        <v>4409</v>
      </c>
      <c r="AG712" s="218" t="s">
        <v>4409</v>
      </c>
      <c r="AH712" s="241" t="s">
        <v>4410</v>
      </c>
      <c r="AI712" s="214" t="s">
        <v>4411</v>
      </c>
      <c r="AJ712" s="207"/>
      <c r="AK712" s="316">
        <v>45980</v>
      </c>
      <c r="AL712" s="316">
        <v>45980</v>
      </c>
      <c r="AM712" s="316">
        <v>45980</v>
      </c>
      <c r="AN712" s="316">
        <v>45980</v>
      </c>
      <c r="AO712" s="316">
        <v>45980</v>
      </c>
      <c r="AP712" s="316">
        <v>45980</v>
      </c>
      <c r="AQ712" s="314"/>
      <c r="AR712" s="315" t="str">
        <f t="shared" si="52"/>
        <v>FINALIZADO</v>
      </c>
      <c r="AS712" s="207"/>
      <c r="AT712" s="219"/>
      <c r="AU712" s="225"/>
      <c r="AV712" s="207"/>
      <c r="AW712" s="207"/>
      <c r="AX712" s="207" t="s">
        <v>4409</v>
      </c>
      <c r="AY712" s="207" t="s">
        <v>4409</v>
      </c>
      <c r="AZ712" s="207" t="s">
        <v>4409</v>
      </c>
      <c r="BA712" s="207" t="s">
        <v>4409</v>
      </c>
      <c r="BB712" s="219"/>
      <c r="BC712" s="219"/>
      <c r="BD712" s="208"/>
      <c r="BE712" s="202"/>
      <c r="BF712" s="207"/>
      <c r="BG712" s="229"/>
      <c r="BH712" s="321" t="str">
        <f t="shared" si="49"/>
        <v/>
      </c>
      <c r="BI712" s="98" t="str">
        <f t="shared" si="50"/>
        <v>AA</v>
      </c>
      <c r="BJ712" s="98" t="str">
        <f t="shared" si="51"/>
        <v>NÃO</v>
      </c>
      <c r="BK712" s="230"/>
      <c r="BL712" s="230"/>
      <c r="BM712" s="230"/>
      <c r="BN712" s="230"/>
      <c r="BO712" s="230"/>
      <c r="BP712" s="230"/>
      <c r="BQ712" s="230"/>
      <c r="BR712" s="234"/>
    </row>
    <row r="713" spans="1:74" ht="27" hidden="1" customHeight="1">
      <c r="A713" s="207">
        <v>709</v>
      </c>
      <c r="B713" s="197" t="s">
        <v>4396</v>
      </c>
      <c r="C713" s="207" t="s">
        <v>4427</v>
      </c>
      <c r="D713" s="207">
        <v>1</v>
      </c>
      <c r="E713" s="207" t="s">
        <v>4398</v>
      </c>
      <c r="F713" s="214" t="s">
        <v>7446</v>
      </c>
      <c r="G713" s="207" t="s">
        <v>4400</v>
      </c>
      <c r="H713" s="207" t="s">
        <v>4401</v>
      </c>
      <c r="I713" s="217" t="s">
        <v>4402</v>
      </c>
      <c r="J713" s="215" t="s">
        <v>7447</v>
      </c>
      <c r="K713" s="215" t="s">
        <v>7448</v>
      </c>
      <c r="L713" s="215" t="s">
        <v>7449</v>
      </c>
      <c r="M713" s="207" t="s">
        <v>4405</v>
      </c>
      <c r="N713" s="207" t="s">
        <v>4406</v>
      </c>
      <c r="O713" s="202">
        <v>45986</v>
      </c>
      <c r="P713" s="203" t="s">
        <v>4407</v>
      </c>
      <c r="Q713" s="203">
        <v>45985</v>
      </c>
      <c r="R713" s="203">
        <v>45986</v>
      </c>
      <c r="S713" s="203">
        <v>45987</v>
      </c>
      <c r="T713" s="203">
        <v>45992</v>
      </c>
      <c r="U713" s="202" t="s">
        <v>4408</v>
      </c>
      <c r="V713" s="202" t="s">
        <v>4408</v>
      </c>
      <c r="W713" s="202">
        <v>45999</v>
      </c>
      <c r="X713" s="202">
        <v>46001</v>
      </c>
      <c r="Y713" s="202"/>
      <c r="Z713" s="207"/>
      <c r="AA713" s="215" t="s">
        <v>7447</v>
      </c>
      <c r="AB713" s="215" t="s">
        <v>7448</v>
      </c>
      <c r="AC713" s="215" t="s">
        <v>7449</v>
      </c>
      <c r="AD713" s="207" t="s">
        <v>4402</v>
      </c>
      <c r="AE713" s="207" t="s">
        <v>4405</v>
      </c>
      <c r="AF713" s="218" t="s">
        <v>4409</v>
      </c>
      <c r="AG713" s="218" t="s">
        <v>4409</v>
      </c>
      <c r="AH713" s="204" t="s">
        <v>4410</v>
      </c>
      <c r="AI713" s="214" t="s">
        <v>4411</v>
      </c>
      <c r="AJ713" s="207"/>
      <c r="AK713" s="316">
        <v>45980</v>
      </c>
      <c r="AL713" s="316">
        <v>45980</v>
      </c>
      <c r="AM713" s="316">
        <v>45980</v>
      </c>
      <c r="AN713" s="316">
        <v>45980</v>
      </c>
      <c r="AO713" s="316">
        <v>45980</v>
      </c>
      <c r="AP713" s="316">
        <v>45980</v>
      </c>
      <c r="AQ713" s="314"/>
      <c r="AR713" s="315" t="str">
        <f t="shared" si="52"/>
        <v>FINALIZADO</v>
      </c>
      <c r="AS713" s="207"/>
      <c r="AT713" s="207"/>
      <c r="AU713" s="225"/>
      <c r="AV713" s="207"/>
      <c r="AW713" s="207"/>
      <c r="AX713" s="207" t="s">
        <v>4409</v>
      </c>
      <c r="AY713" s="207" t="s">
        <v>4409</v>
      </c>
      <c r="AZ713" s="207" t="s">
        <v>4409</v>
      </c>
      <c r="BA713" s="207" t="s">
        <v>4409</v>
      </c>
      <c r="BB713" s="207"/>
      <c r="BC713" s="202"/>
      <c r="BD713" s="208"/>
      <c r="BE713" s="202"/>
      <c r="BF713" s="207"/>
      <c r="BG713" s="229"/>
      <c r="BH713" s="321" t="str">
        <f t="shared" si="49"/>
        <v/>
      </c>
      <c r="BI713" s="98" t="str">
        <f t="shared" si="50"/>
        <v>AA</v>
      </c>
      <c r="BJ713" s="98" t="str">
        <f t="shared" si="51"/>
        <v>NÃO</v>
      </c>
      <c r="BK713" s="230"/>
      <c r="BL713" s="230"/>
      <c r="BM713" s="230"/>
      <c r="BN713" s="230"/>
      <c r="BO713" s="230"/>
      <c r="BP713" s="230"/>
      <c r="BQ713" s="230"/>
      <c r="BR713" s="234"/>
    </row>
    <row r="714" spans="1:74" ht="27" hidden="1" customHeight="1">
      <c r="A714" s="197">
        <v>710</v>
      </c>
      <c r="B714" s="197" t="s">
        <v>4396</v>
      </c>
      <c r="C714" s="207" t="s">
        <v>4427</v>
      </c>
      <c r="D714" s="207">
        <v>1</v>
      </c>
      <c r="E714" s="207" t="s">
        <v>4398</v>
      </c>
      <c r="F714" s="214" t="s">
        <v>7450</v>
      </c>
      <c r="G714" s="207" t="s">
        <v>4400</v>
      </c>
      <c r="H714" s="207" t="s">
        <v>4401</v>
      </c>
      <c r="I714" s="217" t="s">
        <v>4402</v>
      </c>
      <c r="J714" s="255" t="s">
        <v>7451</v>
      </c>
      <c r="K714" s="215" t="s">
        <v>7452</v>
      </c>
      <c r="L714" s="215" t="s">
        <v>7453</v>
      </c>
      <c r="M714" s="207" t="s">
        <v>4405</v>
      </c>
      <c r="N714" s="207" t="s">
        <v>4406</v>
      </c>
      <c r="O714" s="203">
        <v>46031</v>
      </c>
      <c r="P714" s="202" t="s">
        <v>4407</v>
      </c>
      <c r="Q714" s="203">
        <v>46030</v>
      </c>
      <c r="R714" s="203">
        <v>46031</v>
      </c>
      <c r="S714" s="203">
        <v>46036</v>
      </c>
      <c r="T714" s="203">
        <v>46045</v>
      </c>
      <c r="U714" s="203" t="s">
        <v>4408</v>
      </c>
      <c r="V714" s="203" t="s">
        <v>4408</v>
      </c>
      <c r="W714" s="202">
        <v>46055</v>
      </c>
      <c r="X714" s="203">
        <v>46058</v>
      </c>
      <c r="Y714" s="203"/>
      <c r="Z714" s="219"/>
      <c r="AA714" s="255" t="s">
        <v>7451</v>
      </c>
      <c r="AB714" s="215" t="s">
        <v>7452</v>
      </c>
      <c r="AC714" s="215" t="s">
        <v>7453</v>
      </c>
      <c r="AD714" s="207" t="s">
        <v>4402</v>
      </c>
      <c r="AE714" s="207" t="s">
        <v>4405</v>
      </c>
      <c r="AF714" s="218" t="s">
        <v>4409</v>
      </c>
      <c r="AG714" s="218" t="s">
        <v>4409</v>
      </c>
      <c r="AH714" s="197" t="s">
        <v>4410</v>
      </c>
      <c r="AI714" s="214" t="s">
        <v>4411</v>
      </c>
      <c r="AJ714" s="207"/>
      <c r="AK714" s="317"/>
      <c r="AL714" s="317"/>
      <c r="AM714" s="317"/>
      <c r="AN714" s="317"/>
      <c r="AO714" s="317"/>
      <c r="AP714" s="317"/>
      <c r="AQ714" s="314"/>
      <c r="AR714" s="315" t="str">
        <f t="shared" si="52"/>
        <v/>
      </c>
      <c r="AS714" s="207"/>
      <c r="AT714" s="219"/>
      <c r="AU714" s="225"/>
      <c r="AV714" s="219"/>
      <c r="AW714" s="219"/>
      <c r="AX714" s="219"/>
      <c r="AY714" s="219"/>
      <c r="AZ714" s="219"/>
      <c r="BA714" s="219"/>
      <c r="BB714" s="219"/>
      <c r="BC714" s="219"/>
      <c r="BD714" s="208"/>
      <c r="BE714" s="203"/>
      <c r="BF714" s="219"/>
      <c r="BG714" s="219"/>
      <c r="BH714" s="321" t="str">
        <f t="shared" si="49"/>
        <v/>
      </c>
      <c r="BI714" s="98" t="str">
        <f t="shared" si="50"/>
        <v>AA</v>
      </c>
      <c r="BJ714" s="98" t="str">
        <f t="shared" si="51"/>
        <v>NÃO</v>
      </c>
      <c r="BK714" s="219"/>
      <c r="BL714" s="221"/>
      <c r="BM714" s="221"/>
      <c r="BN714" s="219"/>
      <c r="BO714" s="219"/>
      <c r="BP714" s="219"/>
      <c r="BQ714" s="219"/>
      <c r="BR714" s="222"/>
    </row>
    <row r="715" spans="1:74" ht="27" hidden="1" customHeight="1">
      <c r="A715" s="197">
        <v>711</v>
      </c>
      <c r="B715" s="197" t="s">
        <v>4396</v>
      </c>
      <c r="C715" s="207" t="s">
        <v>4427</v>
      </c>
      <c r="D715" s="207">
        <v>1</v>
      </c>
      <c r="E715" s="207" t="s">
        <v>4398</v>
      </c>
      <c r="F715" s="214" t="s">
        <v>7454</v>
      </c>
      <c r="G715" s="207" t="s">
        <v>4400</v>
      </c>
      <c r="H715" s="207" t="s">
        <v>4401</v>
      </c>
      <c r="I715" s="217" t="s">
        <v>4402</v>
      </c>
      <c r="J715" s="242" t="s">
        <v>7455</v>
      </c>
      <c r="K715" s="215" t="s">
        <v>7456</v>
      </c>
      <c r="L715" s="215" t="s">
        <v>7457</v>
      </c>
      <c r="M715" s="207" t="s">
        <v>4405</v>
      </c>
      <c r="N715" s="207" t="s">
        <v>4442</v>
      </c>
      <c r="O715" s="202" t="s">
        <v>4409</v>
      </c>
      <c r="P715" s="202" t="s">
        <v>4409</v>
      </c>
      <c r="Q715" s="202" t="s">
        <v>4409</v>
      </c>
      <c r="R715" s="202" t="s">
        <v>4409</v>
      </c>
      <c r="S715" s="202" t="s">
        <v>4409</v>
      </c>
      <c r="T715" s="202" t="s">
        <v>4409</v>
      </c>
      <c r="U715" s="202" t="s">
        <v>4409</v>
      </c>
      <c r="V715" s="202" t="s">
        <v>4409</v>
      </c>
      <c r="W715" s="202" t="s">
        <v>4409</v>
      </c>
      <c r="X715" s="202" t="s">
        <v>4409</v>
      </c>
      <c r="Y715" s="202"/>
      <c r="Z715" s="202"/>
      <c r="AA715" s="242" t="s">
        <v>7455</v>
      </c>
      <c r="AB715" s="215" t="s">
        <v>7456</v>
      </c>
      <c r="AC715" s="215" t="s">
        <v>7457</v>
      </c>
      <c r="AD715" s="207" t="s">
        <v>4402</v>
      </c>
      <c r="AE715" s="207" t="s">
        <v>4405</v>
      </c>
      <c r="AF715" s="218">
        <v>4137.6400000000003</v>
      </c>
      <c r="AG715" s="218">
        <f>AF715+30000</f>
        <v>34137.64</v>
      </c>
      <c r="AH715" s="207" t="s">
        <v>4433</v>
      </c>
      <c r="AI715" s="214" t="s">
        <v>4411</v>
      </c>
      <c r="AJ715" s="207">
        <v>148267454</v>
      </c>
      <c r="AK715" s="316">
        <v>46038</v>
      </c>
      <c r="AL715" s="316">
        <v>46038</v>
      </c>
      <c r="AM715" s="316">
        <v>46038</v>
      </c>
      <c r="AN715" s="316">
        <v>46038</v>
      </c>
      <c r="AO715" s="316">
        <v>46038</v>
      </c>
      <c r="AP715" s="316">
        <v>46038</v>
      </c>
      <c r="AQ715" s="314"/>
      <c r="AR715" s="315" t="str">
        <f t="shared" si="52"/>
        <v>FINALIZADO</v>
      </c>
      <c r="AS715" s="207" t="s">
        <v>4423</v>
      </c>
      <c r="AT715" s="207"/>
      <c r="AU715" s="225" t="s">
        <v>7458</v>
      </c>
      <c r="AV715" s="207" t="s">
        <v>4425</v>
      </c>
      <c r="AW715" s="207" t="s">
        <v>4425</v>
      </c>
      <c r="AX715" s="207" t="s">
        <v>4425</v>
      </c>
      <c r="AY715" s="207" t="s">
        <v>4425</v>
      </c>
      <c r="AZ715" s="202">
        <v>46084</v>
      </c>
      <c r="BA715" s="219" t="s">
        <v>4425</v>
      </c>
      <c r="BB715" s="219" t="s">
        <v>4425</v>
      </c>
      <c r="BC715" s="239">
        <v>46092</v>
      </c>
      <c r="BD715" s="226">
        <v>46092</v>
      </c>
      <c r="BE715" s="226" t="s">
        <v>4435</v>
      </c>
      <c r="BF715" s="228" t="s">
        <v>4436</v>
      </c>
      <c r="BG715" s="229" t="s">
        <v>4425</v>
      </c>
      <c r="BH715" s="321">
        <f t="shared" si="49"/>
        <v>54</v>
      </c>
      <c r="BI715" s="98" t="str">
        <f t="shared" si="50"/>
        <v>INDENIZAÇÃO</v>
      </c>
      <c r="BJ715" s="98" t="str">
        <f t="shared" si="51"/>
        <v>NÃO</v>
      </c>
      <c r="BK715" s="230" t="s">
        <v>4437</v>
      </c>
      <c r="BL715" s="230" t="s">
        <v>4437</v>
      </c>
      <c r="BM715" s="230" t="s">
        <v>4437</v>
      </c>
      <c r="BN715" s="265" t="s">
        <v>5732</v>
      </c>
      <c r="BO715" s="265"/>
      <c r="BP715" s="265"/>
      <c r="BQ715" s="265"/>
      <c r="BR715" s="231"/>
      <c r="BS715" s="223"/>
    </row>
    <row r="716" spans="1:74" ht="27" hidden="1" customHeight="1">
      <c r="A716" s="207">
        <v>712</v>
      </c>
      <c r="B716" s="197" t="s">
        <v>4396</v>
      </c>
      <c r="C716" s="207" t="s">
        <v>4427</v>
      </c>
      <c r="D716" s="207">
        <v>1</v>
      </c>
      <c r="E716" s="207" t="s">
        <v>4398</v>
      </c>
      <c r="F716" s="214" t="s">
        <v>7459</v>
      </c>
      <c r="G716" s="207" t="s">
        <v>4400</v>
      </c>
      <c r="H716" s="207" t="s">
        <v>4401</v>
      </c>
      <c r="I716" s="217" t="s">
        <v>4402</v>
      </c>
      <c r="J716" s="215" t="s">
        <v>7460</v>
      </c>
      <c r="K716" s="215" t="s">
        <v>7461</v>
      </c>
      <c r="L716" s="215" t="s">
        <v>7462</v>
      </c>
      <c r="M716" s="207" t="s">
        <v>4405</v>
      </c>
      <c r="N716" s="207" t="s">
        <v>4442</v>
      </c>
      <c r="O716" s="202" t="s">
        <v>4409</v>
      </c>
      <c r="P716" s="202" t="s">
        <v>4409</v>
      </c>
      <c r="Q716" s="202" t="s">
        <v>4409</v>
      </c>
      <c r="R716" s="202" t="s">
        <v>4409</v>
      </c>
      <c r="S716" s="202" t="s">
        <v>4409</v>
      </c>
      <c r="T716" s="202" t="s">
        <v>4409</v>
      </c>
      <c r="U716" s="202" t="s">
        <v>4409</v>
      </c>
      <c r="V716" s="202" t="s">
        <v>4409</v>
      </c>
      <c r="W716" s="202" t="s">
        <v>4409</v>
      </c>
      <c r="X716" s="202" t="s">
        <v>4409</v>
      </c>
      <c r="Y716" s="202"/>
      <c r="Z716" s="202"/>
      <c r="AA716" s="215" t="s">
        <v>7463</v>
      </c>
      <c r="AB716" s="215" t="s">
        <v>7461</v>
      </c>
      <c r="AC716" s="215" t="s">
        <v>7462</v>
      </c>
      <c r="AD716" s="207" t="s">
        <v>4402</v>
      </c>
      <c r="AE716" s="207" t="s">
        <v>4405</v>
      </c>
      <c r="AF716" s="218">
        <v>882.38</v>
      </c>
      <c r="AG716" s="218">
        <f>AF716+30000</f>
        <v>30882.38</v>
      </c>
      <c r="AH716" s="207" t="s">
        <v>4422</v>
      </c>
      <c r="AI716" s="214" t="s">
        <v>4411</v>
      </c>
      <c r="AJ716" s="207">
        <v>150959925</v>
      </c>
      <c r="AK716" s="316">
        <v>46086</v>
      </c>
      <c r="AL716" s="316">
        <v>46086</v>
      </c>
      <c r="AM716" s="316">
        <v>46086</v>
      </c>
      <c r="AN716" s="316">
        <v>46086</v>
      </c>
      <c r="AO716" s="316">
        <v>46086</v>
      </c>
      <c r="AP716" s="316">
        <v>46086</v>
      </c>
      <c r="AQ716" s="314"/>
      <c r="AR716" s="315" t="str">
        <f t="shared" si="52"/>
        <v>FINALIZADO</v>
      </c>
      <c r="AS716" s="207" t="s">
        <v>4423</v>
      </c>
      <c r="AT716" s="219"/>
      <c r="AU716" s="225" t="s">
        <v>7464</v>
      </c>
      <c r="AV716" s="207" t="s">
        <v>4425</v>
      </c>
      <c r="AW716" s="207" t="s">
        <v>4425</v>
      </c>
      <c r="AX716" s="207" t="s">
        <v>4425</v>
      </c>
      <c r="AY716" s="207" t="s">
        <v>4425</v>
      </c>
      <c r="AZ716" s="202">
        <v>46153</v>
      </c>
      <c r="BA716" s="207" t="s">
        <v>4425</v>
      </c>
      <c r="BB716" s="207" t="s">
        <v>4425</v>
      </c>
      <c r="BC716" s="202">
        <v>46157</v>
      </c>
      <c r="BD716" s="227">
        <v>46157</v>
      </c>
      <c r="BE716" s="227" t="s">
        <v>4435</v>
      </c>
      <c r="BF716" s="245" t="s">
        <v>4436</v>
      </c>
      <c r="BG716" s="229" t="s">
        <v>4425</v>
      </c>
      <c r="BH716" s="321">
        <f t="shared" si="49"/>
        <v>71</v>
      </c>
      <c r="BI716" s="98" t="str">
        <f t="shared" si="50"/>
        <v>INDENIZAÇÃO</v>
      </c>
      <c r="BJ716" s="98" t="str">
        <f t="shared" si="51"/>
        <v>NÃO</v>
      </c>
      <c r="BK716" s="230" t="s">
        <v>4437</v>
      </c>
      <c r="BL716" s="230" t="s">
        <v>4437</v>
      </c>
      <c r="BM716" s="230" t="s">
        <v>4437</v>
      </c>
      <c r="BN716" s="265" t="s">
        <v>5732</v>
      </c>
      <c r="BO716" s="265"/>
      <c r="BP716" s="265"/>
      <c r="BQ716" s="265"/>
      <c r="BR716" s="231"/>
      <c r="BS716" s="223"/>
      <c r="BT716" s="240"/>
      <c r="BU716" s="240"/>
      <c r="BV716" s="240"/>
    </row>
    <row r="717" spans="1:74" ht="27" hidden="1" customHeight="1">
      <c r="A717" s="207">
        <v>713</v>
      </c>
      <c r="B717" s="197" t="s">
        <v>4396</v>
      </c>
      <c r="C717" s="207" t="s">
        <v>4427</v>
      </c>
      <c r="D717" s="207">
        <v>1</v>
      </c>
      <c r="E717" s="207" t="s">
        <v>4398</v>
      </c>
      <c r="F717" s="214" t="s">
        <v>7465</v>
      </c>
      <c r="G717" s="207" t="s">
        <v>4400</v>
      </c>
      <c r="H717" s="207" t="s">
        <v>4401</v>
      </c>
      <c r="I717" s="217" t="s">
        <v>4402</v>
      </c>
      <c r="J717" s="242" t="s">
        <v>7466</v>
      </c>
      <c r="K717" s="215" t="s">
        <v>7467</v>
      </c>
      <c r="L717" s="215" t="s">
        <v>7468</v>
      </c>
      <c r="M717" s="207" t="s">
        <v>4405</v>
      </c>
      <c r="N717" s="207" t="s">
        <v>4442</v>
      </c>
      <c r="O717" s="202" t="s">
        <v>4409</v>
      </c>
      <c r="P717" s="202" t="s">
        <v>4409</v>
      </c>
      <c r="Q717" s="202" t="s">
        <v>4409</v>
      </c>
      <c r="R717" s="202" t="s">
        <v>4409</v>
      </c>
      <c r="S717" s="202" t="s">
        <v>4409</v>
      </c>
      <c r="T717" s="202" t="s">
        <v>4409</v>
      </c>
      <c r="U717" s="202" t="s">
        <v>4409</v>
      </c>
      <c r="V717" s="202" t="s">
        <v>4409</v>
      </c>
      <c r="W717" s="202" t="s">
        <v>4409</v>
      </c>
      <c r="X717" s="202" t="s">
        <v>4409</v>
      </c>
      <c r="Y717" s="202"/>
      <c r="Z717" s="202"/>
      <c r="AA717" s="215" t="s">
        <v>7469</v>
      </c>
      <c r="AB717" s="215" t="s">
        <v>7467</v>
      </c>
      <c r="AC717" s="215" t="s">
        <v>7468</v>
      </c>
      <c r="AD717" s="207" t="s">
        <v>4402</v>
      </c>
      <c r="AE717" s="207" t="s">
        <v>4405</v>
      </c>
      <c r="AF717" s="218">
        <v>4668.95</v>
      </c>
      <c r="AG717" s="218">
        <f>AF717+30000</f>
        <v>34668.949999999997</v>
      </c>
      <c r="AH717" s="207" t="s">
        <v>4433</v>
      </c>
      <c r="AI717" s="214" t="s">
        <v>4411</v>
      </c>
      <c r="AJ717" s="207">
        <v>146672839</v>
      </c>
      <c r="AK717" s="316">
        <v>45980</v>
      </c>
      <c r="AL717" s="316">
        <v>45980</v>
      </c>
      <c r="AM717" s="316">
        <v>45980</v>
      </c>
      <c r="AN717" s="316">
        <v>45980</v>
      </c>
      <c r="AO717" s="316">
        <v>45980</v>
      </c>
      <c r="AP717" s="316">
        <v>45980</v>
      </c>
      <c r="AQ717" s="314"/>
      <c r="AR717" s="315" t="str">
        <f t="shared" si="52"/>
        <v>FINALIZADO</v>
      </c>
      <c r="AS717" s="207" t="s">
        <v>4423</v>
      </c>
      <c r="AT717" s="219"/>
      <c r="AU717" s="225" t="s">
        <v>7470</v>
      </c>
      <c r="AV717" s="207" t="s">
        <v>4425</v>
      </c>
      <c r="AW717" s="207" t="s">
        <v>4425</v>
      </c>
      <c r="AX717" s="207" t="s">
        <v>4425</v>
      </c>
      <c r="AY717" s="197" t="s">
        <v>4425</v>
      </c>
      <c r="AZ717" s="202">
        <v>46008</v>
      </c>
      <c r="BA717" s="219" t="s">
        <v>4425</v>
      </c>
      <c r="BB717" s="207" t="s">
        <v>4425</v>
      </c>
      <c r="BC717" s="239">
        <v>46021</v>
      </c>
      <c r="BD717" s="227">
        <v>46021</v>
      </c>
      <c r="BE717" s="226" t="s">
        <v>4435</v>
      </c>
      <c r="BF717" s="245" t="s">
        <v>4436</v>
      </c>
      <c r="BG717" s="229" t="s">
        <v>4425</v>
      </c>
      <c r="BH717" s="321">
        <f t="shared" si="49"/>
        <v>41</v>
      </c>
      <c r="BI717" s="98" t="str">
        <f t="shared" si="50"/>
        <v>INDENIZAÇÃO</v>
      </c>
      <c r="BJ717" s="98" t="str">
        <f t="shared" si="51"/>
        <v>NÃO</v>
      </c>
      <c r="BK717" s="230" t="s">
        <v>4437</v>
      </c>
      <c r="BL717" s="230" t="s">
        <v>4437</v>
      </c>
      <c r="BM717" s="230" t="s">
        <v>4437</v>
      </c>
      <c r="BN717" s="207" t="s">
        <v>4425</v>
      </c>
      <c r="BO717" s="207" t="s">
        <v>4425</v>
      </c>
      <c r="BP717" s="202">
        <v>46205</v>
      </c>
      <c r="BQ717" s="207" t="s">
        <v>4425</v>
      </c>
      <c r="BR717" s="232" t="s">
        <v>4435</v>
      </c>
      <c r="BS717" s="223"/>
      <c r="BT717" s="240"/>
    </row>
    <row r="718" spans="1:74" ht="27" hidden="1" customHeight="1">
      <c r="A718" s="207">
        <v>714</v>
      </c>
      <c r="B718" s="197" t="s">
        <v>4396</v>
      </c>
      <c r="C718" s="207" t="s">
        <v>4427</v>
      </c>
      <c r="D718" s="207">
        <v>1</v>
      </c>
      <c r="E718" s="207" t="s">
        <v>4398</v>
      </c>
      <c r="F718" s="214" t="s">
        <v>7471</v>
      </c>
      <c r="G718" s="207" t="s">
        <v>4400</v>
      </c>
      <c r="H718" s="207" t="s">
        <v>4401</v>
      </c>
      <c r="I718" s="217" t="s">
        <v>4402</v>
      </c>
      <c r="J718" s="215" t="s">
        <v>7472</v>
      </c>
      <c r="K718" s="215" t="s">
        <v>7473</v>
      </c>
      <c r="L718" s="215" t="s">
        <v>7474</v>
      </c>
      <c r="M718" s="207" t="s">
        <v>4405</v>
      </c>
      <c r="N718" s="207" t="s">
        <v>4406</v>
      </c>
      <c r="O718" s="202">
        <v>46058</v>
      </c>
      <c r="P718" s="203" t="s">
        <v>4407</v>
      </c>
      <c r="Q718" s="202">
        <v>46058</v>
      </c>
      <c r="R718" s="202">
        <v>46058</v>
      </c>
      <c r="S718" s="202">
        <v>46059</v>
      </c>
      <c r="T718" s="202">
        <v>46063</v>
      </c>
      <c r="U718" s="202" t="s">
        <v>4408</v>
      </c>
      <c r="V718" s="202" t="s">
        <v>4408</v>
      </c>
      <c r="W718" s="203">
        <v>46073</v>
      </c>
      <c r="X718" s="202">
        <v>46083</v>
      </c>
      <c r="Y718" s="202"/>
      <c r="Z718" s="207"/>
      <c r="AA718" s="215" t="s">
        <v>7472</v>
      </c>
      <c r="AB718" s="215" t="s">
        <v>7473</v>
      </c>
      <c r="AC718" s="215" t="s">
        <v>7474</v>
      </c>
      <c r="AD718" s="207" t="s">
        <v>4402</v>
      </c>
      <c r="AE718" s="207" t="s">
        <v>4405</v>
      </c>
      <c r="AF718" s="218" t="s">
        <v>4409</v>
      </c>
      <c r="AG718" s="218" t="s">
        <v>4409</v>
      </c>
      <c r="AH718" s="207" t="s">
        <v>4410</v>
      </c>
      <c r="AI718" s="214" t="s">
        <v>4411</v>
      </c>
      <c r="AJ718" s="207"/>
      <c r="AK718" s="320"/>
      <c r="AL718" s="320"/>
      <c r="AM718" s="320"/>
      <c r="AN718" s="320"/>
      <c r="AO718" s="320"/>
      <c r="AP718" s="320"/>
      <c r="AQ718" s="314"/>
      <c r="AR718" s="315" t="str">
        <f t="shared" si="52"/>
        <v/>
      </c>
      <c r="AS718" s="207"/>
      <c r="AT718" s="207"/>
      <c r="AU718" s="225"/>
      <c r="AV718" s="207"/>
      <c r="AW718" s="207"/>
      <c r="AX718" s="207"/>
      <c r="AY718" s="207"/>
      <c r="AZ718" s="202"/>
      <c r="BA718" s="219"/>
      <c r="BB718" s="207"/>
      <c r="BC718" s="202"/>
      <c r="BD718" s="208"/>
      <c r="BE718" s="202"/>
      <c r="BF718" s="207"/>
      <c r="BG718" s="229"/>
      <c r="BH718" s="321" t="str">
        <f t="shared" si="49"/>
        <v/>
      </c>
      <c r="BI718" s="98" t="str">
        <f t="shared" si="50"/>
        <v>AA</v>
      </c>
      <c r="BJ718" s="98" t="str">
        <f t="shared" si="51"/>
        <v>NÃO</v>
      </c>
      <c r="BK718" s="230"/>
      <c r="BL718" s="230"/>
      <c r="BM718" s="230"/>
      <c r="BN718" s="230"/>
      <c r="BO718" s="230"/>
      <c r="BP718" s="230"/>
      <c r="BQ718" s="230"/>
      <c r="BR718" s="234"/>
      <c r="BS718" s="240"/>
    </row>
    <row r="719" spans="1:74" ht="27" hidden="1" customHeight="1">
      <c r="A719" s="197">
        <v>715</v>
      </c>
      <c r="B719" s="197" t="s">
        <v>4396</v>
      </c>
      <c r="C719" s="207" t="s">
        <v>4427</v>
      </c>
      <c r="D719" s="207">
        <v>1</v>
      </c>
      <c r="E719" s="207" t="s">
        <v>4398</v>
      </c>
      <c r="F719" s="214" t="s">
        <v>7475</v>
      </c>
      <c r="G719" s="207" t="s">
        <v>4400</v>
      </c>
      <c r="H719" s="207" t="s">
        <v>4401</v>
      </c>
      <c r="I719" s="217" t="s">
        <v>4402</v>
      </c>
      <c r="J719" s="215" t="s">
        <v>7463</v>
      </c>
      <c r="K719" s="215" t="s">
        <v>7476</v>
      </c>
      <c r="L719" s="215" t="s">
        <v>7477</v>
      </c>
      <c r="M719" s="207" t="s">
        <v>4405</v>
      </c>
      <c r="N719" s="207" t="s">
        <v>4406</v>
      </c>
      <c r="O719" s="202">
        <v>46002</v>
      </c>
      <c r="P719" s="202" t="s">
        <v>4407</v>
      </c>
      <c r="Q719" s="202">
        <v>45999</v>
      </c>
      <c r="R719" s="202">
        <v>46006</v>
      </c>
      <c r="S719" s="202">
        <v>46006</v>
      </c>
      <c r="T719" s="202">
        <v>46009</v>
      </c>
      <c r="U719" s="202" t="s">
        <v>4408</v>
      </c>
      <c r="V719" s="202" t="s">
        <v>4408</v>
      </c>
      <c r="W719" s="202">
        <v>46014</v>
      </c>
      <c r="X719" s="202">
        <v>46027</v>
      </c>
      <c r="Y719" s="202"/>
      <c r="Z719" s="207"/>
      <c r="AA719" s="215" t="s">
        <v>7463</v>
      </c>
      <c r="AB719" s="215" t="s">
        <v>7476</v>
      </c>
      <c r="AC719" s="215" t="s">
        <v>7477</v>
      </c>
      <c r="AD719" s="207" t="s">
        <v>4402</v>
      </c>
      <c r="AE719" s="207" t="s">
        <v>4405</v>
      </c>
      <c r="AF719" s="218" t="s">
        <v>4409</v>
      </c>
      <c r="AG719" s="218" t="s">
        <v>4409</v>
      </c>
      <c r="AH719" s="207" t="s">
        <v>4410</v>
      </c>
      <c r="AI719" s="214" t="s">
        <v>4411</v>
      </c>
      <c r="AJ719" s="207"/>
      <c r="AK719" s="316">
        <v>45996</v>
      </c>
      <c r="AL719" s="316">
        <v>45996</v>
      </c>
      <c r="AM719" s="316">
        <v>45996</v>
      </c>
      <c r="AN719" s="316">
        <v>45996</v>
      </c>
      <c r="AO719" s="316">
        <v>45996</v>
      </c>
      <c r="AP719" s="316">
        <v>45996</v>
      </c>
      <c r="AQ719" s="314"/>
      <c r="AR719" s="315" t="str">
        <f t="shared" si="52"/>
        <v>FINALIZADO</v>
      </c>
      <c r="AS719" s="207"/>
      <c r="AT719" s="207"/>
      <c r="AU719" s="225"/>
      <c r="AV719" s="207"/>
      <c r="AW719" s="207"/>
      <c r="AX719" s="207"/>
      <c r="AY719" s="207"/>
      <c r="AZ719" s="202"/>
      <c r="BA719" s="219"/>
      <c r="BB719" s="207"/>
      <c r="BC719" s="202"/>
      <c r="BD719" s="208"/>
      <c r="BE719" s="202"/>
      <c r="BF719" s="207"/>
      <c r="BG719" s="229"/>
      <c r="BH719" s="321" t="str">
        <f t="shared" si="49"/>
        <v/>
      </c>
      <c r="BI719" s="98" t="str">
        <f t="shared" si="50"/>
        <v>AA</v>
      </c>
      <c r="BJ719" s="98" t="str">
        <f t="shared" si="51"/>
        <v>NÃO</v>
      </c>
      <c r="BK719" s="230"/>
      <c r="BL719" s="230"/>
      <c r="BM719" s="230"/>
      <c r="BN719" s="230"/>
      <c r="BO719" s="230"/>
      <c r="BP719" s="230"/>
      <c r="BQ719" s="230"/>
      <c r="BR719" s="234"/>
    </row>
    <row r="720" spans="1:74" ht="27" hidden="1" customHeight="1">
      <c r="A720" s="197">
        <v>716</v>
      </c>
      <c r="B720" s="197" t="s">
        <v>4396</v>
      </c>
      <c r="C720" s="207" t="s">
        <v>4427</v>
      </c>
      <c r="D720" s="207">
        <v>1</v>
      </c>
      <c r="E720" s="207" t="s">
        <v>4398</v>
      </c>
      <c r="F720" s="214" t="s">
        <v>7478</v>
      </c>
      <c r="G720" s="207" t="s">
        <v>4400</v>
      </c>
      <c r="H720" s="207" t="s">
        <v>4401</v>
      </c>
      <c r="I720" s="217" t="s">
        <v>4402</v>
      </c>
      <c r="J720" s="215" t="s">
        <v>7469</v>
      </c>
      <c r="K720" s="215" t="s">
        <v>7479</v>
      </c>
      <c r="L720" s="215" t="s">
        <v>7480</v>
      </c>
      <c r="M720" s="207" t="s">
        <v>4405</v>
      </c>
      <c r="N720" s="207" t="s">
        <v>4406</v>
      </c>
      <c r="O720" s="202">
        <v>46084</v>
      </c>
      <c r="P720" s="202" t="s">
        <v>4407</v>
      </c>
      <c r="Q720" s="202">
        <v>46083</v>
      </c>
      <c r="R720" s="203">
        <v>46084</v>
      </c>
      <c r="S720" s="203">
        <v>46087</v>
      </c>
      <c r="T720" s="203">
        <v>46090</v>
      </c>
      <c r="U720" s="202" t="s">
        <v>4408</v>
      </c>
      <c r="V720" s="202" t="s">
        <v>4408</v>
      </c>
      <c r="W720" s="202">
        <v>46101</v>
      </c>
      <c r="X720" s="202">
        <v>46101</v>
      </c>
      <c r="Y720" s="202"/>
      <c r="Z720" s="202"/>
      <c r="AA720" s="215" t="s">
        <v>7469</v>
      </c>
      <c r="AB720" s="215" t="s">
        <v>7479</v>
      </c>
      <c r="AC720" s="215" t="s">
        <v>7480</v>
      </c>
      <c r="AD720" s="207" t="s">
        <v>4402</v>
      </c>
      <c r="AE720" s="207" t="s">
        <v>4405</v>
      </c>
      <c r="AF720" s="218" t="s">
        <v>4409</v>
      </c>
      <c r="AG720" s="218" t="s">
        <v>4409</v>
      </c>
      <c r="AH720" s="207" t="s">
        <v>4410</v>
      </c>
      <c r="AI720" s="214" t="s">
        <v>4411</v>
      </c>
      <c r="AJ720" s="207"/>
      <c r="AK720" s="316">
        <v>45996</v>
      </c>
      <c r="AL720" s="316">
        <v>45996</v>
      </c>
      <c r="AM720" s="316">
        <v>45996</v>
      </c>
      <c r="AN720" s="316">
        <v>45996</v>
      </c>
      <c r="AO720" s="316">
        <v>45996</v>
      </c>
      <c r="AP720" s="316">
        <v>45996</v>
      </c>
      <c r="AQ720" s="314"/>
      <c r="AR720" s="315" t="str">
        <f t="shared" si="52"/>
        <v>FINALIZADO</v>
      </c>
      <c r="AS720" s="207"/>
      <c r="AT720" s="207"/>
      <c r="AU720" s="225"/>
      <c r="AV720" s="207"/>
      <c r="AW720" s="207"/>
      <c r="AX720" s="207"/>
      <c r="AY720" s="207"/>
      <c r="AZ720" s="202"/>
      <c r="BA720" s="219"/>
      <c r="BB720" s="207"/>
      <c r="BC720" s="202"/>
      <c r="BD720" s="208"/>
      <c r="BE720" s="202"/>
      <c r="BF720" s="207"/>
      <c r="BG720" s="229"/>
      <c r="BH720" s="321" t="str">
        <f t="shared" si="49"/>
        <v/>
      </c>
      <c r="BI720" s="98" t="str">
        <f t="shared" si="50"/>
        <v>AA</v>
      </c>
      <c r="BJ720" s="98" t="str">
        <f t="shared" si="51"/>
        <v>NÃO</v>
      </c>
      <c r="BK720" s="230"/>
      <c r="BL720" s="230"/>
      <c r="BM720" s="230"/>
      <c r="BN720" s="230"/>
      <c r="BO720" s="230"/>
      <c r="BP720" s="230"/>
      <c r="BQ720" s="230"/>
      <c r="BR720" s="234"/>
    </row>
    <row r="721" spans="1:74" ht="27" hidden="1" customHeight="1">
      <c r="A721" s="207">
        <v>717</v>
      </c>
      <c r="B721" s="197" t="s">
        <v>4396</v>
      </c>
      <c r="C721" s="207" t="s">
        <v>4427</v>
      </c>
      <c r="D721" s="207">
        <v>1</v>
      </c>
      <c r="E721" s="207" t="s">
        <v>4398</v>
      </c>
      <c r="F721" s="214" t="s">
        <v>7481</v>
      </c>
      <c r="G721" s="207" t="s">
        <v>4400</v>
      </c>
      <c r="H721" s="207" t="s">
        <v>4401</v>
      </c>
      <c r="I721" s="217" t="s">
        <v>4402</v>
      </c>
      <c r="J721" s="215" t="s">
        <v>7482</v>
      </c>
      <c r="K721" s="215" t="s">
        <v>7483</v>
      </c>
      <c r="L721" s="215" t="s">
        <v>7484</v>
      </c>
      <c r="M721" s="207" t="s">
        <v>4405</v>
      </c>
      <c r="N721" s="207" t="s">
        <v>4406</v>
      </c>
      <c r="O721" s="202">
        <v>45986</v>
      </c>
      <c r="P721" s="203" t="s">
        <v>4407</v>
      </c>
      <c r="Q721" s="203">
        <v>45985</v>
      </c>
      <c r="R721" s="203">
        <v>45986</v>
      </c>
      <c r="S721" s="203">
        <v>45987</v>
      </c>
      <c r="T721" s="203">
        <v>45992</v>
      </c>
      <c r="U721" s="202" t="s">
        <v>4408</v>
      </c>
      <c r="V721" s="202" t="s">
        <v>4408</v>
      </c>
      <c r="W721" s="202">
        <v>45999</v>
      </c>
      <c r="X721" s="202">
        <v>46001</v>
      </c>
      <c r="Y721" s="202"/>
      <c r="Z721" s="207"/>
      <c r="AA721" s="215" t="s">
        <v>7482</v>
      </c>
      <c r="AB721" s="215" t="s">
        <v>7483</v>
      </c>
      <c r="AC721" s="215" t="s">
        <v>7484</v>
      </c>
      <c r="AD721" s="207" t="s">
        <v>4402</v>
      </c>
      <c r="AE721" s="207" t="s">
        <v>4405</v>
      </c>
      <c r="AF721" s="218" t="s">
        <v>4409</v>
      </c>
      <c r="AG721" s="218" t="s">
        <v>4409</v>
      </c>
      <c r="AH721" s="241" t="s">
        <v>4410</v>
      </c>
      <c r="AI721" s="214" t="s">
        <v>4411</v>
      </c>
      <c r="AJ721" s="207"/>
      <c r="AK721" s="316">
        <v>45980</v>
      </c>
      <c r="AL721" s="316">
        <v>45980</v>
      </c>
      <c r="AM721" s="316">
        <v>45980</v>
      </c>
      <c r="AN721" s="316">
        <v>45980</v>
      </c>
      <c r="AO721" s="316">
        <v>45980</v>
      </c>
      <c r="AP721" s="316">
        <v>45980</v>
      </c>
      <c r="AQ721" s="314"/>
      <c r="AR721" s="315" t="str">
        <f t="shared" si="52"/>
        <v>FINALIZADO</v>
      </c>
      <c r="AS721" s="207"/>
      <c r="AT721" s="207"/>
      <c r="AU721" s="225"/>
      <c r="AV721" s="207"/>
      <c r="AW721" s="207"/>
      <c r="AX721" s="207" t="s">
        <v>4409</v>
      </c>
      <c r="AY721" s="207" t="s">
        <v>4409</v>
      </c>
      <c r="AZ721" s="207" t="s">
        <v>4409</v>
      </c>
      <c r="BA721" s="207" t="s">
        <v>4409</v>
      </c>
      <c r="BB721" s="207"/>
      <c r="BC721" s="202"/>
      <c r="BD721" s="208"/>
      <c r="BE721" s="202"/>
      <c r="BF721" s="207"/>
      <c r="BG721" s="229"/>
      <c r="BH721" s="321" t="str">
        <f t="shared" si="49"/>
        <v/>
      </c>
      <c r="BI721" s="98" t="str">
        <f t="shared" si="50"/>
        <v>AA</v>
      </c>
      <c r="BJ721" s="98" t="str">
        <f t="shared" si="51"/>
        <v>NÃO</v>
      </c>
      <c r="BK721" s="230"/>
      <c r="BL721" s="230"/>
      <c r="BM721" s="230"/>
      <c r="BN721" s="230"/>
      <c r="BO721" s="230"/>
      <c r="BP721" s="230"/>
      <c r="BQ721" s="230"/>
      <c r="BR721" s="234"/>
    </row>
    <row r="722" spans="1:74" ht="27" hidden="1" customHeight="1">
      <c r="A722" s="207">
        <v>718</v>
      </c>
      <c r="B722" s="197" t="s">
        <v>4396</v>
      </c>
      <c r="C722" s="207" t="s">
        <v>4427</v>
      </c>
      <c r="D722" s="207">
        <v>1</v>
      </c>
      <c r="E722" s="207" t="s">
        <v>4398</v>
      </c>
      <c r="F722" s="214" t="s">
        <v>7485</v>
      </c>
      <c r="G722" s="207" t="s">
        <v>4400</v>
      </c>
      <c r="H722" s="207" t="s">
        <v>4401</v>
      </c>
      <c r="I722" s="217" t="s">
        <v>4402</v>
      </c>
      <c r="J722" s="242" t="s">
        <v>7486</v>
      </c>
      <c r="K722" s="215" t="s">
        <v>7487</v>
      </c>
      <c r="L722" s="215" t="s">
        <v>7488</v>
      </c>
      <c r="M722" s="207" t="s">
        <v>4405</v>
      </c>
      <c r="N722" s="207" t="s">
        <v>4406</v>
      </c>
      <c r="O722" s="202">
        <v>45986</v>
      </c>
      <c r="P722" s="203" t="s">
        <v>4407</v>
      </c>
      <c r="Q722" s="203">
        <v>45985</v>
      </c>
      <c r="R722" s="203">
        <v>45986</v>
      </c>
      <c r="S722" s="203">
        <v>45987</v>
      </c>
      <c r="T722" s="203">
        <v>45992</v>
      </c>
      <c r="U722" s="202" t="s">
        <v>4408</v>
      </c>
      <c r="V722" s="202" t="s">
        <v>4408</v>
      </c>
      <c r="W722" s="202">
        <v>45999</v>
      </c>
      <c r="X722" s="202">
        <v>46001</v>
      </c>
      <c r="Y722" s="202"/>
      <c r="Z722" s="207"/>
      <c r="AA722" s="242" t="s">
        <v>7486</v>
      </c>
      <c r="AB722" s="215" t="s">
        <v>7487</v>
      </c>
      <c r="AC722" s="215" t="s">
        <v>7488</v>
      </c>
      <c r="AD722" s="207" t="s">
        <v>4402</v>
      </c>
      <c r="AE722" s="207" t="s">
        <v>4405</v>
      </c>
      <c r="AF722" s="218" t="s">
        <v>4409</v>
      </c>
      <c r="AG722" s="218" t="s">
        <v>4409</v>
      </c>
      <c r="AH722" s="204" t="s">
        <v>4410</v>
      </c>
      <c r="AI722" s="214" t="s">
        <v>4411</v>
      </c>
      <c r="AJ722" s="207"/>
      <c r="AK722" s="316">
        <v>45980</v>
      </c>
      <c r="AL722" s="316">
        <v>45980</v>
      </c>
      <c r="AM722" s="316">
        <v>45980</v>
      </c>
      <c r="AN722" s="316">
        <v>45980</v>
      </c>
      <c r="AO722" s="316">
        <v>45980</v>
      </c>
      <c r="AP722" s="316">
        <v>45980</v>
      </c>
      <c r="AQ722" s="314"/>
      <c r="AR722" s="315" t="str">
        <f t="shared" si="52"/>
        <v>FINALIZADO</v>
      </c>
      <c r="AS722" s="207"/>
      <c r="AT722" s="207"/>
      <c r="AU722" s="225"/>
      <c r="AV722" s="207"/>
      <c r="AW722" s="207"/>
      <c r="AX722" s="207" t="s">
        <v>4409</v>
      </c>
      <c r="AY722" s="207" t="s">
        <v>4409</v>
      </c>
      <c r="AZ722" s="207" t="s">
        <v>4409</v>
      </c>
      <c r="BA722" s="207" t="s">
        <v>4409</v>
      </c>
      <c r="BB722" s="207"/>
      <c r="BC722" s="202"/>
      <c r="BD722" s="208"/>
      <c r="BE722" s="202"/>
      <c r="BF722" s="207"/>
      <c r="BG722" s="229"/>
      <c r="BH722" s="321" t="str">
        <f t="shared" si="49"/>
        <v/>
      </c>
      <c r="BI722" s="98" t="str">
        <f t="shared" si="50"/>
        <v>AA</v>
      </c>
      <c r="BJ722" s="98" t="str">
        <f t="shared" si="51"/>
        <v>NÃO</v>
      </c>
      <c r="BK722" s="230"/>
      <c r="BL722" s="230"/>
      <c r="BM722" s="230"/>
      <c r="BN722" s="230"/>
      <c r="BO722" s="230"/>
      <c r="BP722" s="230"/>
      <c r="BQ722" s="230"/>
      <c r="BR722" s="234"/>
    </row>
    <row r="723" spans="1:74" ht="27" hidden="1" customHeight="1">
      <c r="A723" s="207">
        <v>719</v>
      </c>
      <c r="B723" s="197" t="s">
        <v>4396</v>
      </c>
      <c r="C723" s="207" t="s">
        <v>4427</v>
      </c>
      <c r="D723" s="207">
        <v>1</v>
      </c>
      <c r="E723" s="207" t="s">
        <v>4398</v>
      </c>
      <c r="F723" s="214" t="s">
        <v>7489</v>
      </c>
      <c r="G723" s="207" t="s">
        <v>4400</v>
      </c>
      <c r="H723" s="207" t="s">
        <v>4401</v>
      </c>
      <c r="I723" s="217" t="s">
        <v>4402</v>
      </c>
      <c r="J723" s="215" t="s">
        <v>7490</v>
      </c>
      <c r="K723" s="215" t="s">
        <v>7491</v>
      </c>
      <c r="L723" s="215" t="s">
        <v>7492</v>
      </c>
      <c r="M723" s="207" t="s">
        <v>4405</v>
      </c>
      <c r="N723" s="207" t="s">
        <v>4442</v>
      </c>
      <c r="O723" s="202" t="s">
        <v>4409</v>
      </c>
      <c r="P723" s="202" t="s">
        <v>4409</v>
      </c>
      <c r="Q723" s="202" t="s">
        <v>4409</v>
      </c>
      <c r="R723" s="202" t="s">
        <v>4409</v>
      </c>
      <c r="S723" s="202" t="s">
        <v>4409</v>
      </c>
      <c r="T723" s="202" t="s">
        <v>4409</v>
      </c>
      <c r="U723" s="202" t="s">
        <v>4409</v>
      </c>
      <c r="V723" s="202" t="s">
        <v>4409</v>
      </c>
      <c r="W723" s="202" t="s">
        <v>4409</v>
      </c>
      <c r="X723" s="202" t="s">
        <v>4409</v>
      </c>
      <c r="Y723" s="202"/>
      <c r="Z723" s="202"/>
      <c r="AA723" s="200" t="s">
        <v>7490</v>
      </c>
      <c r="AB723" s="200" t="s">
        <v>7491</v>
      </c>
      <c r="AC723" s="200" t="s">
        <v>7492</v>
      </c>
      <c r="AD723" s="197" t="s">
        <v>4402</v>
      </c>
      <c r="AE723" s="197" t="s">
        <v>4405</v>
      </c>
      <c r="AF723" s="243">
        <v>42176.160000000003</v>
      </c>
      <c r="AG723" s="243">
        <v>60000</v>
      </c>
      <c r="AH723" s="197" t="s">
        <v>4433</v>
      </c>
      <c r="AI723" s="214" t="s">
        <v>4411</v>
      </c>
      <c r="AJ723" s="207">
        <v>146672914</v>
      </c>
      <c r="AK723" s="316">
        <v>45980</v>
      </c>
      <c r="AL723" s="316">
        <v>45980</v>
      </c>
      <c r="AM723" s="316">
        <v>45980</v>
      </c>
      <c r="AN723" s="316">
        <v>45980</v>
      </c>
      <c r="AO723" s="316">
        <v>45980</v>
      </c>
      <c r="AP723" s="316">
        <v>45980</v>
      </c>
      <c r="AQ723" s="314"/>
      <c r="AR723" s="315" t="str">
        <f t="shared" si="52"/>
        <v>FINALIZADO</v>
      </c>
      <c r="AS723" s="207" t="s">
        <v>4423</v>
      </c>
      <c r="AT723" s="219"/>
      <c r="AU723" s="225" t="s">
        <v>7493</v>
      </c>
      <c r="AV723" s="207" t="s">
        <v>4425</v>
      </c>
      <c r="AW723" s="207" t="s">
        <v>4425</v>
      </c>
      <c r="AX723" s="207" t="s">
        <v>4425</v>
      </c>
      <c r="AY723" s="207" t="s">
        <v>4425</v>
      </c>
      <c r="AZ723" s="202">
        <v>46056</v>
      </c>
      <c r="BA723" s="219" t="s">
        <v>4425</v>
      </c>
      <c r="BB723" s="207" t="s">
        <v>4425</v>
      </c>
      <c r="BC723" s="239">
        <v>46065</v>
      </c>
      <c r="BD723" s="226">
        <v>46065</v>
      </c>
      <c r="BE723" s="226" t="s">
        <v>4435</v>
      </c>
      <c r="BF723" s="245" t="s">
        <v>4436</v>
      </c>
      <c r="BG723" s="229" t="s">
        <v>4425</v>
      </c>
      <c r="BH723" s="321">
        <f t="shared" si="49"/>
        <v>85</v>
      </c>
      <c r="BI723" s="98" t="str">
        <f t="shared" si="50"/>
        <v>INDENIZAÇÃO</v>
      </c>
      <c r="BJ723" s="98" t="str">
        <f t="shared" si="51"/>
        <v>NÃO</v>
      </c>
      <c r="BK723" s="230" t="s">
        <v>4437</v>
      </c>
      <c r="BL723" s="230" t="s">
        <v>4437</v>
      </c>
      <c r="BM723" s="230" t="s">
        <v>4437</v>
      </c>
      <c r="BN723" s="265" t="s">
        <v>5732</v>
      </c>
      <c r="BO723" s="265"/>
      <c r="BP723" s="265"/>
      <c r="BQ723" s="265"/>
      <c r="BR723" s="231"/>
      <c r="BS723" s="223"/>
      <c r="BT723" s="240"/>
    </row>
    <row r="724" spans="1:74" ht="27" hidden="1" customHeight="1">
      <c r="A724" s="197">
        <v>720</v>
      </c>
      <c r="B724" s="197" t="s">
        <v>4396</v>
      </c>
      <c r="C724" s="207" t="s">
        <v>4427</v>
      </c>
      <c r="D724" s="207">
        <v>1</v>
      </c>
      <c r="E724" s="207" t="s">
        <v>4398</v>
      </c>
      <c r="F724" s="214" t="s">
        <v>7494</v>
      </c>
      <c r="G724" s="207" t="s">
        <v>4400</v>
      </c>
      <c r="H724" s="207" t="s">
        <v>4401</v>
      </c>
      <c r="I724" s="217" t="s">
        <v>4402</v>
      </c>
      <c r="J724" s="215" t="s">
        <v>7495</v>
      </c>
      <c r="K724" s="215" t="s">
        <v>7496</v>
      </c>
      <c r="L724" s="215" t="s">
        <v>7497</v>
      </c>
      <c r="M724" s="207" t="s">
        <v>4405</v>
      </c>
      <c r="N724" s="207" t="s">
        <v>4406</v>
      </c>
      <c r="O724" s="202">
        <v>45986</v>
      </c>
      <c r="P724" s="203" t="s">
        <v>4407</v>
      </c>
      <c r="Q724" s="203">
        <v>45985</v>
      </c>
      <c r="R724" s="203">
        <v>45986</v>
      </c>
      <c r="S724" s="203">
        <v>45987</v>
      </c>
      <c r="T724" s="203">
        <v>45992</v>
      </c>
      <c r="U724" s="202" t="s">
        <v>4408</v>
      </c>
      <c r="V724" s="202" t="s">
        <v>4408</v>
      </c>
      <c r="W724" s="202">
        <v>45999</v>
      </c>
      <c r="X724" s="202">
        <v>46001</v>
      </c>
      <c r="Y724" s="202"/>
      <c r="Z724" s="207"/>
      <c r="AA724" s="215" t="s">
        <v>7495</v>
      </c>
      <c r="AB724" s="215" t="s">
        <v>7496</v>
      </c>
      <c r="AC724" s="215" t="s">
        <v>7497</v>
      </c>
      <c r="AD724" s="207" t="s">
        <v>4402</v>
      </c>
      <c r="AE724" s="207" t="s">
        <v>4405</v>
      </c>
      <c r="AF724" s="218" t="s">
        <v>4409</v>
      </c>
      <c r="AG724" s="218" t="s">
        <v>4409</v>
      </c>
      <c r="AH724" s="241" t="s">
        <v>4410</v>
      </c>
      <c r="AI724" s="214" t="s">
        <v>4411</v>
      </c>
      <c r="AJ724" s="207"/>
      <c r="AK724" s="316">
        <v>45980</v>
      </c>
      <c r="AL724" s="316">
        <v>45980</v>
      </c>
      <c r="AM724" s="316">
        <v>45980</v>
      </c>
      <c r="AN724" s="316">
        <v>45980</v>
      </c>
      <c r="AO724" s="316">
        <v>45980</v>
      </c>
      <c r="AP724" s="316">
        <v>45980</v>
      </c>
      <c r="AQ724" s="314"/>
      <c r="AR724" s="315" t="str">
        <f t="shared" si="52"/>
        <v>FINALIZADO</v>
      </c>
      <c r="AS724" s="207"/>
      <c r="AT724" s="207"/>
      <c r="AU724" s="225"/>
      <c r="AV724" s="207"/>
      <c r="AW724" s="207"/>
      <c r="AX724" s="207" t="s">
        <v>4409</v>
      </c>
      <c r="AY724" s="207" t="s">
        <v>4409</v>
      </c>
      <c r="AZ724" s="207" t="s">
        <v>4409</v>
      </c>
      <c r="BA724" s="207" t="s">
        <v>4409</v>
      </c>
      <c r="BB724" s="207"/>
      <c r="BC724" s="202"/>
      <c r="BD724" s="208"/>
      <c r="BE724" s="202"/>
      <c r="BF724" s="207"/>
      <c r="BG724" s="229"/>
      <c r="BH724" s="321" t="str">
        <f t="shared" si="49"/>
        <v/>
      </c>
      <c r="BI724" s="98" t="str">
        <f t="shared" si="50"/>
        <v>AA</v>
      </c>
      <c r="BJ724" s="98" t="str">
        <f t="shared" si="51"/>
        <v>NÃO</v>
      </c>
      <c r="BK724" s="230"/>
      <c r="BL724" s="230"/>
      <c r="BM724" s="230"/>
      <c r="BN724" s="230"/>
      <c r="BO724" s="230"/>
      <c r="BP724" s="230"/>
      <c r="BQ724" s="230"/>
      <c r="BR724" s="234"/>
      <c r="BS724" s="240"/>
      <c r="BT724" s="240"/>
      <c r="BU724" s="240"/>
      <c r="BV724" s="240"/>
    </row>
    <row r="725" spans="1:74" ht="27" hidden="1" customHeight="1">
      <c r="A725" s="197">
        <v>721</v>
      </c>
      <c r="B725" s="197" t="s">
        <v>4396</v>
      </c>
      <c r="C725" s="207" t="s">
        <v>4427</v>
      </c>
      <c r="D725" s="207">
        <v>1</v>
      </c>
      <c r="E725" s="207" t="s">
        <v>4398</v>
      </c>
      <c r="F725" s="214" t="s">
        <v>7498</v>
      </c>
      <c r="G725" s="207" t="s">
        <v>4400</v>
      </c>
      <c r="H725" s="207" t="s">
        <v>4401</v>
      </c>
      <c r="I725" s="217" t="s">
        <v>4402</v>
      </c>
      <c r="J725" s="215" t="s">
        <v>7499</v>
      </c>
      <c r="K725" s="215" t="s">
        <v>7500</v>
      </c>
      <c r="L725" s="215" t="s">
        <v>7501</v>
      </c>
      <c r="M725" s="207" t="s">
        <v>4405</v>
      </c>
      <c r="N725" s="207" t="s">
        <v>4442</v>
      </c>
      <c r="O725" s="202" t="s">
        <v>4409</v>
      </c>
      <c r="P725" s="202" t="s">
        <v>4409</v>
      </c>
      <c r="Q725" s="202" t="s">
        <v>4409</v>
      </c>
      <c r="R725" s="202" t="s">
        <v>4409</v>
      </c>
      <c r="S725" s="202" t="s">
        <v>4409</v>
      </c>
      <c r="T725" s="202" t="s">
        <v>4409</v>
      </c>
      <c r="U725" s="202" t="s">
        <v>4409</v>
      </c>
      <c r="V725" s="202" t="s">
        <v>4409</v>
      </c>
      <c r="W725" s="202" t="s">
        <v>4409</v>
      </c>
      <c r="X725" s="202" t="s">
        <v>4409</v>
      </c>
      <c r="Y725" s="202"/>
      <c r="Z725" s="202"/>
      <c r="AA725" s="200" t="s">
        <v>7499</v>
      </c>
      <c r="AB725" s="200" t="s">
        <v>7500</v>
      </c>
      <c r="AC725" s="200" t="s">
        <v>7501</v>
      </c>
      <c r="AD725" s="197" t="s">
        <v>4402</v>
      </c>
      <c r="AE725" s="197" t="s">
        <v>4405</v>
      </c>
      <c r="AF725" s="243">
        <v>33820.92</v>
      </c>
      <c r="AG725" s="243">
        <v>60000</v>
      </c>
      <c r="AH725" s="197" t="s">
        <v>4433</v>
      </c>
      <c r="AI725" s="214" t="s">
        <v>4411</v>
      </c>
      <c r="AJ725" s="207">
        <v>146686404</v>
      </c>
      <c r="AK725" s="316">
        <v>45980</v>
      </c>
      <c r="AL725" s="316">
        <v>45980</v>
      </c>
      <c r="AM725" s="316">
        <v>45980</v>
      </c>
      <c r="AN725" s="316">
        <v>45980</v>
      </c>
      <c r="AO725" s="316">
        <v>45980</v>
      </c>
      <c r="AP725" s="316">
        <v>45980</v>
      </c>
      <c r="AQ725" s="314"/>
      <c r="AR725" s="315" t="str">
        <f t="shared" si="52"/>
        <v>FINALIZADO</v>
      </c>
      <c r="AS725" s="207" t="s">
        <v>4423</v>
      </c>
      <c r="AT725" s="219"/>
      <c r="AU725" s="225" t="s">
        <v>7502</v>
      </c>
      <c r="AV725" s="207" t="s">
        <v>4425</v>
      </c>
      <c r="AW725" s="207" t="s">
        <v>4425</v>
      </c>
      <c r="AX725" s="207" t="s">
        <v>4425</v>
      </c>
      <c r="AY725" s="207" t="s">
        <v>4425</v>
      </c>
      <c r="AZ725" s="202">
        <v>46021</v>
      </c>
      <c r="BA725" s="219" t="s">
        <v>4425</v>
      </c>
      <c r="BB725" s="207" t="s">
        <v>4425</v>
      </c>
      <c r="BC725" s="300">
        <v>46041</v>
      </c>
      <c r="BD725" s="226">
        <v>46041</v>
      </c>
      <c r="BE725" s="226" t="s">
        <v>4435</v>
      </c>
      <c r="BF725" s="228" t="s">
        <v>4436</v>
      </c>
      <c r="BG725" s="229" t="s">
        <v>4425</v>
      </c>
      <c r="BH725" s="321">
        <f t="shared" si="49"/>
        <v>61</v>
      </c>
      <c r="BI725" s="98" t="str">
        <f t="shared" si="50"/>
        <v>INDENIZAÇÃO</v>
      </c>
      <c r="BJ725" s="98" t="str">
        <f t="shared" si="51"/>
        <v>NÃO</v>
      </c>
      <c r="BK725" s="230" t="s">
        <v>4437</v>
      </c>
      <c r="BL725" s="230" t="s">
        <v>4437</v>
      </c>
      <c r="BM725" s="230" t="s">
        <v>4437</v>
      </c>
      <c r="BN725" s="265" t="s">
        <v>5732</v>
      </c>
      <c r="BO725" s="265"/>
      <c r="BP725" s="265"/>
      <c r="BQ725" s="265"/>
      <c r="BR725" s="231"/>
    </row>
    <row r="726" spans="1:74" ht="27" hidden="1" customHeight="1">
      <c r="A726" s="207">
        <v>722</v>
      </c>
      <c r="B726" s="197" t="s">
        <v>4396</v>
      </c>
      <c r="C726" s="207" t="s">
        <v>4427</v>
      </c>
      <c r="D726" s="207">
        <v>1</v>
      </c>
      <c r="E726" s="207" t="s">
        <v>4398</v>
      </c>
      <c r="F726" s="214" t="s">
        <v>7503</v>
      </c>
      <c r="G726" s="207" t="s">
        <v>4400</v>
      </c>
      <c r="H726" s="207" t="s">
        <v>4401</v>
      </c>
      <c r="I726" s="217" t="s">
        <v>4402</v>
      </c>
      <c r="J726" s="215" t="s">
        <v>7504</v>
      </c>
      <c r="K726" s="215" t="s">
        <v>7505</v>
      </c>
      <c r="L726" s="215" t="s">
        <v>7506</v>
      </c>
      <c r="M726" s="207" t="s">
        <v>4405</v>
      </c>
      <c r="N726" s="207" t="s">
        <v>4406</v>
      </c>
      <c r="O726" s="202">
        <v>46002</v>
      </c>
      <c r="P726" s="202" t="s">
        <v>4407</v>
      </c>
      <c r="Q726" s="202">
        <v>45999</v>
      </c>
      <c r="R726" s="202">
        <v>46006</v>
      </c>
      <c r="S726" s="202">
        <v>46006</v>
      </c>
      <c r="T726" s="202">
        <v>46009</v>
      </c>
      <c r="U726" s="202" t="s">
        <v>4408</v>
      </c>
      <c r="V726" s="202" t="s">
        <v>4408</v>
      </c>
      <c r="W726" s="202">
        <v>46014</v>
      </c>
      <c r="X726" s="202">
        <v>46020</v>
      </c>
      <c r="Y726" s="202"/>
      <c r="Z726" s="207"/>
      <c r="AA726" s="215" t="s">
        <v>7504</v>
      </c>
      <c r="AB726" s="215" t="s">
        <v>7505</v>
      </c>
      <c r="AC726" s="215" t="s">
        <v>7506</v>
      </c>
      <c r="AD726" s="207" t="s">
        <v>4402</v>
      </c>
      <c r="AE726" s="207" t="s">
        <v>4405</v>
      </c>
      <c r="AF726" s="218" t="s">
        <v>4409</v>
      </c>
      <c r="AG726" s="218" t="s">
        <v>4409</v>
      </c>
      <c r="AH726" s="241" t="s">
        <v>4410</v>
      </c>
      <c r="AI726" s="214" t="s">
        <v>4411</v>
      </c>
      <c r="AJ726" s="207"/>
      <c r="AK726" s="316">
        <v>45980</v>
      </c>
      <c r="AL726" s="316">
        <v>45980</v>
      </c>
      <c r="AM726" s="316">
        <v>45980</v>
      </c>
      <c r="AN726" s="316">
        <v>45980</v>
      </c>
      <c r="AO726" s="316">
        <v>45980</v>
      </c>
      <c r="AP726" s="316">
        <v>45980</v>
      </c>
      <c r="AQ726" s="314"/>
      <c r="AR726" s="315" t="str">
        <f t="shared" si="52"/>
        <v>FINALIZADO</v>
      </c>
      <c r="AS726" s="207"/>
      <c r="AT726" s="207"/>
      <c r="AU726" s="225"/>
      <c r="AV726" s="207"/>
      <c r="AW726" s="207"/>
      <c r="AX726" s="207"/>
      <c r="AY726" s="207"/>
      <c r="AZ726" s="202"/>
      <c r="BA726" s="219"/>
      <c r="BB726" s="207"/>
      <c r="BC726" s="202"/>
      <c r="BD726" s="208"/>
      <c r="BE726" s="202"/>
      <c r="BF726" s="207"/>
      <c r="BG726" s="229"/>
      <c r="BH726" s="321" t="str">
        <f t="shared" si="49"/>
        <v/>
      </c>
      <c r="BI726" s="98" t="str">
        <f t="shared" si="50"/>
        <v>AA</v>
      </c>
      <c r="BJ726" s="98" t="str">
        <f t="shared" si="51"/>
        <v>NÃO</v>
      </c>
      <c r="BK726" s="230"/>
      <c r="BL726" s="230"/>
      <c r="BM726" s="230"/>
      <c r="BN726" s="230"/>
      <c r="BO726" s="230"/>
      <c r="BP726" s="230"/>
      <c r="BQ726" s="230"/>
      <c r="BR726" s="234"/>
      <c r="BS726" s="240"/>
    </row>
    <row r="727" spans="1:74" ht="27" hidden="1" customHeight="1">
      <c r="A727" s="207">
        <v>723</v>
      </c>
      <c r="B727" s="197" t="s">
        <v>4396</v>
      </c>
      <c r="C727" s="207" t="s">
        <v>4427</v>
      </c>
      <c r="D727" s="207">
        <v>1</v>
      </c>
      <c r="E727" s="207" t="s">
        <v>4398</v>
      </c>
      <c r="F727" s="214" t="s">
        <v>7507</v>
      </c>
      <c r="G727" s="207" t="s">
        <v>4400</v>
      </c>
      <c r="H727" s="207" t="s">
        <v>4401</v>
      </c>
      <c r="I727" s="217" t="s">
        <v>4402</v>
      </c>
      <c r="J727" s="242" t="s">
        <v>7508</v>
      </c>
      <c r="K727" s="215" t="s">
        <v>7509</v>
      </c>
      <c r="L727" s="215" t="s">
        <v>7510</v>
      </c>
      <c r="M727" s="207" t="s">
        <v>4405</v>
      </c>
      <c r="N727" s="207" t="s">
        <v>4406</v>
      </c>
      <c r="O727" s="202">
        <v>45986</v>
      </c>
      <c r="P727" s="203" t="s">
        <v>4407</v>
      </c>
      <c r="Q727" s="203">
        <v>45985</v>
      </c>
      <c r="R727" s="203">
        <v>45986</v>
      </c>
      <c r="S727" s="203">
        <v>45987</v>
      </c>
      <c r="T727" s="203">
        <v>45992</v>
      </c>
      <c r="U727" s="202" t="s">
        <v>4408</v>
      </c>
      <c r="V727" s="202" t="s">
        <v>4408</v>
      </c>
      <c r="W727" s="202">
        <v>45999</v>
      </c>
      <c r="X727" s="202">
        <v>46001</v>
      </c>
      <c r="Y727" s="202"/>
      <c r="Z727" s="207"/>
      <c r="AA727" s="242" t="s">
        <v>7508</v>
      </c>
      <c r="AB727" s="215" t="s">
        <v>7509</v>
      </c>
      <c r="AC727" s="215" t="s">
        <v>7510</v>
      </c>
      <c r="AD727" s="207" t="s">
        <v>4402</v>
      </c>
      <c r="AE727" s="207" t="s">
        <v>4405</v>
      </c>
      <c r="AF727" s="218" t="s">
        <v>4409</v>
      </c>
      <c r="AG727" s="218" t="s">
        <v>4409</v>
      </c>
      <c r="AH727" s="241" t="s">
        <v>4410</v>
      </c>
      <c r="AI727" s="214" t="s">
        <v>4411</v>
      </c>
      <c r="AJ727" s="207"/>
      <c r="AK727" s="316">
        <v>45980</v>
      </c>
      <c r="AL727" s="316">
        <v>45980</v>
      </c>
      <c r="AM727" s="316">
        <v>45980</v>
      </c>
      <c r="AN727" s="316">
        <v>45980</v>
      </c>
      <c r="AO727" s="316">
        <v>45980</v>
      </c>
      <c r="AP727" s="316">
        <v>45980</v>
      </c>
      <c r="AQ727" s="314"/>
      <c r="AR727" s="315" t="str">
        <f t="shared" si="52"/>
        <v>FINALIZADO</v>
      </c>
      <c r="AS727" s="207"/>
      <c r="AT727" s="207"/>
      <c r="AU727" s="225"/>
      <c r="AV727" s="207"/>
      <c r="AW727" s="207"/>
      <c r="AX727" s="207" t="s">
        <v>4409</v>
      </c>
      <c r="AY727" s="207" t="s">
        <v>4409</v>
      </c>
      <c r="AZ727" s="207" t="s">
        <v>4409</v>
      </c>
      <c r="BA727" s="207" t="s">
        <v>4409</v>
      </c>
      <c r="BB727" s="207"/>
      <c r="BC727" s="202"/>
      <c r="BD727" s="208"/>
      <c r="BE727" s="202"/>
      <c r="BF727" s="207"/>
      <c r="BG727" s="229"/>
      <c r="BH727" s="321" t="str">
        <f t="shared" si="49"/>
        <v/>
      </c>
      <c r="BI727" s="98" t="str">
        <f t="shared" si="50"/>
        <v>AA</v>
      </c>
      <c r="BJ727" s="98" t="str">
        <f t="shared" si="51"/>
        <v>NÃO</v>
      </c>
      <c r="BK727" s="230"/>
      <c r="BL727" s="230"/>
      <c r="BM727" s="230"/>
      <c r="BN727" s="230"/>
      <c r="BO727" s="230"/>
      <c r="BP727" s="230"/>
      <c r="BQ727" s="230"/>
      <c r="BR727" s="234"/>
    </row>
    <row r="728" spans="1:74" ht="27" hidden="1" customHeight="1">
      <c r="A728" s="207">
        <v>724</v>
      </c>
      <c r="B728" s="197" t="s">
        <v>4396</v>
      </c>
      <c r="C728" s="207" t="s">
        <v>4427</v>
      </c>
      <c r="D728" s="207">
        <v>1</v>
      </c>
      <c r="E728" s="207" t="s">
        <v>4398</v>
      </c>
      <c r="F728" s="214" t="s">
        <v>7511</v>
      </c>
      <c r="G728" s="207" t="s">
        <v>4400</v>
      </c>
      <c r="H728" s="207" t="s">
        <v>4401</v>
      </c>
      <c r="I728" s="217" t="s">
        <v>4402</v>
      </c>
      <c r="J728" s="242" t="s">
        <v>7512</v>
      </c>
      <c r="K728" s="215" t="s">
        <v>7513</v>
      </c>
      <c r="L728" s="215" t="s">
        <v>7514</v>
      </c>
      <c r="M728" s="207" t="s">
        <v>4405</v>
      </c>
      <c r="N728" s="207" t="s">
        <v>4406</v>
      </c>
      <c r="O728" s="202">
        <v>46126</v>
      </c>
      <c r="P728" s="202" t="s">
        <v>4407</v>
      </c>
      <c r="Q728" s="203">
        <v>46126</v>
      </c>
      <c r="R728" s="203">
        <v>46126</v>
      </c>
      <c r="S728" s="203">
        <v>46136</v>
      </c>
      <c r="T728" s="203">
        <v>46140</v>
      </c>
      <c r="U728" s="203" t="s">
        <v>4408</v>
      </c>
      <c r="V728" s="203" t="s">
        <v>4408</v>
      </c>
      <c r="W728" s="202">
        <v>46153</v>
      </c>
      <c r="X728" s="202">
        <v>46154</v>
      </c>
      <c r="Y728" s="202"/>
      <c r="Z728" s="207"/>
      <c r="AA728" s="242" t="s">
        <v>7512</v>
      </c>
      <c r="AB728" s="215" t="s">
        <v>7513</v>
      </c>
      <c r="AC728" s="215" t="s">
        <v>7514</v>
      </c>
      <c r="AD728" s="207" t="s">
        <v>4402</v>
      </c>
      <c r="AE728" s="207" t="s">
        <v>4405</v>
      </c>
      <c r="AF728" s="218" t="s">
        <v>4409</v>
      </c>
      <c r="AG728" s="218" t="s">
        <v>4409</v>
      </c>
      <c r="AH728" s="204" t="s">
        <v>4410</v>
      </c>
      <c r="AI728" s="214" t="s">
        <v>4411</v>
      </c>
      <c r="AJ728" s="207"/>
      <c r="AK728" s="316"/>
      <c r="AL728" s="316"/>
      <c r="AM728" s="316"/>
      <c r="AN728" s="316"/>
      <c r="AO728" s="316"/>
      <c r="AP728" s="316"/>
      <c r="AQ728" s="314"/>
      <c r="AR728" s="315" t="str">
        <f t="shared" si="52"/>
        <v/>
      </c>
      <c r="AS728" s="207"/>
      <c r="AT728" s="207"/>
      <c r="AU728" s="225"/>
      <c r="AV728" s="207"/>
      <c r="AW728" s="207"/>
      <c r="AX728" s="207"/>
      <c r="AY728" s="207"/>
      <c r="AZ728" s="202"/>
      <c r="BA728" s="219"/>
      <c r="BB728" s="207"/>
      <c r="BC728" s="202"/>
      <c r="BD728" s="208"/>
      <c r="BE728" s="202"/>
      <c r="BF728" s="207"/>
      <c r="BG728" s="229"/>
      <c r="BH728" s="321" t="str">
        <f t="shared" si="49"/>
        <v/>
      </c>
      <c r="BI728" s="98" t="str">
        <f t="shared" si="50"/>
        <v>AA</v>
      </c>
      <c r="BJ728" s="98" t="str">
        <f t="shared" si="51"/>
        <v>NÃO</v>
      </c>
      <c r="BK728" s="230"/>
      <c r="BL728" s="230"/>
      <c r="BM728" s="230"/>
      <c r="BN728" s="230"/>
      <c r="BO728" s="230"/>
      <c r="BP728" s="230"/>
      <c r="BQ728" s="230"/>
      <c r="BR728" s="234"/>
    </row>
    <row r="729" spans="1:74" ht="27" hidden="1" customHeight="1">
      <c r="A729" s="197">
        <v>725</v>
      </c>
      <c r="B729" s="197" t="s">
        <v>4396</v>
      </c>
      <c r="C729" s="207" t="s">
        <v>4427</v>
      </c>
      <c r="D729" s="207">
        <v>1</v>
      </c>
      <c r="E729" s="207" t="s">
        <v>4398</v>
      </c>
      <c r="F729" s="214" t="s">
        <v>7515</v>
      </c>
      <c r="G729" s="207" t="s">
        <v>4400</v>
      </c>
      <c r="H729" s="207" t="s">
        <v>4401</v>
      </c>
      <c r="I729" s="217" t="s">
        <v>4402</v>
      </c>
      <c r="J729" s="242" t="s">
        <v>7516</v>
      </c>
      <c r="K729" s="215" t="s">
        <v>7517</v>
      </c>
      <c r="L729" s="215" t="s">
        <v>7518</v>
      </c>
      <c r="M729" s="219" t="s">
        <v>4405</v>
      </c>
      <c r="N729" s="207" t="s">
        <v>4406</v>
      </c>
      <c r="O729" s="202">
        <v>46126</v>
      </c>
      <c r="P729" s="202" t="s">
        <v>4407</v>
      </c>
      <c r="Q729" s="203">
        <v>46126</v>
      </c>
      <c r="R729" s="203">
        <v>46126</v>
      </c>
      <c r="S729" s="203">
        <v>46136</v>
      </c>
      <c r="T729" s="203">
        <v>46140</v>
      </c>
      <c r="U729" s="203" t="s">
        <v>4408</v>
      </c>
      <c r="V729" s="203" t="s">
        <v>4408</v>
      </c>
      <c r="W729" s="202">
        <v>46153</v>
      </c>
      <c r="X729" s="202">
        <v>46154</v>
      </c>
      <c r="Y729" s="202"/>
      <c r="Z729" s="207"/>
      <c r="AA729" s="242" t="s">
        <v>7516</v>
      </c>
      <c r="AB729" s="215" t="s">
        <v>7517</v>
      </c>
      <c r="AC729" s="215" t="s">
        <v>7518</v>
      </c>
      <c r="AD729" s="207" t="s">
        <v>4402</v>
      </c>
      <c r="AE729" s="207" t="s">
        <v>4405</v>
      </c>
      <c r="AF729" s="218" t="s">
        <v>4409</v>
      </c>
      <c r="AG729" s="218" t="s">
        <v>4409</v>
      </c>
      <c r="AH729" s="204" t="s">
        <v>4410</v>
      </c>
      <c r="AI729" s="214" t="s">
        <v>4411</v>
      </c>
      <c r="AJ729" s="207"/>
      <c r="AK729" s="316"/>
      <c r="AL729" s="316"/>
      <c r="AM729" s="316"/>
      <c r="AN729" s="316"/>
      <c r="AO729" s="316"/>
      <c r="AP729" s="316"/>
      <c r="AQ729" s="314"/>
      <c r="AR729" s="315" t="str">
        <f t="shared" si="52"/>
        <v/>
      </c>
      <c r="AS729" s="207"/>
      <c r="AT729" s="207"/>
      <c r="AU729" s="225"/>
      <c r="AV729" s="207"/>
      <c r="AW729" s="207"/>
      <c r="AX729" s="207"/>
      <c r="AY729" s="207"/>
      <c r="AZ729" s="202"/>
      <c r="BA729" s="219"/>
      <c r="BB729" s="207"/>
      <c r="BC729" s="202"/>
      <c r="BD729" s="208"/>
      <c r="BE729" s="202"/>
      <c r="BF729" s="207"/>
      <c r="BG729" s="229"/>
      <c r="BH729" s="321" t="str">
        <f t="shared" si="49"/>
        <v/>
      </c>
      <c r="BI729" s="98" t="str">
        <f t="shared" si="50"/>
        <v>AA</v>
      </c>
      <c r="BJ729" s="98" t="str">
        <f t="shared" si="51"/>
        <v>NÃO</v>
      </c>
      <c r="BK729" s="230"/>
      <c r="BL729" s="230"/>
      <c r="BM729" s="230"/>
      <c r="BN729" s="230"/>
      <c r="BO729" s="230"/>
      <c r="BP729" s="230"/>
      <c r="BQ729" s="230"/>
      <c r="BR729" s="234"/>
    </row>
    <row r="730" spans="1:74" ht="27" hidden="1" customHeight="1">
      <c r="A730" s="197">
        <v>726</v>
      </c>
      <c r="B730" s="197" t="s">
        <v>4396</v>
      </c>
      <c r="C730" s="207" t="s">
        <v>4427</v>
      </c>
      <c r="D730" s="207">
        <v>1</v>
      </c>
      <c r="E730" s="207" t="s">
        <v>4398</v>
      </c>
      <c r="F730" s="214" t="s">
        <v>7519</v>
      </c>
      <c r="G730" s="207" t="s">
        <v>4400</v>
      </c>
      <c r="H730" s="207" t="s">
        <v>4401</v>
      </c>
      <c r="I730" s="217" t="s">
        <v>4402</v>
      </c>
      <c r="J730" s="242" t="s">
        <v>7520</v>
      </c>
      <c r="K730" s="215" t="s">
        <v>7521</v>
      </c>
      <c r="L730" s="215" t="s">
        <v>7522</v>
      </c>
      <c r="M730" s="219" t="s">
        <v>4405</v>
      </c>
      <c r="N730" s="207" t="s">
        <v>4406</v>
      </c>
      <c r="O730" s="202">
        <v>46126</v>
      </c>
      <c r="P730" s="202" t="s">
        <v>4407</v>
      </c>
      <c r="Q730" s="203">
        <v>46126</v>
      </c>
      <c r="R730" s="203">
        <v>46126</v>
      </c>
      <c r="S730" s="203">
        <v>46136</v>
      </c>
      <c r="T730" s="203">
        <v>46140</v>
      </c>
      <c r="U730" s="203" t="s">
        <v>4408</v>
      </c>
      <c r="V730" s="203" t="s">
        <v>4408</v>
      </c>
      <c r="W730" s="202">
        <v>46153</v>
      </c>
      <c r="X730" s="202">
        <v>46154</v>
      </c>
      <c r="Y730" s="202"/>
      <c r="Z730" s="207"/>
      <c r="AA730" s="242" t="s">
        <v>7520</v>
      </c>
      <c r="AB730" s="215" t="s">
        <v>7521</v>
      </c>
      <c r="AC730" s="215" t="s">
        <v>7523</v>
      </c>
      <c r="AD730" s="207" t="s">
        <v>4402</v>
      </c>
      <c r="AE730" s="207" t="s">
        <v>4405</v>
      </c>
      <c r="AF730" s="218" t="s">
        <v>4409</v>
      </c>
      <c r="AG730" s="218" t="s">
        <v>4409</v>
      </c>
      <c r="AH730" s="204" t="s">
        <v>4410</v>
      </c>
      <c r="AI730" s="214" t="s">
        <v>4411</v>
      </c>
      <c r="AJ730" s="207"/>
      <c r="AK730" s="316"/>
      <c r="AL730" s="316"/>
      <c r="AM730" s="316"/>
      <c r="AN730" s="316"/>
      <c r="AO730" s="316"/>
      <c r="AP730" s="316"/>
      <c r="AQ730" s="314"/>
      <c r="AR730" s="315" t="str">
        <f t="shared" si="52"/>
        <v/>
      </c>
      <c r="AS730" s="207"/>
      <c r="AT730" s="207"/>
      <c r="AU730" s="225"/>
      <c r="AV730" s="207"/>
      <c r="AW730" s="207"/>
      <c r="AX730" s="207"/>
      <c r="AY730" s="207"/>
      <c r="AZ730" s="202"/>
      <c r="BA730" s="219"/>
      <c r="BB730" s="207"/>
      <c r="BC730" s="202"/>
      <c r="BD730" s="208"/>
      <c r="BE730" s="202"/>
      <c r="BF730" s="207"/>
      <c r="BG730" s="229"/>
      <c r="BH730" s="321" t="str">
        <f t="shared" si="49"/>
        <v/>
      </c>
      <c r="BI730" s="98" t="str">
        <f t="shared" si="50"/>
        <v>AA</v>
      </c>
      <c r="BJ730" s="98" t="str">
        <f t="shared" si="51"/>
        <v>NÃO</v>
      </c>
      <c r="BK730" s="230"/>
      <c r="BL730" s="230"/>
      <c r="BM730" s="230"/>
      <c r="BN730" s="230"/>
      <c r="BO730" s="230"/>
      <c r="BP730" s="230"/>
      <c r="BQ730" s="230"/>
      <c r="BR730" s="234"/>
    </row>
    <row r="731" spans="1:74" ht="27" hidden="1" customHeight="1">
      <c r="A731" s="207">
        <v>727</v>
      </c>
      <c r="B731" s="197" t="s">
        <v>4396</v>
      </c>
      <c r="C731" s="207" t="s">
        <v>4427</v>
      </c>
      <c r="D731" s="207">
        <v>1</v>
      </c>
      <c r="E731" s="207" t="s">
        <v>4398</v>
      </c>
      <c r="F731" s="214" t="s">
        <v>7524</v>
      </c>
      <c r="G731" s="207" t="s">
        <v>4400</v>
      </c>
      <c r="H731" s="207" t="s">
        <v>4401</v>
      </c>
      <c r="I731" s="217" t="s">
        <v>4402</v>
      </c>
      <c r="J731" s="242" t="s">
        <v>7525</v>
      </c>
      <c r="K731" s="215" t="s">
        <v>7526</v>
      </c>
      <c r="L731" s="215" t="s">
        <v>7527</v>
      </c>
      <c r="M731" s="219" t="s">
        <v>4405</v>
      </c>
      <c r="N731" s="207" t="s">
        <v>4406</v>
      </c>
      <c r="O731" s="202">
        <v>46126</v>
      </c>
      <c r="P731" s="202" t="s">
        <v>4407</v>
      </c>
      <c r="Q731" s="203">
        <v>46126</v>
      </c>
      <c r="R731" s="203">
        <v>46126</v>
      </c>
      <c r="S731" s="203">
        <v>46136</v>
      </c>
      <c r="T731" s="203">
        <v>46140</v>
      </c>
      <c r="U731" s="203" t="s">
        <v>4408</v>
      </c>
      <c r="V731" s="203" t="s">
        <v>4408</v>
      </c>
      <c r="W731" s="202">
        <v>46153</v>
      </c>
      <c r="X731" s="202">
        <v>46154</v>
      </c>
      <c r="Y731" s="202"/>
      <c r="Z731" s="207"/>
      <c r="AA731" s="242" t="s">
        <v>7525</v>
      </c>
      <c r="AB731" s="215" t="s">
        <v>7526</v>
      </c>
      <c r="AC731" s="215" t="s">
        <v>7527</v>
      </c>
      <c r="AD731" s="207" t="s">
        <v>4402</v>
      </c>
      <c r="AE731" s="207" t="s">
        <v>4405</v>
      </c>
      <c r="AF731" s="218" t="s">
        <v>4409</v>
      </c>
      <c r="AG731" s="218" t="s">
        <v>4409</v>
      </c>
      <c r="AH731" s="204" t="s">
        <v>4410</v>
      </c>
      <c r="AI731" s="214" t="s">
        <v>4411</v>
      </c>
      <c r="AJ731" s="207"/>
      <c r="AK731" s="316"/>
      <c r="AL731" s="316"/>
      <c r="AM731" s="316"/>
      <c r="AN731" s="316"/>
      <c r="AO731" s="316"/>
      <c r="AP731" s="316"/>
      <c r="AQ731" s="314"/>
      <c r="AR731" s="315" t="str">
        <f t="shared" si="52"/>
        <v/>
      </c>
      <c r="AS731" s="207"/>
      <c r="AT731" s="207"/>
      <c r="AU731" s="225"/>
      <c r="AV731" s="207"/>
      <c r="AW731" s="207"/>
      <c r="AX731" s="207"/>
      <c r="AY731" s="207"/>
      <c r="AZ731" s="202"/>
      <c r="BA731" s="219"/>
      <c r="BB731" s="207"/>
      <c r="BC731" s="202"/>
      <c r="BD731" s="208"/>
      <c r="BE731" s="202"/>
      <c r="BF731" s="207"/>
      <c r="BG731" s="229"/>
      <c r="BH731" s="321" t="str">
        <f t="shared" si="49"/>
        <v/>
      </c>
      <c r="BI731" s="98" t="str">
        <f t="shared" si="50"/>
        <v>AA</v>
      </c>
      <c r="BJ731" s="98" t="str">
        <f t="shared" si="51"/>
        <v>NÃO</v>
      </c>
      <c r="BK731" s="230"/>
      <c r="BL731" s="230"/>
      <c r="BM731" s="230"/>
      <c r="BN731" s="230"/>
      <c r="BO731" s="230"/>
      <c r="BP731" s="230"/>
      <c r="BQ731" s="230"/>
      <c r="BR731" s="234"/>
    </row>
    <row r="732" spans="1:74" ht="27" hidden="1" customHeight="1">
      <c r="A732" s="207">
        <v>728</v>
      </c>
      <c r="B732" s="197" t="s">
        <v>4396</v>
      </c>
      <c r="C732" s="207" t="s">
        <v>4427</v>
      </c>
      <c r="D732" s="207">
        <v>1</v>
      </c>
      <c r="E732" s="207" t="s">
        <v>4398</v>
      </c>
      <c r="F732" s="214" t="s">
        <v>7528</v>
      </c>
      <c r="G732" s="207" t="s">
        <v>4400</v>
      </c>
      <c r="H732" s="207" t="s">
        <v>4401</v>
      </c>
      <c r="I732" s="217" t="s">
        <v>4402</v>
      </c>
      <c r="J732" s="242" t="s">
        <v>7529</v>
      </c>
      <c r="K732" s="215" t="s">
        <v>7530</v>
      </c>
      <c r="L732" s="215" t="s">
        <v>7531</v>
      </c>
      <c r="M732" s="219" t="s">
        <v>4405</v>
      </c>
      <c r="N732" s="207" t="s">
        <v>4406</v>
      </c>
      <c r="O732" s="202">
        <v>46126</v>
      </c>
      <c r="P732" s="202" t="s">
        <v>4407</v>
      </c>
      <c r="Q732" s="203">
        <v>46126</v>
      </c>
      <c r="R732" s="203">
        <v>46126</v>
      </c>
      <c r="S732" s="203">
        <v>46136</v>
      </c>
      <c r="T732" s="203">
        <v>46140</v>
      </c>
      <c r="U732" s="203" t="s">
        <v>4408</v>
      </c>
      <c r="V732" s="203" t="s">
        <v>4408</v>
      </c>
      <c r="W732" s="202">
        <v>46153</v>
      </c>
      <c r="X732" s="202">
        <v>46154</v>
      </c>
      <c r="Y732" s="202"/>
      <c r="Z732" s="207"/>
      <c r="AA732" s="242" t="s">
        <v>7529</v>
      </c>
      <c r="AB732" s="215" t="s">
        <v>7530</v>
      </c>
      <c r="AC732" s="215" t="s">
        <v>7531</v>
      </c>
      <c r="AD732" s="207" t="s">
        <v>4402</v>
      </c>
      <c r="AE732" s="207" t="s">
        <v>4405</v>
      </c>
      <c r="AF732" s="218" t="s">
        <v>4409</v>
      </c>
      <c r="AG732" s="218" t="s">
        <v>4409</v>
      </c>
      <c r="AH732" s="204" t="s">
        <v>4410</v>
      </c>
      <c r="AI732" s="214" t="s">
        <v>4411</v>
      </c>
      <c r="AJ732" s="207"/>
      <c r="AK732" s="316"/>
      <c r="AL732" s="316"/>
      <c r="AM732" s="316"/>
      <c r="AN732" s="316"/>
      <c r="AO732" s="316"/>
      <c r="AP732" s="316"/>
      <c r="AQ732" s="314"/>
      <c r="AR732" s="315" t="str">
        <f t="shared" si="52"/>
        <v/>
      </c>
      <c r="AS732" s="207"/>
      <c r="AT732" s="207"/>
      <c r="AU732" s="225"/>
      <c r="AV732" s="207"/>
      <c r="AW732" s="207"/>
      <c r="AX732" s="207"/>
      <c r="AY732" s="207"/>
      <c r="AZ732" s="202"/>
      <c r="BA732" s="219"/>
      <c r="BB732" s="207"/>
      <c r="BC732" s="202"/>
      <c r="BD732" s="208"/>
      <c r="BE732" s="202"/>
      <c r="BF732" s="207"/>
      <c r="BG732" s="229"/>
      <c r="BH732" s="321" t="str">
        <f t="shared" si="49"/>
        <v/>
      </c>
      <c r="BI732" s="98" t="str">
        <f t="shared" si="50"/>
        <v>AA</v>
      </c>
      <c r="BJ732" s="98" t="str">
        <f t="shared" si="51"/>
        <v>NÃO</v>
      </c>
      <c r="BK732" s="230"/>
      <c r="BL732" s="230"/>
      <c r="BM732" s="230"/>
      <c r="BN732" s="230"/>
      <c r="BO732" s="230"/>
      <c r="BP732" s="230"/>
      <c r="BQ732" s="230"/>
      <c r="BR732" s="234"/>
    </row>
    <row r="733" spans="1:74" ht="27" hidden="1" customHeight="1">
      <c r="A733" s="207">
        <v>729</v>
      </c>
      <c r="B733" s="197" t="s">
        <v>4396</v>
      </c>
      <c r="C733" s="207" t="s">
        <v>4427</v>
      </c>
      <c r="D733" s="207">
        <v>1</v>
      </c>
      <c r="E733" s="207" t="s">
        <v>4398</v>
      </c>
      <c r="F733" s="214" t="s">
        <v>7532</v>
      </c>
      <c r="G733" s="207" t="s">
        <v>4400</v>
      </c>
      <c r="H733" s="207" t="s">
        <v>4401</v>
      </c>
      <c r="I733" s="217" t="s">
        <v>4402</v>
      </c>
      <c r="J733" s="215" t="s">
        <v>7533</v>
      </c>
      <c r="K733" s="215" t="s">
        <v>7534</v>
      </c>
      <c r="L733" s="215" t="s">
        <v>7535</v>
      </c>
      <c r="M733" s="207" t="s">
        <v>4405</v>
      </c>
      <c r="N733" s="207" t="s">
        <v>4406</v>
      </c>
      <c r="O733" s="202">
        <v>45986</v>
      </c>
      <c r="P733" s="203" t="s">
        <v>4407</v>
      </c>
      <c r="Q733" s="203">
        <v>45985</v>
      </c>
      <c r="R733" s="203">
        <v>45986</v>
      </c>
      <c r="S733" s="203">
        <v>45987</v>
      </c>
      <c r="T733" s="203">
        <v>45992</v>
      </c>
      <c r="U733" s="202" t="s">
        <v>4408</v>
      </c>
      <c r="V733" s="202" t="s">
        <v>4408</v>
      </c>
      <c r="W733" s="202">
        <v>45999</v>
      </c>
      <c r="X733" s="202">
        <v>46002</v>
      </c>
      <c r="Y733" s="203"/>
      <c r="Z733" s="219"/>
      <c r="AA733" s="215" t="s">
        <v>7533</v>
      </c>
      <c r="AB733" s="215" t="s">
        <v>7534</v>
      </c>
      <c r="AC733" s="215" t="s">
        <v>7535</v>
      </c>
      <c r="AD733" s="207" t="s">
        <v>4402</v>
      </c>
      <c r="AE733" s="207" t="s">
        <v>4405</v>
      </c>
      <c r="AF733" s="218" t="s">
        <v>4409</v>
      </c>
      <c r="AG733" s="218" t="s">
        <v>4409</v>
      </c>
      <c r="AH733" s="204" t="s">
        <v>4410</v>
      </c>
      <c r="AI733" s="214" t="s">
        <v>4411</v>
      </c>
      <c r="AJ733" s="207"/>
      <c r="AK733" s="316">
        <v>45980</v>
      </c>
      <c r="AL733" s="316">
        <v>45980</v>
      </c>
      <c r="AM733" s="316">
        <v>45980</v>
      </c>
      <c r="AN733" s="316">
        <v>45980</v>
      </c>
      <c r="AO733" s="316">
        <v>45980</v>
      </c>
      <c r="AP733" s="316">
        <v>45980</v>
      </c>
      <c r="AQ733" s="314"/>
      <c r="AR733" s="315" t="str">
        <f t="shared" si="52"/>
        <v>FINALIZADO</v>
      </c>
      <c r="AS733" s="207"/>
      <c r="AT733" s="219"/>
      <c r="AU733" s="225"/>
      <c r="AV733" s="207"/>
      <c r="AW733" s="207"/>
      <c r="AX733" s="207" t="s">
        <v>4409</v>
      </c>
      <c r="AY733" s="207" t="s">
        <v>4409</v>
      </c>
      <c r="AZ733" s="207" t="s">
        <v>4409</v>
      </c>
      <c r="BA733" s="207" t="s">
        <v>4409</v>
      </c>
      <c r="BB733" s="219"/>
      <c r="BC733" s="219"/>
      <c r="BD733" s="208"/>
      <c r="BE733" s="202"/>
      <c r="BF733" s="207"/>
      <c r="BG733" s="229"/>
      <c r="BH733" s="321" t="str">
        <f t="shared" si="49"/>
        <v/>
      </c>
      <c r="BI733" s="98" t="str">
        <f t="shared" si="50"/>
        <v>AA</v>
      </c>
      <c r="BJ733" s="98" t="str">
        <f t="shared" si="51"/>
        <v>NÃO</v>
      </c>
      <c r="BK733" s="230"/>
      <c r="BL733" s="230"/>
      <c r="BM733" s="230"/>
      <c r="BN733" s="230"/>
      <c r="BO733" s="230"/>
      <c r="BP733" s="230"/>
      <c r="BQ733" s="230"/>
      <c r="BR733" s="234"/>
    </row>
    <row r="734" spans="1:74" ht="27" hidden="1" customHeight="1">
      <c r="A734" s="197">
        <v>730</v>
      </c>
      <c r="B734" s="197" t="s">
        <v>4396</v>
      </c>
      <c r="C734" s="207" t="s">
        <v>4427</v>
      </c>
      <c r="D734" s="207">
        <v>1</v>
      </c>
      <c r="E734" s="207" t="s">
        <v>4398</v>
      </c>
      <c r="F734" s="214" t="s">
        <v>7536</v>
      </c>
      <c r="G734" s="207" t="s">
        <v>4400</v>
      </c>
      <c r="H734" s="207" t="s">
        <v>4401</v>
      </c>
      <c r="I734" s="217" t="s">
        <v>4402</v>
      </c>
      <c r="J734" s="242" t="s">
        <v>7537</v>
      </c>
      <c r="K734" s="215" t="s">
        <v>7538</v>
      </c>
      <c r="L734" s="215" t="s">
        <v>7539</v>
      </c>
      <c r="M734" s="207" t="s">
        <v>4405</v>
      </c>
      <c r="N734" s="207" t="s">
        <v>4406</v>
      </c>
      <c r="O734" s="202">
        <v>45986</v>
      </c>
      <c r="P734" s="202" t="s">
        <v>4407</v>
      </c>
      <c r="Q734" s="202">
        <v>45985</v>
      </c>
      <c r="R734" s="202">
        <v>45986</v>
      </c>
      <c r="S734" s="202">
        <v>45987</v>
      </c>
      <c r="T734" s="202">
        <v>45992</v>
      </c>
      <c r="U734" s="202" t="s">
        <v>4408</v>
      </c>
      <c r="V734" s="202" t="s">
        <v>4408</v>
      </c>
      <c r="W734" s="202">
        <v>45999</v>
      </c>
      <c r="X734" s="202">
        <v>46001</v>
      </c>
      <c r="Y734" s="202"/>
      <c r="Z734" s="207"/>
      <c r="AA734" s="242" t="s">
        <v>7537</v>
      </c>
      <c r="AB734" s="215" t="s">
        <v>7538</v>
      </c>
      <c r="AC734" s="215" t="s">
        <v>7539</v>
      </c>
      <c r="AD734" s="207" t="s">
        <v>4402</v>
      </c>
      <c r="AE734" s="207" t="s">
        <v>4405</v>
      </c>
      <c r="AF734" s="218" t="s">
        <v>4409</v>
      </c>
      <c r="AG734" s="218" t="s">
        <v>4409</v>
      </c>
      <c r="AH734" s="204" t="s">
        <v>4410</v>
      </c>
      <c r="AI734" s="214" t="s">
        <v>4411</v>
      </c>
      <c r="AJ734" s="207"/>
      <c r="AK734" s="316">
        <v>45980</v>
      </c>
      <c r="AL734" s="316">
        <v>45980</v>
      </c>
      <c r="AM734" s="316">
        <v>45980</v>
      </c>
      <c r="AN734" s="316">
        <v>45980</v>
      </c>
      <c r="AO734" s="316">
        <v>45980</v>
      </c>
      <c r="AP734" s="316">
        <v>45980</v>
      </c>
      <c r="AQ734" s="314"/>
      <c r="AR734" s="315" t="str">
        <f t="shared" si="52"/>
        <v>FINALIZADO</v>
      </c>
      <c r="AS734" s="207"/>
      <c r="AT734" s="207"/>
      <c r="AU734" s="225"/>
      <c r="AV734" s="207"/>
      <c r="AW734" s="207"/>
      <c r="AX734" s="207" t="s">
        <v>4409</v>
      </c>
      <c r="AY734" s="207" t="s">
        <v>4409</v>
      </c>
      <c r="AZ734" s="207" t="s">
        <v>4409</v>
      </c>
      <c r="BA734" s="207" t="s">
        <v>4409</v>
      </c>
      <c r="BB734" s="207"/>
      <c r="BC734" s="202"/>
      <c r="BD734" s="208"/>
      <c r="BE734" s="202"/>
      <c r="BF734" s="207"/>
      <c r="BG734" s="229"/>
      <c r="BH734" s="321" t="str">
        <f t="shared" si="49"/>
        <v/>
      </c>
      <c r="BI734" s="98" t="str">
        <f t="shared" si="50"/>
        <v>AA</v>
      </c>
      <c r="BJ734" s="98" t="str">
        <f t="shared" si="51"/>
        <v>NÃO</v>
      </c>
      <c r="BK734" s="230"/>
      <c r="BL734" s="230"/>
      <c r="BM734" s="230"/>
      <c r="BN734" s="230"/>
      <c r="BO734" s="230"/>
      <c r="BP734" s="230"/>
      <c r="BQ734" s="230"/>
      <c r="BR734" s="234"/>
    </row>
    <row r="735" spans="1:74" ht="27" hidden="1" customHeight="1">
      <c r="A735" s="197">
        <v>731</v>
      </c>
      <c r="B735" s="197" t="s">
        <v>4396</v>
      </c>
      <c r="C735" s="207" t="s">
        <v>4427</v>
      </c>
      <c r="D735" s="207">
        <v>1</v>
      </c>
      <c r="E735" s="207" t="s">
        <v>4398</v>
      </c>
      <c r="F735" s="214" t="s">
        <v>7540</v>
      </c>
      <c r="G735" s="207" t="s">
        <v>4400</v>
      </c>
      <c r="H735" s="207" t="s">
        <v>4401</v>
      </c>
      <c r="I735" s="217" t="s">
        <v>4402</v>
      </c>
      <c r="J735" s="215" t="s">
        <v>7541</v>
      </c>
      <c r="K735" s="215" t="s">
        <v>4440</v>
      </c>
      <c r="L735" s="215" t="s">
        <v>7542</v>
      </c>
      <c r="M735" s="207" t="s">
        <v>4405</v>
      </c>
      <c r="N735" s="207" t="s">
        <v>4406</v>
      </c>
      <c r="O735" s="202">
        <v>45986</v>
      </c>
      <c r="P735" s="203" t="s">
        <v>4407</v>
      </c>
      <c r="Q735" s="203">
        <v>45985</v>
      </c>
      <c r="R735" s="203">
        <v>45986</v>
      </c>
      <c r="S735" s="203">
        <v>45987</v>
      </c>
      <c r="T735" s="203">
        <v>45992</v>
      </c>
      <c r="U735" s="202" t="s">
        <v>4408</v>
      </c>
      <c r="V735" s="202" t="s">
        <v>4408</v>
      </c>
      <c r="W735" s="202">
        <v>45999</v>
      </c>
      <c r="X735" s="202">
        <v>46001</v>
      </c>
      <c r="Y735" s="203"/>
      <c r="Z735" s="219"/>
      <c r="AA735" s="215" t="s">
        <v>7541</v>
      </c>
      <c r="AB735" s="215" t="s">
        <v>4440</v>
      </c>
      <c r="AC735" s="215" t="s">
        <v>7542</v>
      </c>
      <c r="AD735" s="207" t="s">
        <v>4402</v>
      </c>
      <c r="AE735" s="207" t="s">
        <v>4405</v>
      </c>
      <c r="AF735" s="218" t="s">
        <v>4409</v>
      </c>
      <c r="AG735" s="218" t="s">
        <v>4409</v>
      </c>
      <c r="AH735" s="204" t="s">
        <v>4410</v>
      </c>
      <c r="AI735" s="214" t="s">
        <v>4411</v>
      </c>
      <c r="AJ735" s="207"/>
      <c r="AK735" s="316">
        <v>45980</v>
      </c>
      <c r="AL735" s="316">
        <v>45980</v>
      </c>
      <c r="AM735" s="316">
        <v>45980</v>
      </c>
      <c r="AN735" s="316">
        <v>45980</v>
      </c>
      <c r="AO735" s="316">
        <v>45980</v>
      </c>
      <c r="AP735" s="316">
        <v>45980</v>
      </c>
      <c r="AQ735" s="314"/>
      <c r="AR735" s="315" t="str">
        <f t="shared" si="52"/>
        <v>FINALIZADO</v>
      </c>
      <c r="AS735" s="207"/>
      <c r="AT735" s="219"/>
      <c r="AU735" s="225"/>
      <c r="AV735" s="207"/>
      <c r="AW735" s="207"/>
      <c r="AX735" s="207" t="s">
        <v>4409</v>
      </c>
      <c r="AY735" s="207" t="s">
        <v>4409</v>
      </c>
      <c r="AZ735" s="207" t="s">
        <v>4409</v>
      </c>
      <c r="BA735" s="207" t="s">
        <v>4409</v>
      </c>
      <c r="BB735" s="219"/>
      <c r="BC735" s="219"/>
      <c r="BD735" s="208"/>
      <c r="BE735" s="202"/>
      <c r="BF735" s="207"/>
      <c r="BG735" s="229"/>
      <c r="BH735" s="321" t="str">
        <f t="shared" si="49"/>
        <v/>
      </c>
      <c r="BI735" s="98" t="str">
        <f t="shared" si="50"/>
        <v>AA</v>
      </c>
      <c r="BJ735" s="98" t="str">
        <f t="shared" si="51"/>
        <v>NÃO</v>
      </c>
      <c r="BK735" s="230"/>
      <c r="BL735" s="230"/>
      <c r="BM735" s="230"/>
      <c r="BN735" s="230"/>
      <c r="BO735" s="230"/>
      <c r="BP735" s="230"/>
      <c r="BQ735" s="230"/>
      <c r="BR735" s="234"/>
    </row>
    <row r="736" spans="1:74" ht="27" hidden="1" customHeight="1">
      <c r="A736" s="207">
        <v>732</v>
      </c>
      <c r="B736" s="197" t="s">
        <v>4396</v>
      </c>
      <c r="C736" s="207" t="s">
        <v>4427</v>
      </c>
      <c r="D736" s="207">
        <v>1</v>
      </c>
      <c r="E736" s="207" t="s">
        <v>4398</v>
      </c>
      <c r="F736" s="214" t="s">
        <v>7543</v>
      </c>
      <c r="G736" s="207" t="s">
        <v>4400</v>
      </c>
      <c r="H736" s="207" t="s">
        <v>4401</v>
      </c>
      <c r="I736" s="217" t="s">
        <v>4402</v>
      </c>
      <c r="J736" s="215" t="s">
        <v>7544</v>
      </c>
      <c r="K736" s="215" t="s">
        <v>7545</v>
      </c>
      <c r="L736" s="215" t="s">
        <v>7546</v>
      </c>
      <c r="M736" s="207" t="s">
        <v>4405</v>
      </c>
      <c r="N736" s="207" t="s">
        <v>4406</v>
      </c>
      <c r="O736" s="202">
        <v>46002</v>
      </c>
      <c r="P736" s="202" t="s">
        <v>4407</v>
      </c>
      <c r="Q736" s="202">
        <v>45999</v>
      </c>
      <c r="R736" s="202">
        <v>46006</v>
      </c>
      <c r="S736" s="202">
        <v>46006</v>
      </c>
      <c r="T736" s="202">
        <v>46009</v>
      </c>
      <c r="U736" s="202" t="s">
        <v>4408</v>
      </c>
      <c r="V736" s="202" t="s">
        <v>4408</v>
      </c>
      <c r="W736" s="202">
        <v>46014</v>
      </c>
      <c r="X736" s="202">
        <v>46020</v>
      </c>
      <c r="Y736" s="203"/>
      <c r="Z736" s="219"/>
      <c r="AA736" s="215" t="s">
        <v>7544</v>
      </c>
      <c r="AB736" s="215" t="s">
        <v>7545</v>
      </c>
      <c r="AC736" s="215" t="s">
        <v>7546</v>
      </c>
      <c r="AD736" s="207" t="s">
        <v>4402</v>
      </c>
      <c r="AE736" s="207" t="s">
        <v>4405</v>
      </c>
      <c r="AF736" s="218" t="s">
        <v>4409</v>
      </c>
      <c r="AG736" s="218" t="s">
        <v>4409</v>
      </c>
      <c r="AH736" s="197" t="s">
        <v>4410</v>
      </c>
      <c r="AI736" s="214" t="s">
        <v>4411</v>
      </c>
      <c r="AJ736" s="207"/>
      <c r="AK736" s="316">
        <v>45996</v>
      </c>
      <c r="AL736" s="316">
        <v>45996</v>
      </c>
      <c r="AM736" s="316">
        <v>45996</v>
      </c>
      <c r="AN736" s="316">
        <v>45996</v>
      </c>
      <c r="AO736" s="316">
        <v>45996</v>
      </c>
      <c r="AP736" s="316">
        <v>45996</v>
      </c>
      <c r="AQ736" s="314"/>
      <c r="AR736" s="315" t="str">
        <f t="shared" si="52"/>
        <v>FINALIZADO</v>
      </c>
      <c r="AS736" s="207"/>
      <c r="AT736" s="219"/>
      <c r="AU736" s="225"/>
      <c r="AV736" s="219"/>
      <c r="AW736" s="219"/>
      <c r="AX736" s="219"/>
      <c r="AY736" s="219"/>
      <c r="AZ736" s="219"/>
      <c r="BA736" s="219"/>
      <c r="BB736" s="219"/>
      <c r="BC736" s="219"/>
      <c r="BD736" s="208"/>
      <c r="BE736" s="202"/>
      <c r="BF736" s="207"/>
      <c r="BG736" s="229"/>
      <c r="BH736" s="321" t="str">
        <f t="shared" si="49"/>
        <v/>
      </c>
      <c r="BI736" s="98" t="str">
        <f t="shared" si="50"/>
        <v>AA</v>
      </c>
      <c r="BJ736" s="98" t="str">
        <f t="shared" si="51"/>
        <v>NÃO</v>
      </c>
      <c r="BK736" s="230"/>
      <c r="BL736" s="230"/>
      <c r="BM736" s="230"/>
      <c r="BN736" s="230"/>
      <c r="BO736" s="230"/>
      <c r="BP736" s="230"/>
      <c r="BQ736" s="230"/>
      <c r="BR736" s="234"/>
    </row>
    <row r="737" spans="1:70" ht="27" hidden="1" customHeight="1">
      <c r="A737" s="207">
        <v>733</v>
      </c>
      <c r="B737" s="197" t="s">
        <v>4396</v>
      </c>
      <c r="C737" s="207" t="s">
        <v>4427</v>
      </c>
      <c r="D737" s="207">
        <v>1</v>
      </c>
      <c r="E737" s="207" t="s">
        <v>4398</v>
      </c>
      <c r="F737" s="214" t="s">
        <v>7547</v>
      </c>
      <c r="G737" s="207" t="s">
        <v>4400</v>
      </c>
      <c r="H737" s="207" t="s">
        <v>4401</v>
      </c>
      <c r="I737" s="217" t="s">
        <v>4402</v>
      </c>
      <c r="J737" s="215" t="s">
        <v>7548</v>
      </c>
      <c r="K737" s="215" t="s">
        <v>7549</v>
      </c>
      <c r="L737" s="215" t="s">
        <v>7550</v>
      </c>
      <c r="M737" s="207" t="s">
        <v>4405</v>
      </c>
      <c r="N737" s="207" t="s">
        <v>4406</v>
      </c>
      <c r="O737" s="202">
        <v>45986</v>
      </c>
      <c r="P737" s="203" t="s">
        <v>4407</v>
      </c>
      <c r="Q737" s="203">
        <v>45985</v>
      </c>
      <c r="R737" s="203">
        <v>45986</v>
      </c>
      <c r="S737" s="203">
        <v>45987</v>
      </c>
      <c r="T737" s="203">
        <v>45992</v>
      </c>
      <c r="U737" s="202" t="s">
        <v>4408</v>
      </c>
      <c r="V737" s="202" t="s">
        <v>4408</v>
      </c>
      <c r="W737" s="202">
        <v>45999</v>
      </c>
      <c r="X737" s="202">
        <v>46002</v>
      </c>
      <c r="Y737" s="202"/>
      <c r="Z737" s="207"/>
      <c r="AA737" s="215" t="s">
        <v>7548</v>
      </c>
      <c r="AB737" s="215" t="s">
        <v>7549</v>
      </c>
      <c r="AC737" s="215" t="s">
        <v>7550</v>
      </c>
      <c r="AD737" s="207" t="s">
        <v>4402</v>
      </c>
      <c r="AE737" s="207" t="s">
        <v>4405</v>
      </c>
      <c r="AF737" s="218" t="s">
        <v>4409</v>
      </c>
      <c r="AG737" s="218" t="s">
        <v>4409</v>
      </c>
      <c r="AH737" s="241" t="s">
        <v>4410</v>
      </c>
      <c r="AI737" s="214" t="s">
        <v>4411</v>
      </c>
      <c r="AJ737" s="207"/>
      <c r="AK737" s="316">
        <v>45980</v>
      </c>
      <c r="AL737" s="316">
        <v>45980</v>
      </c>
      <c r="AM737" s="316">
        <v>45980</v>
      </c>
      <c r="AN737" s="316">
        <v>45980</v>
      </c>
      <c r="AO737" s="316">
        <v>45980</v>
      </c>
      <c r="AP737" s="316">
        <v>45980</v>
      </c>
      <c r="AQ737" s="314"/>
      <c r="AR737" s="315" t="str">
        <f t="shared" si="52"/>
        <v>FINALIZADO</v>
      </c>
      <c r="AS737" s="207"/>
      <c r="AT737" s="207"/>
      <c r="AU737" s="225"/>
      <c r="AV737" s="207"/>
      <c r="AW737" s="207"/>
      <c r="AX737" s="207" t="s">
        <v>4409</v>
      </c>
      <c r="AY737" s="207" t="s">
        <v>4409</v>
      </c>
      <c r="AZ737" s="207" t="s">
        <v>4409</v>
      </c>
      <c r="BA737" s="207" t="s">
        <v>4409</v>
      </c>
      <c r="BB737" s="207"/>
      <c r="BC737" s="202"/>
      <c r="BD737" s="208"/>
      <c r="BE737" s="202"/>
      <c r="BF737" s="207"/>
      <c r="BG737" s="229"/>
      <c r="BH737" s="321" t="str">
        <f t="shared" si="49"/>
        <v/>
      </c>
      <c r="BI737" s="98" t="str">
        <f t="shared" si="50"/>
        <v>AA</v>
      </c>
      <c r="BJ737" s="98" t="str">
        <f t="shared" si="51"/>
        <v>NÃO</v>
      </c>
      <c r="BK737" s="230"/>
      <c r="BL737" s="230"/>
      <c r="BM737" s="230"/>
      <c r="BN737" s="230"/>
      <c r="BO737" s="230"/>
      <c r="BP737" s="230"/>
      <c r="BQ737" s="230"/>
      <c r="BR737" s="234"/>
    </row>
    <row r="738" spans="1:70" ht="27" hidden="1" customHeight="1">
      <c r="A738" s="207">
        <v>734</v>
      </c>
      <c r="B738" s="197" t="s">
        <v>4396</v>
      </c>
      <c r="C738" s="207" t="s">
        <v>4427</v>
      </c>
      <c r="D738" s="207">
        <v>1</v>
      </c>
      <c r="E738" s="207" t="s">
        <v>4398</v>
      </c>
      <c r="F738" s="214" t="s">
        <v>7551</v>
      </c>
      <c r="G738" s="207" t="s">
        <v>4400</v>
      </c>
      <c r="H738" s="207" t="s">
        <v>4401</v>
      </c>
      <c r="I738" s="217" t="s">
        <v>4402</v>
      </c>
      <c r="J738" s="242" t="s">
        <v>7552</v>
      </c>
      <c r="K738" s="215" t="s">
        <v>7553</v>
      </c>
      <c r="L738" s="215" t="s">
        <v>7554</v>
      </c>
      <c r="M738" s="207" t="s">
        <v>4405</v>
      </c>
      <c r="N738" s="207" t="s">
        <v>4406</v>
      </c>
      <c r="O738" s="202">
        <v>45986</v>
      </c>
      <c r="P738" s="203" t="s">
        <v>4407</v>
      </c>
      <c r="Q738" s="203">
        <v>45985</v>
      </c>
      <c r="R738" s="203">
        <v>45986</v>
      </c>
      <c r="S738" s="203">
        <v>45987</v>
      </c>
      <c r="T738" s="203">
        <v>45992</v>
      </c>
      <c r="U738" s="202" t="s">
        <v>4408</v>
      </c>
      <c r="V738" s="202" t="s">
        <v>4408</v>
      </c>
      <c r="W738" s="202">
        <v>45999</v>
      </c>
      <c r="X738" s="202">
        <v>46002</v>
      </c>
      <c r="Y738" s="202"/>
      <c r="Z738" s="207"/>
      <c r="AA738" s="242" t="s">
        <v>7552</v>
      </c>
      <c r="AB738" s="215" t="s">
        <v>7553</v>
      </c>
      <c r="AC738" s="215" t="s">
        <v>7554</v>
      </c>
      <c r="AD738" s="207" t="s">
        <v>4402</v>
      </c>
      <c r="AE738" s="207" t="s">
        <v>4405</v>
      </c>
      <c r="AF738" s="218" t="s">
        <v>4409</v>
      </c>
      <c r="AG738" s="218" t="s">
        <v>4409</v>
      </c>
      <c r="AH738" s="204" t="s">
        <v>4410</v>
      </c>
      <c r="AI738" s="214" t="s">
        <v>4411</v>
      </c>
      <c r="AJ738" s="207"/>
      <c r="AK738" s="316">
        <v>45980</v>
      </c>
      <c r="AL738" s="316">
        <v>45980</v>
      </c>
      <c r="AM738" s="316">
        <v>45980</v>
      </c>
      <c r="AN738" s="316">
        <v>45980</v>
      </c>
      <c r="AO738" s="316">
        <v>45980</v>
      </c>
      <c r="AP738" s="316">
        <v>45980</v>
      </c>
      <c r="AQ738" s="314"/>
      <c r="AR738" s="315" t="str">
        <f t="shared" si="52"/>
        <v>FINALIZADO</v>
      </c>
      <c r="AS738" s="207"/>
      <c r="AT738" s="207"/>
      <c r="AU738" s="225"/>
      <c r="AV738" s="207"/>
      <c r="AW738" s="207"/>
      <c r="AX738" s="207" t="s">
        <v>4409</v>
      </c>
      <c r="AY738" s="207" t="s">
        <v>4409</v>
      </c>
      <c r="AZ738" s="207" t="s">
        <v>4409</v>
      </c>
      <c r="BA738" s="207" t="s">
        <v>4409</v>
      </c>
      <c r="BB738" s="207"/>
      <c r="BC738" s="202"/>
      <c r="BD738" s="208"/>
      <c r="BE738" s="202"/>
      <c r="BF738" s="207"/>
      <c r="BG738" s="229"/>
      <c r="BH738" s="321" t="str">
        <f t="shared" si="49"/>
        <v/>
      </c>
      <c r="BI738" s="98" t="str">
        <f t="shared" si="50"/>
        <v>AA</v>
      </c>
      <c r="BJ738" s="98" t="str">
        <f t="shared" si="51"/>
        <v>NÃO</v>
      </c>
      <c r="BK738" s="230"/>
      <c r="BL738" s="230"/>
      <c r="BM738" s="230"/>
      <c r="BN738" s="230"/>
      <c r="BO738" s="230"/>
      <c r="BP738" s="230"/>
      <c r="BQ738" s="230"/>
      <c r="BR738" s="234"/>
    </row>
    <row r="739" spans="1:70" ht="27" hidden="1" customHeight="1">
      <c r="A739" s="197">
        <v>735</v>
      </c>
      <c r="B739" s="197" t="s">
        <v>4396</v>
      </c>
      <c r="C739" s="207" t="s">
        <v>4427</v>
      </c>
      <c r="D739" s="207">
        <v>1</v>
      </c>
      <c r="E739" s="207" t="s">
        <v>4398</v>
      </c>
      <c r="F739" s="214" t="s">
        <v>7555</v>
      </c>
      <c r="G739" s="207" t="s">
        <v>4400</v>
      </c>
      <c r="H739" s="207" t="s">
        <v>4401</v>
      </c>
      <c r="I739" s="217" t="s">
        <v>4402</v>
      </c>
      <c r="J739" s="215" t="s">
        <v>7556</v>
      </c>
      <c r="K739" s="215" t="s">
        <v>7557</v>
      </c>
      <c r="L739" s="215" t="s">
        <v>7558</v>
      </c>
      <c r="M739" s="207" t="s">
        <v>4405</v>
      </c>
      <c r="N739" s="207" t="s">
        <v>4406</v>
      </c>
      <c r="O739" s="202">
        <v>46002</v>
      </c>
      <c r="P739" s="202" t="s">
        <v>4407</v>
      </c>
      <c r="Q739" s="202">
        <v>45999</v>
      </c>
      <c r="R739" s="202">
        <v>46006</v>
      </c>
      <c r="S739" s="202">
        <v>46006</v>
      </c>
      <c r="T739" s="202">
        <v>46009</v>
      </c>
      <c r="U739" s="202" t="s">
        <v>4408</v>
      </c>
      <c r="V739" s="202" t="s">
        <v>4408</v>
      </c>
      <c r="W739" s="202">
        <v>46014</v>
      </c>
      <c r="X739" s="202">
        <v>46020</v>
      </c>
      <c r="Y739" s="203"/>
      <c r="Z739" s="219"/>
      <c r="AA739" s="215" t="s">
        <v>7556</v>
      </c>
      <c r="AB739" s="215" t="s">
        <v>7557</v>
      </c>
      <c r="AC739" s="215" t="s">
        <v>7558</v>
      </c>
      <c r="AD739" s="207" t="s">
        <v>4402</v>
      </c>
      <c r="AE739" s="207" t="s">
        <v>4405</v>
      </c>
      <c r="AF739" s="218" t="s">
        <v>4409</v>
      </c>
      <c r="AG739" s="218" t="s">
        <v>4409</v>
      </c>
      <c r="AH739" s="197" t="s">
        <v>4410</v>
      </c>
      <c r="AI739" s="214" t="s">
        <v>4411</v>
      </c>
      <c r="AJ739" s="207"/>
      <c r="AK739" s="316">
        <v>45980</v>
      </c>
      <c r="AL739" s="316">
        <v>45980</v>
      </c>
      <c r="AM739" s="316">
        <v>45980</v>
      </c>
      <c r="AN739" s="316">
        <v>45980</v>
      </c>
      <c r="AO739" s="316">
        <v>45980</v>
      </c>
      <c r="AP739" s="316">
        <v>45980</v>
      </c>
      <c r="AQ739" s="314"/>
      <c r="AR739" s="315" t="str">
        <f t="shared" si="52"/>
        <v>FINALIZADO</v>
      </c>
      <c r="AS739" s="207"/>
      <c r="AT739" s="219"/>
      <c r="AU739" s="225"/>
      <c r="AV739" s="219"/>
      <c r="AW739" s="219"/>
      <c r="AX739" s="219"/>
      <c r="AY739" s="219"/>
      <c r="AZ739" s="219"/>
      <c r="BA739" s="219"/>
      <c r="BB739" s="219"/>
      <c r="BC739" s="219"/>
      <c r="BD739" s="208"/>
      <c r="BE739" s="202"/>
      <c r="BF739" s="207"/>
      <c r="BG739" s="229"/>
      <c r="BH739" s="321" t="str">
        <f t="shared" si="49"/>
        <v/>
      </c>
      <c r="BI739" s="98" t="str">
        <f t="shared" si="50"/>
        <v>AA</v>
      </c>
      <c r="BJ739" s="98" t="str">
        <f t="shared" si="51"/>
        <v>NÃO</v>
      </c>
      <c r="BK739" s="230"/>
      <c r="BL739" s="230"/>
      <c r="BM739" s="230"/>
      <c r="BN739" s="230"/>
      <c r="BO739" s="230"/>
      <c r="BP739" s="230"/>
      <c r="BQ739" s="230"/>
      <c r="BR739" s="234"/>
    </row>
    <row r="740" spans="1:70" ht="27" hidden="1" customHeight="1">
      <c r="A740" s="197">
        <v>736</v>
      </c>
      <c r="B740" s="197" t="s">
        <v>4396</v>
      </c>
      <c r="C740" s="207" t="s">
        <v>4427</v>
      </c>
      <c r="D740" s="207">
        <v>1</v>
      </c>
      <c r="E740" s="207" t="s">
        <v>4398</v>
      </c>
      <c r="F740" s="214" t="s">
        <v>7559</v>
      </c>
      <c r="G740" s="207" t="s">
        <v>4400</v>
      </c>
      <c r="H740" s="207" t="s">
        <v>4401</v>
      </c>
      <c r="I740" s="217" t="s">
        <v>4402</v>
      </c>
      <c r="J740" s="215" t="s">
        <v>7560</v>
      </c>
      <c r="K740" s="215" t="s">
        <v>7561</v>
      </c>
      <c r="L740" s="215" t="s">
        <v>7562</v>
      </c>
      <c r="M740" s="207" t="s">
        <v>4405</v>
      </c>
      <c r="N740" s="207" t="s">
        <v>4406</v>
      </c>
      <c r="O740" s="202">
        <v>45986</v>
      </c>
      <c r="P740" s="203" t="s">
        <v>4407</v>
      </c>
      <c r="Q740" s="203">
        <v>45985</v>
      </c>
      <c r="R740" s="203">
        <v>45986</v>
      </c>
      <c r="S740" s="203">
        <v>45987</v>
      </c>
      <c r="T740" s="203">
        <v>45992</v>
      </c>
      <c r="U740" s="202" t="s">
        <v>4408</v>
      </c>
      <c r="V740" s="202" t="s">
        <v>4408</v>
      </c>
      <c r="W740" s="202">
        <v>45999</v>
      </c>
      <c r="X740" s="202">
        <v>46001</v>
      </c>
      <c r="Y740" s="202"/>
      <c r="Z740" s="207"/>
      <c r="AA740" s="215" t="s">
        <v>7560</v>
      </c>
      <c r="AB740" s="215" t="s">
        <v>7561</v>
      </c>
      <c r="AC740" s="215" t="s">
        <v>7562</v>
      </c>
      <c r="AD740" s="207" t="s">
        <v>4402</v>
      </c>
      <c r="AE740" s="207" t="s">
        <v>4405</v>
      </c>
      <c r="AF740" s="218" t="s">
        <v>4409</v>
      </c>
      <c r="AG740" s="218" t="s">
        <v>4409</v>
      </c>
      <c r="AH740" s="241" t="s">
        <v>4410</v>
      </c>
      <c r="AI740" s="214" t="s">
        <v>4411</v>
      </c>
      <c r="AJ740" s="207"/>
      <c r="AK740" s="316">
        <v>45980</v>
      </c>
      <c r="AL740" s="316">
        <v>45980</v>
      </c>
      <c r="AM740" s="316">
        <v>45980</v>
      </c>
      <c r="AN740" s="316">
        <v>45980</v>
      </c>
      <c r="AO740" s="316">
        <v>45980</v>
      </c>
      <c r="AP740" s="316">
        <v>45980</v>
      </c>
      <c r="AQ740" s="314"/>
      <c r="AR740" s="315" t="str">
        <f t="shared" si="52"/>
        <v>FINALIZADO</v>
      </c>
      <c r="AS740" s="207"/>
      <c r="AT740" s="207"/>
      <c r="AU740" s="225"/>
      <c r="AV740" s="207"/>
      <c r="AW740" s="207"/>
      <c r="AX740" s="207" t="s">
        <v>4409</v>
      </c>
      <c r="AY740" s="207" t="s">
        <v>4409</v>
      </c>
      <c r="AZ740" s="207" t="s">
        <v>4409</v>
      </c>
      <c r="BA740" s="207" t="s">
        <v>4409</v>
      </c>
      <c r="BB740" s="207"/>
      <c r="BC740" s="202"/>
      <c r="BD740" s="208"/>
      <c r="BE740" s="202"/>
      <c r="BF740" s="207"/>
      <c r="BG740" s="229"/>
      <c r="BH740" s="321" t="str">
        <f t="shared" si="49"/>
        <v/>
      </c>
      <c r="BI740" s="98" t="str">
        <f t="shared" si="50"/>
        <v>AA</v>
      </c>
      <c r="BJ740" s="98" t="str">
        <f t="shared" si="51"/>
        <v>NÃO</v>
      </c>
      <c r="BK740" s="230"/>
      <c r="BL740" s="230"/>
      <c r="BM740" s="230"/>
      <c r="BN740" s="230"/>
      <c r="BO740" s="230"/>
      <c r="BP740" s="230"/>
      <c r="BQ740" s="230"/>
      <c r="BR740" s="234"/>
    </row>
    <row r="741" spans="1:70" ht="27" hidden="1" customHeight="1">
      <c r="A741" s="207">
        <v>737</v>
      </c>
      <c r="B741" s="197" t="s">
        <v>4396</v>
      </c>
      <c r="C741" s="207" t="s">
        <v>4427</v>
      </c>
      <c r="D741" s="207">
        <v>1</v>
      </c>
      <c r="E741" s="207" t="s">
        <v>4398</v>
      </c>
      <c r="F741" s="214" t="s">
        <v>7563</v>
      </c>
      <c r="G741" s="207" t="s">
        <v>4400</v>
      </c>
      <c r="H741" s="207" t="s">
        <v>4401</v>
      </c>
      <c r="I741" s="217" t="s">
        <v>4402</v>
      </c>
      <c r="J741" s="215" t="s">
        <v>7564</v>
      </c>
      <c r="K741" s="215" t="s">
        <v>7565</v>
      </c>
      <c r="L741" s="215" t="s">
        <v>7566</v>
      </c>
      <c r="M741" s="207" t="s">
        <v>4405</v>
      </c>
      <c r="N741" s="207" t="s">
        <v>4406</v>
      </c>
      <c r="O741" s="202">
        <v>45986</v>
      </c>
      <c r="P741" s="203" t="s">
        <v>4407</v>
      </c>
      <c r="Q741" s="203">
        <v>45985</v>
      </c>
      <c r="R741" s="203">
        <v>45986</v>
      </c>
      <c r="S741" s="203">
        <v>45987</v>
      </c>
      <c r="T741" s="203">
        <v>45992</v>
      </c>
      <c r="U741" s="203" t="s">
        <v>4408</v>
      </c>
      <c r="V741" s="203" t="s">
        <v>4408</v>
      </c>
      <c r="W741" s="202">
        <v>45999</v>
      </c>
      <c r="X741" s="202">
        <v>46001</v>
      </c>
      <c r="Y741" s="203"/>
      <c r="Z741" s="219"/>
      <c r="AA741" s="215" t="s">
        <v>7564</v>
      </c>
      <c r="AB741" s="215" t="s">
        <v>7565</v>
      </c>
      <c r="AC741" s="215" t="s">
        <v>7566</v>
      </c>
      <c r="AD741" s="207" t="s">
        <v>4402</v>
      </c>
      <c r="AE741" s="207" t="s">
        <v>4405</v>
      </c>
      <c r="AF741" s="218" t="s">
        <v>4409</v>
      </c>
      <c r="AG741" s="218" t="s">
        <v>4409</v>
      </c>
      <c r="AH741" s="204" t="s">
        <v>4410</v>
      </c>
      <c r="AI741" s="214" t="s">
        <v>4411</v>
      </c>
      <c r="AJ741" s="207"/>
      <c r="AK741" s="316">
        <v>45980</v>
      </c>
      <c r="AL741" s="316">
        <v>45980</v>
      </c>
      <c r="AM741" s="316">
        <v>45980</v>
      </c>
      <c r="AN741" s="316">
        <v>45980</v>
      </c>
      <c r="AO741" s="316">
        <v>45980</v>
      </c>
      <c r="AP741" s="316">
        <v>45980</v>
      </c>
      <c r="AQ741" s="314"/>
      <c r="AR741" s="315" t="str">
        <f t="shared" si="52"/>
        <v>FINALIZADO</v>
      </c>
      <c r="AS741" s="207"/>
      <c r="AT741" s="219"/>
      <c r="AU741" s="225"/>
      <c r="AV741" s="207"/>
      <c r="AW741" s="207"/>
      <c r="AX741" s="207" t="s">
        <v>4409</v>
      </c>
      <c r="AY741" s="207" t="s">
        <v>4409</v>
      </c>
      <c r="AZ741" s="207" t="s">
        <v>4409</v>
      </c>
      <c r="BA741" s="207" t="s">
        <v>4409</v>
      </c>
      <c r="BB741" s="219"/>
      <c r="BC741" s="219"/>
      <c r="BD741" s="208"/>
      <c r="BE741" s="202"/>
      <c r="BF741" s="207"/>
      <c r="BG741" s="229"/>
      <c r="BH741" s="321" t="str">
        <f t="shared" si="49"/>
        <v/>
      </c>
      <c r="BI741" s="98" t="str">
        <f t="shared" si="50"/>
        <v>AA</v>
      </c>
      <c r="BJ741" s="98" t="str">
        <f t="shared" si="51"/>
        <v>NÃO</v>
      </c>
      <c r="BK741" s="230"/>
      <c r="BL741" s="230"/>
      <c r="BM741" s="230"/>
      <c r="BN741" s="230"/>
      <c r="BO741" s="230"/>
      <c r="BP741" s="230"/>
      <c r="BQ741" s="230"/>
      <c r="BR741" s="234"/>
    </row>
    <row r="742" spans="1:70" ht="27" hidden="1" customHeight="1">
      <c r="A742" s="207">
        <v>738</v>
      </c>
      <c r="B742" s="197" t="s">
        <v>4396</v>
      </c>
      <c r="C742" s="207" t="s">
        <v>4427</v>
      </c>
      <c r="D742" s="207">
        <v>1</v>
      </c>
      <c r="E742" s="207" t="s">
        <v>4398</v>
      </c>
      <c r="F742" s="214" t="s">
        <v>7567</v>
      </c>
      <c r="G742" s="207" t="s">
        <v>4400</v>
      </c>
      <c r="H742" s="207" t="s">
        <v>4401</v>
      </c>
      <c r="I742" s="217" t="s">
        <v>4402</v>
      </c>
      <c r="J742" s="215" t="s">
        <v>7568</v>
      </c>
      <c r="K742" s="215" t="s">
        <v>7569</v>
      </c>
      <c r="L742" s="215" t="s">
        <v>7570</v>
      </c>
      <c r="M742" s="207" t="s">
        <v>4405</v>
      </c>
      <c r="N742" s="207" t="s">
        <v>4406</v>
      </c>
      <c r="O742" s="202">
        <v>45986</v>
      </c>
      <c r="P742" s="203" t="s">
        <v>4407</v>
      </c>
      <c r="Q742" s="203">
        <v>45985</v>
      </c>
      <c r="R742" s="203">
        <v>45986</v>
      </c>
      <c r="S742" s="203">
        <v>45987</v>
      </c>
      <c r="T742" s="203">
        <v>45992</v>
      </c>
      <c r="U742" s="202" t="s">
        <v>4408</v>
      </c>
      <c r="V742" s="202" t="s">
        <v>4408</v>
      </c>
      <c r="W742" s="202">
        <v>45999</v>
      </c>
      <c r="X742" s="202">
        <v>46001</v>
      </c>
      <c r="Y742" s="202"/>
      <c r="Z742" s="207"/>
      <c r="AA742" s="215" t="s">
        <v>7568</v>
      </c>
      <c r="AB742" s="215" t="s">
        <v>7569</v>
      </c>
      <c r="AC742" s="215" t="s">
        <v>7570</v>
      </c>
      <c r="AD742" s="207" t="s">
        <v>4402</v>
      </c>
      <c r="AE742" s="207" t="s">
        <v>4405</v>
      </c>
      <c r="AF742" s="218" t="s">
        <v>4409</v>
      </c>
      <c r="AG742" s="218" t="s">
        <v>4409</v>
      </c>
      <c r="AH742" s="204" t="s">
        <v>4410</v>
      </c>
      <c r="AI742" s="214" t="s">
        <v>4411</v>
      </c>
      <c r="AJ742" s="207"/>
      <c r="AK742" s="316">
        <v>45980</v>
      </c>
      <c r="AL742" s="316">
        <v>45980</v>
      </c>
      <c r="AM742" s="316">
        <v>45980</v>
      </c>
      <c r="AN742" s="316">
        <v>45980</v>
      </c>
      <c r="AO742" s="316">
        <v>45980</v>
      </c>
      <c r="AP742" s="316">
        <v>45980</v>
      </c>
      <c r="AQ742" s="314"/>
      <c r="AR742" s="315" t="str">
        <f t="shared" si="52"/>
        <v>FINALIZADO</v>
      </c>
      <c r="AS742" s="207"/>
      <c r="AT742" s="207"/>
      <c r="AU742" s="225"/>
      <c r="AV742" s="207"/>
      <c r="AW742" s="207"/>
      <c r="AX742" s="207" t="s">
        <v>4409</v>
      </c>
      <c r="AY742" s="207" t="s">
        <v>4409</v>
      </c>
      <c r="AZ742" s="207" t="s">
        <v>4409</v>
      </c>
      <c r="BA742" s="207" t="s">
        <v>4409</v>
      </c>
      <c r="BB742" s="207"/>
      <c r="BC742" s="202"/>
      <c r="BD742" s="208"/>
      <c r="BE742" s="202"/>
      <c r="BF742" s="207"/>
      <c r="BG742" s="229"/>
      <c r="BH742" s="321" t="str">
        <f t="shared" si="49"/>
        <v/>
      </c>
      <c r="BI742" s="98" t="str">
        <f t="shared" si="50"/>
        <v>AA</v>
      </c>
      <c r="BJ742" s="98" t="str">
        <f t="shared" si="51"/>
        <v>NÃO</v>
      </c>
      <c r="BK742" s="230"/>
      <c r="BL742" s="230"/>
      <c r="BM742" s="230"/>
      <c r="BN742" s="230"/>
      <c r="BO742" s="230"/>
      <c r="BP742" s="230"/>
      <c r="BQ742" s="230"/>
      <c r="BR742" s="234"/>
    </row>
    <row r="743" spans="1:70" ht="27" hidden="1" customHeight="1">
      <c r="A743" s="207">
        <v>739</v>
      </c>
      <c r="B743" s="197" t="s">
        <v>4396</v>
      </c>
      <c r="C743" s="207" t="s">
        <v>4427</v>
      </c>
      <c r="D743" s="207">
        <v>1</v>
      </c>
      <c r="E743" s="207" t="s">
        <v>4398</v>
      </c>
      <c r="F743" s="214" t="s">
        <v>7571</v>
      </c>
      <c r="G743" s="207" t="s">
        <v>4400</v>
      </c>
      <c r="H743" s="207" t="s">
        <v>4401</v>
      </c>
      <c r="I743" s="217" t="s">
        <v>4402</v>
      </c>
      <c r="J743" s="242" t="s">
        <v>7572</v>
      </c>
      <c r="K743" s="215" t="s">
        <v>7573</v>
      </c>
      <c r="L743" s="215" t="s">
        <v>7574</v>
      </c>
      <c r="M743" s="207" t="s">
        <v>4405</v>
      </c>
      <c r="N743" s="207" t="s">
        <v>4406</v>
      </c>
      <c r="O743" s="202">
        <v>45986</v>
      </c>
      <c r="P743" s="203" t="s">
        <v>4407</v>
      </c>
      <c r="Q743" s="203">
        <v>45985</v>
      </c>
      <c r="R743" s="203">
        <v>45986</v>
      </c>
      <c r="S743" s="203">
        <v>45987</v>
      </c>
      <c r="T743" s="203">
        <v>45992</v>
      </c>
      <c r="U743" s="203" t="s">
        <v>4408</v>
      </c>
      <c r="V743" s="203" t="s">
        <v>4408</v>
      </c>
      <c r="W743" s="202">
        <v>45999</v>
      </c>
      <c r="X743" s="202">
        <v>46006</v>
      </c>
      <c r="Y743" s="202"/>
      <c r="Z743" s="207"/>
      <c r="AA743" s="242" t="s">
        <v>7572</v>
      </c>
      <c r="AB743" s="215" t="s">
        <v>7573</v>
      </c>
      <c r="AC743" s="215" t="s">
        <v>7574</v>
      </c>
      <c r="AD743" s="207" t="s">
        <v>4402</v>
      </c>
      <c r="AE743" s="207" t="s">
        <v>4405</v>
      </c>
      <c r="AF743" s="218" t="s">
        <v>4409</v>
      </c>
      <c r="AG743" s="218" t="s">
        <v>4409</v>
      </c>
      <c r="AH743" s="204" t="s">
        <v>4410</v>
      </c>
      <c r="AI743" s="214" t="s">
        <v>4411</v>
      </c>
      <c r="AJ743" s="207"/>
      <c r="AK743" s="316"/>
      <c r="AL743" s="316"/>
      <c r="AM743" s="316"/>
      <c r="AN743" s="316"/>
      <c r="AO743" s="316"/>
      <c r="AP743" s="316"/>
      <c r="AQ743" s="314"/>
      <c r="AR743" s="315" t="str">
        <f t="shared" si="52"/>
        <v/>
      </c>
      <c r="AS743" s="207"/>
      <c r="AT743" s="207"/>
      <c r="AU743" s="225"/>
      <c r="AV743" s="207"/>
      <c r="AW743" s="207"/>
      <c r="AX743" s="207" t="s">
        <v>4409</v>
      </c>
      <c r="AY743" s="207" t="s">
        <v>4409</v>
      </c>
      <c r="AZ743" s="207" t="s">
        <v>4409</v>
      </c>
      <c r="BA743" s="207" t="s">
        <v>4409</v>
      </c>
      <c r="BB743" s="207"/>
      <c r="BC743" s="202"/>
      <c r="BD743" s="208"/>
      <c r="BE743" s="202"/>
      <c r="BF743" s="207"/>
      <c r="BG743" s="229"/>
      <c r="BH743" s="321" t="str">
        <f t="shared" si="49"/>
        <v/>
      </c>
      <c r="BI743" s="98" t="str">
        <f t="shared" si="50"/>
        <v>AA</v>
      </c>
      <c r="BJ743" s="98" t="str">
        <f t="shared" si="51"/>
        <v>NÃO</v>
      </c>
      <c r="BK743" s="230"/>
      <c r="BL743" s="230"/>
      <c r="BM743" s="230"/>
      <c r="BN743" s="230"/>
      <c r="BO743" s="230"/>
      <c r="BP743" s="230"/>
      <c r="BQ743" s="230"/>
      <c r="BR743" s="234"/>
    </row>
    <row r="744" spans="1:70" ht="27" hidden="1" customHeight="1">
      <c r="A744" s="197">
        <v>740</v>
      </c>
      <c r="B744" s="197" t="s">
        <v>4396</v>
      </c>
      <c r="C744" s="207" t="s">
        <v>4427</v>
      </c>
      <c r="D744" s="207">
        <v>1</v>
      </c>
      <c r="E744" s="207" t="s">
        <v>4398</v>
      </c>
      <c r="F744" s="214" t="s">
        <v>7575</v>
      </c>
      <c r="G744" s="207" t="s">
        <v>4400</v>
      </c>
      <c r="H744" s="207" t="s">
        <v>4401</v>
      </c>
      <c r="I744" s="217" t="s">
        <v>4402</v>
      </c>
      <c r="J744" s="215" t="s">
        <v>7576</v>
      </c>
      <c r="K744" s="215" t="s">
        <v>7577</v>
      </c>
      <c r="L744" s="215" t="s">
        <v>7578</v>
      </c>
      <c r="M744" s="207" t="s">
        <v>4405</v>
      </c>
      <c r="N744" s="207" t="s">
        <v>4406</v>
      </c>
      <c r="O744" s="202">
        <v>45986</v>
      </c>
      <c r="P744" s="203" t="s">
        <v>4407</v>
      </c>
      <c r="Q744" s="203">
        <v>45985</v>
      </c>
      <c r="R744" s="203">
        <v>45986</v>
      </c>
      <c r="S744" s="203">
        <v>45987</v>
      </c>
      <c r="T744" s="203">
        <v>45992</v>
      </c>
      <c r="U744" s="202" t="s">
        <v>4408</v>
      </c>
      <c r="V744" s="202" t="s">
        <v>4408</v>
      </c>
      <c r="W744" s="202">
        <v>45999</v>
      </c>
      <c r="X744" s="202">
        <v>46001</v>
      </c>
      <c r="Y744" s="202"/>
      <c r="Z744" s="207"/>
      <c r="AA744" s="215" t="s">
        <v>7576</v>
      </c>
      <c r="AB744" s="215" t="s">
        <v>7577</v>
      </c>
      <c r="AC744" s="215" t="s">
        <v>7578</v>
      </c>
      <c r="AD744" s="207" t="s">
        <v>4402</v>
      </c>
      <c r="AE744" s="207" t="s">
        <v>4405</v>
      </c>
      <c r="AF744" s="218" t="s">
        <v>4409</v>
      </c>
      <c r="AG744" s="218" t="s">
        <v>4409</v>
      </c>
      <c r="AH744" s="204" t="s">
        <v>4410</v>
      </c>
      <c r="AI744" s="214" t="s">
        <v>4411</v>
      </c>
      <c r="AJ744" s="207"/>
      <c r="AK744" s="316">
        <v>45996</v>
      </c>
      <c r="AL744" s="316">
        <v>45996</v>
      </c>
      <c r="AM744" s="316">
        <v>45996</v>
      </c>
      <c r="AN744" s="316">
        <v>45996</v>
      </c>
      <c r="AO744" s="316">
        <v>45996</v>
      </c>
      <c r="AP744" s="316">
        <v>45996</v>
      </c>
      <c r="AQ744" s="314"/>
      <c r="AR744" s="315" t="str">
        <f t="shared" si="52"/>
        <v>FINALIZADO</v>
      </c>
      <c r="AS744" s="207"/>
      <c r="AT744" s="207"/>
      <c r="AU744" s="225"/>
      <c r="AV744" s="207"/>
      <c r="AW744" s="207"/>
      <c r="AX744" s="207" t="s">
        <v>4409</v>
      </c>
      <c r="AY744" s="207" t="s">
        <v>4409</v>
      </c>
      <c r="AZ744" s="207" t="s">
        <v>4409</v>
      </c>
      <c r="BA744" s="207" t="s">
        <v>4409</v>
      </c>
      <c r="BB744" s="207"/>
      <c r="BC744" s="202"/>
      <c r="BD744" s="208"/>
      <c r="BE744" s="202"/>
      <c r="BF744" s="207"/>
      <c r="BG744" s="229"/>
      <c r="BH744" s="321" t="str">
        <f t="shared" si="49"/>
        <v/>
      </c>
      <c r="BI744" s="98" t="str">
        <f t="shared" si="50"/>
        <v>AA</v>
      </c>
      <c r="BJ744" s="98" t="str">
        <f t="shared" si="51"/>
        <v>NÃO</v>
      </c>
      <c r="BK744" s="230"/>
      <c r="BL744" s="230"/>
      <c r="BM744" s="230"/>
      <c r="BN744" s="230"/>
      <c r="BO744" s="230"/>
      <c r="BP744" s="230"/>
      <c r="BQ744" s="230"/>
      <c r="BR744" s="234"/>
    </row>
    <row r="745" spans="1:70" ht="27" hidden="1" customHeight="1">
      <c r="A745" s="197">
        <v>741</v>
      </c>
      <c r="B745" s="197" t="s">
        <v>4396</v>
      </c>
      <c r="C745" s="207" t="s">
        <v>4427</v>
      </c>
      <c r="D745" s="207">
        <v>1</v>
      </c>
      <c r="E745" s="207" t="s">
        <v>4398</v>
      </c>
      <c r="F745" s="214" t="s">
        <v>7579</v>
      </c>
      <c r="G745" s="207" t="s">
        <v>4400</v>
      </c>
      <c r="H745" s="207" t="s">
        <v>4401</v>
      </c>
      <c r="I745" s="217" t="s">
        <v>4402</v>
      </c>
      <c r="J745" s="215" t="s">
        <v>7580</v>
      </c>
      <c r="K745" s="215" t="s">
        <v>7581</v>
      </c>
      <c r="L745" s="215" t="s">
        <v>7582</v>
      </c>
      <c r="M745" s="207" t="s">
        <v>4405</v>
      </c>
      <c r="N745" s="207" t="s">
        <v>4406</v>
      </c>
      <c r="O745" s="202">
        <v>46002</v>
      </c>
      <c r="P745" s="202" t="s">
        <v>4407</v>
      </c>
      <c r="Q745" s="202">
        <v>45999</v>
      </c>
      <c r="R745" s="202">
        <v>46006</v>
      </c>
      <c r="S745" s="202">
        <v>46006</v>
      </c>
      <c r="T745" s="202">
        <v>46009</v>
      </c>
      <c r="U745" s="202" t="s">
        <v>4408</v>
      </c>
      <c r="V745" s="202" t="s">
        <v>4408</v>
      </c>
      <c r="W745" s="202">
        <v>46014</v>
      </c>
      <c r="X745" s="202">
        <v>46020</v>
      </c>
      <c r="Y745" s="202"/>
      <c r="Z745" s="207"/>
      <c r="AA745" s="215" t="s">
        <v>7580</v>
      </c>
      <c r="AB745" s="215" t="s">
        <v>7581</v>
      </c>
      <c r="AC745" s="215" t="s">
        <v>7582</v>
      </c>
      <c r="AD745" s="207" t="s">
        <v>4402</v>
      </c>
      <c r="AE745" s="207" t="s">
        <v>4405</v>
      </c>
      <c r="AF745" s="218" t="s">
        <v>4409</v>
      </c>
      <c r="AG745" s="218" t="s">
        <v>4409</v>
      </c>
      <c r="AH745" s="197" t="s">
        <v>4410</v>
      </c>
      <c r="AI745" s="214" t="s">
        <v>4411</v>
      </c>
      <c r="AJ745" s="207"/>
      <c r="AK745" s="316">
        <v>45996</v>
      </c>
      <c r="AL745" s="316">
        <v>45996</v>
      </c>
      <c r="AM745" s="316">
        <v>45996</v>
      </c>
      <c r="AN745" s="316">
        <v>45996</v>
      </c>
      <c r="AO745" s="316">
        <v>45996</v>
      </c>
      <c r="AP745" s="316">
        <v>45996</v>
      </c>
      <c r="AQ745" s="314"/>
      <c r="AR745" s="315" t="str">
        <f t="shared" si="52"/>
        <v>FINALIZADO</v>
      </c>
      <c r="AS745" s="207"/>
      <c r="AT745" s="207"/>
      <c r="AU745" s="225"/>
      <c r="AV745" s="207"/>
      <c r="AW745" s="207"/>
      <c r="AX745" s="207"/>
      <c r="AY745" s="207"/>
      <c r="AZ745" s="202"/>
      <c r="BA745" s="219"/>
      <c r="BB745" s="207"/>
      <c r="BC745" s="202"/>
      <c r="BD745" s="208"/>
      <c r="BE745" s="202"/>
      <c r="BF745" s="207"/>
      <c r="BG745" s="229"/>
      <c r="BH745" s="321" t="str">
        <f t="shared" si="49"/>
        <v/>
      </c>
      <c r="BI745" s="98" t="str">
        <f t="shared" si="50"/>
        <v>AA</v>
      </c>
      <c r="BJ745" s="98" t="str">
        <f t="shared" si="51"/>
        <v>NÃO</v>
      </c>
      <c r="BK745" s="230"/>
      <c r="BL745" s="230"/>
      <c r="BM745" s="230"/>
      <c r="BN745" s="230"/>
      <c r="BO745" s="230"/>
      <c r="BP745" s="230"/>
      <c r="BQ745" s="230"/>
      <c r="BR745" s="234"/>
    </row>
    <row r="746" spans="1:70" ht="27" hidden="1" customHeight="1">
      <c r="A746" s="207">
        <v>742</v>
      </c>
      <c r="B746" s="197" t="s">
        <v>4396</v>
      </c>
      <c r="C746" s="207" t="s">
        <v>4427</v>
      </c>
      <c r="D746" s="207">
        <v>1</v>
      </c>
      <c r="E746" s="207" t="s">
        <v>4398</v>
      </c>
      <c r="F746" s="214" t="s">
        <v>7583</v>
      </c>
      <c r="G746" s="207" t="s">
        <v>4400</v>
      </c>
      <c r="H746" s="207" t="s">
        <v>4401</v>
      </c>
      <c r="I746" s="217" t="s">
        <v>4402</v>
      </c>
      <c r="J746" s="215" t="s">
        <v>7584</v>
      </c>
      <c r="K746" s="215" t="s">
        <v>7585</v>
      </c>
      <c r="L746" s="215" t="s">
        <v>7586</v>
      </c>
      <c r="M746" s="207" t="s">
        <v>4405</v>
      </c>
      <c r="N746" s="207" t="s">
        <v>4406</v>
      </c>
      <c r="O746" s="202">
        <v>46002</v>
      </c>
      <c r="P746" s="202" t="s">
        <v>4407</v>
      </c>
      <c r="Q746" s="202">
        <v>45999</v>
      </c>
      <c r="R746" s="202">
        <v>46006</v>
      </c>
      <c r="S746" s="202">
        <v>46006</v>
      </c>
      <c r="T746" s="202">
        <v>46009</v>
      </c>
      <c r="U746" s="202" t="s">
        <v>4408</v>
      </c>
      <c r="V746" s="202" t="s">
        <v>4408</v>
      </c>
      <c r="W746" s="202">
        <v>46014</v>
      </c>
      <c r="X746" s="280" t="s">
        <v>4440</v>
      </c>
      <c r="Y746" s="202"/>
      <c r="Z746" s="217" t="s">
        <v>7587</v>
      </c>
      <c r="AA746" s="215" t="s">
        <v>7584</v>
      </c>
      <c r="AB746" s="215" t="s">
        <v>7585</v>
      </c>
      <c r="AC746" s="215" t="s">
        <v>7586</v>
      </c>
      <c r="AD746" s="207" t="s">
        <v>4402</v>
      </c>
      <c r="AE746" s="207" t="s">
        <v>4405</v>
      </c>
      <c r="AF746" s="218" t="s">
        <v>4409</v>
      </c>
      <c r="AG746" s="218" t="s">
        <v>4409</v>
      </c>
      <c r="AH746" s="207" t="s">
        <v>4410</v>
      </c>
      <c r="AI746" s="214" t="s">
        <v>4411</v>
      </c>
      <c r="AJ746" s="207"/>
      <c r="AK746" s="316">
        <v>45996</v>
      </c>
      <c r="AL746" s="316">
        <v>45996</v>
      </c>
      <c r="AM746" s="316">
        <v>45996</v>
      </c>
      <c r="AN746" s="316">
        <v>45996</v>
      </c>
      <c r="AO746" s="316">
        <v>45996</v>
      </c>
      <c r="AP746" s="316">
        <v>45996</v>
      </c>
      <c r="AQ746" s="314"/>
      <c r="AR746" s="315" t="str">
        <f t="shared" si="52"/>
        <v>FINALIZADO</v>
      </c>
      <c r="AS746" s="207"/>
      <c r="AT746" s="207"/>
      <c r="AU746" s="225"/>
      <c r="AV746" s="207"/>
      <c r="AW746" s="207"/>
      <c r="AX746" s="207"/>
      <c r="AY746" s="207"/>
      <c r="AZ746" s="202"/>
      <c r="BA746" s="219"/>
      <c r="BB746" s="207"/>
      <c r="BC746" s="202"/>
      <c r="BD746" s="208"/>
      <c r="BE746" s="202"/>
      <c r="BF746" s="207"/>
      <c r="BG746" s="229"/>
      <c r="BH746" s="321" t="str">
        <f t="shared" si="49"/>
        <v/>
      </c>
      <c r="BI746" s="98" t="str">
        <f t="shared" si="50"/>
        <v>AA</v>
      </c>
      <c r="BJ746" s="98" t="str">
        <f t="shared" si="51"/>
        <v>NÃO</v>
      </c>
      <c r="BK746" s="230"/>
      <c r="BL746" s="230"/>
      <c r="BM746" s="230"/>
      <c r="BN746" s="230"/>
      <c r="BO746" s="230"/>
      <c r="BP746" s="230"/>
      <c r="BQ746" s="230"/>
      <c r="BR746" s="234"/>
    </row>
    <row r="747" spans="1:70" ht="27" hidden="1" customHeight="1">
      <c r="A747" s="207">
        <v>743</v>
      </c>
      <c r="B747" s="197" t="s">
        <v>4396</v>
      </c>
      <c r="C747" s="207" t="s">
        <v>4427</v>
      </c>
      <c r="D747" s="207">
        <v>1</v>
      </c>
      <c r="E747" s="207" t="s">
        <v>4398</v>
      </c>
      <c r="F747" s="214" t="s">
        <v>7588</v>
      </c>
      <c r="G747" s="207" t="s">
        <v>4400</v>
      </c>
      <c r="H747" s="207" t="s">
        <v>4401</v>
      </c>
      <c r="I747" s="217" t="s">
        <v>4402</v>
      </c>
      <c r="J747" s="215" t="s">
        <v>7589</v>
      </c>
      <c r="K747" s="215" t="s">
        <v>7590</v>
      </c>
      <c r="L747" s="215" t="s">
        <v>7591</v>
      </c>
      <c r="M747" s="207" t="s">
        <v>4405</v>
      </c>
      <c r="N747" s="207" t="s">
        <v>4406</v>
      </c>
      <c r="O747" s="202">
        <v>46002</v>
      </c>
      <c r="P747" s="202" t="s">
        <v>4407</v>
      </c>
      <c r="Q747" s="202">
        <v>45999</v>
      </c>
      <c r="R747" s="202">
        <v>46006</v>
      </c>
      <c r="S747" s="202">
        <v>46006</v>
      </c>
      <c r="T747" s="202">
        <v>46009</v>
      </c>
      <c r="U747" s="202" t="s">
        <v>4408</v>
      </c>
      <c r="V747" s="202" t="s">
        <v>4408</v>
      </c>
      <c r="W747" s="202">
        <v>46014</v>
      </c>
      <c r="X747" s="202">
        <v>46020</v>
      </c>
      <c r="Y747" s="202"/>
      <c r="Z747" s="207"/>
      <c r="AA747" s="215" t="s">
        <v>7589</v>
      </c>
      <c r="AB747" s="215" t="s">
        <v>7590</v>
      </c>
      <c r="AC747" s="215" t="s">
        <v>7591</v>
      </c>
      <c r="AD747" s="207" t="s">
        <v>4402</v>
      </c>
      <c r="AE747" s="207" t="s">
        <v>4405</v>
      </c>
      <c r="AF747" s="218" t="s">
        <v>4409</v>
      </c>
      <c r="AG747" s="218" t="s">
        <v>4409</v>
      </c>
      <c r="AH747" s="207" t="s">
        <v>4410</v>
      </c>
      <c r="AI747" s="214" t="s">
        <v>4411</v>
      </c>
      <c r="AJ747" s="207"/>
      <c r="AK747" s="316">
        <v>45996</v>
      </c>
      <c r="AL747" s="316">
        <v>45996</v>
      </c>
      <c r="AM747" s="316">
        <v>45996</v>
      </c>
      <c r="AN747" s="316">
        <v>45996</v>
      </c>
      <c r="AO747" s="316">
        <v>45996</v>
      </c>
      <c r="AP747" s="316">
        <v>45996</v>
      </c>
      <c r="AQ747" s="314"/>
      <c r="AR747" s="315" t="str">
        <f t="shared" si="52"/>
        <v>FINALIZADO</v>
      </c>
      <c r="AS747" s="207"/>
      <c r="AT747" s="207"/>
      <c r="AU747" s="225"/>
      <c r="AV747" s="207"/>
      <c r="AW747" s="207"/>
      <c r="AX747" s="207"/>
      <c r="AY747" s="207"/>
      <c r="AZ747" s="202"/>
      <c r="BA747" s="219"/>
      <c r="BB747" s="207"/>
      <c r="BC747" s="202"/>
      <c r="BD747" s="208"/>
      <c r="BE747" s="202"/>
      <c r="BF747" s="207"/>
      <c r="BG747" s="229"/>
      <c r="BH747" s="321" t="str">
        <f t="shared" si="49"/>
        <v/>
      </c>
      <c r="BI747" s="98" t="str">
        <f t="shared" si="50"/>
        <v>AA</v>
      </c>
      <c r="BJ747" s="98" t="str">
        <f t="shared" si="51"/>
        <v>NÃO</v>
      </c>
      <c r="BK747" s="230"/>
      <c r="BL747" s="230"/>
      <c r="BM747" s="230"/>
      <c r="BN747" s="230"/>
      <c r="BO747" s="230"/>
      <c r="BP747" s="230"/>
      <c r="BQ747" s="230"/>
      <c r="BR747" s="234"/>
    </row>
    <row r="748" spans="1:70" ht="27" hidden="1" customHeight="1">
      <c r="A748" s="207">
        <v>744</v>
      </c>
      <c r="B748" s="197" t="s">
        <v>4396</v>
      </c>
      <c r="C748" s="207" t="s">
        <v>4427</v>
      </c>
      <c r="D748" s="207">
        <v>1</v>
      </c>
      <c r="E748" s="207" t="s">
        <v>4398</v>
      </c>
      <c r="F748" s="214" t="s">
        <v>7592</v>
      </c>
      <c r="G748" s="207" t="s">
        <v>4400</v>
      </c>
      <c r="H748" s="207" t="s">
        <v>4401</v>
      </c>
      <c r="I748" s="217" t="s">
        <v>4402</v>
      </c>
      <c r="J748" s="215" t="s">
        <v>7593</v>
      </c>
      <c r="K748" s="215" t="s">
        <v>7594</v>
      </c>
      <c r="L748" s="215" t="s">
        <v>7595</v>
      </c>
      <c r="M748" s="207" t="s">
        <v>4405</v>
      </c>
      <c r="N748" s="207" t="s">
        <v>4406</v>
      </c>
      <c r="O748" s="202">
        <v>45986</v>
      </c>
      <c r="P748" s="203" t="s">
        <v>4407</v>
      </c>
      <c r="Q748" s="203">
        <v>45985</v>
      </c>
      <c r="R748" s="203">
        <v>45986</v>
      </c>
      <c r="S748" s="203">
        <v>45987</v>
      </c>
      <c r="T748" s="203">
        <v>45992</v>
      </c>
      <c r="U748" s="202" t="s">
        <v>4408</v>
      </c>
      <c r="V748" s="202" t="s">
        <v>4408</v>
      </c>
      <c r="W748" s="202">
        <v>45999</v>
      </c>
      <c r="X748" s="202">
        <v>46001</v>
      </c>
      <c r="Y748" s="202"/>
      <c r="Z748" s="207"/>
      <c r="AA748" s="215" t="s">
        <v>7593</v>
      </c>
      <c r="AB748" s="215" t="s">
        <v>7594</v>
      </c>
      <c r="AC748" s="215" t="s">
        <v>7595</v>
      </c>
      <c r="AD748" s="207" t="s">
        <v>4402</v>
      </c>
      <c r="AE748" s="207" t="s">
        <v>4405</v>
      </c>
      <c r="AF748" s="218" t="s">
        <v>4409</v>
      </c>
      <c r="AG748" s="218" t="s">
        <v>4409</v>
      </c>
      <c r="AH748" s="241" t="s">
        <v>4410</v>
      </c>
      <c r="AI748" s="214" t="s">
        <v>4411</v>
      </c>
      <c r="AJ748" s="207"/>
      <c r="AK748" s="316">
        <v>45996</v>
      </c>
      <c r="AL748" s="316">
        <v>45996</v>
      </c>
      <c r="AM748" s="316">
        <v>45996</v>
      </c>
      <c r="AN748" s="316">
        <v>45996</v>
      </c>
      <c r="AO748" s="316">
        <v>45996</v>
      </c>
      <c r="AP748" s="316">
        <v>45996</v>
      </c>
      <c r="AQ748" s="314"/>
      <c r="AR748" s="315" t="str">
        <f t="shared" si="52"/>
        <v>FINALIZADO</v>
      </c>
      <c r="AS748" s="207"/>
      <c r="AT748" s="207"/>
      <c r="AU748" s="225"/>
      <c r="AV748" s="207"/>
      <c r="AW748" s="207"/>
      <c r="AX748" s="207" t="s">
        <v>4409</v>
      </c>
      <c r="AY748" s="207" t="s">
        <v>4409</v>
      </c>
      <c r="AZ748" s="207" t="s">
        <v>4409</v>
      </c>
      <c r="BA748" s="207" t="s">
        <v>4409</v>
      </c>
      <c r="BB748" s="207"/>
      <c r="BC748" s="202"/>
      <c r="BD748" s="208"/>
      <c r="BE748" s="202"/>
      <c r="BF748" s="207"/>
      <c r="BG748" s="229"/>
      <c r="BH748" s="321" t="str">
        <f t="shared" si="49"/>
        <v/>
      </c>
      <c r="BI748" s="98" t="str">
        <f t="shared" si="50"/>
        <v>AA</v>
      </c>
      <c r="BJ748" s="98" t="str">
        <f t="shared" si="51"/>
        <v>NÃO</v>
      </c>
      <c r="BK748" s="230"/>
      <c r="BL748" s="230"/>
      <c r="BM748" s="230"/>
      <c r="BN748" s="230"/>
      <c r="BO748" s="230"/>
      <c r="BP748" s="230"/>
      <c r="BQ748" s="230"/>
      <c r="BR748" s="234"/>
    </row>
    <row r="749" spans="1:70" ht="27" hidden="1" customHeight="1">
      <c r="A749" s="197">
        <v>745</v>
      </c>
      <c r="B749" s="197" t="s">
        <v>4396</v>
      </c>
      <c r="C749" s="207" t="s">
        <v>4427</v>
      </c>
      <c r="D749" s="207">
        <v>1</v>
      </c>
      <c r="E749" s="207" t="s">
        <v>4398</v>
      </c>
      <c r="F749" s="214" t="s">
        <v>7596</v>
      </c>
      <c r="G749" s="207" t="s">
        <v>4400</v>
      </c>
      <c r="H749" s="207" t="s">
        <v>4401</v>
      </c>
      <c r="I749" s="217" t="s">
        <v>4402</v>
      </c>
      <c r="J749" s="242" t="s">
        <v>7597</v>
      </c>
      <c r="K749" s="215" t="s">
        <v>7598</v>
      </c>
      <c r="L749" s="215" t="s">
        <v>7599</v>
      </c>
      <c r="M749" s="207" t="s">
        <v>4405</v>
      </c>
      <c r="N749" s="207" t="s">
        <v>4406</v>
      </c>
      <c r="O749" s="202">
        <v>45986</v>
      </c>
      <c r="P749" s="203" t="s">
        <v>4407</v>
      </c>
      <c r="Q749" s="203">
        <v>45985</v>
      </c>
      <c r="R749" s="203">
        <v>45986</v>
      </c>
      <c r="S749" s="203">
        <v>45987</v>
      </c>
      <c r="T749" s="203">
        <v>45992</v>
      </c>
      <c r="U749" s="203" t="s">
        <v>4408</v>
      </c>
      <c r="V749" s="203" t="s">
        <v>4408</v>
      </c>
      <c r="W749" s="202">
        <v>45999</v>
      </c>
      <c r="X749" s="202">
        <v>46001</v>
      </c>
      <c r="Y749" s="202"/>
      <c r="Z749" s="207"/>
      <c r="AA749" s="242" t="s">
        <v>7597</v>
      </c>
      <c r="AB749" s="215" t="s">
        <v>7598</v>
      </c>
      <c r="AC749" s="215" t="s">
        <v>7599</v>
      </c>
      <c r="AD749" s="207" t="s">
        <v>4402</v>
      </c>
      <c r="AE749" s="207" t="s">
        <v>4405</v>
      </c>
      <c r="AF749" s="218" t="s">
        <v>4409</v>
      </c>
      <c r="AG749" s="218" t="s">
        <v>4409</v>
      </c>
      <c r="AH749" s="204" t="s">
        <v>4410</v>
      </c>
      <c r="AI749" s="214" t="s">
        <v>4411</v>
      </c>
      <c r="AJ749" s="207"/>
      <c r="AK749" s="316"/>
      <c r="AL749" s="316"/>
      <c r="AM749" s="316"/>
      <c r="AN749" s="316"/>
      <c r="AO749" s="316"/>
      <c r="AP749" s="316"/>
      <c r="AQ749" s="314"/>
      <c r="AR749" s="315" t="str">
        <f t="shared" si="52"/>
        <v/>
      </c>
      <c r="AS749" s="207"/>
      <c r="AT749" s="207"/>
      <c r="AU749" s="225"/>
      <c r="AV749" s="207"/>
      <c r="AW749" s="207"/>
      <c r="AX749" s="207" t="s">
        <v>4409</v>
      </c>
      <c r="AY749" s="207" t="s">
        <v>4409</v>
      </c>
      <c r="AZ749" s="207" t="s">
        <v>4409</v>
      </c>
      <c r="BA749" s="207" t="s">
        <v>4409</v>
      </c>
      <c r="BB749" s="207"/>
      <c r="BC749" s="202"/>
      <c r="BD749" s="208"/>
      <c r="BE749" s="202"/>
      <c r="BF749" s="207"/>
      <c r="BG749" s="229"/>
      <c r="BH749" s="321" t="str">
        <f t="shared" si="49"/>
        <v/>
      </c>
      <c r="BI749" s="98" t="str">
        <f t="shared" si="50"/>
        <v>AA</v>
      </c>
      <c r="BJ749" s="98" t="str">
        <f t="shared" si="51"/>
        <v>NÃO</v>
      </c>
      <c r="BK749" s="230"/>
      <c r="BL749" s="230"/>
      <c r="BM749" s="230"/>
      <c r="BN749" s="230"/>
      <c r="BO749" s="230"/>
      <c r="BP749" s="230"/>
      <c r="BQ749" s="230"/>
      <c r="BR749" s="234"/>
    </row>
    <row r="750" spans="1:70" ht="27" hidden="1" customHeight="1">
      <c r="A750" s="197">
        <v>746</v>
      </c>
      <c r="B750" s="197" t="s">
        <v>4396</v>
      </c>
      <c r="C750" s="207" t="s">
        <v>4427</v>
      </c>
      <c r="D750" s="207">
        <v>1</v>
      </c>
      <c r="E750" s="207" t="s">
        <v>4398</v>
      </c>
      <c r="F750" s="214" t="s">
        <v>7600</v>
      </c>
      <c r="G750" s="207" t="s">
        <v>4400</v>
      </c>
      <c r="H750" s="207" t="s">
        <v>4401</v>
      </c>
      <c r="I750" s="217" t="s">
        <v>4402</v>
      </c>
      <c r="J750" s="242" t="s">
        <v>7601</v>
      </c>
      <c r="K750" s="215" t="s">
        <v>7602</v>
      </c>
      <c r="L750" s="215" t="s">
        <v>7603</v>
      </c>
      <c r="M750" s="207" t="s">
        <v>4405</v>
      </c>
      <c r="N750" s="207" t="s">
        <v>4406</v>
      </c>
      <c r="O750" s="202">
        <v>45986</v>
      </c>
      <c r="P750" s="203" t="s">
        <v>4407</v>
      </c>
      <c r="Q750" s="203">
        <v>45985</v>
      </c>
      <c r="R750" s="203">
        <v>45986</v>
      </c>
      <c r="S750" s="203">
        <v>45987</v>
      </c>
      <c r="T750" s="203">
        <v>45992</v>
      </c>
      <c r="U750" s="202" t="s">
        <v>4408</v>
      </c>
      <c r="V750" s="202" t="s">
        <v>4408</v>
      </c>
      <c r="W750" s="202">
        <v>45999</v>
      </c>
      <c r="X750" s="202">
        <v>46006</v>
      </c>
      <c r="Y750" s="202"/>
      <c r="Z750" s="207"/>
      <c r="AA750" s="242" t="s">
        <v>7601</v>
      </c>
      <c r="AB750" s="215" t="s">
        <v>7602</v>
      </c>
      <c r="AC750" s="215" t="s">
        <v>7603</v>
      </c>
      <c r="AD750" s="207" t="s">
        <v>4402</v>
      </c>
      <c r="AE750" s="207" t="s">
        <v>4405</v>
      </c>
      <c r="AF750" s="218" t="s">
        <v>4409</v>
      </c>
      <c r="AG750" s="218" t="s">
        <v>4409</v>
      </c>
      <c r="AH750" s="204" t="s">
        <v>4410</v>
      </c>
      <c r="AI750" s="214" t="s">
        <v>4411</v>
      </c>
      <c r="AJ750" s="207"/>
      <c r="AK750" s="316">
        <v>45996</v>
      </c>
      <c r="AL750" s="316">
        <v>45996</v>
      </c>
      <c r="AM750" s="316">
        <v>45996</v>
      </c>
      <c r="AN750" s="316">
        <v>45996</v>
      </c>
      <c r="AO750" s="316">
        <v>45996</v>
      </c>
      <c r="AP750" s="316">
        <v>45996</v>
      </c>
      <c r="AQ750" s="314"/>
      <c r="AR750" s="315" t="str">
        <f t="shared" si="52"/>
        <v>FINALIZADO</v>
      </c>
      <c r="AS750" s="207"/>
      <c r="AT750" s="207"/>
      <c r="AU750" s="225"/>
      <c r="AV750" s="207"/>
      <c r="AW750" s="207"/>
      <c r="AX750" s="207" t="s">
        <v>4409</v>
      </c>
      <c r="AY750" s="207" t="s">
        <v>4409</v>
      </c>
      <c r="AZ750" s="207" t="s">
        <v>4409</v>
      </c>
      <c r="BA750" s="207" t="s">
        <v>4409</v>
      </c>
      <c r="BB750" s="207"/>
      <c r="BC750" s="202"/>
      <c r="BD750" s="208"/>
      <c r="BE750" s="202"/>
      <c r="BF750" s="207"/>
      <c r="BG750" s="229"/>
      <c r="BH750" s="321" t="str">
        <f t="shared" si="49"/>
        <v/>
      </c>
      <c r="BI750" s="98" t="str">
        <f t="shared" si="50"/>
        <v>AA</v>
      </c>
      <c r="BJ750" s="98" t="str">
        <f t="shared" si="51"/>
        <v>NÃO</v>
      </c>
      <c r="BK750" s="230"/>
      <c r="BL750" s="230"/>
      <c r="BM750" s="230"/>
      <c r="BN750" s="230"/>
      <c r="BO750" s="230"/>
      <c r="BP750" s="230"/>
      <c r="BQ750" s="230"/>
      <c r="BR750" s="234"/>
    </row>
    <row r="751" spans="1:70" ht="27" hidden="1" customHeight="1">
      <c r="A751" s="207">
        <v>747</v>
      </c>
      <c r="B751" s="197" t="s">
        <v>4396</v>
      </c>
      <c r="C751" s="207" t="s">
        <v>4427</v>
      </c>
      <c r="D751" s="207">
        <v>1</v>
      </c>
      <c r="E751" s="207" t="s">
        <v>4398</v>
      </c>
      <c r="F751" s="214" t="s">
        <v>7604</v>
      </c>
      <c r="G751" s="207" t="s">
        <v>4400</v>
      </c>
      <c r="H751" s="207" t="s">
        <v>4401</v>
      </c>
      <c r="I751" s="217" t="s">
        <v>7022</v>
      </c>
      <c r="J751" s="215" t="s">
        <v>7605</v>
      </c>
      <c r="K751" s="215" t="s">
        <v>4440</v>
      </c>
      <c r="L751" s="215" t="s">
        <v>7606</v>
      </c>
      <c r="M751" s="207" t="s">
        <v>4405</v>
      </c>
      <c r="N751" s="207" t="s">
        <v>4406</v>
      </c>
      <c r="O751" s="202">
        <v>45986</v>
      </c>
      <c r="P751" s="203" t="s">
        <v>4407</v>
      </c>
      <c r="Q751" s="203">
        <v>45985</v>
      </c>
      <c r="R751" s="203">
        <v>45986</v>
      </c>
      <c r="S751" s="203">
        <v>45987</v>
      </c>
      <c r="T751" s="203">
        <v>45992</v>
      </c>
      <c r="U751" s="202" t="s">
        <v>4408</v>
      </c>
      <c r="V751" s="202" t="s">
        <v>4408</v>
      </c>
      <c r="W751" s="202">
        <v>45999</v>
      </c>
      <c r="X751" s="202">
        <v>46001</v>
      </c>
      <c r="Y751" s="202"/>
      <c r="Z751" s="202"/>
      <c r="AA751" s="215" t="s">
        <v>7605</v>
      </c>
      <c r="AB751" s="215" t="s">
        <v>4440</v>
      </c>
      <c r="AC751" s="215" t="s">
        <v>7606</v>
      </c>
      <c r="AD751" s="207" t="s">
        <v>4402</v>
      </c>
      <c r="AE751" s="207" t="s">
        <v>4405</v>
      </c>
      <c r="AF751" s="218" t="s">
        <v>4409</v>
      </c>
      <c r="AG751" s="218" t="s">
        <v>4409</v>
      </c>
      <c r="AH751" s="204" t="s">
        <v>4410</v>
      </c>
      <c r="AI751" s="214" t="s">
        <v>4411</v>
      </c>
      <c r="AJ751" s="207"/>
      <c r="AK751" s="316">
        <v>45996</v>
      </c>
      <c r="AL751" s="316">
        <v>45996</v>
      </c>
      <c r="AM751" s="316">
        <v>45996</v>
      </c>
      <c r="AN751" s="316">
        <v>45996</v>
      </c>
      <c r="AO751" s="316">
        <v>45996</v>
      </c>
      <c r="AP751" s="316">
        <v>45996</v>
      </c>
      <c r="AQ751" s="314"/>
      <c r="AR751" s="315" t="str">
        <f t="shared" si="52"/>
        <v>FINALIZADO</v>
      </c>
      <c r="AS751" s="207"/>
      <c r="AT751" s="207"/>
      <c r="AU751" s="225"/>
      <c r="AV751" s="207"/>
      <c r="AW751" s="207"/>
      <c r="AX751" s="207" t="s">
        <v>4409</v>
      </c>
      <c r="AY751" s="207" t="s">
        <v>4409</v>
      </c>
      <c r="AZ751" s="207" t="s">
        <v>4409</v>
      </c>
      <c r="BA751" s="207" t="s">
        <v>4409</v>
      </c>
      <c r="BB751" s="207"/>
      <c r="BC751" s="202"/>
      <c r="BD751" s="208"/>
      <c r="BE751" s="202"/>
      <c r="BF751" s="207"/>
      <c r="BG751" s="229"/>
      <c r="BH751" s="321" t="str">
        <f t="shared" si="49"/>
        <v/>
      </c>
      <c r="BI751" s="98" t="str">
        <f t="shared" si="50"/>
        <v>AA</v>
      </c>
      <c r="BJ751" s="98" t="str">
        <f t="shared" si="51"/>
        <v>NÃO</v>
      </c>
      <c r="BK751" s="230"/>
      <c r="BL751" s="230"/>
      <c r="BM751" s="230"/>
      <c r="BN751" s="230"/>
      <c r="BO751" s="230"/>
      <c r="BP751" s="230"/>
      <c r="BQ751" s="230"/>
      <c r="BR751" s="234"/>
    </row>
    <row r="752" spans="1:70" ht="27" hidden="1" customHeight="1">
      <c r="A752" s="207">
        <v>748</v>
      </c>
      <c r="B752" s="197" t="s">
        <v>4396</v>
      </c>
      <c r="C752" s="207" t="s">
        <v>4427</v>
      </c>
      <c r="D752" s="207">
        <v>1</v>
      </c>
      <c r="E752" s="207" t="s">
        <v>4398</v>
      </c>
      <c r="F752" s="214" t="s">
        <v>7607</v>
      </c>
      <c r="G752" s="207" t="s">
        <v>4400</v>
      </c>
      <c r="H752" s="207" t="s">
        <v>4401</v>
      </c>
      <c r="I752" s="217" t="s">
        <v>4402</v>
      </c>
      <c r="J752" s="215" t="s">
        <v>7608</v>
      </c>
      <c r="K752" s="215" t="s">
        <v>7609</v>
      </c>
      <c r="L752" s="215" t="s">
        <v>7610</v>
      </c>
      <c r="M752" s="207" t="s">
        <v>4405</v>
      </c>
      <c r="N752" s="207" t="s">
        <v>4406</v>
      </c>
      <c r="O752" s="202">
        <v>45986</v>
      </c>
      <c r="P752" s="203" t="s">
        <v>4407</v>
      </c>
      <c r="Q752" s="203">
        <v>45985</v>
      </c>
      <c r="R752" s="203">
        <v>45986</v>
      </c>
      <c r="S752" s="203">
        <v>45987</v>
      </c>
      <c r="T752" s="203">
        <v>45992</v>
      </c>
      <c r="U752" s="202" t="s">
        <v>4408</v>
      </c>
      <c r="V752" s="202" t="s">
        <v>4408</v>
      </c>
      <c r="W752" s="202">
        <v>45999</v>
      </c>
      <c r="X752" s="202">
        <v>46001</v>
      </c>
      <c r="Y752" s="202"/>
      <c r="Z752" s="202"/>
      <c r="AA752" s="215" t="s">
        <v>7608</v>
      </c>
      <c r="AB752" s="215" t="s">
        <v>7609</v>
      </c>
      <c r="AC752" s="215" t="s">
        <v>7610</v>
      </c>
      <c r="AD752" s="207" t="s">
        <v>4402</v>
      </c>
      <c r="AE752" s="207" t="s">
        <v>4405</v>
      </c>
      <c r="AF752" s="218" t="s">
        <v>4409</v>
      </c>
      <c r="AG752" s="218" t="s">
        <v>4409</v>
      </c>
      <c r="AH752" s="204" t="s">
        <v>4410</v>
      </c>
      <c r="AI752" s="214" t="s">
        <v>4411</v>
      </c>
      <c r="AJ752" s="207"/>
      <c r="AK752" s="316">
        <v>45996</v>
      </c>
      <c r="AL752" s="316">
        <v>45996</v>
      </c>
      <c r="AM752" s="316">
        <v>45996</v>
      </c>
      <c r="AN752" s="316">
        <v>45996</v>
      </c>
      <c r="AO752" s="316">
        <v>45996</v>
      </c>
      <c r="AP752" s="316">
        <v>45996</v>
      </c>
      <c r="AQ752" s="314"/>
      <c r="AR752" s="315" t="str">
        <f t="shared" si="52"/>
        <v>FINALIZADO</v>
      </c>
      <c r="AS752" s="207"/>
      <c r="AT752" s="207"/>
      <c r="AU752" s="225"/>
      <c r="AV752" s="207"/>
      <c r="AW752" s="207"/>
      <c r="AX752" s="207" t="s">
        <v>4409</v>
      </c>
      <c r="AY752" s="207" t="s">
        <v>4409</v>
      </c>
      <c r="AZ752" s="207" t="s">
        <v>4409</v>
      </c>
      <c r="BA752" s="207" t="s">
        <v>4409</v>
      </c>
      <c r="BB752" s="207"/>
      <c r="BC752" s="202"/>
      <c r="BD752" s="208"/>
      <c r="BE752" s="202"/>
      <c r="BF752" s="207"/>
      <c r="BG752" s="229"/>
      <c r="BH752" s="321" t="str">
        <f t="shared" si="49"/>
        <v/>
      </c>
      <c r="BI752" s="98" t="str">
        <f t="shared" si="50"/>
        <v>AA</v>
      </c>
      <c r="BJ752" s="98" t="str">
        <f t="shared" si="51"/>
        <v>NÃO</v>
      </c>
      <c r="BK752" s="230"/>
      <c r="BL752" s="230"/>
      <c r="BM752" s="230"/>
      <c r="BN752" s="230"/>
      <c r="BO752" s="230"/>
      <c r="BP752" s="230"/>
      <c r="BQ752" s="230"/>
      <c r="BR752" s="234"/>
    </row>
    <row r="753" spans="1:71" ht="27" hidden="1" customHeight="1">
      <c r="A753" s="207">
        <v>749</v>
      </c>
      <c r="B753" s="197" t="s">
        <v>4396</v>
      </c>
      <c r="C753" s="207" t="s">
        <v>4427</v>
      </c>
      <c r="D753" s="207">
        <v>1</v>
      </c>
      <c r="E753" s="207" t="s">
        <v>4398</v>
      </c>
      <c r="F753" s="214" t="s">
        <v>7611</v>
      </c>
      <c r="G753" s="207" t="s">
        <v>4400</v>
      </c>
      <c r="H753" s="207" t="s">
        <v>4401</v>
      </c>
      <c r="I753" s="217" t="s">
        <v>4402</v>
      </c>
      <c r="J753" s="215" t="s">
        <v>7612</v>
      </c>
      <c r="K753" s="215" t="s">
        <v>7613</v>
      </c>
      <c r="L753" s="215" t="s">
        <v>7614</v>
      </c>
      <c r="M753" s="207" t="s">
        <v>4405</v>
      </c>
      <c r="N753" s="207" t="s">
        <v>4406</v>
      </c>
      <c r="O753" s="202">
        <v>46002</v>
      </c>
      <c r="P753" s="202" t="s">
        <v>4407</v>
      </c>
      <c r="Q753" s="202">
        <v>45999</v>
      </c>
      <c r="R753" s="202">
        <v>46006</v>
      </c>
      <c r="S753" s="202">
        <v>46006</v>
      </c>
      <c r="T753" s="202">
        <v>46009</v>
      </c>
      <c r="U753" s="202" t="s">
        <v>4408</v>
      </c>
      <c r="V753" s="202" t="s">
        <v>4408</v>
      </c>
      <c r="W753" s="202">
        <v>46014</v>
      </c>
      <c r="X753" s="202">
        <v>46020</v>
      </c>
      <c r="Y753" s="202"/>
      <c r="Z753" s="202"/>
      <c r="AA753" s="215" t="s">
        <v>7612</v>
      </c>
      <c r="AB753" s="215" t="s">
        <v>7613</v>
      </c>
      <c r="AC753" s="215" t="s">
        <v>7614</v>
      </c>
      <c r="AD753" s="207" t="s">
        <v>4402</v>
      </c>
      <c r="AE753" s="207" t="s">
        <v>4405</v>
      </c>
      <c r="AF753" s="218" t="s">
        <v>4409</v>
      </c>
      <c r="AG753" s="218" t="s">
        <v>4409</v>
      </c>
      <c r="AH753" s="197" t="s">
        <v>4410</v>
      </c>
      <c r="AI753" s="214" t="s">
        <v>4411</v>
      </c>
      <c r="AJ753" s="207"/>
      <c r="AK753" s="316">
        <v>45996</v>
      </c>
      <c r="AL753" s="316">
        <v>45996</v>
      </c>
      <c r="AM753" s="316">
        <v>45996</v>
      </c>
      <c r="AN753" s="316">
        <v>45996</v>
      </c>
      <c r="AO753" s="316">
        <v>45996</v>
      </c>
      <c r="AP753" s="316">
        <v>45996</v>
      </c>
      <c r="AQ753" s="314"/>
      <c r="AR753" s="315" t="str">
        <f t="shared" si="52"/>
        <v>FINALIZADO</v>
      </c>
      <c r="AS753" s="207"/>
      <c r="AT753" s="207"/>
      <c r="AU753" s="225"/>
      <c r="AV753" s="207"/>
      <c r="AW753" s="207"/>
      <c r="AX753" s="207"/>
      <c r="AY753" s="207"/>
      <c r="AZ753" s="202"/>
      <c r="BA753" s="219"/>
      <c r="BB753" s="207"/>
      <c r="BC753" s="202"/>
      <c r="BD753" s="208"/>
      <c r="BE753" s="202"/>
      <c r="BF753" s="207"/>
      <c r="BG753" s="229"/>
      <c r="BH753" s="321" t="str">
        <f t="shared" si="49"/>
        <v/>
      </c>
      <c r="BI753" s="98" t="str">
        <f t="shared" si="50"/>
        <v>AA</v>
      </c>
      <c r="BJ753" s="98" t="str">
        <f t="shared" si="51"/>
        <v>NÃO</v>
      </c>
      <c r="BK753" s="230"/>
      <c r="BL753" s="230"/>
      <c r="BM753" s="230"/>
      <c r="BN753" s="230"/>
      <c r="BO753" s="230"/>
      <c r="BP753" s="230"/>
      <c r="BQ753" s="230"/>
      <c r="BR753" s="234"/>
    </row>
    <row r="754" spans="1:71" ht="27" hidden="1" customHeight="1">
      <c r="A754" s="197">
        <v>750</v>
      </c>
      <c r="B754" s="197" t="s">
        <v>4396</v>
      </c>
      <c r="C754" s="207" t="s">
        <v>4427</v>
      </c>
      <c r="D754" s="207">
        <v>1</v>
      </c>
      <c r="E754" s="207" t="s">
        <v>4398</v>
      </c>
      <c r="F754" s="214" t="s">
        <v>7615</v>
      </c>
      <c r="G754" s="207" t="s">
        <v>4400</v>
      </c>
      <c r="H754" s="207" t="s">
        <v>4401</v>
      </c>
      <c r="I754" s="217" t="s">
        <v>4402</v>
      </c>
      <c r="J754" s="215" t="s">
        <v>7616</v>
      </c>
      <c r="K754" s="215" t="s">
        <v>7617</v>
      </c>
      <c r="L754" s="215" t="s">
        <v>7618</v>
      </c>
      <c r="M754" s="207" t="s">
        <v>4405</v>
      </c>
      <c r="N754" s="207" t="s">
        <v>4406</v>
      </c>
      <c r="O754" s="202">
        <v>45986</v>
      </c>
      <c r="P754" s="203" t="s">
        <v>4407</v>
      </c>
      <c r="Q754" s="203">
        <v>45985</v>
      </c>
      <c r="R754" s="203">
        <v>45986</v>
      </c>
      <c r="S754" s="203">
        <v>45987</v>
      </c>
      <c r="T754" s="203">
        <v>45992</v>
      </c>
      <c r="U754" s="202" t="s">
        <v>4408</v>
      </c>
      <c r="V754" s="202" t="s">
        <v>4408</v>
      </c>
      <c r="W754" s="202">
        <v>45999</v>
      </c>
      <c r="X754" s="202">
        <v>46017</v>
      </c>
      <c r="Y754" s="202"/>
      <c r="Z754" s="202"/>
      <c r="AA754" s="215" t="s">
        <v>7616</v>
      </c>
      <c r="AB754" s="215" t="s">
        <v>7617</v>
      </c>
      <c r="AC754" s="215" t="s">
        <v>7618</v>
      </c>
      <c r="AD754" s="207" t="s">
        <v>4402</v>
      </c>
      <c r="AE754" s="207" t="s">
        <v>4405</v>
      </c>
      <c r="AF754" s="218" t="s">
        <v>4409</v>
      </c>
      <c r="AG754" s="218" t="s">
        <v>4409</v>
      </c>
      <c r="AH754" s="241" t="s">
        <v>4410</v>
      </c>
      <c r="AI754" s="214" t="s">
        <v>4411</v>
      </c>
      <c r="AJ754" s="207"/>
      <c r="AK754" s="316">
        <v>45996</v>
      </c>
      <c r="AL754" s="316">
        <v>45996</v>
      </c>
      <c r="AM754" s="316">
        <v>45996</v>
      </c>
      <c r="AN754" s="316">
        <v>45996</v>
      </c>
      <c r="AO754" s="316">
        <v>45996</v>
      </c>
      <c r="AP754" s="316">
        <v>45996</v>
      </c>
      <c r="AQ754" s="314"/>
      <c r="AR754" s="315" t="str">
        <f t="shared" si="52"/>
        <v>FINALIZADO</v>
      </c>
      <c r="AS754" s="207"/>
      <c r="AT754" s="207"/>
      <c r="AU754" s="225"/>
      <c r="AV754" s="207"/>
      <c r="AW754" s="207"/>
      <c r="AX754" s="207" t="s">
        <v>4409</v>
      </c>
      <c r="AY754" s="207" t="s">
        <v>4409</v>
      </c>
      <c r="AZ754" s="207" t="s">
        <v>4409</v>
      </c>
      <c r="BA754" s="207" t="s">
        <v>4409</v>
      </c>
      <c r="BB754" s="207"/>
      <c r="BC754" s="202"/>
      <c r="BD754" s="208"/>
      <c r="BE754" s="202"/>
      <c r="BF754" s="207"/>
      <c r="BG754" s="229"/>
      <c r="BH754" s="321" t="str">
        <f t="shared" si="49"/>
        <v/>
      </c>
      <c r="BI754" s="98" t="str">
        <f t="shared" si="50"/>
        <v>AA</v>
      </c>
      <c r="BJ754" s="98" t="str">
        <f t="shared" si="51"/>
        <v>NÃO</v>
      </c>
      <c r="BK754" s="230"/>
      <c r="BL754" s="230"/>
      <c r="BM754" s="230"/>
      <c r="BN754" s="230"/>
      <c r="BO754" s="230"/>
      <c r="BP754" s="230"/>
      <c r="BQ754" s="230"/>
      <c r="BR754" s="234"/>
    </row>
    <row r="755" spans="1:71" ht="27" hidden="1" customHeight="1">
      <c r="A755" s="197">
        <v>751</v>
      </c>
      <c r="B755" s="197" t="s">
        <v>4396</v>
      </c>
      <c r="C755" s="207" t="s">
        <v>4427</v>
      </c>
      <c r="D755" s="207">
        <v>1</v>
      </c>
      <c r="E755" s="207" t="s">
        <v>4398</v>
      </c>
      <c r="F755" s="214" t="s">
        <v>7619</v>
      </c>
      <c r="G755" s="207" t="s">
        <v>4400</v>
      </c>
      <c r="H755" s="207" t="s">
        <v>4401</v>
      </c>
      <c r="I755" s="217" t="s">
        <v>4402</v>
      </c>
      <c r="J755" s="215" t="s">
        <v>7620</v>
      </c>
      <c r="K755" s="215" t="s">
        <v>7621</v>
      </c>
      <c r="L755" s="215" t="s">
        <v>7622</v>
      </c>
      <c r="M755" s="207" t="s">
        <v>4405</v>
      </c>
      <c r="N755" s="207" t="s">
        <v>4406</v>
      </c>
      <c r="O755" s="202">
        <v>45986</v>
      </c>
      <c r="P755" s="203" t="s">
        <v>4407</v>
      </c>
      <c r="Q755" s="203">
        <v>45985</v>
      </c>
      <c r="R755" s="203">
        <v>45986</v>
      </c>
      <c r="S755" s="203">
        <v>45987</v>
      </c>
      <c r="T755" s="203">
        <v>45992</v>
      </c>
      <c r="U755" s="202" t="s">
        <v>4408</v>
      </c>
      <c r="V755" s="202" t="s">
        <v>4408</v>
      </c>
      <c r="W755" s="202">
        <v>45999</v>
      </c>
      <c r="X755" s="202">
        <v>46001</v>
      </c>
      <c r="Y755" s="202"/>
      <c r="Z755" s="202"/>
      <c r="AA755" s="215" t="s">
        <v>7620</v>
      </c>
      <c r="AB755" s="215" t="s">
        <v>7621</v>
      </c>
      <c r="AC755" s="215" t="s">
        <v>7622</v>
      </c>
      <c r="AD755" s="207" t="s">
        <v>4402</v>
      </c>
      <c r="AE755" s="207" t="s">
        <v>4405</v>
      </c>
      <c r="AF755" s="218" t="s">
        <v>4409</v>
      </c>
      <c r="AG755" s="218" t="s">
        <v>4409</v>
      </c>
      <c r="AH755" s="204" t="s">
        <v>4410</v>
      </c>
      <c r="AI755" s="214" t="s">
        <v>4411</v>
      </c>
      <c r="AJ755" s="207"/>
      <c r="AK755" s="316">
        <v>45996</v>
      </c>
      <c r="AL755" s="316">
        <v>45996</v>
      </c>
      <c r="AM755" s="316">
        <v>45996</v>
      </c>
      <c r="AN755" s="316">
        <v>45996</v>
      </c>
      <c r="AO755" s="316">
        <v>45996</v>
      </c>
      <c r="AP755" s="316">
        <v>45996</v>
      </c>
      <c r="AQ755" s="314"/>
      <c r="AR755" s="315" t="str">
        <f t="shared" si="52"/>
        <v>FINALIZADO</v>
      </c>
      <c r="AS755" s="207"/>
      <c r="AT755" s="207"/>
      <c r="AU755" s="225"/>
      <c r="AV755" s="207"/>
      <c r="AW755" s="207"/>
      <c r="AX755" s="207" t="s">
        <v>4409</v>
      </c>
      <c r="AY755" s="207" t="s">
        <v>4409</v>
      </c>
      <c r="AZ755" s="207" t="s">
        <v>4409</v>
      </c>
      <c r="BA755" s="207" t="s">
        <v>4409</v>
      </c>
      <c r="BB755" s="207"/>
      <c r="BC755" s="202"/>
      <c r="BD755" s="208"/>
      <c r="BE755" s="202"/>
      <c r="BF755" s="207"/>
      <c r="BG755" s="229"/>
      <c r="BH755" s="321" t="str">
        <f t="shared" si="49"/>
        <v/>
      </c>
      <c r="BI755" s="98" t="str">
        <f t="shared" si="50"/>
        <v>AA</v>
      </c>
      <c r="BJ755" s="98" t="str">
        <f t="shared" si="51"/>
        <v>NÃO</v>
      </c>
      <c r="BK755" s="230"/>
      <c r="BL755" s="230"/>
      <c r="BM755" s="230"/>
      <c r="BN755" s="230"/>
      <c r="BO755" s="230"/>
      <c r="BP755" s="230"/>
      <c r="BQ755" s="230"/>
      <c r="BR755" s="234"/>
    </row>
    <row r="756" spans="1:71" ht="27" hidden="1" customHeight="1">
      <c r="A756" s="207">
        <v>752</v>
      </c>
      <c r="B756" s="197" t="s">
        <v>4396</v>
      </c>
      <c r="C756" s="207" t="s">
        <v>4427</v>
      </c>
      <c r="D756" s="207">
        <v>1</v>
      </c>
      <c r="E756" s="207" t="s">
        <v>4398</v>
      </c>
      <c r="F756" s="214" t="s">
        <v>7623</v>
      </c>
      <c r="G756" s="207" t="s">
        <v>4400</v>
      </c>
      <c r="H756" s="207" t="s">
        <v>4401</v>
      </c>
      <c r="I756" s="217" t="s">
        <v>4402</v>
      </c>
      <c r="J756" s="215" t="s">
        <v>7624</v>
      </c>
      <c r="K756" s="215" t="s">
        <v>7625</v>
      </c>
      <c r="L756" s="215" t="s">
        <v>7626</v>
      </c>
      <c r="M756" s="207" t="s">
        <v>4405</v>
      </c>
      <c r="N756" s="207" t="s">
        <v>4406</v>
      </c>
      <c r="O756" s="202">
        <v>45986</v>
      </c>
      <c r="P756" s="203" t="s">
        <v>4407</v>
      </c>
      <c r="Q756" s="203">
        <v>45985</v>
      </c>
      <c r="R756" s="203">
        <v>45986</v>
      </c>
      <c r="S756" s="203">
        <v>45987</v>
      </c>
      <c r="T756" s="203">
        <v>45992</v>
      </c>
      <c r="U756" s="203" t="s">
        <v>4408</v>
      </c>
      <c r="V756" s="203" t="s">
        <v>4408</v>
      </c>
      <c r="W756" s="202">
        <v>45999</v>
      </c>
      <c r="X756" s="202">
        <v>46001</v>
      </c>
      <c r="Y756" s="202"/>
      <c r="Z756" s="202"/>
      <c r="AA756" s="215" t="s">
        <v>7624</v>
      </c>
      <c r="AB756" s="215" t="s">
        <v>7625</v>
      </c>
      <c r="AC756" s="215" t="s">
        <v>7626</v>
      </c>
      <c r="AD756" s="207" t="s">
        <v>4402</v>
      </c>
      <c r="AE756" s="207" t="s">
        <v>4405</v>
      </c>
      <c r="AF756" s="218" t="s">
        <v>4409</v>
      </c>
      <c r="AG756" s="218" t="s">
        <v>4409</v>
      </c>
      <c r="AH756" s="204" t="s">
        <v>4410</v>
      </c>
      <c r="AI756" s="214" t="s">
        <v>4411</v>
      </c>
      <c r="AJ756" s="207"/>
      <c r="AK756" s="316"/>
      <c r="AL756" s="316"/>
      <c r="AM756" s="316"/>
      <c r="AN756" s="316"/>
      <c r="AO756" s="316"/>
      <c r="AP756" s="316"/>
      <c r="AQ756" s="314"/>
      <c r="AR756" s="315" t="str">
        <f t="shared" si="52"/>
        <v/>
      </c>
      <c r="AS756" s="207"/>
      <c r="AT756" s="207"/>
      <c r="AU756" s="225"/>
      <c r="AV756" s="207"/>
      <c r="AW756" s="207"/>
      <c r="AX756" s="207" t="s">
        <v>4409</v>
      </c>
      <c r="AY756" s="207" t="s">
        <v>4409</v>
      </c>
      <c r="AZ756" s="207" t="s">
        <v>4409</v>
      </c>
      <c r="BA756" s="207" t="s">
        <v>4409</v>
      </c>
      <c r="BB756" s="207"/>
      <c r="BC756" s="202"/>
      <c r="BD756" s="208"/>
      <c r="BE756" s="202"/>
      <c r="BF756" s="207"/>
      <c r="BG756" s="229"/>
      <c r="BH756" s="321" t="str">
        <f t="shared" si="49"/>
        <v/>
      </c>
      <c r="BI756" s="98" t="str">
        <f t="shared" si="50"/>
        <v>AA</v>
      </c>
      <c r="BJ756" s="98" t="str">
        <f t="shared" si="51"/>
        <v>NÃO</v>
      </c>
      <c r="BK756" s="230"/>
      <c r="BL756" s="230"/>
      <c r="BM756" s="230"/>
      <c r="BN756" s="230"/>
      <c r="BO756" s="230"/>
      <c r="BP756" s="230"/>
      <c r="BQ756" s="230"/>
      <c r="BR756" s="234"/>
    </row>
    <row r="757" spans="1:71" ht="27" hidden="1" customHeight="1">
      <c r="A757" s="207">
        <v>753</v>
      </c>
      <c r="B757" s="197" t="s">
        <v>4396</v>
      </c>
      <c r="C757" s="207" t="s">
        <v>4427</v>
      </c>
      <c r="D757" s="207">
        <v>1</v>
      </c>
      <c r="E757" s="207" t="s">
        <v>4398</v>
      </c>
      <c r="F757" s="214" t="s">
        <v>7627</v>
      </c>
      <c r="G757" s="207" t="s">
        <v>4400</v>
      </c>
      <c r="H757" s="207" t="s">
        <v>4401</v>
      </c>
      <c r="I757" s="217" t="s">
        <v>4402</v>
      </c>
      <c r="J757" s="215" t="s">
        <v>7628</v>
      </c>
      <c r="K757" s="215" t="s">
        <v>7629</v>
      </c>
      <c r="L757" s="215" t="s">
        <v>7630</v>
      </c>
      <c r="M757" s="207" t="s">
        <v>4405</v>
      </c>
      <c r="N757" s="207" t="s">
        <v>4406</v>
      </c>
      <c r="O757" s="202">
        <v>45986</v>
      </c>
      <c r="P757" s="203" t="s">
        <v>4407</v>
      </c>
      <c r="Q757" s="203">
        <v>45985</v>
      </c>
      <c r="R757" s="203">
        <v>45986</v>
      </c>
      <c r="S757" s="203">
        <v>45987</v>
      </c>
      <c r="T757" s="203">
        <v>45992</v>
      </c>
      <c r="U757" s="203" t="s">
        <v>4408</v>
      </c>
      <c r="V757" s="203" t="s">
        <v>4408</v>
      </c>
      <c r="W757" s="202">
        <v>45999</v>
      </c>
      <c r="X757" s="202">
        <v>46001</v>
      </c>
      <c r="Y757" s="202"/>
      <c r="Z757" s="202"/>
      <c r="AA757" s="215" t="s">
        <v>7628</v>
      </c>
      <c r="AB757" s="215" t="s">
        <v>7629</v>
      </c>
      <c r="AC757" s="215" t="s">
        <v>7630</v>
      </c>
      <c r="AD757" s="207" t="s">
        <v>4402</v>
      </c>
      <c r="AE757" s="207" t="s">
        <v>4405</v>
      </c>
      <c r="AF757" s="218" t="s">
        <v>4409</v>
      </c>
      <c r="AG757" s="218" t="s">
        <v>4409</v>
      </c>
      <c r="AH757" s="204" t="s">
        <v>4410</v>
      </c>
      <c r="AI757" s="214" t="s">
        <v>4411</v>
      </c>
      <c r="AJ757" s="207"/>
      <c r="AK757" s="316"/>
      <c r="AL757" s="316"/>
      <c r="AM757" s="316"/>
      <c r="AN757" s="316"/>
      <c r="AO757" s="316"/>
      <c r="AP757" s="316"/>
      <c r="AQ757" s="314"/>
      <c r="AR757" s="315" t="str">
        <f t="shared" si="52"/>
        <v/>
      </c>
      <c r="AS757" s="207"/>
      <c r="AT757" s="219"/>
      <c r="AU757" s="225"/>
      <c r="AV757" s="207"/>
      <c r="AW757" s="207"/>
      <c r="AX757" s="207" t="s">
        <v>4409</v>
      </c>
      <c r="AY757" s="207" t="s">
        <v>4409</v>
      </c>
      <c r="AZ757" s="207" t="s">
        <v>4409</v>
      </c>
      <c r="BA757" s="207" t="s">
        <v>4409</v>
      </c>
      <c r="BB757" s="219"/>
      <c r="BC757" s="219"/>
      <c r="BD757" s="208"/>
      <c r="BE757" s="202"/>
      <c r="BF757" s="207"/>
      <c r="BG757" s="229"/>
      <c r="BH757" s="321" t="str">
        <f t="shared" si="49"/>
        <v/>
      </c>
      <c r="BI757" s="98" t="str">
        <f t="shared" si="50"/>
        <v>AA</v>
      </c>
      <c r="BJ757" s="98" t="str">
        <f t="shared" si="51"/>
        <v>NÃO</v>
      </c>
      <c r="BK757" s="230"/>
      <c r="BL757" s="230"/>
      <c r="BM757" s="230"/>
      <c r="BN757" s="230"/>
      <c r="BO757" s="230"/>
      <c r="BP757" s="230"/>
      <c r="BQ757" s="230"/>
      <c r="BR757" s="234"/>
    </row>
    <row r="758" spans="1:71" ht="27" hidden="1" customHeight="1">
      <c r="A758" s="207">
        <v>754</v>
      </c>
      <c r="B758" s="197" t="s">
        <v>4396</v>
      </c>
      <c r="C758" s="207" t="s">
        <v>4427</v>
      </c>
      <c r="D758" s="207">
        <v>1</v>
      </c>
      <c r="E758" s="207" t="s">
        <v>4398</v>
      </c>
      <c r="F758" s="214" t="s">
        <v>7631</v>
      </c>
      <c r="G758" s="207" t="s">
        <v>4400</v>
      </c>
      <c r="H758" s="207" t="s">
        <v>4401</v>
      </c>
      <c r="I758" s="217" t="s">
        <v>4402</v>
      </c>
      <c r="J758" s="215" t="s">
        <v>7632</v>
      </c>
      <c r="K758" s="215" t="s">
        <v>7633</v>
      </c>
      <c r="L758" s="215" t="s">
        <v>7634</v>
      </c>
      <c r="M758" s="207" t="s">
        <v>4405</v>
      </c>
      <c r="N758" s="207" t="s">
        <v>4406</v>
      </c>
      <c r="O758" s="202">
        <v>46002</v>
      </c>
      <c r="P758" s="202" t="s">
        <v>4407</v>
      </c>
      <c r="Q758" s="202">
        <v>45999</v>
      </c>
      <c r="R758" s="202">
        <v>46006</v>
      </c>
      <c r="S758" s="202">
        <v>46006</v>
      </c>
      <c r="T758" s="202">
        <v>46009</v>
      </c>
      <c r="U758" s="202" t="s">
        <v>4408</v>
      </c>
      <c r="V758" s="202" t="s">
        <v>4408</v>
      </c>
      <c r="W758" s="202">
        <v>46014</v>
      </c>
      <c r="X758" s="202">
        <v>46020</v>
      </c>
      <c r="Y758" s="202"/>
      <c r="Z758" s="202"/>
      <c r="AA758" s="215" t="s">
        <v>7632</v>
      </c>
      <c r="AB758" s="215" t="s">
        <v>7633</v>
      </c>
      <c r="AC758" s="215" t="s">
        <v>7634</v>
      </c>
      <c r="AD758" s="207" t="s">
        <v>4402</v>
      </c>
      <c r="AE758" s="207" t="s">
        <v>4405</v>
      </c>
      <c r="AF758" s="218" t="s">
        <v>4409</v>
      </c>
      <c r="AG758" s="218" t="s">
        <v>4409</v>
      </c>
      <c r="AH758" s="197" t="s">
        <v>4410</v>
      </c>
      <c r="AI758" s="214" t="s">
        <v>4411</v>
      </c>
      <c r="AJ758" s="207"/>
      <c r="AK758" s="316">
        <v>45996</v>
      </c>
      <c r="AL758" s="316">
        <v>45996</v>
      </c>
      <c r="AM758" s="316">
        <v>45996</v>
      </c>
      <c r="AN758" s="316">
        <v>45996</v>
      </c>
      <c r="AO758" s="316">
        <v>45996</v>
      </c>
      <c r="AP758" s="316">
        <v>45996</v>
      </c>
      <c r="AQ758" s="314"/>
      <c r="AR758" s="315" t="str">
        <f t="shared" si="52"/>
        <v>FINALIZADO</v>
      </c>
      <c r="AS758" s="207"/>
      <c r="AT758" s="219"/>
      <c r="AU758" s="225"/>
      <c r="AV758" s="219"/>
      <c r="AW758" s="219"/>
      <c r="AX758" s="219"/>
      <c r="AY758" s="219"/>
      <c r="AZ758" s="219"/>
      <c r="BA758" s="219"/>
      <c r="BB758" s="219"/>
      <c r="BC758" s="219"/>
      <c r="BD758" s="208"/>
      <c r="BE758" s="202"/>
      <c r="BF758" s="207"/>
      <c r="BG758" s="229"/>
      <c r="BH758" s="321" t="str">
        <f t="shared" si="49"/>
        <v/>
      </c>
      <c r="BI758" s="98" t="str">
        <f t="shared" si="50"/>
        <v>AA</v>
      </c>
      <c r="BJ758" s="98" t="str">
        <f t="shared" si="51"/>
        <v>NÃO</v>
      </c>
      <c r="BK758" s="230"/>
      <c r="BL758" s="230"/>
      <c r="BM758" s="230"/>
      <c r="BN758" s="230"/>
      <c r="BO758" s="230"/>
      <c r="BP758" s="230"/>
      <c r="BQ758" s="230"/>
      <c r="BR758" s="234"/>
    </row>
    <row r="759" spans="1:71" ht="27" hidden="1" customHeight="1">
      <c r="A759" s="197">
        <v>755</v>
      </c>
      <c r="B759" s="197" t="s">
        <v>4396</v>
      </c>
      <c r="C759" s="207" t="s">
        <v>4427</v>
      </c>
      <c r="D759" s="207">
        <v>1</v>
      </c>
      <c r="E759" s="207" t="s">
        <v>4398</v>
      </c>
      <c r="F759" s="214" t="s">
        <v>7635</v>
      </c>
      <c r="G759" s="207" t="s">
        <v>4400</v>
      </c>
      <c r="H759" s="207" t="s">
        <v>4401</v>
      </c>
      <c r="I759" s="217" t="s">
        <v>4402</v>
      </c>
      <c r="J759" s="215" t="s">
        <v>7636</v>
      </c>
      <c r="K759" s="215" t="s">
        <v>7637</v>
      </c>
      <c r="L759" s="215" t="s">
        <v>7638</v>
      </c>
      <c r="M759" s="207" t="s">
        <v>4405</v>
      </c>
      <c r="N759" s="207" t="s">
        <v>4406</v>
      </c>
      <c r="O759" s="202">
        <v>46002</v>
      </c>
      <c r="P759" s="202" t="s">
        <v>4407</v>
      </c>
      <c r="Q759" s="202">
        <v>45999</v>
      </c>
      <c r="R759" s="202">
        <v>46006</v>
      </c>
      <c r="S759" s="202">
        <v>46006</v>
      </c>
      <c r="T759" s="202">
        <v>46009</v>
      </c>
      <c r="U759" s="202" t="s">
        <v>4408</v>
      </c>
      <c r="V759" s="202" t="s">
        <v>4408</v>
      </c>
      <c r="W759" s="202">
        <v>46014</v>
      </c>
      <c r="X759" s="202">
        <v>46020</v>
      </c>
      <c r="Y759" s="202"/>
      <c r="Z759" s="202"/>
      <c r="AA759" s="215" t="s">
        <v>7636</v>
      </c>
      <c r="AB759" s="215" t="s">
        <v>7637</v>
      </c>
      <c r="AC759" s="215" t="s">
        <v>7638</v>
      </c>
      <c r="AD759" s="207" t="s">
        <v>4402</v>
      </c>
      <c r="AE759" s="207" t="s">
        <v>4405</v>
      </c>
      <c r="AF759" s="218" t="s">
        <v>4409</v>
      </c>
      <c r="AG759" s="218" t="s">
        <v>4409</v>
      </c>
      <c r="AH759" s="207" t="s">
        <v>4410</v>
      </c>
      <c r="AI759" s="214" t="s">
        <v>4411</v>
      </c>
      <c r="AJ759" s="207"/>
      <c r="AK759" s="316">
        <v>45996</v>
      </c>
      <c r="AL759" s="316">
        <v>45996</v>
      </c>
      <c r="AM759" s="316">
        <v>45996</v>
      </c>
      <c r="AN759" s="316">
        <v>45996</v>
      </c>
      <c r="AO759" s="316">
        <v>45996</v>
      </c>
      <c r="AP759" s="316">
        <v>45996</v>
      </c>
      <c r="AQ759" s="314"/>
      <c r="AR759" s="315" t="str">
        <f t="shared" si="52"/>
        <v>FINALIZADO</v>
      </c>
      <c r="AS759" s="207"/>
      <c r="AT759" s="219"/>
      <c r="AU759" s="225"/>
      <c r="AV759" s="219"/>
      <c r="AW759" s="219"/>
      <c r="AX759" s="219"/>
      <c r="AY759" s="219"/>
      <c r="AZ759" s="219"/>
      <c r="BA759" s="219"/>
      <c r="BB759" s="219"/>
      <c r="BC759" s="219"/>
      <c r="BD759" s="208"/>
      <c r="BE759" s="202"/>
      <c r="BF759" s="207"/>
      <c r="BG759" s="229"/>
      <c r="BH759" s="321" t="str">
        <f t="shared" si="49"/>
        <v/>
      </c>
      <c r="BI759" s="98" t="str">
        <f t="shared" si="50"/>
        <v>AA</v>
      </c>
      <c r="BJ759" s="98" t="str">
        <f t="shared" si="51"/>
        <v>NÃO</v>
      </c>
      <c r="BK759" s="230"/>
      <c r="BL759" s="230"/>
      <c r="BM759" s="230"/>
      <c r="BN759" s="230"/>
      <c r="BO759" s="230"/>
      <c r="BP759" s="230"/>
      <c r="BQ759" s="230"/>
      <c r="BR759" s="234"/>
    </row>
    <row r="760" spans="1:71" ht="27" hidden="1" customHeight="1">
      <c r="A760" s="197">
        <v>756</v>
      </c>
      <c r="B760" s="197" t="s">
        <v>4396</v>
      </c>
      <c r="C760" s="207" t="s">
        <v>4427</v>
      </c>
      <c r="D760" s="207">
        <v>1</v>
      </c>
      <c r="E760" s="207" t="s">
        <v>4398</v>
      </c>
      <c r="F760" s="214" t="s">
        <v>7639</v>
      </c>
      <c r="G760" s="207" t="s">
        <v>4400</v>
      </c>
      <c r="H760" s="207" t="s">
        <v>4401</v>
      </c>
      <c r="I760" s="217" t="s">
        <v>4402</v>
      </c>
      <c r="J760" s="215" t="s">
        <v>7640</v>
      </c>
      <c r="K760" s="215" t="s">
        <v>7641</v>
      </c>
      <c r="L760" s="215" t="s">
        <v>7642</v>
      </c>
      <c r="M760" s="207" t="s">
        <v>4405</v>
      </c>
      <c r="N760" s="207" t="s">
        <v>4406</v>
      </c>
      <c r="O760" s="202">
        <v>45986</v>
      </c>
      <c r="P760" s="203" t="s">
        <v>4407</v>
      </c>
      <c r="Q760" s="203">
        <v>45985</v>
      </c>
      <c r="R760" s="203">
        <v>45986</v>
      </c>
      <c r="S760" s="203">
        <v>45987</v>
      </c>
      <c r="T760" s="203">
        <v>45992</v>
      </c>
      <c r="U760" s="203" t="s">
        <v>4408</v>
      </c>
      <c r="V760" s="203" t="s">
        <v>4408</v>
      </c>
      <c r="W760" s="202">
        <v>45999</v>
      </c>
      <c r="X760" s="202">
        <v>46058</v>
      </c>
      <c r="Y760" s="202"/>
      <c r="Z760" s="202"/>
      <c r="AA760" s="215" t="s">
        <v>7640</v>
      </c>
      <c r="AB760" s="215" t="s">
        <v>7641</v>
      </c>
      <c r="AC760" s="215" t="s">
        <v>7642</v>
      </c>
      <c r="AD760" s="207" t="s">
        <v>4402</v>
      </c>
      <c r="AE760" s="207" t="s">
        <v>4405</v>
      </c>
      <c r="AF760" s="218" t="s">
        <v>4409</v>
      </c>
      <c r="AG760" s="218" t="s">
        <v>4409</v>
      </c>
      <c r="AH760" s="241" t="s">
        <v>4410</v>
      </c>
      <c r="AI760" s="214" t="s">
        <v>4411</v>
      </c>
      <c r="AJ760" s="207"/>
      <c r="AK760" s="316"/>
      <c r="AL760" s="316"/>
      <c r="AM760" s="316"/>
      <c r="AN760" s="316"/>
      <c r="AO760" s="316"/>
      <c r="AP760" s="316"/>
      <c r="AQ760" s="314"/>
      <c r="AR760" s="315" t="str">
        <f t="shared" si="52"/>
        <v/>
      </c>
      <c r="AS760" s="207"/>
      <c r="AT760" s="219"/>
      <c r="AU760" s="225"/>
      <c r="AV760" s="207"/>
      <c r="AW760" s="207"/>
      <c r="AX760" s="207" t="s">
        <v>4409</v>
      </c>
      <c r="AY760" s="207" t="s">
        <v>4409</v>
      </c>
      <c r="AZ760" s="207" t="s">
        <v>4409</v>
      </c>
      <c r="BA760" s="207" t="s">
        <v>4409</v>
      </c>
      <c r="BB760" s="219"/>
      <c r="BC760" s="219"/>
      <c r="BD760" s="208"/>
      <c r="BE760" s="202"/>
      <c r="BF760" s="207"/>
      <c r="BG760" s="229"/>
      <c r="BH760" s="321" t="str">
        <f t="shared" si="49"/>
        <v/>
      </c>
      <c r="BI760" s="98" t="str">
        <f t="shared" si="50"/>
        <v>AA</v>
      </c>
      <c r="BJ760" s="98" t="str">
        <f t="shared" si="51"/>
        <v>NÃO</v>
      </c>
      <c r="BK760" s="230"/>
      <c r="BL760" s="230"/>
      <c r="BM760" s="230"/>
      <c r="BN760" s="230"/>
      <c r="BO760" s="230"/>
      <c r="BP760" s="230"/>
      <c r="BQ760" s="230"/>
      <c r="BR760" s="234"/>
    </row>
    <row r="761" spans="1:71" ht="27" hidden="1" customHeight="1">
      <c r="A761" s="207">
        <v>757</v>
      </c>
      <c r="B761" s="197" t="s">
        <v>4396</v>
      </c>
      <c r="C761" s="207" t="s">
        <v>4427</v>
      </c>
      <c r="D761" s="207">
        <v>1</v>
      </c>
      <c r="E761" s="207" t="s">
        <v>4398</v>
      </c>
      <c r="F761" s="214" t="s">
        <v>7643</v>
      </c>
      <c r="G761" s="207" t="s">
        <v>4400</v>
      </c>
      <c r="H761" s="207" t="s">
        <v>4401</v>
      </c>
      <c r="I761" s="217" t="s">
        <v>4402</v>
      </c>
      <c r="J761" s="215" t="s">
        <v>7644</v>
      </c>
      <c r="K761" s="215" t="s">
        <v>7645</v>
      </c>
      <c r="L761" s="215" t="s">
        <v>7646</v>
      </c>
      <c r="M761" s="207" t="s">
        <v>4405</v>
      </c>
      <c r="N761" s="207" t="s">
        <v>4406</v>
      </c>
      <c r="O761" s="202">
        <v>45986</v>
      </c>
      <c r="P761" s="203" t="s">
        <v>4407</v>
      </c>
      <c r="Q761" s="203">
        <v>45985</v>
      </c>
      <c r="R761" s="203">
        <v>45986</v>
      </c>
      <c r="S761" s="203">
        <v>45987</v>
      </c>
      <c r="T761" s="203">
        <v>45992</v>
      </c>
      <c r="U761" s="202" t="s">
        <v>4408</v>
      </c>
      <c r="V761" s="202" t="s">
        <v>4408</v>
      </c>
      <c r="W761" s="202">
        <v>45999</v>
      </c>
      <c r="X761" s="202">
        <v>46001</v>
      </c>
      <c r="Y761" s="202"/>
      <c r="Z761" s="202"/>
      <c r="AA761" s="215" t="s">
        <v>7644</v>
      </c>
      <c r="AB761" s="215" t="s">
        <v>7645</v>
      </c>
      <c r="AC761" s="215" t="s">
        <v>7646</v>
      </c>
      <c r="AD761" s="207" t="s">
        <v>4402</v>
      </c>
      <c r="AE761" s="207" t="s">
        <v>4405</v>
      </c>
      <c r="AF761" s="218" t="s">
        <v>4409</v>
      </c>
      <c r="AG761" s="218" t="s">
        <v>4409</v>
      </c>
      <c r="AH761" s="204" t="s">
        <v>4410</v>
      </c>
      <c r="AI761" s="214" t="s">
        <v>4411</v>
      </c>
      <c r="AJ761" s="207"/>
      <c r="AK761" s="316">
        <v>45996</v>
      </c>
      <c r="AL761" s="316">
        <v>45996</v>
      </c>
      <c r="AM761" s="316">
        <v>45996</v>
      </c>
      <c r="AN761" s="316">
        <v>45996</v>
      </c>
      <c r="AO761" s="316">
        <v>45996</v>
      </c>
      <c r="AP761" s="316">
        <v>45996</v>
      </c>
      <c r="AQ761" s="314"/>
      <c r="AR761" s="315" t="str">
        <f t="shared" si="52"/>
        <v>FINALIZADO</v>
      </c>
      <c r="AS761" s="207"/>
      <c r="AT761" s="219"/>
      <c r="AU761" s="225"/>
      <c r="AV761" s="207"/>
      <c r="AW761" s="207"/>
      <c r="AX761" s="207" t="s">
        <v>4409</v>
      </c>
      <c r="AY761" s="207" t="s">
        <v>4409</v>
      </c>
      <c r="AZ761" s="207" t="s">
        <v>4409</v>
      </c>
      <c r="BA761" s="207" t="s">
        <v>4409</v>
      </c>
      <c r="BB761" s="219"/>
      <c r="BC761" s="219"/>
      <c r="BD761" s="208"/>
      <c r="BE761" s="202"/>
      <c r="BF761" s="207"/>
      <c r="BG761" s="229"/>
      <c r="BH761" s="321" t="str">
        <f t="shared" si="49"/>
        <v/>
      </c>
      <c r="BI761" s="98" t="str">
        <f t="shared" si="50"/>
        <v>AA</v>
      </c>
      <c r="BJ761" s="98" t="str">
        <f t="shared" si="51"/>
        <v>NÃO</v>
      </c>
      <c r="BK761" s="230"/>
      <c r="BL761" s="230"/>
      <c r="BM761" s="230"/>
      <c r="BN761" s="230"/>
      <c r="BO761" s="230"/>
      <c r="BP761" s="230"/>
      <c r="BQ761" s="230"/>
      <c r="BR761" s="234"/>
    </row>
    <row r="762" spans="1:71" ht="27" hidden="1" customHeight="1">
      <c r="A762" s="207">
        <v>758</v>
      </c>
      <c r="B762" s="197" t="s">
        <v>4396</v>
      </c>
      <c r="C762" s="207" t="s">
        <v>4427</v>
      </c>
      <c r="D762" s="207">
        <v>1</v>
      </c>
      <c r="E762" s="207" t="s">
        <v>4398</v>
      </c>
      <c r="F762" s="214" t="s">
        <v>7647</v>
      </c>
      <c r="G762" s="207" t="s">
        <v>4400</v>
      </c>
      <c r="H762" s="207" t="s">
        <v>4401</v>
      </c>
      <c r="I762" s="217" t="s">
        <v>4402</v>
      </c>
      <c r="J762" s="242" t="s">
        <v>7648</v>
      </c>
      <c r="K762" s="215" t="s">
        <v>7649</v>
      </c>
      <c r="L762" s="215" t="s">
        <v>7650</v>
      </c>
      <c r="M762" s="207" t="s">
        <v>4405</v>
      </c>
      <c r="N762" s="207" t="s">
        <v>4406</v>
      </c>
      <c r="O762" s="202">
        <v>45986</v>
      </c>
      <c r="P762" s="203" t="s">
        <v>4407</v>
      </c>
      <c r="Q762" s="203">
        <v>45985</v>
      </c>
      <c r="R762" s="203">
        <v>45986</v>
      </c>
      <c r="S762" s="203">
        <v>45987</v>
      </c>
      <c r="T762" s="203">
        <v>45992</v>
      </c>
      <c r="U762" s="203" t="s">
        <v>4408</v>
      </c>
      <c r="V762" s="203" t="s">
        <v>4408</v>
      </c>
      <c r="W762" s="202">
        <v>45999</v>
      </c>
      <c r="X762" s="202">
        <v>46001</v>
      </c>
      <c r="Y762" s="202"/>
      <c r="Z762" s="202"/>
      <c r="AA762" s="242" t="s">
        <v>7648</v>
      </c>
      <c r="AB762" s="215" t="s">
        <v>7649</v>
      </c>
      <c r="AC762" s="215" t="s">
        <v>7650</v>
      </c>
      <c r="AD762" s="207" t="s">
        <v>4402</v>
      </c>
      <c r="AE762" s="207" t="s">
        <v>4405</v>
      </c>
      <c r="AF762" s="218" t="s">
        <v>4409</v>
      </c>
      <c r="AG762" s="218" t="s">
        <v>4409</v>
      </c>
      <c r="AH762" s="204" t="s">
        <v>4410</v>
      </c>
      <c r="AI762" s="214" t="s">
        <v>4411</v>
      </c>
      <c r="AJ762" s="207"/>
      <c r="AK762" s="316"/>
      <c r="AL762" s="316"/>
      <c r="AM762" s="316"/>
      <c r="AN762" s="316"/>
      <c r="AO762" s="316"/>
      <c r="AP762" s="316"/>
      <c r="AQ762" s="314"/>
      <c r="AR762" s="315" t="str">
        <f t="shared" si="52"/>
        <v/>
      </c>
      <c r="AS762" s="207"/>
      <c r="AT762" s="207"/>
      <c r="AU762" s="225"/>
      <c r="AV762" s="207"/>
      <c r="AW762" s="207"/>
      <c r="AX762" s="207" t="s">
        <v>4409</v>
      </c>
      <c r="AY762" s="207" t="s">
        <v>4409</v>
      </c>
      <c r="AZ762" s="207" t="s">
        <v>4409</v>
      </c>
      <c r="BA762" s="207" t="s">
        <v>4409</v>
      </c>
      <c r="BB762" s="207"/>
      <c r="BC762" s="202"/>
      <c r="BD762" s="208"/>
      <c r="BE762" s="202"/>
      <c r="BF762" s="207"/>
      <c r="BG762" s="229"/>
      <c r="BH762" s="321" t="str">
        <f t="shared" si="49"/>
        <v/>
      </c>
      <c r="BI762" s="98" t="str">
        <f t="shared" si="50"/>
        <v>AA</v>
      </c>
      <c r="BJ762" s="98" t="str">
        <f t="shared" si="51"/>
        <v>NÃO</v>
      </c>
      <c r="BK762" s="230"/>
      <c r="BL762" s="230"/>
      <c r="BM762" s="230"/>
      <c r="BN762" s="230"/>
      <c r="BO762" s="230"/>
      <c r="BP762" s="230"/>
      <c r="BQ762" s="230"/>
      <c r="BR762" s="234"/>
    </row>
    <row r="763" spans="1:71" ht="27" hidden="1" customHeight="1">
      <c r="A763" s="207">
        <v>759</v>
      </c>
      <c r="B763" s="197" t="s">
        <v>4396</v>
      </c>
      <c r="C763" s="207" t="s">
        <v>4427</v>
      </c>
      <c r="D763" s="207">
        <v>1</v>
      </c>
      <c r="E763" s="207" t="s">
        <v>4398</v>
      </c>
      <c r="F763" s="214" t="s">
        <v>7651</v>
      </c>
      <c r="G763" s="207" t="s">
        <v>4400</v>
      </c>
      <c r="H763" s="207" t="s">
        <v>4401</v>
      </c>
      <c r="I763" s="217" t="s">
        <v>4402</v>
      </c>
      <c r="J763" s="215" t="s">
        <v>7652</v>
      </c>
      <c r="K763" s="215" t="s">
        <v>7653</v>
      </c>
      <c r="L763" s="215" t="s">
        <v>7654</v>
      </c>
      <c r="M763" s="207" t="s">
        <v>4405</v>
      </c>
      <c r="N763" s="207" t="s">
        <v>4406</v>
      </c>
      <c r="O763" s="202">
        <v>45986</v>
      </c>
      <c r="P763" s="203" t="s">
        <v>4407</v>
      </c>
      <c r="Q763" s="203">
        <v>45985</v>
      </c>
      <c r="R763" s="203">
        <v>45986</v>
      </c>
      <c r="S763" s="203">
        <v>45987</v>
      </c>
      <c r="T763" s="203">
        <v>45992</v>
      </c>
      <c r="U763" s="202" t="s">
        <v>4408</v>
      </c>
      <c r="V763" s="202" t="s">
        <v>4408</v>
      </c>
      <c r="W763" s="202">
        <v>45999</v>
      </c>
      <c r="X763" s="202">
        <v>46001</v>
      </c>
      <c r="Y763" s="202"/>
      <c r="Z763" s="202"/>
      <c r="AA763" s="215" t="s">
        <v>7652</v>
      </c>
      <c r="AB763" s="215" t="s">
        <v>7653</v>
      </c>
      <c r="AC763" s="215" t="s">
        <v>7654</v>
      </c>
      <c r="AD763" s="207" t="s">
        <v>4402</v>
      </c>
      <c r="AE763" s="207" t="s">
        <v>4405</v>
      </c>
      <c r="AF763" s="218" t="s">
        <v>4409</v>
      </c>
      <c r="AG763" s="218" t="s">
        <v>4409</v>
      </c>
      <c r="AH763" s="204" t="s">
        <v>4410</v>
      </c>
      <c r="AI763" s="214" t="s">
        <v>4411</v>
      </c>
      <c r="AJ763" s="207"/>
      <c r="AK763" s="316">
        <v>45996</v>
      </c>
      <c r="AL763" s="316">
        <v>45996</v>
      </c>
      <c r="AM763" s="316">
        <v>45996</v>
      </c>
      <c r="AN763" s="316">
        <v>45996</v>
      </c>
      <c r="AO763" s="316">
        <v>45996</v>
      </c>
      <c r="AP763" s="316">
        <v>45996</v>
      </c>
      <c r="AQ763" s="314"/>
      <c r="AR763" s="315" t="str">
        <f t="shared" si="52"/>
        <v>FINALIZADO</v>
      </c>
      <c r="AS763" s="207"/>
      <c r="AT763" s="219"/>
      <c r="AU763" s="225"/>
      <c r="AV763" s="207"/>
      <c r="AW763" s="207"/>
      <c r="AX763" s="207" t="s">
        <v>4409</v>
      </c>
      <c r="AY763" s="207" t="s">
        <v>4409</v>
      </c>
      <c r="AZ763" s="207" t="s">
        <v>4409</v>
      </c>
      <c r="BA763" s="207" t="s">
        <v>4409</v>
      </c>
      <c r="BB763" s="219"/>
      <c r="BC763" s="219"/>
      <c r="BD763" s="208"/>
      <c r="BE763" s="202"/>
      <c r="BF763" s="207"/>
      <c r="BG763" s="229"/>
      <c r="BH763" s="321" t="str">
        <f t="shared" si="49"/>
        <v/>
      </c>
      <c r="BI763" s="98" t="str">
        <f t="shared" si="50"/>
        <v>AA</v>
      </c>
      <c r="BJ763" s="98" t="str">
        <f t="shared" si="51"/>
        <v>NÃO</v>
      </c>
      <c r="BK763" s="230"/>
      <c r="BL763" s="230"/>
      <c r="BM763" s="230"/>
      <c r="BN763" s="230"/>
      <c r="BO763" s="230"/>
      <c r="BP763" s="230"/>
      <c r="BQ763" s="230"/>
      <c r="BR763" s="234"/>
    </row>
    <row r="764" spans="1:71" ht="27" hidden="1" customHeight="1">
      <c r="A764" s="197">
        <v>760</v>
      </c>
      <c r="B764" s="197" t="s">
        <v>4396</v>
      </c>
      <c r="C764" s="207" t="s">
        <v>4427</v>
      </c>
      <c r="D764" s="207">
        <v>1</v>
      </c>
      <c r="E764" s="207" t="s">
        <v>4398</v>
      </c>
      <c r="F764" s="214" t="s">
        <v>7655</v>
      </c>
      <c r="G764" s="207" t="s">
        <v>4400</v>
      </c>
      <c r="H764" s="207" t="s">
        <v>4401</v>
      </c>
      <c r="I764" s="217" t="s">
        <v>4402</v>
      </c>
      <c r="J764" s="215" t="s">
        <v>7656</v>
      </c>
      <c r="K764" s="215" t="s">
        <v>7657</v>
      </c>
      <c r="L764" s="215" t="s">
        <v>7658</v>
      </c>
      <c r="M764" s="207" t="s">
        <v>4405</v>
      </c>
      <c r="N764" s="207" t="s">
        <v>4406</v>
      </c>
      <c r="O764" s="202">
        <v>45986</v>
      </c>
      <c r="P764" s="203" t="s">
        <v>4407</v>
      </c>
      <c r="Q764" s="203">
        <v>45985</v>
      </c>
      <c r="R764" s="203">
        <v>45986</v>
      </c>
      <c r="S764" s="203">
        <v>45987</v>
      </c>
      <c r="T764" s="203">
        <v>45992</v>
      </c>
      <c r="U764" s="202" t="s">
        <v>4408</v>
      </c>
      <c r="V764" s="202" t="s">
        <v>4408</v>
      </c>
      <c r="W764" s="202">
        <v>45999</v>
      </c>
      <c r="X764" s="202">
        <v>46001</v>
      </c>
      <c r="Y764" s="202"/>
      <c r="Z764" s="202"/>
      <c r="AA764" s="215" t="s">
        <v>7656</v>
      </c>
      <c r="AB764" s="215" t="s">
        <v>7657</v>
      </c>
      <c r="AC764" s="215" t="s">
        <v>7658</v>
      </c>
      <c r="AD764" s="207" t="s">
        <v>4402</v>
      </c>
      <c r="AE764" s="207" t="s">
        <v>4405</v>
      </c>
      <c r="AF764" s="218" t="s">
        <v>4409</v>
      </c>
      <c r="AG764" s="218" t="s">
        <v>4409</v>
      </c>
      <c r="AH764" s="204" t="s">
        <v>4410</v>
      </c>
      <c r="AI764" s="214" t="s">
        <v>4411</v>
      </c>
      <c r="AJ764" s="207"/>
      <c r="AK764" s="316">
        <v>45996</v>
      </c>
      <c r="AL764" s="316">
        <v>45996</v>
      </c>
      <c r="AM764" s="316">
        <v>45996</v>
      </c>
      <c r="AN764" s="316">
        <v>45996</v>
      </c>
      <c r="AO764" s="316">
        <v>45996</v>
      </c>
      <c r="AP764" s="316">
        <v>45996</v>
      </c>
      <c r="AQ764" s="314"/>
      <c r="AR764" s="315" t="str">
        <f t="shared" si="52"/>
        <v>FINALIZADO</v>
      </c>
      <c r="AS764" s="207"/>
      <c r="AT764" s="207"/>
      <c r="AU764" s="225"/>
      <c r="AV764" s="207"/>
      <c r="AW764" s="207"/>
      <c r="AX764" s="207" t="s">
        <v>4409</v>
      </c>
      <c r="AY764" s="207" t="s">
        <v>4409</v>
      </c>
      <c r="AZ764" s="207" t="s">
        <v>4409</v>
      </c>
      <c r="BA764" s="207" t="s">
        <v>4409</v>
      </c>
      <c r="BB764" s="207"/>
      <c r="BC764" s="202"/>
      <c r="BD764" s="208"/>
      <c r="BE764" s="202"/>
      <c r="BF764" s="207"/>
      <c r="BG764" s="229"/>
      <c r="BH764" s="321" t="str">
        <f t="shared" si="49"/>
        <v/>
      </c>
      <c r="BI764" s="98" t="str">
        <f t="shared" si="50"/>
        <v>AA</v>
      </c>
      <c r="BJ764" s="98" t="str">
        <f t="shared" si="51"/>
        <v>NÃO</v>
      </c>
      <c r="BK764" s="230"/>
      <c r="BL764" s="230"/>
      <c r="BM764" s="230"/>
      <c r="BN764" s="230"/>
      <c r="BO764" s="230"/>
      <c r="BP764" s="230"/>
      <c r="BQ764" s="230"/>
      <c r="BR764" s="234"/>
    </row>
    <row r="765" spans="1:71" ht="27" hidden="1" customHeight="1">
      <c r="A765" s="197">
        <v>761</v>
      </c>
      <c r="B765" s="197" t="s">
        <v>4396</v>
      </c>
      <c r="C765" s="207" t="s">
        <v>4427</v>
      </c>
      <c r="D765" s="207">
        <v>1</v>
      </c>
      <c r="E765" s="207" t="s">
        <v>4398</v>
      </c>
      <c r="F765" s="214" t="s">
        <v>7659</v>
      </c>
      <c r="G765" s="207" t="s">
        <v>4400</v>
      </c>
      <c r="H765" s="207" t="s">
        <v>4401</v>
      </c>
      <c r="I765" s="217" t="s">
        <v>4402</v>
      </c>
      <c r="J765" s="215" t="s">
        <v>7660</v>
      </c>
      <c r="K765" s="215" t="s">
        <v>7661</v>
      </c>
      <c r="L765" s="215" t="s">
        <v>7662</v>
      </c>
      <c r="M765" s="207" t="s">
        <v>4405</v>
      </c>
      <c r="N765" s="207" t="s">
        <v>4406</v>
      </c>
      <c r="O765" s="202">
        <v>45986</v>
      </c>
      <c r="P765" s="203" t="s">
        <v>4407</v>
      </c>
      <c r="Q765" s="203">
        <v>45985</v>
      </c>
      <c r="R765" s="203">
        <v>45986</v>
      </c>
      <c r="S765" s="203">
        <v>45987</v>
      </c>
      <c r="T765" s="203">
        <v>45992</v>
      </c>
      <c r="U765" s="202" t="s">
        <v>4408</v>
      </c>
      <c r="V765" s="202" t="s">
        <v>4408</v>
      </c>
      <c r="W765" s="202">
        <v>45999</v>
      </c>
      <c r="X765" s="202">
        <v>46002</v>
      </c>
      <c r="Y765" s="202"/>
      <c r="Z765" s="202"/>
      <c r="AA765" s="215" t="s">
        <v>7660</v>
      </c>
      <c r="AB765" s="215" t="s">
        <v>7661</v>
      </c>
      <c r="AC765" s="215" t="s">
        <v>7662</v>
      </c>
      <c r="AD765" s="207" t="s">
        <v>4402</v>
      </c>
      <c r="AE765" s="207" t="s">
        <v>4405</v>
      </c>
      <c r="AF765" s="218" t="s">
        <v>4409</v>
      </c>
      <c r="AG765" s="218" t="s">
        <v>4409</v>
      </c>
      <c r="AH765" s="204" t="s">
        <v>4410</v>
      </c>
      <c r="AI765" s="214" t="s">
        <v>4411</v>
      </c>
      <c r="AJ765" s="207"/>
      <c r="AK765" s="316">
        <v>45996</v>
      </c>
      <c r="AL765" s="316">
        <v>45996</v>
      </c>
      <c r="AM765" s="316">
        <v>45996</v>
      </c>
      <c r="AN765" s="316">
        <v>45996</v>
      </c>
      <c r="AO765" s="316">
        <v>45996</v>
      </c>
      <c r="AP765" s="316">
        <v>45996</v>
      </c>
      <c r="AQ765" s="314"/>
      <c r="AR765" s="315" t="str">
        <f t="shared" si="52"/>
        <v>FINALIZADO</v>
      </c>
      <c r="AS765" s="207"/>
      <c r="AT765" s="207"/>
      <c r="AU765" s="225"/>
      <c r="AV765" s="207"/>
      <c r="AW765" s="207"/>
      <c r="AX765" s="207" t="s">
        <v>4409</v>
      </c>
      <c r="AY765" s="207" t="s">
        <v>4409</v>
      </c>
      <c r="AZ765" s="207" t="s">
        <v>4409</v>
      </c>
      <c r="BA765" s="207" t="s">
        <v>4409</v>
      </c>
      <c r="BB765" s="207"/>
      <c r="BC765" s="202"/>
      <c r="BD765" s="208"/>
      <c r="BE765" s="202"/>
      <c r="BF765" s="207"/>
      <c r="BG765" s="229"/>
      <c r="BH765" s="321" t="str">
        <f t="shared" si="49"/>
        <v/>
      </c>
      <c r="BI765" s="98" t="str">
        <f t="shared" si="50"/>
        <v>AA</v>
      </c>
      <c r="BJ765" s="98" t="str">
        <f t="shared" si="51"/>
        <v>NÃO</v>
      </c>
      <c r="BK765" s="230"/>
      <c r="BL765" s="230"/>
      <c r="BM765" s="230"/>
      <c r="BN765" s="230"/>
      <c r="BO765" s="230"/>
      <c r="BP765" s="230"/>
      <c r="BQ765" s="230"/>
      <c r="BR765" s="234"/>
    </row>
    <row r="766" spans="1:71" ht="27" hidden="1" customHeight="1">
      <c r="A766" s="207">
        <v>762</v>
      </c>
      <c r="B766" s="197" t="s">
        <v>4396</v>
      </c>
      <c r="C766" s="207" t="s">
        <v>4427</v>
      </c>
      <c r="D766" s="207">
        <v>1</v>
      </c>
      <c r="E766" s="207" t="s">
        <v>4398</v>
      </c>
      <c r="F766" s="162" t="s">
        <v>7663</v>
      </c>
      <c r="G766" s="207" t="s">
        <v>4400</v>
      </c>
      <c r="H766" s="207" t="s">
        <v>4401</v>
      </c>
      <c r="I766" s="217" t="s">
        <v>4402</v>
      </c>
      <c r="J766" s="215" t="s">
        <v>7664</v>
      </c>
      <c r="K766" s="215" t="s">
        <v>4440</v>
      </c>
      <c r="L766" s="215" t="s">
        <v>7665</v>
      </c>
      <c r="M766" s="207" t="s">
        <v>4405</v>
      </c>
      <c r="N766" s="207" t="s">
        <v>4442</v>
      </c>
      <c r="O766" s="202" t="s">
        <v>4409</v>
      </c>
      <c r="P766" s="202" t="s">
        <v>4409</v>
      </c>
      <c r="Q766" s="202" t="s">
        <v>4409</v>
      </c>
      <c r="R766" s="202" t="s">
        <v>4409</v>
      </c>
      <c r="S766" s="202" t="s">
        <v>4409</v>
      </c>
      <c r="T766" s="202" t="s">
        <v>4409</v>
      </c>
      <c r="U766" s="202" t="s">
        <v>4409</v>
      </c>
      <c r="V766" s="202" t="s">
        <v>4409</v>
      </c>
      <c r="W766" s="202" t="s">
        <v>4409</v>
      </c>
      <c r="X766" s="202" t="s">
        <v>4409</v>
      </c>
      <c r="Y766" s="202" t="s">
        <v>4409</v>
      </c>
      <c r="Z766" s="202"/>
      <c r="AA766" s="200" t="s">
        <v>7664</v>
      </c>
      <c r="AB766" s="200" t="s">
        <v>4398</v>
      </c>
      <c r="AC766" s="200" t="s">
        <v>7665</v>
      </c>
      <c r="AD766" s="197" t="s">
        <v>4402</v>
      </c>
      <c r="AE766" s="197" t="s">
        <v>4405</v>
      </c>
      <c r="AF766" s="243">
        <v>10972.32</v>
      </c>
      <c r="AG766" s="243">
        <f>AF766+30000</f>
        <v>40972.32</v>
      </c>
      <c r="AH766" s="197" t="s">
        <v>4433</v>
      </c>
      <c r="AI766" s="214" t="s">
        <v>4411</v>
      </c>
      <c r="AJ766" s="207">
        <v>146686514</v>
      </c>
      <c r="AK766" s="316">
        <v>45996</v>
      </c>
      <c r="AL766" s="316">
        <v>45996</v>
      </c>
      <c r="AM766" s="316">
        <v>45996</v>
      </c>
      <c r="AN766" s="316">
        <v>45996</v>
      </c>
      <c r="AO766" s="316">
        <v>45996</v>
      </c>
      <c r="AP766" s="316">
        <v>45996</v>
      </c>
      <c r="AQ766" s="314"/>
      <c r="AR766" s="315" t="str">
        <f t="shared" si="52"/>
        <v>FINALIZADO</v>
      </c>
      <c r="AS766" s="207" t="s">
        <v>4423</v>
      </c>
      <c r="AU766" s="225" t="s">
        <v>7666</v>
      </c>
      <c r="AV766" s="207" t="s">
        <v>4425</v>
      </c>
      <c r="AW766" s="207" t="s">
        <v>4425</v>
      </c>
      <c r="AX766" s="207" t="s">
        <v>4425</v>
      </c>
      <c r="AY766" s="207" t="s">
        <v>4425</v>
      </c>
      <c r="AZ766" s="202">
        <v>46021</v>
      </c>
      <c r="BA766" s="219" t="s">
        <v>4425</v>
      </c>
      <c r="BB766" s="160" t="s">
        <v>4425</v>
      </c>
      <c r="BC766" s="300">
        <v>46041</v>
      </c>
      <c r="BD766" s="301">
        <v>46041</v>
      </c>
      <c r="BE766" s="226" t="s">
        <v>4435</v>
      </c>
      <c r="BF766" s="228" t="s">
        <v>4436</v>
      </c>
      <c r="BG766" s="229" t="s">
        <v>4425</v>
      </c>
      <c r="BH766" s="321">
        <f t="shared" si="49"/>
        <v>45</v>
      </c>
      <c r="BI766" s="98" t="str">
        <f t="shared" si="50"/>
        <v>INDENIZAÇÃO</v>
      </c>
      <c r="BJ766" s="98" t="str">
        <f t="shared" si="51"/>
        <v>NÃO</v>
      </c>
      <c r="BK766" s="302" t="s">
        <v>4437</v>
      </c>
      <c r="BL766" s="302" t="s">
        <v>4437</v>
      </c>
      <c r="BM766" s="302" t="s">
        <v>4437</v>
      </c>
      <c r="BN766" s="303" t="s">
        <v>5732</v>
      </c>
      <c r="BO766" s="303"/>
      <c r="BP766" s="303"/>
      <c r="BQ766" s="303"/>
      <c r="BR766" s="304"/>
    </row>
    <row r="767" spans="1:71" ht="27" hidden="1" customHeight="1">
      <c r="A767" s="207">
        <v>763</v>
      </c>
      <c r="B767" s="197" t="s">
        <v>4396</v>
      </c>
      <c r="C767" s="207" t="s">
        <v>4427</v>
      </c>
      <c r="D767" s="207">
        <v>1</v>
      </c>
      <c r="E767" s="207" t="s">
        <v>4398</v>
      </c>
      <c r="F767" s="214" t="s">
        <v>7667</v>
      </c>
      <c r="G767" s="207" t="s">
        <v>4400</v>
      </c>
      <c r="H767" s="207" t="s">
        <v>4401</v>
      </c>
      <c r="I767" s="217" t="s">
        <v>4402</v>
      </c>
      <c r="J767" s="215" t="s">
        <v>7668</v>
      </c>
      <c r="K767" s="215" t="s">
        <v>4440</v>
      </c>
      <c r="L767" s="215" t="s">
        <v>7669</v>
      </c>
      <c r="M767" s="207" t="s">
        <v>4405</v>
      </c>
      <c r="N767" s="207" t="s">
        <v>4406</v>
      </c>
      <c r="O767" s="202">
        <v>45986</v>
      </c>
      <c r="P767" s="203" t="s">
        <v>4407</v>
      </c>
      <c r="Q767" s="203">
        <v>45985</v>
      </c>
      <c r="R767" s="203">
        <v>45986</v>
      </c>
      <c r="S767" s="203">
        <v>45987</v>
      </c>
      <c r="T767" s="203">
        <v>45992</v>
      </c>
      <c r="U767" s="202" t="s">
        <v>4408</v>
      </c>
      <c r="V767" s="202" t="s">
        <v>4408</v>
      </c>
      <c r="W767" s="202">
        <v>45999</v>
      </c>
      <c r="X767" s="202">
        <v>46001</v>
      </c>
      <c r="Y767" s="202"/>
      <c r="Z767" s="202"/>
      <c r="AA767" s="215" t="s">
        <v>7668</v>
      </c>
      <c r="AB767" s="215" t="s">
        <v>4440</v>
      </c>
      <c r="AC767" s="215" t="s">
        <v>7669</v>
      </c>
      <c r="AD767" s="207" t="s">
        <v>4402</v>
      </c>
      <c r="AE767" s="207" t="s">
        <v>4405</v>
      </c>
      <c r="AF767" s="218" t="s">
        <v>4409</v>
      </c>
      <c r="AG767" s="218" t="s">
        <v>4409</v>
      </c>
      <c r="AH767" s="241" t="s">
        <v>4410</v>
      </c>
      <c r="AI767" s="214" t="s">
        <v>4411</v>
      </c>
      <c r="AJ767" s="207"/>
      <c r="AK767" s="316">
        <v>45996</v>
      </c>
      <c r="AL767" s="316">
        <v>45996</v>
      </c>
      <c r="AM767" s="316">
        <v>45996</v>
      </c>
      <c r="AN767" s="316">
        <v>45996</v>
      </c>
      <c r="AO767" s="316">
        <v>45996</v>
      </c>
      <c r="AP767" s="316">
        <v>45996</v>
      </c>
      <c r="AQ767" s="314"/>
      <c r="AR767" s="315" t="str">
        <f t="shared" si="52"/>
        <v>FINALIZADO</v>
      </c>
      <c r="AS767" s="207"/>
      <c r="AT767" s="207"/>
      <c r="AU767" s="225"/>
      <c r="AV767" s="207"/>
      <c r="AW767" s="207"/>
      <c r="AX767" s="207" t="s">
        <v>4409</v>
      </c>
      <c r="AY767" s="207" t="s">
        <v>4409</v>
      </c>
      <c r="AZ767" s="207" t="s">
        <v>4409</v>
      </c>
      <c r="BA767" s="207" t="s">
        <v>4409</v>
      </c>
      <c r="BB767" s="207"/>
      <c r="BC767" s="202"/>
      <c r="BD767" s="208"/>
      <c r="BE767" s="202"/>
      <c r="BF767" s="207"/>
      <c r="BG767" s="229"/>
      <c r="BH767" s="321" t="str">
        <f t="shared" si="49"/>
        <v/>
      </c>
      <c r="BI767" s="98" t="str">
        <f t="shared" si="50"/>
        <v>AA</v>
      </c>
      <c r="BJ767" s="98" t="str">
        <f t="shared" si="51"/>
        <v>NÃO</v>
      </c>
      <c r="BK767" s="230"/>
      <c r="BL767" s="230"/>
      <c r="BM767" s="230"/>
      <c r="BN767" s="230"/>
      <c r="BO767" s="230"/>
      <c r="BP767" s="230"/>
      <c r="BQ767" s="230"/>
      <c r="BR767" s="234"/>
      <c r="BS767" s="240"/>
    </row>
    <row r="768" spans="1:71" ht="27" hidden="1" customHeight="1">
      <c r="A768" s="207">
        <v>764</v>
      </c>
      <c r="B768" s="197" t="s">
        <v>4396</v>
      </c>
      <c r="C768" s="207" t="s">
        <v>4427</v>
      </c>
      <c r="D768" s="207">
        <v>1</v>
      </c>
      <c r="E768" s="207" t="s">
        <v>4398</v>
      </c>
      <c r="F768" s="214" t="s">
        <v>7670</v>
      </c>
      <c r="G768" s="207" t="s">
        <v>4400</v>
      </c>
      <c r="H768" s="207" t="s">
        <v>4401</v>
      </c>
      <c r="I768" s="217" t="s">
        <v>4402</v>
      </c>
      <c r="J768" s="215" t="s">
        <v>7671</v>
      </c>
      <c r="K768" s="215" t="s">
        <v>7672</v>
      </c>
      <c r="L768" s="215" t="s">
        <v>7673</v>
      </c>
      <c r="M768" s="207" t="s">
        <v>4405</v>
      </c>
      <c r="N768" s="207" t="s">
        <v>4406</v>
      </c>
      <c r="O768" s="202">
        <v>45986</v>
      </c>
      <c r="P768" s="203" t="s">
        <v>4407</v>
      </c>
      <c r="Q768" s="203">
        <v>45985</v>
      </c>
      <c r="R768" s="203">
        <v>45986</v>
      </c>
      <c r="S768" s="203">
        <v>45987</v>
      </c>
      <c r="T768" s="203">
        <v>45992</v>
      </c>
      <c r="U768" s="202" t="s">
        <v>4408</v>
      </c>
      <c r="V768" s="202" t="s">
        <v>4408</v>
      </c>
      <c r="W768" s="202">
        <v>45999</v>
      </c>
      <c r="X768" s="202">
        <v>46001</v>
      </c>
      <c r="Y768" s="202"/>
      <c r="Z768" s="202"/>
      <c r="AA768" s="215" t="s">
        <v>7671</v>
      </c>
      <c r="AB768" s="215" t="s">
        <v>7672</v>
      </c>
      <c r="AC768" s="215" t="s">
        <v>7673</v>
      </c>
      <c r="AD768" s="207" t="s">
        <v>4402</v>
      </c>
      <c r="AE768" s="207" t="s">
        <v>4405</v>
      </c>
      <c r="AF768" s="218" t="s">
        <v>4409</v>
      </c>
      <c r="AG768" s="218" t="s">
        <v>4409</v>
      </c>
      <c r="AH768" s="204" t="s">
        <v>4410</v>
      </c>
      <c r="AI768" s="214" t="s">
        <v>4411</v>
      </c>
      <c r="AJ768" s="207"/>
      <c r="AK768" s="316">
        <v>45996</v>
      </c>
      <c r="AL768" s="316">
        <v>45996</v>
      </c>
      <c r="AM768" s="316">
        <v>45996</v>
      </c>
      <c r="AN768" s="316">
        <v>45996</v>
      </c>
      <c r="AO768" s="316">
        <v>45996</v>
      </c>
      <c r="AP768" s="316">
        <v>45996</v>
      </c>
      <c r="AQ768" s="314"/>
      <c r="AR768" s="315" t="str">
        <f t="shared" si="52"/>
        <v>FINALIZADO</v>
      </c>
      <c r="AS768" s="207"/>
      <c r="AT768" s="207"/>
      <c r="AU768" s="225"/>
      <c r="AV768" s="207"/>
      <c r="AW768" s="207"/>
      <c r="AX768" s="207" t="s">
        <v>4409</v>
      </c>
      <c r="AY768" s="207" t="s">
        <v>4409</v>
      </c>
      <c r="AZ768" s="207" t="s">
        <v>4409</v>
      </c>
      <c r="BA768" s="207" t="s">
        <v>4409</v>
      </c>
      <c r="BB768" s="207"/>
      <c r="BC768" s="202"/>
      <c r="BD768" s="208"/>
      <c r="BE768" s="202"/>
      <c r="BF768" s="207"/>
      <c r="BG768" s="229"/>
      <c r="BH768" s="321" t="str">
        <f t="shared" si="49"/>
        <v/>
      </c>
      <c r="BI768" s="98" t="str">
        <f t="shared" si="50"/>
        <v>AA</v>
      </c>
      <c r="BJ768" s="98" t="str">
        <f t="shared" si="51"/>
        <v>NÃO</v>
      </c>
      <c r="BK768" s="230"/>
      <c r="BL768" s="230"/>
      <c r="BM768" s="230"/>
      <c r="BN768" s="230"/>
      <c r="BO768" s="230"/>
      <c r="BP768" s="230"/>
      <c r="BQ768" s="230"/>
      <c r="BR768" s="234"/>
    </row>
    <row r="769" spans="1:70" ht="27" hidden="1" customHeight="1">
      <c r="A769" s="197">
        <v>765</v>
      </c>
      <c r="B769" s="197" t="s">
        <v>4396</v>
      </c>
      <c r="C769" s="207" t="s">
        <v>4427</v>
      </c>
      <c r="D769" s="207">
        <v>1</v>
      </c>
      <c r="E769" s="207" t="s">
        <v>4398</v>
      </c>
      <c r="F769" s="214" t="s">
        <v>7674</v>
      </c>
      <c r="G769" s="207" t="s">
        <v>4400</v>
      </c>
      <c r="H769" s="207" t="s">
        <v>4401</v>
      </c>
      <c r="I769" s="217" t="s">
        <v>4402</v>
      </c>
      <c r="J769" s="215" t="s">
        <v>7675</v>
      </c>
      <c r="K769" s="215" t="s">
        <v>7676</v>
      </c>
      <c r="L769" s="215" t="s">
        <v>7677</v>
      </c>
      <c r="M769" s="207" t="s">
        <v>4405</v>
      </c>
      <c r="N769" s="207" t="s">
        <v>4406</v>
      </c>
      <c r="O769" s="202">
        <v>45986</v>
      </c>
      <c r="P769" s="203" t="s">
        <v>4407</v>
      </c>
      <c r="Q769" s="203">
        <v>45985</v>
      </c>
      <c r="R769" s="203">
        <v>45986</v>
      </c>
      <c r="S769" s="203">
        <v>45987</v>
      </c>
      <c r="T769" s="203">
        <v>45992</v>
      </c>
      <c r="U769" s="202" t="s">
        <v>4408</v>
      </c>
      <c r="V769" s="202" t="s">
        <v>4408</v>
      </c>
      <c r="W769" s="202">
        <v>45999</v>
      </c>
      <c r="X769" s="202">
        <v>46001</v>
      </c>
      <c r="Y769" s="202"/>
      <c r="Z769" s="202"/>
      <c r="AA769" s="215" t="s">
        <v>7675</v>
      </c>
      <c r="AB769" s="215" t="s">
        <v>7676</v>
      </c>
      <c r="AC769" s="215" t="s">
        <v>7677</v>
      </c>
      <c r="AD769" s="207" t="s">
        <v>4402</v>
      </c>
      <c r="AE769" s="207" t="s">
        <v>4405</v>
      </c>
      <c r="AF769" s="218" t="s">
        <v>4409</v>
      </c>
      <c r="AG769" s="218" t="s">
        <v>4409</v>
      </c>
      <c r="AH769" s="204" t="s">
        <v>4410</v>
      </c>
      <c r="AI769" s="214" t="s">
        <v>4411</v>
      </c>
      <c r="AJ769" s="207"/>
      <c r="AK769" s="316">
        <v>45996</v>
      </c>
      <c r="AL769" s="316">
        <v>45996</v>
      </c>
      <c r="AM769" s="316">
        <v>45996</v>
      </c>
      <c r="AN769" s="316">
        <v>45996</v>
      </c>
      <c r="AO769" s="316">
        <v>45996</v>
      </c>
      <c r="AP769" s="316">
        <v>45996</v>
      </c>
      <c r="AQ769" s="314"/>
      <c r="AR769" s="315" t="str">
        <f t="shared" si="52"/>
        <v>FINALIZADO</v>
      </c>
      <c r="AS769" s="207"/>
      <c r="AT769" s="207"/>
      <c r="AU769" s="225"/>
      <c r="AV769" s="207"/>
      <c r="AW769" s="207"/>
      <c r="AX769" s="207" t="s">
        <v>4409</v>
      </c>
      <c r="AY769" s="207" t="s">
        <v>4409</v>
      </c>
      <c r="AZ769" s="207" t="s">
        <v>4409</v>
      </c>
      <c r="BA769" s="207" t="s">
        <v>4409</v>
      </c>
      <c r="BB769" s="207"/>
      <c r="BC769" s="207"/>
      <c r="BD769" s="208"/>
      <c r="BE769" s="202"/>
      <c r="BF769" s="207"/>
      <c r="BG769" s="229"/>
      <c r="BH769" s="321" t="str">
        <f t="shared" si="49"/>
        <v/>
      </c>
      <c r="BI769" s="98" t="str">
        <f t="shared" si="50"/>
        <v>AA</v>
      </c>
      <c r="BJ769" s="98" t="str">
        <f t="shared" si="51"/>
        <v>NÃO</v>
      </c>
      <c r="BK769" s="230"/>
      <c r="BL769" s="230"/>
      <c r="BM769" s="230"/>
      <c r="BN769" s="230"/>
      <c r="BO769" s="230"/>
      <c r="BP769" s="230"/>
      <c r="BQ769" s="230"/>
      <c r="BR769" s="234"/>
    </row>
    <row r="770" spans="1:70" ht="27" hidden="1" customHeight="1">
      <c r="A770" s="197">
        <v>766</v>
      </c>
      <c r="B770" s="197" t="s">
        <v>4396</v>
      </c>
      <c r="C770" s="207" t="s">
        <v>4427</v>
      </c>
      <c r="D770" s="207">
        <v>1</v>
      </c>
      <c r="E770" s="207" t="s">
        <v>4398</v>
      </c>
      <c r="F770" s="214" t="s">
        <v>7678</v>
      </c>
      <c r="G770" s="207" t="s">
        <v>4400</v>
      </c>
      <c r="H770" s="207" t="s">
        <v>4401</v>
      </c>
      <c r="I770" s="217" t="s">
        <v>4402</v>
      </c>
      <c r="J770" s="215" t="s">
        <v>7679</v>
      </c>
      <c r="K770" s="215" t="s">
        <v>7680</v>
      </c>
      <c r="L770" s="215" t="s">
        <v>7681</v>
      </c>
      <c r="M770" s="207" t="s">
        <v>4405</v>
      </c>
      <c r="N770" s="207" t="s">
        <v>4406</v>
      </c>
      <c r="O770" s="202">
        <v>45986</v>
      </c>
      <c r="P770" s="203" t="s">
        <v>4407</v>
      </c>
      <c r="Q770" s="203">
        <v>45985</v>
      </c>
      <c r="R770" s="203">
        <v>45986</v>
      </c>
      <c r="S770" s="203">
        <v>45987</v>
      </c>
      <c r="T770" s="203">
        <v>45992</v>
      </c>
      <c r="U770" s="202" t="s">
        <v>4408</v>
      </c>
      <c r="V770" s="202" t="s">
        <v>4408</v>
      </c>
      <c r="W770" s="202">
        <v>45999</v>
      </c>
      <c r="X770" s="202">
        <v>46002</v>
      </c>
      <c r="Y770" s="202"/>
      <c r="Z770" s="202"/>
      <c r="AA770" s="215" t="s">
        <v>7679</v>
      </c>
      <c r="AB770" s="215" t="s">
        <v>7680</v>
      </c>
      <c r="AC770" s="215" t="s">
        <v>7681</v>
      </c>
      <c r="AD770" s="207" t="s">
        <v>4402</v>
      </c>
      <c r="AE770" s="207" t="s">
        <v>4405</v>
      </c>
      <c r="AF770" s="218" t="s">
        <v>4409</v>
      </c>
      <c r="AG770" s="218" t="s">
        <v>4409</v>
      </c>
      <c r="AH770" s="204" t="s">
        <v>4410</v>
      </c>
      <c r="AI770" s="214" t="s">
        <v>4411</v>
      </c>
      <c r="AJ770" s="207"/>
      <c r="AK770" s="316">
        <v>45996</v>
      </c>
      <c r="AL770" s="316">
        <v>45996</v>
      </c>
      <c r="AM770" s="316">
        <v>45996</v>
      </c>
      <c r="AN770" s="316">
        <v>45996</v>
      </c>
      <c r="AO770" s="316">
        <v>45996</v>
      </c>
      <c r="AP770" s="316">
        <v>45996</v>
      </c>
      <c r="AQ770" s="314"/>
      <c r="AR770" s="315" t="str">
        <f t="shared" si="52"/>
        <v>FINALIZADO</v>
      </c>
      <c r="AS770" s="207"/>
      <c r="AT770" s="207"/>
      <c r="AU770" s="225"/>
      <c r="AV770" s="207"/>
      <c r="AW770" s="207"/>
      <c r="AX770" s="207" t="s">
        <v>4409</v>
      </c>
      <c r="AY770" s="207" t="s">
        <v>4409</v>
      </c>
      <c r="AZ770" s="207" t="s">
        <v>4409</v>
      </c>
      <c r="BA770" s="207" t="s">
        <v>4409</v>
      </c>
      <c r="BB770" s="207"/>
      <c r="BC770" s="202"/>
      <c r="BD770" s="208"/>
      <c r="BE770" s="202"/>
      <c r="BF770" s="207"/>
      <c r="BG770" s="229"/>
      <c r="BH770" s="321" t="str">
        <f t="shared" si="49"/>
        <v/>
      </c>
      <c r="BI770" s="98" t="str">
        <f t="shared" si="50"/>
        <v>AA</v>
      </c>
      <c r="BJ770" s="98" t="str">
        <f t="shared" si="51"/>
        <v>NÃO</v>
      </c>
      <c r="BK770" s="230"/>
      <c r="BL770" s="230"/>
      <c r="BM770" s="230"/>
      <c r="BN770" s="230"/>
      <c r="BO770" s="230"/>
      <c r="BP770" s="230"/>
      <c r="BQ770" s="230"/>
      <c r="BR770" s="234"/>
    </row>
    <row r="771" spans="1:70" ht="27" hidden="1" customHeight="1">
      <c r="A771" s="207">
        <v>767</v>
      </c>
      <c r="B771" s="197" t="s">
        <v>4396</v>
      </c>
      <c r="C771" s="207" t="s">
        <v>4427</v>
      </c>
      <c r="D771" s="207">
        <v>1</v>
      </c>
      <c r="E771" s="207" t="s">
        <v>4398</v>
      </c>
      <c r="F771" s="214" t="s">
        <v>7682</v>
      </c>
      <c r="G771" s="207" t="s">
        <v>4400</v>
      </c>
      <c r="H771" s="207" t="s">
        <v>4401</v>
      </c>
      <c r="I771" s="217" t="s">
        <v>4402</v>
      </c>
      <c r="J771" s="215" t="s">
        <v>772</v>
      </c>
      <c r="K771" s="215" t="s">
        <v>7683</v>
      </c>
      <c r="L771" s="215" t="s">
        <v>7684</v>
      </c>
      <c r="M771" s="207" t="s">
        <v>4405</v>
      </c>
      <c r="N771" s="207" t="s">
        <v>4406</v>
      </c>
      <c r="O771" s="202">
        <v>45986</v>
      </c>
      <c r="P771" s="203" t="s">
        <v>4407</v>
      </c>
      <c r="Q771" s="203">
        <v>45985</v>
      </c>
      <c r="R771" s="203">
        <v>45986</v>
      </c>
      <c r="S771" s="203">
        <v>45987</v>
      </c>
      <c r="T771" s="203">
        <v>45992</v>
      </c>
      <c r="U771" s="203" t="s">
        <v>4408</v>
      </c>
      <c r="V771" s="203" t="s">
        <v>4408</v>
      </c>
      <c r="W771" s="202">
        <v>45999</v>
      </c>
      <c r="X771" s="202">
        <v>46001</v>
      </c>
      <c r="Y771" s="202"/>
      <c r="Z771" s="202"/>
      <c r="AA771" s="215" t="s">
        <v>772</v>
      </c>
      <c r="AB771" s="215" t="s">
        <v>7683</v>
      </c>
      <c r="AC771" s="215" t="s">
        <v>7684</v>
      </c>
      <c r="AD771" s="207" t="s">
        <v>4402</v>
      </c>
      <c r="AE771" s="207" t="s">
        <v>4405</v>
      </c>
      <c r="AF771" s="218" t="s">
        <v>4409</v>
      </c>
      <c r="AG771" s="218" t="s">
        <v>4409</v>
      </c>
      <c r="AH771" s="204" t="s">
        <v>4410</v>
      </c>
      <c r="AI771" s="214" t="s">
        <v>4411</v>
      </c>
      <c r="AJ771" s="207"/>
      <c r="AK771" s="316">
        <v>45996</v>
      </c>
      <c r="AL771" s="316">
        <v>45996</v>
      </c>
      <c r="AM771" s="316">
        <v>45996</v>
      </c>
      <c r="AN771" s="316">
        <v>45996</v>
      </c>
      <c r="AO771" s="316">
        <v>45996</v>
      </c>
      <c r="AP771" s="316">
        <v>45996</v>
      </c>
      <c r="AQ771" s="314"/>
      <c r="AR771" s="315" t="str">
        <f t="shared" si="52"/>
        <v>FINALIZADO</v>
      </c>
      <c r="AS771" s="207"/>
      <c r="AT771" s="207"/>
      <c r="AU771" s="225"/>
      <c r="AV771" s="207"/>
      <c r="AW771" s="207"/>
      <c r="AX771" s="207" t="s">
        <v>4409</v>
      </c>
      <c r="AY771" s="207" t="s">
        <v>4409</v>
      </c>
      <c r="AZ771" s="207" t="s">
        <v>4409</v>
      </c>
      <c r="BA771" s="207" t="s">
        <v>4409</v>
      </c>
      <c r="BB771" s="207"/>
      <c r="BC771" s="202"/>
      <c r="BD771" s="208"/>
      <c r="BE771" s="202"/>
      <c r="BF771" s="207"/>
      <c r="BG771" s="229"/>
      <c r="BH771" s="321" t="str">
        <f t="shared" si="49"/>
        <v/>
      </c>
      <c r="BI771" s="98" t="str">
        <f t="shared" si="50"/>
        <v>AA</v>
      </c>
      <c r="BJ771" s="98" t="str">
        <f t="shared" si="51"/>
        <v>NÃO</v>
      </c>
      <c r="BK771" s="230"/>
      <c r="BL771" s="230"/>
      <c r="BM771" s="230"/>
      <c r="BN771" s="230"/>
      <c r="BO771" s="230"/>
      <c r="BP771" s="230"/>
      <c r="BQ771" s="230"/>
      <c r="BR771" s="234"/>
    </row>
    <row r="772" spans="1:70" ht="27" hidden="1" customHeight="1">
      <c r="A772" s="207">
        <v>768</v>
      </c>
      <c r="B772" s="197" t="s">
        <v>4396</v>
      </c>
      <c r="C772" s="207" t="s">
        <v>4427</v>
      </c>
      <c r="D772" s="207">
        <v>1</v>
      </c>
      <c r="E772" s="207" t="s">
        <v>4398</v>
      </c>
      <c r="F772" s="214" t="s">
        <v>7685</v>
      </c>
      <c r="G772" s="207" t="s">
        <v>4400</v>
      </c>
      <c r="H772" s="207" t="s">
        <v>4401</v>
      </c>
      <c r="I772" s="217" t="s">
        <v>4402</v>
      </c>
      <c r="J772" s="215" t="s">
        <v>7686</v>
      </c>
      <c r="K772" s="215" t="s">
        <v>7687</v>
      </c>
      <c r="L772" s="215" t="s">
        <v>7688</v>
      </c>
      <c r="M772" s="207" t="s">
        <v>4405</v>
      </c>
      <c r="N772" s="207" t="s">
        <v>4406</v>
      </c>
      <c r="O772" s="202">
        <v>45986</v>
      </c>
      <c r="P772" s="203" t="s">
        <v>4407</v>
      </c>
      <c r="Q772" s="203">
        <v>45985</v>
      </c>
      <c r="R772" s="203">
        <v>45986</v>
      </c>
      <c r="S772" s="203">
        <v>45987</v>
      </c>
      <c r="T772" s="203">
        <v>45992</v>
      </c>
      <c r="U772" s="202" t="s">
        <v>4408</v>
      </c>
      <c r="V772" s="202" t="s">
        <v>4408</v>
      </c>
      <c r="W772" s="202">
        <v>45999</v>
      </c>
      <c r="X772" s="202">
        <v>46002</v>
      </c>
      <c r="Y772" s="202"/>
      <c r="Z772" s="202"/>
      <c r="AA772" s="215" t="s">
        <v>7686</v>
      </c>
      <c r="AB772" s="215" t="s">
        <v>7687</v>
      </c>
      <c r="AC772" s="215" t="s">
        <v>7688</v>
      </c>
      <c r="AD772" s="207" t="s">
        <v>4402</v>
      </c>
      <c r="AE772" s="207" t="s">
        <v>4405</v>
      </c>
      <c r="AF772" s="218" t="s">
        <v>4409</v>
      </c>
      <c r="AG772" s="218" t="s">
        <v>4409</v>
      </c>
      <c r="AH772" s="204" t="s">
        <v>4410</v>
      </c>
      <c r="AI772" s="214" t="s">
        <v>4411</v>
      </c>
      <c r="AJ772" s="207"/>
      <c r="AK772" s="316">
        <v>45996</v>
      </c>
      <c r="AL772" s="316">
        <v>45996</v>
      </c>
      <c r="AM772" s="316">
        <v>45996</v>
      </c>
      <c r="AN772" s="316">
        <v>45996</v>
      </c>
      <c r="AO772" s="316">
        <v>45996</v>
      </c>
      <c r="AP772" s="316">
        <v>45996</v>
      </c>
      <c r="AQ772" s="314"/>
      <c r="AR772" s="315" t="str">
        <f t="shared" si="52"/>
        <v>FINALIZADO</v>
      </c>
      <c r="AS772" s="207"/>
      <c r="AT772" s="219"/>
      <c r="AU772" s="225"/>
      <c r="AV772" s="207"/>
      <c r="AW772" s="207"/>
      <c r="AX772" s="207" t="s">
        <v>4409</v>
      </c>
      <c r="AY772" s="207" t="s">
        <v>4409</v>
      </c>
      <c r="AZ772" s="207" t="s">
        <v>4409</v>
      </c>
      <c r="BA772" s="207" t="s">
        <v>4409</v>
      </c>
      <c r="BB772" s="219"/>
      <c r="BC772" s="219"/>
      <c r="BD772" s="208"/>
      <c r="BE772" s="202"/>
      <c r="BF772" s="207"/>
      <c r="BG772" s="229"/>
      <c r="BH772" s="321" t="str">
        <f t="shared" si="49"/>
        <v/>
      </c>
      <c r="BI772" s="98" t="str">
        <f t="shared" si="50"/>
        <v>AA</v>
      </c>
      <c r="BJ772" s="98" t="str">
        <f t="shared" si="51"/>
        <v>NÃO</v>
      </c>
      <c r="BK772" s="230"/>
      <c r="BL772" s="230"/>
      <c r="BM772" s="230"/>
      <c r="BN772" s="230"/>
      <c r="BO772" s="230"/>
      <c r="BP772" s="230"/>
      <c r="BQ772" s="230"/>
      <c r="BR772" s="234"/>
    </row>
    <row r="773" spans="1:70" ht="27" hidden="1" customHeight="1">
      <c r="A773" s="207">
        <v>769</v>
      </c>
      <c r="B773" s="197" t="s">
        <v>4396</v>
      </c>
      <c r="C773" s="207" t="s">
        <v>4427</v>
      </c>
      <c r="D773" s="207">
        <v>1</v>
      </c>
      <c r="E773" s="207" t="s">
        <v>4398</v>
      </c>
      <c r="F773" s="214" t="s">
        <v>7689</v>
      </c>
      <c r="G773" s="207" t="s">
        <v>4400</v>
      </c>
      <c r="H773" s="207" t="s">
        <v>4401</v>
      </c>
      <c r="I773" s="217" t="s">
        <v>4402</v>
      </c>
      <c r="J773" s="215" t="s">
        <v>7690</v>
      </c>
      <c r="K773" s="215" t="s">
        <v>7691</v>
      </c>
      <c r="L773" s="215" t="s">
        <v>7692</v>
      </c>
      <c r="M773" s="207" t="s">
        <v>4405</v>
      </c>
      <c r="N773" s="207" t="s">
        <v>4406</v>
      </c>
      <c r="O773" s="202">
        <v>45986</v>
      </c>
      <c r="P773" s="203" t="s">
        <v>4407</v>
      </c>
      <c r="Q773" s="203">
        <v>45985</v>
      </c>
      <c r="R773" s="203">
        <v>45986</v>
      </c>
      <c r="S773" s="203">
        <v>45987</v>
      </c>
      <c r="T773" s="203">
        <v>45992</v>
      </c>
      <c r="U773" s="202" t="s">
        <v>4408</v>
      </c>
      <c r="V773" s="202" t="s">
        <v>4408</v>
      </c>
      <c r="W773" s="202">
        <v>45999</v>
      </c>
      <c r="X773" s="202">
        <v>46001</v>
      </c>
      <c r="Y773" s="202"/>
      <c r="Z773" s="202"/>
      <c r="AA773" s="215" t="s">
        <v>7690</v>
      </c>
      <c r="AB773" s="215" t="s">
        <v>7691</v>
      </c>
      <c r="AC773" s="215" t="s">
        <v>7692</v>
      </c>
      <c r="AD773" s="207" t="s">
        <v>4402</v>
      </c>
      <c r="AE773" s="207" t="s">
        <v>4405</v>
      </c>
      <c r="AF773" s="218" t="s">
        <v>4409</v>
      </c>
      <c r="AG773" s="218" t="s">
        <v>4409</v>
      </c>
      <c r="AH773" s="204" t="s">
        <v>4410</v>
      </c>
      <c r="AI773" s="214" t="s">
        <v>4411</v>
      </c>
      <c r="AJ773" s="207"/>
      <c r="AK773" s="316">
        <v>45996</v>
      </c>
      <c r="AL773" s="316">
        <v>45996</v>
      </c>
      <c r="AM773" s="316">
        <v>45996</v>
      </c>
      <c r="AN773" s="316">
        <v>45996</v>
      </c>
      <c r="AO773" s="316">
        <v>45996</v>
      </c>
      <c r="AP773" s="316">
        <v>45996</v>
      </c>
      <c r="AQ773" s="314"/>
      <c r="AR773" s="315" t="str">
        <f t="shared" si="52"/>
        <v>FINALIZADO</v>
      </c>
      <c r="AS773" s="207"/>
      <c r="AT773" s="219"/>
      <c r="AU773" s="225"/>
      <c r="AV773" s="207"/>
      <c r="AW773" s="207"/>
      <c r="AX773" s="207" t="s">
        <v>4409</v>
      </c>
      <c r="AY773" s="207" t="s">
        <v>4409</v>
      </c>
      <c r="AZ773" s="207" t="s">
        <v>4409</v>
      </c>
      <c r="BA773" s="207" t="s">
        <v>4409</v>
      </c>
      <c r="BB773" s="219"/>
      <c r="BC773" s="219"/>
      <c r="BD773" s="208"/>
      <c r="BE773" s="202"/>
      <c r="BF773" s="207"/>
      <c r="BG773" s="229"/>
      <c r="BH773" s="321" t="str">
        <f t="shared" ref="BH773:BH836" si="53">IFERROR(IF(BD773-KI773=0,"",BD773-AK773),"")</f>
        <v/>
      </c>
      <c r="BI773" s="98" t="str">
        <f t="shared" ref="BI773:BI836" si="54">IF(AND(AH773&lt;&gt;"SIM",AH773="UH"),"AA","INDENIZAÇÃO")</f>
        <v>AA</v>
      </c>
      <c r="BJ773" s="98" t="str">
        <f t="shared" ref="BJ773:BJ836" si="55">IF(AND(BD773&lt;&gt;"AGUARDANDO",BD773&lt;&gt;"",N773="AUXÍLIO ALUGUEL ATÉ INDENIZAÇÃO"),"SIM","NÃO")</f>
        <v>NÃO</v>
      </c>
      <c r="BK773" s="230"/>
      <c r="BL773" s="230"/>
      <c r="BM773" s="230"/>
      <c r="BN773" s="230"/>
      <c r="BO773" s="230"/>
      <c r="BP773" s="230"/>
      <c r="BQ773" s="230"/>
      <c r="BR773" s="234"/>
    </row>
    <row r="774" spans="1:70" ht="27" hidden="1" customHeight="1">
      <c r="A774" s="197">
        <v>770</v>
      </c>
      <c r="B774" s="197" t="s">
        <v>4396</v>
      </c>
      <c r="C774" s="207" t="s">
        <v>4427</v>
      </c>
      <c r="D774" s="207">
        <v>1</v>
      </c>
      <c r="E774" s="207" t="s">
        <v>4398</v>
      </c>
      <c r="F774" s="214" t="s">
        <v>7693</v>
      </c>
      <c r="G774" s="207" t="s">
        <v>4400</v>
      </c>
      <c r="H774" s="207" t="s">
        <v>4401</v>
      </c>
      <c r="I774" s="217" t="s">
        <v>4402</v>
      </c>
      <c r="J774" s="215" t="s">
        <v>7694</v>
      </c>
      <c r="K774" s="215" t="s">
        <v>7695</v>
      </c>
      <c r="L774" s="215" t="s">
        <v>7696</v>
      </c>
      <c r="M774" s="207" t="s">
        <v>4405</v>
      </c>
      <c r="N774" s="207" t="s">
        <v>4406</v>
      </c>
      <c r="O774" s="202">
        <v>46002</v>
      </c>
      <c r="P774" s="202" t="s">
        <v>4407</v>
      </c>
      <c r="Q774" s="202">
        <v>45999</v>
      </c>
      <c r="R774" s="202">
        <v>46006</v>
      </c>
      <c r="S774" s="202">
        <v>46006</v>
      </c>
      <c r="T774" s="202">
        <v>46009</v>
      </c>
      <c r="U774" s="202" t="s">
        <v>4408</v>
      </c>
      <c r="V774" s="202" t="s">
        <v>4408</v>
      </c>
      <c r="W774" s="202">
        <v>46014</v>
      </c>
      <c r="X774" s="202">
        <v>46027</v>
      </c>
      <c r="Y774" s="202"/>
      <c r="Z774" s="202"/>
      <c r="AA774" s="215" t="s">
        <v>7694</v>
      </c>
      <c r="AB774" s="215" t="s">
        <v>7695</v>
      </c>
      <c r="AC774" s="215" t="s">
        <v>7696</v>
      </c>
      <c r="AD774" s="207" t="s">
        <v>4402</v>
      </c>
      <c r="AE774" s="207" t="s">
        <v>4405</v>
      </c>
      <c r="AF774" s="218" t="s">
        <v>4409</v>
      </c>
      <c r="AG774" s="218" t="s">
        <v>4409</v>
      </c>
      <c r="AH774" s="197" t="s">
        <v>4410</v>
      </c>
      <c r="AI774" s="214" t="s">
        <v>4411</v>
      </c>
      <c r="AJ774" s="207"/>
      <c r="AK774" s="316">
        <v>45996</v>
      </c>
      <c r="AL774" s="316">
        <v>45996</v>
      </c>
      <c r="AM774" s="316">
        <v>45996</v>
      </c>
      <c r="AN774" s="316">
        <v>45996</v>
      </c>
      <c r="AO774" s="316">
        <v>45996</v>
      </c>
      <c r="AP774" s="316">
        <v>45996</v>
      </c>
      <c r="AQ774" s="314"/>
      <c r="AR774" s="315" t="str">
        <f t="shared" ref="AR774:AR808" si="56">IF(AQ774="SIM","AGUARDANDO CORREÇÃO",IF(AP774&lt;&gt;"","FINALIZADO",IF(AO774&lt;&gt;"","AGUARDANDO ENVIO DTS",IF(AN774&lt;&gt;"","AGUARDANDO ASSINATURA GAB",IF(AM774&lt;&gt;"","AGUARDANDO ASSINATURA CTS",IF(AL774&lt;&gt;"","AGUARDANDO ENVIO ASSINATURA CTS",IF(AK774&lt;&gt;"","AGUARDANDO CONFERÊNCIA","")))))))</f>
        <v>FINALIZADO</v>
      </c>
      <c r="AS774" s="207"/>
      <c r="AT774" s="219"/>
      <c r="AU774" s="225"/>
      <c r="AV774" s="219"/>
      <c r="AW774" s="219"/>
      <c r="AX774" s="219"/>
      <c r="AY774" s="219"/>
      <c r="AZ774" s="219"/>
      <c r="BA774" s="219"/>
      <c r="BB774" s="219"/>
      <c r="BC774" s="219"/>
      <c r="BD774" s="208"/>
      <c r="BE774" s="202"/>
      <c r="BF774" s="207"/>
      <c r="BG774" s="229"/>
      <c r="BH774" s="321" t="str">
        <f t="shared" si="53"/>
        <v/>
      </c>
      <c r="BI774" s="98" t="str">
        <f t="shared" si="54"/>
        <v>AA</v>
      </c>
      <c r="BJ774" s="98" t="str">
        <f t="shared" si="55"/>
        <v>NÃO</v>
      </c>
      <c r="BK774" s="230"/>
      <c r="BL774" s="230"/>
      <c r="BM774" s="230"/>
      <c r="BN774" s="230"/>
      <c r="BO774" s="230"/>
      <c r="BP774" s="230"/>
      <c r="BQ774" s="230"/>
      <c r="BR774" s="234"/>
    </row>
    <row r="775" spans="1:70" ht="27" hidden="1" customHeight="1">
      <c r="A775" s="197">
        <v>771</v>
      </c>
      <c r="B775" s="197" t="s">
        <v>4396</v>
      </c>
      <c r="C775" s="207" t="s">
        <v>4427</v>
      </c>
      <c r="D775" s="207">
        <v>1</v>
      </c>
      <c r="E775" s="207" t="s">
        <v>4398</v>
      </c>
      <c r="F775" s="214" t="s">
        <v>7697</v>
      </c>
      <c r="G775" s="207" t="s">
        <v>4400</v>
      </c>
      <c r="H775" s="207" t="s">
        <v>4401</v>
      </c>
      <c r="I775" s="217" t="s">
        <v>4402</v>
      </c>
      <c r="J775" s="215" t="s">
        <v>7698</v>
      </c>
      <c r="K775" s="215" t="s">
        <v>7699</v>
      </c>
      <c r="L775" s="215" t="s">
        <v>7700</v>
      </c>
      <c r="M775" s="207" t="s">
        <v>4405</v>
      </c>
      <c r="N775" s="207" t="s">
        <v>4406</v>
      </c>
      <c r="O775" s="202">
        <v>45986</v>
      </c>
      <c r="P775" s="203" t="s">
        <v>4407</v>
      </c>
      <c r="Q775" s="203">
        <v>45985</v>
      </c>
      <c r="R775" s="203">
        <v>45986</v>
      </c>
      <c r="S775" s="203">
        <v>45987</v>
      </c>
      <c r="T775" s="203">
        <v>45992</v>
      </c>
      <c r="U775" s="202" t="s">
        <v>4408</v>
      </c>
      <c r="V775" s="202" t="s">
        <v>4408</v>
      </c>
      <c r="W775" s="202">
        <v>45999</v>
      </c>
      <c r="X775" s="202">
        <v>46002</v>
      </c>
      <c r="Y775" s="202"/>
      <c r="Z775" s="202"/>
      <c r="AA775" s="215" t="s">
        <v>7698</v>
      </c>
      <c r="AB775" s="215" t="s">
        <v>7699</v>
      </c>
      <c r="AC775" s="215" t="s">
        <v>7700</v>
      </c>
      <c r="AD775" s="207" t="s">
        <v>4402</v>
      </c>
      <c r="AE775" s="207" t="s">
        <v>4405</v>
      </c>
      <c r="AF775" s="218" t="s">
        <v>4409</v>
      </c>
      <c r="AG775" s="218" t="s">
        <v>4409</v>
      </c>
      <c r="AH775" s="241" t="s">
        <v>4410</v>
      </c>
      <c r="AI775" s="214" t="s">
        <v>4411</v>
      </c>
      <c r="AJ775" s="207"/>
      <c r="AK775" s="316">
        <v>45996</v>
      </c>
      <c r="AL775" s="316">
        <v>45996</v>
      </c>
      <c r="AM775" s="316">
        <v>45996</v>
      </c>
      <c r="AN775" s="316">
        <v>45996</v>
      </c>
      <c r="AO775" s="316">
        <v>45996</v>
      </c>
      <c r="AP775" s="316">
        <v>45996</v>
      </c>
      <c r="AQ775" s="314"/>
      <c r="AR775" s="315" t="str">
        <f t="shared" si="56"/>
        <v>FINALIZADO</v>
      </c>
      <c r="AS775" s="207"/>
      <c r="AT775" s="207"/>
      <c r="AU775" s="225"/>
      <c r="AV775" s="207"/>
      <c r="AW775" s="207"/>
      <c r="AX775" s="207" t="s">
        <v>4409</v>
      </c>
      <c r="AY775" s="207" t="s">
        <v>4409</v>
      </c>
      <c r="AZ775" s="207" t="s">
        <v>4409</v>
      </c>
      <c r="BA775" s="207" t="s">
        <v>4409</v>
      </c>
      <c r="BB775" s="207"/>
      <c r="BC775" s="202"/>
      <c r="BD775" s="208"/>
      <c r="BE775" s="202"/>
      <c r="BF775" s="207"/>
      <c r="BG775" s="229"/>
      <c r="BH775" s="321" t="str">
        <f t="shared" si="53"/>
        <v/>
      </c>
      <c r="BI775" s="98" t="str">
        <f t="shared" si="54"/>
        <v>AA</v>
      </c>
      <c r="BJ775" s="98" t="str">
        <f t="shared" si="55"/>
        <v>NÃO</v>
      </c>
      <c r="BK775" s="230"/>
      <c r="BL775" s="230"/>
      <c r="BM775" s="230"/>
      <c r="BN775" s="230"/>
      <c r="BO775" s="230"/>
      <c r="BP775" s="230"/>
      <c r="BQ775" s="230"/>
      <c r="BR775" s="234"/>
    </row>
    <row r="776" spans="1:70" ht="27" hidden="1" customHeight="1">
      <c r="A776" s="207">
        <v>772</v>
      </c>
      <c r="B776" s="197" t="s">
        <v>4396</v>
      </c>
      <c r="C776" s="207" t="s">
        <v>4427</v>
      </c>
      <c r="D776" s="207">
        <v>1</v>
      </c>
      <c r="E776" s="207" t="s">
        <v>4398</v>
      </c>
      <c r="F776" s="214" t="s">
        <v>7701</v>
      </c>
      <c r="G776" s="207" t="s">
        <v>4400</v>
      </c>
      <c r="H776" s="207" t="s">
        <v>4401</v>
      </c>
      <c r="I776" s="217" t="s">
        <v>4402</v>
      </c>
      <c r="J776" s="215" t="s">
        <v>7702</v>
      </c>
      <c r="K776" s="215" t="s">
        <v>7703</v>
      </c>
      <c r="L776" s="215" t="s">
        <v>7704</v>
      </c>
      <c r="M776" s="207" t="s">
        <v>4405</v>
      </c>
      <c r="N776" s="207" t="s">
        <v>4406</v>
      </c>
      <c r="O776" s="202">
        <v>45986</v>
      </c>
      <c r="P776" s="203" t="s">
        <v>4407</v>
      </c>
      <c r="Q776" s="203">
        <v>45985</v>
      </c>
      <c r="R776" s="203">
        <v>45986</v>
      </c>
      <c r="S776" s="203">
        <v>45987</v>
      </c>
      <c r="T776" s="203">
        <v>45992</v>
      </c>
      <c r="U776" s="202" t="s">
        <v>4408</v>
      </c>
      <c r="V776" s="202" t="s">
        <v>4408</v>
      </c>
      <c r="W776" s="202">
        <v>45999</v>
      </c>
      <c r="X776" s="202">
        <v>46001</v>
      </c>
      <c r="Y776" s="202"/>
      <c r="Z776" s="202"/>
      <c r="AA776" s="215" t="s">
        <v>7702</v>
      </c>
      <c r="AB776" s="215" t="s">
        <v>7703</v>
      </c>
      <c r="AC776" s="215" t="s">
        <v>7704</v>
      </c>
      <c r="AD776" s="207" t="s">
        <v>4402</v>
      </c>
      <c r="AE776" s="207" t="s">
        <v>4405</v>
      </c>
      <c r="AF776" s="218" t="s">
        <v>4409</v>
      </c>
      <c r="AG776" s="218" t="s">
        <v>4409</v>
      </c>
      <c r="AH776" s="204" t="s">
        <v>4410</v>
      </c>
      <c r="AI776" s="214" t="s">
        <v>4411</v>
      </c>
      <c r="AJ776" s="207"/>
      <c r="AK776" s="316">
        <v>45996</v>
      </c>
      <c r="AL776" s="316">
        <v>45996</v>
      </c>
      <c r="AM776" s="316">
        <v>45996</v>
      </c>
      <c r="AN776" s="316">
        <v>45996</v>
      </c>
      <c r="AO776" s="316">
        <v>45996</v>
      </c>
      <c r="AP776" s="316">
        <v>45996</v>
      </c>
      <c r="AQ776" s="314"/>
      <c r="AR776" s="315" t="str">
        <f t="shared" si="56"/>
        <v>FINALIZADO</v>
      </c>
      <c r="AS776" s="207"/>
      <c r="AT776" s="207"/>
      <c r="AU776" s="225"/>
      <c r="AV776" s="207"/>
      <c r="AW776" s="207"/>
      <c r="AX776" s="207" t="s">
        <v>4409</v>
      </c>
      <c r="AY776" s="207" t="s">
        <v>4409</v>
      </c>
      <c r="AZ776" s="207" t="s">
        <v>4409</v>
      </c>
      <c r="BA776" s="207" t="s">
        <v>4409</v>
      </c>
      <c r="BB776" s="207"/>
      <c r="BC776" s="202"/>
      <c r="BD776" s="208"/>
      <c r="BE776" s="202"/>
      <c r="BF776" s="207"/>
      <c r="BG776" s="229"/>
      <c r="BH776" s="321" t="str">
        <f t="shared" si="53"/>
        <v/>
      </c>
      <c r="BI776" s="98" t="str">
        <f t="shared" si="54"/>
        <v>AA</v>
      </c>
      <c r="BJ776" s="98" t="str">
        <f t="shared" si="55"/>
        <v>NÃO</v>
      </c>
      <c r="BK776" s="230"/>
      <c r="BL776" s="230"/>
      <c r="BM776" s="230"/>
      <c r="BN776" s="230"/>
      <c r="BO776" s="230"/>
      <c r="BP776" s="230"/>
      <c r="BQ776" s="230"/>
      <c r="BR776" s="234"/>
    </row>
    <row r="777" spans="1:70" ht="27" hidden="1" customHeight="1">
      <c r="A777" s="207">
        <v>773</v>
      </c>
      <c r="B777" s="197" t="s">
        <v>4396</v>
      </c>
      <c r="C777" s="207" t="s">
        <v>4427</v>
      </c>
      <c r="D777" s="207">
        <v>1</v>
      </c>
      <c r="E777" s="207" t="s">
        <v>4398</v>
      </c>
      <c r="F777" s="214" t="s">
        <v>7705</v>
      </c>
      <c r="G777" s="207" t="s">
        <v>4400</v>
      </c>
      <c r="H777" s="207" t="s">
        <v>4401</v>
      </c>
      <c r="I777" s="217" t="s">
        <v>4402</v>
      </c>
      <c r="J777" s="215" t="s">
        <v>7706</v>
      </c>
      <c r="K777" s="215" t="s">
        <v>7707</v>
      </c>
      <c r="L777" s="215" t="s">
        <v>7708</v>
      </c>
      <c r="M777" s="207" t="s">
        <v>4405</v>
      </c>
      <c r="N777" s="207" t="s">
        <v>4406</v>
      </c>
      <c r="O777" s="202">
        <v>46002</v>
      </c>
      <c r="P777" s="202" t="s">
        <v>4407</v>
      </c>
      <c r="Q777" s="202">
        <v>45999</v>
      </c>
      <c r="R777" s="202">
        <v>46006</v>
      </c>
      <c r="S777" s="202">
        <v>46006</v>
      </c>
      <c r="T777" s="202">
        <v>46009</v>
      </c>
      <c r="U777" s="202" t="s">
        <v>4408</v>
      </c>
      <c r="V777" s="202" t="s">
        <v>4408</v>
      </c>
      <c r="W777" s="202">
        <v>46014</v>
      </c>
      <c r="X777" s="202">
        <v>46020</v>
      </c>
      <c r="Y777" s="202"/>
      <c r="Z777" s="202"/>
      <c r="AA777" s="215" t="s">
        <v>7706</v>
      </c>
      <c r="AB777" s="215" t="s">
        <v>7707</v>
      </c>
      <c r="AC777" s="215" t="s">
        <v>7708</v>
      </c>
      <c r="AD777" s="207" t="s">
        <v>4402</v>
      </c>
      <c r="AE777" s="207" t="s">
        <v>4405</v>
      </c>
      <c r="AF777" s="218" t="s">
        <v>4409</v>
      </c>
      <c r="AG777" s="218" t="s">
        <v>4409</v>
      </c>
      <c r="AH777" s="197" t="s">
        <v>4410</v>
      </c>
      <c r="AI777" s="214" t="s">
        <v>4411</v>
      </c>
      <c r="AJ777" s="207"/>
      <c r="AK777" s="316">
        <v>45988</v>
      </c>
      <c r="AL777" s="316">
        <v>45988</v>
      </c>
      <c r="AM777" s="316">
        <v>45988</v>
      </c>
      <c r="AN777" s="316">
        <v>45988</v>
      </c>
      <c r="AO777" s="316">
        <v>45988</v>
      </c>
      <c r="AP777" s="316">
        <v>45988</v>
      </c>
      <c r="AQ777" s="314"/>
      <c r="AR777" s="315" t="str">
        <f t="shared" si="56"/>
        <v>FINALIZADO</v>
      </c>
      <c r="AS777" s="207"/>
      <c r="AT777" s="207"/>
      <c r="AU777" s="225"/>
      <c r="AV777" s="207"/>
      <c r="AW777" s="207"/>
      <c r="AX777" s="207"/>
      <c r="AY777" s="207"/>
      <c r="AZ777" s="202"/>
      <c r="BA777" s="219"/>
      <c r="BB777" s="207"/>
      <c r="BC777" s="202"/>
      <c r="BD777" s="208"/>
      <c r="BE777" s="202"/>
      <c r="BF777" s="207"/>
      <c r="BG777" s="229"/>
      <c r="BH777" s="321" t="str">
        <f t="shared" si="53"/>
        <v/>
      </c>
      <c r="BI777" s="98" t="str">
        <f t="shared" si="54"/>
        <v>AA</v>
      </c>
      <c r="BJ777" s="98" t="str">
        <f t="shared" si="55"/>
        <v>NÃO</v>
      </c>
      <c r="BK777" s="230"/>
      <c r="BL777" s="230"/>
      <c r="BM777" s="230"/>
      <c r="BN777" s="230"/>
      <c r="BO777" s="230"/>
      <c r="BP777" s="230"/>
      <c r="BQ777" s="230"/>
      <c r="BR777" s="234"/>
    </row>
    <row r="778" spans="1:70" ht="27" hidden="1" customHeight="1">
      <c r="A778" s="207">
        <v>774</v>
      </c>
      <c r="B778" s="197" t="s">
        <v>4396</v>
      </c>
      <c r="C778" s="207" t="s">
        <v>4427</v>
      </c>
      <c r="D778" s="207">
        <v>1</v>
      </c>
      <c r="E778" s="207" t="s">
        <v>4398</v>
      </c>
      <c r="F778" s="214" t="s">
        <v>7709</v>
      </c>
      <c r="G778" s="207" t="s">
        <v>4400</v>
      </c>
      <c r="H778" s="207" t="s">
        <v>4401</v>
      </c>
      <c r="I778" s="217" t="s">
        <v>4402</v>
      </c>
      <c r="J778" s="215" t="s">
        <v>7710</v>
      </c>
      <c r="K778" s="215" t="s">
        <v>7711</v>
      </c>
      <c r="L778" s="215" t="s">
        <v>7712</v>
      </c>
      <c r="M778" s="207" t="s">
        <v>4405</v>
      </c>
      <c r="N778" s="207" t="s">
        <v>4406</v>
      </c>
      <c r="O778" s="202">
        <v>46002</v>
      </c>
      <c r="P778" s="202" t="s">
        <v>4407</v>
      </c>
      <c r="Q778" s="202">
        <v>45999</v>
      </c>
      <c r="R778" s="202">
        <v>46006</v>
      </c>
      <c r="S778" s="202">
        <v>46006</v>
      </c>
      <c r="T778" s="202">
        <v>46009</v>
      </c>
      <c r="U778" s="202" t="s">
        <v>4408</v>
      </c>
      <c r="V778" s="202" t="s">
        <v>4408</v>
      </c>
      <c r="W778" s="202">
        <v>46014</v>
      </c>
      <c r="X778" s="202">
        <v>46020</v>
      </c>
      <c r="Y778" s="202"/>
      <c r="Z778" s="202"/>
      <c r="AA778" s="215" t="s">
        <v>7710</v>
      </c>
      <c r="AB778" s="215" t="s">
        <v>7711</v>
      </c>
      <c r="AC778" s="215" t="s">
        <v>7712</v>
      </c>
      <c r="AD778" s="207" t="s">
        <v>4402</v>
      </c>
      <c r="AE778" s="207" t="s">
        <v>4405</v>
      </c>
      <c r="AF778" s="218" t="s">
        <v>4409</v>
      </c>
      <c r="AG778" s="218" t="s">
        <v>4409</v>
      </c>
      <c r="AH778" s="207" t="s">
        <v>4410</v>
      </c>
      <c r="AI778" s="214" t="s">
        <v>4411</v>
      </c>
      <c r="AJ778" s="207"/>
      <c r="AK778" s="316">
        <v>45996</v>
      </c>
      <c r="AL778" s="316">
        <v>45996</v>
      </c>
      <c r="AM778" s="316">
        <v>45996</v>
      </c>
      <c r="AN778" s="316">
        <v>45996</v>
      </c>
      <c r="AO778" s="316">
        <v>45996</v>
      </c>
      <c r="AP778" s="316">
        <v>45996</v>
      </c>
      <c r="AQ778" s="314"/>
      <c r="AR778" s="315" t="str">
        <f t="shared" si="56"/>
        <v>FINALIZADO</v>
      </c>
      <c r="AS778" s="207"/>
      <c r="AT778" s="207"/>
      <c r="AU778" s="225"/>
      <c r="AV778" s="207"/>
      <c r="AW778" s="207"/>
      <c r="AX778" s="207"/>
      <c r="AY778" s="207"/>
      <c r="AZ778" s="202"/>
      <c r="BA778" s="219"/>
      <c r="BB778" s="207"/>
      <c r="BC778" s="202"/>
      <c r="BD778" s="208"/>
      <c r="BE778" s="202"/>
      <c r="BF778" s="207"/>
      <c r="BG778" s="229"/>
      <c r="BH778" s="321" t="str">
        <f t="shared" si="53"/>
        <v/>
      </c>
      <c r="BI778" s="98" t="str">
        <f t="shared" si="54"/>
        <v>AA</v>
      </c>
      <c r="BJ778" s="98" t="str">
        <f t="shared" si="55"/>
        <v>NÃO</v>
      </c>
      <c r="BK778" s="230"/>
      <c r="BL778" s="230"/>
      <c r="BM778" s="230"/>
      <c r="BN778" s="230"/>
      <c r="BO778" s="230"/>
      <c r="BP778" s="230"/>
      <c r="BQ778" s="230"/>
      <c r="BR778" s="234"/>
    </row>
    <row r="779" spans="1:70" ht="27" hidden="1" customHeight="1">
      <c r="A779" s="197">
        <v>775</v>
      </c>
      <c r="B779" s="197" t="s">
        <v>4396</v>
      </c>
      <c r="C779" s="207" t="s">
        <v>4427</v>
      </c>
      <c r="D779" s="207">
        <v>1</v>
      </c>
      <c r="E779" s="207" t="s">
        <v>4398</v>
      </c>
      <c r="F779" s="214" t="s">
        <v>7713</v>
      </c>
      <c r="G779" s="207" t="s">
        <v>4400</v>
      </c>
      <c r="H779" s="207" t="s">
        <v>4401</v>
      </c>
      <c r="I779" s="217" t="s">
        <v>4402</v>
      </c>
      <c r="J779" s="215" t="s">
        <v>7714</v>
      </c>
      <c r="K779" s="215" t="s">
        <v>7715</v>
      </c>
      <c r="L779" s="215" t="s">
        <v>7716</v>
      </c>
      <c r="M779" s="207" t="s">
        <v>4405</v>
      </c>
      <c r="N779" s="207" t="s">
        <v>4406</v>
      </c>
      <c r="O779" s="202">
        <v>45986</v>
      </c>
      <c r="P779" s="203" t="s">
        <v>4407</v>
      </c>
      <c r="Q779" s="203">
        <v>45985</v>
      </c>
      <c r="R779" s="203">
        <v>45986</v>
      </c>
      <c r="S779" s="203">
        <v>45987</v>
      </c>
      <c r="T779" s="203">
        <v>45992</v>
      </c>
      <c r="U779" s="202" t="s">
        <v>4408</v>
      </c>
      <c r="V779" s="202" t="s">
        <v>4408</v>
      </c>
      <c r="W779" s="202">
        <v>45999</v>
      </c>
      <c r="X779" s="202">
        <v>46002</v>
      </c>
      <c r="Y779" s="202"/>
      <c r="Z779" s="202"/>
      <c r="AA779" s="215" t="s">
        <v>7714</v>
      </c>
      <c r="AB779" s="215" t="s">
        <v>7715</v>
      </c>
      <c r="AC779" s="215" t="s">
        <v>7716</v>
      </c>
      <c r="AD779" s="207" t="s">
        <v>4402</v>
      </c>
      <c r="AE779" s="207" t="s">
        <v>4405</v>
      </c>
      <c r="AF779" s="218" t="s">
        <v>4409</v>
      </c>
      <c r="AG779" s="218" t="s">
        <v>4409</v>
      </c>
      <c r="AH779" s="241" t="s">
        <v>4410</v>
      </c>
      <c r="AI779" s="214" t="s">
        <v>4411</v>
      </c>
      <c r="AJ779" s="207"/>
      <c r="AK779" s="316">
        <v>45996</v>
      </c>
      <c r="AL779" s="316">
        <v>45996</v>
      </c>
      <c r="AM779" s="316">
        <v>45996</v>
      </c>
      <c r="AN779" s="316">
        <v>45996</v>
      </c>
      <c r="AO779" s="316">
        <v>45996</v>
      </c>
      <c r="AP779" s="316">
        <v>45996</v>
      </c>
      <c r="AQ779" s="314"/>
      <c r="AR779" s="315" t="str">
        <f t="shared" si="56"/>
        <v>FINALIZADO</v>
      </c>
      <c r="AS779" s="207"/>
      <c r="AT779" s="219"/>
      <c r="AU779" s="225"/>
      <c r="AV779" s="207"/>
      <c r="AW779" s="207"/>
      <c r="AX779" s="207" t="s">
        <v>4409</v>
      </c>
      <c r="AY779" s="207" t="s">
        <v>4409</v>
      </c>
      <c r="AZ779" s="207" t="s">
        <v>4409</v>
      </c>
      <c r="BA779" s="207" t="s">
        <v>4409</v>
      </c>
      <c r="BB779" s="219"/>
      <c r="BC779" s="219"/>
      <c r="BD779" s="208"/>
      <c r="BE779" s="202"/>
      <c r="BF779" s="207"/>
      <c r="BG779" s="229"/>
      <c r="BH779" s="321" t="str">
        <f t="shared" si="53"/>
        <v/>
      </c>
      <c r="BI779" s="98" t="str">
        <f t="shared" si="54"/>
        <v>AA</v>
      </c>
      <c r="BJ779" s="98" t="str">
        <f t="shared" si="55"/>
        <v>NÃO</v>
      </c>
      <c r="BK779" s="230"/>
      <c r="BL779" s="230"/>
      <c r="BM779" s="230"/>
      <c r="BN779" s="230"/>
      <c r="BO779" s="230"/>
      <c r="BP779" s="230"/>
      <c r="BQ779" s="230"/>
      <c r="BR779" s="234"/>
    </row>
    <row r="780" spans="1:70" ht="27" hidden="1" customHeight="1">
      <c r="A780" s="197">
        <v>776</v>
      </c>
      <c r="B780" s="197" t="s">
        <v>4396</v>
      </c>
      <c r="C780" s="207" t="s">
        <v>4427</v>
      </c>
      <c r="D780" s="207">
        <v>1</v>
      </c>
      <c r="E780" s="207" t="s">
        <v>4398</v>
      </c>
      <c r="F780" s="214" t="s">
        <v>7717</v>
      </c>
      <c r="G780" s="207" t="s">
        <v>4400</v>
      </c>
      <c r="H780" s="207" t="s">
        <v>4401</v>
      </c>
      <c r="I780" s="217" t="s">
        <v>4402</v>
      </c>
      <c r="J780" s="215" t="s">
        <v>7718</v>
      </c>
      <c r="K780" s="215" t="s">
        <v>7719</v>
      </c>
      <c r="L780" s="215" t="s">
        <v>7720</v>
      </c>
      <c r="M780" s="207" t="s">
        <v>4405</v>
      </c>
      <c r="N780" s="207" t="s">
        <v>4406</v>
      </c>
      <c r="O780" s="202">
        <v>45986</v>
      </c>
      <c r="P780" s="203" t="s">
        <v>4407</v>
      </c>
      <c r="Q780" s="203">
        <v>45985</v>
      </c>
      <c r="R780" s="203">
        <v>45986</v>
      </c>
      <c r="S780" s="203">
        <v>45987</v>
      </c>
      <c r="T780" s="203">
        <v>45992</v>
      </c>
      <c r="U780" s="202" t="s">
        <v>4408</v>
      </c>
      <c r="V780" s="202" t="s">
        <v>4408</v>
      </c>
      <c r="W780" s="202">
        <v>45999</v>
      </c>
      <c r="X780" s="202">
        <v>46001</v>
      </c>
      <c r="Y780" s="202"/>
      <c r="Z780" s="202"/>
      <c r="AA780" s="215" t="s">
        <v>7718</v>
      </c>
      <c r="AB780" s="215" t="s">
        <v>7719</v>
      </c>
      <c r="AC780" s="215" t="s">
        <v>7720</v>
      </c>
      <c r="AD780" s="207" t="s">
        <v>4402</v>
      </c>
      <c r="AE780" s="207" t="s">
        <v>4405</v>
      </c>
      <c r="AF780" s="218" t="s">
        <v>4409</v>
      </c>
      <c r="AG780" s="218" t="s">
        <v>4409</v>
      </c>
      <c r="AH780" s="204" t="s">
        <v>4410</v>
      </c>
      <c r="AI780" s="214" t="s">
        <v>4411</v>
      </c>
      <c r="AJ780" s="207"/>
      <c r="AK780" s="316">
        <v>45996</v>
      </c>
      <c r="AL780" s="316">
        <v>45996</v>
      </c>
      <c r="AM780" s="316">
        <v>45996</v>
      </c>
      <c r="AN780" s="316">
        <v>45996</v>
      </c>
      <c r="AO780" s="316">
        <v>45996</v>
      </c>
      <c r="AP780" s="316">
        <v>45996</v>
      </c>
      <c r="AQ780" s="314"/>
      <c r="AR780" s="315" t="str">
        <f t="shared" si="56"/>
        <v>FINALIZADO</v>
      </c>
      <c r="AS780" s="207"/>
      <c r="AT780" s="207"/>
      <c r="AU780" s="225"/>
      <c r="AV780" s="207"/>
      <c r="AW780" s="207"/>
      <c r="AX780" s="207" t="s">
        <v>4409</v>
      </c>
      <c r="AY780" s="207" t="s">
        <v>4409</v>
      </c>
      <c r="AZ780" s="207" t="s">
        <v>4409</v>
      </c>
      <c r="BA780" s="207" t="s">
        <v>4409</v>
      </c>
      <c r="BB780" s="207"/>
      <c r="BC780" s="202"/>
      <c r="BD780" s="208"/>
      <c r="BE780" s="202"/>
      <c r="BF780" s="207"/>
      <c r="BG780" s="229"/>
      <c r="BH780" s="321" t="str">
        <f t="shared" si="53"/>
        <v/>
      </c>
      <c r="BI780" s="98" t="str">
        <f t="shared" si="54"/>
        <v>AA</v>
      </c>
      <c r="BJ780" s="98" t="str">
        <f t="shared" si="55"/>
        <v>NÃO</v>
      </c>
      <c r="BK780" s="230"/>
      <c r="BL780" s="230"/>
      <c r="BM780" s="230"/>
      <c r="BN780" s="230"/>
      <c r="BO780" s="230"/>
      <c r="BP780" s="230"/>
      <c r="BQ780" s="230"/>
      <c r="BR780" s="234"/>
    </row>
    <row r="781" spans="1:70" ht="27" hidden="1" customHeight="1">
      <c r="A781" s="207">
        <v>777</v>
      </c>
      <c r="B781" s="197" t="s">
        <v>4396</v>
      </c>
      <c r="C781" s="207" t="s">
        <v>4427</v>
      </c>
      <c r="D781" s="207">
        <v>1</v>
      </c>
      <c r="E781" s="207" t="s">
        <v>4398</v>
      </c>
      <c r="F781" s="214" t="s">
        <v>7721</v>
      </c>
      <c r="G781" s="207" t="s">
        <v>4400</v>
      </c>
      <c r="H781" s="207" t="s">
        <v>4401</v>
      </c>
      <c r="I781" s="217" t="s">
        <v>4402</v>
      </c>
      <c r="J781" s="215" t="s">
        <v>7722</v>
      </c>
      <c r="K781" s="215" t="s">
        <v>7723</v>
      </c>
      <c r="L781" s="215" t="s">
        <v>7724</v>
      </c>
      <c r="M781" s="207" t="s">
        <v>4405</v>
      </c>
      <c r="N781" s="207" t="s">
        <v>4406</v>
      </c>
      <c r="O781" s="202">
        <v>45986</v>
      </c>
      <c r="P781" s="203" t="s">
        <v>4407</v>
      </c>
      <c r="Q781" s="203">
        <v>45985</v>
      </c>
      <c r="R781" s="203">
        <v>45986</v>
      </c>
      <c r="S781" s="203">
        <v>45987</v>
      </c>
      <c r="T781" s="203">
        <v>45992</v>
      </c>
      <c r="U781" s="202" t="s">
        <v>4408</v>
      </c>
      <c r="V781" s="202" t="s">
        <v>4408</v>
      </c>
      <c r="W781" s="202">
        <v>45999</v>
      </c>
      <c r="X781" s="202">
        <v>46006</v>
      </c>
      <c r="Y781" s="202"/>
      <c r="Z781" s="202"/>
      <c r="AA781" s="215" t="s">
        <v>7722</v>
      </c>
      <c r="AB781" s="215" t="s">
        <v>7723</v>
      </c>
      <c r="AC781" s="215" t="s">
        <v>7724</v>
      </c>
      <c r="AD781" s="207" t="s">
        <v>4402</v>
      </c>
      <c r="AE781" s="207" t="s">
        <v>4405</v>
      </c>
      <c r="AF781" s="218" t="s">
        <v>4409</v>
      </c>
      <c r="AG781" s="218" t="s">
        <v>4409</v>
      </c>
      <c r="AH781" s="204" t="s">
        <v>4410</v>
      </c>
      <c r="AI781" s="214" t="s">
        <v>4411</v>
      </c>
      <c r="AJ781" s="207"/>
      <c r="AK781" s="316">
        <v>45996</v>
      </c>
      <c r="AL781" s="316">
        <v>45996</v>
      </c>
      <c r="AM781" s="316">
        <v>45996</v>
      </c>
      <c r="AN781" s="316">
        <v>45996</v>
      </c>
      <c r="AO781" s="316">
        <v>45996</v>
      </c>
      <c r="AP781" s="316">
        <v>45996</v>
      </c>
      <c r="AQ781" s="314"/>
      <c r="AR781" s="315" t="str">
        <f t="shared" si="56"/>
        <v>FINALIZADO</v>
      </c>
      <c r="AS781" s="207"/>
      <c r="AT781" s="207"/>
      <c r="AU781" s="225"/>
      <c r="AV781" s="207"/>
      <c r="AW781" s="207"/>
      <c r="AX781" s="207" t="s">
        <v>4409</v>
      </c>
      <c r="AY781" s="207" t="s">
        <v>4409</v>
      </c>
      <c r="AZ781" s="207" t="s">
        <v>4409</v>
      </c>
      <c r="BA781" s="207" t="s">
        <v>4409</v>
      </c>
      <c r="BB781" s="207"/>
      <c r="BC781" s="202"/>
      <c r="BD781" s="208"/>
      <c r="BE781" s="202"/>
      <c r="BF781" s="207"/>
      <c r="BG781" s="229"/>
      <c r="BH781" s="321" t="str">
        <f t="shared" si="53"/>
        <v/>
      </c>
      <c r="BI781" s="98" t="str">
        <f t="shared" si="54"/>
        <v>AA</v>
      </c>
      <c r="BJ781" s="98" t="str">
        <f t="shared" si="55"/>
        <v>NÃO</v>
      </c>
      <c r="BK781" s="230"/>
      <c r="BL781" s="230"/>
      <c r="BM781" s="230"/>
      <c r="BN781" s="230"/>
      <c r="BO781" s="230"/>
      <c r="BP781" s="230"/>
      <c r="BQ781" s="230"/>
      <c r="BR781" s="234"/>
    </row>
    <row r="782" spans="1:70" ht="27" hidden="1" customHeight="1">
      <c r="A782" s="207">
        <v>778</v>
      </c>
      <c r="B782" s="197" t="s">
        <v>4396</v>
      </c>
      <c r="C782" s="207" t="s">
        <v>4427</v>
      </c>
      <c r="D782" s="207">
        <v>1</v>
      </c>
      <c r="E782" s="207" t="s">
        <v>4398</v>
      </c>
      <c r="F782" s="214" t="s">
        <v>7725</v>
      </c>
      <c r="G782" s="207" t="s">
        <v>4400</v>
      </c>
      <c r="H782" s="207" t="s">
        <v>4401</v>
      </c>
      <c r="I782" s="217" t="s">
        <v>4402</v>
      </c>
      <c r="J782" s="215" t="s">
        <v>7726</v>
      </c>
      <c r="K782" s="215" t="s">
        <v>7727</v>
      </c>
      <c r="L782" s="215" t="s">
        <v>7728</v>
      </c>
      <c r="M782" s="207" t="s">
        <v>4405</v>
      </c>
      <c r="N782" s="207" t="s">
        <v>4406</v>
      </c>
      <c r="O782" s="202">
        <v>45986</v>
      </c>
      <c r="P782" s="203" t="s">
        <v>4407</v>
      </c>
      <c r="Q782" s="203">
        <v>45985</v>
      </c>
      <c r="R782" s="203">
        <v>45986</v>
      </c>
      <c r="S782" s="203">
        <v>45987</v>
      </c>
      <c r="T782" s="203">
        <v>45992</v>
      </c>
      <c r="U782" s="202" t="s">
        <v>4408</v>
      </c>
      <c r="V782" s="202" t="s">
        <v>4408</v>
      </c>
      <c r="W782" s="202">
        <v>45999</v>
      </c>
      <c r="X782" s="202">
        <v>46000</v>
      </c>
      <c r="Y782" s="202"/>
      <c r="Z782" s="202"/>
      <c r="AA782" s="215" t="s">
        <v>7726</v>
      </c>
      <c r="AB782" s="215" t="s">
        <v>7727</v>
      </c>
      <c r="AC782" s="215" t="s">
        <v>7728</v>
      </c>
      <c r="AD782" s="207" t="s">
        <v>4402</v>
      </c>
      <c r="AE782" s="207" t="s">
        <v>4405</v>
      </c>
      <c r="AF782" s="218" t="s">
        <v>4409</v>
      </c>
      <c r="AG782" s="218" t="s">
        <v>4409</v>
      </c>
      <c r="AH782" s="204" t="s">
        <v>4410</v>
      </c>
      <c r="AI782" s="214" t="s">
        <v>4411</v>
      </c>
      <c r="AJ782" s="207"/>
      <c r="AK782" s="316">
        <v>45996</v>
      </c>
      <c r="AL782" s="316">
        <v>45996</v>
      </c>
      <c r="AM782" s="316">
        <v>45996</v>
      </c>
      <c r="AN782" s="316">
        <v>45996</v>
      </c>
      <c r="AO782" s="316">
        <v>45996</v>
      </c>
      <c r="AP782" s="316">
        <v>45996</v>
      </c>
      <c r="AQ782" s="314"/>
      <c r="AR782" s="315" t="str">
        <f t="shared" si="56"/>
        <v>FINALIZADO</v>
      </c>
      <c r="AS782" s="207"/>
      <c r="AT782" s="207"/>
      <c r="AU782" s="225"/>
      <c r="AV782" s="207"/>
      <c r="AW782" s="207"/>
      <c r="AX782" s="207" t="s">
        <v>4409</v>
      </c>
      <c r="AY782" s="207" t="s">
        <v>4409</v>
      </c>
      <c r="AZ782" s="207" t="s">
        <v>4409</v>
      </c>
      <c r="BA782" s="207" t="s">
        <v>4409</v>
      </c>
      <c r="BB782" s="207"/>
      <c r="BC782" s="202"/>
      <c r="BD782" s="208"/>
      <c r="BE782" s="202"/>
      <c r="BF782" s="207"/>
      <c r="BG782" s="229"/>
      <c r="BH782" s="321" t="str">
        <f t="shared" si="53"/>
        <v/>
      </c>
      <c r="BI782" s="98" t="str">
        <f t="shared" si="54"/>
        <v>AA</v>
      </c>
      <c r="BJ782" s="98" t="str">
        <f t="shared" si="55"/>
        <v>NÃO</v>
      </c>
      <c r="BK782" s="230"/>
      <c r="BL782" s="230"/>
      <c r="BM782" s="230"/>
      <c r="BN782" s="230"/>
      <c r="BO782" s="230"/>
      <c r="BP782" s="230"/>
      <c r="BQ782" s="230"/>
      <c r="BR782" s="234"/>
    </row>
    <row r="783" spans="1:70" ht="27" hidden="1" customHeight="1">
      <c r="A783" s="207">
        <v>779</v>
      </c>
      <c r="B783" s="197" t="s">
        <v>4396</v>
      </c>
      <c r="C783" s="207" t="s">
        <v>4427</v>
      </c>
      <c r="D783" s="207">
        <v>1</v>
      </c>
      <c r="E783" s="207" t="s">
        <v>4398</v>
      </c>
      <c r="F783" s="214" t="s">
        <v>7729</v>
      </c>
      <c r="G783" s="207" t="s">
        <v>4400</v>
      </c>
      <c r="H783" s="207" t="s">
        <v>4401</v>
      </c>
      <c r="I783" s="217" t="s">
        <v>4402</v>
      </c>
      <c r="J783" s="215" t="s">
        <v>7730</v>
      </c>
      <c r="K783" s="215" t="s">
        <v>7731</v>
      </c>
      <c r="L783" s="215" t="s">
        <v>7732</v>
      </c>
      <c r="M783" s="207" t="s">
        <v>4405</v>
      </c>
      <c r="N783" s="207" t="s">
        <v>4406</v>
      </c>
      <c r="O783" s="202">
        <v>45986</v>
      </c>
      <c r="P783" s="203" t="s">
        <v>4407</v>
      </c>
      <c r="Q783" s="203">
        <v>45985</v>
      </c>
      <c r="R783" s="203">
        <v>45986</v>
      </c>
      <c r="S783" s="203">
        <v>45987</v>
      </c>
      <c r="T783" s="203">
        <v>45992</v>
      </c>
      <c r="U783" s="202" t="s">
        <v>4408</v>
      </c>
      <c r="V783" s="202" t="s">
        <v>4408</v>
      </c>
      <c r="W783" s="202">
        <v>45999</v>
      </c>
      <c r="X783" s="202">
        <v>46002</v>
      </c>
      <c r="Y783" s="202"/>
      <c r="Z783" s="202"/>
      <c r="AA783" s="215" t="s">
        <v>7730</v>
      </c>
      <c r="AB783" s="215" t="s">
        <v>7731</v>
      </c>
      <c r="AC783" s="215" t="s">
        <v>7732</v>
      </c>
      <c r="AD783" s="207" t="s">
        <v>4402</v>
      </c>
      <c r="AE783" s="207" t="s">
        <v>4405</v>
      </c>
      <c r="AF783" s="218" t="s">
        <v>4409</v>
      </c>
      <c r="AG783" s="218" t="s">
        <v>4409</v>
      </c>
      <c r="AH783" s="204" t="s">
        <v>4410</v>
      </c>
      <c r="AI783" s="214" t="s">
        <v>4411</v>
      </c>
      <c r="AJ783" s="207"/>
      <c r="AK783" s="316">
        <v>45996</v>
      </c>
      <c r="AL783" s="316">
        <v>45996</v>
      </c>
      <c r="AM783" s="316">
        <v>45996</v>
      </c>
      <c r="AN783" s="316">
        <v>45996</v>
      </c>
      <c r="AO783" s="316">
        <v>45996</v>
      </c>
      <c r="AP783" s="316">
        <v>45996</v>
      </c>
      <c r="AQ783" s="314"/>
      <c r="AR783" s="315" t="str">
        <f t="shared" si="56"/>
        <v>FINALIZADO</v>
      </c>
      <c r="AS783" s="207"/>
      <c r="AT783" s="219"/>
      <c r="AU783" s="225"/>
      <c r="AV783" s="207"/>
      <c r="AW783" s="207"/>
      <c r="AX783" s="207" t="s">
        <v>4409</v>
      </c>
      <c r="AY783" s="207" t="s">
        <v>4409</v>
      </c>
      <c r="AZ783" s="207" t="s">
        <v>4409</v>
      </c>
      <c r="BA783" s="207" t="s">
        <v>4409</v>
      </c>
      <c r="BB783" s="219"/>
      <c r="BC783" s="219"/>
      <c r="BD783" s="208"/>
      <c r="BE783" s="202"/>
      <c r="BF783" s="207"/>
      <c r="BG783" s="229"/>
      <c r="BH783" s="321" t="str">
        <f t="shared" si="53"/>
        <v/>
      </c>
      <c r="BI783" s="98" t="str">
        <f t="shared" si="54"/>
        <v>AA</v>
      </c>
      <c r="BJ783" s="98" t="str">
        <f t="shared" si="55"/>
        <v>NÃO</v>
      </c>
      <c r="BK783" s="230"/>
      <c r="BL783" s="230"/>
      <c r="BM783" s="230"/>
      <c r="BN783" s="230"/>
      <c r="BO783" s="230"/>
      <c r="BP783" s="230"/>
      <c r="BQ783" s="230"/>
      <c r="BR783" s="234"/>
    </row>
    <row r="784" spans="1:70" ht="27" hidden="1" customHeight="1">
      <c r="A784" s="197">
        <v>780</v>
      </c>
      <c r="B784" s="197" t="s">
        <v>4396</v>
      </c>
      <c r="C784" s="207" t="s">
        <v>4427</v>
      </c>
      <c r="D784" s="207">
        <v>1</v>
      </c>
      <c r="E784" s="207" t="s">
        <v>4398</v>
      </c>
      <c r="F784" s="214" t="s">
        <v>7733</v>
      </c>
      <c r="G784" s="207" t="s">
        <v>4400</v>
      </c>
      <c r="H784" s="207" t="s">
        <v>4401</v>
      </c>
      <c r="I784" s="217" t="s">
        <v>4402</v>
      </c>
      <c r="J784" s="215" t="s">
        <v>7734</v>
      </c>
      <c r="K784" s="215" t="s">
        <v>7735</v>
      </c>
      <c r="L784" s="215" t="s">
        <v>7736</v>
      </c>
      <c r="M784" s="207" t="s">
        <v>4405</v>
      </c>
      <c r="N784" s="207" t="s">
        <v>4406</v>
      </c>
      <c r="O784" s="202">
        <v>45986</v>
      </c>
      <c r="P784" s="203" t="s">
        <v>4407</v>
      </c>
      <c r="Q784" s="203">
        <v>45985</v>
      </c>
      <c r="R784" s="203">
        <v>45986</v>
      </c>
      <c r="S784" s="203">
        <v>45987</v>
      </c>
      <c r="T784" s="203">
        <v>45992</v>
      </c>
      <c r="U784" s="202" t="s">
        <v>4408</v>
      </c>
      <c r="V784" s="202" t="s">
        <v>4408</v>
      </c>
      <c r="W784" s="202">
        <v>45999</v>
      </c>
      <c r="X784" s="202">
        <v>46001</v>
      </c>
      <c r="Y784" s="202"/>
      <c r="Z784" s="202"/>
      <c r="AA784" s="215" t="s">
        <v>7734</v>
      </c>
      <c r="AB784" s="215" t="s">
        <v>7735</v>
      </c>
      <c r="AC784" s="215" t="s">
        <v>7736</v>
      </c>
      <c r="AD784" s="207" t="s">
        <v>4402</v>
      </c>
      <c r="AE784" s="207" t="s">
        <v>4405</v>
      </c>
      <c r="AF784" s="218" t="s">
        <v>4409</v>
      </c>
      <c r="AG784" s="218" t="s">
        <v>4409</v>
      </c>
      <c r="AH784" s="204" t="s">
        <v>4410</v>
      </c>
      <c r="AI784" s="214" t="s">
        <v>4411</v>
      </c>
      <c r="AJ784" s="207"/>
      <c r="AK784" s="316">
        <v>45996</v>
      </c>
      <c r="AL784" s="316">
        <v>45996</v>
      </c>
      <c r="AM784" s="316">
        <v>45996</v>
      </c>
      <c r="AN784" s="316">
        <v>45996</v>
      </c>
      <c r="AO784" s="316">
        <v>45996</v>
      </c>
      <c r="AP784" s="316">
        <v>45996</v>
      </c>
      <c r="AQ784" s="314"/>
      <c r="AR784" s="315" t="str">
        <f t="shared" si="56"/>
        <v>FINALIZADO</v>
      </c>
      <c r="AS784" s="207"/>
      <c r="AT784" s="207"/>
      <c r="AU784" s="225"/>
      <c r="AV784" s="207"/>
      <c r="AW784" s="207"/>
      <c r="AX784" s="207" t="s">
        <v>4409</v>
      </c>
      <c r="AY784" s="207" t="s">
        <v>4409</v>
      </c>
      <c r="AZ784" s="207" t="s">
        <v>4409</v>
      </c>
      <c r="BA784" s="207" t="s">
        <v>4409</v>
      </c>
      <c r="BB784" s="207"/>
      <c r="BC784" s="202"/>
      <c r="BD784" s="208"/>
      <c r="BE784" s="202"/>
      <c r="BF784" s="207"/>
      <c r="BG784" s="229"/>
      <c r="BH784" s="321" t="str">
        <f t="shared" si="53"/>
        <v/>
      </c>
      <c r="BI784" s="98" t="str">
        <f t="shared" si="54"/>
        <v>AA</v>
      </c>
      <c r="BJ784" s="98" t="str">
        <f t="shared" si="55"/>
        <v>NÃO</v>
      </c>
      <c r="BK784" s="230"/>
      <c r="BL784" s="230"/>
      <c r="BM784" s="230"/>
      <c r="BN784" s="230"/>
      <c r="BO784" s="230"/>
      <c r="BP784" s="230"/>
      <c r="BQ784" s="230"/>
      <c r="BR784" s="234"/>
    </row>
    <row r="785" spans="1:70" ht="27" hidden="1" customHeight="1">
      <c r="A785" s="197">
        <v>781</v>
      </c>
      <c r="B785" s="197" t="s">
        <v>4396</v>
      </c>
      <c r="C785" s="207" t="s">
        <v>4427</v>
      </c>
      <c r="D785" s="207">
        <v>1</v>
      </c>
      <c r="E785" s="207" t="s">
        <v>4398</v>
      </c>
      <c r="F785" s="214" t="s">
        <v>7737</v>
      </c>
      <c r="G785" s="207" t="s">
        <v>4400</v>
      </c>
      <c r="H785" s="207" t="s">
        <v>4401</v>
      </c>
      <c r="I785" s="217" t="s">
        <v>4402</v>
      </c>
      <c r="J785" s="215" t="s">
        <v>7738</v>
      </c>
      <c r="K785" s="215" t="s">
        <v>7739</v>
      </c>
      <c r="L785" s="215" t="s">
        <v>7740</v>
      </c>
      <c r="M785" s="207" t="s">
        <v>4405</v>
      </c>
      <c r="N785" s="207" t="s">
        <v>4406</v>
      </c>
      <c r="O785" s="202">
        <v>46002</v>
      </c>
      <c r="P785" s="202" t="s">
        <v>4407</v>
      </c>
      <c r="Q785" s="202">
        <v>45999</v>
      </c>
      <c r="R785" s="202">
        <v>46006</v>
      </c>
      <c r="S785" s="202">
        <v>46006</v>
      </c>
      <c r="T785" s="202">
        <v>46009</v>
      </c>
      <c r="U785" s="202" t="s">
        <v>4408</v>
      </c>
      <c r="V785" s="202" t="s">
        <v>4408</v>
      </c>
      <c r="W785" s="202">
        <v>46014</v>
      </c>
      <c r="X785" s="202">
        <v>46035</v>
      </c>
      <c r="Y785" s="202"/>
      <c r="Z785" s="202"/>
      <c r="AA785" s="215" t="s">
        <v>7738</v>
      </c>
      <c r="AB785" s="215" t="s">
        <v>7739</v>
      </c>
      <c r="AC785" s="215" t="s">
        <v>7740</v>
      </c>
      <c r="AD785" s="207" t="s">
        <v>4402</v>
      </c>
      <c r="AE785" s="207" t="s">
        <v>4405</v>
      </c>
      <c r="AF785" s="218" t="s">
        <v>4409</v>
      </c>
      <c r="AG785" s="218" t="s">
        <v>4409</v>
      </c>
      <c r="AH785" s="197" t="s">
        <v>4410</v>
      </c>
      <c r="AI785" s="214" t="s">
        <v>4411</v>
      </c>
      <c r="AJ785" s="207"/>
      <c r="AK785" s="316">
        <v>45996</v>
      </c>
      <c r="AL785" s="316">
        <v>45996</v>
      </c>
      <c r="AM785" s="316">
        <v>45996</v>
      </c>
      <c r="AN785" s="316">
        <v>45996</v>
      </c>
      <c r="AO785" s="316">
        <v>45996</v>
      </c>
      <c r="AP785" s="316">
        <v>45996</v>
      </c>
      <c r="AQ785" s="314"/>
      <c r="AR785" s="315" t="str">
        <f t="shared" si="56"/>
        <v>FINALIZADO</v>
      </c>
      <c r="AS785" s="207"/>
      <c r="AT785" s="207"/>
      <c r="AU785" s="225"/>
      <c r="AV785" s="207"/>
      <c r="AW785" s="207"/>
      <c r="AX785" s="207"/>
      <c r="AY785" s="207"/>
      <c r="AZ785" s="202"/>
      <c r="BA785" s="219"/>
      <c r="BB785" s="207"/>
      <c r="BC785" s="202"/>
      <c r="BD785" s="208"/>
      <c r="BE785" s="202"/>
      <c r="BF785" s="207"/>
      <c r="BG785" s="229"/>
      <c r="BH785" s="321" t="str">
        <f t="shared" si="53"/>
        <v/>
      </c>
      <c r="BI785" s="98" t="str">
        <f t="shared" si="54"/>
        <v>AA</v>
      </c>
      <c r="BJ785" s="98" t="str">
        <f t="shared" si="55"/>
        <v>NÃO</v>
      </c>
      <c r="BK785" s="230"/>
      <c r="BL785" s="230"/>
      <c r="BM785" s="230"/>
      <c r="BN785" s="230"/>
      <c r="BO785" s="230"/>
      <c r="BP785" s="230"/>
      <c r="BQ785" s="230"/>
      <c r="BR785" s="234"/>
    </row>
    <row r="786" spans="1:70" ht="27" hidden="1" customHeight="1">
      <c r="A786" s="207">
        <v>782</v>
      </c>
      <c r="B786" s="197" t="s">
        <v>4396</v>
      </c>
      <c r="C786" s="207" t="s">
        <v>4427</v>
      </c>
      <c r="D786" s="207">
        <v>1</v>
      </c>
      <c r="E786" s="207" t="s">
        <v>4398</v>
      </c>
      <c r="F786" s="214" t="s">
        <v>7741</v>
      </c>
      <c r="G786" s="207" t="s">
        <v>4400</v>
      </c>
      <c r="H786" s="207" t="s">
        <v>4401</v>
      </c>
      <c r="I786" s="217" t="s">
        <v>4402</v>
      </c>
      <c r="J786" s="215" t="s">
        <v>7742</v>
      </c>
      <c r="K786" s="215" t="s">
        <v>7743</v>
      </c>
      <c r="L786" s="215" t="s">
        <v>7744</v>
      </c>
      <c r="M786" s="207" t="s">
        <v>4405</v>
      </c>
      <c r="N786" s="207" t="s">
        <v>4406</v>
      </c>
      <c r="O786" s="202">
        <v>45986</v>
      </c>
      <c r="P786" s="203" t="s">
        <v>4407</v>
      </c>
      <c r="Q786" s="203">
        <v>45985</v>
      </c>
      <c r="R786" s="203">
        <v>45986</v>
      </c>
      <c r="S786" s="203">
        <v>45987</v>
      </c>
      <c r="T786" s="203">
        <v>45992</v>
      </c>
      <c r="U786" s="203" t="s">
        <v>4408</v>
      </c>
      <c r="V786" s="203" t="s">
        <v>4408</v>
      </c>
      <c r="W786" s="202">
        <v>45999</v>
      </c>
      <c r="X786" s="202">
        <v>46000</v>
      </c>
      <c r="Y786" s="203"/>
      <c r="Z786" s="219"/>
      <c r="AA786" s="215" t="s">
        <v>7742</v>
      </c>
      <c r="AB786" s="215" t="s">
        <v>7743</v>
      </c>
      <c r="AC786" s="215" t="s">
        <v>7744</v>
      </c>
      <c r="AD786" s="207" t="s">
        <v>4402</v>
      </c>
      <c r="AE786" s="207" t="s">
        <v>4405</v>
      </c>
      <c r="AF786" s="218" t="s">
        <v>4409</v>
      </c>
      <c r="AG786" s="218" t="s">
        <v>4409</v>
      </c>
      <c r="AH786" s="241" t="s">
        <v>4410</v>
      </c>
      <c r="AI786" s="214" t="s">
        <v>4411</v>
      </c>
      <c r="AJ786" s="207"/>
      <c r="AK786" s="316">
        <v>45980</v>
      </c>
      <c r="AL786" s="316">
        <v>45980</v>
      </c>
      <c r="AM786" s="316">
        <v>45980</v>
      </c>
      <c r="AN786" s="316">
        <v>45980</v>
      </c>
      <c r="AO786" s="316">
        <v>45980</v>
      </c>
      <c r="AP786" s="316">
        <v>45980</v>
      </c>
      <c r="AQ786" s="314"/>
      <c r="AR786" s="315" t="str">
        <f t="shared" si="56"/>
        <v>FINALIZADO</v>
      </c>
      <c r="AS786" s="207"/>
      <c r="AT786" s="219"/>
      <c r="AU786" s="225"/>
      <c r="AV786" s="207"/>
      <c r="AW786" s="207"/>
      <c r="AX786" s="207" t="s">
        <v>4409</v>
      </c>
      <c r="AY786" s="207" t="s">
        <v>4409</v>
      </c>
      <c r="AZ786" s="207" t="s">
        <v>4409</v>
      </c>
      <c r="BA786" s="207" t="s">
        <v>4409</v>
      </c>
      <c r="BB786" s="219"/>
      <c r="BC786" s="219"/>
      <c r="BD786" s="208"/>
      <c r="BE786" s="202"/>
      <c r="BF786" s="207"/>
      <c r="BG786" s="229"/>
      <c r="BH786" s="321" t="str">
        <f t="shared" si="53"/>
        <v/>
      </c>
      <c r="BI786" s="98" t="str">
        <f t="shared" si="54"/>
        <v>AA</v>
      </c>
      <c r="BJ786" s="98" t="str">
        <f t="shared" si="55"/>
        <v>NÃO</v>
      </c>
      <c r="BK786" s="230"/>
      <c r="BL786" s="230"/>
      <c r="BM786" s="230"/>
      <c r="BN786" s="230"/>
      <c r="BO786" s="230"/>
      <c r="BP786" s="230"/>
      <c r="BQ786" s="230"/>
      <c r="BR786" s="234"/>
    </row>
    <row r="787" spans="1:70" ht="27" hidden="1" customHeight="1">
      <c r="A787" s="207">
        <v>783</v>
      </c>
      <c r="B787" s="197" t="s">
        <v>4396</v>
      </c>
      <c r="C787" s="207" t="s">
        <v>4427</v>
      </c>
      <c r="D787" s="207">
        <v>1</v>
      </c>
      <c r="E787" s="207" t="s">
        <v>4398</v>
      </c>
      <c r="F787" s="214" t="s">
        <v>7745</v>
      </c>
      <c r="G787" s="207" t="s">
        <v>4400</v>
      </c>
      <c r="H787" s="207" t="s">
        <v>4401</v>
      </c>
      <c r="I787" s="217" t="s">
        <v>4402</v>
      </c>
      <c r="J787" s="215" t="s">
        <v>7746</v>
      </c>
      <c r="K787" s="215" t="s">
        <v>4398</v>
      </c>
      <c r="L787" s="215" t="s">
        <v>7747</v>
      </c>
      <c r="M787" s="207" t="s">
        <v>4405</v>
      </c>
      <c r="N787" s="207" t="s">
        <v>4406</v>
      </c>
      <c r="O787" s="202">
        <v>45986</v>
      </c>
      <c r="P787" s="203" t="s">
        <v>4407</v>
      </c>
      <c r="Q787" s="203">
        <v>45985</v>
      </c>
      <c r="R787" s="203">
        <v>45986</v>
      </c>
      <c r="S787" s="203">
        <v>45987</v>
      </c>
      <c r="T787" s="203">
        <v>45992</v>
      </c>
      <c r="U787" s="202" t="s">
        <v>4408</v>
      </c>
      <c r="V787" s="202" t="s">
        <v>4408</v>
      </c>
      <c r="W787" s="202">
        <v>45999</v>
      </c>
      <c r="X787" s="202">
        <v>46001</v>
      </c>
      <c r="Y787" s="202"/>
      <c r="Z787" s="202"/>
      <c r="AA787" s="215" t="s">
        <v>7746</v>
      </c>
      <c r="AB787" s="215" t="s">
        <v>4398</v>
      </c>
      <c r="AC787" s="215" t="s">
        <v>7747</v>
      </c>
      <c r="AD787" s="207" t="s">
        <v>4402</v>
      </c>
      <c r="AE787" s="207" t="s">
        <v>4405</v>
      </c>
      <c r="AF787" s="218" t="s">
        <v>4409</v>
      </c>
      <c r="AG787" s="218" t="s">
        <v>4409</v>
      </c>
      <c r="AH787" s="204" t="s">
        <v>4410</v>
      </c>
      <c r="AI787" s="214" t="s">
        <v>4411</v>
      </c>
      <c r="AJ787" s="207"/>
      <c r="AK787" s="316">
        <v>45996</v>
      </c>
      <c r="AL787" s="316">
        <v>45996</v>
      </c>
      <c r="AM787" s="316">
        <v>45996</v>
      </c>
      <c r="AN787" s="316">
        <v>45996</v>
      </c>
      <c r="AO787" s="316">
        <v>45996</v>
      </c>
      <c r="AP787" s="316">
        <v>45996</v>
      </c>
      <c r="AQ787" s="314"/>
      <c r="AR787" s="315" t="str">
        <f t="shared" si="56"/>
        <v>FINALIZADO</v>
      </c>
      <c r="AS787" s="207"/>
      <c r="AT787" s="219"/>
      <c r="AU787" s="225"/>
      <c r="AV787" s="207"/>
      <c r="AW787" s="207"/>
      <c r="AX787" s="207" t="s">
        <v>4409</v>
      </c>
      <c r="AY787" s="207" t="s">
        <v>4409</v>
      </c>
      <c r="AZ787" s="207" t="s">
        <v>4409</v>
      </c>
      <c r="BA787" s="207" t="s">
        <v>4409</v>
      </c>
      <c r="BB787" s="219"/>
      <c r="BC787" s="219"/>
      <c r="BD787" s="208"/>
      <c r="BE787" s="202"/>
      <c r="BF787" s="207"/>
      <c r="BG787" s="229"/>
      <c r="BH787" s="321" t="str">
        <f t="shared" si="53"/>
        <v/>
      </c>
      <c r="BI787" s="98" t="str">
        <f t="shared" si="54"/>
        <v>AA</v>
      </c>
      <c r="BJ787" s="98" t="str">
        <f t="shared" si="55"/>
        <v>NÃO</v>
      </c>
      <c r="BK787" s="230"/>
      <c r="BL787" s="230"/>
      <c r="BM787" s="230"/>
      <c r="BN787" s="230"/>
      <c r="BO787" s="230"/>
      <c r="BP787" s="230"/>
      <c r="BQ787" s="230"/>
      <c r="BR787" s="234"/>
    </row>
    <row r="788" spans="1:70" ht="27" hidden="1" customHeight="1">
      <c r="A788" s="207">
        <v>784</v>
      </c>
      <c r="B788" s="197" t="s">
        <v>4396</v>
      </c>
      <c r="C788" s="207" t="s">
        <v>4427</v>
      </c>
      <c r="D788" s="207">
        <v>1</v>
      </c>
      <c r="E788" s="207" t="s">
        <v>4398</v>
      </c>
      <c r="F788" s="214" t="s">
        <v>7748</v>
      </c>
      <c r="G788" s="207" t="s">
        <v>4400</v>
      </c>
      <c r="H788" s="207" t="s">
        <v>4401</v>
      </c>
      <c r="I788" s="217" t="s">
        <v>4402</v>
      </c>
      <c r="J788" s="215" t="s">
        <v>7749</v>
      </c>
      <c r="K788" s="215" t="s">
        <v>7750</v>
      </c>
      <c r="L788" s="215" t="s">
        <v>7751</v>
      </c>
      <c r="M788" s="207" t="s">
        <v>4405</v>
      </c>
      <c r="N788" s="207" t="s">
        <v>4442</v>
      </c>
      <c r="O788" s="202" t="s">
        <v>4409</v>
      </c>
      <c r="P788" s="202" t="s">
        <v>4409</v>
      </c>
      <c r="Q788" s="202" t="s">
        <v>4409</v>
      </c>
      <c r="R788" s="202" t="s">
        <v>4409</v>
      </c>
      <c r="S788" s="202" t="s">
        <v>4409</v>
      </c>
      <c r="T788" s="202" t="s">
        <v>4409</v>
      </c>
      <c r="U788" s="202" t="s">
        <v>4409</v>
      </c>
      <c r="V788" s="202" t="s">
        <v>4409</v>
      </c>
      <c r="W788" s="202" t="s">
        <v>4409</v>
      </c>
      <c r="X788" s="202" t="s">
        <v>4409</v>
      </c>
      <c r="Y788" s="202"/>
      <c r="Z788" s="202"/>
      <c r="AA788" s="200" t="s">
        <v>7749</v>
      </c>
      <c r="AB788" s="200" t="s">
        <v>7750</v>
      </c>
      <c r="AC788" s="200" t="s">
        <v>7751</v>
      </c>
      <c r="AD788" s="197" t="s">
        <v>4402</v>
      </c>
      <c r="AE788" s="199" t="s">
        <v>5045</v>
      </c>
      <c r="AF788" s="243">
        <v>27464.76</v>
      </c>
      <c r="AG788" s="243">
        <v>57464.76</v>
      </c>
      <c r="AH788" s="197" t="s">
        <v>4433</v>
      </c>
      <c r="AI788" s="214" t="s">
        <v>4411</v>
      </c>
      <c r="AJ788" s="207">
        <v>152697035</v>
      </c>
      <c r="AK788" s="316">
        <v>46106</v>
      </c>
      <c r="AL788" s="316">
        <v>46106</v>
      </c>
      <c r="AM788" s="316">
        <v>46106</v>
      </c>
      <c r="AN788" s="316">
        <v>46106</v>
      </c>
      <c r="AO788" s="316">
        <v>46106</v>
      </c>
      <c r="AP788" s="316">
        <v>46106</v>
      </c>
      <c r="AQ788" s="314"/>
      <c r="AR788" s="315" t="str">
        <f t="shared" si="56"/>
        <v>FINALIZADO</v>
      </c>
      <c r="AS788" s="207" t="s">
        <v>4423</v>
      </c>
      <c r="AT788" s="207"/>
      <c r="AU788" s="225" t="s">
        <v>7752</v>
      </c>
      <c r="AV788" s="250" t="s">
        <v>4425</v>
      </c>
      <c r="AW788" s="250" t="s">
        <v>4425</v>
      </c>
      <c r="AX788" s="207" t="s">
        <v>4425</v>
      </c>
      <c r="AY788" s="207" t="s">
        <v>4425</v>
      </c>
      <c r="AZ788" s="202">
        <v>46153</v>
      </c>
      <c r="BA788" s="207" t="s">
        <v>4425</v>
      </c>
      <c r="BB788" s="207" t="s">
        <v>4425</v>
      </c>
      <c r="BC788" s="202">
        <v>46157</v>
      </c>
      <c r="BD788" s="227">
        <v>46157</v>
      </c>
      <c r="BE788" s="226" t="s">
        <v>4435</v>
      </c>
      <c r="BF788" s="228" t="s">
        <v>4436</v>
      </c>
      <c r="BG788" s="229" t="s">
        <v>4425</v>
      </c>
      <c r="BH788" s="321">
        <f t="shared" si="53"/>
        <v>51</v>
      </c>
      <c r="BI788" s="98" t="str">
        <f t="shared" si="54"/>
        <v>INDENIZAÇÃO</v>
      </c>
      <c r="BJ788" s="98" t="str">
        <f t="shared" si="55"/>
        <v>NÃO</v>
      </c>
      <c r="BK788" s="230" t="s">
        <v>4437</v>
      </c>
      <c r="BL788" s="230" t="s">
        <v>4437</v>
      </c>
      <c r="BM788" s="230" t="s">
        <v>4437</v>
      </c>
      <c r="BN788" s="265" t="s">
        <v>5732</v>
      </c>
      <c r="BO788" s="265"/>
      <c r="BP788" s="265"/>
      <c r="BQ788" s="265"/>
      <c r="BR788" s="231"/>
    </row>
    <row r="789" spans="1:70" ht="27" hidden="1" customHeight="1">
      <c r="A789" s="197">
        <v>785</v>
      </c>
      <c r="B789" s="197" t="s">
        <v>4396</v>
      </c>
      <c r="C789" s="207" t="s">
        <v>4427</v>
      </c>
      <c r="D789" s="207">
        <v>1</v>
      </c>
      <c r="E789" s="207" t="s">
        <v>4398</v>
      </c>
      <c r="F789" s="214" t="s">
        <v>7753</v>
      </c>
      <c r="G789" s="207" t="s">
        <v>4400</v>
      </c>
      <c r="H789" s="207" t="s">
        <v>4401</v>
      </c>
      <c r="I789" s="217" t="s">
        <v>4402</v>
      </c>
      <c r="J789" s="255" t="s">
        <v>7754</v>
      </c>
      <c r="K789" s="255" t="s">
        <v>7755</v>
      </c>
      <c r="L789" s="255" t="s">
        <v>7756</v>
      </c>
      <c r="M789" s="219" t="s">
        <v>4405</v>
      </c>
      <c r="N789" s="207" t="s">
        <v>4406</v>
      </c>
      <c r="O789" s="202">
        <v>46065</v>
      </c>
      <c r="P789" s="203" t="s">
        <v>4407</v>
      </c>
      <c r="Q789" s="202">
        <v>46072</v>
      </c>
      <c r="R789" s="203">
        <v>46072</v>
      </c>
      <c r="S789" s="203">
        <v>46080</v>
      </c>
      <c r="T789" s="202">
        <v>46083</v>
      </c>
      <c r="U789" s="202" t="s">
        <v>4408</v>
      </c>
      <c r="V789" s="202" t="s">
        <v>4408</v>
      </c>
      <c r="W789" s="203">
        <v>46055</v>
      </c>
      <c r="X789" s="203">
        <v>46091</v>
      </c>
      <c r="Y789" s="203"/>
      <c r="Z789" s="219"/>
      <c r="AA789" s="255" t="s">
        <v>7754</v>
      </c>
      <c r="AB789" s="255" t="s">
        <v>7755</v>
      </c>
      <c r="AC789" s="255" t="s">
        <v>7756</v>
      </c>
      <c r="AD789" s="207" t="s">
        <v>4402</v>
      </c>
      <c r="AE789" s="207" t="s">
        <v>4405</v>
      </c>
      <c r="AF789" s="218" t="s">
        <v>4409</v>
      </c>
      <c r="AG789" s="218" t="s">
        <v>4409</v>
      </c>
      <c r="AH789" s="204" t="s">
        <v>4410</v>
      </c>
      <c r="AI789" s="214" t="s">
        <v>4411</v>
      </c>
      <c r="AJ789" s="207"/>
      <c r="AK789" s="317"/>
      <c r="AL789" s="317"/>
      <c r="AM789" s="317"/>
      <c r="AN789" s="317"/>
      <c r="AO789" s="317"/>
      <c r="AP789" s="317"/>
      <c r="AQ789" s="314"/>
      <c r="AR789" s="315" t="str">
        <f t="shared" si="56"/>
        <v/>
      </c>
      <c r="AS789" s="207"/>
      <c r="AT789" s="219"/>
      <c r="AU789" s="225"/>
      <c r="AV789" s="219"/>
      <c r="AW789" s="219"/>
      <c r="AX789" s="219"/>
      <c r="AY789" s="254"/>
      <c r="AZ789" s="219"/>
      <c r="BA789" s="219"/>
      <c r="BB789" s="254"/>
      <c r="BC789" s="219"/>
      <c r="BD789" s="208"/>
      <c r="BE789" s="203"/>
      <c r="BF789" s="219"/>
      <c r="BG789" s="219"/>
      <c r="BH789" s="321" t="str">
        <f t="shared" si="53"/>
        <v/>
      </c>
      <c r="BI789" s="98" t="str">
        <f t="shared" si="54"/>
        <v>AA</v>
      </c>
      <c r="BJ789" s="98" t="str">
        <f t="shared" si="55"/>
        <v>NÃO</v>
      </c>
      <c r="BK789" s="219"/>
      <c r="BL789" s="221"/>
      <c r="BM789" s="221"/>
      <c r="BN789" s="219"/>
      <c r="BO789" s="219"/>
      <c r="BP789" s="219"/>
      <c r="BQ789" s="219"/>
      <c r="BR789" s="222"/>
    </row>
    <row r="790" spans="1:70" ht="27" hidden="1" customHeight="1">
      <c r="A790" s="197">
        <v>786</v>
      </c>
      <c r="B790" s="197" t="s">
        <v>4396</v>
      </c>
      <c r="C790" s="207" t="s">
        <v>4427</v>
      </c>
      <c r="D790" s="207">
        <v>1</v>
      </c>
      <c r="E790" s="207" t="s">
        <v>4398</v>
      </c>
      <c r="F790" s="214" t="s">
        <v>7757</v>
      </c>
      <c r="G790" s="219" t="s">
        <v>4400</v>
      </c>
      <c r="H790" s="219" t="s">
        <v>4401</v>
      </c>
      <c r="I790" s="217" t="s">
        <v>4402</v>
      </c>
      <c r="J790" s="255" t="s">
        <v>7758</v>
      </c>
      <c r="K790" s="255" t="s">
        <v>7759</v>
      </c>
      <c r="L790" s="255" t="s">
        <v>7760</v>
      </c>
      <c r="M790" s="219" t="s">
        <v>4405</v>
      </c>
      <c r="N790" s="207" t="s">
        <v>4406</v>
      </c>
      <c r="O790" s="202">
        <v>46065</v>
      </c>
      <c r="P790" s="203" t="s">
        <v>4407</v>
      </c>
      <c r="Q790" s="202">
        <v>46072</v>
      </c>
      <c r="R790" s="203">
        <v>46072</v>
      </c>
      <c r="S790" s="203">
        <v>46080</v>
      </c>
      <c r="T790" s="202">
        <v>46083</v>
      </c>
      <c r="U790" s="202" t="s">
        <v>4408</v>
      </c>
      <c r="V790" s="202" t="s">
        <v>4408</v>
      </c>
      <c r="W790" s="203">
        <v>46055</v>
      </c>
      <c r="X790" s="203">
        <v>46091</v>
      </c>
      <c r="Y790" s="203"/>
      <c r="Z790" s="219"/>
      <c r="AA790" s="255" t="s">
        <v>7758</v>
      </c>
      <c r="AB790" s="255" t="s">
        <v>7759</v>
      </c>
      <c r="AC790" s="255" t="s">
        <v>7760</v>
      </c>
      <c r="AD790" s="207" t="s">
        <v>4402</v>
      </c>
      <c r="AE790" s="207" t="s">
        <v>4405</v>
      </c>
      <c r="AF790" s="218" t="s">
        <v>4409</v>
      </c>
      <c r="AG790" s="218" t="s">
        <v>4409</v>
      </c>
      <c r="AH790" s="204" t="s">
        <v>4410</v>
      </c>
      <c r="AI790" s="214" t="s">
        <v>4411</v>
      </c>
      <c r="AJ790" s="207"/>
      <c r="AK790" s="317"/>
      <c r="AL790" s="317"/>
      <c r="AM790" s="317"/>
      <c r="AN790" s="317"/>
      <c r="AO790" s="317"/>
      <c r="AP790" s="317"/>
      <c r="AQ790" s="314"/>
      <c r="AR790" s="315" t="str">
        <f t="shared" si="56"/>
        <v/>
      </c>
      <c r="AS790" s="207"/>
      <c r="AT790" s="219"/>
      <c r="AU790" s="225"/>
      <c r="AV790" s="219"/>
      <c r="AW790" s="219"/>
      <c r="AX790" s="219"/>
      <c r="AY790" s="219"/>
      <c r="AZ790" s="219"/>
      <c r="BA790" s="219"/>
      <c r="BB790" s="219"/>
      <c r="BC790" s="219"/>
      <c r="BD790" s="208"/>
      <c r="BE790" s="203"/>
      <c r="BF790" s="219"/>
      <c r="BG790" s="219"/>
      <c r="BH790" s="321" t="str">
        <f t="shared" si="53"/>
        <v/>
      </c>
      <c r="BI790" s="98" t="str">
        <f t="shared" si="54"/>
        <v>AA</v>
      </c>
      <c r="BJ790" s="98" t="str">
        <f t="shared" si="55"/>
        <v>NÃO</v>
      </c>
      <c r="BK790" s="219"/>
      <c r="BL790" s="221"/>
      <c r="BM790" s="221"/>
      <c r="BN790" s="219"/>
      <c r="BO790" s="219"/>
      <c r="BP790" s="219"/>
      <c r="BQ790" s="219"/>
      <c r="BR790" s="222"/>
    </row>
    <row r="791" spans="1:70" ht="27" hidden="1" customHeight="1">
      <c r="A791" s="207">
        <v>787</v>
      </c>
      <c r="B791" s="197" t="s">
        <v>4396</v>
      </c>
      <c r="C791" s="207" t="s">
        <v>4427</v>
      </c>
      <c r="D791" s="207">
        <v>1</v>
      </c>
      <c r="E791" s="207" t="s">
        <v>4398</v>
      </c>
      <c r="F791" s="214" t="s">
        <v>7761</v>
      </c>
      <c r="G791" s="207" t="s">
        <v>4400</v>
      </c>
      <c r="H791" s="207" t="s">
        <v>4401</v>
      </c>
      <c r="I791" s="217" t="s">
        <v>4402</v>
      </c>
      <c r="J791" s="255" t="s">
        <v>7762</v>
      </c>
      <c r="K791" s="255" t="s">
        <v>7763</v>
      </c>
      <c r="L791" s="255" t="s">
        <v>7764</v>
      </c>
      <c r="M791" s="219" t="s">
        <v>4405</v>
      </c>
      <c r="N791" s="207" t="s">
        <v>4406</v>
      </c>
      <c r="O791" s="202">
        <v>46084</v>
      </c>
      <c r="P791" s="202" t="s">
        <v>4407</v>
      </c>
      <c r="Q791" s="202">
        <v>46083</v>
      </c>
      <c r="R791" s="203">
        <v>46084</v>
      </c>
      <c r="S791" s="203">
        <v>46087</v>
      </c>
      <c r="T791" s="203">
        <v>46090</v>
      </c>
      <c r="U791" s="202" t="s">
        <v>4408</v>
      </c>
      <c r="V791" s="202" t="s">
        <v>4408</v>
      </c>
      <c r="W791" s="202">
        <v>46101</v>
      </c>
      <c r="X791" s="202">
        <v>46101</v>
      </c>
      <c r="Y791" s="203"/>
      <c r="Z791" s="219"/>
      <c r="AA791" s="255" t="s">
        <v>7762</v>
      </c>
      <c r="AB791" s="255" t="s">
        <v>7763</v>
      </c>
      <c r="AC791" s="255" t="s">
        <v>7764</v>
      </c>
      <c r="AD791" s="207" t="s">
        <v>4402</v>
      </c>
      <c r="AE791" s="207" t="s">
        <v>4405</v>
      </c>
      <c r="AF791" s="218" t="s">
        <v>4409</v>
      </c>
      <c r="AG791" s="218" t="s">
        <v>4409</v>
      </c>
      <c r="AH791" s="204" t="s">
        <v>4410</v>
      </c>
      <c r="AI791" s="214" t="s">
        <v>4411</v>
      </c>
      <c r="AJ791" s="207"/>
      <c r="AK791" s="317"/>
      <c r="AL791" s="317"/>
      <c r="AM791" s="317"/>
      <c r="AN791" s="317"/>
      <c r="AO791" s="317"/>
      <c r="AP791" s="317"/>
      <c r="AQ791" s="314"/>
      <c r="AR791" s="315" t="str">
        <f t="shared" si="56"/>
        <v/>
      </c>
      <c r="AS791" s="207"/>
      <c r="AT791" s="219"/>
      <c r="AU791" s="225"/>
      <c r="AV791" s="219"/>
      <c r="AW791" s="219"/>
      <c r="AX791" s="219"/>
      <c r="AY791" s="219"/>
      <c r="AZ791" s="219"/>
      <c r="BA791" s="219"/>
      <c r="BB791" s="219"/>
      <c r="BC791" s="219"/>
      <c r="BD791" s="208"/>
      <c r="BE791" s="203"/>
      <c r="BF791" s="219"/>
      <c r="BG791" s="219"/>
      <c r="BH791" s="321" t="str">
        <f t="shared" si="53"/>
        <v/>
      </c>
      <c r="BI791" s="98" t="str">
        <f t="shared" si="54"/>
        <v>AA</v>
      </c>
      <c r="BJ791" s="98" t="str">
        <f t="shared" si="55"/>
        <v>NÃO</v>
      </c>
      <c r="BK791" s="219"/>
      <c r="BL791" s="221"/>
      <c r="BM791" s="221"/>
      <c r="BN791" s="219"/>
      <c r="BO791" s="219"/>
      <c r="BP791" s="219"/>
      <c r="BQ791" s="219"/>
      <c r="BR791" s="222"/>
    </row>
    <row r="792" spans="1:70" ht="27" hidden="1" customHeight="1">
      <c r="A792" s="207">
        <v>788</v>
      </c>
      <c r="B792" s="197" t="s">
        <v>4396</v>
      </c>
      <c r="C792" s="207" t="s">
        <v>4427</v>
      </c>
      <c r="D792" s="207">
        <v>1</v>
      </c>
      <c r="E792" s="207" t="s">
        <v>4398</v>
      </c>
      <c r="F792" s="214" t="s">
        <v>7765</v>
      </c>
      <c r="G792" s="219" t="s">
        <v>4400</v>
      </c>
      <c r="H792" s="219" t="s">
        <v>4401</v>
      </c>
      <c r="I792" s="217" t="s">
        <v>4402</v>
      </c>
      <c r="J792" s="255" t="s">
        <v>7766</v>
      </c>
      <c r="K792" s="255" t="s">
        <v>7767</v>
      </c>
      <c r="L792" s="255" t="s">
        <v>7768</v>
      </c>
      <c r="M792" s="219" t="s">
        <v>4405</v>
      </c>
      <c r="N792" s="207" t="s">
        <v>4406</v>
      </c>
      <c r="O792" s="202">
        <v>46065</v>
      </c>
      <c r="P792" s="203" t="s">
        <v>4407</v>
      </c>
      <c r="Q792" s="202">
        <v>46072</v>
      </c>
      <c r="R792" s="203">
        <v>46072</v>
      </c>
      <c r="S792" s="203">
        <v>46080</v>
      </c>
      <c r="T792" s="202">
        <v>46083</v>
      </c>
      <c r="U792" s="202" t="s">
        <v>4408</v>
      </c>
      <c r="V792" s="202" t="s">
        <v>4408</v>
      </c>
      <c r="W792" s="203">
        <v>46055</v>
      </c>
      <c r="X792" s="203">
        <v>46119</v>
      </c>
      <c r="Y792" s="203"/>
      <c r="Z792" s="219"/>
      <c r="AA792" s="255" t="s">
        <v>7766</v>
      </c>
      <c r="AB792" s="255" t="s">
        <v>7767</v>
      </c>
      <c r="AC792" s="255" t="s">
        <v>7768</v>
      </c>
      <c r="AD792" s="207" t="s">
        <v>4402</v>
      </c>
      <c r="AE792" s="207" t="s">
        <v>4405</v>
      </c>
      <c r="AF792" s="218" t="s">
        <v>4409</v>
      </c>
      <c r="AG792" s="218" t="s">
        <v>4409</v>
      </c>
      <c r="AH792" s="204" t="s">
        <v>4410</v>
      </c>
      <c r="AI792" s="214" t="s">
        <v>4411</v>
      </c>
      <c r="AJ792" s="207"/>
      <c r="AK792" s="317"/>
      <c r="AL792" s="317"/>
      <c r="AM792" s="317"/>
      <c r="AN792" s="317"/>
      <c r="AO792" s="317"/>
      <c r="AP792" s="317"/>
      <c r="AQ792" s="314"/>
      <c r="AR792" s="315" t="str">
        <f t="shared" si="56"/>
        <v/>
      </c>
      <c r="AS792" s="207"/>
      <c r="AT792" s="219"/>
      <c r="AU792" s="225"/>
      <c r="AV792" s="219"/>
      <c r="AW792" s="219"/>
      <c r="AX792" s="219"/>
      <c r="AY792" s="219"/>
      <c r="AZ792" s="219"/>
      <c r="BA792" s="219"/>
      <c r="BB792" s="219"/>
      <c r="BC792" s="219"/>
      <c r="BD792" s="208"/>
      <c r="BE792" s="203"/>
      <c r="BF792" s="219"/>
      <c r="BG792" s="219"/>
      <c r="BH792" s="321" t="str">
        <f t="shared" si="53"/>
        <v/>
      </c>
      <c r="BI792" s="98" t="str">
        <f t="shared" si="54"/>
        <v>AA</v>
      </c>
      <c r="BJ792" s="98" t="str">
        <f t="shared" si="55"/>
        <v>NÃO</v>
      </c>
      <c r="BK792" s="219"/>
      <c r="BL792" s="221"/>
      <c r="BM792" s="221"/>
      <c r="BN792" s="219"/>
      <c r="BO792" s="219"/>
      <c r="BP792" s="219"/>
      <c r="BQ792" s="219"/>
      <c r="BR792" s="222"/>
    </row>
    <row r="793" spans="1:70" ht="27" hidden="1" customHeight="1">
      <c r="A793" s="207">
        <v>789</v>
      </c>
      <c r="B793" s="197" t="s">
        <v>4396</v>
      </c>
      <c r="C793" s="207" t="s">
        <v>4427</v>
      </c>
      <c r="D793" s="207">
        <v>1</v>
      </c>
      <c r="E793" s="207" t="s">
        <v>4398</v>
      </c>
      <c r="F793" s="214" t="s">
        <v>7769</v>
      </c>
      <c r="G793" s="219" t="s">
        <v>4400</v>
      </c>
      <c r="H793" s="219" t="s">
        <v>4401</v>
      </c>
      <c r="I793" s="217" t="s">
        <v>4402</v>
      </c>
      <c r="J793" s="255" t="s">
        <v>7770</v>
      </c>
      <c r="K793" s="255" t="s">
        <v>7771</v>
      </c>
      <c r="L793" s="255" t="s">
        <v>7772</v>
      </c>
      <c r="M793" s="219" t="s">
        <v>4405</v>
      </c>
      <c r="N793" s="207" t="s">
        <v>4406</v>
      </c>
      <c r="O793" s="202">
        <v>46065</v>
      </c>
      <c r="P793" s="203" t="s">
        <v>4407</v>
      </c>
      <c r="Q793" s="202">
        <v>46072</v>
      </c>
      <c r="R793" s="203">
        <v>46072</v>
      </c>
      <c r="S793" s="203">
        <v>46080</v>
      </c>
      <c r="T793" s="202">
        <v>46083</v>
      </c>
      <c r="U793" s="202" t="s">
        <v>4408</v>
      </c>
      <c r="V793" s="202" t="s">
        <v>4408</v>
      </c>
      <c r="W793" s="203">
        <v>46055</v>
      </c>
      <c r="X793" s="203">
        <v>46114</v>
      </c>
      <c r="Y793" s="203"/>
      <c r="Z793" s="219"/>
      <c r="AA793" s="255" t="s">
        <v>7770</v>
      </c>
      <c r="AB793" s="255" t="s">
        <v>7771</v>
      </c>
      <c r="AC793" s="255" t="s">
        <v>7772</v>
      </c>
      <c r="AD793" s="207" t="s">
        <v>4402</v>
      </c>
      <c r="AE793" s="207" t="s">
        <v>4405</v>
      </c>
      <c r="AF793" s="218" t="s">
        <v>4409</v>
      </c>
      <c r="AG793" s="218" t="s">
        <v>4409</v>
      </c>
      <c r="AH793" s="204" t="s">
        <v>4410</v>
      </c>
      <c r="AI793" s="214" t="s">
        <v>4411</v>
      </c>
      <c r="AJ793" s="207"/>
      <c r="AK793" s="317"/>
      <c r="AL793" s="317"/>
      <c r="AM793" s="317"/>
      <c r="AN793" s="317"/>
      <c r="AO793" s="317"/>
      <c r="AP793" s="317"/>
      <c r="AQ793" s="314"/>
      <c r="AR793" s="315" t="str">
        <f t="shared" si="56"/>
        <v/>
      </c>
      <c r="AS793" s="207"/>
      <c r="AT793" s="219"/>
      <c r="AU793" s="225"/>
      <c r="AV793" s="219"/>
      <c r="AW793" s="219"/>
      <c r="AX793" s="219"/>
      <c r="AY793" s="219"/>
      <c r="AZ793" s="219"/>
      <c r="BA793" s="219"/>
      <c r="BB793" s="219"/>
      <c r="BC793" s="219"/>
      <c r="BD793" s="208"/>
      <c r="BE793" s="203"/>
      <c r="BF793" s="219"/>
      <c r="BG793" s="219"/>
      <c r="BH793" s="321" t="str">
        <f t="shared" si="53"/>
        <v/>
      </c>
      <c r="BI793" s="98" t="str">
        <f t="shared" si="54"/>
        <v>AA</v>
      </c>
      <c r="BJ793" s="98" t="str">
        <f t="shared" si="55"/>
        <v>NÃO</v>
      </c>
      <c r="BK793" s="219"/>
      <c r="BL793" s="221"/>
      <c r="BM793" s="221"/>
      <c r="BN793" s="219"/>
      <c r="BO793" s="219"/>
      <c r="BP793" s="219"/>
      <c r="BQ793" s="219"/>
      <c r="BR793" s="222"/>
    </row>
    <row r="794" spans="1:70" ht="27" hidden="1" customHeight="1">
      <c r="A794" s="197">
        <v>790</v>
      </c>
      <c r="B794" s="197" t="s">
        <v>4396</v>
      </c>
      <c r="C794" s="207" t="s">
        <v>4427</v>
      </c>
      <c r="D794" s="207">
        <v>1</v>
      </c>
      <c r="E794" s="207" t="s">
        <v>4398</v>
      </c>
      <c r="F794" s="214" t="s">
        <v>7773</v>
      </c>
      <c r="G794" s="207" t="s">
        <v>4400</v>
      </c>
      <c r="H794" s="207" t="s">
        <v>4401</v>
      </c>
      <c r="I794" s="217" t="s">
        <v>4402</v>
      </c>
      <c r="J794" s="215" t="s">
        <v>7774</v>
      </c>
      <c r="K794" s="215" t="s">
        <v>7775</v>
      </c>
      <c r="L794" s="215" t="s">
        <v>7776</v>
      </c>
      <c r="M794" s="207" t="s">
        <v>4405</v>
      </c>
      <c r="N794" s="207" t="s">
        <v>4406</v>
      </c>
      <c r="O794" s="202">
        <v>46106</v>
      </c>
      <c r="P794" s="202" t="s">
        <v>4407</v>
      </c>
      <c r="Q794" s="202">
        <v>46106</v>
      </c>
      <c r="R794" s="202">
        <v>46107</v>
      </c>
      <c r="S794" s="202">
        <v>46111</v>
      </c>
      <c r="T794" s="202">
        <v>46087</v>
      </c>
      <c r="U794" s="202" t="s">
        <v>4408</v>
      </c>
      <c r="V794" s="202" t="s">
        <v>4408</v>
      </c>
      <c r="W794" s="202">
        <v>46132</v>
      </c>
      <c r="X794" s="203">
        <v>46056</v>
      </c>
      <c r="Y794" s="203"/>
      <c r="Z794" s="219"/>
      <c r="AA794" s="215" t="s">
        <v>7774</v>
      </c>
      <c r="AB794" s="215" t="s">
        <v>7775</v>
      </c>
      <c r="AC794" s="215" t="s">
        <v>7776</v>
      </c>
      <c r="AD794" s="207" t="s">
        <v>4402</v>
      </c>
      <c r="AE794" s="207" t="s">
        <v>4405</v>
      </c>
      <c r="AF794" s="218" t="s">
        <v>4409</v>
      </c>
      <c r="AG794" s="218" t="s">
        <v>4409</v>
      </c>
      <c r="AH794" s="207" t="s">
        <v>4410</v>
      </c>
      <c r="AI794" s="214" t="s">
        <v>4411</v>
      </c>
      <c r="AJ794" s="207"/>
      <c r="AK794" s="316">
        <v>46037</v>
      </c>
      <c r="AL794" s="316">
        <v>46037</v>
      </c>
      <c r="AM794" s="316">
        <v>46037</v>
      </c>
      <c r="AN794" s="316">
        <v>46037</v>
      </c>
      <c r="AO794" s="316">
        <v>46037</v>
      </c>
      <c r="AP794" s="316">
        <v>46037</v>
      </c>
      <c r="AQ794" s="314"/>
      <c r="AR794" s="315" t="str">
        <f t="shared" si="56"/>
        <v>FINALIZADO</v>
      </c>
      <c r="AS794" s="207"/>
      <c r="AT794" s="219"/>
      <c r="AU794" s="225"/>
      <c r="AV794" s="219"/>
      <c r="AW794" s="219"/>
      <c r="AX794" s="251"/>
      <c r="AY794" s="219"/>
      <c r="AZ794" s="219"/>
      <c r="BA794" s="219"/>
      <c r="BB794" s="219"/>
      <c r="BC794" s="219"/>
      <c r="BD794" s="208"/>
      <c r="BE794" s="203"/>
      <c r="BF794" s="219"/>
      <c r="BG794" s="219"/>
      <c r="BH794" s="321" t="str">
        <f t="shared" si="53"/>
        <v/>
      </c>
      <c r="BI794" s="98" t="str">
        <f t="shared" si="54"/>
        <v>AA</v>
      </c>
      <c r="BJ794" s="98" t="str">
        <f t="shared" si="55"/>
        <v>NÃO</v>
      </c>
      <c r="BK794" s="219"/>
      <c r="BL794" s="221"/>
      <c r="BM794" s="221"/>
      <c r="BN794" s="219"/>
      <c r="BO794" s="219"/>
      <c r="BP794" s="219"/>
      <c r="BQ794" s="219"/>
      <c r="BR794" s="222"/>
    </row>
    <row r="795" spans="1:70" ht="27" hidden="1" customHeight="1">
      <c r="A795" s="197">
        <v>791</v>
      </c>
      <c r="B795" s="197" t="s">
        <v>4396</v>
      </c>
      <c r="C795" s="207" t="s">
        <v>4427</v>
      </c>
      <c r="D795" s="207">
        <v>1</v>
      </c>
      <c r="E795" s="207" t="s">
        <v>4398</v>
      </c>
      <c r="F795" s="214" t="s">
        <v>7777</v>
      </c>
      <c r="G795" s="207" t="s">
        <v>4400</v>
      </c>
      <c r="H795" s="207" t="s">
        <v>4401</v>
      </c>
      <c r="I795" s="217" t="s">
        <v>4402</v>
      </c>
      <c r="J795" s="255" t="s">
        <v>7778</v>
      </c>
      <c r="K795" s="255" t="s">
        <v>7779</v>
      </c>
      <c r="L795" s="255" t="s">
        <v>7780</v>
      </c>
      <c r="M795" s="219" t="s">
        <v>4405</v>
      </c>
      <c r="N795" s="207" t="s">
        <v>4406</v>
      </c>
      <c r="O795" s="202">
        <v>46065</v>
      </c>
      <c r="P795" s="203" t="s">
        <v>4407</v>
      </c>
      <c r="Q795" s="202">
        <v>46072</v>
      </c>
      <c r="R795" s="203">
        <v>46072</v>
      </c>
      <c r="S795" s="203">
        <v>46080</v>
      </c>
      <c r="T795" s="202">
        <v>46083</v>
      </c>
      <c r="U795" s="202" t="s">
        <v>4408</v>
      </c>
      <c r="V795" s="202" t="s">
        <v>4408</v>
      </c>
      <c r="W795" s="203">
        <v>46055</v>
      </c>
      <c r="X795" s="203">
        <v>46091</v>
      </c>
      <c r="Y795" s="203"/>
      <c r="Z795" s="219"/>
      <c r="AA795" s="255" t="s">
        <v>7778</v>
      </c>
      <c r="AB795" s="255" t="s">
        <v>7779</v>
      </c>
      <c r="AC795" s="255" t="s">
        <v>7780</v>
      </c>
      <c r="AD795" s="207" t="s">
        <v>4402</v>
      </c>
      <c r="AE795" s="207" t="s">
        <v>4405</v>
      </c>
      <c r="AF795" s="218" t="s">
        <v>4409</v>
      </c>
      <c r="AG795" s="218" t="s">
        <v>4409</v>
      </c>
      <c r="AH795" s="207" t="s">
        <v>4410</v>
      </c>
      <c r="AI795" s="214" t="s">
        <v>4411</v>
      </c>
      <c r="AJ795" s="207"/>
      <c r="AK795" s="317"/>
      <c r="AL795" s="317"/>
      <c r="AM795" s="317"/>
      <c r="AN795" s="317"/>
      <c r="AO795" s="317"/>
      <c r="AP795" s="317"/>
      <c r="AQ795" s="314"/>
      <c r="AR795" s="315" t="str">
        <f t="shared" si="56"/>
        <v/>
      </c>
      <c r="AS795" s="207"/>
      <c r="AT795" s="219"/>
      <c r="AU795" s="225"/>
      <c r="AV795" s="219"/>
      <c r="AW795" s="219"/>
      <c r="AX795" s="219"/>
      <c r="AY795" s="219"/>
      <c r="AZ795" s="219"/>
      <c r="BA795" s="219"/>
      <c r="BB795" s="219"/>
      <c r="BC795" s="219"/>
      <c r="BD795" s="208"/>
      <c r="BE795" s="203"/>
      <c r="BF795" s="219"/>
      <c r="BG795" s="219"/>
      <c r="BH795" s="321" t="str">
        <f t="shared" si="53"/>
        <v/>
      </c>
      <c r="BI795" s="98" t="str">
        <f t="shared" si="54"/>
        <v>AA</v>
      </c>
      <c r="BJ795" s="98" t="str">
        <f t="shared" si="55"/>
        <v>NÃO</v>
      </c>
      <c r="BK795" s="219"/>
      <c r="BL795" s="221"/>
      <c r="BM795" s="221"/>
      <c r="BN795" s="219"/>
      <c r="BO795" s="219"/>
      <c r="BP795" s="219"/>
      <c r="BQ795" s="219"/>
      <c r="BR795" s="222"/>
    </row>
    <row r="796" spans="1:70" ht="27" hidden="1" customHeight="1">
      <c r="A796" s="207">
        <v>792</v>
      </c>
      <c r="B796" s="197" t="s">
        <v>4396</v>
      </c>
      <c r="C796" s="207" t="s">
        <v>4427</v>
      </c>
      <c r="D796" s="207">
        <v>1</v>
      </c>
      <c r="E796" s="207" t="s">
        <v>4398</v>
      </c>
      <c r="F796" s="214" t="s">
        <v>7781</v>
      </c>
      <c r="G796" s="207" t="s">
        <v>4400</v>
      </c>
      <c r="H796" s="207" t="s">
        <v>4401</v>
      </c>
      <c r="I796" s="217" t="s">
        <v>4402</v>
      </c>
      <c r="J796" s="255" t="s">
        <v>7782</v>
      </c>
      <c r="K796" s="255" t="s">
        <v>7783</v>
      </c>
      <c r="L796" s="255" t="s">
        <v>7784</v>
      </c>
      <c r="M796" s="219" t="s">
        <v>4405</v>
      </c>
      <c r="N796" s="207" t="s">
        <v>4406</v>
      </c>
      <c r="O796" s="202">
        <v>46065</v>
      </c>
      <c r="P796" s="203" t="s">
        <v>4407</v>
      </c>
      <c r="Q796" s="202">
        <v>46072</v>
      </c>
      <c r="R796" s="203">
        <v>46072</v>
      </c>
      <c r="S796" s="203">
        <v>46080</v>
      </c>
      <c r="T796" s="202">
        <v>46083</v>
      </c>
      <c r="U796" s="202" t="s">
        <v>4408</v>
      </c>
      <c r="V796" s="202" t="s">
        <v>4408</v>
      </c>
      <c r="W796" s="203">
        <v>46055</v>
      </c>
      <c r="X796" s="203">
        <v>46091</v>
      </c>
      <c r="Y796" s="203"/>
      <c r="Z796" s="219"/>
      <c r="AA796" s="255" t="s">
        <v>7782</v>
      </c>
      <c r="AB796" s="255" t="s">
        <v>7783</v>
      </c>
      <c r="AC796" s="255" t="s">
        <v>7784</v>
      </c>
      <c r="AD796" s="207" t="s">
        <v>4402</v>
      </c>
      <c r="AE796" s="207" t="s">
        <v>4405</v>
      </c>
      <c r="AF796" s="218" t="s">
        <v>4409</v>
      </c>
      <c r="AG796" s="218" t="s">
        <v>4409</v>
      </c>
      <c r="AH796" s="207" t="s">
        <v>4410</v>
      </c>
      <c r="AI796" s="214" t="s">
        <v>4411</v>
      </c>
      <c r="AJ796" s="207"/>
      <c r="AK796" s="317"/>
      <c r="AL796" s="317"/>
      <c r="AM796" s="317"/>
      <c r="AN796" s="317"/>
      <c r="AO796" s="317"/>
      <c r="AP796" s="317"/>
      <c r="AQ796" s="314"/>
      <c r="AR796" s="315" t="str">
        <f t="shared" si="56"/>
        <v/>
      </c>
      <c r="AS796" s="207"/>
      <c r="AT796" s="219"/>
      <c r="AU796" s="225"/>
      <c r="AV796" s="219"/>
      <c r="AW796" s="219"/>
      <c r="AX796" s="219"/>
      <c r="AY796" s="219"/>
      <c r="AZ796" s="219"/>
      <c r="BA796" s="219"/>
      <c r="BB796" s="219"/>
      <c r="BC796" s="219"/>
      <c r="BD796" s="208"/>
      <c r="BE796" s="203"/>
      <c r="BF796" s="219"/>
      <c r="BG796" s="219"/>
      <c r="BH796" s="321" t="str">
        <f t="shared" si="53"/>
        <v/>
      </c>
      <c r="BI796" s="98" t="str">
        <f t="shared" si="54"/>
        <v>AA</v>
      </c>
      <c r="BJ796" s="98" t="str">
        <f t="shared" si="55"/>
        <v>NÃO</v>
      </c>
      <c r="BK796" s="219"/>
      <c r="BL796" s="221"/>
      <c r="BM796" s="221"/>
      <c r="BN796" s="219"/>
      <c r="BO796" s="219"/>
      <c r="BP796" s="219"/>
      <c r="BQ796" s="219"/>
      <c r="BR796" s="222"/>
    </row>
    <row r="797" spans="1:70" ht="27" hidden="1" customHeight="1">
      <c r="A797" s="207">
        <v>793</v>
      </c>
      <c r="B797" s="197" t="s">
        <v>4396</v>
      </c>
      <c r="C797" s="207" t="s">
        <v>4427</v>
      </c>
      <c r="D797" s="207">
        <v>1</v>
      </c>
      <c r="E797" s="207" t="s">
        <v>4398</v>
      </c>
      <c r="F797" s="214" t="s">
        <v>7785</v>
      </c>
      <c r="G797" s="219" t="s">
        <v>4400</v>
      </c>
      <c r="H797" s="219" t="s">
        <v>4401</v>
      </c>
      <c r="I797" s="217" t="s">
        <v>4402</v>
      </c>
      <c r="J797" s="255" t="s">
        <v>7786</v>
      </c>
      <c r="K797" s="255" t="s">
        <v>4440</v>
      </c>
      <c r="L797" s="255" t="s">
        <v>7787</v>
      </c>
      <c r="M797" s="219" t="s">
        <v>4405</v>
      </c>
      <c r="N797" s="207" t="s">
        <v>4406</v>
      </c>
      <c r="O797" s="202">
        <v>46065</v>
      </c>
      <c r="P797" s="203" t="s">
        <v>4407</v>
      </c>
      <c r="Q797" s="202">
        <v>46072</v>
      </c>
      <c r="R797" s="203">
        <v>46072</v>
      </c>
      <c r="S797" s="203">
        <v>46080</v>
      </c>
      <c r="T797" s="202">
        <v>46083</v>
      </c>
      <c r="U797" s="202" t="s">
        <v>4408</v>
      </c>
      <c r="V797" s="202" t="s">
        <v>4408</v>
      </c>
      <c r="W797" s="203">
        <v>46055</v>
      </c>
      <c r="X797" s="203">
        <v>46092</v>
      </c>
      <c r="Y797" s="203"/>
      <c r="Z797" s="219"/>
      <c r="AA797" s="255" t="s">
        <v>7786</v>
      </c>
      <c r="AB797" s="255" t="s">
        <v>4440</v>
      </c>
      <c r="AC797" s="255" t="s">
        <v>7787</v>
      </c>
      <c r="AD797" s="207" t="s">
        <v>4402</v>
      </c>
      <c r="AE797" s="207" t="s">
        <v>4405</v>
      </c>
      <c r="AF797" s="218" t="s">
        <v>4409</v>
      </c>
      <c r="AG797" s="218" t="s">
        <v>4409</v>
      </c>
      <c r="AH797" s="207" t="s">
        <v>4410</v>
      </c>
      <c r="AI797" s="214" t="s">
        <v>4411</v>
      </c>
      <c r="AJ797" s="207"/>
      <c r="AK797" s="317"/>
      <c r="AL797" s="317"/>
      <c r="AM797" s="317"/>
      <c r="AN797" s="317"/>
      <c r="AO797" s="317"/>
      <c r="AP797" s="317"/>
      <c r="AQ797" s="314"/>
      <c r="AR797" s="315" t="str">
        <f t="shared" si="56"/>
        <v/>
      </c>
      <c r="AS797" s="207"/>
      <c r="AT797" s="219"/>
      <c r="AU797" s="225"/>
      <c r="AV797" s="219"/>
      <c r="AW797" s="219"/>
      <c r="AX797" s="219"/>
      <c r="AY797" s="219"/>
      <c r="AZ797" s="219"/>
      <c r="BA797" s="219"/>
      <c r="BB797" s="219"/>
      <c r="BC797" s="219"/>
      <c r="BD797" s="208"/>
      <c r="BE797" s="203"/>
      <c r="BF797" s="219"/>
      <c r="BG797" s="219"/>
      <c r="BH797" s="321" t="str">
        <f t="shared" si="53"/>
        <v/>
      </c>
      <c r="BI797" s="98" t="str">
        <f t="shared" si="54"/>
        <v>AA</v>
      </c>
      <c r="BJ797" s="98" t="str">
        <f t="shared" si="55"/>
        <v>NÃO</v>
      </c>
      <c r="BK797" s="219"/>
      <c r="BL797" s="221"/>
      <c r="BM797" s="221"/>
      <c r="BN797" s="219"/>
      <c r="BO797" s="219"/>
      <c r="BP797" s="219"/>
      <c r="BQ797" s="219"/>
      <c r="BR797" s="222"/>
    </row>
    <row r="798" spans="1:70" ht="27" hidden="1" customHeight="1">
      <c r="A798" s="207">
        <v>794</v>
      </c>
      <c r="B798" s="197" t="s">
        <v>4396</v>
      </c>
      <c r="C798" s="207" t="s">
        <v>4427</v>
      </c>
      <c r="D798" s="207">
        <v>1</v>
      </c>
      <c r="E798" s="207" t="s">
        <v>4398</v>
      </c>
      <c r="F798" s="214" t="s">
        <v>7788</v>
      </c>
      <c r="G798" s="207" t="s">
        <v>4400</v>
      </c>
      <c r="H798" s="207" t="s">
        <v>4401</v>
      </c>
      <c r="I798" s="217" t="s">
        <v>4402</v>
      </c>
      <c r="J798" s="255" t="s">
        <v>7789</v>
      </c>
      <c r="K798" s="255" t="s">
        <v>7790</v>
      </c>
      <c r="L798" s="255" t="s">
        <v>7791</v>
      </c>
      <c r="M798" s="219" t="s">
        <v>4405</v>
      </c>
      <c r="N798" s="207" t="s">
        <v>4406</v>
      </c>
      <c r="O798" s="202">
        <v>46065</v>
      </c>
      <c r="P798" s="203" t="s">
        <v>4407</v>
      </c>
      <c r="Q798" s="202">
        <v>46072</v>
      </c>
      <c r="R798" s="203">
        <v>46072</v>
      </c>
      <c r="S798" s="203">
        <v>46080</v>
      </c>
      <c r="T798" s="202">
        <v>46083</v>
      </c>
      <c r="U798" s="202" t="s">
        <v>4408</v>
      </c>
      <c r="V798" s="202" t="s">
        <v>4408</v>
      </c>
      <c r="W798" s="203">
        <v>46055</v>
      </c>
      <c r="X798" s="203">
        <v>46091</v>
      </c>
      <c r="Y798" s="203"/>
      <c r="Z798" s="219"/>
      <c r="AA798" s="255" t="s">
        <v>7789</v>
      </c>
      <c r="AB798" s="255" t="s">
        <v>7790</v>
      </c>
      <c r="AC798" s="255" t="s">
        <v>7791</v>
      </c>
      <c r="AD798" s="207" t="s">
        <v>4402</v>
      </c>
      <c r="AE798" s="207" t="s">
        <v>4405</v>
      </c>
      <c r="AF798" s="218" t="s">
        <v>4409</v>
      </c>
      <c r="AG798" s="218" t="s">
        <v>4409</v>
      </c>
      <c r="AH798" s="207" t="s">
        <v>4410</v>
      </c>
      <c r="AI798" s="214" t="s">
        <v>4411</v>
      </c>
      <c r="AJ798" s="207"/>
      <c r="AK798" s="317"/>
      <c r="AL798" s="317"/>
      <c r="AM798" s="317"/>
      <c r="AN798" s="317"/>
      <c r="AO798" s="317"/>
      <c r="AP798" s="317"/>
      <c r="AQ798" s="314"/>
      <c r="AR798" s="315" t="str">
        <f t="shared" si="56"/>
        <v/>
      </c>
      <c r="AS798" s="207"/>
      <c r="AT798" s="219"/>
      <c r="AU798" s="225"/>
      <c r="AV798" s="219"/>
      <c r="AW798" s="219"/>
      <c r="AX798" s="219"/>
      <c r="AY798" s="219"/>
      <c r="AZ798" s="219"/>
      <c r="BA798" s="219"/>
      <c r="BB798" s="219"/>
      <c r="BC798" s="219"/>
      <c r="BD798" s="208"/>
      <c r="BE798" s="203"/>
      <c r="BF798" s="219"/>
      <c r="BG798" s="219"/>
      <c r="BH798" s="321" t="str">
        <f t="shared" si="53"/>
        <v/>
      </c>
      <c r="BI798" s="98" t="str">
        <f t="shared" si="54"/>
        <v>AA</v>
      </c>
      <c r="BJ798" s="98" t="str">
        <f t="shared" si="55"/>
        <v>NÃO</v>
      </c>
      <c r="BK798" s="219"/>
      <c r="BL798" s="221"/>
      <c r="BM798" s="221"/>
      <c r="BN798" s="219"/>
      <c r="BO798" s="219"/>
      <c r="BP798" s="219"/>
      <c r="BQ798" s="219"/>
      <c r="BR798" s="222"/>
    </row>
    <row r="799" spans="1:70" ht="27" hidden="1" customHeight="1">
      <c r="A799" s="197">
        <v>795</v>
      </c>
      <c r="B799" s="197" t="s">
        <v>4396</v>
      </c>
      <c r="C799" s="207" t="s">
        <v>4427</v>
      </c>
      <c r="D799" s="207">
        <v>1</v>
      </c>
      <c r="E799" s="207" t="s">
        <v>4398</v>
      </c>
      <c r="F799" s="214" t="s">
        <v>7792</v>
      </c>
      <c r="G799" s="207" t="s">
        <v>4400</v>
      </c>
      <c r="H799" s="207" t="s">
        <v>4401</v>
      </c>
      <c r="I799" s="217" t="s">
        <v>4402</v>
      </c>
      <c r="J799" s="255" t="s">
        <v>7793</v>
      </c>
      <c r="K799" s="255" t="s">
        <v>7794</v>
      </c>
      <c r="L799" s="255" t="s">
        <v>7795</v>
      </c>
      <c r="M799" s="219" t="s">
        <v>4405</v>
      </c>
      <c r="N799" s="207" t="s">
        <v>4406</v>
      </c>
      <c r="O799" s="202">
        <v>46065</v>
      </c>
      <c r="P799" s="203" t="s">
        <v>4407</v>
      </c>
      <c r="Q799" s="202">
        <v>46072</v>
      </c>
      <c r="R799" s="203">
        <v>46072</v>
      </c>
      <c r="S799" s="203">
        <v>46080</v>
      </c>
      <c r="T799" s="202">
        <v>46083</v>
      </c>
      <c r="U799" s="202" t="s">
        <v>4408</v>
      </c>
      <c r="V799" s="202" t="s">
        <v>4408</v>
      </c>
      <c r="W799" s="203">
        <v>46055</v>
      </c>
      <c r="X799" s="203">
        <v>46091</v>
      </c>
      <c r="Y799" s="203"/>
      <c r="Z799" s="219"/>
      <c r="AA799" s="255" t="s">
        <v>7793</v>
      </c>
      <c r="AB799" s="255" t="s">
        <v>7794</v>
      </c>
      <c r="AC799" s="255" t="s">
        <v>7795</v>
      </c>
      <c r="AD799" s="207" t="s">
        <v>4402</v>
      </c>
      <c r="AE799" s="207" t="s">
        <v>4405</v>
      </c>
      <c r="AF799" s="218" t="s">
        <v>4409</v>
      </c>
      <c r="AG799" s="218" t="s">
        <v>4409</v>
      </c>
      <c r="AH799" s="207" t="s">
        <v>4410</v>
      </c>
      <c r="AI799" s="214" t="s">
        <v>4411</v>
      </c>
      <c r="AJ799" s="207"/>
      <c r="AK799" s="317"/>
      <c r="AL799" s="317"/>
      <c r="AM799" s="317"/>
      <c r="AN799" s="317"/>
      <c r="AO799" s="317"/>
      <c r="AP799" s="317"/>
      <c r="AQ799" s="314"/>
      <c r="AR799" s="315" t="str">
        <f t="shared" si="56"/>
        <v/>
      </c>
      <c r="AS799" s="207"/>
      <c r="AT799" s="219"/>
      <c r="AU799" s="225"/>
      <c r="AV799" s="219"/>
      <c r="AW799" s="219"/>
      <c r="AX799" s="219"/>
      <c r="AY799" s="219"/>
      <c r="AZ799" s="219"/>
      <c r="BA799" s="219"/>
      <c r="BB799" s="219"/>
      <c r="BC799" s="219"/>
      <c r="BD799" s="208"/>
      <c r="BE799" s="203"/>
      <c r="BF799" s="219"/>
      <c r="BG799" s="219"/>
      <c r="BH799" s="321" t="str">
        <f t="shared" si="53"/>
        <v/>
      </c>
      <c r="BI799" s="98" t="str">
        <f t="shared" si="54"/>
        <v>AA</v>
      </c>
      <c r="BJ799" s="98" t="str">
        <f t="shared" si="55"/>
        <v>NÃO</v>
      </c>
      <c r="BK799" s="219"/>
      <c r="BL799" s="221"/>
      <c r="BM799" s="221"/>
      <c r="BN799" s="219"/>
      <c r="BO799" s="219"/>
      <c r="BP799" s="219"/>
      <c r="BQ799" s="219"/>
      <c r="BR799" s="222"/>
    </row>
    <row r="800" spans="1:70" ht="27" hidden="1" customHeight="1">
      <c r="A800" s="197">
        <v>796</v>
      </c>
      <c r="B800" s="197" t="s">
        <v>4396</v>
      </c>
      <c r="C800" s="207" t="s">
        <v>4427</v>
      </c>
      <c r="D800" s="207">
        <v>1</v>
      </c>
      <c r="E800" s="207" t="s">
        <v>4398</v>
      </c>
      <c r="F800" s="214" t="s">
        <v>7796</v>
      </c>
      <c r="G800" s="219" t="s">
        <v>4400</v>
      </c>
      <c r="H800" s="219" t="s">
        <v>4401</v>
      </c>
      <c r="I800" s="217" t="s">
        <v>4402</v>
      </c>
      <c r="J800" s="255" t="s">
        <v>7797</v>
      </c>
      <c r="K800" s="255" t="s">
        <v>7798</v>
      </c>
      <c r="L800" s="255" t="s">
        <v>7799</v>
      </c>
      <c r="M800" s="219" t="s">
        <v>4405</v>
      </c>
      <c r="N800" s="207" t="s">
        <v>4406</v>
      </c>
      <c r="O800" s="202">
        <v>46065</v>
      </c>
      <c r="P800" s="203" t="s">
        <v>4407</v>
      </c>
      <c r="Q800" s="202">
        <v>46072</v>
      </c>
      <c r="R800" s="203">
        <v>46072</v>
      </c>
      <c r="S800" s="203">
        <v>46080</v>
      </c>
      <c r="T800" s="202">
        <v>46083</v>
      </c>
      <c r="U800" s="202" t="s">
        <v>4408</v>
      </c>
      <c r="V800" s="202" t="s">
        <v>4408</v>
      </c>
      <c r="W800" s="203">
        <v>46055</v>
      </c>
      <c r="X800" s="203">
        <v>46091</v>
      </c>
      <c r="Y800" s="203"/>
      <c r="Z800" s="219"/>
      <c r="AA800" s="255" t="s">
        <v>7797</v>
      </c>
      <c r="AB800" s="255" t="s">
        <v>7798</v>
      </c>
      <c r="AC800" s="255" t="s">
        <v>7799</v>
      </c>
      <c r="AD800" s="207" t="s">
        <v>4402</v>
      </c>
      <c r="AE800" s="207" t="s">
        <v>4405</v>
      </c>
      <c r="AF800" s="218" t="s">
        <v>4409</v>
      </c>
      <c r="AG800" s="218" t="s">
        <v>4409</v>
      </c>
      <c r="AH800" s="207" t="s">
        <v>4410</v>
      </c>
      <c r="AI800" s="214" t="s">
        <v>4411</v>
      </c>
      <c r="AJ800" s="207"/>
      <c r="AK800" s="317"/>
      <c r="AL800" s="317"/>
      <c r="AM800" s="317"/>
      <c r="AN800" s="317"/>
      <c r="AO800" s="317"/>
      <c r="AP800" s="317"/>
      <c r="AQ800" s="314"/>
      <c r="AR800" s="315" t="str">
        <f t="shared" si="56"/>
        <v/>
      </c>
      <c r="AS800" s="207"/>
      <c r="AT800" s="219"/>
      <c r="AU800" s="225"/>
      <c r="AV800" s="219"/>
      <c r="AW800" s="219"/>
      <c r="AX800" s="219"/>
      <c r="AY800" s="219"/>
      <c r="AZ800" s="219"/>
      <c r="BA800" s="219"/>
      <c r="BB800" s="219"/>
      <c r="BC800" s="219"/>
      <c r="BD800" s="208"/>
      <c r="BE800" s="203"/>
      <c r="BF800" s="219"/>
      <c r="BG800" s="219"/>
      <c r="BH800" s="321" t="str">
        <f t="shared" si="53"/>
        <v/>
      </c>
      <c r="BI800" s="98" t="str">
        <f t="shared" si="54"/>
        <v>AA</v>
      </c>
      <c r="BJ800" s="98" t="str">
        <f t="shared" si="55"/>
        <v>NÃO</v>
      </c>
      <c r="BK800" s="219"/>
      <c r="BL800" s="221"/>
      <c r="BM800" s="221"/>
      <c r="BN800" s="219"/>
      <c r="BO800" s="219"/>
      <c r="BP800" s="219"/>
      <c r="BQ800" s="219"/>
      <c r="BR800" s="222"/>
    </row>
    <row r="801" spans="1:71" ht="27" hidden="1" customHeight="1">
      <c r="A801" s="207">
        <v>797</v>
      </c>
      <c r="B801" s="197" t="s">
        <v>4396</v>
      </c>
      <c r="C801" s="207" t="s">
        <v>4427</v>
      </c>
      <c r="D801" s="207">
        <v>1</v>
      </c>
      <c r="E801" s="207" t="s">
        <v>4398</v>
      </c>
      <c r="F801" s="214" t="s">
        <v>7800</v>
      </c>
      <c r="G801" s="219" t="s">
        <v>4400</v>
      </c>
      <c r="H801" s="219" t="s">
        <v>4401</v>
      </c>
      <c r="I801" s="217" t="s">
        <v>4402</v>
      </c>
      <c r="J801" s="255" t="s">
        <v>7801</v>
      </c>
      <c r="K801" s="255" t="s">
        <v>7802</v>
      </c>
      <c r="L801" s="255" t="s">
        <v>7803</v>
      </c>
      <c r="M801" s="219" t="s">
        <v>4405</v>
      </c>
      <c r="N801" s="207" t="s">
        <v>4406</v>
      </c>
      <c r="O801" s="202">
        <v>46065</v>
      </c>
      <c r="P801" s="203" t="s">
        <v>4407</v>
      </c>
      <c r="Q801" s="202">
        <v>46072</v>
      </c>
      <c r="R801" s="203">
        <v>46072</v>
      </c>
      <c r="S801" s="203">
        <v>46080</v>
      </c>
      <c r="T801" s="202">
        <v>46083</v>
      </c>
      <c r="U801" s="202" t="s">
        <v>4408</v>
      </c>
      <c r="V801" s="202" t="s">
        <v>4408</v>
      </c>
      <c r="W801" s="203">
        <v>46055</v>
      </c>
      <c r="X801" s="203">
        <v>46092</v>
      </c>
      <c r="Y801" s="203"/>
      <c r="Z801" s="219"/>
      <c r="AA801" s="255" t="s">
        <v>7801</v>
      </c>
      <c r="AB801" s="255" t="s">
        <v>7802</v>
      </c>
      <c r="AC801" s="255" t="s">
        <v>7803</v>
      </c>
      <c r="AD801" s="207" t="s">
        <v>4402</v>
      </c>
      <c r="AE801" s="207" t="s">
        <v>4405</v>
      </c>
      <c r="AF801" s="218" t="s">
        <v>4409</v>
      </c>
      <c r="AG801" s="218" t="s">
        <v>4409</v>
      </c>
      <c r="AH801" s="207" t="s">
        <v>4410</v>
      </c>
      <c r="AI801" s="214" t="s">
        <v>4411</v>
      </c>
      <c r="AJ801" s="207"/>
      <c r="AK801" s="317"/>
      <c r="AL801" s="317"/>
      <c r="AM801" s="317"/>
      <c r="AN801" s="317"/>
      <c r="AO801" s="317"/>
      <c r="AP801" s="317"/>
      <c r="AQ801" s="314"/>
      <c r="AR801" s="315" t="str">
        <f t="shared" si="56"/>
        <v/>
      </c>
      <c r="AS801" s="207"/>
      <c r="AT801" s="219"/>
      <c r="AU801" s="225"/>
      <c r="AV801" s="219"/>
      <c r="AW801" s="219"/>
      <c r="AX801" s="219"/>
      <c r="AY801" s="219"/>
      <c r="AZ801" s="219"/>
      <c r="BA801" s="219"/>
      <c r="BB801" s="219"/>
      <c r="BC801" s="219"/>
      <c r="BD801" s="208"/>
      <c r="BE801" s="203"/>
      <c r="BF801" s="219"/>
      <c r="BG801" s="219"/>
      <c r="BH801" s="321" t="str">
        <f t="shared" si="53"/>
        <v/>
      </c>
      <c r="BI801" s="98" t="str">
        <f t="shared" si="54"/>
        <v>AA</v>
      </c>
      <c r="BJ801" s="98" t="str">
        <f t="shared" si="55"/>
        <v>NÃO</v>
      </c>
      <c r="BK801" s="219"/>
      <c r="BL801" s="221"/>
      <c r="BM801" s="221"/>
      <c r="BN801" s="219"/>
      <c r="BO801" s="219"/>
      <c r="BP801" s="219"/>
      <c r="BQ801" s="219"/>
      <c r="BR801" s="222"/>
    </row>
    <row r="802" spans="1:71" ht="27" hidden="1" customHeight="1">
      <c r="A802" s="207">
        <v>798</v>
      </c>
      <c r="B802" s="197" t="s">
        <v>4396</v>
      </c>
      <c r="C802" s="207" t="s">
        <v>4427</v>
      </c>
      <c r="D802" s="207">
        <v>1</v>
      </c>
      <c r="E802" s="207" t="s">
        <v>4398</v>
      </c>
      <c r="F802" s="214" t="s">
        <v>7804</v>
      </c>
      <c r="G802" s="207" t="s">
        <v>4400</v>
      </c>
      <c r="H802" s="207" t="s">
        <v>4401</v>
      </c>
      <c r="I802" s="217" t="s">
        <v>4402</v>
      </c>
      <c r="J802" s="255" t="s">
        <v>7805</v>
      </c>
      <c r="K802" s="255" t="s">
        <v>7806</v>
      </c>
      <c r="L802" s="255" t="s">
        <v>7807</v>
      </c>
      <c r="M802" s="219" t="s">
        <v>4405</v>
      </c>
      <c r="N802" s="207" t="s">
        <v>4406</v>
      </c>
      <c r="O802" s="202">
        <v>46065</v>
      </c>
      <c r="P802" s="203" t="s">
        <v>4407</v>
      </c>
      <c r="Q802" s="202">
        <v>46072</v>
      </c>
      <c r="R802" s="203">
        <v>46072</v>
      </c>
      <c r="S802" s="203">
        <v>46080</v>
      </c>
      <c r="T802" s="202">
        <v>46083</v>
      </c>
      <c r="U802" s="202" t="s">
        <v>4408</v>
      </c>
      <c r="V802" s="202" t="s">
        <v>4408</v>
      </c>
      <c r="W802" s="203">
        <v>46055</v>
      </c>
      <c r="X802" s="203">
        <v>46092</v>
      </c>
      <c r="Y802" s="203"/>
      <c r="Z802" s="219"/>
      <c r="AA802" s="255" t="s">
        <v>7805</v>
      </c>
      <c r="AB802" s="255" t="s">
        <v>7806</v>
      </c>
      <c r="AC802" s="255" t="s">
        <v>7807</v>
      </c>
      <c r="AD802" s="207" t="s">
        <v>4402</v>
      </c>
      <c r="AE802" s="207" t="s">
        <v>4405</v>
      </c>
      <c r="AF802" s="218" t="s">
        <v>4409</v>
      </c>
      <c r="AG802" s="218" t="s">
        <v>4409</v>
      </c>
      <c r="AH802" s="207" t="s">
        <v>4410</v>
      </c>
      <c r="AI802" s="214" t="s">
        <v>4411</v>
      </c>
      <c r="AJ802" s="207"/>
      <c r="AK802" s="317"/>
      <c r="AL802" s="317"/>
      <c r="AM802" s="317"/>
      <c r="AN802" s="317"/>
      <c r="AO802" s="317"/>
      <c r="AP802" s="317"/>
      <c r="AQ802" s="314"/>
      <c r="AR802" s="315" t="str">
        <f t="shared" si="56"/>
        <v/>
      </c>
      <c r="AS802" s="207"/>
      <c r="AT802" s="219"/>
      <c r="AU802" s="225"/>
      <c r="AV802" s="219"/>
      <c r="AW802" s="219"/>
      <c r="AX802" s="219"/>
      <c r="AY802" s="219"/>
      <c r="AZ802" s="219"/>
      <c r="BA802" s="219"/>
      <c r="BB802" s="219"/>
      <c r="BC802" s="219"/>
      <c r="BD802" s="208"/>
      <c r="BE802" s="203"/>
      <c r="BF802" s="219"/>
      <c r="BG802" s="219"/>
      <c r="BH802" s="321" t="str">
        <f t="shared" si="53"/>
        <v/>
      </c>
      <c r="BI802" s="98" t="str">
        <f t="shared" si="54"/>
        <v>AA</v>
      </c>
      <c r="BJ802" s="98" t="str">
        <f t="shared" si="55"/>
        <v>NÃO</v>
      </c>
      <c r="BK802" s="219"/>
      <c r="BL802" s="221"/>
      <c r="BM802" s="221"/>
      <c r="BN802" s="219"/>
      <c r="BO802" s="219"/>
      <c r="BP802" s="219"/>
      <c r="BQ802" s="219"/>
      <c r="BR802" s="222"/>
    </row>
    <row r="803" spans="1:71" ht="27" hidden="1" customHeight="1">
      <c r="A803" s="207">
        <v>799</v>
      </c>
      <c r="B803" s="197" t="s">
        <v>4396</v>
      </c>
      <c r="C803" s="207" t="s">
        <v>4427</v>
      </c>
      <c r="D803" s="207">
        <v>1</v>
      </c>
      <c r="E803" s="207" t="s">
        <v>4398</v>
      </c>
      <c r="F803" s="214" t="s">
        <v>7808</v>
      </c>
      <c r="G803" s="219" t="s">
        <v>4400</v>
      </c>
      <c r="H803" s="219" t="s">
        <v>4401</v>
      </c>
      <c r="I803" s="217" t="s">
        <v>4402</v>
      </c>
      <c r="J803" s="255" t="s">
        <v>7809</v>
      </c>
      <c r="K803" s="255" t="s">
        <v>7810</v>
      </c>
      <c r="L803" s="255" t="s">
        <v>7811</v>
      </c>
      <c r="M803" s="219" t="s">
        <v>4405</v>
      </c>
      <c r="N803" s="207" t="s">
        <v>4406</v>
      </c>
      <c r="O803" s="202">
        <v>46065</v>
      </c>
      <c r="P803" s="203" t="s">
        <v>4407</v>
      </c>
      <c r="Q803" s="202">
        <v>46072</v>
      </c>
      <c r="R803" s="203">
        <v>46072</v>
      </c>
      <c r="S803" s="203">
        <v>46080</v>
      </c>
      <c r="T803" s="202">
        <v>46083</v>
      </c>
      <c r="U803" s="202" t="s">
        <v>4408</v>
      </c>
      <c r="V803" s="202" t="s">
        <v>4408</v>
      </c>
      <c r="W803" s="203">
        <v>46055</v>
      </c>
      <c r="X803" s="203">
        <v>46091</v>
      </c>
      <c r="Y803" s="203"/>
      <c r="Z803" s="219"/>
      <c r="AA803" s="255" t="s">
        <v>7809</v>
      </c>
      <c r="AB803" s="255" t="s">
        <v>7810</v>
      </c>
      <c r="AC803" s="255" t="s">
        <v>7811</v>
      </c>
      <c r="AD803" s="207" t="s">
        <v>4402</v>
      </c>
      <c r="AE803" s="207" t="s">
        <v>4405</v>
      </c>
      <c r="AF803" s="218" t="s">
        <v>4409</v>
      </c>
      <c r="AG803" s="218" t="s">
        <v>4409</v>
      </c>
      <c r="AH803" s="207" t="s">
        <v>4410</v>
      </c>
      <c r="AI803" s="214" t="s">
        <v>4411</v>
      </c>
      <c r="AJ803" s="207"/>
      <c r="AK803" s="317"/>
      <c r="AL803" s="317"/>
      <c r="AM803" s="317"/>
      <c r="AN803" s="317"/>
      <c r="AO803" s="317"/>
      <c r="AP803" s="317"/>
      <c r="AQ803" s="314"/>
      <c r="AR803" s="315" t="str">
        <f t="shared" si="56"/>
        <v/>
      </c>
      <c r="AS803" s="207"/>
      <c r="AT803" s="219"/>
      <c r="AU803" s="225"/>
      <c r="AV803" s="219"/>
      <c r="AW803" s="219"/>
      <c r="AX803" s="219"/>
      <c r="AY803" s="219"/>
      <c r="AZ803" s="219"/>
      <c r="BA803" s="219"/>
      <c r="BB803" s="219"/>
      <c r="BC803" s="219"/>
      <c r="BD803" s="208"/>
      <c r="BE803" s="203"/>
      <c r="BF803" s="219"/>
      <c r="BG803" s="219"/>
      <c r="BH803" s="321" t="str">
        <f t="shared" si="53"/>
        <v/>
      </c>
      <c r="BI803" s="98" t="str">
        <f t="shared" si="54"/>
        <v>AA</v>
      </c>
      <c r="BJ803" s="98" t="str">
        <f t="shared" si="55"/>
        <v>NÃO</v>
      </c>
      <c r="BK803" s="219"/>
      <c r="BL803" s="221"/>
      <c r="BM803" s="221"/>
      <c r="BN803" s="219"/>
      <c r="BO803" s="219"/>
      <c r="BP803" s="219"/>
      <c r="BQ803" s="219"/>
      <c r="BR803" s="222"/>
    </row>
    <row r="804" spans="1:71" ht="27" hidden="1" customHeight="1">
      <c r="A804" s="197">
        <v>800</v>
      </c>
      <c r="B804" s="197" t="s">
        <v>4396</v>
      </c>
      <c r="C804" s="207" t="s">
        <v>4427</v>
      </c>
      <c r="D804" s="207">
        <v>1</v>
      </c>
      <c r="E804" s="207" t="s">
        <v>4398</v>
      </c>
      <c r="F804" s="214" t="s">
        <v>7812</v>
      </c>
      <c r="G804" s="207" t="s">
        <v>4400</v>
      </c>
      <c r="H804" s="207" t="s">
        <v>4401</v>
      </c>
      <c r="I804" s="217" t="s">
        <v>4402</v>
      </c>
      <c r="J804" s="255" t="s">
        <v>7813</v>
      </c>
      <c r="K804" s="255" t="s">
        <v>7814</v>
      </c>
      <c r="L804" s="255" t="s">
        <v>7815</v>
      </c>
      <c r="M804" s="219" t="s">
        <v>4405</v>
      </c>
      <c r="N804" s="207" t="s">
        <v>4406</v>
      </c>
      <c r="O804" s="202">
        <v>46065</v>
      </c>
      <c r="P804" s="203" t="s">
        <v>4407</v>
      </c>
      <c r="Q804" s="202">
        <v>46072</v>
      </c>
      <c r="R804" s="203">
        <v>46072</v>
      </c>
      <c r="S804" s="203">
        <v>46080</v>
      </c>
      <c r="T804" s="202">
        <v>46083</v>
      </c>
      <c r="U804" s="202" t="s">
        <v>4408</v>
      </c>
      <c r="V804" s="202" t="s">
        <v>4408</v>
      </c>
      <c r="W804" s="203">
        <v>46055</v>
      </c>
      <c r="X804" s="203">
        <v>46101</v>
      </c>
      <c r="Y804" s="203"/>
      <c r="Z804" s="219"/>
      <c r="AA804" s="255" t="s">
        <v>7813</v>
      </c>
      <c r="AB804" s="255" t="s">
        <v>7814</v>
      </c>
      <c r="AC804" s="255" t="s">
        <v>7815</v>
      </c>
      <c r="AD804" s="207" t="s">
        <v>4402</v>
      </c>
      <c r="AE804" s="207" t="s">
        <v>4405</v>
      </c>
      <c r="AF804" s="218" t="s">
        <v>4409</v>
      </c>
      <c r="AG804" s="218" t="s">
        <v>4409</v>
      </c>
      <c r="AH804" s="207" t="s">
        <v>4410</v>
      </c>
      <c r="AI804" s="214" t="s">
        <v>4411</v>
      </c>
      <c r="AJ804" s="207"/>
      <c r="AK804" s="317"/>
      <c r="AL804" s="317"/>
      <c r="AM804" s="317"/>
      <c r="AN804" s="317"/>
      <c r="AO804" s="317"/>
      <c r="AP804" s="317"/>
      <c r="AQ804" s="314"/>
      <c r="AR804" s="315" t="str">
        <f t="shared" si="56"/>
        <v/>
      </c>
      <c r="AS804" s="207"/>
      <c r="AT804" s="219"/>
      <c r="AU804" s="225"/>
      <c r="AV804" s="219"/>
      <c r="AW804" s="219"/>
      <c r="AX804" s="219"/>
      <c r="AY804" s="219"/>
      <c r="AZ804" s="219"/>
      <c r="BA804" s="219"/>
      <c r="BB804" s="219"/>
      <c r="BC804" s="219"/>
      <c r="BD804" s="208"/>
      <c r="BE804" s="203"/>
      <c r="BF804" s="219"/>
      <c r="BG804" s="219"/>
      <c r="BH804" s="321" t="str">
        <f t="shared" si="53"/>
        <v/>
      </c>
      <c r="BI804" s="98" t="str">
        <f t="shared" si="54"/>
        <v>AA</v>
      </c>
      <c r="BJ804" s="98" t="str">
        <f t="shared" si="55"/>
        <v>NÃO</v>
      </c>
      <c r="BK804" s="219"/>
      <c r="BL804" s="221"/>
      <c r="BM804" s="221"/>
      <c r="BN804" s="219"/>
      <c r="BO804" s="219"/>
      <c r="BP804" s="219"/>
      <c r="BQ804" s="219"/>
      <c r="BR804" s="222"/>
    </row>
    <row r="805" spans="1:71" ht="27" hidden="1" customHeight="1">
      <c r="A805" s="197">
        <v>801</v>
      </c>
      <c r="B805" s="197" t="s">
        <v>4396</v>
      </c>
      <c r="C805" s="207" t="s">
        <v>4427</v>
      </c>
      <c r="D805" s="207">
        <v>1</v>
      </c>
      <c r="E805" s="207" t="s">
        <v>4398</v>
      </c>
      <c r="F805" s="214" t="s">
        <v>7816</v>
      </c>
      <c r="G805" s="219" t="s">
        <v>4400</v>
      </c>
      <c r="H805" s="219" t="s">
        <v>4401</v>
      </c>
      <c r="I805" s="217" t="s">
        <v>4402</v>
      </c>
      <c r="J805" s="255" t="s">
        <v>7817</v>
      </c>
      <c r="K805" s="255" t="s">
        <v>7818</v>
      </c>
      <c r="L805" s="255" t="s">
        <v>7819</v>
      </c>
      <c r="M805" s="219" t="s">
        <v>4405</v>
      </c>
      <c r="N805" s="207" t="s">
        <v>4406</v>
      </c>
      <c r="O805" s="202">
        <v>46065</v>
      </c>
      <c r="P805" s="203" t="s">
        <v>4407</v>
      </c>
      <c r="Q805" s="202">
        <v>46072</v>
      </c>
      <c r="R805" s="203">
        <v>46072</v>
      </c>
      <c r="S805" s="203">
        <v>46080</v>
      </c>
      <c r="T805" s="202">
        <v>46083</v>
      </c>
      <c r="U805" s="202" t="s">
        <v>4408</v>
      </c>
      <c r="V805" s="202" t="s">
        <v>4408</v>
      </c>
      <c r="W805" s="203">
        <v>46055</v>
      </c>
      <c r="X805" s="203">
        <v>46091</v>
      </c>
      <c r="Y805" s="203"/>
      <c r="Z805" s="219"/>
      <c r="AA805" s="255" t="s">
        <v>7817</v>
      </c>
      <c r="AB805" s="255" t="s">
        <v>7818</v>
      </c>
      <c r="AC805" s="255" t="s">
        <v>7819</v>
      </c>
      <c r="AD805" s="207" t="s">
        <v>4402</v>
      </c>
      <c r="AE805" s="207" t="s">
        <v>4405</v>
      </c>
      <c r="AF805" s="218" t="s">
        <v>4409</v>
      </c>
      <c r="AG805" s="218" t="s">
        <v>4409</v>
      </c>
      <c r="AH805" s="207" t="s">
        <v>4410</v>
      </c>
      <c r="AI805" s="214" t="s">
        <v>4411</v>
      </c>
      <c r="AJ805" s="207"/>
      <c r="AK805" s="317"/>
      <c r="AL805" s="317"/>
      <c r="AM805" s="317"/>
      <c r="AN805" s="317"/>
      <c r="AO805" s="317"/>
      <c r="AP805" s="317"/>
      <c r="AQ805" s="314"/>
      <c r="AR805" s="315" t="str">
        <f t="shared" si="56"/>
        <v/>
      </c>
      <c r="AS805" s="207"/>
      <c r="AT805" s="219"/>
      <c r="AU805" s="225"/>
      <c r="AV805" s="219"/>
      <c r="AW805" s="219"/>
      <c r="AX805" s="219"/>
      <c r="AY805" s="219"/>
      <c r="AZ805" s="219"/>
      <c r="BA805" s="219"/>
      <c r="BB805" s="219"/>
      <c r="BC805" s="219"/>
      <c r="BD805" s="208"/>
      <c r="BE805" s="203"/>
      <c r="BF805" s="219"/>
      <c r="BG805" s="219"/>
      <c r="BH805" s="321" t="str">
        <f t="shared" si="53"/>
        <v/>
      </c>
      <c r="BI805" s="98" t="str">
        <f t="shared" si="54"/>
        <v>AA</v>
      </c>
      <c r="BJ805" s="98" t="str">
        <f t="shared" si="55"/>
        <v>NÃO</v>
      </c>
      <c r="BK805" s="219"/>
      <c r="BL805" s="221"/>
      <c r="BM805" s="221"/>
      <c r="BN805" s="219"/>
      <c r="BO805" s="219"/>
      <c r="BP805" s="219"/>
      <c r="BQ805" s="219"/>
      <c r="BR805" s="222"/>
    </row>
    <row r="806" spans="1:71" ht="27" hidden="1" customHeight="1">
      <c r="A806" s="207">
        <v>802</v>
      </c>
      <c r="B806" s="197" t="s">
        <v>4396</v>
      </c>
      <c r="C806" s="207" t="s">
        <v>4427</v>
      </c>
      <c r="D806" s="207">
        <v>1</v>
      </c>
      <c r="E806" s="207" t="s">
        <v>4398</v>
      </c>
      <c r="F806" s="214" t="s">
        <v>7820</v>
      </c>
      <c r="G806" s="207" t="s">
        <v>4400</v>
      </c>
      <c r="H806" s="207" t="s">
        <v>4401</v>
      </c>
      <c r="I806" s="217" t="s">
        <v>4402</v>
      </c>
      <c r="J806" s="255" t="s">
        <v>7821</v>
      </c>
      <c r="K806" s="255" t="s">
        <v>4440</v>
      </c>
      <c r="L806" s="255" t="s">
        <v>7822</v>
      </c>
      <c r="M806" s="219" t="s">
        <v>4405</v>
      </c>
      <c r="N806" s="207" t="s">
        <v>4406</v>
      </c>
      <c r="O806" s="202">
        <v>46065</v>
      </c>
      <c r="P806" s="203" t="s">
        <v>4407</v>
      </c>
      <c r="Q806" s="202">
        <v>46072</v>
      </c>
      <c r="R806" s="203">
        <v>46072</v>
      </c>
      <c r="S806" s="203">
        <v>46080</v>
      </c>
      <c r="T806" s="202">
        <v>46083</v>
      </c>
      <c r="U806" s="202" t="s">
        <v>4408</v>
      </c>
      <c r="V806" s="202" t="s">
        <v>4408</v>
      </c>
      <c r="W806" s="203">
        <v>46055</v>
      </c>
      <c r="X806" s="203">
        <v>46091</v>
      </c>
      <c r="Y806" s="203"/>
      <c r="Z806" s="219"/>
      <c r="AA806" s="255" t="s">
        <v>7821</v>
      </c>
      <c r="AB806" s="255" t="s">
        <v>4440</v>
      </c>
      <c r="AC806" s="255" t="s">
        <v>7822</v>
      </c>
      <c r="AD806" s="207" t="s">
        <v>4402</v>
      </c>
      <c r="AE806" s="207" t="s">
        <v>4405</v>
      </c>
      <c r="AF806" s="218" t="s">
        <v>4409</v>
      </c>
      <c r="AG806" s="218" t="s">
        <v>4409</v>
      </c>
      <c r="AH806" s="207" t="s">
        <v>4410</v>
      </c>
      <c r="AI806" s="214" t="s">
        <v>4411</v>
      </c>
      <c r="AJ806" s="207"/>
      <c r="AK806" s="317"/>
      <c r="AL806" s="317"/>
      <c r="AM806" s="317"/>
      <c r="AN806" s="317"/>
      <c r="AO806" s="317"/>
      <c r="AP806" s="317"/>
      <c r="AQ806" s="314"/>
      <c r="AR806" s="315" t="str">
        <f t="shared" si="56"/>
        <v/>
      </c>
      <c r="AS806" s="207"/>
      <c r="AT806" s="219"/>
      <c r="AU806" s="225"/>
      <c r="AV806" s="219"/>
      <c r="AW806" s="219"/>
      <c r="AX806" s="219"/>
      <c r="AY806" s="219"/>
      <c r="AZ806" s="219"/>
      <c r="BA806" s="219"/>
      <c r="BB806" s="219"/>
      <c r="BC806" s="219"/>
      <c r="BD806" s="208"/>
      <c r="BE806" s="203"/>
      <c r="BF806" s="219"/>
      <c r="BG806" s="219"/>
      <c r="BH806" s="321" t="str">
        <f t="shared" si="53"/>
        <v/>
      </c>
      <c r="BI806" s="98" t="str">
        <f t="shared" si="54"/>
        <v>AA</v>
      </c>
      <c r="BJ806" s="98" t="str">
        <f t="shared" si="55"/>
        <v>NÃO</v>
      </c>
      <c r="BK806" s="219"/>
      <c r="BL806" s="221"/>
      <c r="BM806" s="221"/>
      <c r="BN806" s="219"/>
      <c r="BO806" s="219"/>
      <c r="BP806" s="219"/>
      <c r="BQ806" s="219"/>
      <c r="BR806" s="222"/>
    </row>
    <row r="807" spans="1:71" ht="27" hidden="1" customHeight="1">
      <c r="A807" s="207">
        <v>803</v>
      </c>
      <c r="B807" s="197" t="s">
        <v>4396</v>
      </c>
      <c r="C807" s="207" t="s">
        <v>4427</v>
      </c>
      <c r="D807" s="207">
        <v>1</v>
      </c>
      <c r="E807" s="207" t="s">
        <v>4398</v>
      </c>
      <c r="F807" s="214" t="s">
        <v>7823</v>
      </c>
      <c r="G807" s="207" t="s">
        <v>4400</v>
      </c>
      <c r="H807" s="207" t="s">
        <v>4401</v>
      </c>
      <c r="I807" s="217" t="s">
        <v>4402</v>
      </c>
      <c r="J807" s="215" t="s">
        <v>7824</v>
      </c>
      <c r="K807" s="215" t="s">
        <v>4398</v>
      </c>
      <c r="L807" s="215" t="s">
        <v>7825</v>
      </c>
      <c r="M807" s="207" t="s">
        <v>4405</v>
      </c>
      <c r="N807" s="207" t="s">
        <v>4432</v>
      </c>
      <c r="O807" s="202" t="s">
        <v>4409</v>
      </c>
      <c r="P807" s="202" t="s">
        <v>4409</v>
      </c>
      <c r="Q807" s="202" t="s">
        <v>4409</v>
      </c>
      <c r="R807" s="202" t="s">
        <v>4409</v>
      </c>
      <c r="S807" s="202" t="s">
        <v>4409</v>
      </c>
      <c r="T807" s="202" t="s">
        <v>4409</v>
      </c>
      <c r="U807" s="202" t="s">
        <v>4409</v>
      </c>
      <c r="V807" s="202" t="s">
        <v>4409</v>
      </c>
      <c r="W807" s="202" t="s">
        <v>4409</v>
      </c>
      <c r="X807" s="202" t="s">
        <v>4409</v>
      </c>
      <c r="Y807" s="202"/>
      <c r="Z807" s="202"/>
      <c r="AA807" s="215" t="s">
        <v>7824</v>
      </c>
      <c r="AB807" s="215" t="s">
        <v>4398</v>
      </c>
      <c r="AC807" s="215" t="s">
        <v>7825</v>
      </c>
      <c r="AD807" s="207" t="s">
        <v>4402</v>
      </c>
      <c r="AE807" s="217" t="s">
        <v>4405</v>
      </c>
      <c r="AF807" s="218">
        <v>4763.37</v>
      </c>
      <c r="AG807" s="218">
        <v>34763.370000000003</v>
      </c>
      <c r="AH807" s="207" t="s">
        <v>4433</v>
      </c>
      <c r="AI807" s="214" t="s">
        <v>4411</v>
      </c>
      <c r="AJ807" s="207">
        <v>153982716</v>
      </c>
      <c r="AK807" s="316">
        <v>46129</v>
      </c>
      <c r="AL807" s="316">
        <v>46129</v>
      </c>
      <c r="AM807" s="316">
        <v>46129</v>
      </c>
      <c r="AN807" s="316">
        <v>46129</v>
      </c>
      <c r="AO807" s="316">
        <v>46129</v>
      </c>
      <c r="AP807" s="316">
        <v>46129</v>
      </c>
      <c r="AQ807" s="314"/>
      <c r="AR807" s="315" t="str">
        <f t="shared" si="56"/>
        <v>FINALIZADO</v>
      </c>
      <c r="AS807" s="207" t="s">
        <v>4423</v>
      </c>
      <c r="AT807" s="207"/>
      <c r="AU807" s="263" t="s">
        <v>7826</v>
      </c>
      <c r="AV807" s="250" t="s">
        <v>4425</v>
      </c>
      <c r="AW807" s="207" t="s">
        <v>4425</v>
      </c>
      <c r="AX807" s="207" t="s">
        <v>4425</v>
      </c>
      <c r="AY807" s="219" t="s">
        <v>4425</v>
      </c>
      <c r="AZ807" s="202">
        <v>46226</v>
      </c>
      <c r="BA807" s="219" t="s">
        <v>4425</v>
      </c>
      <c r="BB807" s="219" t="s">
        <v>4425</v>
      </c>
      <c r="BC807" s="202">
        <v>46232</v>
      </c>
      <c r="BD807" s="226">
        <v>46232</v>
      </c>
      <c r="BE807" s="257" t="s">
        <v>4435</v>
      </c>
      <c r="BF807" s="257" t="s">
        <v>4436</v>
      </c>
      <c r="BG807" s="219" t="s">
        <v>4425</v>
      </c>
      <c r="BH807" s="321">
        <f t="shared" si="53"/>
        <v>103</v>
      </c>
      <c r="BI807" s="98" t="str">
        <f t="shared" si="54"/>
        <v>INDENIZAÇÃO</v>
      </c>
      <c r="BJ807" s="98" t="str">
        <f t="shared" si="55"/>
        <v>NÃO</v>
      </c>
      <c r="BK807" s="219" t="s">
        <v>4437</v>
      </c>
      <c r="BL807" s="219" t="s">
        <v>4437</v>
      </c>
      <c r="BM807" s="219" t="s">
        <v>4437</v>
      </c>
      <c r="BN807" s="257" t="s">
        <v>5732</v>
      </c>
      <c r="BO807" s="257"/>
      <c r="BP807" s="257"/>
      <c r="BQ807" s="257"/>
      <c r="BR807" s="258"/>
      <c r="BS807" s="223"/>
    </row>
    <row r="808" spans="1:71" ht="27" hidden="1" customHeight="1">
      <c r="A808" s="207">
        <v>804</v>
      </c>
      <c r="B808" s="197" t="s">
        <v>4396</v>
      </c>
      <c r="C808" s="207" t="s">
        <v>4427</v>
      </c>
      <c r="D808" s="207">
        <v>1</v>
      </c>
      <c r="E808" s="207" t="s">
        <v>4398</v>
      </c>
      <c r="F808" s="214" t="s">
        <v>7827</v>
      </c>
      <c r="G808" s="219" t="s">
        <v>4400</v>
      </c>
      <c r="H808" s="219" t="s">
        <v>4401</v>
      </c>
      <c r="I808" s="217" t="s">
        <v>4402</v>
      </c>
      <c r="J808" s="255" t="s">
        <v>7828</v>
      </c>
      <c r="K808" s="220" t="s">
        <v>7829</v>
      </c>
      <c r="L808" s="220" t="s">
        <v>7830</v>
      </c>
      <c r="M808" s="219" t="s">
        <v>4405</v>
      </c>
      <c r="N808" s="219" t="s">
        <v>4432</v>
      </c>
      <c r="O808" s="202" t="s">
        <v>4409</v>
      </c>
      <c r="P808" s="202" t="s">
        <v>4409</v>
      </c>
      <c r="Q808" s="202" t="s">
        <v>4409</v>
      </c>
      <c r="R808" s="202" t="s">
        <v>4409</v>
      </c>
      <c r="S808" s="202" t="s">
        <v>4409</v>
      </c>
      <c r="T808" s="202" t="s">
        <v>4409</v>
      </c>
      <c r="U808" s="202" t="s">
        <v>4409</v>
      </c>
      <c r="V808" s="202" t="s">
        <v>4409</v>
      </c>
      <c r="W808" s="202" t="s">
        <v>4409</v>
      </c>
      <c r="X808" s="202" t="s">
        <v>4409</v>
      </c>
      <c r="Y808" s="202"/>
      <c r="Z808" s="202"/>
      <c r="AA808" s="255" t="s">
        <v>7828</v>
      </c>
      <c r="AB808" s="220" t="s">
        <v>7829</v>
      </c>
      <c r="AC808" s="220" t="s">
        <v>7830</v>
      </c>
      <c r="AD808" s="207" t="s">
        <v>4402</v>
      </c>
      <c r="AE808" s="219" t="s">
        <v>4405</v>
      </c>
      <c r="AF808" s="218">
        <v>2809.84</v>
      </c>
      <c r="AG808" s="218">
        <v>32809.839999999997</v>
      </c>
      <c r="AH808" s="207" t="s">
        <v>4433</v>
      </c>
      <c r="AI808" s="214" t="s">
        <v>4411</v>
      </c>
      <c r="AJ808" s="207">
        <v>153982826</v>
      </c>
      <c r="AK808" s="317">
        <v>46129</v>
      </c>
      <c r="AL808" s="317">
        <v>46129</v>
      </c>
      <c r="AM808" s="317">
        <v>46129</v>
      </c>
      <c r="AN808" s="317">
        <v>46129</v>
      </c>
      <c r="AO808" s="317">
        <v>46129</v>
      </c>
      <c r="AP808" s="317">
        <v>46129</v>
      </c>
      <c r="AQ808" s="314"/>
      <c r="AR808" s="315" t="str">
        <f t="shared" si="56"/>
        <v>FINALIZADO</v>
      </c>
      <c r="AS808" s="207" t="s">
        <v>4423</v>
      </c>
      <c r="AT808" s="219"/>
      <c r="AU808" s="263" t="s">
        <v>7831</v>
      </c>
      <c r="AV808" s="250" t="s">
        <v>4425</v>
      </c>
      <c r="AW808" s="207" t="s">
        <v>4425</v>
      </c>
      <c r="AX808" s="207" t="s">
        <v>4425</v>
      </c>
      <c r="AY808" s="219" t="s">
        <v>4425</v>
      </c>
      <c r="AZ808" s="202">
        <v>46226</v>
      </c>
      <c r="BA808" s="219" t="s">
        <v>4425</v>
      </c>
      <c r="BB808" s="219" t="s">
        <v>4425</v>
      </c>
      <c r="BC808" s="202">
        <v>46232</v>
      </c>
      <c r="BD808" s="226">
        <v>46232</v>
      </c>
      <c r="BE808" s="257" t="s">
        <v>4435</v>
      </c>
      <c r="BF808" s="257" t="s">
        <v>4436</v>
      </c>
      <c r="BG808" s="219" t="s">
        <v>4425</v>
      </c>
      <c r="BH808" s="321">
        <f t="shared" si="53"/>
        <v>103</v>
      </c>
      <c r="BI808" s="98" t="str">
        <f t="shared" si="54"/>
        <v>INDENIZAÇÃO</v>
      </c>
      <c r="BJ808" s="98" t="str">
        <f t="shared" si="55"/>
        <v>NÃO</v>
      </c>
      <c r="BK808" s="219" t="s">
        <v>4437</v>
      </c>
      <c r="BL808" s="219" t="s">
        <v>4437</v>
      </c>
      <c r="BM808" s="219" t="s">
        <v>4437</v>
      </c>
      <c r="BN808" s="257" t="s">
        <v>5732</v>
      </c>
      <c r="BO808" s="257"/>
      <c r="BP808" s="257"/>
      <c r="BQ808" s="257"/>
      <c r="BR808" s="258"/>
      <c r="BS808" s="223"/>
    </row>
    <row r="809" spans="1:71" ht="27" hidden="1" customHeight="1">
      <c r="A809" s="197">
        <v>805</v>
      </c>
      <c r="B809" s="197"/>
      <c r="C809" s="219"/>
      <c r="D809" s="219"/>
      <c r="E809" s="219"/>
      <c r="F809" s="214"/>
      <c r="G809" s="219"/>
      <c r="H809" s="219"/>
      <c r="I809" s="233"/>
      <c r="J809" s="255"/>
      <c r="K809" s="220"/>
      <c r="L809" s="220"/>
      <c r="M809" s="219"/>
      <c r="N809" s="219"/>
      <c r="O809" s="203"/>
      <c r="P809" s="203"/>
      <c r="Q809" s="203"/>
      <c r="R809" s="203"/>
      <c r="S809" s="203"/>
      <c r="T809" s="203"/>
      <c r="U809" s="203"/>
      <c r="V809" s="203"/>
      <c r="W809" s="279"/>
      <c r="X809" s="203"/>
      <c r="Y809" s="203"/>
      <c r="Z809" s="219"/>
      <c r="AA809" s="255"/>
      <c r="AB809" s="220"/>
      <c r="AC809" s="220"/>
      <c r="AD809" s="233"/>
      <c r="AE809" s="219"/>
      <c r="AF809" s="218"/>
      <c r="AG809" s="218"/>
      <c r="AH809" s="207"/>
      <c r="AI809" s="214" t="s">
        <v>4411</v>
      </c>
      <c r="AJ809" s="207"/>
      <c r="AK809" s="313"/>
      <c r="AL809" s="313"/>
      <c r="AM809" s="313"/>
      <c r="AN809" s="313"/>
      <c r="AO809" s="313"/>
      <c r="AP809" s="313"/>
      <c r="AQ809" s="314"/>
      <c r="AR809" s="315" t="str">
        <f t="shared" ref="AR809:AR830" si="57">IF(AQ809="SIM","AGUARDANDO CORREÇÃO",IF(AP809&lt;&gt;"","FINALIZADO",IF(AO809&lt;&gt;"","AGUARDANDO ENVIO DTS",IF(AN809&lt;&gt;"","AGUARDANDO ASSINATURA GAB",IF(AM809&lt;&gt;"","AGUARDANDO ASSINATURA CTS",IF(AL809&lt;&gt;"","AGUARDANDO ENVIO ASSINATURA CTS",IF(AK809&lt;&gt;"","AGUARDANDO CONFERÊNCIA","")))))))</f>
        <v/>
      </c>
      <c r="AS809" s="207"/>
      <c r="AT809" s="219"/>
      <c r="AU809" s="225"/>
      <c r="AV809" s="219"/>
      <c r="AW809" s="219"/>
      <c r="AX809" s="219"/>
      <c r="AY809" s="219"/>
      <c r="AZ809" s="219"/>
      <c r="BA809" s="219"/>
      <c r="BB809" s="219"/>
      <c r="BC809" s="219"/>
      <c r="BD809" s="208"/>
      <c r="BE809" s="203"/>
      <c r="BF809" s="219"/>
      <c r="BG809" s="219"/>
      <c r="BH809" s="321" t="str">
        <f t="shared" si="53"/>
        <v/>
      </c>
      <c r="BI809" s="98" t="str">
        <f t="shared" si="54"/>
        <v>INDENIZAÇÃO</v>
      </c>
      <c r="BJ809" s="98" t="str">
        <f t="shared" si="55"/>
        <v>NÃO</v>
      </c>
      <c r="BK809" s="219"/>
      <c r="BL809" s="221"/>
      <c r="BM809" s="221"/>
      <c r="BN809" s="219"/>
      <c r="BO809" s="219"/>
      <c r="BP809" s="219"/>
      <c r="BQ809" s="219"/>
      <c r="BR809" s="222"/>
    </row>
    <row r="810" spans="1:71" ht="27" hidden="1" customHeight="1">
      <c r="A810" s="197">
        <v>806</v>
      </c>
      <c r="B810" s="197"/>
      <c r="C810" s="219"/>
      <c r="D810" s="219"/>
      <c r="E810" s="219"/>
      <c r="F810" s="214"/>
      <c r="G810" s="219"/>
      <c r="H810" s="219"/>
      <c r="I810" s="233"/>
      <c r="J810" s="255"/>
      <c r="K810" s="220"/>
      <c r="L810" s="220"/>
      <c r="M810" s="219"/>
      <c r="N810" s="219"/>
      <c r="O810" s="203"/>
      <c r="P810" s="203"/>
      <c r="Q810" s="203"/>
      <c r="R810" s="203"/>
      <c r="S810" s="203"/>
      <c r="T810" s="203"/>
      <c r="U810" s="203"/>
      <c r="V810" s="203"/>
      <c r="W810" s="279"/>
      <c r="X810" s="203"/>
      <c r="Y810" s="203"/>
      <c r="Z810" s="219"/>
      <c r="AA810" s="255"/>
      <c r="AB810" s="220"/>
      <c r="AC810" s="220"/>
      <c r="AD810" s="233"/>
      <c r="AE810" s="219"/>
      <c r="AF810" s="218"/>
      <c r="AG810" s="218"/>
      <c r="AH810" s="207"/>
      <c r="AI810" s="214" t="s">
        <v>4411</v>
      </c>
      <c r="AJ810" s="207"/>
      <c r="AK810" s="313"/>
      <c r="AL810" s="313"/>
      <c r="AM810" s="313"/>
      <c r="AN810" s="313"/>
      <c r="AO810" s="313"/>
      <c r="AP810" s="313"/>
      <c r="AQ810" s="314"/>
      <c r="AR810" s="315" t="str">
        <f t="shared" si="57"/>
        <v/>
      </c>
      <c r="AS810" s="207"/>
      <c r="AT810" s="219"/>
      <c r="AU810" s="225"/>
      <c r="AV810" s="219"/>
      <c r="AW810" s="219"/>
      <c r="AX810" s="219"/>
      <c r="AY810" s="219"/>
      <c r="AZ810" s="219"/>
      <c r="BA810" s="219"/>
      <c r="BB810" s="219"/>
      <c r="BC810" s="219"/>
      <c r="BD810" s="208"/>
      <c r="BE810" s="203"/>
      <c r="BF810" s="219"/>
      <c r="BG810" s="219"/>
      <c r="BH810" s="321" t="str">
        <f t="shared" si="53"/>
        <v/>
      </c>
      <c r="BI810" s="98" t="str">
        <f t="shared" si="54"/>
        <v>INDENIZAÇÃO</v>
      </c>
      <c r="BJ810" s="98" t="str">
        <f t="shared" si="55"/>
        <v>NÃO</v>
      </c>
      <c r="BK810" s="219"/>
      <c r="BL810" s="221"/>
      <c r="BM810" s="221"/>
      <c r="BN810" s="219"/>
      <c r="BO810" s="219"/>
      <c r="BP810" s="219"/>
      <c r="BQ810" s="219"/>
      <c r="BR810" s="222"/>
    </row>
    <row r="811" spans="1:71" ht="27" hidden="1" customHeight="1">
      <c r="A811" s="207">
        <v>807</v>
      </c>
      <c r="B811" s="197"/>
      <c r="C811" s="219"/>
      <c r="D811" s="219"/>
      <c r="E811" s="219"/>
      <c r="F811" s="214"/>
      <c r="G811" s="219"/>
      <c r="H811" s="219"/>
      <c r="I811" s="233"/>
      <c r="J811" s="255"/>
      <c r="K811" s="220"/>
      <c r="L811" s="220"/>
      <c r="M811" s="219"/>
      <c r="N811" s="219"/>
      <c r="O811" s="203"/>
      <c r="P811" s="203"/>
      <c r="Q811" s="203"/>
      <c r="R811" s="203"/>
      <c r="S811" s="203"/>
      <c r="T811" s="203"/>
      <c r="U811" s="203"/>
      <c r="V811" s="203"/>
      <c r="W811" s="279"/>
      <c r="X811" s="203"/>
      <c r="Y811" s="203"/>
      <c r="Z811" s="219"/>
      <c r="AA811" s="255"/>
      <c r="AB811" s="220"/>
      <c r="AC811" s="220"/>
      <c r="AD811" s="233"/>
      <c r="AE811" s="219"/>
      <c r="AF811" s="218"/>
      <c r="AG811" s="218"/>
      <c r="AH811" s="207"/>
      <c r="AI811" s="214" t="s">
        <v>4411</v>
      </c>
      <c r="AJ811" s="207"/>
      <c r="AK811" s="313"/>
      <c r="AL811" s="313"/>
      <c r="AM811" s="313"/>
      <c r="AN811" s="313"/>
      <c r="AO811" s="313"/>
      <c r="AP811" s="313"/>
      <c r="AQ811" s="314"/>
      <c r="AR811" s="315" t="str">
        <f t="shared" si="57"/>
        <v/>
      </c>
      <c r="AS811" s="207"/>
      <c r="AT811" s="219"/>
      <c r="AU811" s="225"/>
      <c r="AV811" s="219"/>
      <c r="AW811" s="219"/>
      <c r="AX811" s="219"/>
      <c r="AY811" s="219"/>
      <c r="AZ811" s="219"/>
      <c r="BA811" s="219"/>
      <c r="BB811" s="219"/>
      <c r="BC811" s="219"/>
      <c r="BD811" s="208"/>
      <c r="BE811" s="203"/>
      <c r="BF811" s="219"/>
      <c r="BG811" s="219"/>
      <c r="BH811" s="321" t="str">
        <f t="shared" si="53"/>
        <v/>
      </c>
      <c r="BI811" s="98" t="str">
        <f t="shared" si="54"/>
        <v>INDENIZAÇÃO</v>
      </c>
      <c r="BJ811" s="98" t="str">
        <f t="shared" si="55"/>
        <v>NÃO</v>
      </c>
      <c r="BK811" s="219"/>
      <c r="BL811" s="221"/>
      <c r="BM811" s="221"/>
      <c r="BN811" s="219"/>
      <c r="BO811" s="219"/>
      <c r="BP811" s="219"/>
      <c r="BQ811" s="219"/>
      <c r="BR811" s="222"/>
    </row>
    <row r="812" spans="1:71" ht="27" hidden="1" customHeight="1">
      <c r="A812" s="207">
        <v>808</v>
      </c>
      <c r="B812" s="197"/>
      <c r="C812" s="219"/>
      <c r="D812" s="219"/>
      <c r="E812" s="219"/>
      <c r="F812" s="214"/>
      <c r="G812" s="219"/>
      <c r="H812" s="219"/>
      <c r="I812" s="233"/>
      <c r="J812" s="255"/>
      <c r="K812" s="220"/>
      <c r="L812" s="220"/>
      <c r="M812" s="219"/>
      <c r="N812" s="219"/>
      <c r="O812" s="203"/>
      <c r="P812" s="203"/>
      <c r="Q812" s="203"/>
      <c r="R812" s="203"/>
      <c r="S812" s="203"/>
      <c r="T812" s="203"/>
      <c r="U812" s="203"/>
      <c r="V812" s="203"/>
      <c r="W812" s="279"/>
      <c r="X812" s="203"/>
      <c r="Y812" s="203"/>
      <c r="Z812" s="219"/>
      <c r="AA812" s="255"/>
      <c r="AB812" s="220"/>
      <c r="AC812" s="220"/>
      <c r="AD812" s="233"/>
      <c r="AE812" s="219"/>
      <c r="AF812" s="218"/>
      <c r="AG812" s="218"/>
      <c r="AH812" s="207"/>
      <c r="AI812" s="214" t="s">
        <v>4411</v>
      </c>
      <c r="AJ812" s="207"/>
      <c r="AK812" s="313"/>
      <c r="AL812" s="313"/>
      <c r="AM812" s="313"/>
      <c r="AN812" s="313"/>
      <c r="AO812" s="313"/>
      <c r="AP812" s="313"/>
      <c r="AQ812" s="314"/>
      <c r="AR812" s="315" t="str">
        <f t="shared" si="57"/>
        <v/>
      </c>
      <c r="AS812" s="207"/>
      <c r="AT812" s="219"/>
      <c r="AU812" s="225"/>
      <c r="AV812" s="219"/>
      <c r="AW812" s="219"/>
      <c r="AX812" s="219"/>
      <c r="AY812" s="219"/>
      <c r="AZ812" s="219"/>
      <c r="BA812" s="219"/>
      <c r="BB812" s="219"/>
      <c r="BC812" s="219"/>
      <c r="BD812" s="208"/>
      <c r="BE812" s="203"/>
      <c r="BF812" s="219"/>
      <c r="BG812" s="219"/>
      <c r="BH812" s="321" t="str">
        <f t="shared" si="53"/>
        <v/>
      </c>
      <c r="BI812" s="98" t="str">
        <f t="shared" si="54"/>
        <v>INDENIZAÇÃO</v>
      </c>
      <c r="BJ812" s="98" t="str">
        <f t="shared" si="55"/>
        <v>NÃO</v>
      </c>
      <c r="BK812" s="219"/>
      <c r="BL812" s="221"/>
      <c r="BM812" s="221"/>
      <c r="BN812" s="219"/>
      <c r="BO812" s="219"/>
      <c r="BP812" s="219"/>
      <c r="BQ812" s="219"/>
      <c r="BR812" s="222"/>
    </row>
    <row r="813" spans="1:71" ht="27" hidden="1" customHeight="1">
      <c r="A813" s="207">
        <v>809</v>
      </c>
      <c r="B813" s="197"/>
      <c r="C813" s="219"/>
      <c r="D813" s="219"/>
      <c r="E813" s="219"/>
      <c r="F813" s="214"/>
      <c r="G813" s="219"/>
      <c r="H813" s="219"/>
      <c r="I813" s="233"/>
      <c r="J813" s="255"/>
      <c r="K813" s="220"/>
      <c r="L813" s="220"/>
      <c r="M813" s="219"/>
      <c r="N813" s="219"/>
      <c r="O813" s="203"/>
      <c r="P813" s="203"/>
      <c r="Q813" s="203"/>
      <c r="R813" s="203"/>
      <c r="S813" s="203"/>
      <c r="T813" s="203"/>
      <c r="U813" s="203"/>
      <c r="V813" s="203"/>
      <c r="W813" s="279"/>
      <c r="X813" s="203"/>
      <c r="Y813" s="203"/>
      <c r="Z813" s="219"/>
      <c r="AA813" s="255"/>
      <c r="AB813" s="220"/>
      <c r="AC813" s="220"/>
      <c r="AD813" s="233"/>
      <c r="AE813" s="219"/>
      <c r="AF813" s="218"/>
      <c r="AG813" s="218"/>
      <c r="AH813" s="207"/>
      <c r="AI813" s="214" t="s">
        <v>4411</v>
      </c>
      <c r="AJ813" s="207"/>
      <c r="AK813" s="313"/>
      <c r="AL813" s="313"/>
      <c r="AM813" s="313"/>
      <c r="AN813" s="313"/>
      <c r="AO813" s="313"/>
      <c r="AP813" s="313"/>
      <c r="AQ813" s="314"/>
      <c r="AR813" s="315" t="str">
        <f t="shared" si="57"/>
        <v/>
      </c>
      <c r="AS813" s="207"/>
      <c r="AT813" s="219"/>
      <c r="AU813" s="225"/>
      <c r="AV813" s="219"/>
      <c r="AW813" s="219"/>
      <c r="AX813" s="219"/>
      <c r="AY813" s="219"/>
      <c r="AZ813" s="219"/>
      <c r="BA813" s="219"/>
      <c r="BB813" s="219"/>
      <c r="BC813" s="219"/>
      <c r="BD813" s="208"/>
      <c r="BE813" s="203"/>
      <c r="BF813" s="219"/>
      <c r="BG813" s="219"/>
      <c r="BH813" s="321" t="str">
        <f t="shared" si="53"/>
        <v/>
      </c>
      <c r="BI813" s="98" t="str">
        <f t="shared" si="54"/>
        <v>INDENIZAÇÃO</v>
      </c>
      <c r="BJ813" s="98" t="str">
        <f t="shared" si="55"/>
        <v>NÃO</v>
      </c>
      <c r="BK813" s="219"/>
      <c r="BL813" s="221"/>
      <c r="BM813" s="221"/>
      <c r="BN813" s="219"/>
      <c r="BO813" s="219"/>
      <c r="BP813" s="219"/>
      <c r="BQ813" s="219"/>
      <c r="BR813" s="222"/>
    </row>
    <row r="814" spans="1:71" ht="27" hidden="1" customHeight="1">
      <c r="A814" s="197">
        <v>810</v>
      </c>
      <c r="B814" s="197"/>
      <c r="C814" s="219"/>
      <c r="D814" s="219"/>
      <c r="E814" s="219"/>
      <c r="F814" s="214"/>
      <c r="G814" s="219"/>
      <c r="H814" s="219"/>
      <c r="I814" s="233"/>
      <c r="J814" s="255"/>
      <c r="K814" s="220"/>
      <c r="L814" s="220"/>
      <c r="M814" s="219"/>
      <c r="N814" s="219"/>
      <c r="O814" s="203"/>
      <c r="P814" s="203"/>
      <c r="Q814" s="203"/>
      <c r="R814" s="203"/>
      <c r="S814" s="203"/>
      <c r="T814" s="203"/>
      <c r="U814" s="203"/>
      <c r="V814" s="203"/>
      <c r="W814" s="279"/>
      <c r="X814" s="203"/>
      <c r="Y814" s="203"/>
      <c r="Z814" s="219"/>
      <c r="AA814" s="255"/>
      <c r="AB814" s="220"/>
      <c r="AC814" s="220"/>
      <c r="AD814" s="233"/>
      <c r="AE814" s="219"/>
      <c r="AF814" s="218"/>
      <c r="AG814" s="218"/>
      <c r="AH814" s="207"/>
      <c r="AI814" s="214" t="s">
        <v>4411</v>
      </c>
      <c r="AJ814" s="207"/>
      <c r="AK814" s="313"/>
      <c r="AL814" s="313"/>
      <c r="AM814" s="313"/>
      <c r="AN814" s="313"/>
      <c r="AO814" s="313"/>
      <c r="AP814" s="313"/>
      <c r="AQ814" s="314"/>
      <c r="AR814" s="315" t="str">
        <f t="shared" si="57"/>
        <v/>
      </c>
      <c r="AS814" s="207"/>
      <c r="AT814" s="219"/>
      <c r="AU814" s="225"/>
      <c r="AV814" s="219"/>
      <c r="AW814" s="219"/>
      <c r="AX814" s="219"/>
      <c r="AY814" s="219"/>
      <c r="AZ814" s="219"/>
      <c r="BA814" s="219"/>
      <c r="BB814" s="219"/>
      <c r="BC814" s="219"/>
      <c r="BD814" s="208"/>
      <c r="BE814" s="203"/>
      <c r="BF814" s="219"/>
      <c r="BG814" s="219"/>
      <c r="BH814" s="321" t="str">
        <f t="shared" si="53"/>
        <v/>
      </c>
      <c r="BI814" s="98" t="str">
        <f t="shared" si="54"/>
        <v>INDENIZAÇÃO</v>
      </c>
      <c r="BJ814" s="98" t="str">
        <f t="shared" si="55"/>
        <v>NÃO</v>
      </c>
      <c r="BK814" s="219"/>
      <c r="BL814" s="221"/>
      <c r="BM814" s="221"/>
      <c r="BN814" s="219"/>
      <c r="BO814" s="219"/>
      <c r="BP814" s="219"/>
      <c r="BQ814" s="219"/>
      <c r="BR814" s="222"/>
    </row>
    <row r="815" spans="1:71" ht="27" hidden="1" customHeight="1">
      <c r="A815" s="197">
        <v>811</v>
      </c>
      <c r="B815" s="197"/>
      <c r="C815" s="219"/>
      <c r="D815" s="219"/>
      <c r="E815" s="219"/>
      <c r="F815" s="214"/>
      <c r="G815" s="219"/>
      <c r="H815" s="219"/>
      <c r="I815" s="233"/>
      <c r="J815" s="255"/>
      <c r="K815" s="220"/>
      <c r="L815" s="220"/>
      <c r="M815" s="219"/>
      <c r="N815" s="219"/>
      <c r="O815" s="203"/>
      <c r="P815" s="203"/>
      <c r="Q815" s="203"/>
      <c r="R815" s="203"/>
      <c r="S815" s="203"/>
      <c r="T815" s="203"/>
      <c r="U815" s="203"/>
      <c r="V815" s="203"/>
      <c r="W815" s="279"/>
      <c r="X815" s="203"/>
      <c r="Y815" s="203"/>
      <c r="Z815" s="219"/>
      <c r="AA815" s="255"/>
      <c r="AB815" s="220"/>
      <c r="AC815" s="220"/>
      <c r="AD815" s="233"/>
      <c r="AE815" s="219"/>
      <c r="AF815" s="218"/>
      <c r="AG815" s="218"/>
      <c r="AH815" s="207"/>
      <c r="AI815" s="214" t="s">
        <v>4411</v>
      </c>
      <c r="AJ815" s="207"/>
      <c r="AK815" s="313"/>
      <c r="AL815" s="313"/>
      <c r="AM815" s="313"/>
      <c r="AN815" s="313"/>
      <c r="AO815" s="313"/>
      <c r="AP815" s="313"/>
      <c r="AQ815" s="314"/>
      <c r="AR815" s="315" t="str">
        <f t="shared" si="57"/>
        <v/>
      </c>
      <c r="AS815" s="207"/>
      <c r="AT815" s="219"/>
      <c r="AU815" s="225"/>
      <c r="AV815" s="219"/>
      <c r="AW815" s="219"/>
      <c r="AX815" s="219"/>
      <c r="AY815" s="219"/>
      <c r="AZ815" s="219"/>
      <c r="BA815" s="219"/>
      <c r="BB815" s="219"/>
      <c r="BC815" s="219"/>
      <c r="BD815" s="208"/>
      <c r="BE815" s="203"/>
      <c r="BF815" s="219"/>
      <c r="BG815" s="219"/>
      <c r="BH815" s="321" t="str">
        <f t="shared" si="53"/>
        <v/>
      </c>
      <c r="BI815" s="98" t="str">
        <f t="shared" si="54"/>
        <v>INDENIZAÇÃO</v>
      </c>
      <c r="BJ815" s="98" t="str">
        <f t="shared" si="55"/>
        <v>NÃO</v>
      </c>
      <c r="BK815" s="219"/>
      <c r="BL815" s="221"/>
      <c r="BM815" s="221"/>
      <c r="BN815" s="219"/>
      <c r="BO815" s="219"/>
      <c r="BP815" s="219"/>
      <c r="BQ815" s="219"/>
      <c r="BR815" s="222"/>
    </row>
    <row r="816" spans="1:71" ht="27" hidden="1" customHeight="1">
      <c r="A816" s="207">
        <v>812</v>
      </c>
      <c r="B816" s="197"/>
      <c r="C816" s="219"/>
      <c r="D816" s="219"/>
      <c r="E816" s="219"/>
      <c r="F816" s="214"/>
      <c r="G816" s="219"/>
      <c r="H816" s="219"/>
      <c r="I816" s="233"/>
      <c r="J816" s="255"/>
      <c r="K816" s="220"/>
      <c r="L816" s="220"/>
      <c r="M816" s="219"/>
      <c r="N816" s="219"/>
      <c r="O816" s="203"/>
      <c r="P816" s="203"/>
      <c r="Q816" s="203"/>
      <c r="R816" s="203"/>
      <c r="S816" s="203"/>
      <c r="T816" s="203"/>
      <c r="U816" s="203"/>
      <c r="V816" s="203"/>
      <c r="W816" s="279"/>
      <c r="X816" s="203"/>
      <c r="Y816" s="203"/>
      <c r="Z816" s="219"/>
      <c r="AA816" s="255"/>
      <c r="AB816" s="220"/>
      <c r="AC816" s="220"/>
      <c r="AD816" s="233"/>
      <c r="AE816" s="219"/>
      <c r="AF816" s="218"/>
      <c r="AG816" s="218"/>
      <c r="AH816" s="207"/>
      <c r="AI816" s="214" t="s">
        <v>4411</v>
      </c>
      <c r="AJ816" s="207"/>
      <c r="AK816" s="313"/>
      <c r="AL816" s="313"/>
      <c r="AM816" s="313"/>
      <c r="AN816" s="313"/>
      <c r="AO816" s="313"/>
      <c r="AP816" s="313"/>
      <c r="AQ816" s="314"/>
      <c r="AR816" s="315" t="str">
        <f t="shared" si="57"/>
        <v/>
      </c>
      <c r="AS816" s="207"/>
      <c r="AT816" s="219"/>
      <c r="AU816" s="225"/>
      <c r="AV816" s="219"/>
      <c r="AW816" s="219"/>
      <c r="AX816" s="219"/>
      <c r="AY816" s="219"/>
      <c r="AZ816" s="219"/>
      <c r="BA816" s="219"/>
      <c r="BB816" s="219"/>
      <c r="BC816" s="219"/>
      <c r="BD816" s="208"/>
      <c r="BE816" s="203"/>
      <c r="BF816" s="219"/>
      <c r="BG816" s="219"/>
      <c r="BH816" s="321" t="str">
        <f t="shared" si="53"/>
        <v/>
      </c>
      <c r="BI816" s="98" t="str">
        <f t="shared" si="54"/>
        <v>INDENIZAÇÃO</v>
      </c>
      <c r="BJ816" s="98" t="str">
        <f t="shared" si="55"/>
        <v>NÃO</v>
      </c>
      <c r="BK816" s="219"/>
      <c r="BL816" s="221"/>
      <c r="BM816" s="221"/>
      <c r="BN816" s="219"/>
      <c r="BO816" s="219"/>
      <c r="BP816" s="219"/>
      <c r="BQ816" s="219"/>
      <c r="BR816" s="222"/>
    </row>
    <row r="817" spans="1:70" ht="27" hidden="1" customHeight="1">
      <c r="A817" s="207">
        <v>813</v>
      </c>
      <c r="B817" s="197"/>
      <c r="C817" s="219"/>
      <c r="D817" s="219"/>
      <c r="E817" s="219"/>
      <c r="F817" s="214"/>
      <c r="G817" s="219"/>
      <c r="H817" s="219"/>
      <c r="I817" s="233"/>
      <c r="J817" s="255"/>
      <c r="K817" s="220"/>
      <c r="L817" s="220"/>
      <c r="M817" s="219"/>
      <c r="N817" s="219"/>
      <c r="O817" s="203"/>
      <c r="P817" s="203"/>
      <c r="Q817" s="203"/>
      <c r="R817" s="203"/>
      <c r="S817" s="203"/>
      <c r="T817" s="203"/>
      <c r="U817" s="203"/>
      <c r="V817" s="203"/>
      <c r="W817" s="279"/>
      <c r="X817" s="203"/>
      <c r="Y817" s="203"/>
      <c r="Z817" s="219"/>
      <c r="AA817" s="255"/>
      <c r="AB817" s="220"/>
      <c r="AC817" s="220"/>
      <c r="AD817" s="233"/>
      <c r="AE817" s="219"/>
      <c r="AF817" s="218"/>
      <c r="AG817" s="218"/>
      <c r="AH817" s="207"/>
      <c r="AI817" s="214" t="s">
        <v>4411</v>
      </c>
      <c r="AJ817" s="207"/>
      <c r="AK817" s="313"/>
      <c r="AL817" s="313"/>
      <c r="AM817" s="313"/>
      <c r="AN817" s="313"/>
      <c r="AO817" s="313"/>
      <c r="AP817" s="313"/>
      <c r="AQ817" s="314"/>
      <c r="AR817" s="315" t="str">
        <f t="shared" si="57"/>
        <v/>
      </c>
      <c r="AS817" s="207"/>
      <c r="AT817" s="219"/>
      <c r="AU817" s="225"/>
      <c r="AV817" s="219"/>
      <c r="AW817" s="219"/>
      <c r="AX817" s="219"/>
      <c r="AY817" s="219"/>
      <c r="AZ817" s="219"/>
      <c r="BA817" s="219"/>
      <c r="BB817" s="219"/>
      <c r="BC817" s="219"/>
      <c r="BD817" s="208"/>
      <c r="BE817" s="203"/>
      <c r="BF817" s="219"/>
      <c r="BG817" s="219"/>
      <c r="BH817" s="321" t="str">
        <f t="shared" si="53"/>
        <v/>
      </c>
      <c r="BI817" s="98" t="str">
        <f t="shared" si="54"/>
        <v>INDENIZAÇÃO</v>
      </c>
      <c r="BJ817" s="98" t="str">
        <f t="shared" si="55"/>
        <v>NÃO</v>
      </c>
      <c r="BK817" s="219"/>
      <c r="BL817" s="221"/>
      <c r="BM817" s="221"/>
      <c r="BN817" s="219"/>
      <c r="BO817" s="219"/>
      <c r="BP817" s="219"/>
      <c r="BQ817" s="219"/>
      <c r="BR817" s="222"/>
    </row>
    <row r="818" spans="1:70" ht="27" hidden="1" customHeight="1">
      <c r="A818" s="207">
        <v>814</v>
      </c>
      <c r="B818" s="197"/>
      <c r="C818" s="219"/>
      <c r="D818" s="219"/>
      <c r="E818" s="219"/>
      <c r="F818" s="214"/>
      <c r="G818" s="219"/>
      <c r="H818" s="219"/>
      <c r="I818" s="233"/>
      <c r="J818" s="255"/>
      <c r="K818" s="220"/>
      <c r="L818" s="220"/>
      <c r="M818" s="219"/>
      <c r="N818" s="219"/>
      <c r="O818" s="203"/>
      <c r="P818" s="203"/>
      <c r="Q818" s="203"/>
      <c r="R818" s="203"/>
      <c r="S818" s="203"/>
      <c r="T818" s="203"/>
      <c r="U818" s="203"/>
      <c r="V818" s="203"/>
      <c r="W818" s="279"/>
      <c r="X818" s="203"/>
      <c r="Y818" s="203"/>
      <c r="Z818" s="219"/>
      <c r="AA818" s="255"/>
      <c r="AB818" s="220"/>
      <c r="AC818" s="220"/>
      <c r="AD818" s="233"/>
      <c r="AE818" s="219"/>
      <c r="AF818" s="218"/>
      <c r="AG818" s="218"/>
      <c r="AH818" s="207"/>
      <c r="AI818" s="214" t="s">
        <v>4411</v>
      </c>
      <c r="AJ818" s="207"/>
      <c r="AK818" s="313"/>
      <c r="AL818" s="313"/>
      <c r="AM818" s="313"/>
      <c r="AN818" s="313"/>
      <c r="AO818" s="313"/>
      <c r="AP818" s="313"/>
      <c r="AQ818" s="314"/>
      <c r="AR818" s="315" t="str">
        <f t="shared" si="57"/>
        <v/>
      </c>
      <c r="AS818" s="207"/>
      <c r="AT818" s="219"/>
      <c r="AU818" s="225"/>
      <c r="AV818" s="219"/>
      <c r="AW818" s="219"/>
      <c r="AX818" s="219"/>
      <c r="AY818" s="219"/>
      <c r="AZ818" s="219"/>
      <c r="BA818" s="219"/>
      <c r="BB818" s="219"/>
      <c r="BC818" s="219"/>
      <c r="BD818" s="208"/>
      <c r="BE818" s="203"/>
      <c r="BF818" s="219"/>
      <c r="BG818" s="219"/>
      <c r="BH818" s="321" t="str">
        <f t="shared" si="53"/>
        <v/>
      </c>
      <c r="BI818" s="98" t="str">
        <f t="shared" si="54"/>
        <v>INDENIZAÇÃO</v>
      </c>
      <c r="BJ818" s="98" t="str">
        <f t="shared" si="55"/>
        <v>NÃO</v>
      </c>
      <c r="BK818" s="219"/>
      <c r="BL818" s="221"/>
      <c r="BM818" s="221"/>
      <c r="BN818" s="219"/>
      <c r="BO818" s="219"/>
      <c r="BP818" s="219"/>
      <c r="BQ818" s="219"/>
      <c r="BR818" s="222"/>
    </row>
    <row r="819" spans="1:70" ht="27" hidden="1" customHeight="1">
      <c r="A819" s="197">
        <v>815</v>
      </c>
      <c r="B819" s="197"/>
      <c r="C819" s="219"/>
      <c r="D819" s="219"/>
      <c r="E819" s="219"/>
      <c r="F819" s="214"/>
      <c r="G819" s="219"/>
      <c r="H819" s="219"/>
      <c r="I819" s="233"/>
      <c r="J819" s="255"/>
      <c r="K819" s="220"/>
      <c r="L819" s="220"/>
      <c r="M819" s="219"/>
      <c r="N819" s="219"/>
      <c r="O819" s="203"/>
      <c r="P819" s="203"/>
      <c r="Q819" s="203"/>
      <c r="R819" s="203"/>
      <c r="S819" s="203"/>
      <c r="T819" s="203"/>
      <c r="U819" s="203"/>
      <c r="V819" s="203"/>
      <c r="W819" s="279"/>
      <c r="X819" s="203"/>
      <c r="Y819" s="203"/>
      <c r="Z819" s="219"/>
      <c r="AA819" s="255"/>
      <c r="AB819" s="220"/>
      <c r="AC819" s="220"/>
      <c r="AD819" s="233"/>
      <c r="AE819" s="219"/>
      <c r="AF819" s="218"/>
      <c r="AG819" s="218"/>
      <c r="AH819" s="207"/>
      <c r="AI819" s="214" t="s">
        <v>4411</v>
      </c>
      <c r="AJ819" s="207"/>
      <c r="AK819" s="313"/>
      <c r="AL819" s="313"/>
      <c r="AM819" s="313"/>
      <c r="AN819" s="313"/>
      <c r="AO819" s="313"/>
      <c r="AP819" s="313"/>
      <c r="AQ819" s="314"/>
      <c r="AR819" s="315" t="str">
        <f t="shared" si="57"/>
        <v/>
      </c>
      <c r="AS819" s="207"/>
      <c r="AT819" s="219"/>
      <c r="AU819" s="225"/>
      <c r="AV819" s="219"/>
      <c r="AW819" s="219"/>
      <c r="AX819" s="219"/>
      <c r="AY819" s="219"/>
      <c r="AZ819" s="219"/>
      <c r="BA819" s="219"/>
      <c r="BB819" s="219"/>
      <c r="BC819" s="219"/>
      <c r="BD819" s="208"/>
      <c r="BE819" s="203"/>
      <c r="BF819" s="219"/>
      <c r="BG819" s="219"/>
      <c r="BH819" s="321" t="str">
        <f t="shared" si="53"/>
        <v/>
      </c>
      <c r="BI819" s="98" t="str">
        <f t="shared" si="54"/>
        <v>INDENIZAÇÃO</v>
      </c>
      <c r="BJ819" s="98" t="str">
        <f t="shared" si="55"/>
        <v>NÃO</v>
      </c>
      <c r="BK819" s="219"/>
      <c r="BL819" s="221"/>
      <c r="BM819" s="221"/>
      <c r="BN819" s="219"/>
      <c r="BO819" s="219"/>
      <c r="BP819" s="219"/>
      <c r="BQ819" s="219"/>
      <c r="BR819" s="222"/>
    </row>
    <row r="820" spans="1:70" ht="27" hidden="1" customHeight="1">
      <c r="A820" s="197">
        <v>816</v>
      </c>
      <c r="B820" s="197"/>
      <c r="C820" s="219"/>
      <c r="D820" s="219"/>
      <c r="E820" s="219"/>
      <c r="F820" s="214"/>
      <c r="G820" s="219"/>
      <c r="H820" s="219"/>
      <c r="I820" s="233"/>
      <c r="J820" s="255"/>
      <c r="K820" s="220"/>
      <c r="L820" s="220"/>
      <c r="M820" s="219"/>
      <c r="N820" s="219"/>
      <c r="O820" s="203"/>
      <c r="P820" s="203"/>
      <c r="Q820" s="203"/>
      <c r="R820" s="203"/>
      <c r="S820" s="203"/>
      <c r="T820" s="203"/>
      <c r="U820" s="203"/>
      <c r="V820" s="203"/>
      <c r="W820" s="279"/>
      <c r="X820" s="203"/>
      <c r="Y820" s="203"/>
      <c r="Z820" s="219"/>
      <c r="AA820" s="255"/>
      <c r="AB820" s="220"/>
      <c r="AC820" s="220"/>
      <c r="AD820" s="233"/>
      <c r="AE820" s="219"/>
      <c r="AF820" s="218"/>
      <c r="AG820" s="218"/>
      <c r="AH820" s="207"/>
      <c r="AI820" s="214" t="s">
        <v>4411</v>
      </c>
      <c r="AJ820" s="207"/>
      <c r="AK820" s="313"/>
      <c r="AL820" s="313"/>
      <c r="AM820" s="313"/>
      <c r="AN820" s="313"/>
      <c r="AO820" s="313"/>
      <c r="AP820" s="313"/>
      <c r="AQ820" s="314"/>
      <c r="AR820" s="315" t="str">
        <f t="shared" si="57"/>
        <v/>
      </c>
      <c r="AS820" s="207"/>
      <c r="AT820" s="219"/>
      <c r="AU820" s="225"/>
      <c r="AV820" s="219"/>
      <c r="AW820" s="219"/>
      <c r="AX820" s="219"/>
      <c r="AY820" s="219"/>
      <c r="AZ820" s="219"/>
      <c r="BA820" s="219"/>
      <c r="BB820" s="219"/>
      <c r="BC820" s="219"/>
      <c r="BD820" s="208"/>
      <c r="BE820" s="203"/>
      <c r="BF820" s="219"/>
      <c r="BG820" s="219"/>
      <c r="BH820" s="321" t="str">
        <f t="shared" si="53"/>
        <v/>
      </c>
      <c r="BI820" s="98" t="str">
        <f t="shared" si="54"/>
        <v>INDENIZAÇÃO</v>
      </c>
      <c r="BJ820" s="98" t="str">
        <f t="shared" si="55"/>
        <v>NÃO</v>
      </c>
      <c r="BK820" s="219"/>
      <c r="BL820" s="221"/>
      <c r="BM820" s="221"/>
      <c r="BN820" s="219"/>
      <c r="BO820" s="219"/>
      <c r="BP820" s="219"/>
      <c r="BQ820" s="219"/>
      <c r="BR820" s="222"/>
    </row>
    <row r="821" spans="1:70" ht="27" hidden="1" customHeight="1">
      <c r="A821" s="207">
        <v>817</v>
      </c>
      <c r="B821" s="197"/>
      <c r="C821" s="219"/>
      <c r="D821" s="219"/>
      <c r="E821" s="219"/>
      <c r="F821" s="214"/>
      <c r="G821" s="219"/>
      <c r="H821" s="219"/>
      <c r="I821" s="233"/>
      <c r="J821" s="255"/>
      <c r="K821" s="220"/>
      <c r="L821" s="220"/>
      <c r="M821" s="219"/>
      <c r="N821" s="219"/>
      <c r="O821" s="203"/>
      <c r="P821" s="203"/>
      <c r="Q821" s="203"/>
      <c r="R821" s="203"/>
      <c r="S821" s="203"/>
      <c r="T821" s="203"/>
      <c r="U821" s="203"/>
      <c r="V821" s="203"/>
      <c r="W821" s="279"/>
      <c r="X821" s="203"/>
      <c r="Y821" s="203"/>
      <c r="Z821" s="219"/>
      <c r="AA821" s="255"/>
      <c r="AB821" s="220"/>
      <c r="AC821" s="220"/>
      <c r="AD821" s="233"/>
      <c r="AE821" s="219"/>
      <c r="AF821" s="218"/>
      <c r="AG821" s="218"/>
      <c r="AH821" s="207"/>
      <c r="AI821" s="214" t="s">
        <v>4411</v>
      </c>
      <c r="AJ821" s="207"/>
      <c r="AK821" s="313"/>
      <c r="AL821" s="313"/>
      <c r="AM821" s="313"/>
      <c r="AN821" s="313"/>
      <c r="AO821" s="313"/>
      <c r="AP821" s="313"/>
      <c r="AQ821" s="314"/>
      <c r="AR821" s="315" t="str">
        <f t="shared" si="57"/>
        <v/>
      </c>
      <c r="AS821" s="207"/>
      <c r="AT821" s="219"/>
      <c r="AU821" s="225"/>
      <c r="AV821" s="219"/>
      <c r="AW821" s="219"/>
      <c r="AX821" s="219"/>
      <c r="AY821" s="219"/>
      <c r="AZ821" s="219"/>
      <c r="BA821" s="219"/>
      <c r="BB821" s="219"/>
      <c r="BC821" s="219"/>
      <c r="BD821" s="208"/>
      <c r="BE821" s="203"/>
      <c r="BF821" s="219"/>
      <c r="BG821" s="219"/>
      <c r="BH821" s="321" t="str">
        <f t="shared" si="53"/>
        <v/>
      </c>
      <c r="BI821" s="98" t="str">
        <f t="shared" si="54"/>
        <v>INDENIZAÇÃO</v>
      </c>
      <c r="BJ821" s="98" t="str">
        <f t="shared" si="55"/>
        <v>NÃO</v>
      </c>
      <c r="BK821" s="219"/>
      <c r="BL821" s="221"/>
      <c r="BM821" s="221"/>
      <c r="BN821" s="219"/>
      <c r="BO821" s="219"/>
      <c r="BP821" s="219"/>
      <c r="BQ821" s="219"/>
      <c r="BR821" s="222"/>
    </row>
    <row r="822" spans="1:70" ht="27" hidden="1" customHeight="1">
      <c r="A822" s="207">
        <v>818</v>
      </c>
      <c r="B822" s="197"/>
      <c r="C822" s="219"/>
      <c r="D822" s="219"/>
      <c r="E822" s="219"/>
      <c r="F822" s="214"/>
      <c r="G822" s="219"/>
      <c r="H822" s="219"/>
      <c r="I822" s="233"/>
      <c r="J822" s="255"/>
      <c r="K822" s="220"/>
      <c r="L822" s="220"/>
      <c r="M822" s="219"/>
      <c r="N822" s="219"/>
      <c r="O822" s="203"/>
      <c r="P822" s="203"/>
      <c r="Q822" s="203"/>
      <c r="R822" s="203"/>
      <c r="S822" s="203"/>
      <c r="T822" s="203"/>
      <c r="U822" s="203"/>
      <c r="V822" s="203"/>
      <c r="W822" s="279"/>
      <c r="X822" s="203"/>
      <c r="Y822" s="203"/>
      <c r="Z822" s="219"/>
      <c r="AA822" s="255"/>
      <c r="AB822" s="220"/>
      <c r="AC822" s="220"/>
      <c r="AD822" s="233"/>
      <c r="AE822" s="219"/>
      <c r="AF822" s="218"/>
      <c r="AG822" s="218"/>
      <c r="AH822" s="207"/>
      <c r="AI822" s="214" t="s">
        <v>4411</v>
      </c>
      <c r="AJ822" s="207"/>
      <c r="AK822" s="313"/>
      <c r="AL822" s="313"/>
      <c r="AM822" s="313"/>
      <c r="AN822" s="313"/>
      <c r="AO822" s="313"/>
      <c r="AP822" s="313"/>
      <c r="AQ822" s="314"/>
      <c r="AR822" s="315" t="str">
        <f t="shared" si="57"/>
        <v/>
      </c>
      <c r="AS822" s="207"/>
      <c r="AT822" s="219"/>
      <c r="AU822" s="225"/>
      <c r="AV822" s="219"/>
      <c r="AW822" s="219"/>
      <c r="AX822" s="219"/>
      <c r="AY822" s="219"/>
      <c r="AZ822" s="219"/>
      <c r="BA822" s="219"/>
      <c r="BB822" s="219"/>
      <c r="BC822" s="219"/>
      <c r="BD822" s="208"/>
      <c r="BE822" s="203"/>
      <c r="BF822" s="219"/>
      <c r="BG822" s="219"/>
      <c r="BH822" s="321" t="str">
        <f t="shared" si="53"/>
        <v/>
      </c>
      <c r="BI822" s="98" t="str">
        <f t="shared" si="54"/>
        <v>INDENIZAÇÃO</v>
      </c>
      <c r="BJ822" s="98" t="str">
        <f t="shared" si="55"/>
        <v>NÃO</v>
      </c>
      <c r="BK822" s="219"/>
      <c r="BL822" s="221"/>
      <c r="BM822" s="221"/>
      <c r="BN822" s="219"/>
      <c r="BO822" s="219"/>
      <c r="BP822" s="219"/>
      <c r="BQ822" s="219"/>
      <c r="BR822" s="222"/>
    </row>
    <row r="823" spans="1:70" ht="27" hidden="1" customHeight="1">
      <c r="A823" s="207">
        <v>819</v>
      </c>
      <c r="B823" s="197"/>
      <c r="C823" s="219"/>
      <c r="D823" s="219"/>
      <c r="E823" s="219"/>
      <c r="F823" s="214"/>
      <c r="G823" s="219"/>
      <c r="H823" s="219"/>
      <c r="I823" s="233"/>
      <c r="J823" s="255"/>
      <c r="K823" s="220"/>
      <c r="L823" s="220"/>
      <c r="M823" s="219"/>
      <c r="N823" s="219"/>
      <c r="O823" s="203"/>
      <c r="P823" s="203"/>
      <c r="Q823" s="203"/>
      <c r="R823" s="203"/>
      <c r="S823" s="203"/>
      <c r="T823" s="203"/>
      <c r="U823" s="203"/>
      <c r="V823" s="203"/>
      <c r="W823" s="279"/>
      <c r="X823" s="203"/>
      <c r="Y823" s="203"/>
      <c r="Z823" s="219"/>
      <c r="AA823" s="255"/>
      <c r="AB823" s="220"/>
      <c r="AC823" s="220"/>
      <c r="AD823" s="233"/>
      <c r="AE823" s="219"/>
      <c r="AF823" s="218"/>
      <c r="AG823" s="218"/>
      <c r="AH823" s="207"/>
      <c r="AI823" s="214" t="s">
        <v>4411</v>
      </c>
      <c r="AJ823" s="207"/>
      <c r="AK823" s="313"/>
      <c r="AL823" s="313"/>
      <c r="AM823" s="313"/>
      <c r="AN823" s="313"/>
      <c r="AO823" s="313"/>
      <c r="AP823" s="313"/>
      <c r="AQ823" s="314"/>
      <c r="AR823" s="315" t="str">
        <f t="shared" si="57"/>
        <v/>
      </c>
      <c r="AS823" s="207"/>
      <c r="AT823" s="219"/>
      <c r="AU823" s="225"/>
      <c r="AV823" s="219"/>
      <c r="AW823" s="219"/>
      <c r="AX823" s="219"/>
      <c r="AY823" s="219"/>
      <c r="AZ823" s="219"/>
      <c r="BA823" s="219"/>
      <c r="BB823" s="219"/>
      <c r="BC823" s="219"/>
      <c r="BD823" s="208"/>
      <c r="BE823" s="203"/>
      <c r="BF823" s="219"/>
      <c r="BG823" s="219"/>
      <c r="BH823" s="321" t="str">
        <f t="shared" si="53"/>
        <v/>
      </c>
      <c r="BI823" s="98" t="str">
        <f t="shared" si="54"/>
        <v>INDENIZAÇÃO</v>
      </c>
      <c r="BJ823" s="98" t="str">
        <f t="shared" si="55"/>
        <v>NÃO</v>
      </c>
      <c r="BK823" s="219"/>
      <c r="BL823" s="221"/>
      <c r="BM823" s="221"/>
      <c r="BN823" s="219"/>
      <c r="BO823" s="219"/>
      <c r="BP823" s="219"/>
      <c r="BQ823" s="219"/>
      <c r="BR823" s="222"/>
    </row>
    <row r="824" spans="1:70" ht="27" hidden="1" customHeight="1">
      <c r="A824" s="197">
        <v>820</v>
      </c>
      <c r="B824" s="197"/>
      <c r="C824" s="219"/>
      <c r="D824" s="219"/>
      <c r="E824" s="219"/>
      <c r="F824" s="214"/>
      <c r="G824" s="219"/>
      <c r="H824" s="219"/>
      <c r="I824" s="233"/>
      <c r="J824" s="255"/>
      <c r="K824" s="220"/>
      <c r="L824" s="220"/>
      <c r="M824" s="219"/>
      <c r="N824" s="219"/>
      <c r="O824" s="203"/>
      <c r="P824" s="203"/>
      <c r="Q824" s="203"/>
      <c r="R824" s="203"/>
      <c r="S824" s="203"/>
      <c r="T824" s="203"/>
      <c r="U824" s="203"/>
      <c r="V824" s="203"/>
      <c r="W824" s="279"/>
      <c r="X824" s="203"/>
      <c r="Y824" s="203"/>
      <c r="Z824" s="219"/>
      <c r="AA824" s="255"/>
      <c r="AB824" s="220"/>
      <c r="AC824" s="220"/>
      <c r="AD824" s="233"/>
      <c r="AE824" s="219"/>
      <c r="AF824" s="218"/>
      <c r="AG824" s="218"/>
      <c r="AH824" s="207"/>
      <c r="AI824" s="214" t="s">
        <v>4411</v>
      </c>
      <c r="AJ824" s="207"/>
      <c r="AK824" s="313"/>
      <c r="AL824" s="313"/>
      <c r="AM824" s="313"/>
      <c r="AN824" s="313"/>
      <c r="AO824" s="313"/>
      <c r="AP824" s="313"/>
      <c r="AQ824" s="314"/>
      <c r="AR824" s="315" t="str">
        <f t="shared" si="57"/>
        <v/>
      </c>
      <c r="AS824" s="207"/>
      <c r="AT824" s="219"/>
      <c r="AU824" s="225"/>
      <c r="AV824" s="219"/>
      <c r="AW824" s="219"/>
      <c r="AX824" s="219"/>
      <c r="AY824" s="219"/>
      <c r="AZ824" s="219"/>
      <c r="BA824" s="219"/>
      <c r="BB824" s="219"/>
      <c r="BC824" s="219"/>
      <c r="BD824" s="208"/>
      <c r="BE824" s="203"/>
      <c r="BF824" s="219"/>
      <c r="BG824" s="219"/>
      <c r="BH824" s="321" t="str">
        <f t="shared" si="53"/>
        <v/>
      </c>
      <c r="BI824" s="98" t="str">
        <f t="shared" si="54"/>
        <v>INDENIZAÇÃO</v>
      </c>
      <c r="BJ824" s="98" t="str">
        <f t="shared" si="55"/>
        <v>NÃO</v>
      </c>
      <c r="BK824" s="219"/>
      <c r="BL824" s="221"/>
      <c r="BM824" s="221"/>
      <c r="BN824" s="219"/>
      <c r="BO824" s="219"/>
      <c r="BP824" s="219"/>
      <c r="BQ824" s="219"/>
      <c r="BR824" s="222"/>
    </row>
    <row r="825" spans="1:70" ht="27" hidden="1" customHeight="1">
      <c r="A825" s="197">
        <v>821</v>
      </c>
      <c r="B825" s="197"/>
      <c r="J825" s="167"/>
      <c r="Y825" s="166"/>
      <c r="AF825" s="218"/>
      <c r="AG825" s="218"/>
      <c r="AH825" s="197"/>
      <c r="AI825" s="198" t="s">
        <v>4411</v>
      </c>
      <c r="AJ825" s="197"/>
      <c r="AK825" s="313"/>
      <c r="AL825" s="313"/>
      <c r="AM825" s="313"/>
      <c r="AN825" s="313"/>
      <c r="AO825" s="313"/>
      <c r="AP825" s="313"/>
      <c r="AQ825" s="314"/>
      <c r="AR825" s="315" t="str">
        <f t="shared" si="57"/>
        <v/>
      </c>
      <c r="AS825" s="197"/>
      <c r="AU825" s="225"/>
      <c r="BD825" s="208"/>
      <c r="BH825" s="321" t="str">
        <f t="shared" si="53"/>
        <v/>
      </c>
      <c r="BI825" s="98" t="str">
        <f t="shared" si="54"/>
        <v>INDENIZAÇÃO</v>
      </c>
      <c r="BJ825" s="98" t="str">
        <f t="shared" si="55"/>
        <v>NÃO</v>
      </c>
    </row>
    <row r="826" spans="1:70" ht="27" hidden="1" customHeight="1">
      <c r="A826" s="207">
        <v>822</v>
      </c>
      <c r="B826" s="197"/>
      <c r="J826" s="167"/>
      <c r="Y826" s="166"/>
      <c r="AF826" s="218"/>
      <c r="AG826" s="218"/>
      <c r="AH826" s="207"/>
      <c r="AI826" s="214" t="s">
        <v>4411</v>
      </c>
      <c r="AJ826" s="207"/>
      <c r="AK826" s="313"/>
      <c r="AL826" s="313"/>
      <c r="AM826" s="313"/>
      <c r="AN826" s="313"/>
      <c r="AO826" s="313"/>
      <c r="AP826" s="313"/>
      <c r="AQ826" s="314"/>
      <c r="AR826" s="315" t="str">
        <f t="shared" si="57"/>
        <v/>
      </c>
      <c r="AS826" s="207"/>
      <c r="AU826" s="225"/>
      <c r="BD826" s="208"/>
      <c r="BH826" s="321" t="str">
        <f t="shared" si="53"/>
        <v/>
      </c>
      <c r="BI826" s="98" t="str">
        <f t="shared" si="54"/>
        <v>INDENIZAÇÃO</v>
      </c>
      <c r="BJ826" s="98" t="str">
        <f t="shared" si="55"/>
        <v>NÃO</v>
      </c>
    </row>
    <row r="827" spans="1:70" ht="27" hidden="1" customHeight="1">
      <c r="A827" s="207">
        <v>823</v>
      </c>
      <c r="B827" s="197"/>
      <c r="J827" s="167"/>
      <c r="Y827" s="166"/>
      <c r="AF827" s="218"/>
      <c r="AG827" s="218"/>
      <c r="AH827" s="207"/>
      <c r="AI827" s="214" t="s">
        <v>4411</v>
      </c>
      <c r="AJ827" s="207"/>
      <c r="AK827" s="313"/>
      <c r="AL827" s="313"/>
      <c r="AM827" s="313"/>
      <c r="AN827" s="313"/>
      <c r="AO827" s="313"/>
      <c r="AP827" s="313"/>
      <c r="AQ827" s="314"/>
      <c r="AR827" s="315" t="str">
        <f t="shared" si="57"/>
        <v/>
      </c>
      <c r="AS827" s="207"/>
      <c r="AU827" s="225"/>
      <c r="BD827" s="208"/>
      <c r="BH827" s="321" t="str">
        <f t="shared" si="53"/>
        <v/>
      </c>
      <c r="BI827" s="98" t="str">
        <f t="shared" si="54"/>
        <v>INDENIZAÇÃO</v>
      </c>
      <c r="BJ827" s="98" t="str">
        <f t="shared" si="55"/>
        <v>NÃO</v>
      </c>
    </row>
    <row r="828" spans="1:70" ht="27" hidden="1" customHeight="1">
      <c r="A828" s="207">
        <v>824</v>
      </c>
      <c r="B828" s="197"/>
      <c r="J828" s="167"/>
      <c r="Y828" s="166"/>
      <c r="AF828" s="218"/>
      <c r="AG828" s="218"/>
      <c r="AH828" s="207"/>
      <c r="AI828" s="214" t="s">
        <v>4411</v>
      </c>
      <c r="AJ828" s="207"/>
      <c r="AK828" s="313"/>
      <c r="AL828" s="313"/>
      <c r="AM828" s="313"/>
      <c r="AN828" s="313"/>
      <c r="AO828" s="313"/>
      <c r="AP828" s="313"/>
      <c r="AQ828" s="314"/>
      <c r="AR828" s="315" t="str">
        <f t="shared" si="57"/>
        <v/>
      </c>
      <c r="AS828" s="207"/>
      <c r="AU828" s="225"/>
      <c r="BD828" s="208"/>
      <c r="BH828" s="321" t="str">
        <f t="shared" si="53"/>
        <v/>
      </c>
      <c r="BI828" s="98" t="str">
        <f t="shared" si="54"/>
        <v>INDENIZAÇÃO</v>
      </c>
      <c r="BJ828" s="98" t="str">
        <f t="shared" si="55"/>
        <v>NÃO</v>
      </c>
    </row>
    <row r="829" spans="1:70" ht="27" hidden="1" customHeight="1">
      <c r="A829" s="197">
        <v>825</v>
      </c>
      <c r="B829" s="197"/>
      <c r="J829" s="167"/>
      <c r="Y829" s="166"/>
      <c r="AF829" s="218"/>
      <c r="AG829" s="218"/>
      <c r="AH829" s="207"/>
      <c r="AI829" s="214" t="s">
        <v>4411</v>
      </c>
      <c r="AJ829" s="207"/>
      <c r="AK829" s="313"/>
      <c r="AL829" s="313"/>
      <c r="AM829" s="313"/>
      <c r="AN829" s="313"/>
      <c r="AO829" s="313"/>
      <c r="AP829" s="313"/>
      <c r="AQ829" s="314"/>
      <c r="AR829" s="315" t="str">
        <f t="shared" si="57"/>
        <v/>
      </c>
      <c r="AS829" s="207"/>
      <c r="AU829" s="225"/>
      <c r="BD829" s="208"/>
      <c r="BH829" s="321" t="str">
        <f t="shared" si="53"/>
        <v/>
      </c>
      <c r="BI829" s="98" t="str">
        <f t="shared" si="54"/>
        <v>INDENIZAÇÃO</v>
      </c>
      <c r="BJ829" s="98" t="str">
        <f t="shared" si="55"/>
        <v>NÃO</v>
      </c>
    </row>
    <row r="830" spans="1:70" ht="27" hidden="1" customHeight="1">
      <c r="A830" s="197">
        <v>826</v>
      </c>
      <c r="B830" s="197"/>
      <c r="J830" s="167"/>
      <c r="Y830" s="166"/>
      <c r="AF830" s="218"/>
      <c r="AG830" s="218"/>
      <c r="AH830" s="207"/>
      <c r="AI830" s="214" t="s">
        <v>4411</v>
      </c>
      <c r="AJ830" s="207"/>
      <c r="AK830" s="313"/>
      <c r="AL830" s="313"/>
      <c r="AM830" s="313"/>
      <c r="AN830" s="313"/>
      <c r="AO830" s="313"/>
      <c r="AP830" s="313"/>
      <c r="AQ830" s="314"/>
      <c r="AR830" s="315" t="str">
        <f t="shared" si="57"/>
        <v/>
      </c>
      <c r="AS830" s="207"/>
      <c r="AU830" s="225"/>
      <c r="BD830" s="208"/>
      <c r="BH830" s="321" t="str">
        <f t="shared" si="53"/>
        <v/>
      </c>
      <c r="BI830" s="98" t="str">
        <f t="shared" si="54"/>
        <v>INDENIZAÇÃO</v>
      </c>
      <c r="BJ830" s="98" t="str">
        <f t="shared" si="55"/>
        <v>NÃO</v>
      </c>
    </row>
    <row r="831" spans="1:70" ht="27" hidden="1" customHeight="1">
      <c r="A831" s="207">
        <v>827</v>
      </c>
      <c r="B831" s="197"/>
      <c r="J831" s="167"/>
      <c r="Y831" s="166"/>
      <c r="AF831" s="218"/>
      <c r="AG831" s="218"/>
      <c r="AH831" s="207"/>
      <c r="AI831" s="214" t="s">
        <v>4411</v>
      </c>
      <c r="AJ831" s="207"/>
      <c r="AK831" s="313"/>
      <c r="AL831" s="313"/>
      <c r="AM831" s="313"/>
      <c r="AN831" s="313"/>
      <c r="AO831" s="313"/>
      <c r="AP831" s="313"/>
      <c r="AQ831" s="314"/>
      <c r="AR831" s="315" t="str">
        <f t="shared" ref="AR831:AR894" si="58">IF(AQ831="SIM","AGUARDANDO CORREÇÃO",IF(AP831&lt;&gt;"","FINALIZADO",IF(AO831&lt;&gt;"","AGUARDANDO ENVIO DTS",IF(AN831&lt;&gt;"","AGUARDANDO ASSINATURA GAB",IF(AM831&lt;&gt;"","AGUARDANDO ASSINATURA CTS",IF(AL831&lt;&gt;"","AGUARDANDO ENVIO ASSINATURA CTS",IF(AK831&lt;&gt;"","AGUARDANDO CONFERÊNCIA","")))))))</f>
        <v/>
      </c>
      <c r="AS831" s="207"/>
      <c r="AU831" s="225"/>
      <c r="BD831" s="208"/>
      <c r="BH831" s="321" t="str">
        <f t="shared" si="53"/>
        <v/>
      </c>
      <c r="BI831" s="98" t="str">
        <f t="shared" si="54"/>
        <v>INDENIZAÇÃO</v>
      </c>
      <c r="BJ831" s="98" t="str">
        <f t="shared" si="55"/>
        <v>NÃO</v>
      </c>
    </row>
    <row r="832" spans="1:70" ht="27" hidden="1" customHeight="1">
      <c r="A832" s="207">
        <v>828</v>
      </c>
      <c r="B832" s="197"/>
      <c r="J832" s="167"/>
      <c r="Y832" s="166"/>
      <c r="AF832" s="218"/>
      <c r="AG832" s="218"/>
      <c r="AH832" s="207"/>
      <c r="AI832" s="214" t="s">
        <v>4411</v>
      </c>
      <c r="AJ832" s="207"/>
      <c r="AK832" s="313"/>
      <c r="AL832" s="313"/>
      <c r="AM832" s="313"/>
      <c r="AN832" s="313"/>
      <c r="AO832" s="313"/>
      <c r="AP832" s="313"/>
      <c r="AQ832" s="314"/>
      <c r="AR832" s="315" t="str">
        <f t="shared" si="58"/>
        <v/>
      </c>
      <c r="AS832" s="207"/>
      <c r="AU832" s="225"/>
      <c r="BD832" s="208"/>
      <c r="BH832" s="321" t="str">
        <f t="shared" si="53"/>
        <v/>
      </c>
      <c r="BI832" s="98" t="str">
        <f t="shared" si="54"/>
        <v>INDENIZAÇÃO</v>
      </c>
      <c r="BJ832" s="98" t="str">
        <f t="shared" si="55"/>
        <v>NÃO</v>
      </c>
    </row>
    <row r="833" spans="1:62" ht="27" hidden="1" customHeight="1">
      <c r="A833" s="207">
        <v>829</v>
      </c>
      <c r="B833" s="197"/>
      <c r="J833" s="167"/>
      <c r="Y833" s="166"/>
      <c r="AF833" s="218"/>
      <c r="AG833" s="218"/>
      <c r="AH833" s="207"/>
      <c r="AI833" s="214" t="s">
        <v>4411</v>
      </c>
      <c r="AJ833" s="207"/>
      <c r="AK833" s="313"/>
      <c r="AL833" s="313"/>
      <c r="AM833" s="313"/>
      <c r="AN833" s="313"/>
      <c r="AO833" s="313"/>
      <c r="AP833" s="313"/>
      <c r="AQ833" s="314"/>
      <c r="AR833" s="315" t="str">
        <f t="shared" si="58"/>
        <v/>
      </c>
      <c r="AS833" s="207"/>
      <c r="AU833" s="225"/>
      <c r="BD833" s="208"/>
      <c r="BH833" s="321" t="str">
        <f t="shared" si="53"/>
        <v/>
      </c>
      <c r="BI833" s="98" t="str">
        <f t="shared" si="54"/>
        <v>INDENIZAÇÃO</v>
      </c>
      <c r="BJ833" s="98" t="str">
        <f t="shared" si="55"/>
        <v>NÃO</v>
      </c>
    </row>
    <row r="834" spans="1:62" ht="27" hidden="1" customHeight="1">
      <c r="A834" s="197">
        <v>830</v>
      </c>
      <c r="B834" s="197"/>
      <c r="J834" s="167"/>
      <c r="Y834" s="166"/>
      <c r="AF834" s="218"/>
      <c r="AG834" s="218"/>
      <c r="AH834" s="207"/>
      <c r="AI834" s="214" t="s">
        <v>4411</v>
      </c>
      <c r="AJ834" s="207"/>
      <c r="AK834" s="313"/>
      <c r="AL834" s="313"/>
      <c r="AM834" s="313"/>
      <c r="AN834" s="313"/>
      <c r="AO834" s="313"/>
      <c r="AP834" s="313"/>
      <c r="AQ834" s="314"/>
      <c r="AR834" s="315" t="str">
        <f t="shared" si="58"/>
        <v/>
      </c>
      <c r="AS834" s="207"/>
      <c r="AU834" s="225"/>
      <c r="BD834" s="208"/>
      <c r="BH834" s="321" t="str">
        <f t="shared" si="53"/>
        <v/>
      </c>
      <c r="BI834" s="98" t="str">
        <f t="shared" si="54"/>
        <v>INDENIZAÇÃO</v>
      </c>
      <c r="BJ834" s="98" t="str">
        <f t="shared" si="55"/>
        <v>NÃO</v>
      </c>
    </row>
    <row r="835" spans="1:62" ht="27" hidden="1" customHeight="1">
      <c r="A835" s="197">
        <v>831</v>
      </c>
      <c r="B835" s="197"/>
      <c r="J835" s="167"/>
      <c r="Y835" s="166"/>
      <c r="AF835" s="218"/>
      <c r="AG835" s="218"/>
      <c r="AH835" s="207"/>
      <c r="AI835" s="214" t="s">
        <v>4411</v>
      </c>
      <c r="AJ835" s="207"/>
      <c r="AK835" s="313"/>
      <c r="AL835" s="313"/>
      <c r="AM835" s="313"/>
      <c r="AN835" s="313"/>
      <c r="AO835" s="313"/>
      <c r="AP835" s="313"/>
      <c r="AQ835" s="314"/>
      <c r="AR835" s="315" t="str">
        <f t="shared" si="58"/>
        <v/>
      </c>
      <c r="AS835" s="207"/>
      <c r="AU835" s="225"/>
      <c r="BD835" s="208"/>
      <c r="BH835" s="321" t="str">
        <f t="shared" si="53"/>
        <v/>
      </c>
      <c r="BI835" s="98" t="str">
        <f t="shared" si="54"/>
        <v>INDENIZAÇÃO</v>
      </c>
      <c r="BJ835" s="98" t="str">
        <f t="shared" si="55"/>
        <v>NÃO</v>
      </c>
    </row>
    <row r="836" spans="1:62" ht="27" hidden="1" customHeight="1">
      <c r="A836" s="207">
        <v>832</v>
      </c>
      <c r="B836" s="197"/>
      <c r="J836" s="167"/>
      <c r="Y836" s="166"/>
      <c r="AF836" s="218"/>
      <c r="AG836" s="218"/>
      <c r="AH836" s="207"/>
      <c r="AI836" s="214" t="s">
        <v>4411</v>
      </c>
      <c r="AJ836" s="207"/>
      <c r="AK836" s="313"/>
      <c r="AL836" s="313"/>
      <c r="AM836" s="313"/>
      <c r="AN836" s="313"/>
      <c r="AO836" s="313"/>
      <c r="AP836" s="313"/>
      <c r="AQ836" s="314"/>
      <c r="AR836" s="315" t="str">
        <f t="shared" si="58"/>
        <v/>
      </c>
      <c r="AS836" s="207"/>
      <c r="AU836" s="225"/>
      <c r="BD836" s="208"/>
      <c r="BH836" s="321" t="str">
        <f t="shared" si="53"/>
        <v/>
      </c>
      <c r="BI836" s="98" t="str">
        <f t="shared" si="54"/>
        <v>INDENIZAÇÃO</v>
      </c>
      <c r="BJ836" s="98" t="str">
        <f t="shared" si="55"/>
        <v>NÃO</v>
      </c>
    </row>
    <row r="837" spans="1:62" ht="27" hidden="1" customHeight="1">
      <c r="A837" s="207">
        <v>833</v>
      </c>
      <c r="B837" s="197"/>
      <c r="J837" s="167"/>
      <c r="Y837" s="166"/>
      <c r="AF837" s="218"/>
      <c r="AG837" s="218"/>
      <c r="AH837" s="207"/>
      <c r="AI837" s="214" t="s">
        <v>4411</v>
      </c>
      <c r="AJ837" s="207"/>
      <c r="AK837" s="313"/>
      <c r="AL837" s="313"/>
      <c r="AM837" s="313"/>
      <c r="AN837" s="313"/>
      <c r="AO837" s="313"/>
      <c r="AP837" s="313"/>
      <c r="AQ837" s="314"/>
      <c r="AR837" s="315" t="str">
        <f t="shared" si="58"/>
        <v/>
      </c>
      <c r="AS837" s="207"/>
      <c r="AU837" s="225"/>
      <c r="BD837" s="208"/>
      <c r="BH837" s="321" t="str">
        <f t="shared" ref="BH837:BH900" si="59">IFERROR(IF(BD837-KI837=0,"",BD837-AK837),"")</f>
        <v/>
      </c>
      <c r="BI837" s="98" t="str">
        <f t="shared" ref="BI837:BI900" si="60">IF(AND(AH837&lt;&gt;"SIM",AH837="UH"),"AA","INDENIZAÇÃO")</f>
        <v>INDENIZAÇÃO</v>
      </c>
      <c r="BJ837" s="98" t="str">
        <f t="shared" ref="BJ837:BJ900" si="61">IF(AND(BD837&lt;&gt;"AGUARDANDO",BD837&lt;&gt;"",N837="AUXÍLIO ALUGUEL ATÉ INDENIZAÇÃO"),"SIM","NÃO")</f>
        <v>NÃO</v>
      </c>
    </row>
    <row r="838" spans="1:62" ht="27" hidden="1" customHeight="1">
      <c r="A838" s="207">
        <v>834</v>
      </c>
      <c r="B838" s="197"/>
      <c r="J838" s="167"/>
      <c r="Y838" s="166"/>
      <c r="AF838" s="218"/>
      <c r="AG838" s="218"/>
      <c r="AH838" s="207"/>
      <c r="AI838" s="214" t="s">
        <v>4411</v>
      </c>
      <c r="AJ838" s="207"/>
      <c r="AK838" s="313"/>
      <c r="AL838" s="313"/>
      <c r="AM838" s="313"/>
      <c r="AN838" s="313"/>
      <c r="AO838" s="313"/>
      <c r="AP838" s="313"/>
      <c r="AQ838" s="314"/>
      <c r="AR838" s="315" t="str">
        <f t="shared" si="58"/>
        <v/>
      </c>
      <c r="AS838" s="207"/>
      <c r="AU838" s="225"/>
      <c r="BD838" s="208"/>
      <c r="BH838" s="321" t="str">
        <f t="shared" si="59"/>
        <v/>
      </c>
      <c r="BI838" s="98" t="str">
        <f t="shared" si="60"/>
        <v>INDENIZAÇÃO</v>
      </c>
      <c r="BJ838" s="98" t="str">
        <f t="shared" si="61"/>
        <v>NÃO</v>
      </c>
    </row>
    <row r="839" spans="1:62" ht="27" hidden="1" customHeight="1">
      <c r="A839" s="197">
        <v>835</v>
      </c>
      <c r="B839" s="197"/>
      <c r="J839" s="167"/>
      <c r="Y839" s="166"/>
      <c r="AF839" s="218"/>
      <c r="AG839" s="218"/>
      <c r="AH839" s="207"/>
      <c r="AI839" s="214" t="s">
        <v>4411</v>
      </c>
      <c r="AJ839" s="207"/>
      <c r="AK839" s="313"/>
      <c r="AL839" s="313"/>
      <c r="AM839" s="313"/>
      <c r="AN839" s="313"/>
      <c r="AO839" s="313"/>
      <c r="AP839" s="313"/>
      <c r="AQ839" s="314"/>
      <c r="AR839" s="315" t="str">
        <f t="shared" si="58"/>
        <v/>
      </c>
      <c r="AS839" s="207"/>
      <c r="AU839" s="225"/>
      <c r="BD839" s="208"/>
      <c r="BH839" s="321" t="str">
        <f t="shared" si="59"/>
        <v/>
      </c>
      <c r="BI839" s="98" t="str">
        <f t="shared" si="60"/>
        <v>INDENIZAÇÃO</v>
      </c>
      <c r="BJ839" s="98" t="str">
        <f t="shared" si="61"/>
        <v>NÃO</v>
      </c>
    </row>
    <row r="840" spans="1:62" ht="27" hidden="1" customHeight="1">
      <c r="A840" s="197">
        <v>836</v>
      </c>
      <c r="B840" s="197"/>
      <c r="J840" s="167"/>
      <c r="Y840" s="166"/>
      <c r="AF840" s="218"/>
      <c r="AG840" s="218"/>
      <c r="AH840" s="207"/>
      <c r="AI840" s="214" t="s">
        <v>4411</v>
      </c>
      <c r="AJ840" s="207"/>
      <c r="AK840" s="313"/>
      <c r="AL840" s="313"/>
      <c r="AM840" s="313"/>
      <c r="AN840" s="313"/>
      <c r="AO840" s="313"/>
      <c r="AP840" s="313"/>
      <c r="AQ840" s="314"/>
      <c r="AR840" s="315" t="str">
        <f t="shared" si="58"/>
        <v/>
      </c>
      <c r="AS840" s="207"/>
      <c r="AU840" s="225"/>
      <c r="BD840" s="208"/>
      <c r="BH840" s="321" t="str">
        <f t="shared" si="59"/>
        <v/>
      </c>
      <c r="BI840" s="98" t="str">
        <f t="shared" si="60"/>
        <v>INDENIZAÇÃO</v>
      </c>
      <c r="BJ840" s="98" t="str">
        <f t="shared" si="61"/>
        <v>NÃO</v>
      </c>
    </row>
    <row r="841" spans="1:62" ht="27" hidden="1" customHeight="1">
      <c r="A841" s="207">
        <v>837</v>
      </c>
      <c r="B841" s="197"/>
      <c r="J841" s="167"/>
      <c r="Y841" s="166"/>
      <c r="AF841" s="218"/>
      <c r="AG841" s="218"/>
      <c r="AH841" s="207"/>
      <c r="AI841" s="214" t="s">
        <v>4411</v>
      </c>
      <c r="AJ841" s="207"/>
      <c r="AK841" s="313"/>
      <c r="AL841" s="313"/>
      <c r="AM841" s="313"/>
      <c r="AN841" s="313"/>
      <c r="AO841" s="313"/>
      <c r="AP841" s="313"/>
      <c r="AQ841" s="314"/>
      <c r="AR841" s="315" t="str">
        <f t="shared" si="58"/>
        <v/>
      </c>
      <c r="AS841" s="207"/>
      <c r="AU841" s="225"/>
      <c r="BD841" s="208"/>
      <c r="BH841" s="321" t="str">
        <f t="shared" si="59"/>
        <v/>
      </c>
      <c r="BI841" s="98" t="str">
        <f t="shared" si="60"/>
        <v>INDENIZAÇÃO</v>
      </c>
      <c r="BJ841" s="98" t="str">
        <f t="shared" si="61"/>
        <v>NÃO</v>
      </c>
    </row>
    <row r="842" spans="1:62" ht="27" hidden="1" customHeight="1">
      <c r="A842" s="207">
        <v>838</v>
      </c>
      <c r="B842" s="197"/>
      <c r="J842" s="167"/>
      <c r="AF842" s="218"/>
      <c r="AG842" s="218"/>
      <c r="AH842" s="207"/>
      <c r="AI842" s="214" t="s">
        <v>4411</v>
      </c>
      <c r="AJ842" s="207"/>
      <c r="AK842" s="313"/>
      <c r="AL842" s="313"/>
      <c r="AM842" s="313"/>
      <c r="AN842" s="313"/>
      <c r="AO842" s="313"/>
      <c r="AP842" s="313"/>
      <c r="AQ842" s="314"/>
      <c r="AR842" s="315" t="str">
        <f t="shared" si="58"/>
        <v/>
      </c>
      <c r="AS842" s="207"/>
      <c r="AU842" s="225"/>
      <c r="BD842" s="208"/>
      <c r="BH842" s="321" t="str">
        <f t="shared" si="59"/>
        <v/>
      </c>
      <c r="BI842" s="98" t="str">
        <f t="shared" si="60"/>
        <v>INDENIZAÇÃO</v>
      </c>
      <c r="BJ842" s="98" t="str">
        <f t="shared" si="61"/>
        <v>NÃO</v>
      </c>
    </row>
    <row r="843" spans="1:62" ht="27" hidden="1" customHeight="1">
      <c r="A843" s="207">
        <v>839</v>
      </c>
      <c r="B843" s="197"/>
      <c r="J843" s="167"/>
      <c r="AF843" s="218"/>
      <c r="AG843" s="218"/>
      <c r="AH843" s="207"/>
      <c r="AI843" s="214" t="s">
        <v>4411</v>
      </c>
      <c r="AJ843" s="207"/>
      <c r="AK843" s="313"/>
      <c r="AL843" s="313"/>
      <c r="AM843" s="313"/>
      <c r="AN843" s="313"/>
      <c r="AO843" s="313"/>
      <c r="AP843" s="313"/>
      <c r="AQ843" s="314"/>
      <c r="AR843" s="315" t="str">
        <f t="shared" si="58"/>
        <v/>
      </c>
      <c r="AS843" s="207"/>
      <c r="AU843" s="225"/>
      <c r="BD843" s="208"/>
      <c r="BH843" s="321" t="str">
        <f t="shared" si="59"/>
        <v/>
      </c>
      <c r="BI843" s="98" t="str">
        <f t="shared" si="60"/>
        <v>INDENIZAÇÃO</v>
      </c>
      <c r="BJ843" s="98" t="str">
        <f t="shared" si="61"/>
        <v>NÃO</v>
      </c>
    </row>
    <row r="844" spans="1:62" ht="27" hidden="1" customHeight="1">
      <c r="A844" s="197">
        <v>840</v>
      </c>
      <c r="B844" s="197"/>
      <c r="J844" s="167"/>
      <c r="AF844" s="218"/>
      <c r="AG844" s="218"/>
      <c r="AH844" s="207"/>
      <c r="AI844" s="214" t="s">
        <v>4411</v>
      </c>
      <c r="AJ844" s="207"/>
      <c r="AK844" s="313"/>
      <c r="AL844" s="313"/>
      <c r="AM844" s="313"/>
      <c r="AN844" s="313"/>
      <c r="AO844" s="313"/>
      <c r="AP844" s="313"/>
      <c r="AQ844" s="314"/>
      <c r="AR844" s="315" t="str">
        <f t="shared" si="58"/>
        <v/>
      </c>
      <c r="AS844" s="207"/>
      <c r="AU844" s="225"/>
      <c r="BD844" s="208"/>
      <c r="BH844" s="321" t="str">
        <f t="shared" si="59"/>
        <v/>
      </c>
      <c r="BI844" s="98" t="str">
        <f t="shared" si="60"/>
        <v>INDENIZAÇÃO</v>
      </c>
      <c r="BJ844" s="98" t="str">
        <f t="shared" si="61"/>
        <v>NÃO</v>
      </c>
    </row>
    <row r="845" spans="1:62" ht="27" hidden="1" customHeight="1">
      <c r="A845" s="197">
        <v>841</v>
      </c>
      <c r="B845" s="197"/>
      <c r="J845" s="167"/>
      <c r="AF845" s="218"/>
      <c r="AG845" s="218"/>
      <c r="AH845" s="207"/>
      <c r="AI845" s="214" t="s">
        <v>4411</v>
      </c>
      <c r="AJ845" s="207"/>
      <c r="AK845" s="313"/>
      <c r="AL845" s="313"/>
      <c r="AM845" s="313"/>
      <c r="AN845" s="313"/>
      <c r="AO845" s="313"/>
      <c r="AP845" s="313"/>
      <c r="AQ845" s="314"/>
      <c r="AR845" s="315" t="str">
        <f t="shared" si="58"/>
        <v/>
      </c>
      <c r="AS845" s="207"/>
      <c r="AU845" s="225"/>
      <c r="BD845" s="208"/>
      <c r="BH845" s="321" t="str">
        <f t="shared" si="59"/>
        <v/>
      </c>
      <c r="BI845" s="98" t="str">
        <f t="shared" si="60"/>
        <v>INDENIZAÇÃO</v>
      </c>
      <c r="BJ845" s="98" t="str">
        <f t="shared" si="61"/>
        <v>NÃO</v>
      </c>
    </row>
    <row r="846" spans="1:62" ht="27" hidden="1" customHeight="1">
      <c r="A846" s="207">
        <v>842</v>
      </c>
      <c r="B846" s="197"/>
      <c r="J846" s="167"/>
      <c r="AF846" s="218"/>
      <c r="AG846" s="218"/>
      <c r="AH846" s="207"/>
      <c r="AI846" s="214" t="s">
        <v>4411</v>
      </c>
      <c r="AJ846" s="207"/>
      <c r="AK846" s="313"/>
      <c r="AL846" s="313"/>
      <c r="AM846" s="313"/>
      <c r="AN846" s="313"/>
      <c r="AO846" s="313"/>
      <c r="AP846" s="313"/>
      <c r="AQ846" s="314"/>
      <c r="AR846" s="315" t="str">
        <f t="shared" si="58"/>
        <v/>
      </c>
      <c r="AS846" s="207"/>
      <c r="AU846" s="225"/>
      <c r="BD846" s="208"/>
      <c r="BH846" s="321" t="str">
        <f t="shared" si="59"/>
        <v/>
      </c>
      <c r="BI846" s="98" t="str">
        <f t="shared" si="60"/>
        <v>INDENIZAÇÃO</v>
      </c>
      <c r="BJ846" s="98" t="str">
        <f t="shared" si="61"/>
        <v>NÃO</v>
      </c>
    </row>
    <row r="847" spans="1:62" ht="27" hidden="1" customHeight="1">
      <c r="A847" s="207">
        <v>843</v>
      </c>
      <c r="B847" s="197"/>
      <c r="J847" s="167"/>
      <c r="AF847" s="218"/>
      <c r="AG847" s="218"/>
      <c r="AH847" s="207"/>
      <c r="AI847" s="214" t="s">
        <v>4411</v>
      </c>
      <c r="AJ847" s="207"/>
      <c r="AK847" s="313"/>
      <c r="AL847" s="313"/>
      <c r="AM847" s="313"/>
      <c r="AN847" s="313"/>
      <c r="AO847" s="313"/>
      <c r="AP847" s="313"/>
      <c r="AQ847" s="314"/>
      <c r="AR847" s="315" t="str">
        <f t="shared" si="58"/>
        <v/>
      </c>
      <c r="AS847" s="207"/>
      <c r="AU847" s="225"/>
      <c r="BD847" s="208"/>
      <c r="BH847" s="321" t="str">
        <f t="shared" si="59"/>
        <v/>
      </c>
      <c r="BI847" s="98" t="str">
        <f t="shared" si="60"/>
        <v>INDENIZAÇÃO</v>
      </c>
      <c r="BJ847" s="98" t="str">
        <f t="shared" si="61"/>
        <v>NÃO</v>
      </c>
    </row>
    <row r="848" spans="1:62" ht="27" hidden="1" customHeight="1">
      <c r="A848" s="207">
        <v>844</v>
      </c>
      <c r="B848" s="197"/>
      <c r="J848" s="167"/>
      <c r="AF848" s="218"/>
      <c r="AG848" s="218"/>
      <c r="AH848" s="207"/>
      <c r="AI848" s="214" t="s">
        <v>4411</v>
      </c>
      <c r="AJ848" s="207"/>
      <c r="AK848" s="313"/>
      <c r="AL848" s="313"/>
      <c r="AM848" s="313"/>
      <c r="AN848" s="313"/>
      <c r="AO848" s="313"/>
      <c r="AP848" s="313"/>
      <c r="AQ848" s="314"/>
      <c r="AR848" s="315" t="str">
        <f t="shared" si="58"/>
        <v/>
      </c>
      <c r="AS848" s="207"/>
      <c r="AU848" s="225"/>
      <c r="BD848" s="208"/>
      <c r="BH848" s="321" t="str">
        <f t="shared" si="59"/>
        <v/>
      </c>
      <c r="BI848" s="98" t="str">
        <f t="shared" si="60"/>
        <v>INDENIZAÇÃO</v>
      </c>
      <c r="BJ848" s="98" t="str">
        <f t="shared" si="61"/>
        <v>NÃO</v>
      </c>
    </row>
    <row r="849" spans="1:62" ht="27" hidden="1" customHeight="1">
      <c r="A849" s="197">
        <v>845</v>
      </c>
      <c r="B849" s="197"/>
      <c r="J849" s="167"/>
      <c r="AF849" s="218"/>
      <c r="AG849" s="218"/>
      <c r="AH849" s="207"/>
      <c r="AI849" s="214" t="s">
        <v>4411</v>
      </c>
      <c r="AJ849" s="207"/>
      <c r="AK849" s="313"/>
      <c r="AL849" s="313"/>
      <c r="AM849" s="313"/>
      <c r="AN849" s="313"/>
      <c r="AO849" s="313"/>
      <c r="AP849" s="313"/>
      <c r="AQ849" s="314"/>
      <c r="AR849" s="315" t="str">
        <f t="shared" si="58"/>
        <v/>
      </c>
      <c r="AS849" s="207"/>
      <c r="AU849" s="225"/>
      <c r="BD849" s="208"/>
      <c r="BH849" s="321" t="str">
        <f t="shared" si="59"/>
        <v/>
      </c>
      <c r="BI849" s="98" t="str">
        <f t="shared" si="60"/>
        <v>INDENIZAÇÃO</v>
      </c>
      <c r="BJ849" s="98" t="str">
        <f t="shared" si="61"/>
        <v>NÃO</v>
      </c>
    </row>
    <row r="850" spans="1:62" ht="27" hidden="1" customHeight="1">
      <c r="A850" s="197">
        <v>846</v>
      </c>
      <c r="B850" s="197"/>
      <c r="J850" s="167"/>
      <c r="AF850" s="218"/>
      <c r="AG850" s="218"/>
      <c r="AH850" s="207"/>
      <c r="AI850" s="214" t="s">
        <v>4411</v>
      </c>
      <c r="AJ850" s="207"/>
      <c r="AK850" s="313"/>
      <c r="AL850" s="313"/>
      <c r="AM850" s="313"/>
      <c r="AN850" s="313"/>
      <c r="AO850" s="313"/>
      <c r="AP850" s="313"/>
      <c r="AQ850" s="314"/>
      <c r="AR850" s="315" t="str">
        <f t="shared" si="58"/>
        <v/>
      </c>
      <c r="AS850" s="207"/>
      <c r="AU850" s="225"/>
      <c r="BD850" s="208"/>
      <c r="BH850" s="321" t="str">
        <f t="shared" si="59"/>
        <v/>
      </c>
      <c r="BI850" s="98" t="str">
        <f t="shared" si="60"/>
        <v>INDENIZAÇÃO</v>
      </c>
      <c r="BJ850" s="98" t="str">
        <f t="shared" si="61"/>
        <v>NÃO</v>
      </c>
    </row>
    <row r="851" spans="1:62" ht="27" hidden="1" customHeight="1">
      <c r="A851" s="207">
        <v>847</v>
      </c>
      <c r="B851" s="197"/>
      <c r="J851" s="167"/>
      <c r="AF851" s="218"/>
      <c r="AG851" s="218"/>
      <c r="AH851" s="207"/>
      <c r="AI851" s="214" t="s">
        <v>4411</v>
      </c>
      <c r="AJ851" s="207"/>
      <c r="AK851" s="313"/>
      <c r="AL851" s="313"/>
      <c r="AM851" s="313"/>
      <c r="AN851" s="313"/>
      <c r="AO851" s="313"/>
      <c r="AP851" s="313"/>
      <c r="AQ851" s="314"/>
      <c r="AR851" s="315" t="str">
        <f t="shared" si="58"/>
        <v/>
      </c>
      <c r="AS851" s="207"/>
      <c r="AU851" s="225"/>
      <c r="BD851" s="208"/>
      <c r="BH851" s="321" t="str">
        <f t="shared" si="59"/>
        <v/>
      </c>
      <c r="BI851" s="98" t="str">
        <f t="shared" si="60"/>
        <v>INDENIZAÇÃO</v>
      </c>
      <c r="BJ851" s="98" t="str">
        <f t="shared" si="61"/>
        <v>NÃO</v>
      </c>
    </row>
    <row r="852" spans="1:62" ht="27" hidden="1" customHeight="1">
      <c r="A852" s="207">
        <v>848</v>
      </c>
      <c r="B852" s="197"/>
      <c r="J852" s="167"/>
      <c r="AF852" s="218"/>
      <c r="AG852" s="218"/>
      <c r="AH852" s="207"/>
      <c r="AI852" s="214" t="s">
        <v>4411</v>
      </c>
      <c r="AJ852" s="207"/>
      <c r="AK852" s="313"/>
      <c r="AL852" s="313"/>
      <c r="AM852" s="313"/>
      <c r="AN852" s="313"/>
      <c r="AO852" s="313"/>
      <c r="AP852" s="313"/>
      <c r="AQ852" s="314"/>
      <c r="AR852" s="315" t="str">
        <f t="shared" si="58"/>
        <v/>
      </c>
      <c r="AS852" s="207"/>
      <c r="AU852" s="225"/>
      <c r="BD852" s="208"/>
      <c r="BH852" s="321" t="str">
        <f t="shared" si="59"/>
        <v/>
      </c>
      <c r="BI852" s="98" t="str">
        <f t="shared" si="60"/>
        <v>INDENIZAÇÃO</v>
      </c>
      <c r="BJ852" s="98" t="str">
        <f t="shared" si="61"/>
        <v>NÃO</v>
      </c>
    </row>
    <row r="853" spans="1:62" ht="27" hidden="1" customHeight="1">
      <c r="A853" s="207">
        <v>849</v>
      </c>
      <c r="B853" s="197"/>
      <c r="J853" s="167"/>
      <c r="AF853" s="218"/>
      <c r="AG853" s="218"/>
      <c r="AH853" s="207"/>
      <c r="AI853" s="214" t="s">
        <v>4411</v>
      </c>
      <c r="AJ853" s="207"/>
      <c r="AK853" s="313"/>
      <c r="AL853" s="313"/>
      <c r="AM853" s="313"/>
      <c r="AN853" s="313"/>
      <c r="AO853" s="313"/>
      <c r="AP853" s="313"/>
      <c r="AQ853" s="314"/>
      <c r="AR853" s="315" t="str">
        <f t="shared" si="58"/>
        <v/>
      </c>
      <c r="AS853" s="207"/>
      <c r="AU853" s="225"/>
      <c r="BD853" s="208"/>
      <c r="BH853" s="321" t="str">
        <f t="shared" si="59"/>
        <v/>
      </c>
      <c r="BI853" s="98" t="str">
        <f t="shared" si="60"/>
        <v>INDENIZAÇÃO</v>
      </c>
      <c r="BJ853" s="98" t="str">
        <f t="shared" si="61"/>
        <v>NÃO</v>
      </c>
    </row>
    <row r="854" spans="1:62" ht="27" hidden="1" customHeight="1">
      <c r="A854" s="197">
        <v>850</v>
      </c>
      <c r="B854" s="197"/>
      <c r="J854" s="167"/>
      <c r="AF854" s="218"/>
      <c r="AG854" s="218"/>
      <c r="AH854" s="207"/>
      <c r="AI854" s="214" t="s">
        <v>4411</v>
      </c>
      <c r="AJ854" s="207"/>
      <c r="AK854" s="313"/>
      <c r="AL854" s="313"/>
      <c r="AM854" s="313"/>
      <c r="AN854" s="313"/>
      <c r="AO854" s="313"/>
      <c r="AP854" s="313"/>
      <c r="AQ854" s="314"/>
      <c r="AR854" s="315" t="str">
        <f t="shared" si="58"/>
        <v/>
      </c>
      <c r="AS854" s="207"/>
      <c r="AU854" s="225"/>
      <c r="BD854" s="208"/>
      <c r="BH854" s="321" t="str">
        <f t="shared" si="59"/>
        <v/>
      </c>
      <c r="BI854" s="98" t="str">
        <f t="shared" si="60"/>
        <v>INDENIZAÇÃO</v>
      </c>
      <c r="BJ854" s="98" t="str">
        <f t="shared" si="61"/>
        <v>NÃO</v>
      </c>
    </row>
    <row r="855" spans="1:62" ht="27" hidden="1" customHeight="1">
      <c r="A855" s="197">
        <v>851</v>
      </c>
      <c r="B855" s="197"/>
      <c r="J855" s="167"/>
      <c r="AF855" s="218"/>
      <c r="AG855" s="218"/>
      <c r="AH855" s="207"/>
      <c r="AI855" s="214" t="s">
        <v>4411</v>
      </c>
      <c r="AJ855" s="207"/>
      <c r="AK855" s="313"/>
      <c r="AL855" s="313"/>
      <c r="AM855" s="313"/>
      <c r="AN855" s="313"/>
      <c r="AO855" s="313"/>
      <c r="AP855" s="313"/>
      <c r="AQ855" s="314"/>
      <c r="AR855" s="315" t="str">
        <f t="shared" si="58"/>
        <v/>
      </c>
      <c r="AS855" s="207"/>
      <c r="AU855" s="225"/>
      <c r="BD855" s="208"/>
      <c r="BH855" s="321" t="str">
        <f t="shared" si="59"/>
        <v/>
      </c>
      <c r="BI855" s="98" t="str">
        <f t="shared" si="60"/>
        <v>INDENIZAÇÃO</v>
      </c>
      <c r="BJ855" s="98" t="str">
        <f t="shared" si="61"/>
        <v>NÃO</v>
      </c>
    </row>
    <row r="856" spans="1:62" ht="27" hidden="1" customHeight="1">
      <c r="A856" s="207">
        <v>852</v>
      </c>
      <c r="B856" s="197"/>
      <c r="J856" s="167"/>
      <c r="AF856" s="218"/>
      <c r="AG856" s="218"/>
      <c r="AH856" s="207"/>
      <c r="AI856" s="214" t="s">
        <v>4411</v>
      </c>
      <c r="AJ856" s="207"/>
      <c r="AK856" s="313"/>
      <c r="AL856" s="313"/>
      <c r="AM856" s="313"/>
      <c r="AN856" s="313"/>
      <c r="AO856" s="313"/>
      <c r="AP856" s="313"/>
      <c r="AQ856" s="314"/>
      <c r="AR856" s="315" t="str">
        <f t="shared" si="58"/>
        <v/>
      </c>
      <c r="AS856" s="207"/>
      <c r="AU856" s="225"/>
      <c r="BD856" s="208"/>
      <c r="BH856" s="321" t="str">
        <f t="shared" si="59"/>
        <v/>
      </c>
      <c r="BI856" s="98" t="str">
        <f t="shared" si="60"/>
        <v>INDENIZAÇÃO</v>
      </c>
      <c r="BJ856" s="98" t="str">
        <f t="shared" si="61"/>
        <v>NÃO</v>
      </c>
    </row>
    <row r="857" spans="1:62" ht="27" hidden="1" customHeight="1">
      <c r="A857" s="207">
        <v>853</v>
      </c>
      <c r="B857" s="197"/>
      <c r="J857" s="167"/>
      <c r="AF857" s="218"/>
      <c r="AG857" s="218"/>
      <c r="AH857" s="207"/>
      <c r="AI857" s="214" t="s">
        <v>4411</v>
      </c>
      <c r="AJ857" s="207"/>
      <c r="AK857" s="313"/>
      <c r="AL857" s="313"/>
      <c r="AM857" s="313"/>
      <c r="AN857" s="313"/>
      <c r="AO857" s="313"/>
      <c r="AP857" s="313"/>
      <c r="AQ857" s="314"/>
      <c r="AR857" s="315" t="str">
        <f t="shared" si="58"/>
        <v/>
      </c>
      <c r="AS857" s="207"/>
      <c r="AU857" s="225"/>
      <c r="BD857" s="208"/>
      <c r="BH857" s="321" t="str">
        <f t="shared" si="59"/>
        <v/>
      </c>
      <c r="BI857" s="98" t="str">
        <f t="shared" si="60"/>
        <v>INDENIZAÇÃO</v>
      </c>
      <c r="BJ857" s="98" t="str">
        <f t="shared" si="61"/>
        <v>NÃO</v>
      </c>
    </row>
    <row r="858" spans="1:62" ht="27" hidden="1" customHeight="1">
      <c r="A858" s="207">
        <v>854</v>
      </c>
      <c r="B858" s="197"/>
      <c r="J858" s="167"/>
      <c r="AF858" s="218"/>
      <c r="AG858" s="218"/>
      <c r="AH858" s="207"/>
      <c r="AI858" s="214" t="s">
        <v>4411</v>
      </c>
      <c r="AJ858" s="207"/>
      <c r="AK858" s="313"/>
      <c r="AL858" s="313"/>
      <c r="AM858" s="313"/>
      <c r="AN858" s="313"/>
      <c r="AO858" s="313"/>
      <c r="AP858" s="313"/>
      <c r="AQ858" s="314"/>
      <c r="AR858" s="315" t="str">
        <f t="shared" si="58"/>
        <v/>
      </c>
      <c r="AS858" s="207"/>
      <c r="AU858" s="225"/>
      <c r="BD858" s="208"/>
      <c r="BH858" s="321" t="str">
        <f t="shared" si="59"/>
        <v/>
      </c>
      <c r="BI858" s="98" t="str">
        <f t="shared" si="60"/>
        <v>INDENIZAÇÃO</v>
      </c>
      <c r="BJ858" s="98" t="str">
        <f t="shared" si="61"/>
        <v>NÃO</v>
      </c>
    </row>
    <row r="859" spans="1:62" ht="27" hidden="1" customHeight="1">
      <c r="A859" s="197">
        <v>855</v>
      </c>
      <c r="B859" s="197"/>
      <c r="J859" s="167"/>
      <c r="AF859" s="218"/>
      <c r="AG859" s="218"/>
      <c r="AH859" s="207"/>
      <c r="AI859" s="214" t="s">
        <v>4411</v>
      </c>
      <c r="AJ859" s="207"/>
      <c r="AK859" s="313"/>
      <c r="AL859" s="313"/>
      <c r="AM859" s="313"/>
      <c r="AN859" s="313"/>
      <c r="AO859" s="313"/>
      <c r="AP859" s="313"/>
      <c r="AQ859" s="314"/>
      <c r="AR859" s="315" t="str">
        <f t="shared" si="58"/>
        <v/>
      </c>
      <c r="AS859" s="207"/>
      <c r="AU859" s="225"/>
      <c r="BD859" s="208"/>
      <c r="BH859" s="321" t="str">
        <f t="shared" si="59"/>
        <v/>
      </c>
      <c r="BI859" s="98" t="str">
        <f t="shared" si="60"/>
        <v>INDENIZAÇÃO</v>
      </c>
      <c r="BJ859" s="98" t="str">
        <f t="shared" si="61"/>
        <v>NÃO</v>
      </c>
    </row>
    <row r="860" spans="1:62" ht="27" hidden="1" customHeight="1">
      <c r="A860" s="197">
        <v>856</v>
      </c>
      <c r="B860" s="197"/>
      <c r="J860" s="167"/>
      <c r="AF860" s="218"/>
      <c r="AG860" s="218"/>
      <c r="AH860" s="207"/>
      <c r="AI860" s="214" t="s">
        <v>4411</v>
      </c>
      <c r="AJ860" s="207"/>
      <c r="AK860" s="313"/>
      <c r="AL860" s="313"/>
      <c r="AM860" s="313"/>
      <c r="AN860" s="313"/>
      <c r="AO860" s="313"/>
      <c r="AP860" s="313"/>
      <c r="AQ860" s="314"/>
      <c r="AR860" s="315" t="str">
        <f t="shared" si="58"/>
        <v/>
      </c>
      <c r="AS860" s="207"/>
      <c r="AU860" s="225"/>
      <c r="BD860" s="208"/>
      <c r="BH860" s="321" t="str">
        <f t="shared" si="59"/>
        <v/>
      </c>
      <c r="BI860" s="98" t="str">
        <f t="shared" si="60"/>
        <v>INDENIZAÇÃO</v>
      </c>
      <c r="BJ860" s="98" t="str">
        <f t="shared" si="61"/>
        <v>NÃO</v>
      </c>
    </row>
    <row r="861" spans="1:62" ht="27" hidden="1" customHeight="1">
      <c r="A861" s="207">
        <v>857</v>
      </c>
      <c r="B861" s="197"/>
      <c r="J861" s="167"/>
      <c r="AF861" s="218"/>
      <c r="AG861" s="218"/>
      <c r="AH861" s="207"/>
      <c r="AI861" s="214" t="s">
        <v>4411</v>
      </c>
      <c r="AJ861" s="207"/>
      <c r="AK861" s="313"/>
      <c r="AL861" s="313"/>
      <c r="AM861" s="313"/>
      <c r="AN861" s="313"/>
      <c r="AO861" s="313"/>
      <c r="AP861" s="313"/>
      <c r="AQ861" s="314"/>
      <c r="AR861" s="315" t="str">
        <f t="shared" si="58"/>
        <v/>
      </c>
      <c r="AS861" s="207"/>
      <c r="AU861" s="225"/>
      <c r="BD861" s="208"/>
      <c r="BH861" s="321" t="str">
        <f t="shared" si="59"/>
        <v/>
      </c>
      <c r="BI861" s="98" t="str">
        <f t="shared" si="60"/>
        <v>INDENIZAÇÃO</v>
      </c>
      <c r="BJ861" s="98" t="str">
        <f t="shared" si="61"/>
        <v>NÃO</v>
      </c>
    </row>
    <row r="862" spans="1:62" ht="27" hidden="1" customHeight="1">
      <c r="A862" s="207">
        <v>858</v>
      </c>
      <c r="B862" s="197"/>
      <c r="J862" s="167"/>
      <c r="AF862" s="218"/>
      <c r="AG862" s="218"/>
      <c r="AH862" s="207"/>
      <c r="AI862" s="214" t="s">
        <v>4411</v>
      </c>
      <c r="AJ862" s="207"/>
      <c r="AK862" s="313"/>
      <c r="AL862" s="313"/>
      <c r="AM862" s="313"/>
      <c r="AN862" s="313"/>
      <c r="AO862" s="313"/>
      <c r="AP862" s="313"/>
      <c r="AQ862" s="314"/>
      <c r="AR862" s="315" t="str">
        <f t="shared" si="58"/>
        <v/>
      </c>
      <c r="AS862" s="207"/>
      <c r="AU862" s="225"/>
      <c r="BD862" s="208"/>
      <c r="BH862" s="321" t="str">
        <f t="shared" si="59"/>
        <v/>
      </c>
      <c r="BI862" s="98" t="str">
        <f t="shared" si="60"/>
        <v>INDENIZAÇÃO</v>
      </c>
      <c r="BJ862" s="98" t="str">
        <f t="shared" si="61"/>
        <v>NÃO</v>
      </c>
    </row>
    <row r="863" spans="1:62" ht="27" hidden="1" customHeight="1">
      <c r="A863" s="207">
        <v>859</v>
      </c>
      <c r="B863" s="197"/>
      <c r="J863" s="167"/>
      <c r="AF863" s="218"/>
      <c r="AG863" s="218"/>
      <c r="AH863" s="207"/>
      <c r="AI863" s="214" t="s">
        <v>4411</v>
      </c>
      <c r="AJ863" s="207"/>
      <c r="AK863" s="313"/>
      <c r="AL863" s="313"/>
      <c r="AM863" s="313"/>
      <c r="AN863" s="313"/>
      <c r="AO863" s="313"/>
      <c r="AP863" s="313"/>
      <c r="AQ863" s="314"/>
      <c r="AR863" s="315" t="str">
        <f t="shared" si="58"/>
        <v/>
      </c>
      <c r="AS863" s="207"/>
      <c r="AU863" s="225"/>
      <c r="BD863" s="208"/>
      <c r="BH863" s="321" t="str">
        <f t="shared" si="59"/>
        <v/>
      </c>
      <c r="BI863" s="98" t="str">
        <f t="shared" si="60"/>
        <v>INDENIZAÇÃO</v>
      </c>
      <c r="BJ863" s="98" t="str">
        <f t="shared" si="61"/>
        <v>NÃO</v>
      </c>
    </row>
    <row r="864" spans="1:62" ht="27" hidden="1" customHeight="1">
      <c r="A864" s="197">
        <v>860</v>
      </c>
      <c r="B864" s="197"/>
      <c r="J864" s="167"/>
      <c r="AF864" s="218"/>
      <c r="AG864" s="218"/>
      <c r="AH864" s="207"/>
      <c r="AI864" s="214" t="s">
        <v>4411</v>
      </c>
      <c r="AJ864" s="207"/>
      <c r="AK864" s="313"/>
      <c r="AL864" s="313"/>
      <c r="AM864" s="313"/>
      <c r="AN864" s="313"/>
      <c r="AO864" s="313"/>
      <c r="AP864" s="313"/>
      <c r="AQ864" s="314"/>
      <c r="AR864" s="315" t="str">
        <f t="shared" si="58"/>
        <v/>
      </c>
      <c r="AS864" s="207"/>
      <c r="AU864" s="225"/>
      <c r="BD864" s="208"/>
      <c r="BH864" s="321" t="str">
        <f t="shared" si="59"/>
        <v/>
      </c>
      <c r="BI864" s="98" t="str">
        <f t="shared" si="60"/>
        <v>INDENIZAÇÃO</v>
      </c>
      <c r="BJ864" s="98" t="str">
        <f t="shared" si="61"/>
        <v>NÃO</v>
      </c>
    </row>
    <row r="865" spans="1:62" ht="27" hidden="1" customHeight="1">
      <c r="A865" s="197">
        <v>861</v>
      </c>
      <c r="B865" s="197"/>
      <c r="J865" s="167"/>
      <c r="AF865" s="218"/>
      <c r="AG865" s="218"/>
      <c r="AH865" s="207"/>
      <c r="AI865" s="214" t="s">
        <v>4411</v>
      </c>
      <c r="AJ865" s="207"/>
      <c r="AK865" s="313"/>
      <c r="AL865" s="313"/>
      <c r="AM865" s="313"/>
      <c r="AN865" s="313"/>
      <c r="AO865" s="313"/>
      <c r="AP865" s="313"/>
      <c r="AQ865" s="314"/>
      <c r="AR865" s="315" t="str">
        <f t="shared" si="58"/>
        <v/>
      </c>
      <c r="AS865" s="207"/>
      <c r="AU865" s="225"/>
      <c r="BD865" s="208"/>
      <c r="BH865" s="321" t="str">
        <f t="shared" si="59"/>
        <v/>
      </c>
      <c r="BI865" s="98" t="str">
        <f t="shared" si="60"/>
        <v>INDENIZAÇÃO</v>
      </c>
      <c r="BJ865" s="98" t="str">
        <f t="shared" si="61"/>
        <v>NÃO</v>
      </c>
    </row>
    <row r="866" spans="1:62" ht="27" hidden="1" customHeight="1">
      <c r="A866" s="207">
        <v>862</v>
      </c>
      <c r="B866" s="197"/>
      <c r="J866" s="167"/>
      <c r="AF866" s="218"/>
      <c r="AG866" s="218"/>
      <c r="AH866" s="207"/>
      <c r="AI866" s="214" t="s">
        <v>4411</v>
      </c>
      <c r="AJ866" s="207"/>
      <c r="AK866" s="313"/>
      <c r="AL866" s="313"/>
      <c r="AM866" s="313"/>
      <c r="AN866" s="313"/>
      <c r="AO866" s="313"/>
      <c r="AP866" s="313"/>
      <c r="AQ866" s="314"/>
      <c r="AR866" s="315" t="str">
        <f t="shared" si="58"/>
        <v/>
      </c>
      <c r="AS866" s="207"/>
      <c r="AU866" s="225"/>
      <c r="BD866" s="208"/>
      <c r="BH866" s="321" t="str">
        <f t="shared" si="59"/>
        <v/>
      </c>
      <c r="BI866" s="98" t="str">
        <f t="shared" si="60"/>
        <v>INDENIZAÇÃO</v>
      </c>
      <c r="BJ866" s="98" t="str">
        <f t="shared" si="61"/>
        <v>NÃO</v>
      </c>
    </row>
    <row r="867" spans="1:62" ht="27" hidden="1" customHeight="1">
      <c r="A867" s="207">
        <v>863</v>
      </c>
      <c r="B867" s="197"/>
      <c r="J867" s="167"/>
      <c r="AF867" s="218"/>
      <c r="AG867" s="218"/>
      <c r="AH867" s="207"/>
      <c r="AI867" s="214" t="s">
        <v>4411</v>
      </c>
      <c r="AJ867" s="207"/>
      <c r="AK867" s="313"/>
      <c r="AL867" s="313"/>
      <c r="AM867" s="313"/>
      <c r="AN867" s="313"/>
      <c r="AO867" s="313"/>
      <c r="AP867" s="313"/>
      <c r="AQ867" s="314"/>
      <c r="AR867" s="315" t="str">
        <f t="shared" si="58"/>
        <v/>
      </c>
      <c r="AS867" s="207"/>
      <c r="AU867" s="225"/>
      <c r="BD867" s="208"/>
      <c r="BH867" s="321" t="str">
        <f t="shared" si="59"/>
        <v/>
      </c>
      <c r="BI867" s="98" t="str">
        <f t="shared" si="60"/>
        <v>INDENIZAÇÃO</v>
      </c>
      <c r="BJ867" s="98" t="str">
        <f t="shared" si="61"/>
        <v>NÃO</v>
      </c>
    </row>
    <row r="868" spans="1:62" ht="27" hidden="1" customHeight="1">
      <c r="A868" s="207">
        <v>864</v>
      </c>
      <c r="B868" s="197"/>
      <c r="J868" s="167"/>
      <c r="AF868" s="218"/>
      <c r="AG868" s="218"/>
      <c r="AH868" s="207"/>
      <c r="AI868" s="214" t="s">
        <v>4411</v>
      </c>
      <c r="AJ868" s="207"/>
      <c r="AK868" s="313"/>
      <c r="AL868" s="313"/>
      <c r="AM868" s="313"/>
      <c r="AN868" s="313"/>
      <c r="AO868" s="313"/>
      <c r="AP868" s="313"/>
      <c r="AQ868" s="314"/>
      <c r="AR868" s="315" t="str">
        <f t="shared" si="58"/>
        <v/>
      </c>
      <c r="AS868" s="207"/>
      <c r="AU868" s="225"/>
      <c r="BD868" s="208"/>
      <c r="BH868" s="321" t="str">
        <f t="shared" si="59"/>
        <v/>
      </c>
      <c r="BI868" s="98" t="str">
        <f t="shared" si="60"/>
        <v>INDENIZAÇÃO</v>
      </c>
      <c r="BJ868" s="98" t="str">
        <f t="shared" si="61"/>
        <v>NÃO</v>
      </c>
    </row>
    <row r="869" spans="1:62" ht="27" hidden="1" customHeight="1">
      <c r="A869" s="197">
        <v>865</v>
      </c>
      <c r="B869" s="197"/>
      <c r="J869" s="167"/>
      <c r="AF869" s="218"/>
      <c r="AG869" s="218"/>
      <c r="AH869" s="207"/>
      <c r="AI869" s="214" t="s">
        <v>4411</v>
      </c>
      <c r="AJ869" s="207"/>
      <c r="AK869" s="313"/>
      <c r="AL869" s="313"/>
      <c r="AM869" s="313"/>
      <c r="AN869" s="313"/>
      <c r="AO869" s="313"/>
      <c r="AP869" s="313"/>
      <c r="AQ869" s="314"/>
      <c r="AR869" s="315" t="str">
        <f t="shared" si="58"/>
        <v/>
      </c>
      <c r="AS869" s="207"/>
      <c r="AU869" s="225"/>
      <c r="BD869" s="208"/>
      <c r="BH869" s="321" t="str">
        <f t="shared" si="59"/>
        <v/>
      </c>
      <c r="BI869" s="98" t="str">
        <f t="shared" si="60"/>
        <v>INDENIZAÇÃO</v>
      </c>
      <c r="BJ869" s="98" t="str">
        <f t="shared" si="61"/>
        <v>NÃO</v>
      </c>
    </row>
    <row r="870" spans="1:62" ht="27" hidden="1" customHeight="1">
      <c r="A870" s="197">
        <v>866</v>
      </c>
      <c r="B870" s="197"/>
      <c r="AF870" s="218"/>
      <c r="AG870" s="218"/>
      <c r="AK870" s="313"/>
      <c r="AL870" s="313"/>
      <c r="AM870" s="313"/>
      <c r="AN870" s="313"/>
      <c r="AO870" s="313"/>
      <c r="AP870" s="313"/>
      <c r="AQ870" s="314"/>
      <c r="AR870" s="315" t="str">
        <f t="shared" si="58"/>
        <v/>
      </c>
      <c r="AU870" s="225"/>
      <c r="BC870" s="308"/>
      <c r="BD870" s="208"/>
      <c r="BH870" s="321" t="str">
        <f t="shared" si="59"/>
        <v/>
      </c>
      <c r="BI870" s="98" t="str">
        <f t="shared" si="60"/>
        <v>INDENIZAÇÃO</v>
      </c>
      <c r="BJ870" s="98" t="str">
        <f t="shared" si="61"/>
        <v>NÃO</v>
      </c>
    </row>
    <row r="871" spans="1:62" ht="27" hidden="1" customHeight="1">
      <c r="A871" s="207">
        <v>867</v>
      </c>
      <c r="B871" s="197"/>
      <c r="AF871" s="218"/>
      <c r="AG871" s="218"/>
      <c r="AK871" s="313"/>
      <c r="AL871" s="313"/>
      <c r="AM871" s="313"/>
      <c r="AN871" s="313"/>
      <c r="AO871" s="313"/>
      <c r="AP871" s="313"/>
      <c r="AQ871" s="314"/>
      <c r="AR871" s="315" t="str">
        <f t="shared" si="58"/>
        <v/>
      </c>
      <c r="AU871" s="225"/>
      <c r="BC871" s="308"/>
      <c r="BD871" s="208"/>
      <c r="BH871" s="321" t="str">
        <f t="shared" si="59"/>
        <v/>
      </c>
      <c r="BI871" s="98" t="str">
        <f t="shared" si="60"/>
        <v>INDENIZAÇÃO</v>
      </c>
      <c r="BJ871" s="98" t="str">
        <f t="shared" si="61"/>
        <v>NÃO</v>
      </c>
    </row>
    <row r="872" spans="1:62" ht="27" hidden="1" customHeight="1">
      <c r="A872" s="207">
        <v>868</v>
      </c>
      <c r="B872" s="197"/>
      <c r="AK872" s="313"/>
      <c r="AL872" s="313"/>
      <c r="AM872" s="313"/>
      <c r="AN872" s="313"/>
      <c r="AO872" s="313"/>
      <c r="AP872" s="313"/>
      <c r="AQ872" s="314"/>
      <c r="AR872" s="315" t="str">
        <f t="shared" si="58"/>
        <v/>
      </c>
      <c r="AU872" s="225"/>
      <c r="BC872" s="308"/>
      <c r="BD872" s="208"/>
      <c r="BH872" s="321" t="str">
        <f t="shared" si="59"/>
        <v/>
      </c>
      <c r="BI872" s="98" t="str">
        <f t="shared" si="60"/>
        <v>INDENIZAÇÃO</v>
      </c>
      <c r="BJ872" s="98" t="str">
        <f t="shared" si="61"/>
        <v>NÃO</v>
      </c>
    </row>
    <row r="873" spans="1:62" ht="27" hidden="1" customHeight="1">
      <c r="A873" s="207">
        <v>869</v>
      </c>
      <c r="B873" s="197"/>
      <c r="AK873" s="313"/>
      <c r="AL873" s="313"/>
      <c r="AM873" s="313"/>
      <c r="AN873" s="313"/>
      <c r="AO873" s="313"/>
      <c r="AP873" s="313"/>
      <c r="AQ873" s="314"/>
      <c r="AR873" s="315" t="str">
        <f t="shared" si="58"/>
        <v/>
      </c>
      <c r="AU873" s="225"/>
      <c r="BC873" s="308"/>
      <c r="BD873" s="208"/>
      <c r="BH873" s="321" t="str">
        <f t="shared" si="59"/>
        <v/>
      </c>
      <c r="BI873" s="98" t="str">
        <f t="shared" si="60"/>
        <v>INDENIZAÇÃO</v>
      </c>
      <c r="BJ873" s="98" t="str">
        <f t="shared" si="61"/>
        <v>NÃO</v>
      </c>
    </row>
    <row r="874" spans="1:62" ht="27" hidden="1" customHeight="1">
      <c r="A874" s="197">
        <v>870</v>
      </c>
      <c r="B874" s="197"/>
      <c r="AK874" s="313"/>
      <c r="AL874" s="313"/>
      <c r="AM874" s="313"/>
      <c r="AN874" s="313"/>
      <c r="AO874" s="313"/>
      <c r="AP874" s="313"/>
      <c r="AQ874" s="314"/>
      <c r="AR874" s="315" t="str">
        <f t="shared" si="58"/>
        <v/>
      </c>
      <c r="AU874" s="225"/>
      <c r="BD874" s="208"/>
      <c r="BH874" s="321" t="str">
        <f t="shared" si="59"/>
        <v/>
      </c>
      <c r="BI874" s="98" t="str">
        <f t="shared" si="60"/>
        <v>INDENIZAÇÃO</v>
      </c>
      <c r="BJ874" s="98" t="str">
        <f t="shared" si="61"/>
        <v>NÃO</v>
      </c>
    </row>
    <row r="875" spans="1:62" ht="27" hidden="1" customHeight="1">
      <c r="A875" s="197">
        <v>871</v>
      </c>
      <c r="B875" s="197"/>
      <c r="AK875" s="313"/>
      <c r="AL875" s="313"/>
      <c r="AM875" s="313"/>
      <c r="AN875" s="313"/>
      <c r="AO875" s="313"/>
      <c r="AP875" s="313"/>
      <c r="AQ875" s="314"/>
      <c r="AR875" s="315" t="str">
        <f t="shared" si="58"/>
        <v/>
      </c>
      <c r="AU875" s="225"/>
      <c r="BC875" s="308"/>
      <c r="BD875" s="208"/>
      <c r="BH875" s="321" t="str">
        <f t="shared" si="59"/>
        <v/>
      </c>
      <c r="BI875" s="98" t="str">
        <f t="shared" si="60"/>
        <v>INDENIZAÇÃO</v>
      </c>
      <c r="BJ875" s="98" t="str">
        <f t="shared" si="61"/>
        <v>NÃO</v>
      </c>
    </row>
    <row r="876" spans="1:62" ht="27" hidden="1" customHeight="1">
      <c r="A876" s="207">
        <v>872</v>
      </c>
      <c r="B876" s="197"/>
      <c r="AK876" s="313"/>
      <c r="AL876" s="313"/>
      <c r="AM876" s="313"/>
      <c r="AN876" s="313"/>
      <c r="AO876" s="313"/>
      <c r="AP876" s="313"/>
      <c r="AQ876" s="314"/>
      <c r="AR876" s="315" t="str">
        <f t="shared" si="58"/>
        <v/>
      </c>
      <c r="AU876" s="225"/>
      <c r="BC876" s="308"/>
      <c r="BD876" s="208"/>
      <c r="BH876" s="321" t="str">
        <f t="shared" si="59"/>
        <v/>
      </c>
      <c r="BI876" s="98" t="str">
        <f t="shared" si="60"/>
        <v>INDENIZAÇÃO</v>
      </c>
      <c r="BJ876" s="98" t="str">
        <f t="shared" si="61"/>
        <v>NÃO</v>
      </c>
    </row>
    <row r="877" spans="1:62" ht="27" hidden="1" customHeight="1">
      <c r="A877" s="207">
        <v>873</v>
      </c>
      <c r="B877" s="197"/>
      <c r="AK877" s="313"/>
      <c r="AL877" s="313"/>
      <c r="AM877" s="313"/>
      <c r="AN877" s="313"/>
      <c r="AO877" s="313"/>
      <c r="AP877" s="313"/>
      <c r="AQ877" s="314"/>
      <c r="AR877" s="315" t="str">
        <f t="shared" si="58"/>
        <v/>
      </c>
      <c r="AU877" s="225"/>
      <c r="BC877" s="308"/>
      <c r="BD877" s="208"/>
      <c r="BH877" s="321" t="str">
        <f t="shared" si="59"/>
        <v/>
      </c>
      <c r="BI877" s="98" t="str">
        <f t="shared" si="60"/>
        <v>INDENIZAÇÃO</v>
      </c>
      <c r="BJ877" s="98" t="str">
        <f t="shared" si="61"/>
        <v>NÃO</v>
      </c>
    </row>
    <row r="878" spans="1:62" ht="27" hidden="1" customHeight="1">
      <c r="A878" s="207">
        <v>874</v>
      </c>
      <c r="B878" s="197"/>
      <c r="AK878" s="313"/>
      <c r="AL878" s="313"/>
      <c r="AM878" s="313"/>
      <c r="AN878" s="313"/>
      <c r="AO878" s="313"/>
      <c r="AP878" s="313"/>
      <c r="AQ878" s="314"/>
      <c r="AR878" s="315" t="str">
        <f t="shared" si="58"/>
        <v/>
      </c>
      <c r="AU878" s="225"/>
      <c r="BC878" s="308"/>
      <c r="BD878" s="208"/>
      <c r="BH878" s="321" t="str">
        <f t="shared" si="59"/>
        <v/>
      </c>
      <c r="BI878" s="98" t="str">
        <f t="shared" si="60"/>
        <v>INDENIZAÇÃO</v>
      </c>
      <c r="BJ878" s="98" t="str">
        <f t="shared" si="61"/>
        <v>NÃO</v>
      </c>
    </row>
    <row r="879" spans="1:62" ht="27" hidden="1" customHeight="1">
      <c r="A879" s="197">
        <v>875</v>
      </c>
      <c r="B879" s="197"/>
      <c r="AK879" s="313"/>
      <c r="AL879" s="313"/>
      <c r="AM879" s="313"/>
      <c r="AN879" s="313"/>
      <c r="AO879" s="313"/>
      <c r="AP879" s="313"/>
      <c r="AQ879" s="314"/>
      <c r="AR879" s="315" t="str">
        <f t="shared" si="58"/>
        <v/>
      </c>
      <c r="AU879" s="225"/>
      <c r="BC879" s="308"/>
      <c r="BD879" s="208"/>
      <c r="BH879" s="321" t="str">
        <f t="shared" si="59"/>
        <v/>
      </c>
      <c r="BI879" s="98" t="str">
        <f t="shared" si="60"/>
        <v>INDENIZAÇÃO</v>
      </c>
      <c r="BJ879" s="98" t="str">
        <f t="shared" si="61"/>
        <v>NÃO</v>
      </c>
    </row>
    <row r="880" spans="1:62" ht="27" hidden="1" customHeight="1">
      <c r="A880" s="197">
        <v>876</v>
      </c>
      <c r="B880" s="197"/>
      <c r="AK880" s="313"/>
      <c r="AL880" s="313"/>
      <c r="AM880" s="313"/>
      <c r="AN880" s="313"/>
      <c r="AO880" s="313"/>
      <c r="AP880" s="313"/>
      <c r="AQ880" s="314"/>
      <c r="AR880" s="315" t="str">
        <f t="shared" si="58"/>
        <v/>
      </c>
      <c r="AU880" s="225"/>
      <c r="BC880" s="308"/>
      <c r="BD880" s="208"/>
      <c r="BH880" s="321" t="str">
        <f t="shared" si="59"/>
        <v/>
      </c>
      <c r="BI880" s="98" t="str">
        <f t="shared" si="60"/>
        <v>INDENIZAÇÃO</v>
      </c>
      <c r="BJ880" s="98" t="str">
        <f t="shared" si="61"/>
        <v>NÃO</v>
      </c>
    </row>
    <row r="881" spans="1:62" ht="27" hidden="1" customHeight="1">
      <c r="A881" s="207">
        <v>877</v>
      </c>
      <c r="B881" s="197"/>
      <c r="AK881" s="313"/>
      <c r="AL881" s="313"/>
      <c r="AM881" s="313"/>
      <c r="AN881" s="313"/>
      <c r="AO881" s="313"/>
      <c r="AP881" s="313"/>
      <c r="AQ881" s="314"/>
      <c r="AR881" s="315" t="str">
        <f t="shared" si="58"/>
        <v/>
      </c>
      <c r="AU881" s="225"/>
      <c r="BC881" s="308"/>
      <c r="BD881" s="208"/>
      <c r="BH881" s="321" t="str">
        <f t="shared" si="59"/>
        <v/>
      </c>
      <c r="BI881" s="98" t="str">
        <f t="shared" si="60"/>
        <v>INDENIZAÇÃO</v>
      </c>
      <c r="BJ881" s="98" t="str">
        <f t="shared" si="61"/>
        <v>NÃO</v>
      </c>
    </row>
    <row r="882" spans="1:62" ht="27" hidden="1" customHeight="1">
      <c r="A882" s="207">
        <v>878</v>
      </c>
      <c r="B882" s="197"/>
      <c r="AK882" s="313"/>
      <c r="AL882" s="313"/>
      <c r="AM882" s="313"/>
      <c r="AN882" s="313"/>
      <c r="AO882" s="313"/>
      <c r="AP882" s="313"/>
      <c r="AQ882" s="314"/>
      <c r="AR882" s="315" t="str">
        <f t="shared" si="58"/>
        <v/>
      </c>
      <c r="AU882" s="225"/>
      <c r="BC882" s="308"/>
      <c r="BD882" s="208"/>
      <c r="BH882" s="321" t="str">
        <f t="shared" si="59"/>
        <v/>
      </c>
      <c r="BI882" s="98" t="str">
        <f t="shared" si="60"/>
        <v>INDENIZAÇÃO</v>
      </c>
      <c r="BJ882" s="98" t="str">
        <f t="shared" si="61"/>
        <v>NÃO</v>
      </c>
    </row>
    <row r="883" spans="1:62" ht="27" hidden="1" customHeight="1">
      <c r="A883" s="207">
        <v>879</v>
      </c>
      <c r="B883" s="197"/>
      <c r="AK883" s="313"/>
      <c r="AL883" s="313"/>
      <c r="AM883" s="313"/>
      <c r="AN883" s="313"/>
      <c r="AO883" s="313"/>
      <c r="AP883" s="313"/>
      <c r="AQ883" s="314"/>
      <c r="AR883" s="315" t="str">
        <f t="shared" si="58"/>
        <v/>
      </c>
      <c r="AU883" s="225"/>
      <c r="BC883" s="308"/>
      <c r="BD883" s="208"/>
      <c r="BH883" s="321" t="str">
        <f t="shared" si="59"/>
        <v/>
      </c>
      <c r="BI883" s="98" t="str">
        <f t="shared" si="60"/>
        <v>INDENIZAÇÃO</v>
      </c>
      <c r="BJ883" s="98" t="str">
        <f t="shared" si="61"/>
        <v>NÃO</v>
      </c>
    </row>
    <row r="884" spans="1:62" ht="27" hidden="1" customHeight="1">
      <c r="A884" s="197">
        <v>880</v>
      </c>
      <c r="B884" s="197"/>
      <c r="AK884" s="313"/>
      <c r="AL884" s="313"/>
      <c r="AM884" s="313"/>
      <c r="AN884" s="313"/>
      <c r="AO884" s="313"/>
      <c r="AP884" s="313"/>
      <c r="AQ884" s="314"/>
      <c r="AR884" s="315" t="str">
        <f t="shared" si="58"/>
        <v/>
      </c>
      <c r="AU884" s="225"/>
      <c r="BD884" s="208"/>
      <c r="BH884" s="321" t="str">
        <f t="shared" si="59"/>
        <v/>
      </c>
      <c r="BI884" s="98" t="str">
        <f t="shared" si="60"/>
        <v>INDENIZAÇÃO</v>
      </c>
      <c r="BJ884" s="98" t="str">
        <f t="shared" si="61"/>
        <v>NÃO</v>
      </c>
    </row>
    <row r="885" spans="1:62" ht="27" hidden="1" customHeight="1">
      <c r="A885" s="197">
        <v>881</v>
      </c>
      <c r="B885" s="197"/>
      <c r="AK885" s="313"/>
      <c r="AL885" s="313"/>
      <c r="AM885" s="313"/>
      <c r="AN885" s="313"/>
      <c r="AO885" s="313"/>
      <c r="AP885" s="313"/>
      <c r="AQ885" s="314"/>
      <c r="AR885" s="315" t="str">
        <f t="shared" si="58"/>
        <v/>
      </c>
      <c r="AU885" s="225"/>
      <c r="BD885" s="208"/>
      <c r="BH885" s="321" t="str">
        <f t="shared" si="59"/>
        <v/>
      </c>
      <c r="BI885" s="98" t="str">
        <f t="shared" si="60"/>
        <v>INDENIZAÇÃO</v>
      </c>
      <c r="BJ885" s="98" t="str">
        <f t="shared" si="61"/>
        <v>NÃO</v>
      </c>
    </row>
    <row r="886" spans="1:62" ht="27" hidden="1" customHeight="1">
      <c r="A886" s="207">
        <v>882</v>
      </c>
      <c r="B886" s="197"/>
      <c r="AK886" s="313"/>
      <c r="AL886" s="313"/>
      <c r="AM886" s="313"/>
      <c r="AN886" s="313"/>
      <c r="AO886" s="313"/>
      <c r="AP886" s="313"/>
      <c r="AQ886" s="314"/>
      <c r="AR886" s="315" t="str">
        <f t="shared" si="58"/>
        <v/>
      </c>
      <c r="AU886" s="225"/>
      <c r="BD886" s="208"/>
      <c r="BH886" s="321" t="str">
        <f t="shared" si="59"/>
        <v/>
      </c>
      <c r="BI886" s="98" t="str">
        <f t="shared" si="60"/>
        <v>INDENIZAÇÃO</v>
      </c>
      <c r="BJ886" s="98" t="str">
        <f t="shared" si="61"/>
        <v>NÃO</v>
      </c>
    </row>
    <row r="887" spans="1:62" ht="27" hidden="1" customHeight="1">
      <c r="A887" s="207">
        <v>883</v>
      </c>
      <c r="B887" s="197"/>
      <c r="AK887" s="313"/>
      <c r="AL887" s="313"/>
      <c r="AM887" s="313"/>
      <c r="AN887" s="313"/>
      <c r="AO887" s="313"/>
      <c r="AP887" s="313"/>
      <c r="AQ887" s="314"/>
      <c r="AR887" s="315" t="str">
        <f t="shared" si="58"/>
        <v/>
      </c>
      <c r="AU887" s="225"/>
      <c r="BD887" s="208"/>
      <c r="BH887" s="321" t="str">
        <f t="shared" si="59"/>
        <v/>
      </c>
      <c r="BI887" s="98" t="str">
        <f t="shared" si="60"/>
        <v>INDENIZAÇÃO</v>
      </c>
      <c r="BJ887" s="98" t="str">
        <f t="shared" si="61"/>
        <v>NÃO</v>
      </c>
    </row>
    <row r="888" spans="1:62" ht="27" hidden="1" customHeight="1">
      <c r="A888" s="207">
        <v>884</v>
      </c>
      <c r="B888" s="197"/>
      <c r="AK888" s="313"/>
      <c r="AL888" s="313"/>
      <c r="AM888" s="313"/>
      <c r="AN888" s="313"/>
      <c r="AO888" s="313"/>
      <c r="AP888" s="313"/>
      <c r="AQ888" s="314"/>
      <c r="AR888" s="315" t="str">
        <f t="shared" si="58"/>
        <v/>
      </c>
      <c r="AU888" s="225"/>
      <c r="BD888" s="208"/>
      <c r="BH888" s="321" t="str">
        <f t="shared" si="59"/>
        <v/>
      </c>
      <c r="BI888" s="98" t="str">
        <f t="shared" si="60"/>
        <v>INDENIZAÇÃO</v>
      </c>
      <c r="BJ888" s="98" t="str">
        <f t="shared" si="61"/>
        <v>NÃO</v>
      </c>
    </row>
    <row r="889" spans="1:62" ht="27" hidden="1" customHeight="1">
      <c r="A889" s="197">
        <v>885</v>
      </c>
      <c r="B889" s="197"/>
      <c r="AK889" s="313"/>
      <c r="AL889" s="313"/>
      <c r="AM889" s="313"/>
      <c r="AN889" s="313"/>
      <c r="AO889" s="313"/>
      <c r="AP889" s="313"/>
      <c r="AQ889" s="314"/>
      <c r="AR889" s="315" t="str">
        <f t="shared" si="58"/>
        <v/>
      </c>
      <c r="AU889" s="225"/>
      <c r="BD889" s="208"/>
      <c r="BH889" s="321" t="str">
        <f t="shared" si="59"/>
        <v/>
      </c>
      <c r="BI889" s="98" t="str">
        <f t="shared" si="60"/>
        <v>INDENIZAÇÃO</v>
      </c>
      <c r="BJ889" s="98" t="str">
        <f t="shared" si="61"/>
        <v>NÃO</v>
      </c>
    </row>
    <row r="890" spans="1:62" ht="27" hidden="1" customHeight="1">
      <c r="A890" s="197">
        <v>886</v>
      </c>
      <c r="B890" s="197"/>
      <c r="AK890" s="313"/>
      <c r="AL890" s="313"/>
      <c r="AM890" s="313"/>
      <c r="AN890" s="313"/>
      <c r="AO890" s="313"/>
      <c r="AP890" s="313"/>
      <c r="AQ890" s="314"/>
      <c r="AR890" s="315" t="str">
        <f t="shared" si="58"/>
        <v/>
      </c>
      <c r="AU890" s="225"/>
      <c r="BD890" s="208"/>
      <c r="BH890" s="321" t="str">
        <f t="shared" si="59"/>
        <v/>
      </c>
      <c r="BI890" s="98" t="str">
        <f t="shared" si="60"/>
        <v>INDENIZAÇÃO</v>
      </c>
      <c r="BJ890" s="98" t="str">
        <f t="shared" si="61"/>
        <v>NÃO</v>
      </c>
    </row>
    <row r="891" spans="1:62" ht="27" hidden="1" customHeight="1">
      <c r="A891" s="207">
        <v>887</v>
      </c>
      <c r="B891" s="197"/>
      <c r="AK891" s="313"/>
      <c r="AL891" s="313"/>
      <c r="AM891" s="313"/>
      <c r="AN891" s="313"/>
      <c r="AO891" s="313"/>
      <c r="AP891" s="313"/>
      <c r="AQ891" s="314"/>
      <c r="AR891" s="315" t="str">
        <f t="shared" si="58"/>
        <v/>
      </c>
      <c r="AU891" s="225"/>
      <c r="BD891" s="208"/>
      <c r="BH891" s="321" t="str">
        <f t="shared" si="59"/>
        <v/>
      </c>
      <c r="BI891" s="98" t="str">
        <f t="shared" si="60"/>
        <v>INDENIZAÇÃO</v>
      </c>
      <c r="BJ891" s="98" t="str">
        <f t="shared" si="61"/>
        <v>NÃO</v>
      </c>
    </row>
    <row r="892" spans="1:62" ht="27" hidden="1" customHeight="1">
      <c r="A892" s="207">
        <v>888</v>
      </c>
      <c r="B892" s="197"/>
      <c r="AK892" s="313"/>
      <c r="AL892" s="313"/>
      <c r="AM892" s="313"/>
      <c r="AN892" s="313"/>
      <c r="AO892" s="313"/>
      <c r="AP892" s="313"/>
      <c r="AQ892" s="314"/>
      <c r="AR892" s="315" t="str">
        <f t="shared" si="58"/>
        <v/>
      </c>
      <c r="AU892" s="225"/>
      <c r="BD892" s="208"/>
      <c r="BH892" s="321" t="str">
        <f t="shared" si="59"/>
        <v/>
      </c>
      <c r="BI892" s="98" t="str">
        <f t="shared" si="60"/>
        <v>INDENIZAÇÃO</v>
      </c>
      <c r="BJ892" s="98" t="str">
        <f t="shared" si="61"/>
        <v>NÃO</v>
      </c>
    </row>
    <row r="893" spans="1:62" ht="27" hidden="1" customHeight="1">
      <c r="A893" s="207">
        <v>889</v>
      </c>
      <c r="B893" s="197"/>
      <c r="AK893" s="313"/>
      <c r="AL893" s="313"/>
      <c r="AM893" s="313"/>
      <c r="AN893" s="313"/>
      <c r="AO893" s="313"/>
      <c r="AP893" s="313"/>
      <c r="AQ893" s="314"/>
      <c r="AR893" s="315" t="str">
        <f t="shared" si="58"/>
        <v/>
      </c>
      <c r="AU893" s="225"/>
      <c r="BD893" s="208"/>
      <c r="BH893" s="321" t="str">
        <f t="shared" si="59"/>
        <v/>
      </c>
      <c r="BI893" s="98" t="str">
        <f t="shared" si="60"/>
        <v>INDENIZAÇÃO</v>
      </c>
      <c r="BJ893" s="98" t="str">
        <f t="shared" si="61"/>
        <v>NÃO</v>
      </c>
    </row>
    <row r="894" spans="1:62" ht="27" hidden="1" customHeight="1">
      <c r="A894" s="197">
        <v>890</v>
      </c>
      <c r="B894" s="197"/>
      <c r="AK894" s="313"/>
      <c r="AL894" s="313"/>
      <c r="AM894" s="313"/>
      <c r="AN894" s="313"/>
      <c r="AO894" s="313"/>
      <c r="AP894" s="313"/>
      <c r="AQ894" s="314"/>
      <c r="AR894" s="315" t="str">
        <f t="shared" si="58"/>
        <v/>
      </c>
      <c r="AU894" s="225"/>
      <c r="BD894" s="208"/>
      <c r="BH894" s="321" t="str">
        <f t="shared" si="59"/>
        <v/>
      </c>
      <c r="BI894" s="98" t="str">
        <f t="shared" si="60"/>
        <v>INDENIZAÇÃO</v>
      </c>
      <c r="BJ894" s="98" t="str">
        <f t="shared" si="61"/>
        <v>NÃO</v>
      </c>
    </row>
    <row r="895" spans="1:62" ht="27" hidden="1" customHeight="1">
      <c r="A895" s="197">
        <v>891</v>
      </c>
      <c r="B895" s="197"/>
      <c r="AK895" s="313"/>
      <c r="AL895" s="313"/>
      <c r="AM895" s="313"/>
      <c r="AN895" s="313"/>
      <c r="AO895" s="313"/>
      <c r="AP895" s="313"/>
      <c r="AQ895" s="314"/>
      <c r="AR895" s="315" t="str">
        <f t="shared" ref="AR895:AR958" si="62">IF(AQ895="SIM","AGUARDANDO CORREÇÃO",IF(AP895&lt;&gt;"","FINALIZADO",IF(AO895&lt;&gt;"","AGUARDANDO ENVIO DTS",IF(AN895&lt;&gt;"","AGUARDANDO ASSINATURA GAB",IF(AM895&lt;&gt;"","AGUARDANDO ASSINATURA CTS",IF(AL895&lt;&gt;"","AGUARDANDO ENVIO ASSINATURA CTS",IF(AK895&lt;&gt;"","AGUARDANDO CONFERÊNCIA","")))))))</f>
        <v/>
      </c>
      <c r="AU895" s="225"/>
      <c r="BD895" s="208"/>
      <c r="BH895" s="321" t="str">
        <f t="shared" si="59"/>
        <v/>
      </c>
      <c r="BI895" s="98" t="str">
        <f t="shared" si="60"/>
        <v>INDENIZAÇÃO</v>
      </c>
      <c r="BJ895" s="98" t="str">
        <f t="shared" si="61"/>
        <v>NÃO</v>
      </c>
    </row>
    <row r="896" spans="1:62" ht="27" hidden="1" customHeight="1">
      <c r="A896" s="207">
        <v>892</v>
      </c>
      <c r="B896" s="197"/>
      <c r="AK896" s="313"/>
      <c r="AL896" s="313"/>
      <c r="AM896" s="313"/>
      <c r="AN896" s="313"/>
      <c r="AO896" s="313"/>
      <c r="AP896" s="313"/>
      <c r="AQ896" s="314"/>
      <c r="AR896" s="315" t="str">
        <f t="shared" si="62"/>
        <v/>
      </c>
      <c r="AU896" s="225"/>
      <c r="BD896" s="208"/>
      <c r="BH896" s="321" t="str">
        <f t="shared" si="59"/>
        <v/>
      </c>
      <c r="BI896" s="98" t="str">
        <f t="shared" si="60"/>
        <v>INDENIZAÇÃO</v>
      </c>
      <c r="BJ896" s="98" t="str">
        <f t="shared" si="61"/>
        <v>NÃO</v>
      </c>
    </row>
    <row r="897" spans="1:62" ht="27" hidden="1" customHeight="1">
      <c r="A897" s="207">
        <v>893</v>
      </c>
      <c r="B897" s="197"/>
      <c r="AK897" s="313"/>
      <c r="AL897" s="313"/>
      <c r="AM897" s="313"/>
      <c r="AN897" s="313"/>
      <c r="AO897" s="313"/>
      <c r="AP897" s="313"/>
      <c r="AQ897" s="314"/>
      <c r="AR897" s="315" t="str">
        <f t="shared" si="62"/>
        <v/>
      </c>
      <c r="AU897" s="225"/>
      <c r="BD897" s="208"/>
      <c r="BH897" s="321" t="str">
        <f t="shared" si="59"/>
        <v/>
      </c>
      <c r="BI897" s="98" t="str">
        <f t="shared" si="60"/>
        <v>INDENIZAÇÃO</v>
      </c>
      <c r="BJ897" s="98" t="str">
        <f t="shared" si="61"/>
        <v>NÃO</v>
      </c>
    </row>
    <row r="898" spans="1:62" ht="27" hidden="1" customHeight="1">
      <c r="A898" s="207">
        <v>894</v>
      </c>
      <c r="B898" s="197"/>
      <c r="AK898" s="313"/>
      <c r="AL898" s="313"/>
      <c r="AM898" s="313"/>
      <c r="AN898" s="313"/>
      <c r="AO898" s="313"/>
      <c r="AP898" s="313"/>
      <c r="AQ898" s="314"/>
      <c r="AR898" s="315" t="str">
        <f t="shared" si="62"/>
        <v/>
      </c>
      <c r="AU898" s="225"/>
      <c r="BD898" s="208"/>
      <c r="BH898" s="321" t="str">
        <f t="shared" si="59"/>
        <v/>
      </c>
      <c r="BI898" s="98" t="str">
        <f t="shared" si="60"/>
        <v>INDENIZAÇÃO</v>
      </c>
      <c r="BJ898" s="98" t="str">
        <f t="shared" si="61"/>
        <v>NÃO</v>
      </c>
    </row>
    <row r="899" spans="1:62" ht="27" hidden="1" customHeight="1">
      <c r="A899" s="197">
        <v>895</v>
      </c>
      <c r="B899" s="197"/>
      <c r="AK899" s="313"/>
      <c r="AL899" s="313"/>
      <c r="AM899" s="313"/>
      <c r="AN899" s="313"/>
      <c r="AO899" s="313"/>
      <c r="AP899" s="313"/>
      <c r="AQ899" s="314"/>
      <c r="AR899" s="315" t="str">
        <f t="shared" si="62"/>
        <v/>
      </c>
      <c r="AU899" s="225"/>
      <c r="BD899" s="208"/>
      <c r="BH899" s="321" t="str">
        <f t="shared" si="59"/>
        <v/>
      </c>
      <c r="BI899" s="98" t="str">
        <f t="shared" si="60"/>
        <v>INDENIZAÇÃO</v>
      </c>
      <c r="BJ899" s="98" t="str">
        <f t="shared" si="61"/>
        <v>NÃO</v>
      </c>
    </row>
    <row r="900" spans="1:62" ht="27" hidden="1" customHeight="1">
      <c r="A900" s="197">
        <v>896</v>
      </c>
      <c r="B900" s="197"/>
      <c r="AK900" s="313"/>
      <c r="AL900" s="313"/>
      <c r="AM900" s="313"/>
      <c r="AN900" s="313"/>
      <c r="AO900" s="313"/>
      <c r="AP900" s="313"/>
      <c r="AQ900" s="314"/>
      <c r="AR900" s="315" t="str">
        <f t="shared" si="62"/>
        <v/>
      </c>
      <c r="AU900" s="225"/>
      <c r="BD900" s="208"/>
      <c r="BH900" s="321" t="str">
        <f t="shared" si="59"/>
        <v/>
      </c>
      <c r="BI900" s="98" t="str">
        <f t="shared" si="60"/>
        <v>INDENIZAÇÃO</v>
      </c>
      <c r="BJ900" s="98" t="str">
        <f t="shared" si="61"/>
        <v>NÃO</v>
      </c>
    </row>
    <row r="901" spans="1:62" ht="27" hidden="1" customHeight="1">
      <c r="A901" s="207">
        <v>897</v>
      </c>
      <c r="B901" s="197"/>
      <c r="AK901" s="313"/>
      <c r="AL901" s="313"/>
      <c r="AM901" s="313"/>
      <c r="AN901" s="313"/>
      <c r="AO901" s="313"/>
      <c r="AP901" s="313"/>
      <c r="AQ901" s="314"/>
      <c r="AR901" s="315" t="str">
        <f t="shared" si="62"/>
        <v/>
      </c>
      <c r="AU901" s="225"/>
      <c r="BD901" s="208"/>
      <c r="BH901" s="321" t="str">
        <f t="shared" ref="BH901:BH964" si="63">IFERROR(IF(BD901-KI901=0,"",BD901-AK901),"")</f>
        <v/>
      </c>
      <c r="BI901" s="98" t="str">
        <f t="shared" ref="BI901:BI964" si="64">IF(AND(AH901&lt;&gt;"SIM",AH901="UH"),"AA","INDENIZAÇÃO")</f>
        <v>INDENIZAÇÃO</v>
      </c>
      <c r="BJ901" s="98" t="str">
        <f t="shared" ref="BJ901:BJ964" si="65">IF(AND(BD901&lt;&gt;"AGUARDANDO",BD901&lt;&gt;"",N901="AUXÍLIO ALUGUEL ATÉ INDENIZAÇÃO"),"SIM","NÃO")</f>
        <v>NÃO</v>
      </c>
    </row>
    <row r="902" spans="1:62" ht="27" hidden="1" customHeight="1">
      <c r="A902" s="207">
        <v>898</v>
      </c>
      <c r="B902" s="197"/>
      <c r="AK902" s="313"/>
      <c r="AL902" s="313"/>
      <c r="AM902" s="313"/>
      <c r="AN902" s="313"/>
      <c r="AO902" s="313"/>
      <c r="AP902" s="313"/>
      <c r="AQ902" s="314"/>
      <c r="AR902" s="315" t="str">
        <f t="shared" si="62"/>
        <v/>
      </c>
      <c r="AU902" s="225"/>
      <c r="BD902" s="208"/>
      <c r="BH902" s="321" t="str">
        <f t="shared" si="63"/>
        <v/>
      </c>
      <c r="BI902" s="98" t="str">
        <f t="shared" si="64"/>
        <v>INDENIZAÇÃO</v>
      </c>
      <c r="BJ902" s="98" t="str">
        <f t="shared" si="65"/>
        <v>NÃO</v>
      </c>
    </row>
    <row r="903" spans="1:62" ht="27" hidden="1" customHeight="1">
      <c r="A903" s="207">
        <v>899</v>
      </c>
      <c r="B903" s="197"/>
      <c r="AK903" s="313"/>
      <c r="AL903" s="313"/>
      <c r="AM903" s="313"/>
      <c r="AN903" s="313"/>
      <c r="AO903" s="313"/>
      <c r="AP903" s="313"/>
      <c r="AQ903" s="314"/>
      <c r="AR903" s="315" t="str">
        <f t="shared" si="62"/>
        <v/>
      </c>
      <c r="AU903" s="225"/>
      <c r="BD903" s="208"/>
      <c r="BH903" s="321" t="str">
        <f t="shared" si="63"/>
        <v/>
      </c>
      <c r="BI903" s="98" t="str">
        <f t="shared" si="64"/>
        <v>INDENIZAÇÃO</v>
      </c>
      <c r="BJ903" s="98" t="str">
        <f t="shared" si="65"/>
        <v>NÃO</v>
      </c>
    </row>
    <row r="904" spans="1:62" ht="27" hidden="1" customHeight="1">
      <c r="A904" s="197">
        <v>900</v>
      </c>
      <c r="B904" s="197"/>
      <c r="AK904" s="313"/>
      <c r="AL904" s="313"/>
      <c r="AM904" s="313"/>
      <c r="AN904" s="313"/>
      <c r="AO904" s="313"/>
      <c r="AP904" s="313"/>
      <c r="AQ904" s="314"/>
      <c r="AR904" s="315" t="str">
        <f t="shared" si="62"/>
        <v/>
      </c>
      <c r="AU904" s="225"/>
      <c r="BD904" s="208"/>
      <c r="BH904" s="321" t="str">
        <f t="shared" si="63"/>
        <v/>
      </c>
      <c r="BI904" s="98" t="str">
        <f t="shared" si="64"/>
        <v>INDENIZAÇÃO</v>
      </c>
      <c r="BJ904" s="98" t="str">
        <f t="shared" si="65"/>
        <v>NÃO</v>
      </c>
    </row>
    <row r="905" spans="1:62" ht="27" hidden="1" customHeight="1">
      <c r="A905" s="197">
        <v>901</v>
      </c>
      <c r="B905" s="197"/>
      <c r="AK905" s="313"/>
      <c r="AL905" s="313"/>
      <c r="AM905" s="313"/>
      <c r="AN905" s="313"/>
      <c r="AO905" s="313"/>
      <c r="AP905" s="313"/>
      <c r="AQ905" s="314"/>
      <c r="AR905" s="315" t="str">
        <f t="shared" si="62"/>
        <v/>
      </c>
      <c r="AU905" s="225"/>
      <c r="BD905" s="208"/>
      <c r="BH905" s="321" t="str">
        <f t="shared" si="63"/>
        <v/>
      </c>
      <c r="BI905" s="98" t="str">
        <f t="shared" si="64"/>
        <v>INDENIZAÇÃO</v>
      </c>
      <c r="BJ905" s="98" t="str">
        <f t="shared" si="65"/>
        <v>NÃO</v>
      </c>
    </row>
    <row r="906" spans="1:62" ht="27" hidden="1" customHeight="1">
      <c r="A906" s="207">
        <v>902</v>
      </c>
      <c r="B906" s="197"/>
      <c r="AK906" s="313"/>
      <c r="AL906" s="313"/>
      <c r="AM906" s="313"/>
      <c r="AN906" s="313"/>
      <c r="AO906" s="313"/>
      <c r="AP906" s="313"/>
      <c r="AQ906" s="314"/>
      <c r="AR906" s="315" t="str">
        <f t="shared" si="62"/>
        <v/>
      </c>
      <c r="AU906" s="225"/>
      <c r="BD906" s="208"/>
      <c r="BH906" s="321" t="str">
        <f t="shared" si="63"/>
        <v/>
      </c>
      <c r="BI906" s="98" t="str">
        <f t="shared" si="64"/>
        <v>INDENIZAÇÃO</v>
      </c>
      <c r="BJ906" s="98" t="str">
        <f t="shared" si="65"/>
        <v>NÃO</v>
      </c>
    </row>
    <row r="907" spans="1:62" ht="27" hidden="1" customHeight="1">
      <c r="A907" s="207">
        <v>903</v>
      </c>
      <c r="B907" s="197"/>
      <c r="AK907" s="313"/>
      <c r="AL907" s="313"/>
      <c r="AM907" s="313"/>
      <c r="AN907" s="313"/>
      <c r="AO907" s="313"/>
      <c r="AP907" s="313"/>
      <c r="AQ907" s="314"/>
      <c r="AR907" s="315" t="str">
        <f t="shared" si="62"/>
        <v/>
      </c>
      <c r="AU907" s="225"/>
      <c r="BD907" s="208"/>
      <c r="BH907" s="321" t="str">
        <f t="shared" si="63"/>
        <v/>
      </c>
      <c r="BI907" s="98" t="str">
        <f t="shared" si="64"/>
        <v>INDENIZAÇÃO</v>
      </c>
      <c r="BJ907" s="98" t="str">
        <f t="shared" si="65"/>
        <v>NÃO</v>
      </c>
    </row>
    <row r="908" spans="1:62" ht="27" hidden="1" customHeight="1">
      <c r="A908" s="207">
        <v>904</v>
      </c>
      <c r="B908" s="197"/>
      <c r="AK908" s="313"/>
      <c r="AL908" s="313"/>
      <c r="AM908" s="313"/>
      <c r="AN908" s="313"/>
      <c r="AO908" s="313"/>
      <c r="AP908" s="313"/>
      <c r="AQ908" s="314"/>
      <c r="AR908" s="315" t="str">
        <f t="shared" si="62"/>
        <v/>
      </c>
      <c r="AU908" s="225"/>
      <c r="BD908" s="208"/>
      <c r="BH908" s="321" t="str">
        <f t="shared" si="63"/>
        <v/>
      </c>
      <c r="BI908" s="98" t="str">
        <f t="shared" si="64"/>
        <v>INDENIZAÇÃO</v>
      </c>
      <c r="BJ908" s="98" t="str">
        <f t="shared" si="65"/>
        <v>NÃO</v>
      </c>
    </row>
    <row r="909" spans="1:62" ht="27" hidden="1" customHeight="1">
      <c r="A909" s="197">
        <v>905</v>
      </c>
      <c r="B909" s="197"/>
      <c r="AK909" s="313"/>
      <c r="AL909" s="313"/>
      <c r="AM909" s="313"/>
      <c r="AN909" s="313"/>
      <c r="AO909" s="313"/>
      <c r="AP909" s="313"/>
      <c r="AQ909" s="314"/>
      <c r="AR909" s="315" t="str">
        <f t="shared" si="62"/>
        <v/>
      </c>
      <c r="AU909" s="225"/>
      <c r="BD909" s="208"/>
      <c r="BH909" s="321" t="str">
        <f t="shared" si="63"/>
        <v/>
      </c>
      <c r="BI909" s="98" t="str">
        <f t="shared" si="64"/>
        <v>INDENIZAÇÃO</v>
      </c>
      <c r="BJ909" s="98" t="str">
        <f t="shared" si="65"/>
        <v>NÃO</v>
      </c>
    </row>
    <row r="910" spans="1:62" ht="27" hidden="1" customHeight="1">
      <c r="A910" s="197">
        <v>906</v>
      </c>
      <c r="B910" s="197"/>
      <c r="AK910" s="313"/>
      <c r="AL910" s="313"/>
      <c r="AM910" s="313"/>
      <c r="AN910" s="313"/>
      <c r="AO910" s="313"/>
      <c r="AP910" s="313"/>
      <c r="AQ910" s="314"/>
      <c r="AR910" s="315" t="str">
        <f t="shared" si="62"/>
        <v/>
      </c>
      <c r="AU910" s="225"/>
      <c r="BD910" s="208"/>
      <c r="BH910" s="321" t="str">
        <f t="shared" si="63"/>
        <v/>
      </c>
      <c r="BI910" s="98" t="str">
        <f t="shared" si="64"/>
        <v>INDENIZAÇÃO</v>
      </c>
      <c r="BJ910" s="98" t="str">
        <f t="shared" si="65"/>
        <v>NÃO</v>
      </c>
    </row>
    <row r="911" spans="1:62" ht="27" hidden="1" customHeight="1">
      <c r="A911" s="207">
        <v>907</v>
      </c>
      <c r="B911" s="197"/>
      <c r="AK911" s="313"/>
      <c r="AL911" s="313"/>
      <c r="AM911" s="313"/>
      <c r="AN911" s="313"/>
      <c r="AO911" s="313"/>
      <c r="AP911" s="313"/>
      <c r="AQ911" s="314"/>
      <c r="AR911" s="315" t="str">
        <f t="shared" si="62"/>
        <v/>
      </c>
      <c r="AU911" s="225"/>
      <c r="BD911" s="208"/>
      <c r="BH911" s="321" t="str">
        <f t="shared" si="63"/>
        <v/>
      </c>
      <c r="BI911" s="98" t="str">
        <f t="shared" si="64"/>
        <v>INDENIZAÇÃO</v>
      </c>
      <c r="BJ911" s="98" t="str">
        <f t="shared" si="65"/>
        <v>NÃO</v>
      </c>
    </row>
    <row r="912" spans="1:62" ht="27" hidden="1" customHeight="1">
      <c r="A912" s="207">
        <v>908</v>
      </c>
      <c r="B912" s="197"/>
      <c r="AK912" s="313"/>
      <c r="AL912" s="313"/>
      <c r="AM912" s="313"/>
      <c r="AN912" s="313"/>
      <c r="AO912" s="313"/>
      <c r="AP912" s="313"/>
      <c r="AQ912" s="314"/>
      <c r="AR912" s="315" t="str">
        <f t="shared" si="62"/>
        <v/>
      </c>
      <c r="AU912" s="225"/>
      <c r="BD912" s="208"/>
      <c r="BH912" s="321" t="str">
        <f t="shared" si="63"/>
        <v/>
      </c>
      <c r="BI912" s="98" t="str">
        <f t="shared" si="64"/>
        <v>INDENIZAÇÃO</v>
      </c>
      <c r="BJ912" s="98" t="str">
        <f t="shared" si="65"/>
        <v>NÃO</v>
      </c>
    </row>
    <row r="913" spans="1:62" ht="27" hidden="1" customHeight="1">
      <c r="A913" s="207">
        <v>909</v>
      </c>
      <c r="B913" s="197"/>
      <c r="AK913" s="313"/>
      <c r="AL913" s="313"/>
      <c r="AM913" s="313"/>
      <c r="AN913" s="313"/>
      <c r="AO913" s="313"/>
      <c r="AP913" s="313"/>
      <c r="AQ913" s="314"/>
      <c r="AR913" s="315" t="str">
        <f t="shared" si="62"/>
        <v/>
      </c>
      <c r="AU913" s="225"/>
      <c r="BD913" s="208"/>
      <c r="BH913" s="321" t="str">
        <f t="shared" si="63"/>
        <v/>
      </c>
      <c r="BI913" s="98" t="str">
        <f t="shared" si="64"/>
        <v>INDENIZAÇÃO</v>
      </c>
      <c r="BJ913" s="98" t="str">
        <f t="shared" si="65"/>
        <v>NÃO</v>
      </c>
    </row>
    <row r="914" spans="1:62" ht="27" hidden="1" customHeight="1">
      <c r="A914" s="197">
        <v>910</v>
      </c>
      <c r="B914" s="197"/>
      <c r="AK914" s="313"/>
      <c r="AL914" s="313"/>
      <c r="AM914" s="313"/>
      <c r="AN914" s="313"/>
      <c r="AO914" s="313"/>
      <c r="AP914" s="313"/>
      <c r="AQ914" s="314"/>
      <c r="AR914" s="315" t="str">
        <f t="shared" si="62"/>
        <v/>
      </c>
      <c r="AU914" s="225"/>
      <c r="BD914" s="208"/>
      <c r="BH914" s="321" t="str">
        <f t="shared" si="63"/>
        <v/>
      </c>
      <c r="BI914" s="98" t="str">
        <f t="shared" si="64"/>
        <v>INDENIZAÇÃO</v>
      </c>
      <c r="BJ914" s="98" t="str">
        <f t="shared" si="65"/>
        <v>NÃO</v>
      </c>
    </row>
    <row r="915" spans="1:62" ht="27" hidden="1" customHeight="1">
      <c r="A915" s="197">
        <v>911</v>
      </c>
      <c r="B915" s="197"/>
      <c r="AK915" s="313"/>
      <c r="AL915" s="313"/>
      <c r="AM915" s="313"/>
      <c r="AN915" s="313"/>
      <c r="AO915" s="313"/>
      <c r="AP915" s="313"/>
      <c r="AQ915" s="314"/>
      <c r="AR915" s="315" t="str">
        <f t="shared" si="62"/>
        <v/>
      </c>
      <c r="AU915" s="225"/>
      <c r="BD915" s="208"/>
      <c r="BH915" s="321" t="str">
        <f t="shared" si="63"/>
        <v/>
      </c>
      <c r="BI915" s="98" t="str">
        <f t="shared" si="64"/>
        <v>INDENIZAÇÃO</v>
      </c>
      <c r="BJ915" s="98" t="str">
        <f t="shared" si="65"/>
        <v>NÃO</v>
      </c>
    </row>
    <row r="916" spans="1:62" ht="27" hidden="1" customHeight="1">
      <c r="A916" s="207">
        <v>912</v>
      </c>
      <c r="B916" s="197"/>
      <c r="AK916" s="313"/>
      <c r="AL916" s="313"/>
      <c r="AM916" s="313"/>
      <c r="AN916" s="313"/>
      <c r="AO916" s="313"/>
      <c r="AP916" s="313"/>
      <c r="AQ916" s="314"/>
      <c r="AR916" s="315" t="str">
        <f t="shared" si="62"/>
        <v/>
      </c>
      <c r="AU916" s="225"/>
      <c r="BD916" s="208"/>
      <c r="BH916" s="321" t="str">
        <f t="shared" si="63"/>
        <v/>
      </c>
      <c r="BI916" s="98" t="str">
        <f t="shared" si="64"/>
        <v>INDENIZAÇÃO</v>
      </c>
      <c r="BJ916" s="98" t="str">
        <f t="shared" si="65"/>
        <v>NÃO</v>
      </c>
    </row>
    <row r="917" spans="1:62" ht="27" hidden="1" customHeight="1">
      <c r="A917" s="207">
        <v>913</v>
      </c>
      <c r="B917" s="197"/>
      <c r="AK917" s="313"/>
      <c r="AL917" s="313"/>
      <c r="AM917" s="313"/>
      <c r="AN917" s="313"/>
      <c r="AO917" s="313"/>
      <c r="AP917" s="313"/>
      <c r="AQ917" s="314"/>
      <c r="AR917" s="315" t="str">
        <f t="shared" si="62"/>
        <v/>
      </c>
      <c r="AU917" s="225"/>
      <c r="BD917" s="208"/>
      <c r="BH917" s="321" t="str">
        <f t="shared" si="63"/>
        <v/>
      </c>
      <c r="BI917" s="98" t="str">
        <f t="shared" si="64"/>
        <v>INDENIZAÇÃO</v>
      </c>
      <c r="BJ917" s="98" t="str">
        <f t="shared" si="65"/>
        <v>NÃO</v>
      </c>
    </row>
    <row r="918" spans="1:62" ht="27" hidden="1" customHeight="1">
      <c r="A918" s="207">
        <v>914</v>
      </c>
      <c r="B918" s="197"/>
      <c r="AK918" s="313"/>
      <c r="AL918" s="313"/>
      <c r="AM918" s="313"/>
      <c r="AN918" s="313"/>
      <c r="AO918" s="313"/>
      <c r="AP918" s="313"/>
      <c r="AQ918" s="314"/>
      <c r="AR918" s="315" t="str">
        <f t="shared" si="62"/>
        <v/>
      </c>
      <c r="AU918" s="225"/>
      <c r="BD918" s="208"/>
      <c r="BH918" s="321" t="str">
        <f t="shared" si="63"/>
        <v/>
      </c>
      <c r="BI918" s="98" t="str">
        <f t="shared" si="64"/>
        <v>INDENIZAÇÃO</v>
      </c>
      <c r="BJ918" s="98" t="str">
        <f t="shared" si="65"/>
        <v>NÃO</v>
      </c>
    </row>
    <row r="919" spans="1:62" ht="27" hidden="1" customHeight="1">
      <c r="A919" s="197">
        <v>915</v>
      </c>
      <c r="B919" s="197"/>
      <c r="AK919" s="313"/>
      <c r="AL919" s="313"/>
      <c r="AM919" s="313"/>
      <c r="AN919" s="313"/>
      <c r="AO919" s="313"/>
      <c r="AP919" s="313"/>
      <c r="AQ919" s="314"/>
      <c r="AR919" s="315" t="str">
        <f t="shared" si="62"/>
        <v/>
      </c>
      <c r="AU919" s="225"/>
      <c r="BD919" s="208"/>
      <c r="BH919" s="321" t="str">
        <f t="shared" si="63"/>
        <v/>
      </c>
      <c r="BI919" s="98" t="str">
        <f t="shared" si="64"/>
        <v>INDENIZAÇÃO</v>
      </c>
      <c r="BJ919" s="98" t="str">
        <f t="shared" si="65"/>
        <v>NÃO</v>
      </c>
    </row>
    <row r="920" spans="1:62" ht="27" hidden="1" customHeight="1">
      <c r="A920" s="197">
        <v>916</v>
      </c>
      <c r="B920" s="197"/>
      <c r="AK920" s="313"/>
      <c r="AL920" s="313"/>
      <c r="AM920" s="313"/>
      <c r="AN920" s="313"/>
      <c r="AO920" s="313"/>
      <c r="AP920" s="313"/>
      <c r="AQ920" s="314"/>
      <c r="AR920" s="315" t="str">
        <f t="shared" si="62"/>
        <v/>
      </c>
      <c r="AU920" s="225"/>
      <c r="BD920" s="208"/>
      <c r="BH920" s="321" t="str">
        <f t="shared" si="63"/>
        <v/>
      </c>
      <c r="BI920" s="98" t="str">
        <f t="shared" si="64"/>
        <v>INDENIZAÇÃO</v>
      </c>
      <c r="BJ920" s="98" t="str">
        <f t="shared" si="65"/>
        <v>NÃO</v>
      </c>
    </row>
    <row r="921" spans="1:62" ht="27" hidden="1" customHeight="1">
      <c r="A921" s="207">
        <v>917</v>
      </c>
      <c r="B921" s="197"/>
      <c r="AK921" s="313"/>
      <c r="AL921" s="313"/>
      <c r="AM921" s="313"/>
      <c r="AN921" s="313"/>
      <c r="AO921" s="313"/>
      <c r="AP921" s="313"/>
      <c r="AQ921" s="314"/>
      <c r="AR921" s="315" t="str">
        <f t="shared" si="62"/>
        <v/>
      </c>
      <c r="AU921" s="225"/>
      <c r="BD921" s="208"/>
      <c r="BH921" s="321" t="str">
        <f t="shared" si="63"/>
        <v/>
      </c>
      <c r="BI921" s="98" t="str">
        <f t="shared" si="64"/>
        <v>INDENIZAÇÃO</v>
      </c>
      <c r="BJ921" s="98" t="str">
        <f t="shared" si="65"/>
        <v>NÃO</v>
      </c>
    </row>
    <row r="922" spans="1:62" ht="27" hidden="1" customHeight="1">
      <c r="A922" s="207">
        <v>918</v>
      </c>
      <c r="B922" s="197"/>
      <c r="AK922" s="313"/>
      <c r="AL922" s="313"/>
      <c r="AM922" s="313"/>
      <c r="AN922" s="313"/>
      <c r="AO922" s="313"/>
      <c r="AP922" s="313"/>
      <c r="AQ922" s="314"/>
      <c r="AR922" s="315" t="str">
        <f t="shared" si="62"/>
        <v/>
      </c>
      <c r="AU922" s="225"/>
      <c r="BD922" s="208"/>
      <c r="BH922" s="321" t="str">
        <f t="shared" si="63"/>
        <v/>
      </c>
      <c r="BI922" s="98" t="str">
        <f t="shared" si="64"/>
        <v>INDENIZAÇÃO</v>
      </c>
      <c r="BJ922" s="98" t="str">
        <f t="shared" si="65"/>
        <v>NÃO</v>
      </c>
    </row>
    <row r="923" spans="1:62" ht="27" hidden="1" customHeight="1">
      <c r="A923" s="207">
        <v>919</v>
      </c>
      <c r="B923" s="197"/>
      <c r="AK923" s="313"/>
      <c r="AL923" s="313"/>
      <c r="AM923" s="313"/>
      <c r="AN923" s="313"/>
      <c r="AO923" s="313"/>
      <c r="AP923" s="313"/>
      <c r="AQ923" s="314"/>
      <c r="AR923" s="315" t="str">
        <f t="shared" si="62"/>
        <v/>
      </c>
      <c r="AU923" s="225"/>
      <c r="BD923" s="208"/>
      <c r="BH923" s="321" t="str">
        <f t="shared" si="63"/>
        <v/>
      </c>
      <c r="BI923" s="98" t="str">
        <f t="shared" si="64"/>
        <v>INDENIZAÇÃO</v>
      </c>
      <c r="BJ923" s="98" t="str">
        <f t="shared" si="65"/>
        <v>NÃO</v>
      </c>
    </row>
    <row r="924" spans="1:62" ht="27" hidden="1" customHeight="1">
      <c r="A924" s="197">
        <v>920</v>
      </c>
      <c r="B924" s="197"/>
      <c r="AK924" s="313"/>
      <c r="AL924" s="313"/>
      <c r="AM924" s="313"/>
      <c r="AN924" s="313"/>
      <c r="AO924" s="313"/>
      <c r="AP924" s="313"/>
      <c r="AQ924" s="314"/>
      <c r="AR924" s="315" t="str">
        <f t="shared" si="62"/>
        <v/>
      </c>
      <c r="AU924" s="225"/>
      <c r="BD924" s="208"/>
      <c r="BH924" s="321" t="str">
        <f t="shared" si="63"/>
        <v/>
      </c>
      <c r="BI924" s="98" t="str">
        <f t="shared" si="64"/>
        <v>INDENIZAÇÃO</v>
      </c>
      <c r="BJ924" s="98" t="str">
        <f t="shared" si="65"/>
        <v>NÃO</v>
      </c>
    </row>
    <row r="925" spans="1:62" ht="27" hidden="1" customHeight="1">
      <c r="A925" s="197">
        <v>921</v>
      </c>
      <c r="B925" s="197"/>
      <c r="AK925" s="313"/>
      <c r="AL925" s="313"/>
      <c r="AM925" s="313"/>
      <c r="AN925" s="313"/>
      <c r="AO925" s="313"/>
      <c r="AP925" s="313"/>
      <c r="AQ925" s="314"/>
      <c r="AR925" s="315" t="str">
        <f t="shared" si="62"/>
        <v/>
      </c>
      <c r="AU925" s="225"/>
      <c r="BD925" s="208"/>
      <c r="BH925" s="321" t="str">
        <f t="shared" si="63"/>
        <v/>
      </c>
      <c r="BI925" s="98" t="str">
        <f t="shared" si="64"/>
        <v>INDENIZAÇÃO</v>
      </c>
      <c r="BJ925" s="98" t="str">
        <f t="shared" si="65"/>
        <v>NÃO</v>
      </c>
    </row>
    <row r="926" spans="1:62" ht="27" hidden="1" customHeight="1">
      <c r="A926" s="207">
        <v>922</v>
      </c>
      <c r="B926" s="197"/>
      <c r="AK926" s="313"/>
      <c r="AL926" s="313"/>
      <c r="AM926" s="313"/>
      <c r="AN926" s="313"/>
      <c r="AO926" s="313"/>
      <c r="AP926" s="313"/>
      <c r="AQ926" s="314"/>
      <c r="AR926" s="315" t="str">
        <f t="shared" si="62"/>
        <v/>
      </c>
      <c r="AU926" s="225"/>
      <c r="BD926" s="208"/>
      <c r="BH926" s="321" t="str">
        <f t="shared" si="63"/>
        <v/>
      </c>
      <c r="BI926" s="98" t="str">
        <f t="shared" si="64"/>
        <v>INDENIZAÇÃO</v>
      </c>
      <c r="BJ926" s="98" t="str">
        <f t="shared" si="65"/>
        <v>NÃO</v>
      </c>
    </row>
    <row r="927" spans="1:62" ht="27" hidden="1" customHeight="1">
      <c r="A927" s="207">
        <v>923</v>
      </c>
      <c r="B927" s="197"/>
      <c r="AK927" s="313"/>
      <c r="AL927" s="313"/>
      <c r="AM927" s="313"/>
      <c r="AN927" s="313"/>
      <c r="AO927" s="313"/>
      <c r="AP927" s="313"/>
      <c r="AQ927" s="314"/>
      <c r="AR927" s="315" t="str">
        <f t="shared" si="62"/>
        <v/>
      </c>
      <c r="AU927" s="225"/>
      <c r="BD927" s="208"/>
      <c r="BH927" s="321" t="str">
        <f t="shared" si="63"/>
        <v/>
      </c>
      <c r="BI927" s="98" t="str">
        <f t="shared" si="64"/>
        <v>INDENIZAÇÃO</v>
      </c>
      <c r="BJ927" s="98" t="str">
        <f t="shared" si="65"/>
        <v>NÃO</v>
      </c>
    </row>
    <row r="928" spans="1:62" ht="27" hidden="1" customHeight="1">
      <c r="A928" s="207">
        <v>924</v>
      </c>
      <c r="B928" s="197"/>
      <c r="AK928" s="313"/>
      <c r="AL928" s="313"/>
      <c r="AM928" s="313"/>
      <c r="AN928" s="313"/>
      <c r="AO928" s="313"/>
      <c r="AP928" s="313"/>
      <c r="AQ928" s="314"/>
      <c r="AR928" s="315" t="str">
        <f t="shared" si="62"/>
        <v/>
      </c>
      <c r="AU928" s="225"/>
      <c r="BD928" s="208"/>
      <c r="BH928" s="321" t="str">
        <f t="shared" si="63"/>
        <v/>
      </c>
      <c r="BI928" s="98" t="str">
        <f t="shared" si="64"/>
        <v>INDENIZAÇÃO</v>
      </c>
      <c r="BJ928" s="98" t="str">
        <f t="shared" si="65"/>
        <v>NÃO</v>
      </c>
    </row>
    <row r="929" spans="1:62" ht="27" hidden="1" customHeight="1">
      <c r="A929" s="197">
        <v>925</v>
      </c>
      <c r="B929" s="197"/>
      <c r="AK929" s="313"/>
      <c r="AL929" s="313"/>
      <c r="AM929" s="313"/>
      <c r="AN929" s="313"/>
      <c r="AO929" s="313"/>
      <c r="AP929" s="313"/>
      <c r="AQ929" s="314"/>
      <c r="AR929" s="315" t="str">
        <f t="shared" si="62"/>
        <v/>
      </c>
      <c r="AU929" s="225"/>
      <c r="BD929" s="208"/>
      <c r="BH929" s="321" t="str">
        <f t="shared" si="63"/>
        <v/>
      </c>
      <c r="BI929" s="98" t="str">
        <f t="shared" si="64"/>
        <v>INDENIZAÇÃO</v>
      </c>
      <c r="BJ929" s="98" t="str">
        <f t="shared" si="65"/>
        <v>NÃO</v>
      </c>
    </row>
    <row r="930" spans="1:62" ht="27" hidden="1" customHeight="1">
      <c r="A930" s="197">
        <v>926</v>
      </c>
      <c r="B930" s="197"/>
      <c r="AK930" s="313"/>
      <c r="AL930" s="313"/>
      <c r="AM930" s="313"/>
      <c r="AN930" s="313"/>
      <c r="AO930" s="313"/>
      <c r="AP930" s="313"/>
      <c r="AQ930" s="314"/>
      <c r="AR930" s="315" t="str">
        <f t="shared" si="62"/>
        <v/>
      </c>
      <c r="AU930" s="225"/>
      <c r="BD930" s="208"/>
      <c r="BH930" s="321" t="str">
        <f t="shared" si="63"/>
        <v/>
      </c>
      <c r="BI930" s="98" t="str">
        <f t="shared" si="64"/>
        <v>INDENIZAÇÃO</v>
      </c>
      <c r="BJ930" s="98" t="str">
        <f t="shared" si="65"/>
        <v>NÃO</v>
      </c>
    </row>
    <row r="931" spans="1:62" ht="27" hidden="1" customHeight="1">
      <c r="A931" s="207">
        <v>927</v>
      </c>
      <c r="B931" s="197"/>
      <c r="AK931" s="313"/>
      <c r="AL931" s="313"/>
      <c r="AM931" s="313"/>
      <c r="AN931" s="313"/>
      <c r="AO931" s="313"/>
      <c r="AP931" s="313"/>
      <c r="AQ931" s="314"/>
      <c r="AR931" s="315" t="str">
        <f t="shared" si="62"/>
        <v/>
      </c>
      <c r="AU931" s="225"/>
      <c r="BD931" s="208"/>
      <c r="BH931" s="321" t="str">
        <f t="shared" si="63"/>
        <v/>
      </c>
      <c r="BI931" s="98" t="str">
        <f t="shared" si="64"/>
        <v>INDENIZAÇÃO</v>
      </c>
      <c r="BJ931" s="98" t="str">
        <f t="shared" si="65"/>
        <v>NÃO</v>
      </c>
    </row>
    <row r="932" spans="1:62" ht="27" hidden="1" customHeight="1">
      <c r="A932" s="207">
        <v>928</v>
      </c>
      <c r="B932" s="197"/>
      <c r="AK932" s="313"/>
      <c r="AL932" s="313"/>
      <c r="AM932" s="313"/>
      <c r="AN932" s="313"/>
      <c r="AO932" s="313"/>
      <c r="AP932" s="313"/>
      <c r="AQ932" s="314"/>
      <c r="AR932" s="315" t="str">
        <f t="shared" si="62"/>
        <v/>
      </c>
      <c r="AU932" s="225"/>
      <c r="BD932" s="208"/>
      <c r="BH932" s="321" t="str">
        <f t="shared" si="63"/>
        <v/>
      </c>
      <c r="BI932" s="98" t="str">
        <f t="shared" si="64"/>
        <v>INDENIZAÇÃO</v>
      </c>
      <c r="BJ932" s="98" t="str">
        <f t="shared" si="65"/>
        <v>NÃO</v>
      </c>
    </row>
    <row r="933" spans="1:62" ht="27" hidden="1" customHeight="1">
      <c r="A933" s="207">
        <v>929</v>
      </c>
      <c r="B933" s="197"/>
      <c r="AK933" s="313"/>
      <c r="AL933" s="313"/>
      <c r="AM933" s="313"/>
      <c r="AN933" s="313"/>
      <c r="AO933" s="313"/>
      <c r="AP933" s="313"/>
      <c r="AQ933" s="314"/>
      <c r="AR933" s="315" t="str">
        <f t="shared" si="62"/>
        <v/>
      </c>
      <c r="AU933" s="225"/>
      <c r="BD933" s="208"/>
      <c r="BH933" s="321" t="str">
        <f t="shared" si="63"/>
        <v/>
      </c>
      <c r="BI933" s="98" t="str">
        <f t="shared" si="64"/>
        <v>INDENIZAÇÃO</v>
      </c>
      <c r="BJ933" s="98" t="str">
        <f t="shared" si="65"/>
        <v>NÃO</v>
      </c>
    </row>
    <row r="934" spans="1:62" ht="27" hidden="1" customHeight="1">
      <c r="A934" s="197">
        <v>930</v>
      </c>
      <c r="B934" s="197"/>
      <c r="AK934" s="313"/>
      <c r="AL934" s="313"/>
      <c r="AM934" s="313"/>
      <c r="AN934" s="313"/>
      <c r="AO934" s="313"/>
      <c r="AP934" s="313"/>
      <c r="AQ934" s="314"/>
      <c r="AR934" s="315" t="str">
        <f t="shared" si="62"/>
        <v/>
      </c>
      <c r="AU934" s="225"/>
      <c r="BD934" s="208"/>
      <c r="BH934" s="321" t="str">
        <f t="shared" si="63"/>
        <v/>
      </c>
      <c r="BI934" s="98" t="str">
        <f t="shared" si="64"/>
        <v>INDENIZAÇÃO</v>
      </c>
      <c r="BJ934" s="98" t="str">
        <f t="shared" si="65"/>
        <v>NÃO</v>
      </c>
    </row>
    <row r="935" spans="1:62" ht="27" hidden="1" customHeight="1">
      <c r="A935" s="197">
        <v>931</v>
      </c>
      <c r="B935" s="197"/>
      <c r="AK935" s="313"/>
      <c r="AL935" s="313"/>
      <c r="AM935" s="313"/>
      <c r="AN935" s="313"/>
      <c r="AO935" s="313"/>
      <c r="AP935" s="313"/>
      <c r="AQ935" s="314"/>
      <c r="AR935" s="315" t="str">
        <f t="shared" si="62"/>
        <v/>
      </c>
      <c r="AU935" s="225"/>
      <c r="BD935" s="208"/>
      <c r="BH935" s="321" t="str">
        <f t="shared" si="63"/>
        <v/>
      </c>
      <c r="BI935" s="98" t="str">
        <f t="shared" si="64"/>
        <v>INDENIZAÇÃO</v>
      </c>
      <c r="BJ935" s="98" t="str">
        <f t="shared" si="65"/>
        <v>NÃO</v>
      </c>
    </row>
    <row r="936" spans="1:62" ht="27" hidden="1" customHeight="1">
      <c r="A936" s="207">
        <v>932</v>
      </c>
      <c r="B936" s="197"/>
      <c r="AK936" s="313"/>
      <c r="AL936" s="313"/>
      <c r="AM936" s="313"/>
      <c r="AN936" s="313"/>
      <c r="AO936" s="313"/>
      <c r="AP936" s="313"/>
      <c r="AQ936" s="314"/>
      <c r="AR936" s="315" t="str">
        <f t="shared" si="62"/>
        <v/>
      </c>
      <c r="AU936" s="225"/>
      <c r="BD936" s="208"/>
      <c r="BH936" s="321" t="str">
        <f t="shared" si="63"/>
        <v/>
      </c>
      <c r="BI936" s="98" t="str">
        <f t="shared" si="64"/>
        <v>INDENIZAÇÃO</v>
      </c>
      <c r="BJ936" s="98" t="str">
        <f t="shared" si="65"/>
        <v>NÃO</v>
      </c>
    </row>
    <row r="937" spans="1:62" ht="27" hidden="1" customHeight="1">
      <c r="A937" s="207">
        <v>933</v>
      </c>
      <c r="B937" s="197"/>
      <c r="AK937" s="313"/>
      <c r="AL937" s="313"/>
      <c r="AM937" s="313"/>
      <c r="AN937" s="313"/>
      <c r="AO937" s="313"/>
      <c r="AP937" s="313"/>
      <c r="AQ937" s="314"/>
      <c r="AR937" s="315" t="str">
        <f t="shared" si="62"/>
        <v/>
      </c>
      <c r="AU937" s="225"/>
      <c r="BD937" s="208"/>
      <c r="BH937" s="321" t="str">
        <f t="shared" si="63"/>
        <v/>
      </c>
      <c r="BI937" s="98" t="str">
        <f t="shared" si="64"/>
        <v>INDENIZAÇÃO</v>
      </c>
      <c r="BJ937" s="98" t="str">
        <f t="shared" si="65"/>
        <v>NÃO</v>
      </c>
    </row>
    <row r="938" spans="1:62" ht="27" hidden="1" customHeight="1">
      <c r="A938" s="207">
        <v>934</v>
      </c>
      <c r="B938" s="197"/>
      <c r="AK938" s="313"/>
      <c r="AL938" s="313"/>
      <c r="AM938" s="313"/>
      <c r="AN938" s="313"/>
      <c r="AO938" s="313"/>
      <c r="AP938" s="313"/>
      <c r="AQ938" s="314"/>
      <c r="AR938" s="315" t="str">
        <f t="shared" si="62"/>
        <v/>
      </c>
      <c r="AU938" s="225"/>
      <c r="BD938" s="208"/>
      <c r="BH938" s="321" t="str">
        <f t="shared" si="63"/>
        <v/>
      </c>
      <c r="BI938" s="98" t="str">
        <f t="shared" si="64"/>
        <v>INDENIZAÇÃO</v>
      </c>
      <c r="BJ938" s="98" t="str">
        <f t="shared" si="65"/>
        <v>NÃO</v>
      </c>
    </row>
    <row r="939" spans="1:62" ht="27" hidden="1" customHeight="1">
      <c r="A939" s="197">
        <v>935</v>
      </c>
      <c r="B939" s="197"/>
      <c r="AK939" s="313"/>
      <c r="AL939" s="313"/>
      <c r="AM939" s="313"/>
      <c r="AN939" s="313"/>
      <c r="AO939" s="313"/>
      <c r="AP939" s="313"/>
      <c r="AQ939" s="314"/>
      <c r="AR939" s="315" t="str">
        <f t="shared" si="62"/>
        <v/>
      </c>
      <c r="AU939" s="225"/>
      <c r="BD939" s="208"/>
      <c r="BH939" s="321" t="str">
        <f t="shared" si="63"/>
        <v/>
      </c>
      <c r="BI939" s="98" t="str">
        <f t="shared" si="64"/>
        <v>INDENIZAÇÃO</v>
      </c>
      <c r="BJ939" s="98" t="str">
        <f t="shared" si="65"/>
        <v>NÃO</v>
      </c>
    </row>
    <row r="940" spans="1:62" ht="27" hidden="1" customHeight="1">
      <c r="A940" s="197">
        <v>936</v>
      </c>
      <c r="B940" s="197"/>
      <c r="AK940" s="313"/>
      <c r="AL940" s="313"/>
      <c r="AM940" s="313"/>
      <c r="AN940" s="313"/>
      <c r="AO940" s="313"/>
      <c r="AP940" s="313"/>
      <c r="AQ940" s="314"/>
      <c r="AR940" s="315" t="str">
        <f t="shared" si="62"/>
        <v/>
      </c>
      <c r="BD940" s="208"/>
      <c r="BH940" s="321" t="str">
        <f t="shared" si="63"/>
        <v/>
      </c>
      <c r="BI940" s="98" t="str">
        <f t="shared" si="64"/>
        <v>INDENIZAÇÃO</v>
      </c>
      <c r="BJ940" s="98" t="str">
        <f t="shared" si="65"/>
        <v>NÃO</v>
      </c>
    </row>
    <row r="941" spans="1:62" ht="27" hidden="1" customHeight="1">
      <c r="A941" s="207">
        <v>937</v>
      </c>
      <c r="B941" s="197"/>
      <c r="AK941" s="313"/>
      <c r="AL941" s="313"/>
      <c r="AM941" s="313"/>
      <c r="AN941" s="313"/>
      <c r="AO941" s="313"/>
      <c r="AP941" s="313"/>
      <c r="AQ941" s="314"/>
      <c r="AR941" s="315" t="str">
        <f t="shared" si="62"/>
        <v/>
      </c>
      <c r="BD941" s="208"/>
      <c r="BH941" s="321" t="str">
        <f t="shared" si="63"/>
        <v/>
      </c>
      <c r="BI941" s="98" t="str">
        <f t="shared" si="64"/>
        <v>INDENIZAÇÃO</v>
      </c>
      <c r="BJ941" s="98" t="str">
        <f t="shared" si="65"/>
        <v>NÃO</v>
      </c>
    </row>
    <row r="942" spans="1:62" ht="27" hidden="1" customHeight="1">
      <c r="A942" s="207">
        <v>938</v>
      </c>
      <c r="B942" s="197"/>
      <c r="AK942" s="313"/>
      <c r="AL942" s="313"/>
      <c r="AM942" s="313"/>
      <c r="AN942" s="313"/>
      <c r="AO942" s="313"/>
      <c r="AP942" s="313"/>
      <c r="AQ942" s="314"/>
      <c r="AR942" s="315" t="str">
        <f t="shared" si="62"/>
        <v/>
      </c>
      <c r="BD942" s="208"/>
      <c r="BH942" s="321" t="str">
        <f t="shared" si="63"/>
        <v/>
      </c>
      <c r="BI942" s="98" t="str">
        <f t="shared" si="64"/>
        <v>INDENIZAÇÃO</v>
      </c>
      <c r="BJ942" s="98" t="str">
        <f t="shared" si="65"/>
        <v>NÃO</v>
      </c>
    </row>
    <row r="943" spans="1:62" ht="27" hidden="1" customHeight="1">
      <c r="A943" s="207">
        <v>939</v>
      </c>
      <c r="B943" s="197"/>
      <c r="AK943" s="313"/>
      <c r="AL943" s="313"/>
      <c r="AM943" s="313"/>
      <c r="AN943" s="313"/>
      <c r="AO943" s="313"/>
      <c r="AP943" s="313"/>
      <c r="AQ943" s="314"/>
      <c r="AR943" s="315" t="str">
        <f t="shared" si="62"/>
        <v/>
      </c>
      <c r="BD943" s="208"/>
      <c r="BH943" s="321" t="str">
        <f t="shared" si="63"/>
        <v/>
      </c>
      <c r="BI943" s="98" t="str">
        <f t="shared" si="64"/>
        <v>INDENIZAÇÃO</v>
      </c>
      <c r="BJ943" s="98" t="str">
        <f t="shared" si="65"/>
        <v>NÃO</v>
      </c>
    </row>
    <row r="944" spans="1:62" ht="27" hidden="1" customHeight="1">
      <c r="A944" s="197">
        <v>940</v>
      </c>
      <c r="B944" s="197"/>
      <c r="AK944" s="313"/>
      <c r="AL944" s="313"/>
      <c r="AM944" s="313"/>
      <c r="AN944" s="313"/>
      <c r="AO944" s="313"/>
      <c r="AP944" s="313"/>
      <c r="AQ944" s="314"/>
      <c r="AR944" s="315" t="str">
        <f t="shared" si="62"/>
        <v/>
      </c>
      <c r="BD944" s="208"/>
      <c r="BH944" s="321" t="str">
        <f t="shared" si="63"/>
        <v/>
      </c>
      <c r="BI944" s="98" t="str">
        <f t="shared" si="64"/>
        <v>INDENIZAÇÃO</v>
      </c>
      <c r="BJ944" s="98" t="str">
        <f t="shared" si="65"/>
        <v>NÃO</v>
      </c>
    </row>
    <row r="945" spans="1:62" ht="27" hidden="1" customHeight="1">
      <c r="A945" s="197">
        <v>941</v>
      </c>
      <c r="B945" s="197"/>
      <c r="AK945" s="313"/>
      <c r="AL945" s="313"/>
      <c r="AM945" s="313"/>
      <c r="AN945" s="313"/>
      <c r="AO945" s="313"/>
      <c r="AP945" s="313"/>
      <c r="AQ945" s="314"/>
      <c r="AR945" s="315" t="str">
        <f t="shared" si="62"/>
        <v/>
      </c>
      <c r="BD945" s="208"/>
      <c r="BH945" s="321" t="str">
        <f t="shared" si="63"/>
        <v/>
      </c>
      <c r="BI945" s="98" t="str">
        <f t="shared" si="64"/>
        <v>INDENIZAÇÃO</v>
      </c>
      <c r="BJ945" s="98" t="str">
        <f t="shared" si="65"/>
        <v>NÃO</v>
      </c>
    </row>
    <row r="946" spans="1:62" ht="27" hidden="1" customHeight="1">
      <c r="A946" s="207">
        <v>942</v>
      </c>
      <c r="B946" s="197"/>
      <c r="AK946" s="313"/>
      <c r="AL946" s="313"/>
      <c r="AM946" s="313"/>
      <c r="AN946" s="313"/>
      <c r="AO946" s="313"/>
      <c r="AP946" s="313"/>
      <c r="AQ946" s="314"/>
      <c r="AR946" s="315" t="str">
        <f t="shared" si="62"/>
        <v/>
      </c>
      <c r="BD946" s="208"/>
      <c r="BH946" s="321" t="str">
        <f t="shared" si="63"/>
        <v/>
      </c>
      <c r="BI946" s="98" t="str">
        <f t="shared" si="64"/>
        <v>INDENIZAÇÃO</v>
      </c>
      <c r="BJ946" s="98" t="str">
        <f t="shared" si="65"/>
        <v>NÃO</v>
      </c>
    </row>
    <row r="947" spans="1:62" ht="27" hidden="1" customHeight="1">
      <c r="A947" s="207">
        <v>943</v>
      </c>
      <c r="B947" s="197"/>
      <c r="AK947" s="313"/>
      <c r="AL947" s="313"/>
      <c r="AM947" s="313"/>
      <c r="AN947" s="313"/>
      <c r="AO947" s="313"/>
      <c r="AP947" s="313"/>
      <c r="AQ947" s="314"/>
      <c r="AR947" s="315" t="str">
        <f t="shared" si="62"/>
        <v/>
      </c>
      <c r="BD947" s="208"/>
      <c r="BH947" s="321" t="str">
        <f t="shared" si="63"/>
        <v/>
      </c>
      <c r="BI947" s="98" t="str">
        <f t="shared" si="64"/>
        <v>INDENIZAÇÃO</v>
      </c>
      <c r="BJ947" s="98" t="str">
        <f t="shared" si="65"/>
        <v>NÃO</v>
      </c>
    </row>
    <row r="948" spans="1:62" ht="27" hidden="1" customHeight="1">
      <c r="A948" s="207">
        <v>944</v>
      </c>
      <c r="B948" s="197"/>
      <c r="AK948" s="313"/>
      <c r="AL948" s="313"/>
      <c r="AM948" s="313"/>
      <c r="AN948" s="313"/>
      <c r="AO948" s="313"/>
      <c r="AP948" s="313"/>
      <c r="AQ948" s="314"/>
      <c r="AR948" s="315" t="str">
        <f t="shared" si="62"/>
        <v/>
      </c>
      <c r="BD948" s="208"/>
      <c r="BH948" s="321" t="str">
        <f t="shared" si="63"/>
        <v/>
      </c>
      <c r="BI948" s="98" t="str">
        <f t="shared" si="64"/>
        <v>INDENIZAÇÃO</v>
      </c>
      <c r="BJ948" s="98" t="str">
        <f t="shared" si="65"/>
        <v>NÃO</v>
      </c>
    </row>
    <row r="949" spans="1:62" ht="27" hidden="1" customHeight="1">
      <c r="A949" s="197">
        <v>945</v>
      </c>
      <c r="B949" s="197"/>
      <c r="AK949" s="313"/>
      <c r="AL949" s="313"/>
      <c r="AM949" s="313"/>
      <c r="AN949" s="313"/>
      <c r="AO949" s="313"/>
      <c r="AP949" s="313"/>
      <c r="AQ949" s="314"/>
      <c r="AR949" s="315" t="str">
        <f t="shared" si="62"/>
        <v/>
      </c>
      <c r="BD949" s="208"/>
      <c r="BH949" s="321" t="str">
        <f t="shared" si="63"/>
        <v/>
      </c>
      <c r="BI949" s="98" t="str">
        <f t="shared" si="64"/>
        <v>INDENIZAÇÃO</v>
      </c>
      <c r="BJ949" s="98" t="str">
        <f t="shared" si="65"/>
        <v>NÃO</v>
      </c>
    </row>
    <row r="950" spans="1:62" ht="27" hidden="1" customHeight="1">
      <c r="A950" s="197">
        <v>946</v>
      </c>
      <c r="B950" s="197"/>
      <c r="AK950" s="313"/>
      <c r="AL950" s="313"/>
      <c r="AM950" s="313"/>
      <c r="AN950" s="313"/>
      <c r="AO950" s="313"/>
      <c r="AP950" s="313"/>
      <c r="AQ950" s="314"/>
      <c r="AR950" s="315" t="str">
        <f t="shared" si="62"/>
        <v/>
      </c>
      <c r="BD950" s="208"/>
      <c r="BH950" s="321" t="str">
        <f t="shared" si="63"/>
        <v/>
      </c>
      <c r="BI950" s="98" t="str">
        <f t="shared" si="64"/>
        <v>INDENIZAÇÃO</v>
      </c>
      <c r="BJ950" s="98" t="str">
        <f t="shared" si="65"/>
        <v>NÃO</v>
      </c>
    </row>
    <row r="951" spans="1:62" ht="27" hidden="1" customHeight="1">
      <c r="A951" s="207">
        <v>947</v>
      </c>
      <c r="B951" s="197"/>
      <c r="AK951" s="313"/>
      <c r="AL951" s="313"/>
      <c r="AM951" s="313"/>
      <c r="AN951" s="313"/>
      <c r="AO951" s="313"/>
      <c r="AP951" s="313"/>
      <c r="AQ951" s="314"/>
      <c r="AR951" s="315" t="str">
        <f t="shared" si="62"/>
        <v/>
      </c>
      <c r="BD951" s="208"/>
      <c r="BH951" s="321" t="str">
        <f t="shared" si="63"/>
        <v/>
      </c>
      <c r="BI951" s="98" t="str">
        <f t="shared" si="64"/>
        <v>INDENIZAÇÃO</v>
      </c>
      <c r="BJ951" s="98" t="str">
        <f t="shared" si="65"/>
        <v>NÃO</v>
      </c>
    </row>
    <row r="952" spans="1:62" ht="27" hidden="1" customHeight="1">
      <c r="A952" s="207">
        <v>948</v>
      </c>
      <c r="B952" s="197"/>
      <c r="AK952" s="313"/>
      <c r="AL952" s="313"/>
      <c r="AM952" s="313"/>
      <c r="AN952" s="313"/>
      <c r="AO952" s="313"/>
      <c r="AP952" s="313"/>
      <c r="AQ952" s="314"/>
      <c r="AR952" s="315" t="str">
        <f t="shared" si="62"/>
        <v/>
      </c>
      <c r="BD952" s="208"/>
      <c r="BH952" s="321" t="str">
        <f t="shared" si="63"/>
        <v/>
      </c>
      <c r="BI952" s="98" t="str">
        <f t="shared" si="64"/>
        <v>INDENIZAÇÃO</v>
      </c>
      <c r="BJ952" s="98" t="str">
        <f t="shared" si="65"/>
        <v>NÃO</v>
      </c>
    </row>
    <row r="953" spans="1:62" ht="27" hidden="1" customHeight="1">
      <c r="A953" s="207">
        <v>949</v>
      </c>
      <c r="B953" s="197"/>
      <c r="AK953" s="313"/>
      <c r="AL953" s="313"/>
      <c r="AM953" s="313"/>
      <c r="AN953" s="313"/>
      <c r="AO953" s="313"/>
      <c r="AP953" s="313"/>
      <c r="AQ953" s="314"/>
      <c r="AR953" s="315" t="str">
        <f t="shared" si="62"/>
        <v/>
      </c>
      <c r="BD953" s="208"/>
      <c r="BH953" s="321" t="str">
        <f t="shared" si="63"/>
        <v/>
      </c>
      <c r="BI953" s="98" t="str">
        <f t="shared" si="64"/>
        <v>INDENIZAÇÃO</v>
      </c>
      <c r="BJ953" s="98" t="str">
        <f t="shared" si="65"/>
        <v>NÃO</v>
      </c>
    </row>
    <row r="954" spans="1:62" ht="27" hidden="1" customHeight="1">
      <c r="A954" s="197">
        <v>950</v>
      </c>
      <c r="B954" s="197"/>
      <c r="AK954" s="313"/>
      <c r="AL954" s="313"/>
      <c r="AM954" s="313"/>
      <c r="AN954" s="313"/>
      <c r="AO954" s="313"/>
      <c r="AP954" s="313"/>
      <c r="AQ954" s="314"/>
      <c r="AR954" s="315" t="str">
        <f t="shared" si="62"/>
        <v/>
      </c>
      <c r="BD954" s="208"/>
      <c r="BH954" s="321" t="str">
        <f t="shared" si="63"/>
        <v/>
      </c>
      <c r="BI954" s="98" t="str">
        <f t="shared" si="64"/>
        <v>INDENIZAÇÃO</v>
      </c>
      <c r="BJ954" s="98" t="str">
        <f t="shared" si="65"/>
        <v>NÃO</v>
      </c>
    </row>
    <row r="955" spans="1:62" ht="27" hidden="1" customHeight="1">
      <c r="A955" s="197">
        <v>951</v>
      </c>
      <c r="B955" s="197"/>
      <c r="AK955" s="313"/>
      <c r="AL955" s="313"/>
      <c r="AM955" s="313"/>
      <c r="AN955" s="313"/>
      <c r="AO955" s="313"/>
      <c r="AP955" s="313"/>
      <c r="AQ955" s="314"/>
      <c r="AR955" s="315" t="str">
        <f t="shared" si="62"/>
        <v/>
      </c>
      <c r="BD955" s="208"/>
      <c r="BH955" s="321" t="str">
        <f t="shared" si="63"/>
        <v/>
      </c>
      <c r="BI955" s="98" t="str">
        <f t="shared" si="64"/>
        <v>INDENIZAÇÃO</v>
      </c>
      <c r="BJ955" s="98" t="str">
        <f t="shared" si="65"/>
        <v>NÃO</v>
      </c>
    </row>
    <row r="956" spans="1:62" ht="27" hidden="1" customHeight="1">
      <c r="A956" s="207">
        <v>952</v>
      </c>
      <c r="B956" s="197"/>
      <c r="AK956" s="313"/>
      <c r="AL956" s="313"/>
      <c r="AM956" s="313"/>
      <c r="AN956" s="313"/>
      <c r="AO956" s="313"/>
      <c r="AP956" s="313"/>
      <c r="AQ956" s="314"/>
      <c r="AR956" s="315" t="str">
        <f t="shared" si="62"/>
        <v/>
      </c>
      <c r="BD956" s="208"/>
      <c r="BH956" s="321" t="str">
        <f t="shared" si="63"/>
        <v/>
      </c>
      <c r="BI956" s="98" t="str">
        <f t="shared" si="64"/>
        <v>INDENIZAÇÃO</v>
      </c>
      <c r="BJ956" s="98" t="str">
        <f t="shared" si="65"/>
        <v>NÃO</v>
      </c>
    </row>
    <row r="957" spans="1:62" ht="27" hidden="1" customHeight="1">
      <c r="A957" s="207">
        <v>953</v>
      </c>
      <c r="B957" s="197"/>
      <c r="AK957" s="313"/>
      <c r="AL957" s="313"/>
      <c r="AM957" s="313"/>
      <c r="AN957" s="313"/>
      <c r="AO957" s="313"/>
      <c r="AP957" s="313"/>
      <c r="AQ957" s="314"/>
      <c r="AR957" s="315" t="str">
        <f t="shared" si="62"/>
        <v/>
      </c>
      <c r="BD957" s="208"/>
      <c r="BH957" s="321" t="str">
        <f t="shared" si="63"/>
        <v/>
      </c>
      <c r="BI957" s="98" t="str">
        <f t="shared" si="64"/>
        <v>INDENIZAÇÃO</v>
      </c>
      <c r="BJ957" s="98" t="str">
        <f t="shared" si="65"/>
        <v>NÃO</v>
      </c>
    </row>
    <row r="958" spans="1:62" ht="27" hidden="1" customHeight="1">
      <c r="A958" s="207">
        <v>954</v>
      </c>
      <c r="B958" s="197"/>
      <c r="AK958" s="313"/>
      <c r="AL958" s="313"/>
      <c r="AM958" s="313"/>
      <c r="AN958" s="313"/>
      <c r="AO958" s="313"/>
      <c r="AP958" s="313"/>
      <c r="AQ958" s="314"/>
      <c r="AR958" s="315" t="str">
        <f t="shared" si="62"/>
        <v/>
      </c>
      <c r="BD958" s="208"/>
      <c r="BH958" s="321" t="str">
        <f t="shared" si="63"/>
        <v/>
      </c>
      <c r="BI958" s="98" t="str">
        <f t="shared" si="64"/>
        <v>INDENIZAÇÃO</v>
      </c>
      <c r="BJ958" s="98" t="str">
        <f t="shared" si="65"/>
        <v>NÃO</v>
      </c>
    </row>
    <row r="959" spans="1:62" ht="27" hidden="1" customHeight="1">
      <c r="A959" s="197">
        <v>955</v>
      </c>
      <c r="B959" s="197"/>
      <c r="AK959" s="313"/>
      <c r="AL959" s="313"/>
      <c r="AM959" s="313"/>
      <c r="AN959" s="313"/>
      <c r="AO959" s="313"/>
      <c r="AP959" s="313"/>
      <c r="AQ959" s="314"/>
      <c r="AR959" s="315" t="str">
        <f t="shared" ref="AR959:AR1022" si="66">IF(AQ959="SIM","AGUARDANDO CORREÇÃO",IF(AP959&lt;&gt;"","FINALIZADO",IF(AO959&lt;&gt;"","AGUARDANDO ENVIO DTS",IF(AN959&lt;&gt;"","AGUARDANDO ASSINATURA GAB",IF(AM959&lt;&gt;"","AGUARDANDO ASSINATURA CTS",IF(AL959&lt;&gt;"","AGUARDANDO ENVIO ASSINATURA CTS",IF(AK959&lt;&gt;"","AGUARDANDO CONFERÊNCIA","")))))))</f>
        <v/>
      </c>
      <c r="BD959" s="208"/>
      <c r="BH959" s="321" t="str">
        <f t="shared" si="63"/>
        <v/>
      </c>
      <c r="BI959" s="98" t="str">
        <f t="shared" si="64"/>
        <v>INDENIZAÇÃO</v>
      </c>
      <c r="BJ959" s="98" t="str">
        <f t="shared" si="65"/>
        <v>NÃO</v>
      </c>
    </row>
    <row r="960" spans="1:62" ht="27" hidden="1" customHeight="1">
      <c r="A960" s="197">
        <v>956</v>
      </c>
      <c r="B960" s="197"/>
      <c r="AK960" s="313"/>
      <c r="AL960" s="313"/>
      <c r="AM960" s="313"/>
      <c r="AN960" s="313"/>
      <c r="AO960" s="313"/>
      <c r="AP960" s="313"/>
      <c r="AQ960" s="314"/>
      <c r="AR960" s="315" t="str">
        <f t="shared" si="66"/>
        <v/>
      </c>
      <c r="BD960" s="208"/>
      <c r="BH960" s="321" t="str">
        <f t="shared" si="63"/>
        <v/>
      </c>
      <c r="BI960" s="98" t="str">
        <f t="shared" si="64"/>
        <v>INDENIZAÇÃO</v>
      </c>
      <c r="BJ960" s="98" t="str">
        <f t="shared" si="65"/>
        <v>NÃO</v>
      </c>
    </row>
    <row r="961" spans="1:62" ht="27" hidden="1" customHeight="1">
      <c r="A961" s="207">
        <v>957</v>
      </c>
      <c r="B961" s="197"/>
      <c r="AK961" s="313"/>
      <c r="AL961" s="313"/>
      <c r="AM961" s="313"/>
      <c r="AN961" s="313"/>
      <c r="AO961" s="313"/>
      <c r="AP961" s="313"/>
      <c r="AQ961" s="314"/>
      <c r="AR961" s="315" t="str">
        <f t="shared" si="66"/>
        <v/>
      </c>
      <c r="BD961" s="208"/>
      <c r="BH961" s="321" t="str">
        <f t="shared" si="63"/>
        <v/>
      </c>
      <c r="BI961" s="98" t="str">
        <f t="shared" si="64"/>
        <v>INDENIZAÇÃO</v>
      </c>
      <c r="BJ961" s="98" t="str">
        <f t="shared" si="65"/>
        <v>NÃO</v>
      </c>
    </row>
    <row r="962" spans="1:62" ht="27" hidden="1" customHeight="1">
      <c r="A962" s="207">
        <v>958</v>
      </c>
      <c r="B962" s="197"/>
      <c r="AK962" s="313"/>
      <c r="AL962" s="313"/>
      <c r="AM962" s="313"/>
      <c r="AN962" s="313"/>
      <c r="AO962" s="313"/>
      <c r="AP962" s="313"/>
      <c r="AQ962" s="314"/>
      <c r="AR962" s="315" t="str">
        <f t="shared" si="66"/>
        <v/>
      </c>
      <c r="BD962" s="208"/>
      <c r="BH962" s="321" t="str">
        <f t="shared" si="63"/>
        <v/>
      </c>
      <c r="BI962" s="98" t="str">
        <f t="shared" si="64"/>
        <v>INDENIZAÇÃO</v>
      </c>
      <c r="BJ962" s="98" t="str">
        <f t="shared" si="65"/>
        <v>NÃO</v>
      </c>
    </row>
    <row r="963" spans="1:62" ht="27" hidden="1" customHeight="1">
      <c r="A963" s="207">
        <v>959</v>
      </c>
      <c r="B963" s="197"/>
      <c r="AK963" s="313"/>
      <c r="AL963" s="313"/>
      <c r="AM963" s="313"/>
      <c r="AN963" s="313"/>
      <c r="AO963" s="313"/>
      <c r="AP963" s="313"/>
      <c r="AQ963" s="314"/>
      <c r="AR963" s="315" t="str">
        <f t="shared" si="66"/>
        <v/>
      </c>
      <c r="BD963" s="208"/>
      <c r="BH963" s="321" t="str">
        <f t="shared" si="63"/>
        <v/>
      </c>
      <c r="BI963" s="98" t="str">
        <f t="shared" si="64"/>
        <v>INDENIZAÇÃO</v>
      </c>
      <c r="BJ963" s="98" t="str">
        <f t="shared" si="65"/>
        <v>NÃO</v>
      </c>
    </row>
    <row r="964" spans="1:62" ht="27" hidden="1" customHeight="1">
      <c r="A964" s="197">
        <v>960</v>
      </c>
      <c r="B964" s="197"/>
      <c r="AK964" s="313"/>
      <c r="AL964" s="313"/>
      <c r="AM964" s="313"/>
      <c r="AN964" s="313"/>
      <c r="AO964" s="313"/>
      <c r="AP964" s="313"/>
      <c r="AQ964" s="314"/>
      <c r="AR964" s="315" t="str">
        <f t="shared" si="66"/>
        <v/>
      </c>
      <c r="BD964" s="208"/>
      <c r="BH964" s="321" t="str">
        <f t="shared" si="63"/>
        <v/>
      </c>
      <c r="BI964" s="98" t="str">
        <f t="shared" si="64"/>
        <v>INDENIZAÇÃO</v>
      </c>
      <c r="BJ964" s="98" t="str">
        <f t="shared" si="65"/>
        <v>NÃO</v>
      </c>
    </row>
    <row r="965" spans="1:62" ht="27" hidden="1" customHeight="1">
      <c r="A965" s="197">
        <v>961</v>
      </c>
      <c r="B965" s="197"/>
      <c r="AK965" s="313"/>
      <c r="AL965" s="313"/>
      <c r="AM965" s="313"/>
      <c r="AN965" s="313"/>
      <c r="AO965" s="313"/>
      <c r="AP965" s="313"/>
      <c r="AQ965" s="314"/>
      <c r="AR965" s="315" t="str">
        <f t="shared" si="66"/>
        <v/>
      </c>
      <c r="BD965" s="208"/>
      <c r="BH965" s="321" t="str">
        <f t="shared" ref="BH965:BH1028" si="67">IFERROR(IF(BD965-KI965=0,"",BD965-AK965),"")</f>
        <v/>
      </c>
      <c r="BI965" s="98" t="str">
        <f t="shared" ref="BI965:BI1028" si="68">IF(AND(AH965&lt;&gt;"SIM",AH965="UH"),"AA","INDENIZAÇÃO")</f>
        <v>INDENIZAÇÃO</v>
      </c>
      <c r="BJ965" s="98" t="str">
        <f t="shared" ref="BJ965:BJ1028" si="69">IF(AND(BD965&lt;&gt;"AGUARDANDO",BD965&lt;&gt;"",N965="AUXÍLIO ALUGUEL ATÉ INDENIZAÇÃO"),"SIM","NÃO")</f>
        <v>NÃO</v>
      </c>
    </row>
    <row r="966" spans="1:62" ht="27" hidden="1" customHeight="1">
      <c r="A966" s="207">
        <v>962</v>
      </c>
      <c r="B966" s="197"/>
      <c r="AK966" s="313"/>
      <c r="AL966" s="313"/>
      <c r="AM966" s="313"/>
      <c r="AN966" s="313"/>
      <c r="AO966" s="313"/>
      <c r="AP966" s="313"/>
      <c r="AQ966" s="314"/>
      <c r="AR966" s="315" t="str">
        <f t="shared" si="66"/>
        <v/>
      </c>
      <c r="BD966" s="208"/>
      <c r="BH966" s="321" t="str">
        <f t="shared" si="67"/>
        <v/>
      </c>
      <c r="BI966" s="98" t="str">
        <f t="shared" si="68"/>
        <v>INDENIZAÇÃO</v>
      </c>
      <c r="BJ966" s="98" t="str">
        <f t="shared" si="69"/>
        <v>NÃO</v>
      </c>
    </row>
    <row r="967" spans="1:62" ht="27" hidden="1" customHeight="1">
      <c r="A967" s="207">
        <v>963</v>
      </c>
      <c r="B967" s="197"/>
      <c r="AK967" s="313"/>
      <c r="AL967" s="313"/>
      <c r="AM967" s="313"/>
      <c r="AN967" s="313"/>
      <c r="AO967" s="313"/>
      <c r="AP967" s="313"/>
      <c r="AQ967" s="314"/>
      <c r="AR967" s="315" t="str">
        <f t="shared" si="66"/>
        <v/>
      </c>
      <c r="BD967" s="208"/>
      <c r="BH967" s="321" t="str">
        <f t="shared" si="67"/>
        <v/>
      </c>
      <c r="BI967" s="98" t="str">
        <f t="shared" si="68"/>
        <v>INDENIZAÇÃO</v>
      </c>
      <c r="BJ967" s="98" t="str">
        <f t="shared" si="69"/>
        <v>NÃO</v>
      </c>
    </row>
    <row r="968" spans="1:62" ht="27" hidden="1" customHeight="1">
      <c r="A968" s="207">
        <v>964</v>
      </c>
      <c r="B968" s="197"/>
      <c r="AK968" s="313"/>
      <c r="AL968" s="313"/>
      <c r="AM968" s="313"/>
      <c r="AN968" s="313"/>
      <c r="AO968" s="313"/>
      <c r="AP968" s="313"/>
      <c r="AQ968" s="314"/>
      <c r="AR968" s="315" t="str">
        <f t="shared" si="66"/>
        <v/>
      </c>
      <c r="BD968" s="208"/>
      <c r="BH968" s="321" t="str">
        <f t="shared" si="67"/>
        <v/>
      </c>
      <c r="BI968" s="98" t="str">
        <f t="shared" si="68"/>
        <v>INDENIZAÇÃO</v>
      </c>
      <c r="BJ968" s="98" t="str">
        <f t="shared" si="69"/>
        <v>NÃO</v>
      </c>
    </row>
    <row r="969" spans="1:62" ht="27" hidden="1" customHeight="1">
      <c r="A969" s="197">
        <v>965</v>
      </c>
      <c r="B969" s="197"/>
      <c r="AK969" s="313"/>
      <c r="AL969" s="313"/>
      <c r="AM969" s="313"/>
      <c r="AN969" s="313"/>
      <c r="AO969" s="313"/>
      <c r="AP969" s="313"/>
      <c r="AQ969" s="314"/>
      <c r="AR969" s="315" t="str">
        <f t="shared" si="66"/>
        <v/>
      </c>
      <c r="BD969" s="208"/>
      <c r="BH969" s="321" t="str">
        <f t="shared" si="67"/>
        <v/>
      </c>
      <c r="BI969" s="98" t="str">
        <f t="shared" si="68"/>
        <v>INDENIZAÇÃO</v>
      </c>
      <c r="BJ969" s="98" t="str">
        <f t="shared" si="69"/>
        <v>NÃO</v>
      </c>
    </row>
    <row r="970" spans="1:62" ht="27" hidden="1" customHeight="1">
      <c r="A970" s="197">
        <v>966</v>
      </c>
      <c r="B970" s="197"/>
      <c r="AK970" s="313"/>
      <c r="AL970" s="313"/>
      <c r="AM970" s="313"/>
      <c r="AN970" s="313"/>
      <c r="AO970" s="313"/>
      <c r="AP970" s="313"/>
      <c r="AQ970" s="314"/>
      <c r="AR970" s="315" t="str">
        <f t="shared" si="66"/>
        <v/>
      </c>
      <c r="BD970" s="208"/>
      <c r="BH970" s="321" t="str">
        <f t="shared" si="67"/>
        <v/>
      </c>
      <c r="BI970" s="98" t="str">
        <f t="shared" si="68"/>
        <v>INDENIZAÇÃO</v>
      </c>
      <c r="BJ970" s="98" t="str">
        <f t="shared" si="69"/>
        <v>NÃO</v>
      </c>
    </row>
    <row r="971" spans="1:62" ht="27" hidden="1" customHeight="1">
      <c r="A971" s="207">
        <v>967</v>
      </c>
      <c r="B971" s="197"/>
      <c r="AK971" s="313"/>
      <c r="AL971" s="313"/>
      <c r="AM971" s="313"/>
      <c r="AN971" s="313"/>
      <c r="AO971" s="313"/>
      <c r="AP971" s="313"/>
      <c r="AQ971" s="314"/>
      <c r="AR971" s="315" t="str">
        <f t="shared" si="66"/>
        <v/>
      </c>
      <c r="BD971" s="208"/>
      <c r="BH971" s="321" t="str">
        <f t="shared" si="67"/>
        <v/>
      </c>
      <c r="BI971" s="98" t="str">
        <f t="shared" si="68"/>
        <v>INDENIZAÇÃO</v>
      </c>
      <c r="BJ971" s="98" t="str">
        <f t="shared" si="69"/>
        <v>NÃO</v>
      </c>
    </row>
    <row r="972" spans="1:62" ht="27" hidden="1" customHeight="1">
      <c r="A972" s="207">
        <v>968</v>
      </c>
      <c r="B972" s="197"/>
      <c r="AK972" s="313"/>
      <c r="AL972" s="313"/>
      <c r="AM972" s="313"/>
      <c r="AN972" s="313"/>
      <c r="AO972" s="313"/>
      <c r="AP972" s="313"/>
      <c r="AQ972" s="314"/>
      <c r="AR972" s="315" t="str">
        <f t="shared" si="66"/>
        <v/>
      </c>
      <c r="BD972" s="208"/>
      <c r="BH972" s="321" t="str">
        <f t="shared" si="67"/>
        <v/>
      </c>
      <c r="BI972" s="98" t="str">
        <f t="shared" si="68"/>
        <v>INDENIZAÇÃO</v>
      </c>
      <c r="BJ972" s="98" t="str">
        <f t="shared" si="69"/>
        <v>NÃO</v>
      </c>
    </row>
    <row r="973" spans="1:62" ht="27" hidden="1" customHeight="1">
      <c r="A973" s="207">
        <v>969</v>
      </c>
      <c r="B973" s="197"/>
      <c r="AK973" s="313"/>
      <c r="AL973" s="313"/>
      <c r="AM973" s="313"/>
      <c r="AN973" s="313"/>
      <c r="AO973" s="313"/>
      <c r="AP973" s="313"/>
      <c r="AQ973" s="314"/>
      <c r="AR973" s="315" t="str">
        <f t="shared" si="66"/>
        <v/>
      </c>
      <c r="BD973" s="208"/>
      <c r="BH973" s="321" t="str">
        <f t="shared" si="67"/>
        <v/>
      </c>
      <c r="BI973" s="98" t="str">
        <f t="shared" si="68"/>
        <v>INDENIZAÇÃO</v>
      </c>
      <c r="BJ973" s="98" t="str">
        <f t="shared" si="69"/>
        <v>NÃO</v>
      </c>
    </row>
    <row r="974" spans="1:62" ht="27" hidden="1" customHeight="1">
      <c r="A974" s="197">
        <v>970</v>
      </c>
      <c r="B974" s="197"/>
      <c r="AK974" s="313"/>
      <c r="AL974" s="313"/>
      <c r="AM974" s="313"/>
      <c r="AN974" s="313"/>
      <c r="AO974" s="313"/>
      <c r="AP974" s="313"/>
      <c r="AQ974" s="314"/>
      <c r="AR974" s="315" t="str">
        <f t="shared" si="66"/>
        <v/>
      </c>
      <c r="BD974" s="208"/>
      <c r="BH974" s="321" t="str">
        <f t="shared" si="67"/>
        <v/>
      </c>
      <c r="BI974" s="98" t="str">
        <f t="shared" si="68"/>
        <v>INDENIZAÇÃO</v>
      </c>
      <c r="BJ974" s="98" t="str">
        <f t="shared" si="69"/>
        <v>NÃO</v>
      </c>
    </row>
    <row r="975" spans="1:62" ht="27" hidden="1" customHeight="1">
      <c r="A975" s="197">
        <v>971</v>
      </c>
      <c r="B975" s="197"/>
      <c r="AK975" s="313"/>
      <c r="AL975" s="313"/>
      <c r="AM975" s="313"/>
      <c r="AN975" s="313"/>
      <c r="AO975" s="313"/>
      <c r="AP975" s="313"/>
      <c r="AQ975" s="314"/>
      <c r="AR975" s="315" t="str">
        <f t="shared" si="66"/>
        <v/>
      </c>
      <c r="BD975" s="208"/>
      <c r="BH975" s="321" t="str">
        <f t="shared" si="67"/>
        <v/>
      </c>
      <c r="BI975" s="98" t="str">
        <f t="shared" si="68"/>
        <v>INDENIZAÇÃO</v>
      </c>
      <c r="BJ975" s="98" t="str">
        <f t="shared" si="69"/>
        <v>NÃO</v>
      </c>
    </row>
    <row r="976" spans="1:62" ht="27" hidden="1" customHeight="1">
      <c r="A976" s="207">
        <v>972</v>
      </c>
      <c r="B976" s="197"/>
      <c r="AK976" s="313"/>
      <c r="AL976" s="313"/>
      <c r="AM976" s="313"/>
      <c r="AN976" s="313"/>
      <c r="AO976" s="313"/>
      <c r="AP976" s="313"/>
      <c r="AQ976" s="314"/>
      <c r="AR976" s="315" t="str">
        <f t="shared" si="66"/>
        <v/>
      </c>
      <c r="BD976" s="208"/>
      <c r="BH976" s="321" t="str">
        <f t="shared" si="67"/>
        <v/>
      </c>
      <c r="BI976" s="98" t="str">
        <f t="shared" si="68"/>
        <v>INDENIZAÇÃO</v>
      </c>
      <c r="BJ976" s="98" t="str">
        <f t="shared" si="69"/>
        <v>NÃO</v>
      </c>
    </row>
    <row r="977" spans="1:62" ht="27" hidden="1" customHeight="1">
      <c r="A977" s="207">
        <v>973</v>
      </c>
      <c r="B977" s="197"/>
      <c r="AK977" s="313"/>
      <c r="AL977" s="313"/>
      <c r="AM977" s="313"/>
      <c r="AN977" s="313"/>
      <c r="AO977" s="313"/>
      <c r="AP977" s="313"/>
      <c r="AQ977" s="314"/>
      <c r="AR977" s="315" t="str">
        <f t="shared" si="66"/>
        <v/>
      </c>
      <c r="BD977" s="208"/>
      <c r="BH977" s="321" t="str">
        <f t="shared" si="67"/>
        <v/>
      </c>
      <c r="BI977" s="98" t="str">
        <f t="shared" si="68"/>
        <v>INDENIZAÇÃO</v>
      </c>
      <c r="BJ977" s="98" t="str">
        <f t="shared" si="69"/>
        <v>NÃO</v>
      </c>
    </row>
    <row r="978" spans="1:62" ht="27" hidden="1" customHeight="1">
      <c r="A978" s="207">
        <v>974</v>
      </c>
      <c r="B978" s="197"/>
      <c r="AK978" s="313"/>
      <c r="AL978" s="313"/>
      <c r="AM978" s="313"/>
      <c r="AN978" s="313"/>
      <c r="AO978" s="313"/>
      <c r="AP978" s="313"/>
      <c r="AQ978" s="314"/>
      <c r="AR978" s="315" t="str">
        <f t="shared" si="66"/>
        <v/>
      </c>
      <c r="BD978" s="208"/>
      <c r="BH978" s="321" t="str">
        <f t="shared" si="67"/>
        <v/>
      </c>
      <c r="BI978" s="98" t="str">
        <f t="shared" si="68"/>
        <v>INDENIZAÇÃO</v>
      </c>
      <c r="BJ978" s="98" t="str">
        <f t="shared" si="69"/>
        <v>NÃO</v>
      </c>
    </row>
    <row r="979" spans="1:62" ht="27" hidden="1" customHeight="1">
      <c r="A979" s="197">
        <v>975</v>
      </c>
      <c r="B979" s="197"/>
      <c r="AK979" s="313"/>
      <c r="AL979" s="313"/>
      <c r="AM979" s="313"/>
      <c r="AN979" s="313"/>
      <c r="AO979" s="313"/>
      <c r="AP979" s="313"/>
      <c r="AQ979" s="314"/>
      <c r="AR979" s="315" t="str">
        <f t="shared" si="66"/>
        <v/>
      </c>
      <c r="BD979" s="208"/>
      <c r="BH979" s="321" t="str">
        <f t="shared" si="67"/>
        <v/>
      </c>
      <c r="BI979" s="98" t="str">
        <f t="shared" si="68"/>
        <v>INDENIZAÇÃO</v>
      </c>
      <c r="BJ979" s="98" t="str">
        <f t="shared" si="69"/>
        <v>NÃO</v>
      </c>
    </row>
    <row r="980" spans="1:62" ht="27" hidden="1" customHeight="1">
      <c r="A980" s="197">
        <v>976</v>
      </c>
      <c r="B980" s="197"/>
      <c r="AK980" s="313"/>
      <c r="AL980" s="313"/>
      <c r="AM980" s="313"/>
      <c r="AN980" s="313"/>
      <c r="AO980" s="313"/>
      <c r="AP980" s="313"/>
      <c r="AQ980" s="314"/>
      <c r="AR980" s="315" t="str">
        <f t="shared" si="66"/>
        <v/>
      </c>
      <c r="BH980" s="321" t="str">
        <f t="shared" si="67"/>
        <v/>
      </c>
      <c r="BI980" s="98" t="str">
        <f t="shared" si="68"/>
        <v>INDENIZAÇÃO</v>
      </c>
      <c r="BJ980" s="98" t="str">
        <f t="shared" si="69"/>
        <v>NÃO</v>
      </c>
    </row>
    <row r="981" spans="1:62" ht="27" hidden="1" customHeight="1">
      <c r="A981" s="207">
        <v>977</v>
      </c>
      <c r="B981" s="197"/>
      <c r="AK981" s="313"/>
      <c r="AL981" s="313"/>
      <c r="AM981" s="313"/>
      <c r="AN981" s="313"/>
      <c r="AO981" s="313"/>
      <c r="AP981" s="313"/>
      <c r="AQ981" s="314"/>
      <c r="AR981" s="315" t="str">
        <f t="shared" si="66"/>
        <v/>
      </c>
      <c r="BH981" s="321" t="str">
        <f t="shared" si="67"/>
        <v/>
      </c>
      <c r="BI981" s="98" t="str">
        <f t="shared" si="68"/>
        <v>INDENIZAÇÃO</v>
      </c>
      <c r="BJ981" s="98" t="str">
        <f t="shared" si="69"/>
        <v>NÃO</v>
      </c>
    </row>
    <row r="982" spans="1:62" ht="27" hidden="1" customHeight="1">
      <c r="A982" s="207">
        <v>978</v>
      </c>
      <c r="B982" s="197"/>
      <c r="AK982" s="313"/>
      <c r="AL982" s="313"/>
      <c r="AM982" s="313"/>
      <c r="AN982" s="313"/>
      <c r="AO982" s="313"/>
      <c r="AP982" s="313"/>
      <c r="AQ982" s="314"/>
      <c r="AR982" s="315" t="str">
        <f t="shared" si="66"/>
        <v/>
      </c>
      <c r="BH982" s="321" t="str">
        <f t="shared" si="67"/>
        <v/>
      </c>
      <c r="BI982" s="98" t="str">
        <f t="shared" si="68"/>
        <v>INDENIZAÇÃO</v>
      </c>
      <c r="BJ982" s="98" t="str">
        <f t="shared" si="69"/>
        <v>NÃO</v>
      </c>
    </row>
    <row r="983" spans="1:62" ht="27" hidden="1" customHeight="1">
      <c r="A983" s="207">
        <v>979</v>
      </c>
      <c r="B983" s="197"/>
      <c r="AK983" s="313"/>
      <c r="AL983" s="313"/>
      <c r="AM983" s="313"/>
      <c r="AN983" s="313"/>
      <c r="AO983" s="313"/>
      <c r="AP983" s="313"/>
      <c r="AQ983" s="314"/>
      <c r="AR983" s="315" t="str">
        <f t="shared" si="66"/>
        <v/>
      </c>
      <c r="BH983" s="321" t="str">
        <f t="shared" si="67"/>
        <v/>
      </c>
      <c r="BI983" s="98" t="str">
        <f t="shared" si="68"/>
        <v>INDENIZAÇÃO</v>
      </c>
      <c r="BJ983" s="98" t="str">
        <f t="shared" si="69"/>
        <v>NÃO</v>
      </c>
    </row>
    <row r="984" spans="1:62" ht="27" hidden="1" customHeight="1">
      <c r="A984" s="197">
        <v>980</v>
      </c>
      <c r="B984" s="197"/>
      <c r="W984" s="202"/>
      <c r="AK984" s="313"/>
      <c r="AL984" s="313"/>
      <c r="AM984" s="313"/>
      <c r="AN984" s="313"/>
      <c r="AO984" s="313"/>
      <c r="AP984" s="313"/>
      <c r="AQ984" s="314"/>
      <c r="AR984" s="315" t="str">
        <f t="shared" si="66"/>
        <v/>
      </c>
      <c r="BH984" s="321" t="str">
        <f t="shared" si="67"/>
        <v/>
      </c>
      <c r="BI984" s="98" t="str">
        <f t="shared" si="68"/>
        <v>INDENIZAÇÃO</v>
      </c>
      <c r="BJ984" s="98" t="str">
        <f t="shared" si="69"/>
        <v>NÃO</v>
      </c>
    </row>
    <row r="985" spans="1:62" ht="27" hidden="1" customHeight="1">
      <c r="A985" s="197">
        <v>981</v>
      </c>
      <c r="B985" s="197"/>
      <c r="AK985" s="313"/>
      <c r="AL985" s="313"/>
      <c r="AM985" s="313"/>
      <c r="AN985" s="313"/>
      <c r="AO985" s="313"/>
      <c r="AP985" s="313"/>
      <c r="AQ985" s="314"/>
      <c r="AR985" s="315" t="str">
        <f t="shared" si="66"/>
        <v/>
      </c>
      <c r="BH985" s="321" t="str">
        <f t="shared" si="67"/>
        <v/>
      </c>
      <c r="BI985" s="98" t="str">
        <f t="shared" si="68"/>
        <v>INDENIZAÇÃO</v>
      </c>
      <c r="BJ985" s="98" t="str">
        <f t="shared" si="69"/>
        <v>NÃO</v>
      </c>
    </row>
    <row r="986" spans="1:62" ht="27" hidden="1" customHeight="1">
      <c r="A986" s="207">
        <v>982</v>
      </c>
      <c r="B986" s="197"/>
      <c r="AK986" s="313"/>
      <c r="AL986" s="313"/>
      <c r="AM986" s="313"/>
      <c r="AN986" s="313"/>
      <c r="AO986" s="313"/>
      <c r="AP986" s="313"/>
      <c r="AQ986" s="314"/>
      <c r="AR986" s="315" t="str">
        <f t="shared" si="66"/>
        <v/>
      </c>
      <c r="BH986" s="321" t="str">
        <f t="shared" si="67"/>
        <v/>
      </c>
      <c r="BI986" s="98" t="str">
        <f t="shared" si="68"/>
        <v>INDENIZAÇÃO</v>
      </c>
      <c r="BJ986" s="98" t="str">
        <f t="shared" si="69"/>
        <v>NÃO</v>
      </c>
    </row>
    <row r="987" spans="1:62" ht="27" hidden="1" customHeight="1">
      <c r="A987" s="207">
        <v>983</v>
      </c>
      <c r="B987" s="197"/>
      <c r="AK987" s="313"/>
      <c r="AL987" s="313"/>
      <c r="AM987" s="313"/>
      <c r="AN987" s="313"/>
      <c r="AO987" s="313"/>
      <c r="AP987" s="313"/>
      <c r="AQ987" s="314"/>
      <c r="AR987" s="315" t="str">
        <f t="shared" si="66"/>
        <v/>
      </c>
      <c r="BH987" s="321" t="str">
        <f t="shared" si="67"/>
        <v/>
      </c>
      <c r="BI987" s="98" t="str">
        <f t="shared" si="68"/>
        <v>INDENIZAÇÃO</v>
      </c>
      <c r="BJ987" s="98" t="str">
        <f t="shared" si="69"/>
        <v>NÃO</v>
      </c>
    </row>
    <row r="988" spans="1:62" ht="27" hidden="1" customHeight="1">
      <c r="A988" s="207">
        <v>984</v>
      </c>
      <c r="B988" s="197"/>
      <c r="AK988" s="313"/>
      <c r="AL988" s="313"/>
      <c r="AM988" s="313"/>
      <c r="AN988" s="313"/>
      <c r="AO988" s="313"/>
      <c r="AP988" s="313"/>
      <c r="AQ988" s="314"/>
      <c r="AR988" s="315" t="str">
        <f t="shared" si="66"/>
        <v/>
      </c>
      <c r="BD988" s="166" t="s">
        <v>1124</v>
      </c>
      <c r="BH988" s="321" t="str">
        <f t="shared" si="67"/>
        <v/>
      </c>
      <c r="BI988" s="98" t="str">
        <f t="shared" si="68"/>
        <v>INDENIZAÇÃO</v>
      </c>
      <c r="BJ988" s="98" t="str">
        <f t="shared" si="69"/>
        <v>NÃO</v>
      </c>
    </row>
    <row r="989" spans="1:62" ht="27" hidden="1" customHeight="1">
      <c r="A989" s="197">
        <v>985</v>
      </c>
      <c r="B989" s="197"/>
      <c r="AK989" s="313"/>
      <c r="AL989" s="313"/>
      <c r="AM989" s="313"/>
      <c r="AN989" s="313"/>
      <c r="AO989" s="313"/>
      <c r="AP989" s="313"/>
      <c r="AQ989" s="314"/>
      <c r="AR989" s="315" t="str">
        <f t="shared" si="66"/>
        <v/>
      </c>
      <c r="BH989" s="321" t="str">
        <f t="shared" si="67"/>
        <v/>
      </c>
      <c r="BI989" s="98" t="str">
        <f t="shared" si="68"/>
        <v>INDENIZAÇÃO</v>
      </c>
      <c r="BJ989" s="98" t="str">
        <f t="shared" si="69"/>
        <v>NÃO</v>
      </c>
    </row>
    <row r="990" spans="1:62" ht="27" hidden="1" customHeight="1">
      <c r="A990" s="197">
        <v>986</v>
      </c>
      <c r="B990" s="197"/>
      <c r="AK990" s="313"/>
      <c r="AL990" s="313"/>
      <c r="AM990" s="313"/>
      <c r="AN990" s="313"/>
      <c r="AO990" s="313"/>
      <c r="AP990" s="313"/>
      <c r="AQ990" s="314"/>
      <c r="AR990" s="315" t="str">
        <f t="shared" si="66"/>
        <v/>
      </c>
      <c r="BH990" s="321" t="str">
        <f t="shared" si="67"/>
        <v/>
      </c>
      <c r="BI990" s="98" t="str">
        <f t="shared" si="68"/>
        <v>INDENIZAÇÃO</v>
      </c>
      <c r="BJ990" s="98" t="str">
        <f t="shared" si="69"/>
        <v>NÃO</v>
      </c>
    </row>
    <row r="991" spans="1:62" ht="27" hidden="1" customHeight="1">
      <c r="A991" s="207">
        <v>987</v>
      </c>
      <c r="B991" s="197"/>
      <c r="AK991" s="313"/>
      <c r="AL991" s="313"/>
      <c r="AM991" s="313"/>
      <c r="AN991" s="313"/>
      <c r="AO991" s="313"/>
      <c r="AP991" s="313"/>
      <c r="AQ991" s="314"/>
      <c r="AR991" s="315" t="str">
        <f t="shared" si="66"/>
        <v/>
      </c>
      <c r="BH991" s="321" t="str">
        <f t="shared" si="67"/>
        <v/>
      </c>
      <c r="BI991" s="98" t="str">
        <f t="shared" si="68"/>
        <v>INDENIZAÇÃO</v>
      </c>
      <c r="BJ991" s="98" t="str">
        <f t="shared" si="69"/>
        <v>NÃO</v>
      </c>
    </row>
    <row r="992" spans="1:62" ht="27" hidden="1" customHeight="1">
      <c r="A992" s="207">
        <v>988</v>
      </c>
      <c r="B992" s="197"/>
      <c r="AK992" s="313"/>
      <c r="AL992" s="313"/>
      <c r="AM992" s="313"/>
      <c r="AN992" s="313"/>
      <c r="AO992" s="313"/>
      <c r="AP992" s="313"/>
      <c r="AQ992" s="314"/>
      <c r="AR992" s="315" t="str">
        <f t="shared" si="66"/>
        <v/>
      </c>
      <c r="BH992" s="321" t="str">
        <f t="shared" si="67"/>
        <v/>
      </c>
      <c r="BI992" s="98" t="str">
        <f t="shared" si="68"/>
        <v>INDENIZAÇÃO</v>
      </c>
      <c r="BJ992" s="98" t="str">
        <f t="shared" si="69"/>
        <v>NÃO</v>
      </c>
    </row>
    <row r="993" spans="1:62" ht="27" hidden="1" customHeight="1">
      <c r="A993" s="207">
        <v>989</v>
      </c>
      <c r="B993" s="197"/>
      <c r="AK993" s="313"/>
      <c r="AL993" s="313"/>
      <c r="AM993" s="313"/>
      <c r="AN993" s="313"/>
      <c r="AO993" s="313"/>
      <c r="AP993" s="313"/>
      <c r="AQ993" s="314"/>
      <c r="AR993" s="315" t="str">
        <f t="shared" si="66"/>
        <v/>
      </c>
      <c r="BH993" s="321" t="str">
        <f t="shared" si="67"/>
        <v/>
      </c>
      <c r="BI993" s="98" t="str">
        <f t="shared" si="68"/>
        <v>INDENIZAÇÃO</v>
      </c>
      <c r="BJ993" s="98" t="str">
        <f t="shared" si="69"/>
        <v>NÃO</v>
      </c>
    </row>
    <row r="994" spans="1:62" ht="27" hidden="1" customHeight="1">
      <c r="A994" s="197">
        <v>990</v>
      </c>
      <c r="B994" s="197"/>
      <c r="AK994" s="313"/>
      <c r="AL994" s="313"/>
      <c r="AM994" s="313"/>
      <c r="AN994" s="313"/>
      <c r="AO994" s="313"/>
      <c r="AP994" s="313"/>
      <c r="AQ994" s="314"/>
      <c r="AR994" s="315" t="str">
        <f t="shared" si="66"/>
        <v/>
      </c>
      <c r="BH994" s="321" t="str">
        <f t="shared" si="67"/>
        <v/>
      </c>
      <c r="BI994" s="98" t="str">
        <f t="shared" si="68"/>
        <v>INDENIZAÇÃO</v>
      </c>
      <c r="BJ994" s="98" t="str">
        <f t="shared" si="69"/>
        <v>NÃO</v>
      </c>
    </row>
    <row r="995" spans="1:62" ht="27" hidden="1" customHeight="1">
      <c r="A995" s="197">
        <v>991</v>
      </c>
      <c r="B995" s="197"/>
      <c r="AK995" s="313"/>
      <c r="AL995" s="313"/>
      <c r="AM995" s="313"/>
      <c r="AN995" s="313"/>
      <c r="AO995" s="313"/>
      <c r="AP995" s="313"/>
      <c r="AQ995" s="314"/>
      <c r="AR995" s="315" t="str">
        <f t="shared" si="66"/>
        <v/>
      </c>
      <c r="BH995" s="321" t="str">
        <f t="shared" si="67"/>
        <v/>
      </c>
      <c r="BI995" s="98" t="str">
        <f t="shared" si="68"/>
        <v>INDENIZAÇÃO</v>
      </c>
      <c r="BJ995" s="98" t="str">
        <f t="shared" si="69"/>
        <v>NÃO</v>
      </c>
    </row>
    <row r="996" spans="1:62" ht="27" hidden="1" customHeight="1">
      <c r="A996" s="207">
        <v>992</v>
      </c>
      <c r="B996" s="197"/>
      <c r="AK996" s="313"/>
      <c r="AL996" s="313"/>
      <c r="AM996" s="313"/>
      <c r="AN996" s="313"/>
      <c r="AO996" s="313"/>
      <c r="AP996" s="313"/>
      <c r="AQ996" s="314"/>
      <c r="AR996" s="315" t="str">
        <f t="shared" si="66"/>
        <v/>
      </c>
      <c r="BH996" s="321" t="str">
        <f t="shared" si="67"/>
        <v/>
      </c>
      <c r="BI996" s="98" t="str">
        <f t="shared" si="68"/>
        <v>INDENIZAÇÃO</v>
      </c>
      <c r="BJ996" s="98" t="str">
        <f t="shared" si="69"/>
        <v>NÃO</v>
      </c>
    </row>
    <row r="997" spans="1:62" ht="27" hidden="1" customHeight="1">
      <c r="A997" s="207">
        <v>993</v>
      </c>
      <c r="B997" s="197"/>
      <c r="AK997" s="313"/>
      <c r="AL997" s="313"/>
      <c r="AM997" s="313"/>
      <c r="AN997" s="313"/>
      <c r="AO997" s="313"/>
      <c r="AP997" s="313"/>
      <c r="AQ997" s="314"/>
      <c r="AR997" s="315" t="str">
        <f t="shared" si="66"/>
        <v/>
      </c>
      <c r="BH997" s="321" t="str">
        <f t="shared" si="67"/>
        <v/>
      </c>
      <c r="BI997" s="98" t="str">
        <f t="shared" si="68"/>
        <v>INDENIZAÇÃO</v>
      </c>
      <c r="BJ997" s="98" t="str">
        <f t="shared" si="69"/>
        <v>NÃO</v>
      </c>
    </row>
    <row r="998" spans="1:62" ht="27" hidden="1" customHeight="1">
      <c r="A998" s="207">
        <v>994</v>
      </c>
      <c r="B998" s="197"/>
      <c r="AK998" s="313"/>
      <c r="AL998" s="313"/>
      <c r="AM998" s="313"/>
      <c r="AN998" s="313"/>
      <c r="AO998" s="313"/>
      <c r="AP998" s="313"/>
      <c r="AQ998" s="314"/>
      <c r="AR998" s="315" t="str">
        <f t="shared" si="66"/>
        <v/>
      </c>
      <c r="BH998" s="321" t="str">
        <f t="shared" si="67"/>
        <v/>
      </c>
      <c r="BI998" s="98" t="str">
        <f t="shared" si="68"/>
        <v>INDENIZAÇÃO</v>
      </c>
      <c r="BJ998" s="98" t="str">
        <f t="shared" si="69"/>
        <v>NÃO</v>
      </c>
    </row>
    <row r="999" spans="1:62" ht="27" hidden="1" customHeight="1">
      <c r="A999" s="197">
        <v>995</v>
      </c>
      <c r="B999" s="197"/>
      <c r="AK999" s="313"/>
      <c r="AL999" s="313"/>
      <c r="AM999" s="313"/>
      <c r="AN999" s="313"/>
      <c r="AO999" s="313"/>
      <c r="AP999" s="313"/>
      <c r="AQ999" s="314"/>
      <c r="AR999" s="315" t="str">
        <f t="shared" si="66"/>
        <v/>
      </c>
      <c r="BH999" s="321" t="str">
        <f t="shared" si="67"/>
        <v/>
      </c>
      <c r="BI999" s="98" t="str">
        <f t="shared" si="68"/>
        <v>INDENIZAÇÃO</v>
      </c>
      <c r="BJ999" s="98" t="str">
        <f t="shared" si="69"/>
        <v>NÃO</v>
      </c>
    </row>
    <row r="1000" spans="1:62" ht="27" hidden="1" customHeight="1">
      <c r="A1000" s="197">
        <v>996</v>
      </c>
      <c r="B1000" s="197"/>
      <c r="AK1000" s="313"/>
      <c r="AL1000" s="313"/>
      <c r="AM1000" s="313"/>
      <c r="AN1000" s="313"/>
      <c r="AO1000" s="313"/>
      <c r="AP1000" s="313"/>
      <c r="AQ1000" s="314"/>
      <c r="AR1000" s="315" t="str">
        <f t="shared" si="66"/>
        <v/>
      </c>
      <c r="BH1000" s="321" t="str">
        <f t="shared" si="67"/>
        <v/>
      </c>
      <c r="BI1000" s="98" t="str">
        <f t="shared" si="68"/>
        <v>INDENIZAÇÃO</v>
      </c>
      <c r="BJ1000" s="98" t="str">
        <f t="shared" si="69"/>
        <v>NÃO</v>
      </c>
    </row>
    <row r="1001" spans="1:62" ht="27" hidden="1" customHeight="1">
      <c r="A1001" s="207">
        <v>997</v>
      </c>
      <c r="B1001" s="197"/>
      <c r="AK1001" s="313"/>
      <c r="AL1001" s="313"/>
      <c r="AM1001" s="313"/>
      <c r="AN1001" s="313"/>
      <c r="AO1001" s="313"/>
      <c r="AP1001" s="313"/>
      <c r="AQ1001" s="314"/>
      <c r="AR1001" s="315" t="str">
        <f t="shared" si="66"/>
        <v/>
      </c>
      <c r="BH1001" s="321" t="str">
        <f t="shared" si="67"/>
        <v/>
      </c>
      <c r="BI1001" s="98" t="str">
        <f t="shared" si="68"/>
        <v>INDENIZAÇÃO</v>
      </c>
      <c r="BJ1001" s="98" t="str">
        <f t="shared" si="69"/>
        <v>NÃO</v>
      </c>
    </row>
    <row r="1002" spans="1:62" ht="27" hidden="1" customHeight="1">
      <c r="A1002" s="207">
        <v>998</v>
      </c>
      <c r="B1002" s="197"/>
      <c r="AK1002" s="313"/>
      <c r="AL1002" s="313"/>
      <c r="AM1002" s="313"/>
      <c r="AN1002" s="313"/>
      <c r="AO1002" s="313"/>
      <c r="AP1002" s="313"/>
      <c r="AQ1002" s="314"/>
      <c r="AR1002" s="315" t="str">
        <f t="shared" si="66"/>
        <v/>
      </c>
      <c r="BH1002" s="321" t="str">
        <f t="shared" si="67"/>
        <v/>
      </c>
      <c r="BI1002" s="98" t="str">
        <f t="shared" si="68"/>
        <v>INDENIZAÇÃO</v>
      </c>
      <c r="BJ1002" s="98" t="str">
        <f t="shared" si="69"/>
        <v>NÃO</v>
      </c>
    </row>
    <row r="1003" spans="1:62" ht="27" hidden="1" customHeight="1">
      <c r="A1003" s="207">
        <v>999</v>
      </c>
      <c r="B1003" s="197"/>
      <c r="AK1003" s="313"/>
      <c r="AL1003" s="313"/>
      <c r="AM1003" s="313"/>
      <c r="AN1003" s="313"/>
      <c r="AO1003" s="313"/>
      <c r="AP1003" s="313"/>
      <c r="AQ1003" s="314"/>
      <c r="AR1003" s="315" t="str">
        <f t="shared" si="66"/>
        <v/>
      </c>
      <c r="BH1003" s="321" t="str">
        <f t="shared" si="67"/>
        <v/>
      </c>
      <c r="BI1003" s="98" t="str">
        <f t="shared" si="68"/>
        <v>INDENIZAÇÃO</v>
      </c>
      <c r="BJ1003" s="98" t="str">
        <f t="shared" si="69"/>
        <v>NÃO</v>
      </c>
    </row>
    <row r="1004" spans="1:62" ht="27" hidden="1" customHeight="1">
      <c r="A1004" s="197">
        <v>1000</v>
      </c>
      <c r="B1004" s="197"/>
      <c r="AK1004" s="313"/>
      <c r="AL1004" s="313"/>
      <c r="AM1004" s="313"/>
      <c r="AN1004" s="313"/>
      <c r="AO1004" s="313"/>
      <c r="AP1004" s="313"/>
      <c r="AQ1004" s="314"/>
      <c r="AR1004" s="315" t="str">
        <f t="shared" si="66"/>
        <v/>
      </c>
      <c r="BH1004" s="321" t="str">
        <f t="shared" si="67"/>
        <v/>
      </c>
      <c r="BI1004" s="98" t="str">
        <f t="shared" si="68"/>
        <v>INDENIZAÇÃO</v>
      </c>
      <c r="BJ1004" s="98" t="str">
        <f t="shared" si="69"/>
        <v>NÃO</v>
      </c>
    </row>
    <row r="1005" spans="1:62" ht="27" hidden="1" customHeight="1">
      <c r="A1005" s="197">
        <v>1001</v>
      </c>
      <c r="B1005" s="197"/>
      <c r="AK1005" s="313"/>
      <c r="AL1005" s="313"/>
      <c r="AM1005" s="313"/>
      <c r="AN1005" s="313"/>
      <c r="AO1005" s="313"/>
      <c r="AP1005" s="313"/>
      <c r="AQ1005" s="314"/>
      <c r="AR1005" s="315" t="str">
        <f t="shared" si="66"/>
        <v/>
      </c>
      <c r="BH1005" s="321" t="str">
        <f t="shared" si="67"/>
        <v/>
      </c>
      <c r="BI1005" s="98" t="str">
        <f t="shared" si="68"/>
        <v>INDENIZAÇÃO</v>
      </c>
      <c r="BJ1005" s="98" t="str">
        <f t="shared" si="69"/>
        <v>NÃO</v>
      </c>
    </row>
    <row r="1006" spans="1:62" ht="27" hidden="1" customHeight="1">
      <c r="A1006" s="207">
        <v>1002</v>
      </c>
      <c r="B1006" s="197"/>
      <c r="AK1006" s="313"/>
      <c r="AL1006" s="313"/>
      <c r="AM1006" s="313"/>
      <c r="AN1006" s="313"/>
      <c r="AO1006" s="313"/>
      <c r="AP1006" s="313"/>
      <c r="AQ1006" s="314"/>
      <c r="AR1006" s="315" t="str">
        <f t="shared" si="66"/>
        <v/>
      </c>
      <c r="BH1006" s="321" t="str">
        <f t="shared" si="67"/>
        <v/>
      </c>
      <c r="BI1006" s="98" t="str">
        <f t="shared" si="68"/>
        <v>INDENIZAÇÃO</v>
      </c>
      <c r="BJ1006" s="98" t="str">
        <f t="shared" si="69"/>
        <v>NÃO</v>
      </c>
    </row>
    <row r="1007" spans="1:62" ht="27" hidden="1" customHeight="1">
      <c r="A1007" s="207">
        <v>1003</v>
      </c>
      <c r="B1007" s="197"/>
      <c r="AK1007" s="313"/>
      <c r="AL1007" s="313"/>
      <c r="AM1007" s="313"/>
      <c r="AN1007" s="313"/>
      <c r="AO1007" s="313"/>
      <c r="AP1007" s="313"/>
      <c r="AQ1007" s="314"/>
      <c r="AR1007" s="315" t="str">
        <f t="shared" si="66"/>
        <v/>
      </c>
      <c r="BH1007" s="321" t="str">
        <f t="shared" si="67"/>
        <v/>
      </c>
      <c r="BI1007" s="98" t="str">
        <f t="shared" si="68"/>
        <v>INDENIZAÇÃO</v>
      </c>
      <c r="BJ1007" s="98" t="str">
        <f t="shared" si="69"/>
        <v>NÃO</v>
      </c>
    </row>
    <row r="1008" spans="1:62" ht="27" hidden="1" customHeight="1">
      <c r="A1008" s="207">
        <v>1004</v>
      </c>
      <c r="B1008" s="197"/>
      <c r="AK1008" s="313"/>
      <c r="AL1008" s="313"/>
      <c r="AM1008" s="313"/>
      <c r="AN1008" s="313"/>
      <c r="AO1008" s="313"/>
      <c r="AP1008" s="313"/>
      <c r="AQ1008" s="314"/>
      <c r="AR1008" s="315" t="str">
        <f t="shared" si="66"/>
        <v/>
      </c>
      <c r="BH1008" s="321" t="str">
        <f t="shared" si="67"/>
        <v/>
      </c>
      <c r="BI1008" s="98" t="str">
        <f t="shared" si="68"/>
        <v>INDENIZAÇÃO</v>
      </c>
      <c r="BJ1008" s="98" t="str">
        <f t="shared" si="69"/>
        <v>NÃO</v>
      </c>
    </row>
    <row r="1009" spans="1:62" ht="27" hidden="1" customHeight="1">
      <c r="A1009" s="197">
        <v>1005</v>
      </c>
      <c r="B1009" s="197"/>
      <c r="AK1009" s="313"/>
      <c r="AL1009" s="313"/>
      <c r="AM1009" s="313"/>
      <c r="AN1009" s="313"/>
      <c r="AO1009" s="313"/>
      <c r="AP1009" s="313"/>
      <c r="AQ1009" s="314"/>
      <c r="AR1009" s="315" t="str">
        <f t="shared" si="66"/>
        <v/>
      </c>
      <c r="BH1009" s="321" t="str">
        <f t="shared" si="67"/>
        <v/>
      </c>
      <c r="BI1009" s="98" t="str">
        <f t="shared" si="68"/>
        <v>INDENIZAÇÃO</v>
      </c>
      <c r="BJ1009" s="98" t="str">
        <f t="shared" si="69"/>
        <v>NÃO</v>
      </c>
    </row>
    <row r="1010" spans="1:62" ht="27" hidden="1" customHeight="1">
      <c r="A1010" s="197">
        <v>1006</v>
      </c>
      <c r="B1010" s="197"/>
      <c r="AK1010" s="313"/>
      <c r="AL1010" s="313"/>
      <c r="AM1010" s="313"/>
      <c r="AN1010" s="313"/>
      <c r="AO1010" s="313"/>
      <c r="AP1010" s="313"/>
      <c r="AQ1010" s="314"/>
      <c r="AR1010" s="315" t="str">
        <f t="shared" si="66"/>
        <v/>
      </c>
      <c r="BH1010" s="321" t="str">
        <f t="shared" si="67"/>
        <v/>
      </c>
      <c r="BI1010" s="98" t="str">
        <f t="shared" si="68"/>
        <v>INDENIZAÇÃO</v>
      </c>
      <c r="BJ1010" s="98" t="str">
        <f t="shared" si="69"/>
        <v>NÃO</v>
      </c>
    </row>
    <row r="1011" spans="1:62" ht="27" hidden="1" customHeight="1">
      <c r="A1011" s="207">
        <v>1007</v>
      </c>
      <c r="B1011" s="197"/>
      <c r="AK1011" s="313"/>
      <c r="AL1011" s="313"/>
      <c r="AM1011" s="313"/>
      <c r="AN1011" s="313"/>
      <c r="AO1011" s="313"/>
      <c r="AP1011" s="313"/>
      <c r="AQ1011" s="314"/>
      <c r="AR1011" s="315" t="str">
        <f t="shared" si="66"/>
        <v/>
      </c>
      <c r="BH1011" s="321" t="str">
        <f t="shared" si="67"/>
        <v/>
      </c>
      <c r="BI1011" s="98" t="str">
        <f t="shared" si="68"/>
        <v>INDENIZAÇÃO</v>
      </c>
      <c r="BJ1011" s="98" t="str">
        <f t="shared" si="69"/>
        <v>NÃO</v>
      </c>
    </row>
    <row r="1012" spans="1:62" ht="27" hidden="1" customHeight="1">
      <c r="A1012" s="207">
        <v>1008</v>
      </c>
      <c r="B1012" s="197"/>
      <c r="AK1012" s="313"/>
      <c r="AL1012" s="313"/>
      <c r="AM1012" s="313"/>
      <c r="AN1012" s="313"/>
      <c r="AO1012" s="313"/>
      <c r="AP1012" s="313"/>
      <c r="AQ1012" s="314"/>
      <c r="AR1012" s="315" t="str">
        <f t="shared" si="66"/>
        <v/>
      </c>
      <c r="BH1012" s="321" t="str">
        <f t="shared" si="67"/>
        <v/>
      </c>
      <c r="BI1012" s="98" t="str">
        <f t="shared" si="68"/>
        <v>INDENIZAÇÃO</v>
      </c>
      <c r="BJ1012" s="98" t="str">
        <f t="shared" si="69"/>
        <v>NÃO</v>
      </c>
    </row>
    <row r="1013" spans="1:62" ht="27" hidden="1" customHeight="1">
      <c r="A1013" s="207">
        <v>1009</v>
      </c>
      <c r="B1013" s="197"/>
      <c r="AK1013" s="313"/>
      <c r="AL1013" s="313"/>
      <c r="AM1013" s="313"/>
      <c r="AN1013" s="313"/>
      <c r="AO1013" s="313"/>
      <c r="AP1013" s="313"/>
      <c r="AQ1013" s="314"/>
      <c r="AR1013" s="315" t="str">
        <f t="shared" si="66"/>
        <v/>
      </c>
      <c r="BH1013" s="321" t="str">
        <f t="shared" si="67"/>
        <v/>
      </c>
      <c r="BI1013" s="98" t="str">
        <f t="shared" si="68"/>
        <v>INDENIZAÇÃO</v>
      </c>
      <c r="BJ1013" s="98" t="str">
        <f t="shared" si="69"/>
        <v>NÃO</v>
      </c>
    </row>
    <row r="1014" spans="1:62" ht="27" hidden="1" customHeight="1">
      <c r="A1014" s="197">
        <v>1010</v>
      </c>
      <c r="B1014" s="197"/>
      <c r="AK1014" s="313"/>
      <c r="AL1014" s="313"/>
      <c r="AM1014" s="313"/>
      <c r="AN1014" s="313"/>
      <c r="AO1014" s="313"/>
      <c r="AP1014" s="313"/>
      <c r="AQ1014" s="314"/>
      <c r="AR1014" s="315" t="str">
        <f t="shared" si="66"/>
        <v/>
      </c>
      <c r="BH1014" s="321" t="str">
        <f t="shared" si="67"/>
        <v/>
      </c>
      <c r="BI1014" s="98" t="str">
        <f t="shared" si="68"/>
        <v>INDENIZAÇÃO</v>
      </c>
      <c r="BJ1014" s="98" t="str">
        <f t="shared" si="69"/>
        <v>NÃO</v>
      </c>
    </row>
    <row r="1015" spans="1:62" ht="27" hidden="1" customHeight="1">
      <c r="A1015" s="197">
        <v>1011</v>
      </c>
      <c r="B1015" s="197"/>
      <c r="AK1015" s="313"/>
      <c r="AL1015" s="313"/>
      <c r="AM1015" s="313"/>
      <c r="AN1015" s="313"/>
      <c r="AO1015" s="313"/>
      <c r="AP1015" s="313"/>
      <c r="AQ1015" s="314"/>
      <c r="AR1015" s="315" t="str">
        <f t="shared" si="66"/>
        <v/>
      </c>
      <c r="BH1015" s="321" t="str">
        <f t="shared" si="67"/>
        <v/>
      </c>
      <c r="BI1015" s="98" t="str">
        <f t="shared" si="68"/>
        <v>INDENIZAÇÃO</v>
      </c>
      <c r="BJ1015" s="98" t="str">
        <f t="shared" si="69"/>
        <v>NÃO</v>
      </c>
    </row>
    <row r="1016" spans="1:62" ht="27" hidden="1" customHeight="1">
      <c r="A1016" s="207">
        <v>1012</v>
      </c>
      <c r="B1016" s="197"/>
      <c r="AK1016" s="313"/>
      <c r="AL1016" s="313"/>
      <c r="AM1016" s="313"/>
      <c r="AN1016" s="313"/>
      <c r="AO1016" s="313"/>
      <c r="AP1016" s="313"/>
      <c r="AQ1016" s="314"/>
      <c r="AR1016" s="315" t="str">
        <f t="shared" si="66"/>
        <v/>
      </c>
      <c r="BH1016" s="321" t="str">
        <f t="shared" si="67"/>
        <v/>
      </c>
      <c r="BI1016" s="98" t="str">
        <f t="shared" si="68"/>
        <v>INDENIZAÇÃO</v>
      </c>
      <c r="BJ1016" s="98" t="str">
        <f t="shared" si="69"/>
        <v>NÃO</v>
      </c>
    </row>
    <row r="1017" spans="1:62" ht="27" hidden="1" customHeight="1">
      <c r="A1017" s="207">
        <v>1013</v>
      </c>
      <c r="B1017" s="197"/>
      <c r="AK1017" s="313"/>
      <c r="AL1017" s="313"/>
      <c r="AM1017" s="313"/>
      <c r="AN1017" s="313"/>
      <c r="AO1017" s="313"/>
      <c r="AP1017" s="313"/>
      <c r="AQ1017" s="314"/>
      <c r="AR1017" s="315" t="str">
        <f t="shared" si="66"/>
        <v/>
      </c>
      <c r="BH1017" s="321" t="str">
        <f t="shared" si="67"/>
        <v/>
      </c>
      <c r="BI1017" s="98" t="str">
        <f t="shared" si="68"/>
        <v>INDENIZAÇÃO</v>
      </c>
      <c r="BJ1017" s="98" t="str">
        <f t="shared" si="69"/>
        <v>NÃO</v>
      </c>
    </row>
    <row r="1018" spans="1:62" ht="27" hidden="1" customHeight="1">
      <c r="A1018" s="207">
        <v>1014</v>
      </c>
      <c r="B1018" s="197"/>
      <c r="AK1018" s="313"/>
      <c r="AL1018" s="313"/>
      <c r="AM1018" s="313"/>
      <c r="AN1018" s="313"/>
      <c r="AO1018" s="313"/>
      <c r="AP1018" s="313"/>
      <c r="AQ1018" s="314"/>
      <c r="AR1018" s="315" t="str">
        <f t="shared" si="66"/>
        <v/>
      </c>
      <c r="BH1018" s="321" t="str">
        <f t="shared" si="67"/>
        <v/>
      </c>
      <c r="BI1018" s="98" t="str">
        <f t="shared" si="68"/>
        <v>INDENIZAÇÃO</v>
      </c>
      <c r="BJ1018" s="98" t="str">
        <f t="shared" si="69"/>
        <v>NÃO</v>
      </c>
    </row>
    <row r="1019" spans="1:62" ht="27" hidden="1" customHeight="1">
      <c r="A1019" s="197">
        <v>1015</v>
      </c>
      <c r="B1019" s="197"/>
      <c r="AK1019" s="313"/>
      <c r="AL1019" s="313"/>
      <c r="AM1019" s="313"/>
      <c r="AN1019" s="313"/>
      <c r="AO1019" s="313"/>
      <c r="AP1019" s="313"/>
      <c r="AQ1019" s="314"/>
      <c r="AR1019" s="315" t="str">
        <f t="shared" si="66"/>
        <v/>
      </c>
      <c r="BH1019" s="321" t="str">
        <f t="shared" si="67"/>
        <v/>
      </c>
      <c r="BI1019" s="98" t="str">
        <f t="shared" si="68"/>
        <v>INDENIZAÇÃO</v>
      </c>
      <c r="BJ1019" s="98" t="str">
        <f t="shared" si="69"/>
        <v>NÃO</v>
      </c>
    </row>
    <row r="1020" spans="1:62" ht="27" hidden="1" customHeight="1">
      <c r="A1020" s="197">
        <v>1016</v>
      </c>
      <c r="B1020" s="197"/>
      <c r="AK1020" s="313"/>
      <c r="AL1020" s="313"/>
      <c r="AM1020" s="313"/>
      <c r="AN1020" s="313"/>
      <c r="AO1020" s="313"/>
      <c r="AP1020" s="313"/>
      <c r="AQ1020" s="314"/>
      <c r="AR1020" s="315" t="str">
        <f t="shared" si="66"/>
        <v/>
      </c>
      <c r="BH1020" s="321" t="str">
        <f t="shared" si="67"/>
        <v/>
      </c>
      <c r="BI1020" s="98" t="str">
        <f t="shared" si="68"/>
        <v>INDENIZAÇÃO</v>
      </c>
      <c r="BJ1020" s="98" t="str">
        <f t="shared" si="69"/>
        <v>NÃO</v>
      </c>
    </row>
    <row r="1021" spans="1:62" ht="27" hidden="1" customHeight="1">
      <c r="A1021" s="207">
        <v>1017</v>
      </c>
      <c r="B1021" s="197"/>
      <c r="AK1021" s="313"/>
      <c r="AL1021" s="313"/>
      <c r="AM1021" s="313"/>
      <c r="AN1021" s="313"/>
      <c r="AO1021" s="313"/>
      <c r="AP1021" s="313"/>
      <c r="AQ1021" s="314"/>
      <c r="AR1021" s="315" t="str">
        <f t="shared" si="66"/>
        <v/>
      </c>
      <c r="BH1021" s="321" t="str">
        <f t="shared" si="67"/>
        <v/>
      </c>
      <c r="BI1021" s="98" t="str">
        <f t="shared" si="68"/>
        <v>INDENIZAÇÃO</v>
      </c>
      <c r="BJ1021" s="98" t="str">
        <f t="shared" si="69"/>
        <v>NÃO</v>
      </c>
    </row>
    <row r="1022" spans="1:62" ht="27" hidden="1" customHeight="1">
      <c r="A1022" s="207">
        <v>1018</v>
      </c>
      <c r="B1022" s="197"/>
      <c r="AK1022" s="313"/>
      <c r="AL1022" s="313"/>
      <c r="AM1022" s="313"/>
      <c r="AN1022" s="313"/>
      <c r="AO1022" s="313"/>
      <c r="AP1022" s="313"/>
      <c r="AQ1022" s="314"/>
      <c r="AR1022" s="315" t="str">
        <f t="shared" si="66"/>
        <v/>
      </c>
      <c r="BH1022" s="321" t="str">
        <f t="shared" si="67"/>
        <v/>
      </c>
      <c r="BI1022" s="98" t="str">
        <f t="shared" si="68"/>
        <v>INDENIZAÇÃO</v>
      </c>
      <c r="BJ1022" s="98" t="str">
        <f t="shared" si="69"/>
        <v>NÃO</v>
      </c>
    </row>
    <row r="1023" spans="1:62" ht="27" hidden="1" customHeight="1">
      <c r="A1023" s="207">
        <v>1019</v>
      </c>
      <c r="B1023" s="197"/>
      <c r="AK1023" s="313"/>
      <c r="AL1023" s="313"/>
      <c r="AM1023" s="313"/>
      <c r="AN1023" s="313"/>
      <c r="AO1023" s="313"/>
      <c r="AP1023" s="313"/>
      <c r="AQ1023" s="314"/>
      <c r="AR1023" s="315" t="str">
        <f t="shared" ref="AR1023:AR1086" si="70">IF(AQ1023="SIM","AGUARDANDO CORREÇÃO",IF(AP1023&lt;&gt;"","FINALIZADO",IF(AO1023&lt;&gt;"","AGUARDANDO ENVIO DTS",IF(AN1023&lt;&gt;"","AGUARDANDO ASSINATURA GAB",IF(AM1023&lt;&gt;"","AGUARDANDO ASSINATURA CTS",IF(AL1023&lt;&gt;"","AGUARDANDO ENVIO ASSINATURA CTS",IF(AK1023&lt;&gt;"","AGUARDANDO CONFERÊNCIA","")))))))</f>
        <v/>
      </c>
      <c r="BH1023" s="321" t="str">
        <f t="shared" si="67"/>
        <v/>
      </c>
      <c r="BI1023" s="98" t="str">
        <f t="shared" si="68"/>
        <v>INDENIZAÇÃO</v>
      </c>
      <c r="BJ1023" s="98" t="str">
        <f t="shared" si="69"/>
        <v>NÃO</v>
      </c>
    </row>
    <row r="1024" spans="1:62" ht="27" hidden="1" customHeight="1">
      <c r="A1024" s="197">
        <v>1020</v>
      </c>
      <c r="B1024" s="197"/>
      <c r="AK1024" s="313"/>
      <c r="AL1024" s="313"/>
      <c r="AM1024" s="313"/>
      <c r="AN1024" s="313"/>
      <c r="AO1024" s="313"/>
      <c r="AP1024" s="313"/>
      <c r="AQ1024" s="314"/>
      <c r="AR1024" s="315" t="str">
        <f t="shared" si="70"/>
        <v/>
      </c>
      <c r="BH1024" s="321" t="str">
        <f t="shared" si="67"/>
        <v/>
      </c>
      <c r="BI1024" s="98" t="str">
        <f t="shared" si="68"/>
        <v>INDENIZAÇÃO</v>
      </c>
      <c r="BJ1024" s="98" t="str">
        <f t="shared" si="69"/>
        <v>NÃO</v>
      </c>
    </row>
    <row r="1025" spans="1:62" ht="27" hidden="1" customHeight="1">
      <c r="A1025" s="197">
        <v>1021</v>
      </c>
      <c r="B1025" s="197"/>
      <c r="AK1025" s="313"/>
      <c r="AL1025" s="313"/>
      <c r="AM1025" s="313"/>
      <c r="AN1025" s="313"/>
      <c r="AO1025" s="313"/>
      <c r="AP1025" s="313"/>
      <c r="AQ1025" s="314"/>
      <c r="AR1025" s="315" t="str">
        <f t="shared" si="70"/>
        <v/>
      </c>
      <c r="BH1025" s="321" t="str">
        <f t="shared" si="67"/>
        <v/>
      </c>
      <c r="BI1025" s="98" t="str">
        <f t="shared" si="68"/>
        <v>INDENIZAÇÃO</v>
      </c>
      <c r="BJ1025" s="98" t="str">
        <f t="shared" si="69"/>
        <v>NÃO</v>
      </c>
    </row>
    <row r="1026" spans="1:62" ht="27" hidden="1" customHeight="1">
      <c r="A1026" s="207">
        <v>1022</v>
      </c>
      <c r="B1026" s="197"/>
      <c r="AK1026" s="313"/>
      <c r="AL1026" s="313"/>
      <c r="AM1026" s="313"/>
      <c r="AN1026" s="313"/>
      <c r="AO1026" s="313"/>
      <c r="AP1026" s="313"/>
      <c r="AQ1026" s="314"/>
      <c r="AR1026" s="315" t="str">
        <f t="shared" si="70"/>
        <v/>
      </c>
      <c r="BH1026" s="321" t="str">
        <f t="shared" si="67"/>
        <v/>
      </c>
      <c r="BI1026" s="98" t="str">
        <f t="shared" si="68"/>
        <v>INDENIZAÇÃO</v>
      </c>
      <c r="BJ1026" s="98" t="str">
        <f t="shared" si="69"/>
        <v>NÃO</v>
      </c>
    </row>
    <row r="1027" spans="1:62" ht="27" hidden="1" customHeight="1">
      <c r="A1027" s="207">
        <v>1023</v>
      </c>
      <c r="B1027" s="197"/>
      <c r="AK1027" s="313"/>
      <c r="AL1027" s="313"/>
      <c r="AM1027" s="313"/>
      <c r="AN1027" s="313"/>
      <c r="AO1027" s="313"/>
      <c r="AP1027" s="313"/>
      <c r="AQ1027" s="314"/>
      <c r="AR1027" s="315" t="str">
        <f t="shared" si="70"/>
        <v/>
      </c>
      <c r="BH1027" s="321" t="str">
        <f t="shared" si="67"/>
        <v/>
      </c>
      <c r="BI1027" s="98" t="str">
        <f t="shared" si="68"/>
        <v>INDENIZAÇÃO</v>
      </c>
      <c r="BJ1027" s="98" t="str">
        <f t="shared" si="69"/>
        <v>NÃO</v>
      </c>
    </row>
    <row r="1028" spans="1:62" ht="27" hidden="1" customHeight="1">
      <c r="A1028" s="207">
        <v>1024</v>
      </c>
      <c r="B1028" s="197"/>
      <c r="AK1028" s="313"/>
      <c r="AL1028" s="313"/>
      <c r="AM1028" s="313"/>
      <c r="AN1028" s="313"/>
      <c r="AO1028" s="313"/>
      <c r="AP1028" s="313"/>
      <c r="AQ1028" s="314"/>
      <c r="AR1028" s="315" t="str">
        <f t="shared" si="70"/>
        <v/>
      </c>
      <c r="BH1028" s="321" t="str">
        <f t="shared" si="67"/>
        <v/>
      </c>
      <c r="BI1028" s="98" t="str">
        <f t="shared" si="68"/>
        <v>INDENIZAÇÃO</v>
      </c>
      <c r="BJ1028" s="98" t="str">
        <f t="shared" si="69"/>
        <v>NÃO</v>
      </c>
    </row>
    <row r="1029" spans="1:62" ht="27" hidden="1" customHeight="1">
      <c r="A1029" s="197">
        <v>1025</v>
      </c>
      <c r="B1029" s="197"/>
      <c r="AK1029" s="313"/>
      <c r="AL1029" s="313"/>
      <c r="AM1029" s="313"/>
      <c r="AN1029" s="313"/>
      <c r="AO1029" s="313"/>
      <c r="AP1029" s="313"/>
      <c r="AQ1029" s="314"/>
      <c r="AR1029" s="315" t="str">
        <f t="shared" si="70"/>
        <v/>
      </c>
      <c r="BH1029" s="321" t="str">
        <f t="shared" ref="BH1029:BH1092" si="71">IFERROR(IF(BD1029-KI1029=0,"",BD1029-AK1029),"")</f>
        <v/>
      </c>
      <c r="BI1029" s="98" t="str">
        <f t="shared" ref="BI1029:BI1092" si="72">IF(AND(AH1029&lt;&gt;"SIM",AH1029="UH"),"AA","INDENIZAÇÃO")</f>
        <v>INDENIZAÇÃO</v>
      </c>
      <c r="BJ1029" s="98" t="str">
        <f t="shared" ref="BJ1029:BJ1092" si="73">IF(AND(BD1029&lt;&gt;"AGUARDANDO",BD1029&lt;&gt;"",N1029="AUXÍLIO ALUGUEL ATÉ INDENIZAÇÃO"),"SIM","NÃO")</f>
        <v>NÃO</v>
      </c>
    </row>
    <row r="1030" spans="1:62" ht="27" hidden="1" customHeight="1">
      <c r="A1030" s="197">
        <v>1026</v>
      </c>
      <c r="B1030" s="197"/>
      <c r="AK1030" s="313"/>
      <c r="AL1030" s="313"/>
      <c r="AM1030" s="313"/>
      <c r="AN1030" s="313"/>
      <c r="AO1030" s="313"/>
      <c r="AP1030" s="313"/>
      <c r="AQ1030" s="314"/>
      <c r="AR1030" s="315" t="str">
        <f t="shared" si="70"/>
        <v/>
      </c>
      <c r="BH1030" s="321" t="str">
        <f t="shared" si="71"/>
        <v/>
      </c>
      <c r="BI1030" s="98" t="str">
        <f t="shared" si="72"/>
        <v>INDENIZAÇÃO</v>
      </c>
      <c r="BJ1030" s="98" t="str">
        <f t="shared" si="73"/>
        <v>NÃO</v>
      </c>
    </row>
    <row r="1031" spans="1:62" ht="27" hidden="1" customHeight="1">
      <c r="A1031" s="207">
        <v>1027</v>
      </c>
      <c r="B1031" s="197"/>
      <c r="AK1031" s="313"/>
      <c r="AL1031" s="313"/>
      <c r="AM1031" s="313"/>
      <c r="AN1031" s="313"/>
      <c r="AO1031" s="313"/>
      <c r="AP1031" s="313"/>
      <c r="AQ1031" s="314"/>
      <c r="AR1031" s="315" t="str">
        <f t="shared" si="70"/>
        <v/>
      </c>
      <c r="BH1031" s="321" t="str">
        <f t="shared" si="71"/>
        <v/>
      </c>
      <c r="BI1031" s="98" t="str">
        <f t="shared" si="72"/>
        <v>INDENIZAÇÃO</v>
      </c>
      <c r="BJ1031" s="98" t="str">
        <f t="shared" si="73"/>
        <v>NÃO</v>
      </c>
    </row>
    <row r="1032" spans="1:62" ht="27" hidden="1" customHeight="1">
      <c r="A1032" s="207">
        <v>1028</v>
      </c>
      <c r="B1032" s="197"/>
      <c r="AK1032" s="313"/>
      <c r="AL1032" s="313"/>
      <c r="AM1032" s="313"/>
      <c r="AN1032" s="313"/>
      <c r="AO1032" s="313"/>
      <c r="AP1032" s="313"/>
      <c r="AQ1032" s="314"/>
      <c r="AR1032" s="315" t="str">
        <f t="shared" si="70"/>
        <v/>
      </c>
      <c r="BH1032" s="321" t="str">
        <f t="shared" si="71"/>
        <v/>
      </c>
      <c r="BI1032" s="98" t="str">
        <f t="shared" si="72"/>
        <v>INDENIZAÇÃO</v>
      </c>
      <c r="BJ1032" s="98" t="str">
        <f t="shared" si="73"/>
        <v>NÃO</v>
      </c>
    </row>
    <row r="1033" spans="1:62" ht="27" hidden="1" customHeight="1">
      <c r="A1033" s="207">
        <v>1029</v>
      </c>
      <c r="B1033" s="197"/>
      <c r="AK1033" s="313"/>
      <c r="AL1033" s="313"/>
      <c r="AM1033" s="313"/>
      <c r="AN1033" s="313"/>
      <c r="AO1033" s="313"/>
      <c r="AP1033" s="313"/>
      <c r="AQ1033" s="314"/>
      <c r="AR1033" s="315" t="str">
        <f t="shared" si="70"/>
        <v/>
      </c>
      <c r="BH1033" s="321" t="str">
        <f t="shared" si="71"/>
        <v/>
      </c>
      <c r="BI1033" s="98" t="str">
        <f t="shared" si="72"/>
        <v>INDENIZAÇÃO</v>
      </c>
      <c r="BJ1033" s="98" t="str">
        <f t="shared" si="73"/>
        <v>NÃO</v>
      </c>
    </row>
    <row r="1034" spans="1:62" ht="27" hidden="1" customHeight="1">
      <c r="A1034" s="197">
        <v>1030</v>
      </c>
      <c r="B1034" s="197"/>
      <c r="AK1034" s="313"/>
      <c r="AL1034" s="313"/>
      <c r="AM1034" s="313"/>
      <c r="AN1034" s="313"/>
      <c r="AO1034" s="313"/>
      <c r="AP1034" s="313"/>
      <c r="AQ1034" s="314"/>
      <c r="AR1034" s="315" t="str">
        <f t="shared" si="70"/>
        <v/>
      </c>
      <c r="BH1034" s="321" t="str">
        <f t="shared" si="71"/>
        <v/>
      </c>
      <c r="BI1034" s="98" t="str">
        <f t="shared" si="72"/>
        <v>INDENIZAÇÃO</v>
      </c>
      <c r="BJ1034" s="98" t="str">
        <f t="shared" si="73"/>
        <v>NÃO</v>
      </c>
    </row>
    <row r="1035" spans="1:62" ht="27" hidden="1" customHeight="1">
      <c r="A1035" s="197">
        <v>1031</v>
      </c>
      <c r="B1035" s="197"/>
      <c r="AK1035" s="313"/>
      <c r="AL1035" s="313"/>
      <c r="AM1035" s="313"/>
      <c r="AN1035" s="313"/>
      <c r="AO1035" s="313"/>
      <c r="AP1035" s="313"/>
      <c r="AQ1035" s="314"/>
      <c r="AR1035" s="315" t="str">
        <f t="shared" si="70"/>
        <v/>
      </c>
      <c r="BH1035" s="321" t="str">
        <f t="shared" si="71"/>
        <v/>
      </c>
      <c r="BI1035" s="98" t="str">
        <f t="shared" si="72"/>
        <v>INDENIZAÇÃO</v>
      </c>
      <c r="BJ1035" s="98" t="str">
        <f t="shared" si="73"/>
        <v>NÃO</v>
      </c>
    </row>
    <row r="1036" spans="1:62" ht="27" hidden="1" customHeight="1">
      <c r="A1036" s="207">
        <v>1032</v>
      </c>
      <c r="B1036" s="197"/>
      <c r="AK1036" s="313"/>
      <c r="AL1036" s="313"/>
      <c r="AM1036" s="313"/>
      <c r="AN1036" s="313"/>
      <c r="AO1036" s="313"/>
      <c r="AP1036" s="313"/>
      <c r="AQ1036" s="314"/>
      <c r="AR1036" s="315" t="str">
        <f t="shared" si="70"/>
        <v/>
      </c>
      <c r="BH1036" s="321" t="str">
        <f t="shared" si="71"/>
        <v/>
      </c>
      <c r="BI1036" s="98" t="str">
        <f t="shared" si="72"/>
        <v>INDENIZAÇÃO</v>
      </c>
      <c r="BJ1036" s="98" t="str">
        <f t="shared" si="73"/>
        <v>NÃO</v>
      </c>
    </row>
    <row r="1037" spans="1:62" ht="27" hidden="1" customHeight="1">
      <c r="A1037" s="207">
        <v>1033</v>
      </c>
      <c r="B1037" s="197"/>
      <c r="AK1037" s="313"/>
      <c r="AL1037" s="313"/>
      <c r="AM1037" s="313"/>
      <c r="AN1037" s="313"/>
      <c r="AO1037" s="313"/>
      <c r="AP1037" s="313"/>
      <c r="AQ1037" s="314"/>
      <c r="AR1037" s="315" t="str">
        <f t="shared" si="70"/>
        <v/>
      </c>
      <c r="BH1037" s="321" t="str">
        <f t="shared" si="71"/>
        <v/>
      </c>
      <c r="BI1037" s="98" t="str">
        <f t="shared" si="72"/>
        <v>INDENIZAÇÃO</v>
      </c>
      <c r="BJ1037" s="98" t="str">
        <f t="shared" si="73"/>
        <v>NÃO</v>
      </c>
    </row>
    <row r="1038" spans="1:62" ht="27" hidden="1" customHeight="1">
      <c r="A1038" s="207">
        <v>1034</v>
      </c>
      <c r="B1038" s="197"/>
      <c r="AK1038" s="313"/>
      <c r="AL1038" s="313"/>
      <c r="AM1038" s="313"/>
      <c r="AN1038" s="313"/>
      <c r="AO1038" s="313"/>
      <c r="AP1038" s="313"/>
      <c r="AQ1038" s="314"/>
      <c r="AR1038" s="315" t="str">
        <f t="shared" si="70"/>
        <v/>
      </c>
      <c r="BH1038" s="321" t="str">
        <f t="shared" si="71"/>
        <v/>
      </c>
      <c r="BI1038" s="98" t="str">
        <f t="shared" si="72"/>
        <v>INDENIZAÇÃO</v>
      </c>
      <c r="BJ1038" s="98" t="str">
        <f t="shared" si="73"/>
        <v>NÃO</v>
      </c>
    </row>
    <row r="1039" spans="1:62" ht="27" hidden="1" customHeight="1">
      <c r="A1039" s="197">
        <v>1035</v>
      </c>
      <c r="B1039" s="197"/>
      <c r="AK1039" s="313"/>
      <c r="AL1039" s="313"/>
      <c r="AM1039" s="313"/>
      <c r="AN1039" s="313"/>
      <c r="AO1039" s="313"/>
      <c r="AP1039" s="313"/>
      <c r="AQ1039" s="314"/>
      <c r="AR1039" s="315" t="str">
        <f t="shared" si="70"/>
        <v/>
      </c>
      <c r="BH1039" s="321" t="str">
        <f t="shared" si="71"/>
        <v/>
      </c>
      <c r="BI1039" s="98" t="str">
        <f t="shared" si="72"/>
        <v>INDENIZAÇÃO</v>
      </c>
      <c r="BJ1039" s="98" t="str">
        <f t="shared" si="73"/>
        <v>NÃO</v>
      </c>
    </row>
    <row r="1040" spans="1:62" ht="27" hidden="1" customHeight="1">
      <c r="A1040" s="197">
        <v>1036</v>
      </c>
      <c r="B1040" s="197"/>
      <c r="AK1040" s="313"/>
      <c r="AL1040" s="313"/>
      <c r="AM1040" s="313"/>
      <c r="AN1040" s="313"/>
      <c r="AO1040" s="313"/>
      <c r="AP1040" s="313"/>
      <c r="AQ1040" s="314"/>
      <c r="AR1040" s="315" t="str">
        <f t="shared" si="70"/>
        <v/>
      </c>
      <c r="BH1040" s="321" t="str">
        <f t="shared" si="71"/>
        <v/>
      </c>
      <c r="BI1040" s="98" t="str">
        <f t="shared" si="72"/>
        <v>INDENIZAÇÃO</v>
      </c>
      <c r="BJ1040" s="98" t="str">
        <f t="shared" si="73"/>
        <v>NÃO</v>
      </c>
    </row>
    <row r="1041" spans="1:62" ht="27" hidden="1" customHeight="1">
      <c r="A1041" s="207">
        <v>1037</v>
      </c>
      <c r="B1041" s="197"/>
      <c r="AK1041" s="313"/>
      <c r="AL1041" s="313"/>
      <c r="AM1041" s="313"/>
      <c r="AN1041" s="313"/>
      <c r="AO1041" s="313"/>
      <c r="AP1041" s="313"/>
      <c r="AQ1041" s="314"/>
      <c r="AR1041" s="315" t="str">
        <f t="shared" si="70"/>
        <v/>
      </c>
      <c r="BH1041" s="321" t="str">
        <f t="shared" si="71"/>
        <v/>
      </c>
      <c r="BI1041" s="98" t="str">
        <f t="shared" si="72"/>
        <v>INDENIZAÇÃO</v>
      </c>
      <c r="BJ1041" s="98" t="str">
        <f t="shared" si="73"/>
        <v>NÃO</v>
      </c>
    </row>
    <row r="1042" spans="1:62" ht="27" hidden="1" customHeight="1">
      <c r="A1042" s="207">
        <v>1038</v>
      </c>
      <c r="B1042" s="197"/>
      <c r="AK1042" s="313"/>
      <c r="AL1042" s="313"/>
      <c r="AM1042" s="313"/>
      <c r="AN1042" s="313"/>
      <c r="AO1042" s="313"/>
      <c r="AP1042" s="313"/>
      <c r="AQ1042" s="314"/>
      <c r="AR1042" s="315" t="str">
        <f t="shared" si="70"/>
        <v/>
      </c>
      <c r="BH1042" s="321" t="str">
        <f t="shared" si="71"/>
        <v/>
      </c>
      <c r="BI1042" s="98" t="str">
        <f t="shared" si="72"/>
        <v>INDENIZAÇÃO</v>
      </c>
      <c r="BJ1042" s="98" t="str">
        <f t="shared" si="73"/>
        <v>NÃO</v>
      </c>
    </row>
    <row r="1043" spans="1:62" ht="27" hidden="1" customHeight="1">
      <c r="A1043" s="207">
        <v>1039</v>
      </c>
      <c r="B1043" s="197"/>
      <c r="AK1043" s="313"/>
      <c r="AL1043" s="313"/>
      <c r="AM1043" s="313"/>
      <c r="AN1043" s="313"/>
      <c r="AO1043" s="313"/>
      <c r="AP1043" s="313"/>
      <c r="AQ1043" s="314"/>
      <c r="AR1043" s="315" t="str">
        <f t="shared" si="70"/>
        <v/>
      </c>
      <c r="BH1043" s="321" t="str">
        <f t="shared" si="71"/>
        <v/>
      </c>
      <c r="BI1043" s="98" t="str">
        <f t="shared" si="72"/>
        <v>INDENIZAÇÃO</v>
      </c>
      <c r="BJ1043" s="98" t="str">
        <f t="shared" si="73"/>
        <v>NÃO</v>
      </c>
    </row>
    <row r="1044" spans="1:62" ht="27" hidden="1" customHeight="1">
      <c r="A1044" s="197">
        <v>1040</v>
      </c>
      <c r="B1044" s="197"/>
      <c r="AK1044" s="313"/>
      <c r="AL1044" s="313"/>
      <c r="AM1044" s="313"/>
      <c r="AN1044" s="313"/>
      <c r="AO1044" s="313"/>
      <c r="AP1044" s="313"/>
      <c r="AQ1044" s="314"/>
      <c r="AR1044" s="315" t="str">
        <f t="shared" si="70"/>
        <v/>
      </c>
      <c r="BH1044" s="321" t="str">
        <f t="shared" si="71"/>
        <v/>
      </c>
      <c r="BI1044" s="98" t="str">
        <f t="shared" si="72"/>
        <v>INDENIZAÇÃO</v>
      </c>
      <c r="BJ1044" s="98" t="str">
        <f t="shared" si="73"/>
        <v>NÃO</v>
      </c>
    </row>
    <row r="1045" spans="1:62" ht="27" hidden="1" customHeight="1">
      <c r="A1045" s="197">
        <v>1041</v>
      </c>
      <c r="B1045" s="197"/>
      <c r="AK1045" s="313"/>
      <c r="AL1045" s="313"/>
      <c r="AM1045" s="313"/>
      <c r="AN1045" s="313"/>
      <c r="AO1045" s="313"/>
      <c r="AP1045" s="313"/>
      <c r="AQ1045" s="314"/>
      <c r="AR1045" s="315" t="str">
        <f t="shared" si="70"/>
        <v/>
      </c>
      <c r="BH1045" s="321" t="str">
        <f t="shared" si="71"/>
        <v/>
      </c>
      <c r="BI1045" s="98" t="str">
        <f t="shared" si="72"/>
        <v>INDENIZAÇÃO</v>
      </c>
      <c r="BJ1045" s="98" t="str">
        <f t="shared" si="73"/>
        <v>NÃO</v>
      </c>
    </row>
    <row r="1046" spans="1:62" ht="27" hidden="1" customHeight="1">
      <c r="A1046" s="207">
        <v>1042</v>
      </c>
      <c r="B1046" s="197"/>
      <c r="AK1046" s="313"/>
      <c r="AL1046" s="313"/>
      <c r="AM1046" s="313"/>
      <c r="AN1046" s="313"/>
      <c r="AO1046" s="313"/>
      <c r="AP1046" s="313"/>
      <c r="AQ1046" s="314"/>
      <c r="AR1046" s="315" t="str">
        <f t="shared" si="70"/>
        <v/>
      </c>
      <c r="BH1046" s="321" t="str">
        <f t="shared" si="71"/>
        <v/>
      </c>
      <c r="BI1046" s="98" t="str">
        <f t="shared" si="72"/>
        <v>INDENIZAÇÃO</v>
      </c>
      <c r="BJ1046" s="98" t="str">
        <f t="shared" si="73"/>
        <v>NÃO</v>
      </c>
    </row>
    <row r="1047" spans="1:62" ht="27" hidden="1" customHeight="1">
      <c r="A1047" s="207">
        <v>1043</v>
      </c>
      <c r="B1047" s="197"/>
      <c r="AK1047" s="313"/>
      <c r="AL1047" s="313"/>
      <c r="AM1047" s="313"/>
      <c r="AN1047" s="313"/>
      <c r="AO1047" s="313"/>
      <c r="AP1047" s="313"/>
      <c r="AQ1047" s="314"/>
      <c r="AR1047" s="315" t="str">
        <f t="shared" si="70"/>
        <v/>
      </c>
      <c r="BH1047" s="321" t="str">
        <f t="shared" si="71"/>
        <v/>
      </c>
      <c r="BI1047" s="98" t="str">
        <f t="shared" si="72"/>
        <v>INDENIZAÇÃO</v>
      </c>
      <c r="BJ1047" s="98" t="str">
        <f t="shared" si="73"/>
        <v>NÃO</v>
      </c>
    </row>
    <row r="1048" spans="1:62" ht="27" hidden="1" customHeight="1">
      <c r="A1048" s="207">
        <v>1044</v>
      </c>
      <c r="B1048" s="197"/>
      <c r="AK1048" s="313"/>
      <c r="AL1048" s="313"/>
      <c r="AM1048" s="313"/>
      <c r="AN1048" s="313"/>
      <c r="AO1048" s="313"/>
      <c r="AP1048" s="313"/>
      <c r="AQ1048" s="314"/>
      <c r="AR1048" s="315" t="str">
        <f t="shared" si="70"/>
        <v/>
      </c>
      <c r="BH1048" s="321" t="str">
        <f t="shared" si="71"/>
        <v/>
      </c>
      <c r="BI1048" s="98" t="str">
        <f t="shared" si="72"/>
        <v>INDENIZAÇÃO</v>
      </c>
      <c r="BJ1048" s="98" t="str">
        <f t="shared" si="73"/>
        <v>NÃO</v>
      </c>
    </row>
    <row r="1049" spans="1:62" ht="27" hidden="1" customHeight="1">
      <c r="A1049" s="197">
        <v>1045</v>
      </c>
      <c r="B1049" s="197"/>
      <c r="AK1049" s="313"/>
      <c r="AL1049" s="313"/>
      <c r="AM1049" s="313"/>
      <c r="AN1049" s="313"/>
      <c r="AO1049" s="313"/>
      <c r="AP1049" s="313"/>
      <c r="AQ1049" s="314"/>
      <c r="AR1049" s="315" t="str">
        <f t="shared" si="70"/>
        <v/>
      </c>
      <c r="BH1049" s="321" t="str">
        <f t="shared" si="71"/>
        <v/>
      </c>
      <c r="BI1049" s="98" t="str">
        <f t="shared" si="72"/>
        <v>INDENIZAÇÃO</v>
      </c>
      <c r="BJ1049" s="98" t="str">
        <f t="shared" si="73"/>
        <v>NÃO</v>
      </c>
    </row>
    <row r="1050" spans="1:62" ht="27" hidden="1" customHeight="1">
      <c r="A1050" s="197">
        <v>1046</v>
      </c>
      <c r="B1050" s="197"/>
      <c r="AK1050" s="313"/>
      <c r="AL1050" s="313"/>
      <c r="AM1050" s="313"/>
      <c r="AN1050" s="313"/>
      <c r="AO1050" s="313"/>
      <c r="AP1050" s="313"/>
      <c r="AQ1050" s="314"/>
      <c r="AR1050" s="315" t="str">
        <f t="shared" si="70"/>
        <v/>
      </c>
      <c r="BH1050" s="321" t="str">
        <f t="shared" si="71"/>
        <v/>
      </c>
      <c r="BI1050" s="98" t="str">
        <f t="shared" si="72"/>
        <v>INDENIZAÇÃO</v>
      </c>
      <c r="BJ1050" s="98" t="str">
        <f t="shared" si="73"/>
        <v>NÃO</v>
      </c>
    </row>
    <row r="1051" spans="1:62" ht="27" hidden="1" customHeight="1">
      <c r="A1051" s="207">
        <v>1047</v>
      </c>
      <c r="B1051" s="197"/>
      <c r="AK1051" s="313"/>
      <c r="AL1051" s="313"/>
      <c r="AM1051" s="313"/>
      <c r="AN1051" s="313"/>
      <c r="AO1051" s="313"/>
      <c r="AP1051" s="313"/>
      <c r="AQ1051" s="314"/>
      <c r="AR1051" s="315" t="str">
        <f t="shared" si="70"/>
        <v/>
      </c>
      <c r="BH1051" s="321" t="str">
        <f t="shared" si="71"/>
        <v/>
      </c>
      <c r="BI1051" s="98" t="str">
        <f t="shared" si="72"/>
        <v>INDENIZAÇÃO</v>
      </c>
      <c r="BJ1051" s="98" t="str">
        <f t="shared" si="73"/>
        <v>NÃO</v>
      </c>
    </row>
    <row r="1052" spans="1:62" ht="27" hidden="1" customHeight="1">
      <c r="A1052" s="207">
        <v>1048</v>
      </c>
      <c r="B1052" s="197"/>
      <c r="AK1052" s="313"/>
      <c r="AL1052" s="313"/>
      <c r="AM1052" s="313"/>
      <c r="AN1052" s="313"/>
      <c r="AO1052" s="313"/>
      <c r="AP1052" s="313"/>
      <c r="AQ1052" s="314"/>
      <c r="AR1052" s="315" t="str">
        <f t="shared" si="70"/>
        <v/>
      </c>
      <c r="BH1052" s="321" t="str">
        <f t="shared" si="71"/>
        <v/>
      </c>
      <c r="BI1052" s="98" t="str">
        <f t="shared" si="72"/>
        <v>INDENIZAÇÃO</v>
      </c>
      <c r="BJ1052" s="98" t="str">
        <f t="shared" si="73"/>
        <v>NÃO</v>
      </c>
    </row>
    <row r="1053" spans="1:62" ht="27" hidden="1" customHeight="1">
      <c r="A1053" s="207">
        <v>1049</v>
      </c>
      <c r="B1053" s="197"/>
      <c r="AK1053" s="313"/>
      <c r="AL1053" s="313"/>
      <c r="AM1053" s="313"/>
      <c r="AN1053" s="313"/>
      <c r="AO1053" s="313"/>
      <c r="AP1053" s="313"/>
      <c r="AQ1053" s="314"/>
      <c r="AR1053" s="315" t="str">
        <f t="shared" si="70"/>
        <v/>
      </c>
      <c r="BH1053" s="321" t="str">
        <f t="shared" si="71"/>
        <v/>
      </c>
      <c r="BI1053" s="98" t="str">
        <f t="shared" si="72"/>
        <v>INDENIZAÇÃO</v>
      </c>
      <c r="BJ1053" s="98" t="str">
        <f t="shared" si="73"/>
        <v>NÃO</v>
      </c>
    </row>
    <row r="1054" spans="1:62" ht="27" hidden="1" customHeight="1">
      <c r="A1054" s="197">
        <v>1050</v>
      </c>
      <c r="B1054" s="197"/>
      <c r="AK1054" s="313"/>
      <c r="AL1054" s="313"/>
      <c r="AM1054" s="313"/>
      <c r="AN1054" s="313"/>
      <c r="AO1054" s="313"/>
      <c r="AP1054" s="313"/>
      <c r="AQ1054" s="314"/>
      <c r="AR1054" s="315" t="str">
        <f t="shared" si="70"/>
        <v/>
      </c>
      <c r="BH1054" s="321" t="str">
        <f t="shared" si="71"/>
        <v/>
      </c>
      <c r="BI1054" s="98" t="str">
        <f t="shared" si="72"/>
        <v>INDENIZAÇÃO</v>
      </c>
      <c r="BJ1054" s="98" t="str">
        <f t="shared" si="73"/>
        <v>NÃO</v>
      </c>
    </row>
    <row r="1055" spans="1:62" ht="27" hidden="1" customHeight="1">
      <c r="A1055" s="197">
        <v>1051</v>
      </c>
      <c r="B1055" s="197"/>
      <c r="AK1055" s="313"/>
      <c r="AL1055" s="313"/>
      <c r="AM1055" s="313"/>
      <c r="AN1055" s="313"/>
      <c r="AO1055" s="313"/>
      <c r="AP1055" s="313"/>
      <c r="AQ1055" s="314"/>
      <c r="AR1055" s="315" t="str">
        <f t="shared" si="70"/>
        <v/>
      </c>
      <c r="BH1055" s="321" t="str">
        <f t="shared" si="71"/>
        <v/>
      </c>
      <c r="BI1055" s="98" t="str">
        <f t="shared" si="72"/>
        <v>INDENIZAÇÃO</v>
      </c>
      <c r="BJ1055" s="98" t="str">
        <f t="shared" si="73"/>
        <v>NÃO</v>
      </c>
    </row>
    <row r="1056" spans="1:62" ht="27" hidden="1" customHeight="1">
      <c r="A1056" s="207">
        <v>1052</v>
      </c>
      <c r="B1056" s="197"/>
      <c r="AK1056" s="313"/>
      <c r="AL1056" s="313"/>
      <c r="AM1056" s="313"/>
      <c r="AN1056" s="313"/>
      <c r="AO1056" s="313"/>
      <c r="AP1056" s="313"/>
      <c r="AQ1056" s="314"/>
      <c r="AR1056" s="315" t="str">
        <f t="shared" si="70"/>
        <v/>
      </c>
      <c r="BH1056" s="321" t="str">
        <f t="shared" si="71"/>
        <v/>
      </c>
      <c r="BI1056" s="98" t="str">
        <f t="shared" si="72"/>
        <v>INDENIZAÇÃO</v>
      </c>
      <c r="BJ1056" s="98" t="str">
        <f t="shared" si="73"/>
        <v>NÃO</v>
      </c>
    </row>
    <row r="1057" spans="1:62" ht="27" hidden="1" customHeight="1">
      <c r="A1057" s="207">
        <v>1053</v>
      </c>
      <c r="B1057" s="197"/>
      <c r="AK1057" s="313"/>
      <c r="AL1057" s="313"/>
      <c r="AM1057" s="313"/>
      <c r="AN1057" s="313"/>
      <c r="AO1057" s="313"/>
      <c r="AP1057" s="313"/>
      <c r="AQ1057" s="314"/>
      <c r="AR1057" s="315" t="str">
        <f t="shared" si="70"/>
        <v/>
      </c>
      <c r="BH1057" s="321" t="str">
        <f t="shared" si="71"/>
        <v/>
      </c>
      <c r="BI1057" s="98" t="str">
        <f t="shared" si="72"/>
        <v>INDENIZAÇÃO</v>
      </c>
      <c r="BJ1057" s="98" t="str">
        <f t="shared" si="73"/>
        <v>NÃO</v>
      </c>
    </row>
    <row r="1058" spans="1:62" ht="27" hidden="1" customHeight="1">
      <c r="A1058" s="207">
        <v>1054</v>
      </c>
      <c r="B1058" s="197"/>
      <c r="AK1058" s="313"/>
      <c r="AL1058" s="313"/>
      <c r="AM1058" s="313"/>
      <c r="AN1058" s="313"/>
      <c r="AO1058" s="313"/>
      <c r="AP1058" s="313"/>
      <c r="AQ1058" s="314"/>
      <c r="AR1058" s="315" t="str">
        <f t="shared" si="70"/>
        <v/>
      </c>
      <c r="BH1058" s="321" t="str">
        <f t="shared" si="71"/>
        <v/>
      </c>
      <c r="BI1058" s="98" t="str">
        <f t="shared" si="72"/>
        <v>INDENIZAÇÃO</v>
      </c>
      <c r="BJ1058" s="98" t="str">
        <f t="shared" si="73"/>
        <v>NÃO</v>
      </c>
    </row>
    <row r="1059" spans="1:62" ht="27" hidden="1" customHeight="1">
      <c r="A1059" s="197">
        <v>1055</v>
      </c>
      <c r="B1059" s="197"/>
      <c r="AK1059" s="313"/>
      <c r="AL1059" s="313"/>
      <c r="AM1059" s="313"/>
      <c r="AN1059" s="313"/>
      <c r="AO1059" s="313"/>
      <c r="AP1059" s="313"/>
      <c r="AQ1059" s="314"/>
      <c r="AR1059" s="315" t="str">
        <f t="shared" si="70"/>
        <v/>
      </c>
      <c r="BH1059" s="321" t="str">
        <f t="shared" si="71"/>
        <v/>
      </c>
      <c r="BI1059" s="98" t="str">
        <f t="shared" si="72"/>
        <v>INDENIZAÇÃO</v>
      </c>
      <c r="BJ1059" s="98" t="str">
        <f t="shared" si="73"/>
        <v>NÃO</v>
      </c>
    </row>
    <row r="1060" spans="1:62" ht="27" hidden="1" customHeight="1">
      <c r="A1060" s="197">
        <v>1056</v>
      </c>
      <c r="B1060" s="197"/>
      <c r="AK1060" s="313"/>
      <c r="AL1060" s="313"/>
      <c r="AM1060" s="313"/>
      <c r="AN1060" s="313"/>
      <c r="AO1060" s="313"/>
      <c r="AP1060" s="313"/>
      <c r="AQ1060" s="314"/>
      <c r="AR1060" s="315" t="str">
        <f t="shared" si="70"/>
        <v/>
      </c>
      <c r="BH1060" s="321" t="str">
        <f t="shared" si="71"/>
        <v/>
      </c>
      <c r="BI1060" s="98" t="str">
        <f t="shared" si="72"/>
        <v>INDENIZAÇÃO</v>
      </c>
      <c r="BJ1060" s="98" t="str">
        <f t="shared" si="73"/>
        <v>NÃO</v>
      </c>
    </row>
    <row r="1061" spans="1:62" ht="27" hidden="1" customHeight="1">
      <c r="A1061" s="207">
        <v>1057</v>
      </c>
      <c r="B1061" s="197"/>
      <c r="AK1061" s="313"/>
      <c r="AL1061" s="313"/>
      <c r="AM1061" s="313"/>
      <c r="AN1061" s="313"/>
      <c r="AO1061" s="313"/>
      <c r="AP1061" s="313"/>
      <c r="AQ1061" s="314"/>
      <c r="AR1061" s="315" t="str">
        <f t="shared" si="70"/>
        <v/>
      </c>
      <c r="BH1061" s="321" t="str">
        <f t="shared" si="71"/>
        <v/>
      </c>
      <c r="BI1061" s="98" t="str">
        <f t="shared" si="72"/>
        <v>INDENIZAÇÃO</v>
      </c>
      <c r="BJ1061" s="98" t="str">
        <f t="shared" si="73"/>
        <v>NÃO</v>
      </c>
    </row>
    <row r="1062" spans="1:62" ht="27" hidden="1" customHeight="1">
      <c r="A1062" s="207">
        <v>1058</v>
      </c>
      <c r="B1062" s="197"/>
      <c r="AK1062" s="313"/>
      <c r="AL1062" s="313"/>
      <c r="AM1062" s="313"/>
      <c r="AN1062" s="313"/>
      <c r="AO1062" s="313"/>
      <c r="AP1062" s="313"/>
      <c r="AQ1062" s="314"/>
      <c r="AR1062" s="315" t="str">
        <f t="shared" si="70"/>
        <v/>
      </c>
      <c r="BH1062" s="321" t="str">
        <f t="shared" si="71"/>
        <v/>
      </c>
      <c r="BI1062" s="98" t="str">
        <f t="shared" si="72"/>
        <v>INDENIZAÇÃO</v>
      </c>
      <c r="BJ1062" s="98" t="str">
        <f t="shared" si="73"/>
        <v>NÃO</v>
      </c>
    </row>
    <row r="1063" spans="1:62" ht="27" hidden="1" customHeight="1">
      <c r="A1063" s="207">
        <v>1059</v>
      </c>
      <c r="B1063" s="197"/>
      <c r="AK1063" s="313"/>
      <c r="AL1063" s="313"/>
      <c r="AM1063" s="313"/>
      <c r="AN1063" s="313"/>
      <c r="AO1063" s="313"/>
      <c r="AP1063" s="313"/>
      <c r="AQ1063" s="314"/>
      <c r="AR1063" s="315" t="str">
        <f t="shared" si="70"/>
        <v/>
      </c>
      <c r="BH1063" s="321" t="str">
        <f t="shared" si="71"/>
        <v/>
      </c>
      <c r="BI1063" s="98" t="str">
        <f t="shared" si="72"/>
        <v>INDENIZAÇÃO</v>
      </c>
      <c r="BJ1063" s="98" t="str">
        <f t="shared" si="73"/>
        <v>NÃO</v>
      </c>
    </row>
    <row r="1064" spans="1:62" ht="27" hidden="1" customHeight="1">
      <c r="A1064" s="197">
        <v>1060</v>
      </c>
      <c r="B1064" s="197"/>
      <c r="AK1064" s="313"/>
      <c r="AL1064" s="313"/>
      <c r="AM1064" s="313"/>
      <c r="AN1064" s="313"/>
      <c r="AO1064" s="313"/>
      <c r="AP1064" s="313"/>
      <c r="AQ1064" s="314"/>
      <c r="AR1064" s="315" t="str">
        <f t="shared" si="70"/>
        <v/>
      </c>
      <c r="BH1064" s="321" t="str">
        <f t="shared" si="71"/>
        <v/>
      </c>
      <c r="BI1064" s="98" t="str">
        <f t="shared" si="72"/>
        <v>INDENIZAÇÃO</v>
      </c>
      <c r="BJ1064" s="98" t="str">
        <f t="shared" si="73"/>
        <v>NÃO</v>
      </c>
    </row>
    <row r="1065" spans="1:62" ht="27" hidden="1" customHeight="1">
      <c r="A1065" s="197">
        <v>1061</v>
      </c>
      <c r="B1065" s="197"/>
      <c r="AK1065" s="313"/>
      <c r="AL1065" s="313"/>
      <c r="AM1065" s="313"/>
      <c r="AN1065" s="313"/>
      <c r="AO1065" s="313"/>
      <c r="AP1065" s="313"/>
      <c r="AQ1065" s="314"/>
      <c r="AR1065" s="315" t="str">
        <f t="shared" si="70"/>
        <v/>
      </c>
      <c r="BH1065" s="321" t="str">
        <f t="shared" si="71"/>
        <v/>
      </c>
      <c r="BI1065" s="98" t="str">
        <f t="shared" si="72"/>
        <v>INDENIZAÇÃO</v>
      </c>
      <c r="BJ1065" s="98" t="str">
        <f t="shared" si="73"/>
        <v>NÃO</v>
      </c>
    </row>
    <row r="1066" spans="1:62" ht="27" hidden="1" customHeight="1">
      <c r="A1066" s="207">
        <v>1062</v>
      </c>
      <c r="B1066" s="197"/>
      <c r="AK1066" s="313"/>
      <c r="AL1066" s="313"/>
      <c r="AM1066" s="313"/>
      <c r="AN1066" s="313"/>
      <c r="AO1066" s="313"/>
      <c r="AP1066" s="313"/>
      <c r="AQ1066" s="314"/>
      <c r="AR1066" s="315" t="str">
        <f t="shared" si="70"/>
        <v/>
      </c>
      <c r="BH1066" s="321" t="str">
        <f t="shared" si="71"/>
        <v/>
      </c>
      <c r="BI1066" s="98" t="str">
        <f t="shared" si="72"/>
        <v>INDENIZAÇÃO</v>
      </c>
      <c r="BJ1066" s="98" t="str">
        <f t="shared" si="73"/>
        <v>NÃO</v>
      </c>
    </row>
    <row r="1067" spans="1:62" ht="27" hidden="1" customHeight="1">
      <c r="A1067" s="207">
        <v>1063</v>
      </c>
      <c r="B1067" s="197"/>
      <c r="AK1067" s="313"/>
      <c r="AL1067" s="313"/>
      <c r="AM1067" s="313"/>
      <c r="AN1067" s="313"/>
      <c r="AO1067" s="313"/>
      <c r="AP1067" s="313"/>
      <c r="AQ1067" s="314"/>
      <c r="AR1067" s="315" t="str">
        <f t="shared" si="70"/>
        <v/>
      </c>
      <c r="BH1067" s="321" t="str">
        <f t="shared" si="71"/>
        <v/>
      </c>
      <c r="BI1067" s="98" t="str">
        <f t="shared" si="72"/>
        <v>INDENIZAÇÃO</v>
      </c>
      <c r="BJ1067" s="98" t="str">
        <f t="shared" si="73"/>
        <v>NÃO</v>
      </c>
    </row>
    <row r="1068" spans="1:62" ht="27" hidden="1" customHeight="1">
      <c r="A1068" s="207">
        <v>1064</v>
      </c>
      <c r="B1068" s="197"/>
      <c r="AK1068" s="313"/>
      <c r="AL1068" s="313"/>
      <c r="AM1068" s="313"/>
      <c r="AN1068" s="313"/>
      <c r="AO1068" s="313"/>
      <c r="AP1068" s="313"/>
      <c r="AQ1068" s="314"/>
      <c r="AR1068" s="315" t="str">
        <f t="shared" si="70"/>
        <v/>
      </c>
      <c r="BH1068" s="321" t="str">
        <f t="shared" si="71"/>
        <v/>
      </c>
      <c r="BI1068" s="98" t="str">
        <f t="shared" si="72"/>
        <v>INDENIZAÇÃO</v>
      </c>
      <c r="BJ1068" s="98" t="str">
        <f t="shared" si="73"/>
        <v>NÃO</v>
      </c>
    </row>
    <row r="1069" spans="1:62" ht="27" hidden="1" customHeight="1">
      <c r="A1069" s="197">
        <v>1065</v>
      </c>
      <c r="B1069" s="197"/>
      <c r="AK1069" s="313"/>
      <c r="AL1069" s="313"/>
      <c r="AM1069" s="313"/>
      <c r="AN1069" s="313"/>
      <c r="AO1069" s="313"/>
      <c r="AP1069" s="313"/>
      <c r="AQ1069" s="314"/>
      <c r="AR1069" s="315" t="str">
        <f t="shared" si="70"/>
        <v/>
      </c>
      <c r="BH1069" s="321" t="str">
        <f t="shared" si="71"/>
        <v/>
      </c>
      <c r="BI1069" s="98" t="str">
        <f t="shared" si="72"/>
        <v>INDENIZAÇÃO</v>
      </c>
      <c r="BJ1069" s="98" t="str">
        <f t="shared" si="73"/>
        <v>NÃO</v>
      </c>
    </row>
    <row r="1070" spans="1:62" ht="27" hidden="1" customHeight="1">
      <c r="A1070" s="197">
        <v>1066</v>
      </c>
      <c r="B1070" s="197"/>
      <c r="AK1070" s="313"/>
      <c r="AL1070" s="313"/>
      <c r="AM1070" s="313"/>
      <c r="AN1070" s="313"/>
      <c r="AO1070" s="313"/>
      <c r="AP1070" s="313"/>
      <c r="AQ1070" s="314"/>
      <c r="AR1070" s="315" t="str">
        <f t="shared" si="70"/>
        <v/>
      </c>
      <c r="BH1070" s="321" t="str">
        <f t="shared" si="71"/>
        <v/>
      </c>
      <c r="BI1070" s="98" t="str">
        <f t="shared" si="72"/>
        <v>INDENIZAÇÃO</v>
      </c>
      <c r="BJ1070" s="98" t="str">
        <f t="shared" si="73"/>
        <v>NÃO</v>
      </c>
    </row>
    <row r="1071" spans="1:62" ht="27" hidden="1" customHeight="1">
      <c r="A1071" s="207">
        <v>1067</v>
      </c>
      <c r="B1071" s="197"/>
      <c r="AK1071" s="313"/>
      <c r="AL1071" s="313"/>
      <c r="AM1071" s="313"/>
      <c r="AN1071" s="313"/>
      <c r="AO1071" s="313"/>
      <c r="AP1071" s="313"/>
      <c r="AQ1071" s="314"/>
      <c r="AR1071" s="315" t="str">
        <f t="shared" si="70"/>
        <v/>
      </c>
      <c r="BH1071" s="321" t="str">
        <f t="shared" si="71"/>
        <v/>
      </c>
      <c r="BI1071" s="98" t="str">
        <f t="shared" si="72"/>
        <v>INDENIZAÇÃO</v>
      </c>
      <c r="BJ1071" s="98" t="str">
        <f t="shared" si="73"/>
        <v>NÃO</v>
      </c>
    </row>
    <row r="1072" spans="1:62" ht="27" hidden="1" customHeight="1">
      <c r="A1072" s="207">
        <v>1068</v>
      </c>
      <c r="B1072" s="197"/>
      <c r="AK1072" s="313"/>
      <c r="AL1072" s="313"/>
      <c r="AM1072" s="313"/>
      <c r="AN1072" s="313"/>
      <c r="AO1072" s="313"/>
      <c r="AP1072" s="313"/>
      <c r="AQ1072" s="314"/>
      <c r="AR1072" s="315" t="str">
        <f t="shared" si="70"/>
        <v/>
      </c>
      <c r="BH1072" s="321" t="str">
        <f t="shared" si="71"/>
        <v/>
      </c>
      <c r="BI1072" s="98" t="str">
        <f t="shared" si="72"/>
        <v>INDENIZAÇÃO</v>
      </c>
      <c r="BJ1072" s="98" t="str">
        <f t="shared" si="73"/>
        <v>NÃO</v>
      </c>
    </row>
    <row r="1073" spans="1:62" ht="27" hidden="1" customHeight="1">
      <c r="A1073" s="207">
        <v>1069</v>
      </c>
      <c r="B1073" s="197"/>
      <c r="AK1073" s="313"/>
      <c r="AL1073" s="313"/>
      <c r="AM1073" s="313"/>
      <c r="AN1073" s="313"/>
      <c r="AO1073" s="313"/>
      <c r="AP1073" s="313"/>
      <c r="AQ1073" s="314"/>
      <c r="AR1073" s="315" t="str">
        <f t="shared" si="70"/>
        <v/>
      </c>
      <c r="BH1073" s="321" t="str">
        <f t="shared" si="71"/>
        <v/>
      </c>
      <c r="BI1073" s="98" t="str">
        <f t="shared" si="72"/>
        <v>INDENIZAÇÃO</v>
      </c>
      <c r="BJ1073" s="98" t="str">
        <f t="shared" si="73"/>
        <v>NÃO</v>
      </c>
    </row>
    <row r="1074" spans="1:62" ht="27" hidden="1" customHeight="1">
      <c r="A1074" s="197">
        <v>1070</v>
      </c>
      <c r="B1074" s="197"/>
      <c r="AK1074" s="313"/>
      <c r="AL1074" s="313"/>
      <c r="AM1074" s="313"/>
      <c r="AN1074" s="313"/>
      <c r="AO1074" s="313"/>
      <c r="AP1074" s="313"/>
      <c r="AQ1074" s="314"/>
      <c r="AR1074" s="315" t="str">
        <f t="shared" si="70"/>
        <v/>
      </c>
      <c r="BH1074" s="321" t="str">
        <f t="shared" si="71"/>
        <v/>
      </c>
      <c r="BI1074" s="98" t="str">
        <f t="shared" si="72"/>
        <v>INDENIZAÇÃO</v>
      </c>
      <c r="BJ1074" s="98" t="str">
        <f t="shared" si="73"/>
        <v>NÃO</v>
      </c>
    </row>
    <row r="1075" spans="1:62" ht="27" hidden="1" customHeight="1">
      <c r="A1075" s="197">
        <v>1071</v>
      </c>
      <c r="B1075" s="197"/>
      <c r="AK1075" s="313"/>
      <c r="AL1075" s="313"/>
      <c r="AM1075" s="313"/>
      <c r="AN1075" s="313"/>
      <c r="AO1075" s="313"/>
      <c r="AP1075" s="313"/>
      <c r="AQ1075" s="314"/>
      <c r="AR1075" s="315" t="str">
        <f t="shared" si="70"/>
        <v/>
      </c>
      <c r="BH1075" s="321" t="str">
        <f t="shared" si="71"/>
        <v/>
      </c>
      <c r="BI1075" s="98" t="str">
        <f t="shared" si="72"/>
        <v>INDENIZAÇÃO</v>
      </c>
      <c r="BJ1075" s="98" t="str">
        <f t="shared" si="73"/>
        <v>NÃO</v>
      </c>
    </row>
    <row r="1076" spans="1:62" ht="27" hidden="1" customHeight="1">
      <c r="A1076" s="207">
        <v>1072</v>
      </c>
      <c r="B1076" s="197"/>
      <c r="AK1076" s="313"/>
      <c r="AL1076" s="313"/>
      <c r="AM1076" s="313"/>
      <c r="AN1076" s="313"/>
      <c r="AO1076" s="313"/>
      <c r="AP1076" s="313"/>
      <c r="AQ1076" s="314"/>
      <c r="AR1076" s="315" t="str">
        <f t="shared" si="70"/>
        <v/>
      </c>
      <c r="BH1076" s="321" t="str">
        <f t="shared" si="71"/>
        <v/>
      </c>
      <c r="BI1076" s="98" t="str">
        <f t="shared" si="72"/>
        <v>INDENIZAÇÃO</v>
      </c>
      <c r="BJ1076" s="98" t="str">
        <f t="shared" si="73"/>
        <v>NÃO</v>
      </c>
    </row>
    <row r="1077" spans="1:62" ht="27" hidden="1" customHeight="1">
      <c r="A1077" s="207">
        <v>1073</v>
      </c>
      <c r="B1077" s="197"/>
      <c r="AK1077" s="313"/>
      <c r="AL1077" s="313"/>
      <c r="AM1077" s="313"/>
      <c r="AN1077" s="313"/>
      <c r="AO1077" s="313"/>
      <c r="AP1077" s="313"/>
      <c r="AQ1077" s="314"/>
      <c r="AR1077" s="315" t="str">
        <f t="shared" si="70"/>
        <v/>
      </c>
      <c r="BH1077" s="321" t="str">
        <f t="shared" si="71"/>
        <v/>
      </c>
      <c r="BI1077" s="98" t="str">
        <f t="shared" si="72"/>
        <v>INDENIZAÇÃO</v>
      </c>
      <c r="BJ1077" s="98" t="str">
        <f t="shared" si="73"/>
        <v>NÃO</v>
      </c>
    </row>
    <row r="1078" spans="1:62" ht="27" hidden="1" customHeight="1">
      <c r="A1078" s="207">
        <v>1074</v>
      </c>
      <c r="B1078" s="197"/>
      <c r="AK1078" s="313"/>
      <c r="AL1078" s="313"/>
      <c r="AM1078" s="313"/>
      <c r="AN1078" s="313"/>
      <c r="AO1078" s="313"/>
      <c r="AP1078" s="313"/>
      <c r="AQ1078" s="314"/>
      <c r="AR1078" s="315" t="str">
        <f t="shared" si="70"/>
        <v/>
      </c>
      <c r="BH1078" s="321" t="str">
        <f t="shared" si="71"/>
        <v/>
      </c>
      <c r="BI1078" s="98" t="str">
        <f t="shared" si="72"/>
        <v>INDENIZAÇÃO</v>
      </c>
      <c r="BJ1078" s="98" t="str">
        <f t="shared" si="73"/>
        <v>NÃO</v>
      </c>
    </row>
    <row r="1079" spans="1:62" ht="27" hidden="1" customHeight="1">
      <c r="A1079" s="197">
        <v>1075</v>
      </c>
      <c r="B1079" s="197"/>
      <c r="AK1079" s="313"/>
      <c r="AL1079" s="313"/>
      <c r="AM1079" s="313"/>
      <c r="AN1079" s="313"/>
      <c r="AO1079" s="313"/>
      <c r="AP1079" s="313"/>
      <c r="AQ1079" s="314"/>
      <c r="AR1079" s="315" t="str">
        <f t="shared" si="70"/>
        <v/>
      </c>
      <c r="BH1079" s="321" t="str">
        <f t="shared" si="71"/>
        <v/>
      </c>
      <c r="BI1079" s="98" t="str">
        <f t="shared" si="72"/>
        <v>INDENIZAÇÃO</v>
      </c>
      <c r="BJ1079" s="98" t="str">
        <f t="shared" si="73"/>
        <v>NÃO</v>
      </c>
    </row>
    <row r="1080" spans="1:62" ht="27" hidden="1" customHeight="1">
      <c r="A1080" s="197">
        <v>1076</v>
      </c>
      <c r="B1080" s="197"/>
      <c r="AK1080" s="313"/>
      <c r="AL1080" s="313"/>
      <c r="AM1080" s="313"/>
      <c r="AN1080" s="313"/>
      <c r="AO1080" s="313"/>
      <c r="AP1080" s="313"/>
      <c r="AQ1080" s="314"/>
      <c r="AR1080" s="315" t="str">
        <f t="shared" si="70"/>
        <v/>
      </c>
      <c r="BH1080" s="321" t="str">
        <f t="shared" si="71"/>
        <v/>
      </c>
      <c r="BI1080" s="98" t="str">
        <f t="shared" si="72"/>
        <v>INDENIZAÇÃO</v>
      </c>
      <c r="BJ1080" s="98" t="str">
        <f t="shared" si="73"/>
        <v>NÃO</v>
      </c>
    </row>
    <row r="1081" spans="1:62" ht="27" hidden="1" customHeight="1">
      <c r="A1081" s="207">
        <v>1077</v>
      </c>
      <c r="B1081" s="197"/>
      <c r="AK1081" s="313"/>
      <c r="AL1081" s="313"/>
      <c r="AM1081" s="313"/>
      <c r="AN1081" s="313"/>
      <c r="AO1081" s="313"/>
      <c r="AP1081" s="313"/>
      <c r="AQ1081" s="314"/>
      <c r="AR1081" s="315" t="str">
        <f t="shared" si="70"/>
        <v/>
      </c>
      <c r="BH1081" s="321" t="str">
        <f t="shared" si="71"/>
        <v/>
      </c>
      <c r="BI1081" s="98" t="str">
        <f t="shared" si="72"/>
        <v>INDENIZAÇÃO</v>
      </c>
      <c r="BJ1081" s="98" t="str">
        <f t="shared" si="73"/>
        <v>NÃO</v>
      </c>
    </row>
    <row r="1082" spans="1:62" ht="27" hidden="1" customHeight="1">
      <c r="A1082" s="207">
        <v>1078</v>
      </c>
      <c r="B1082" s="197"/>
      <c r="AK1082" s="313"/>
      <c r="AL1082" s="313"/>
      <c r="AM1082" s="313"/>
      <c r="AN1082" s="313"/>
      <c r="AO1082" s="313"/>
      <c r="AP1082" s="313"/>
      <c r="AQ1082" s="314"/>
      <c r="AR1082" s="315" t="str">
        <f t="shared" si="70"/>
        <v/>
      </c>
      <c r="BH1082" s="321" t="str">
        <f t="shared" si="71"/>
        <v/>
      </c>
      <c r="BI1082" s="98" t="str">
        <f t="shared" si="72"/>
        <v>INDENIZAÇÃO</v>
      </c>
      <c r="BJ1082" s="98" t="str">
        <f t="shared" si="73"/>
        <v>NÃO</v>
      </c>
    </row>
    <row r="1083" spans="1:62" ht="27" hidden="1" customHeight="1">
      <c r="A1083" s="207">
        <v>1079</v>
      </c>
      <c r="B1083" s="197"/>
      <c r="AK1083" s="313"/>
      <c r="AL1083" s="313"/>
      <c r="AM1083" s="313"/>
      <c r="AN1083" s="313"/>
      <c r="AO1083" s="313"/>
      <c r="AP1083" s="313"/>
      <c r="AQ1083" s="314"/>
      <c r="AR1083" s="315" t="str">
        <f t="shared" si="70"/>
        <v/>
      </c>
      <c r="BH1083" s="321" t="str">
        <f t="shared" si="71"/>
        <v/>
      </c>
      <c r="BI1083" s="98" t="str">
        <f t="shared" si="72"/>
        <v>INDENIZAÇÃO</v>
      </c>
      <c r="BJ1083" s="98" t="str">
        <f t="shared" si="73"/>
        <v>NÃO</v>
      </c>
    </row>
    <row r="1084" spans="1:62" ht="27" hidden="1" customHeight="1">
      <c r="A1084" s="197">
        <v>1080</v>
      </c>
      <c r="B1084" s="197"/>
      <c r="AK1084" s="313"/>
      <c r="AL1084" s="313"/>
      <c r="AM1084" s="313"/>
      <c r="AN1084" s="313"/>
      <c r="AO1084" s="313"/>
      <c r="AP1084" s="313"/>
      <c r="AQ1084" s="314"/>
      <c r="AR1084" s="315" t="str">
        <f t="shared" si="70"/>
        <v/>
      </c>
      <c r="BH1084" s="321" t="str">
        <f t="shared" si="71"/>
        <v/>
      </c>
      <c r="BI1084" s="98" t="str">
        <f t="shared" si="72"/>
        <v>INDENIZAÇÃO</v>
      </c>
      <c r="BJ1084" s="98" t="str">
        <f t="shared" si="73"/>
        <v>NÃO</v>
      </c>
    </row>
    <row r="1085" spans="1:62" ht="27" hidden="1" customHeight="1">
      <c r="A1085" s="197">
        <v>1081</v>
      </c>
      <c r="B1085" s="197"/>
      <c r="AK1085" s="313"/>
      <c r="AL1085" s="313"/>
      <c r="AM1085" s="313"/>
      <c r="AN1085" s="313"/>
      <c r="AO1085" s="313"/>
      <c r="AP1085" s="313"/>
      <c r="AQ1085" s="314"/>
      <c r="AR1085" s="315" t="str">
        <f t="shared" si="70"/>
        <v/>
      </c>
      <c r="BH1085" s="321" t="str">
        <f t="shared" si="71"/>
        <v/>
      </c>
      <c r="BI1085" s="98" t="str">
        <f t="shared" si="72"/>
        <v>INDENIZAÇÃO</v>
      </c>
      <c r="BJ1085" s="98" t="str">
        <f t="shared" si="73"/>
        <v>NÃO</v>
      </c>
    </row>
    <row r="1086" spans="1:62" ht="27" hidden="1" customHeight="1">
      <c r="A1086" s="207">
        <v>1082</v>
      </c>
      <c r="B1086" s="197"/>
      <c r="AK1086" s="313"/>
      <c r="AL1086" s="313"/>
      <c r="AM1086" s="313"/>
      <c r="AN1086" s="313"/>
      <c r="AO1086" s="313"/>
      <c r="AP1086" s="313"/>
      <c r="AQ1086" s="314"/>
      <c r="AR1086" s="315" t="str">
        <f t="shared" si="70"/>
        <v/>
      </c>
      <c r="BH1086" s="321" t="str">
        <f t="shared" si="71"/>
        <v/>
      </c>
      <c r="BI1086" s="98" t="str">
        <f t="shared" si="72"/>
        <v>INDENIZAÇÃO</v>
      </c>
      <c r="BJ1086" s="98" t="str">
        <f t="shared" si="73"/>
        <v>NÃO</v>
      </c>
    </row>
    <row r="1087" spans="1:62" ht="27" hidden="1" customHeight="1">
      <c r="A1087" s="207">
        <v>1083</v>
      </c>
      <c r="B1087" s="197"/>
      <c r="AK1087" s="313"/>
      <c r="AL1087" s="313"/>
      <c r="AM1087" s="313"/>
      <c r="AN1087" s="313"/>
      <c r="AO1087" s="313"/>
      <c r="AP1087" s="313"/>
      <c r="AQ1087" s="314"/>
      <c r="AR1087" s="315" t="str">
        <f t="shared" ref="AR1087:AR1150" si="74">IF(AQ1087="SIM","AGUARDANDO CORREÇÃO",IF(AP1087&lt;&gt;"","FINALIZADO",IF(AO1087&lt;&gt;"","AGUARDANDO ENVIO DTS",IF(AN1087&lt;&gt;"","AGUARDANDO ASSINATURA GAB",IF(AM1087&lt;&gt;"","AGUARDANDO ASSINATURA CTS",IF(AL1087&lt;&gt;"","AGUARDANDO ENVIO ASSINATURA CTS",IF(AK1087&lt;&gt;"","AGUARDANDO CONFERÊNCIA","")))))))</f>
        <v/>
      </c>
      <c r="BH1087" s="321" t="str">
        <f t="shared" si="71"/>
        <v/>
      </c>
      <c r="BI1087" s="98" t="str">
        <f t="shared" si="72"/>
        <v>INDENIZAÇÃO</v>
      </c>
      <c r="BJ1087" s="98" t="str">
        <f t="shared" si="73"/>
        <v>NÃO</v>
      </c>
    </row>
    <row r="1088" spans="1:62" ht="27" hidden="1" customHeight="1">
      <c r="A1088" s="207">
        <v>1084</v>
      </c>
      <c r="B1088" s="197"/>
      <c r="AK1088" s="313"/>
      <c r="AL1088" s="313"/>
      <c r="AM1088" s="313"/>
      <c r="AN1088" s="313"/>
      <c r="AO1088" s="313"/>
      <c r="AP1088" s="313"/>
      <c r="AQ1088" s="314"/>
      <c r="AR1088" s="315" t="str">
        <f t="shared" si="74"/>
        <v/>
      </c>
      <c r="BH1088" s="321" t="str">
        <f t="shared" si="71"/>
        <v/>
      </c>
      <c r="BI1088" s="98" t="str">
        <f t="shared" si="72"/>
        <v>INDENIZAÇÃO</v>
      </c>
      <c r="BJ1088" s="98" t="str">
        <f t="shared" si="73"/>
        <v>NÃO</v>
      </c>
    </row>
    <row r="1089" spans="1:62" ht="27" hidden="1" customHeight="1">
      <c r="A1089" s="197">
        <v>1085</v>
      </c>
      <c r="B1089" s="197"/>
      <c r="AK1089" s="313"/>
      <c r="AL1089" s="313"/>
      <c r="AM1089" s="313"/>
      <c r="AN1089" s="313"/>
      <c r="AO1089" s="313"/>
      <c r="AP1089" s="313"/>
      <c r="AQ1089" s="314"/>
      <c r="AR1089" s="315" t="str">
        <f t="shared" si="74"/>
        <v/>
      </c>
      <c r="BH1089" s="321" t="str">
        <f t="shared" si="71"/>
        <v/>
      </c>
      <c r="BI1089" s="98" t="str">
        <f t="shared" si="72"/>
        <v>INDENIZAÇÃO</v>
      </c>
      <c r="BJ1089" s="98" t="str">
        <f t="shared" si="73"/>
        <v>NÃO</v>
      </c>
    </row>
    <row r="1090" spans="1:62" ht="30" hidden="1" customHeight="1">
      <c r="B1090" s="197"/>
      <c r="AK1090" s="313"/>
      <c r="AL1090" s="313"/>
      <c r="AM1090" s="313"/>
      <c r="AN1090" s="313"/>
      <c r="AO1090" s="313"/>
      <c r="AP1090" s="313"/>
      <c r="AQ1090" s="314"/>
      <c r="AR1090" s="315" t="str">
        <f t="shared" si="74"/>
        <v/>
      </c>
      <c r="BH1090" s="321" t="str">
        <f t="shared" si="71"/>
        <v/>
      </c>
      <c r="BI1090" s="98" t="str">
        <f t="shared" si="72"/>
        <v>INDENIZAÇÃO</v>
      </c>
      <c r="BJ1090" s="98" t="str">
        <f t="shared" si="73"/>
        <v>NÃO</v>
      </c>
    </row>
    <row r="1091" spans="1:62" ht="30" hidden="1" customHeight="1">
      <c r="B1091" s="197"/>
      <c r="AK1091" s="313"/>
      <c r="AL1091" s="313"/>
      <c r="AM1091" s="313"/>
      <c r="AN1091" s="313"/>
      <c r="AO1091" s="313"/>
      <c r="AP1091" s="313"/>
      <c r="AQ1091" s="314"/>
      <c r="AR1091" s="315" t="str">
        <f t="shared" si="74"/>
        <v/>
      </c>
      <c r="BH1091" s="321" t="str">
        <f t="shared" si="71"/>
        <v/>
      </c>
      <c r="BI1091" s="98" t="str">
        <f t="shared" si="72"/>
        <v>INDENIZAÇÃO</v>
      </c>
      <c r="BJ1091" s="98" t="str">
        <f t="shared" si="73"/>
        <v>NÃO</v>
      </c>
    </row>
    <row r="1092" spans="1:62" ht="30" hidden="1" customHeight="1">
      <c r="B1092" s="197"/>
      <c r="AK1092" s="313"/>
      <c r="AL1092" s="313"/>
      <c r="AM1092" s="313"/>
      <c r="AN1092" s="313"/>
      <c r="AO1092" s="313"/>
      <c r="AP1092" s="313"/>
      <c r="AQ1092" s="314"/>
      <c r="AR1092" s="315" t="str">
        <f t="shared" si="74"/>
        <v/>
      </c>
      <c r="BH1092" s="321" t="str">
        <f t="shared" si="71"/>
        <v/>
      </c>
      <c r="BI1092" s="98" t="str">
        <f t="shared" si="72"/>
        <v>INDENIZAÇÃO</v>
      </c>
      <c r="BJ1092" s="98" t="str">
        <f t="shared" si="73"/>
        <v>NÃO</v>
      </c>
    </row>
    <row r="1093" spans="1:62" ht="30" hidden="1" customHeight="1">
      <c r="B1093" s="197"/>
      <c r="AK1093" s="313"/>
      <c r="AL1093" s="313"/>
      <c r="AM1093" s="313"/>
      <c r="AN1093" s="313"/>
      <c r="AO1093" s="313"/>
      <c r="AP1093" s="313"/>
      <c r="AQ1093" s="314"/>
      <c r="AR1093" s="315" t="str">
        <f t="shared" si="74"/>
        <v/>
      </c>
      <c r="BH1093" s="321" t="str">
        <f t="shared" ref="BH1093:BH1156" si="75">IFERROR(IF(BD1093-KI1093=0,"",BD1093-AK1093),"")</f>
        <v/>
      </c>
      <c r="BI1093" s="98" t="str">
        <f t="shared" ref="BI1093:BI1156" si="76">IF(AND(AH1093&lt;&gt;"SIM",AH1093="UH"),"AA","INDENIZAÇÃO")</f>
        <v>INDENIZAÇÃO</v>
      </c>
      <c r="BJ1093" s="98" t="str">
        <f t="shared" ref="BJ1093:BJ1156" si="77">IF(AND(BD1093&lt;&gt;"AGUARDANDO",BD1093&lt;&gt;"",N1093="AUXÍLIO ALUGUEL ATÉ INDENIZAÇÃO"),"SIM","NÃO")</f>
        <v>NÃO</v>
      </c>
    </row>
    <row r="1094" spans="1:62" ht="30" hidden="1" customHeight="1">
      <c r="B1094" s="197"/>
      <c r="AK1094" s="313"/>
      <c r="AL1094" s="313"/>
      <c r="AM1094" s="313"/>
      <c r="AN1094" s="313"/>
      <c r="AO1094" s="313"/>
      <c r="AP1094" s="313"/>
      <c r="AQ1094" s="314"/>
      <c r="AR1094" s="315" t="str">
        <f t="shared" si="74"/>
        <v/>
      </c>
      <c r="BH1094" s="321" t="str">
        <f t="shared" si="75"/>
        <v/>
      </c>
      <c r="BI1094" s="98" t="str">
        <f t="shared" si="76"/>
        <v>INDENIZAÇÃO</v>
      </c>
      <c r="BJ1094" s="98" t="str">
        <f t="shared" si="77"/>
        <v>NÃO</v>
      </c>
    </row>
    <row r="1095" spans="1:62" ht="30" hidden="1" customHeight="1">
      <c r="B1095" s="197"/>
      <c r="AK1095" s="313"/>
      <c r="AL1095" s="313"/>
      <c r="AM1095" s="313"/>
      <c r="AN1095" s="313"/>
      <c r="AO1095" s="313"/>
      <c r="AP1095" s="313"/>
      <c r="AQ1095" s="314"/>
      <c r="AR1095" s="315" t="str">
        <f t="shared" si="74"/>
        <v/>
      </c>
      <c r="BH1095" s="321" t="str">
        <f t="shared" si="75"/>
        <v/>
      </c>
      <c r="BI1095" s="98" t="str">
        <f t="shared" si="76"/>
        <v>INDENIZAÇÃO</v>
      </c>
      <c r="BJ1095" s="98" t="str">
        <f t="shared" si="77"/>
        <v>NÃO</v>
      </c>
    </row>
    <row r="1096" spans="1:62" ht="30" hidden="1" customHeight="1">
      <c r="B1096" s="197"/>
      <c r="AK1096" s="313"/>
      <c r="AL1096" s="313"/>
      <c r="AM1096" s="313"/>
      <c r="AN1096" s="313"/>
      <c r="AO1096" s="313"/>
      <c r="AP1096" s="313"/>
      <c r="AQ1096" s="314"/>
      <c r="AR1096" s="315" t="str">
        <f t="shared" si="74"/>
        <v/>
      </c>
      <c r="BH1096" s="321" t="str">
        <f t="shared" si="75"/>
        <v/>
      </c>
      <c r="BI1096" s="98" t="str">
        <f t="shared" si="76"/>
        <v>INDENIZAÇÃO</v>
      </c>
      <c r="BJ1096" s="98" t="str">
        <f t="shared" si="77"/>
        <v>NÃO</v>
      </c>
    </row>
    <row r="1097" spans="1:62" ht="30" hidden="1" customHeight="1">
      <c r="B1097" s="197"/>
      <c r="AK1097" s="313"/>
      <c r="AL1097" s="313"/>
      <c r="AM1097" s="313"/>
      <c r="AN1097" s="313"/>
      <c r="AO1097" s="313"/>
      <c r="AP1097" s="313"/>
      <c r="AQ1097" s="314"/>
      <c r="AR1097" s="315" t="str">
        <f t="shared" si="74"/>
        <v/>
      </c>
      <c r="BH1097" s="321" t="str">
        <f t="shared" si="75"/>
        <v/>
      </c>
      <c r="BI1097" s="98" t="str">
        <f t="shared" si="76"/>
        <v>INDENIZAÇÃO</v>
      </c>
      <c r="BJ1097" s="98" t="str">
        <f t="shared" si="77"/>
        <v>NÃO</v>
      </c>
    </row>
    <row r="1098" spans="1:62" ht="30" hidden="1" customHeight="1">
      <c r="B1098" s="197"/>
      <c r="AK1098" s="313"/>
      <c r="AL1098" s="313"/>
      <c r="AM1098" s="313"/>
      <c r="AN1098" s="313"/>
      <c r="AO1098" s="313"/>
      <c r="AP1098" s="313"/>
      <c r="AQ1098" s="314"/>
      <c r="AR1098" s="315" t="str">
        <f t="shared" si="74"/>
        <v/>
      </c>
      <c r="BH1098" s="321" t="str">
        <f t="shared" si="75"/>
        <v/>
      </c>
      <c r="BI1098" s="98" t="str">
        <f t="shared" si="76"/>
        <v>INDENIZAÇÃO</v>
      </c>
      <c r="BJ1098" s="98" t="str">
        <f t="shared" si="77"/>
        <v>NÃO</v>
      </c>
    </row>
    <row r="1099" spans="1:62" ht="30" hidden="1" customHeight="1">
      <c r="B1099" s="197"/>
      <c r="AK1099" s="313"/>
      <c r="AL1099" s="313"/>
      <c r="AM1099" s="313"/>
      <c r="AN1099" s="313"/>
      <c r="AO1099" s="313"/>
      <c r="AP1099" s="313"/>
      <c r="AQ1099" s="314"/>
      <c r="AR1099" s="315" t="str">
        <f t="shared" si="74"/>
        <v/>
      </c>
      <c r="BH1099" s="321" t="str">
        <f t="shared" si="75"/>
        <v/>
      </c>
      <c r="BI1099" s="98" t="str">
        <f t="shared" si="76"/>
        <v>INDENIZAÇÃO</v>
      </c>
      <c r="BJ1099" s="98" t="str">
        <f t="shared" si="77"/>
        <v>NÃO</v>
      </c>
    </row>
    <row r="1100" spans="1:62" ht="30" hidden="1" customHeight="1">
      <c r="B1100" s="197"/>
      <c r="AK1100" s="313"/>
      <c r="AL1100" s="313"/>
      <c r="AM1100" s="313"/>
      <c r="AN1100" s="313"/>
      <c r="AO1100" s="313"/>
      <c r="AP1100" s="313"/>
      <c r="AQ1100" s="314"/>
      <c r="AR1100" s="315" t="str">
        <f t="shared" si="74"/>
        <v/>
      </c>
      <c r="BH1100" s="321" t="str">
        <f t="shared" si="75"/>
        <v/>
      </c>
      <c r="BI1100" s="98" t="str">
        <f t="shared" si="76"/>
        <v>INDENIZAÇÃO</v>
      </c>
      <c r="BJ1100" s="98" t="str">
        <f t="shared" si="77"/>
        <v>NÃO</v>
      </c>
    </row>
    <row r="1101" spans="1:62" ht="30" hidden="1" customHeight="1">
      <c r="B1101" s="197"/>
      <c r="AK1101" s="313"/>
      <c r="AL1101" s="313"/>
      <c r="AM1101" s="313"/>
      <c r="AN1101" s="313"/>
      <c r="AO1101" s="313"/>
      <c r="AP1101" s="313"/>
      <c r="AQ1101" s="314"/>
      <c r="AR1101" s="315" t="str">
        <f t="shared" si="74"/>
        <v/>
      </c>
      <c r="BH1101" s="321" t="str">
        <f t="shared" si="75"/>
        <v/>
      </c>
      <c r="BI1101" s="98" t="str">
        <f t="shared" si="76"/>
        <v>INDENIZAÇÃO</v>
      </c>
      <c r="BJ1101" s="98" t="str">
        <f t="shared" si="77"/>
        <v>NÃO</v>
      </c>
    </row>
    <row r="1102" spans="1:62" ht="30" hidden="1" customHeight="1">
      <c r="B1102" s="197"/>
      <c r="AK1102" s="313"/>
      <c r="AL1102" s="313"/>
      <c r="AM1102" s="313"/>
      <c r="AN1102" s="313"/>
      <c r="AO1102" s="313"/>
      <c r="AP1102" s="313"/>
      <c r="AQ1102" s="314"/>
      <c r="AR1102" s="315" t="str">
        <f t="shared" si="74"/>
        <v/>
      </c>
      <c r="BH1102" s="321" t="str">
        <f t="shared" si="75"/>
        <v/>
      </c>
      <c r="BI1102" s="98" t="str">
        <f t="shared" si="76"/>
        <v>INDENIZAÇÃO</v>
      </c>
      <c r="BJ1102" s="98" t="str">
        <f t="shared" si="77"/>
        <v>NÃO</v>
      </c>
    </row>
    <row r="1103" spans="1:62" ht="30" hidden="1" customHeight="1">
      <c r="B1103" s="197"/>
      <c r="AK1103" s="313"/>
      <c r="AL1103" s="313"/>
      <c r="AM1103" s="313"/>
      <c r="AN1103" s="313"/>
      <c r="AO1103" s="313"/>
      <c r="AP1103" s="313"/>
      <c r="AQ1103" s="314"/>
      <c r="AR1103" s="315" t="str">
        <f t="shared" si="74"/>
        <v/>
      </c>
      <c r="BH1103" s="321" t="str">
        <f t="shared" si="75"/>
        <v/>
      </c>
      <c r="BI1103" s="98" t="str">
        <f t="shared" si="76"/>
        <v>INDENIZAÇÃO</v>
      </c>
      <c r="BJ1103" s="98" t="str">
        <f t="shared" si="77"/>
        <v>NÃO</v>
      </c>
    </row>
    <row r="1104" spans="1:62" ht="30" hidden="1" customHeight="1">
      <c r="B1104" s="197"/>
      <c r="AK1104" s="313"/>
      <c r="AL1104" s="313"/>
      <c r="AM1104" s="313"/>
      <c r="AN1104" s="313"/>
      <c r="AO1104" s="313"/>
      <c r="AP1104" s="313"/>
      <c r="AQ1104" s="314"/>
      <c r="AR1104" s="315" t="str">
        <f t="shared" si="74"/>
        <v/>
      </c>
      <c r="BH1104" s="321" t="str">
        <f t="shared" si="75"/>
        <v/>
      </c>
      <c r="BI1104" s="98" t="str">
        <f t="shared" si="76"/>
        <v>INDENIZAÇÃO</v>
      </c>
      <c r="BJ1104" s="98" t="str">
        <f t="shared" si="77"/>
        <v>NÃO</v>
      </c>
    </row>
    <row r="1105" spans="2:62" ht="30" hidden="1" customHeight="1">
      <c r="B1105" s="197"/>
      <c r="AK1105" s="313"/>
      <c r="AL1105" s="313"/>
      <c r="AM1105" s="313"/>
      <c r="AN1105" s="313"/>
      <c r="AO1105" s="313"/>
      <c r="AP1105" s="313"/>
      <c r="AQ1105" s="314"/>
      <c r="AR1105" s="315" t="str">
        <f t="shared" si="74"/>
        <v/>
      </c>
      <c r="BH1105" s="321" t="str">
        <f t="shared" si="75"/>
        <v/>
      </c>
      <c r="BI1105" s="98" t="str">
        <f t="shared" si="76"/>
        <v>INDENIZAÇÃO</v>
      </c>
      <c r="BJ1105" s="98" t="str">
        <f t="shared" si="77"/>
        <v>NÃO</v>
      </c>
    </row>
    <row r="1106" spans="2:62" ht="30" hidden="1" customHeight="1">
      <c r="B1106" s="197"/>
      <c r="AK1106" s="313"/>
      <c r="AL1106" s="313"/>
      <c r="AM1106" s="313"/>
      <c r="AN1106" s="313"/>
      <c r="AO1106" s="313"/>
      <c r="AP1106" s="313"/>
      <c r="AQ1106" s="314"/>
      <c r="AR1106" s="315" t="str">
        <f t="shared" si="74"/>
        <v/>
      </c>
      <c r="BH1106" s="321" t="str">
        <f t="shared" si="75"/>
        <v/>
      </c>
      <c r="BI1106" s="98" t="str">
        <f t="shared" si="76"/>
        <v>INDENIZAÇÃO</v>
      </c>
      <c r="BJ1106" s="98" t="str">
        <f t="shared" si="77"/>
        <v>NÃO</v>
      </c>
    </row>
    <row r="1107" spans="2:62" ht="30" hidden="1" customHeight="1">
      <c r="B1107" s="197"/>
      <c r="AK1107" s="313"/>
      <c r="AL1107" s="313"/>
      <c r="AM1107" s="313"/>
      <c r="AN1107" s="313"/>
      <c r="AO1107" s="313"/>
      <c r="AP1107" s="313"/>
      <c r="AQ1107" s="314"/>
      <c r="AR1107" s="315" t="str">
        <f t="shared" si="74"/>
        <v/>
      </c>
      <c r="BH1107" s="321" t="str">
        <f t="shared" si="75"/>
        <v/>
      </c>
      <c r="BI1107" s="98" t="str">
        <f t="shared" si="76"/>
        <v>INDENIZAÇÃO</v>
      </c>
      <c r="BJ1107" s="98" t="str">
        <f t="shared" si="77"/>
        <v>NÃO</v>
      </c>
    </row>
    <row r="1108" spans="2:62" ht="30" hidden="1" customHeight="1">
      <c r="B1108" s="197"/>
      <c r="AK1108" s="313"/>
      <c r="AL1108" s="313"/>
      <c r="AM1108" s="313"/>
      <c r="AN1108" s="313"/>
      <c r="AO1108" s="313"/>
      <c r="AP1108" s="313"/>
      <c r="AQ1108" s="314"/>
      <c r="AR1108" s="315" t="str">
        <f t="shared" si="74"/>
        <v/>
      </c>
      <c r="BH1108" s="321" t="str">
        <f t="shared" si="75"/>
        <v/>
      </c>
      <c r="BI1108" s="98" t="str">
        <f t="shared" si="76"/>
        <v>INDENIZAÇÃO</v>
      </c>
      <c r="BJ1108" s="98" t="str">
        <f t="shared" si="77"/>
        <v>NÃO</v>
      </c>
    </row>
    <row r="1109" spans="2:62" ht="30" hidden="1" customHeight="1">
      <c r="B1109" s="197"/>
      <c r="AK1109" s="313"/>
      <c r="AL1109" s="313"/>
      <c r="AM1109" s="313"/>
      <c r="AN1109" s="313"/>
      <c r="AO1109" s="313"/>
      <c r="AP1109" s="313"/>
      <c r="AQ1109" s="314"/>
      <c r="AR1109" s="315" t="str">
        <f t="shared" si="74"/>
        <v/>
      </c>
      <c r="BH1109" s="321" t="str">
        <f t="shared" si="75"/>
        <v/>
      </c>
      <c r="BI1109" s="98" t="str">
        <f t="shared" si="76"/>
        <v>INDENIZAÇÃO</v>
      </c>
      <c r="BJ1109" s="98" t="str">
        <f t="shared" si="77"/>
        <v>NÃO</v>
      </c>
    </row>
    <row r="1110" spans="2:62" ht="30" hidden="1" customHeight="1">
      <c r="B1110" s="197"/>
      <c r="AK1110" s="313"/>
      <c r="AL1110" s="313"/>
      <c r="AM1110" s="313"/>
      <c r="AN1110" s="313"/>
      <c r="AO1110" s="313"/>
      <c r="AP1110" s="313"/>
      <c r="AQ1110" s="314"/>
      <c r="AR1110" s="315" t="str">
        <f t="shared" si="74"/>
        <v/>
      </c>
      <c r="BH1110" s="321" t="str">
        <f t="shared" si="75"/>
        <v/>
      </c>
      <c r="BI1110" s="98" t="str">
        <f t="shared" si="76"/>
        <v>INDENIZAÇÃO</v>
      </c>
      <c r="BJ1110" s="98" t="str">
        <f t="shared" si="77"/>
        <v>NÃO</v>
      </c>
    </row>
    <row r="1111" spans="2:62" ht="30" hidden="1" customHeight="1">
      <c r="B1111" s="197"/>
      <c r="AK1111" s="313"/>
      <c r="AL1111" s="313"/>
      <c r="AM1111" s="313"/>
      <c r="AN1111" s="313"/>
      <c r="AO1111" s="313"/>
      <c r="AP1111" s="313"/>
      <c r="AQ1111" s="314"/>
      <c r="AR1111" s="315" t="str">
        <f t="shared" si="74"/>
        <v/>
      </c>
      <c r="BH1111" s="321" t="str">
        <f t="shared" si="75"/>
        <v/>
      </c>
      <c r="BI1111" s="98" t="str">
        <f t="shared" si="76"/>
        <v>INDENIZAÇÃO</v>
      </c>
      <c r="BJ1111" s="98" t="str">
        <f t="shared" si="77"/>
        <v>NÃO</v>
      </c>
    </row>
    <row r="1112" spans="2:62" ht="30" hidden="1" customHeight="1">
      <c r="B1112" s="197"/>
      <c r="AK1112" s="313"/>
      <c r="AL1112" s="313"/>
      <c r="AM1112" s="313"/>
      <c r="AN1112" s="313"/>
      <c r="AO1112" s="313"/>
      <c r="AP1112" s="313"/>
      <c r="AQ1112" s="314"/>
      <c r="AR1112" s="315" t="str">
        <f t="shared" si="74"/>
        <v/>
      </c>
      <c r="BH1112" s="321" t="str">
        <f t="shared" si="75"/>
        <v/>
      </c>
      <c r="BI1112" s="98" t="str">
        <f t="shared" si="76"/>
        <v>INDENIZAÇÃO</v>
      </c>
      <c r="BJ1112" s="98" t="str">
        <f t="shared" si="77"/>
        <v>NÃO</v>
      </c>
    </row>
    <row r="1113" spans="2:62" ht="30" hidden="1" customHeight="1">
      <c r="B1113" s="197"/>
      <c r="AK1113" s="313"/>
      <c r="AL1113" s="313"/>
      <c r="AM1113" s="313"/>
      <c r="AN1113" s="313"/>
      <c r="AO1113" s="313"/>
      <c r="AP1113" s="313"/>
      <c r="AQ1113" s="314"/>
      <c r="AR1113" s="315" t="str">
        <f t="shared" si="74"/>
        <v/>
      </c>
      <c r="BH1113" s="321" t="str">
        <f t="shared" si="75"/>
        <v/>
      </c>
      <c r="BI1113" s="98" t="str">
        <f t="shared" si="76"/>
        <v>INDENIZAÇÃO</v>
      </c>
      <c r="BJ1113" s="98" t="str">
        <f t="shared" si="77"/>
        <v>NÃO</v>
      </c>
    </row>
    <row r="1114" spans="2:62" ht="30" hidden="1" customHeight="1">
      <c r="B1114" s="197"/>
      <c r="AK1114" s="313"/>
      <c r="AL1114" s="313"/>
      <c r="AM1114" s="313"/>
      <c r="AN1114" s="313"/>
      <c r="AO1114" s="313"/>
      <c r="AP1114" s="313"/>
      <c r="AQ1114" s="314"/>
      <c r="AR1114" s="315" t="str">
        <f t="shared" si="74"/>
        <v/>
      </c>
      <c r="BH1114" s="321" t="str">
        <f t="shared" si="75"/>
        <v/>
      </c>
      <c r="BI1114" s="98" t="str">
        <f t="shared" si="76"/>
        <v>INDENIZAÇÃO</v>
      </c>
      <c r="BJ1114" s="98" t="str">
        <f t="shared" si="77"/>
        <v>NÃO</v>
      </c>
    </row>
    <row r="1115" spans="2:62" ht="30" hidden="1" customHeight="1">
      <c r="B1115" s="197"/>
      <c r="AK1115" s="313"/>
      <c r="AL1115" s="313"/>
      <c r="AM1115" s="313"/>
      <c r="AN1115" s="313"/>
      <c r="AO1115" s="313"/>
      <c r="AP1115" s="313"/>
      <c r="AQ1115" s="314"/>
      <c r="AR1115" s="315" t="str">
        <f t="shared" si="74"/>
        <v/>
      </c>
      <c r="BH1115" s="321" t="str">
        <f t="shared" si="75"/>
        <v/>
      </c>
      <c r="BI1115" s="98" t="str">
        <f t="shared" si="76"/>
        <v>INDENIZAÇÃO</v>
      </c>
      <c r="BJ1115" s="98" t="str">
        <f t="shared" si="77"/>
        <v>NÃO</v>
      </c>
    </row>
    <row r="1116" spans="2:62" ht="30" hidden="1" customHeight="1">
      <c r="B1116" s="197"/>
      <c r="AK1116" s="313"/>
      <c r="AL1116" s="313"/>
      <c r="AM1116" s="313"/>
      <c r="AN1116" s="313"/>
      <c r="AO1116" s="313"/>
      <c r="AP1116" s="313"/>
      <c r="AQ1116" s="314"/>
      <c r="AR1116" s="315" t="str">
        <f t="shared" si="74"/>
        <v/>
      </c>
      <c r="BH1116" s="321" t="str">
        <f t="shared" si="75"/>
        <v/>
      </c>
      <c r="BI1116" s="98" t="str">
        <f t="shared" si="76"/>
        <v>INDENIZAÇÃO</v>
      </c>
      <c r="BJ1116" s="98" t="str">
        <f t="shared" si="77"/>
        <v>NÃO</v>
      </c>
    </row>
    <row r="1117" spans="2:62" ht="30" hidden="1" customHeight="1">
      <c r="B1117" s="197"/>
      <c r="AK1117" s="313"/>
      <c r="AL1117" s="313"/>
      <c r="AM1117" s="313"/>
      <c r="AN1117" s="313"/>
      <c r="AO1117" s="313"/>
      <c r="AP1117" s="313"/>
      <c r="AQ1117" s="314"/>
      <c r="AR1117" s="315" t="str">
        <f t="shared" si="74"/>
        <v/>
      </c>
      <c r="BH1117" s="321" t="str">
        <f t="shared" si="75"/>
        <v/>
      </c>
      <c r="BI1117" s="98" t="str">
        <f t="shared" si="76"/>
        <v>INDENIZAÇÃO</v>
      </c>
      <c r="BJ1117" s="98" t="str">
        <f t="shared" si="77"/>
        <v>NÃO</v>
      </c>
    </row>
    <row r="1118" spans="2:62" ht="30" hidden="1" customHeight="1">
      <c r="B1118" s="197"/>
      <c r="AK1118" s="313"/>
      <c r="AL1118" s="313"/>
      <c r="AM1118" s="313"/>
      <c r="AN1118" s="313"/>
      <c r="AO1118" s="313"/>
      <c r="AP1118" s="313"/>
      <c r="AQ1118" s="314"/>
      <c r="AR1118" s="315" t="str">
        <f t="shared" si="74"/>
        <v/>
      </c>
      <c r="BH1118" s="321" t="str">
        <f t="shared" si="75"/>
        <v/>
      </c>
      <c r="BI1118" s="98" t="str">
        <f t="shared" si="76"/>
        <v>INDENIZAÇÃO</v>
      </c>
      <c r="BJ1118" s="98" t="str">
        <f t="shared" si="77"/>
        <v>NÃO</v>
      </c>
    </row>
    <row r="1119" spans="2:62" ht="30" hidden="1" customHeight="1">
      <c r="B1119" s="197"/>
      <c r="AK1119" s="313"/>
      <c r="AL1119" s="313"/>
      <c r="AM1119" s="313"/>
      <c r="AN1119" s="313"/>
      <c r="AO1119" s="313"/>
      <c r="AP1119" s="313"/>
      <c r="AQ1119" s="314"/>
      <c r="AR1119" s="315" t="str">
        <f t="shared" si="74"/>
        <v/>
      </c>
      <c r="BH1119" s="321" t="str">
        <f t="shared" si="75"/>
        <v/>
      </c>
      <c r="BI1119" s="98" t="str">
        <f t="shared" si="76"/>
        <v>INDENIZAÇÃO</v>
      </c>
      <c r="BJ1119" s="98" t="str">
        <f t="shared" si="77"/>
        <v>NÃO</v>
      </c>
    </row>
    <row r="1120" spans="2:62" ht="30" hidden="1" customHeight="1">
      <c r="B1120" s="197"/>
      <c r="AK1120" s="313"/>
      <c r="AL1120" s="313"/>
      <c r="AM1120" s="313"/>
      <c r="AN1120" s="313"/>
      <c r="AO1120" s="313"/>
      <c r="AP1120" s="313"/>
      <c r="AQ1120" s="314"/>
      <c r="AR1120" s="315" t="str">
        <f t="shared" si="74"/>
        <v/>
      </c>
      <c r="BH1120" s="321" t="str">
        <f t="shared" si="75"/>
        <v/>
      </c>
      <c r="BI1120" s="98" t="str">
        <f t="shared" si="76"/>
        <v>INDENIZAÇÃO</v>
      </c>
      <c r="BJ1120" s="98" t="str">
        <f t="shared" si="77"/>
        <v>NÃO</v>
      </c>
    </row>
    <row r="1121" spans="2:62" ht="30" hidden="1" customHeight="1">
      <c r="B1121" s="197"/>
      <c r="AK1121" s="313"/>
      <c r="AL1121" s="313"/>
      <c r="AM1121" s="313"/>
      <c r="AN1121" s="313"/>
      <c r="AO1121" s="313"/>
      <c r="AP1121" s="313"/>
      <c r="AQ1121" s="314"/>
      <c r="AR1121" s="315" t="str">
        <f t="shared" si="74"/>
        <v/>
      </c>
      <c r="BH1121" s="321" t="str">
        <f t="shared" si="75"/>
        <v/>
      </c>
      <c r="BI1121" s="98" t="str">
        <f t="shared" si="76"/>
        <v>INDENIZAÇÃO</v>
      </c>
      <c r="BJ1121" s="98" t="str">
        <f t="shared" si="77"/>
        <v>NÃO</v>
      </c>
    </row>
    <row r="1122" spans="2:62" ht="30" hidden="1" customHeight="1">
      <c r="B1122" s="197"/>
      <c r="AK1122" s="313"/>
      <c r="AL1122" s="313"/>
      <c r="AM1122" s="313"/>
      <c r="AN1122" s="313"/>
      <c r="AO1122" s="313"/>
      <c r="AP1122" s="313"/>
      <c r="AQ1122" s="314"/>
      <c r="AR1122" s="315" t="str">
        <f t="shared" si="74"/>
        <v/>
      </c>
      <c r="BH1122" s="321" t="str">
        <f t="shared" si="75"/>
        <v/>
      </c>
      <c r="BI1122" s="98" t="str">
        <f t="shared" si="76"/>
        <v>INDENIZAÇÃO</v>
      </c>
      <c r="BJ1122" s="98" t="str">
        <f t="shared" si="77"/>
        <v>NÃO</v>
      </c>
    </row>
    <row r="1123" spans="2:62" ht="30" hidden="1" customHeight="1">
      <c r="B1123" s="197"/>
      <c r="AK1123" s="313"/>
      <c r="AL1123" s="313"/>
      <c r="AM1123" s="313"/>
      <c r="AN1123" s="313"/>
      <c r="AO1123" s="313"/>
      <c r="AP1123" s="313"/>
      <c r="AQ1123" s="314"/>
      <c r="AR1123" s="315" t="str">
        <f t="shared" si="74"/>
        <v/>
      </c>
      <c r="BH1123" s="321" t="str">
        <f t="shared" si="75"/>
        <v/>
      </c>
      <c r="BI1123" s="98" t="str">
        <f t="shared" si="76"/>
        <v>INDENIZAÇÃO</v>
      </c>
      <c r="BJ1123" s="98" t="str">
        <f t="shared" si="77"/>
        <v>NÃO</v>
      </c>
    </row>
    <row r="1124" spans="2:62" ht="30" hidden="1" customHeight="1">
      <c r="B1124" s="197"/>
      <c r="AK1124" s="313"/>
      <c r="AL1124" s="313"/>
      <c r="AM1124" s="313"/>
      <c r="AN1124" s="313"/>
      <c r="AO1124" s="313"/>
      <c r="AP1124" s="313"/>
      <c r="AQ1124" s="314"/>
      <c r="AR1124" s="315" t="str">
        <f t="shared" si="74"/>
        <v/>
      </c>
      <c r="BH1124" s="321" t="str">
        <f t="shared" si="75"/>
        <v/>
      </c>
      <c r="BI1124" s="98" t="str">
        <f t="shared" si="76"/>
        <v>INDENIZAÇÃO</v>
      </c>
      <c r="BJ1124" s="98" t="str">
        <f t="shared" si="77"/>
        <v>NÃO</v>
      </c>
    </row>
    <row r="1125" spans="2:62" ht="30" hidden="1" customHeight="1">
      <c r="B1125" s="197"/>
      <c r="AK1125" s="313"/>
      <c r="AL1125" s="313"/>
      <c r="AM1125" s="313"/>
      <c r="AN1125" s="313"/>
      <c r="AO1125" s="313"/>
      <c r="AP1125" s="313"/>
      <c r="AQ1125" s="314"/>
      <c r="AR1125" s="315" t="str">
        <f t="shared" si="74"/>
        <v/>
      </c>
      <c r="BH1125" s="321" t="str">
        <f t="shared" si="75"/>
        <v/>
      </c>
      <c r="BI1125" s="98" t="str">
        <f t="shared" si="76"/>
        <v>INDENIZAÇÃO</v>
      </c>
      <c r="BJ1125" s="98" t="str">
        <f t="shared" si="77"/>
        <v>NÃO</v>
      </c>
    </row>
    <row r="1126" spans="2:62" ht="30" hidden="1" customHeight="1">
      <c r="B1126" s="197"/>
      <c r="AK1126" s="313"/>
      <c r="AL1126" s="313"/>
      <c r="AM1126" s="313"/>
      <c r="AN1126" s="313"/>
      <c r="AO1126" s="313"/>
      <c r="AP1126" s="313"/>
      <c r="AQ1126" s="314"/>
      <c r="AR1126" s="315" t="str">
        <f t="shared" si="74"/>
        <v/>
      </c>
      <c r="BH1126" s="321" t="str">
        <f t="shared" si="75"/>
        <v/>
      </c>
      <c r="BI1126" s="98" t="str">
        <f t="shared" si="76"/>
        <v>INDENIZAÇÃO</v>
      </c>
      <c r="BJ1126" s="98" t="str">
        <f t="shared" si="77"/>
        <v>NÃO</v>
      </c>
    </row>
    <row r="1127" spans="2:62" ht="30" hidden="1" customHeight="1">
      <c r="B1127" s="197"/>
      <c r="AK1127" s="313"/>
      <c r="AL1127" s="313"/>
      <c r="AM1127" s="313"/>
      <c r="AN1127" s="313"/>
      <c r="AO1127" s="313"/>
      <c r="AP1127" s="313"/>
      <c r="AQ1127" s="314"/>
      <c r="AR1127" s="315" t="str">
        <f t="shared" si="74"/>
        <v/>
      </c>
      <c r="BH1127" s="321" t="str">
        <f t="shared" si="75"/>
        <v/>
      </c>
      <c r="BI1127" s="98" t="str">
        <f t="shared" si="76"/>
        <v>INDENIZAÇÃO</v>
      </c>
      <c r="BJ1127" s="98" t="str">
        <f t="shared" si="77"/>
        <v>NÃO</v>
      </c>
    </row>
    <row r="1128" spans="2:62" ht="30" hidden="1" customHeight="1">
      <c r="B1128" s="197"/>
      <c r="AK1128" s="313"/>
      <c r="AL1128" s="313"/>
      <c r="AM1128" s="313"/>
      <c r="AN1128" s="313"/>
      <c r="AO1128" s="313"/>
      <c r="AP1128" s="313"/>
      <c r="AQ1128" s="314"/>
      <c r="AR1128" s="315" t="str">
        <f t="shared" si="74"/>
        <v/>
      </c>
      <c r="BH1128" s="321" t="str">
        <f t="shared" si="75"/>
        <v/>
      </c>
      <c r="BI1128" s="98" t="str">
        <f t="shared" si="76"/>
        <v>INDENIZAÇÃO</v>
      </c>
      <c r="BJ1128" s="98" t="str">
        <f t="shared" si="77"/>
        <v>NÃO</v>
      </c>
    </row>
    <row r="1129" spans="2:62" ht="30" hidden="1" customHeight="1">
      <c r="B1129" s="197"/>
      <c r="AK1129" s="313"/>
      <c r="AL1129" s="313"/>
      <c r="AM1129" s="313"/>
      <c r="AN1129" s="313"/>
      <c r="AO1129" s="313"/>
      <c r="AP1129" s="313"/>
      <c r="AQ1129" s="314"/>
      <c r="AR1129" s="315" t="str">
        <f t="shared" si="74"/>
        <v/>
      </c>
      <c r="BH1129" s="321" t="str">
        <f t="shared" si="75"/>
        <v/>
      </c>
      <c r="BI1129" s="98" t="str">
        <f t="shared" si="76"/>
        <v>INDENIZAÇÃO</v>
      </c>
      <c r="BJ1129" s="98" t="str">
        <f t="shared" si="77"/>
        <v>NÃO</v>
      </c>
    </row>
    <row r="1130" spans="2:62" ht="30" hidden="1" customHeight="1">
      <c r="B1130" s="197"/>
      <c r="AK1130" s="313"/>
      <c r="AL1130" s="313"/>
      <c r="AM1130" s="313"/>
      <c r="AN1130" s="313"/>
      <c r="AO1130" s="313"/>
      <c r="AP1130" s="313"/>
      <c r="AQ1130" s="314"/>
      <c r="AR1130" s="315" t="str">
        <f t="shared" si="74"/>
        <v/>
      </c>
      <c r="BH1130" s="321" t="str">
        <f t="shared" si="75"/>
        <v/>
      </c>
      <c r="BI1130" s="98" t="str">
        <f t="shared" si="76"/>
        <v>INDENIZAÇÃO</v>
      </c>
      <c r="BJ1130" s="98" t="str">
        <f t="shared" si="77"/>
        <v>NÃO</v>
      </c>
    </row>
    <row r="1131" spans="2:62" ht="30" hidden="1" customHeight="1">
      <c r="B1131" s="197"/>
      <c r="AK1131" s="313"/>
      <c r="AL1131" s="313"/>
      <c r="AM1131" s="313"/>
      <c r="AN1131" s="313"/>
      <c r="AO1131" s="313"/>
      <c r="AP1131" s="313"/>
      <c r="AQ1131" s="314"/>
      <c r="AR1131" s="315" t="str">
        <f t="shared" si="74"/>
        <v/>
      </c>
      <c r="BH1131" s="321" t="str">
        <f t="shared" si="75"/>
        <v/>
      </c>
      <c r="BI1131" s="98" t="str">
        <f t="shared" si="76"/>
        <v>INDENIZAÇÃO</v>
      </c>
      <c r="BJ1131" s="98" t="str">
        <f t="shared" si="77"/>
        <v>NÃO</v>
      </c>
    </row>
    <row r="1132" spans="2:62" ht="30" hidden="1" customHeight="1">
      <c r="B1132" s="197"/>
      <c r="AK1132" s="313"/>
      <c r="AL1132" s="313"/>
      <c r="AM1132" s="313"/>
      <c r="AN1132" s="313"/>
      <c r="AO1132" s="313"/>
      <c r="AP1132" s="313"/>
      <c r="AQ1132" s="314"/>
      <c r="AR1132" s="315" t="str">
        <f t="shared" si="74"/>
        <v/>
      </c>
      <c r="BH1132" s="321" t="str">
        <f t="shared" si="75"/>
        <v/>
      </c>
      <c r="BI1132" s="98" t="str">
        <f t="shared" si="76"/>
        <v>INDENIZAÇÃO</v>
      </c>
      <c r="BJ1132" s="98" t="str">
        <f t="shared" si="77"/>
        <v>NÃO</v>
      </c>
    </row>
    <row r="1133" spans="2:62" ht="30" hidden="1" customHeight="1">
      <c r="B1133" s="197"/>
      <c r="AK1133" s="313"/>
      <c r="AL1133" s="313"/>
      <c r="AM1133" s="313"/>
      <c r="AN1133" s="313"/>
      <c r="AO1133" s="313"/>
      <c r="AP1133" s="313"/>
      <c r="AQ1133" s="314"/>
      <c r="AR1133" s="315" t="str">
        <f t="shared" si="74"/>
        <v/>
      </c>
      <c r="BH1133" s="321" t="str">
        <f t="shared" si="75"/>
        <v/>
      </c>
      <c r="BI1133" s="98" t="str">
        <f t="shared" si="76"/>
        <v>INDENIZAÇÃO</v>
      </c>
      <c r="BJ1133" s="98" t="str">
        <f t="shared" si="77"/>
        <v>NÃO</v>
      </c>
    </row>
    <row r="1134" spans="2:62" ht="30" hidden="1" customHeight="1">
      <c r="B1134" s="197"/>
      <c r="AK1134" s="313"/>
      <c r="AL1134" s="313"/>
      <c r="AM1134" s="313"/>
      <c r="AN1134" s="313"/>
      <c r="AO1134" s="313"/>
      <c r="AP1134" s="313"/>
      <c r="AQ1134" s="314"/>
      <c r="AR1134" s="315" t="str">
        <f t="shared" si="74"/>
        <v/>
      </c>
      <c r="BH1134" s="321" t="str">
        <f t="shared" si="75"/>
        <v/>
      </c>
      <c r="BI1134" s="98" t="str">
        <f t="shared" si="76"/>
        <v>INDENIZAÇÃO</v>
      </c>
      <c r="BJ1134" s="98" t="str">
        <f t="shared" si="77"/>
        <v>NÃO</v>
      </c>
    </row>
    <row r="1135" spans="2:62" ht="30" hidden="1" customHeight="1">
      <c r="B1135" s="197"/>
      <c r="AK1135" s="313"/>
      <c r="AL1135" s="313"/>
      <c r="AM1135" s="313"/>
      <c r="AN1135" s="313"/>
      <c r="AO1135" s="313"/>
      <c r="AP1135" s="313"/>
      <c r="AQ1135" s="314"/>
      <c r="AR1135" s="315" t="str">
        <f t="shared" si="74"/>
        <v/>
      </c>
      <c r="BH1135" s="321" t="str">
        <f t="shared" si="75"/>
        <v/>
      </c>
      <c r="BI1135" s="98" t="str">
        <f t="shared" si="76"/>
        <v>INDENIZAÇÃO</v>
      </c>
      <c r="BJ1135" s="98" t="str">
        <f t="shared" si="77"/>
        <v>NÃO</v>
      </c>
    </row>
    <row r="1136" spans="2:62" ht="30" hidden="1" customHeight="1">
      <c r="B1136" s="197"/>
      <c r="AK1136" s="313"/>
      <c r="AL1136" s="313"/>
      <c r="AM1136" s="313"/>
      <c r="AN1136" s="313"/>
      <c r="AO1136" s="313"/>
      <c r="AP1136" s="313"/>
      <c r="AQ1136" s="314"/>
      <c r="AR1136" s="315" t="str">
        <f t="shared" si="74"/>
        <v/>
      </c>
      <c r="BH1136" s="321" t="str">
        <f t="shared" si="75"/>
        <v/>
      </c>
      <c r="BI1136" s="98" t="str">
        <f t="shared" si="76"/>
        <v>INDENIZAÇÃO</v>
      </c>
      <c r="BJ1136" s="98" t="str">
        <f t="shared" si="77"/>
        <v>NÃO</v>
      </c>
    </row>
    <row r="1137" spans="2:62" ht="30" hidden="1" customHeight="1">
      <c r="B1137" s="197"/>
      <c r="AK1137" s="313"/>
      <c r="AL1137" s="313"/>
      <c r="AM1137" s="313"/>
      <c r="AN1137" s="313"/>
      <c r="AO1137" s="313"/>
      <c r="AP1137" s="313"/>
      <c r="AQ1137" s="314"/>
      <c r="AR1137" s="315" t="str">
        <f t="shared" si="74"/>
        <v/>
      </c>
      <c r="BH1137" s="321" t="str">
        <f t="shared" si="75"/>
        <v/>
      </c>
      <c r="BI1137" s="98" t="str">
        <f t="shared" si="76"/>
        <v>INDENIZAÇÃO</v>
      </c>
      <c r="BJ1137" s="98" t="str">
        <f t="shared" si="77"/>
        <v>NÃO</v>
      </c>
    </row>
    <row r="1138" spans="2:62" ht="30" hidden="1" customHeight="1">
      <c r="B1138" s="197"/>
      <c r="AK1138" s="313"/>
      <c r="AL1138" s="313"/>
      <c r="AM1138" s="313"/>
      <c r="AN1138" s="313"/>
      <c r="AO1138" s="313"/>
      <c r="AP1138" s="313"/>
      <c r="AQ1138" s="314"/>
      <c r="AR1138" s="315" t="str">
        <f t="shared" si="74"/>
        <v/>
      </c>
      <c r="BH1138" s="321" t="str">
        <f t="shared" si="75"/>
        <v/>
      </c>
      <c r="BI1138" s="98" t="str">
        <f t="shared" si="76"/>
        <v>INDENIZAÇÃO</v>
      </c>
      <c r="BJ1138" s="98" t="str">
        <f t="shared" si="77"/>
        <v>NÃO</v>
      </c>
    </row>
    <row r="1139" spans="2:62" ht="30" hidden="1" customHeight="1">
      <c r="B1139" s="197"/>
      <c r="AK1139" s="313"/>
      <c r="AL1139" s="313"/>
      <c r="AM1139" s="313"/>
      <c r="AN1139" s="313"/>
      <c r="AO1139" s="313"/>
      <c r="AP1139" s="313"/>
      <c r="AQ1139" s="314"/>
      <c r="AR1139" s="315" t="str">
        <f t="shared" si="74"/>
        <v/>
      </c>
      <c r="BH1139" s="321" t="str">
        <f t="shared" si="75"/>
        <v/>
      </c>
      <c r="BI1139" s="98" t="str">
        <f t="shared" si="76"/>
        <v>INDENIZAÇÃO</v>
      </c>
      <c r="BJ1139" s="98" t="str">
        <f t="shared" si="77"/>
        <v>NÃO</v>
      </c>
    </row>
    <row r="1140" spans="2:62" ht="30" hidden="1" customHeight="1">
      <c r="B1140" s="197"/>
      <c r="AK1140" s="313"/>
      <c r="AL1140" s="313"/>
      <c r="AM1140" s="313"/>
      <c r="AN1140" s="313"/>
      <c r="AO1140" s="313"/>
      <c r="AP1140" s="313"/>
      <c r="AQ1140" s="314"/>
      <c r="AR1140" s="315" t="str">
        <f t="shared" si="74"/>
        <v/>
      </c>
      <c r="BH1140" s="321" t="str">
        <f t="shared" si="75"/>
        <v/>
      </c>
      <c r="BI1140" s="98" t="str">
        <f t="shared" si="76"/>
        <v>INDENIZAÇÃO</v>
      </c>
      <c r="BJ1140" s="98" t="str">
        <f t="shared" si="77"/>
        <v>NÃO</v>
      </c>
    </row>
    <row r="1141" spans="2:62" ht="30" hidden="1" customHeight="1">
      <c r="B1141" s="197"/>
      <c r="AK1141" s="313"/>
      <c r="AL1141" s="313"/>
      <c r="AM1141" s="313"/>
      <c r="AN1141" s="313"/>
      <c r="AO1141" s="313"/>
      <c r="AP1141" s="313"/>
      <c r="AQ1141" s="314"/>
      <c r="AR1141" s="315" t="str">
        <f t="shared" si="74"/>
        <v/>
      </c>
      <c r="BH1141" s="321" t="str">
        <f t="shared" si="75"/>
        <v/>
      </c>
      <c r="BI1141" s="98" t="str">
        <f t="shared" si="76"/>
        <v>INDENIZAÇÃO</v>
      </c>
      <c r="BJ1141" s="98" t="str">
        <f t="shared" si="77"/>
        <v>NÃO</v>
      </c>
    </row>
    <row r="1142" spans="2:62" ht="30" hidden="1" customHeight="1">
      <c r="B1142" s="197"/>
      <c r="AK1142" s="313"/>
      <c r="AL1142" s="313"/>
      <c r="AM1142" s="313"/>
      <c r="AN1142" s="313"/>
      <c r="AO1142" s="313"/>
      <c r="AP1142" s="313"/>
      <c r="AQ1142" s="314"/>
      <c r="AR1142" s="315" t="str">
        <f t="shared" si="74"/>
        <v/>
      </c>
      <c r="BH1142" s="321" t="str">
        <f t="shared" si="75"/>
        <v/>
      </c>
      <c r="BI1142" s="98" t="str">
        <f t="shared" si="76"/>
        <v>INDENIZAÇÃO</v>
      </c>
      <c r="BJ1142" s="98" t="str">
        <f t="shared" si="77"/>
        <v>NÃO</v>
      </c>
    </row>
    <row r="1143" spans="2:62" ht="30" hidden="1" customHeight="1">
      <c r="B1143" s="197"/>
      <c r="AK1143" s="313"/>
      <c r="AL1143" s="313"/>
      <c r="AM1143" s="313"/>
      <c r="AN1143" s="313"/>
      <c r="AO1143" s="313"/>
      <c r="AP1143" s="313"/>
      <c r="AQ1143" s="314"/>
      <c r="AR1143" s="315" t="str">
        <f t="shared" si="74"/>
        <v/>
      </c>
      <c r="BH1143" s="321" t="str">
        <f t="shared" si="75"/>
        <v/>
      </c>
      <c r="BI1143" s="98" t="str">
        <f t="shared" si="76"/>
        <v>INDENIZAÇÃO</v>
      </c>
      <c r="BJ1143" s="98" t="str">
        <f t="shared" si="77"/>
        <v>NÃO</v>
      </c>
    </row>
    <row r="1144" spans="2:62" ht="30" hidden="1" customHeight="1">
      <c r="B1144" s="197"/>
      <c r="AK1144" s="313"/>
      <c r="AL1144" s="313"/>
      <c r="AM1144" s="313"/>
      <c r="AN1144" s="313"/>
      <c r="AO1144" s="313"/>
      <c r="AP1144" s="313"/>
      <c r="AQ1144" s="314"/>
      <c r="AR1144" s="315" t="str">
        <f t="shared" si="74"/>
        <v/>
      </c>
      <c r="BH1144" s="321" t="str">
        <f t="shared" si="75"/>
        <v/>
      </c>
      <c r="BI1144" s="98" t="str">
        <f t="shared" si="76"/>
        <v>INDENIZAÇÃO</v>
      </c>
      <c r="BJ1144" s="98" t="str">
        <f t="shared" si="77"/>
        <v>NÃO</v>
      </c>
    </row>
    <row r="1145" spans="2:62" ht="30" hidden="1" customHeight="1">
      <c r="B1145" s="197"/>
      <c r="AK1145" s="313"/>
      <c r="AL1145" s="313"/>
      <c r="AM1145" s="313"/>
      <c r="AN1145" s="313"/>
      <c r="AO1145" s="313"/>
      <c r="AP1145" s="313"/>
      <c r="AQ1145" s="314"/>
      <c r="AR1145" s="315" t="str">
        <f t="shared" si="74"/>
        <v/>
      </c>
      <c r="BH1145" s="321" t="str">
        <f t="shared" si="75"/>
        <v/>
      </c>
      <c r="BI1145" s="98" t="str">
        <f t="shared" si="76"/>
        <v>INDENIZAÇÃO</v>
      </c>
      <c r="BJ1145" s="98" t="str">
        <f t="shared" si="77"/>
        <v>NÃO</v>
      </c>
    </row>
    <row r="1146" spans="2:62" ht="30" hidden="1" customHeight="1">
      <c r="B1146" s="197"/>
      <c r="AK1146" s="313"/>
      <c r="AL1146" s="313"/>
      <c r="AM1146" s="313"/>
      <c r="AN1146" s="313"/>
      <c r="AO1146" s="313"/>
      <c r="AP1146" s="313"/>
      <c r="AQ1146" s="314"/>
      <c r="AR1146" s="315" t="str">
        <f t="shared" si="74"/>
        <v/>
      </c>
      <c r="BH1146" s="321" t="str">
        <f t="shared" si="75"/>
        <v/>
      </c>
      <c r="BI1146" s="98" t="str">
        <f t="shared" si="76"/>
        <v>INDENIZAÇÃO</v>
      </c>
      <c r="BJ1146" s="98" t="str">
        <f t="shared" si="77"/>
        <v>NÃO</v>
      </c>
    </row>
    <row r="1147" spans="2:62" ht="30" hidden="1" customHeight="1">
      <c r="B1147" s="197"/>
      <c r="AK1147" s="313"/>
      <c r="AL1147" s="313"/>
      <c r="AM1147" s="313"/>
      <c r="AN1147" s="313"/>
      <c r="AO1147" s="313"/>
      <c r="AP1147" s="313"/>
      <c r="AQ1147" s="314"/>
      <c r="AR1147" s="315" t="str">
        <f t="shared" si="74"/>
        <v/>
      </c>
      <c r="BH1147" s="321" t="str">
        <f t="shared" si="75"/>
        <v/>
      </c>
      <c r="BI1147" s="98" t="str">
        <f t="shared" si="76"/>
        <v>INDENIZAÇÃO</v>
      </c>
      <c r="BJ1147" s="98" t="str">
        <f t="shared" si="77"/>
        <v>NÃO</v>
      </c>
    </row>
    <row r="1148" spans="2:62" ht="30" hidden="1" customHeight="1">
      <c r="B1148" s="197"/>
      <c r="AK1148" s="313"/>
      <c r="AL1148" s="313"/>
      <c r="AM1148" s="313"/>
      <c r="AN1148" s="313"/>
      <c r="AO1148" s="313"/>
      <c r="AP1148" s="313"/>
      <c r="AQ1148" s="314"/>
      <c r="AR1148" s="315" t="str">
        <f t="shared" si="74"/>
        <v/>
      </c>
      <c r="BH1148" s="321" t="str">
        <f t="shared" si="75"/>
        <v/>
      </c>
      <c r="BI1148" s="98" t="str">
        <f t="shared" si="76"/>
        <v>INDENIZAÇÃO</v>
      </c>
      <c r="BJ1148" s="98" t="str">
        <f t="shared" si="77"/>
        <v>NÃO</v>
      </c>
    </row>
    <row r="1149" spans="2:62" ht="30" hidden="1" customHeight="1">
      <c r="B1149" s="197"/>
      <c r="AK1149" s="313"/>
      <c r="AL1149" s="313"/>
      <c r="AM1149" s="313"/>
      <c r="AN1149" s="313"/>
      <c r="AO1149" s="313"/>
      <c r="AP1149" s="313"/>
      <c r="AQ1149" s="314"/>
      <c r="AR1149" s="315" t="str">
        <f t="shared" si="74"/>
        <v/>
      </c>
      <c r="BH1149" s="321" t="str">
        <f t="shared" si="75"/>
        <v/>
      </c>
      <c r="BI1149" s="98" t="str">
        <f t="shared" si="76"/>
        <v>INDENIZAÇÃO</v>
      </c>
      <c r="BJ1149" s="98" t="str">
        <f t="shared" si="77"/>
        <v>NÃO</v>
      </c>
    </row>
    <row r="1150" spans="2:62" ht="30" hidden="1" customHeight="1">
      <c r="B1150" s="197"/>
      <c r="AK1150" s="313"/>
      <c r="AL1150" s="313"/>
      <c r="AM1150" s="313"/>
      <c r="AN1150" s="313"/>
      <c r="AO1150" s="313"/>
      <c r="AP1150" s="313"/>
      <c r="AQ1150" s="314"/>
      <c r="AR1150" s="315" t="str">
        <f t="shared" si="74"/>
        <v/>
      </c>
      <c r="BH1150" s="321" t="str">
        <f t="shared" si="75"/>
        <v/>
      </c>
      <c r="BI1150" s="98" t="str">
        <f t="shared" si="76"/>
        <v>INDENIZAÇÃO</v>
      </c>
      <c r="BJ1150" s="98" t="str">
        <f t="shared" si="77"/>
        <v>NÃO</v>
      </c>
    </row>
    <row r="1151" spans="2:62" ht="30" hidden="1" customHeight="1">
      <c r="B1151" s="197"/>
      <c r="AK1151" s="313"/>
      <c r="AL1151" s="313"/>
      <c r="AM1151" s="313"/>
      <c r="AN1151" s="313"/>
      <c r="AO1151" s="313"/>
      <c r="AP1151" s="313"/>
      <c r="AQ1151" s="314"/>
      <c r="AR1151" s="315" t="str">
        <f t="shared" ref="AR1151:AR1214" si="78">IF(AQ1151="SIM","AGUARDANDO CORREÇÃO",IF(AP1151&lt;&gt;"","FINALIZADO",IF(AO1151&lt;&gt;"","AGUARDANDO ENVIO DTS",IF(AN1151&lt;&gt;"","AGUARDANDO ASSINATURA GAB",IF(AM1151&lt;&gt;"","AGUARDANDO ASSINATURA CTS",IF(AL1151&lt;&gt;"","AGUARDANDO ENVIO ASSINATURA CTS",IF(AK1151&lt;&gt;"","AGUARDANDO CONFERÊNCIA","")))))))</f>
        <v/>
      </c>
      <c r="BH1151" s="321" t="str">
        <f t="shared" si="75"/>
        <v/>
      </c>
      <c r="BI1151" s="98" t="str">
        <f t="shared" si="76"/>
        <v>INDENIZAÇÃO</v>
      </c>
      <c r="BJ1151" s="98" t="str">
        <f t="shared" si="77"/>
        <v>NÃO</v>
      </c>
    </row>
    <row r="1152" spans="2:62" ht="30" hidden="1" customHeight="1">
      <c r="B1152" s="197"/>
      <c r="AK1152" s="313"/>
      <c r="AL1152" s="313"/>
      <c r="AM1152" s="313"/>
      <c r="AN1152" s="313"/>
      <c r="AO1152" s="313"/>
      <c r="AP1152" s="313"/>
      <c r="AQ1152" s="314"/>
      <c r="AR1152" s="315" t="str">
        <f t="shared" si="78"/>
        <v/>
      </c>
      <c r="BH1152" s="321" t="str">
        <f t="shared" si="75"/>
        <v/>
      </c>
      <c r="BI1152" s="98" t="str">
        <f t="shared" si="76"/>
        <v>INDENIZAÇÃO</v>
      </c>
      <c r="BJ1152" s="98" t="str">
        <f t="shared" si="77"/>
        <v>NÃO</v>
      </c>
    </row>
    <row r="1153" spans="2:62" ht="30" hidden="1" customHeight="1">
      <c r="B1153" s="197"/>
      <c r="AK1153" s="313"/>
      <c r="AL1153" s="313"/>
      <c r="AM1153" s="313"/>
      <c r="AN1153" s="313"/>
      <c r="AO1153" s="313"/>
      <c r="AP1153" s="313"/>
      <c r="AQ1153" s="314"/>
      <c r="AR1153" s="315" t="str">
        <f t="shared" si="78"/>
        <v/>
      </c>
      <c r="BH1153" s="321" t="str">
        <f t="shared" si="75"/>
        <v/>
      </c>
      <c r="BI1153" s="98" t="str">
        <f t="shared" si="76"/>
        <v>INDENIZAÇÃO</v>
      </c>
      <c r="BJ1153" s="98" t="str">
        <f t="shared" si="77"/>
        <v>NÃO</v>
      </c>
    </row>
    <row r="1154" spans="2:62" ht="30" hidden="1" customHeight="1">
      <c r="B1154" s="197"/>
      <c r="AK1154" s="313"/>
      <c r="AL1154" s="313"/>
      <c r="AM1154" s="313"/>
      <c r="AN1154" s="313"/>
      <c r="AO1154" s="313"/>
      <c r="AP1154" s="313"/>
      <c r="AQ1154" s="314"/>
      <c r="AR1154" s="315" t="str">
        <f t="shared" si="78"/>
        <v/>
      </c>
      <c r="BH1154" s="321" t="str">
        <f t="shared" si="75"/>
        <v/>
      </c>
      <c r="BI1154" s="98" t="str">
        <f t="shared" si="76"/>
        <v>INDENIZAÇÃO</v>
      </c>
      <c r="BJ1154" s="98" t="str">
        <f t="shared" si="77"/>
        <v>NÃO</v>
      </c>
    </row>
    <row r="1155" spans="2:62" ht="30" hidden="1" customHeight="1">
      <c r="B1155" s="197"/>
      <c r="AK1155" s="313"/>
      <c r="AL1155" s="313"/>
      <c r="AM1155" s="313"/>
      <c r="AN1155" s="313"/>
      <c r="AO1155" s="313"/>
      <c r="AP1155" s="313"/>
      <c r="AQ1155" s="314"/>
      <c r="AR1155" s="315" t="str">
        <f t="shared" si="78"/>
        <v/>
      </c>
      <c r="BH1155" s="321" t="str">
        <f t="shared" si="75"/>
        <v/>
      </c>
      <c r="BI1155" s="98" t="str">
        <f t="shared" si="76"/>
        <v>INDENIZAÇÃO</v>
      </c>
      <c r="BJ1155" s="98" t="str">
        <f t="shared" si="77"/>
        <v>NÃO</v>
      </c>
    </row>
    <row r="1156" spans="2:62" ht="30" hidden="1" customHeight="1">
      <c r="B1156" s="197"/>
      <c r="AK1156" s="313"/>
      <c r="AL1156" s="313"/>
      <c r="AM1156" s="313"/>
      <c r="AN1156" s="313"/>
      <c r="AO1156" s="313"/>
      <c r="AP1156" s="313"/>
      <c r="AQ1156" s="314"/>
      <c r="AR1156" s="315" t="str">
        <f t="shared" si="78"/>
        <v/>
      </c>
      <c r="BH1156" s="321" t="str">
        <f t="shared" si="75"/>
        <v/>
      </c>
      <c r="BI1156" s="98" t="str">
        <f t="shared" si="76"/>
        <v>INDENIZAÇÃO</v>
      </c>
      <c r="BJ1156" s="98" t="str">
        <f t="shared" si="77"/>
        <v>NÃO</v>
      </c>
    </row>
    <row r="1157" spans="2:62" ht="30" hidden="1" customHeight="1">
      <c r="B1157" s="197"/>
      <c r="AK1157" s="313"/>
      <c r="AL1157" s="313"/>
      <c r="AM1157" s="313"/>
      <c r="AN1157" s="313"/>
      <c r="AO1157" s="313"/>
      <c r="AP1157" s="313"/>
      <c r="AQ1157" s="314"/>
      <c r="AR1157" s="315" t="str">
        <f t="shared" si="78"/>
        <v/>
      </c>
      <c r="BH1157" s="321" t="str">
        <f t="shared" ref="BH1157:BH1220" si="79">IFERROR(IF(BD1157-KI1157=0,"",BD1157-AK1157),"")</f>
        <v/>
      </c>
      <c r="BI1157" s="98" t="str">
        <f t="shared" ref="BI1157:BI1179" si="80">IF(AND(AH1157&lt;&gt;"SIM",AH1157="UH"),"AA","INDENIZAÇÃO")</f>
        <v>INDENIZAÇÃO</v>
      </c>
      <c r="BJ1157" s="98" t="str">
        <f t="shared" ref="BJ1157:BJ1220" si="81">IF(AND(BD1157&lt;&gt;"AGUARDANDO",BD1157&lt;&gt;"",N1157="AUXÍLIO ALUGUEL ATÉ INDENIZAÇÃO"),"SIM","NÃO")</f>
        <v>NÃO</v>
      </c>
    </row>
    <row r="1158" spans="2:62" ht="30" hidden="1" customHeight="1">
      <c r="B1158" s="197"/>
      <c r="AK1158" s="313"/>
      <c r="AL1158" s="313"/>
      <c r="AM1158" s="313"/>
      <c r="AN1158" s="313"/>
      <c r="AO1158" s="313"/>
      <c r="AP1158" s="313"/>
      <c r="AQ1158" s="314"/>
      <c r="AR1158" s="315" t="str">
        <f t="shared" si="78"/>
        <v/>
      </c>
      <c r="BH1158" s="321" t="str">
        <f t="shared" si="79"/>
        <v/>
      </c>
      <c r="BI1158" s="98" t="str">
        <f t="shared" si="80"/>
        <v>INDENIZAÇÃO</v>
      </c>
      <c r="BJ1158" s="98" t="str">
        <f t="shared" si="81"/>
        <v>NÃO</v>
      </c>
    </row>
    <row r="1159" spans="2:62" ht="30" hidden="1" customHeight="1">
      <c r="B1159" s="197"/>
      <c r="AK1159" s="313"/>
      <c r="AL1159" s="313"/>
      <c r="AM1159" s="313"/>
      <c r="AN1159" s="313"/>
      <c r="AO1159" s="313"/>
      <c r="AP1159" s="313"/>
      <c r="AQ1159" s="314"/>
      <c r="AR1159" s="315" t="str">
        <f t="shared" si="78"/>
        <v/>
      </c>
      <c r="BH1159" s="321" t="str">
        <f t="shared" si="79"/>
        <v/>
      </c>
      <c r="BI1159" s="98" t="str">
        <f t="shared" si="80"/>
        <v>INDENIZAÇÃO</v>
      </c>
      <c r="BJ1159" s="98" t="str">
        <f t="shared" si="81"/>
        <v>NÃO</v>
      </c>
    </row>
    <row r="1160" spans="2:62" ht="30" hidden="1" customHeight="1">
      <c r="B1160" s="197"/>
      <c r="AK1160" s="313"/>
      <c r="AL1160" s="313"/>
      <c r="AM1160" s="313"/>
      <c r="AN1160" s="313"/>
      <c r="AO1160" s="313"/>
      <c r="AP1160" s="313"/>
      <c r="AQ1160" s="314"/>
      <c r="AR1160" s="315" t="str">
        <f t="shared" si="78"/>
        <v/>
      </c>
      <c r="BH1160" s="321" t="str">
        <f t="shared" si="79"/>
        <v/>
      </c>
      <c r="BI1160" s="98" t="str">
        <f t="shared" si="80"/>
        <v>INDENIZAÇÃO</v>
      </c>
      <c r="BJ1160" s="98" t="str">
        <f t="shared" si="81"/>
        <v>NÃO</v>
      </c>
    </row>
    <row r="1161" spans="2:62" ht="30" hidden="1" customHeight="1">
      <c r="B1161" s="197"/>
      <c r="AK1161" s="313"/>
      <c r="AL1161" s="313"/>
      <c r="AM1161" s="313"/>
      <c r="AN1161" s="313"/>
      <c r="AO1161" s="313"/>
      <c r="AP1161" s="313"/>
      <c r="AQ1161" s="314"/>
      <c r="AR1161" s="315" t="str">
        <f t="shared" si="78"/>
        <v/>
      </c>
      <c r="BH1161" s="321" t="str">
        <f t="shared" si="79"/>
        <v/>
      </c>
      <c r="BI1161" s="98" t="str">
        <f t="shared" si="80"/>
        <v>INDENIZAÇÃO</v>
      </c>
      <c r="BJ1161" s="98" t="str">
        <f t="shared" si="81"/>
        <v>NÃO</v>
      </c>
    </row>
    <row r="1162" spans="2:62" ht="30" hidden="1" customHeight="1">
      <c r="B1162" s="197"/>
      <c r="AK1162" s="313"/>
      <c r="AL1162" s="313"/>
      <c r="AM1162" s="313"/>
      <c r="AN1162" s="313"/>
      <c r="AO1162" s="313"/>
      <c r="AP1162" s="313"/>
      <c r="AQ1162" s="314"/>
      <c r="AR1162" s="315" t="str">
        <f t="shared" si="78"/>
        <v/>
      </c>
      <c r="BH1162" s="321" t="str">
        <f t="shared" si="79"/>
        <v/>
      </c>
      <c r="BI1162" s="98" t="str">
        <f t="shared" si="80"/>
        <v>INDENIZAÇÃO</v>
      </c>
      <c r="BJ1162" s="98" t="str">
        <f t="shared" si="81"/>
        <v>NÃO</v>
      </c>
    </row>
    <row r="1163" spans="2:62" ht="30" hidden="1" customHeight="1">
      <c r="B1163" s="197"/>
      <c r="AK1163" s="313"/>
      <c r="AL1163" s="313"/>
      <c r="AM1163" s="313"/>
      <c r="AN1163" s="313"/>
      <c r="AO1163" s="313"/>
      <c r="AP1163" s="313"/>
      <c r="AQ1163" s="314"/>
      <c r="AR1163" s="315" t="str">
        <f t="shared" si="78"/>
        <v/>
      </c>
      <c r="BH1163" s="321" t="str">
        <f t="shared" si="79"/>
        <v/>
      </c>
      <c r="BI1163" s="98" t="str">
        <f t="shared" si="80"/>
        <v>INDENIZAÇÃO</v>
      </c>
      <c r="BJ1163" s="98" t="str">
        <f t="shared" si="81"/>
        <v>NÃO</v>
      </c>
    </row>
    <row r="1164" spans="2:62" ht="30" hidden="1" customHeight="1">
      <c r="B1164" s="197"/>
      <c r="AK1164" s="313"/>
      <c r="AL1164" s="313"/>
      <c r="AM1164" s="313"/>
      <c r="AN1164" s="313"/>
      <c r="AO1164" s="313"/>
      <c r="AP1164" s="313"/>
      <c r="AQ1164" s="314"/>
      <c r="AR1164" s="315" t="str">
        <f t="shared" si="78"/>
        <v/>
      </c>
      <c r="BH1164" s="321" t="str">
        <f t="shared" si="79"/>
        <v/>
      </c>
      <c r="BI1164" s="98" t="str">
        <f t="shared" si="80"/>
        <v>INDENIZAÇÃO</v>
      </c>
      <c r="BJ1164" s="98" t="str">
        <f t="shared" si="81"/>
        <v>NÃO</v>
      </c>
    </row>
    <row r="1165" spans="2:62" ht="30" hidden="1" customHeight="1">
      <c r="B1165" s="197"/>
      <c r="AK1165" s="313"/>
      <c r="AL1165" s="313"/>
      <c r="AM1165" s="313"/>
      <c r="AN1165" s="313"/>
      <c r="AO1165" s="313"/>
      <c r="AP1165" s="313"/>
      <c r="AQ1165" s="314"/>
      <c r="AR1165" s="315" t="str">
        <f t="shared" si="78"/>
        <v/>
      </c>
      <c r="BH1165" s="321" t="str">
        <f t="shared" si="79"/>
        <v/>
      </c>
      <c r="BI1165" s="98" t="str">
        <f t="shared" si="80"/>
        <v>INDENIZAÇÃO</v>
      </c>
      <c r="BJ1165" s="98" t="str">
        <f t="shared" si="81"/>
        <v>NÃO</v>
      </c>
    </row>
    <row r="1166" spans="2:62" ht="30" hidden="1" customHeight="1">
      <c r="B1166" s="197"/>
      <c r="AK1166" s="313"/>
      <c r="AL1166" s="313"/>
      <c r="AM1166" s="313"/>
      <c r="AN1166" s="313"/>
      <c r="AO1166" s="313"/>
      <c r="AP1166" s="313"/>
      <c r="AQ1166" s="314"/>
      <c r="AR1166" s="315" t="str">
        <f t="shared" si="78"/>
        <v/>
      </c>
      <c r="BH1166" s="321" t="str">
        <f t="shared" si="79"/>
        <v/>
      </c>
      <c r="BI1166" s="98" t="str">
        <f t="shared" si="80"/>
        <v>INDENIZAÇÃO</v>
      </c>
      <c r="BJ1166" s="98" t="str">
        <f t="shared" si="81"/>
        <v>NÃO</v>
      </c>
    </row>
    <row r="1167" spans="2:62" ht="30" hidden="1" customHeight="1">
      <c r="B1167" s="197"/>
      <c r="AK1167" s="313"/>
      <c r="AL1167" s="313"/>
      <c r="AM1167" s="313"/>
      <c r="AN1167" s="313"/>
      <c r="AO1167" s="313"/>
      <c r="AP1167" s="313"/>
      <c r="AQ1167" s="314"/>
      <c r="AR1167" s="315" t="str">
        <f t="shared" si="78"/>
        <v/>
      </c>
      <c r="BH1167" s="321" t="str">
        <f t="shared" si="79"/>
        <v/>
      </c>
      <c r="BI1167" s="98" t="str">
        <f t="shared" si="80"/>
        <v>INDENIZAÇÃO</v>
      </c>
      <c r="BJ1167" s="98" t="str">
        <f t="shared" si="81"/>
        <v>NÃO</v>
      </c>
    </row>
    <row r="1168" spans="2:62" ht="30" hidden="1" customHeight="1">
      <c r="B1168" s="197"/>
      <c r="AK1168" s="313"/>
      <c r="AL1168" s="313"/>
      <c r="AM1168" s="313"/>
      <c r="AN1168" s="313"/>
      <c r="AO1168" s="313"/>
      <c r="AP1168" s="313"/>
      <c r="AQ1168" s="314"/>
      <c r="AR1168" s="315" t="str">
        <f t="shared" si="78"/>
        <v/>
      </c>
      <c r="BH1168" s="321" t="str">
        <f t="shared" si="79"/>
        <v/>
      </c>
      <c r="BI1168" s="98" t="str">
        <f t="shared" si="80"/>
        <v>INDENIZAÇÃO</v>
      </c>
      <c r="BJ1168" s="98" t="str">
        <f t="shared" si="81"/>
        <v>NÃO</v>
      </c>
    </row>
    <row r="1169" spans="2:62" ht="30" hidden="1" customHeight="1">
      <c r="B1169" s="197"/>
      <c r="AK1169" s="313"/>
      <c r="AL1169" s="313"/>
      <c r="AM1169" s="313"/>
      <c r="AN1169" s="313"/>
      <c r="AO1169" s="313"/>
      <c r="AP1169" s="313"/>
      <c r="AQ1169" s="314"/>
      <c r="AR1169" s="315" t="str">
        <f t="shared" si="78"/>
        <v/>
      </c>
      <c r="BH1169" s="321" t="str">
        <f t="shared" si="79"/>
        <v/>
      </c>
      <c r="BI1169" s="98" t="str">
        <f t="shared" si="80"/>
        <v>INDENIZAÇÃO</v>
      </c>
      <c r="BJ1169" s="98" t="str">
        <f t="shared" si="81"/>
        <v>NÃO</v>
      </c>
    </row>
    <row r="1170" spans="2:62" ht="30" hidden="1" customHeight="1">
      <c r="B1170" s="197"/>
      <c r="AK1170" s="313"/>
      <c r="AL1170" s="313"/>
      <c r="AM1170" s="313"/>
      <c r="AN1170" s="313"/>
      <c r="AO1170" s="313"/>
      <c r="AP1170" s="313"/>
      <c r="AQ1170" s="314"/>
      <c r="AR1170" s="315" t="str">
        <f t="shared" si="78"/>
        <v/>
      </c>
      <c r="BH1170" s="321" t="str">
        <f t="shared" si="79"/>
        <v/>
      </c>
      <c r="BI1170" s="98" t="str">
        <f t="shared" si="80"/>
        <v>INDENIZAÇÃO</v>
      </c>
      <c r="BJ1170" s="98" t="str">
        <f t="shared" si="81"/>
        <v>NÃO</v>
      </c>
    </row>
    <row r="1171" spans="2:62" ht="30" hidden="1" customHeight="1">
      <c r="B1171" s="197"/>
      <c r="AK1171" s="313"/>
      <c r="AL1171" s="313"/>
      <c r="AM1171" s="313"/>
      <c r="AN1171" s="313"/>
      <c r="AO1171" s="313"/>
      <c r="AP1171" s="313"/>
      <c r="AQ1171" s="314"/>
      <c r="AR1171" s="315" t="str">
        <f t="shared" si="78"/>
        <v/>
      </c>
      <c r="BH1171" s="321" t="str">
        <f t="shared" si="79"/>
        <v/>
      </c>
      <c r="BI1171" s="98" t="str">
        <f t="shared" si="80"/>
        <v>INDENIZAÇÃO</v>
      </c>
      <c r="BJ1171" s="98" t="str">
        <f t="shared" si="81"/>
        <v>NÃO</v>
      </c>
    </row>
    <row r="1172" spans="2:62" ht="30" hidden="1" customHeight="1">
      <c r="B1172" s="197"/>
      <c r="AK1172" s="313"/>
      <c r="AL1172" s="313"/>
      <c r="AM1172" s="313"/>
      <c r="AN1172" s="313"/>
      <c r="AO1172" s="313"/>
      <c r="AP1172" s="313"/>
      <c r="AQ1172" s="314"/>
      <c r="AR1172" s="315" t="str">
        <f t="shared" si="78"/>
        <v/>
      </c>
      <c r="BH1172" s="321" t="str">
        <f t="shared" si="79"/>
        <v/>
      </c>
      <c r="BI1172" s="98" t="str">
        <f t="shared" si="80"/>
        <v>INDENIZAÇÃO</v>
      </c>
      <c r="BJ1172" s="98" t="str">
        <f t="shared" si="81"/>
        <v>NÃO</v>
      </c>
    </row>
    <row r="1173" spans="2:62" ht="30" hidden="1" customHeight="1">
      <c r="B1173" s="197"/>
      <c r="AK1173" s="313"/>
      <c r="AL1173" s="313"/>
      <c r="AM1173" s="313"/>
      <c r="AN1173" s="313"/>
      <c r="AO1173" s="313"/>
      <c r="AP1173" s="313"/>
      <c r="AQ1173" s="314"/>
      <c r="AR1173" s="315" t="str">
        <f t="shared" si="78"/>
        <v/>
      </c>
      <c r="BH1173" s="321" t="str">
        <f t="shared" si="79"/>
        <v/>
      </c>
      <c r="BI1173" s="98" t="str">
        <f t="shared" si="80"/>
        <v>INDENIZAÇÃO</v>
      </c>
      <c r="BJ1173" s="98" t="str">
        <f t="shared" si="81"/>
        <v>NÃO</v>
      </c>
    </row>
    <row r="1174" spans="2:62" ht="30" hidden="1" customHeight="1">
      <c r="B1174" s="197"/>
      <c r="AK1174" s="313"/>
      <c r="AL1174" s="313"/>
      <c r="AM1174" s="313"/>
      <c r="AN1174" s="313"/>
      <c r="AO1174" s="313"/>
      <c r="AP1174" s="313"/>
      <c r="AQ1174" s="314"/>
      <c r="AR1174" s="315" t="str">
        <f t="shared" si="78"/>
        <v/>
      </c>
      <c r="BH1174" s="321" t="str">
        <f t="shared" si="79"/>
        <v/>
      </c>
      <c r="BI1174" s="98" t="str">
        <f t="shared" si="80"/>
        <v>INDENIZAÇÃO</v>
      </c>
      <c r="BJ1174" s="98" t="str">
        <f t="shared" si="81"/>
        <v>NÃO</v>
      </c>
    </row>
    <row r="1175" spans="2:62" ht="30" hidden="1" customHeight="1">
      <c r="B1175" s="197"/>
      <c r="AK1175" s="313"/>
      <c r="AL1175" s="313"/>
      <c r="AM1175" s="313"/>
      <c r="AN1175" s="313"/>
      <c r="AO1175" s="313"/>
      <c r="AP1175" s="313"/>
      <c r="AQ1175" s="314"/>
      <c r="AR1175" s="315" t="str">
        <f t="shared" si="78"/>
        <v/>
      </c>
      <c r="BH1175" s="321" t="str">
        <f t="shared" si="79"/>
        <v/>
      </c>
      <c r="BI1175" s="98" t="str">
        <f t="shared" si="80"/>
        <v>INDENIZAÇÃO</v>
      </c>
      <c r="BJ1175" s="98" t="str">
        <f t="shared" si="81"/>
        <v>NÃO</v>
      </c>
    </row>
    <row r="1176" spans="2:62" ht="30" hidden="1" customHeight="1">
      <c r="B1176" s="197"/>
      <c r="AK1176" s="313"/>
      <c r="AL1176" s="313"/>
      <c r="AM1176" s="313"/>
      <c r="AN1176" s="313"/>
      <c r="AO1176" s="313"/>
      <c r="AP1176" s="313"/>
      <c r="AQ1176" s="314"/>
      <c r="AR1176" s="315" t="str">
        <f t="shared" si="78"/>
        <v/>
      </c>
      <c r="BH1176" s="321" t="str">
        <f t="shared" si="79"/>
        <v/>
      </c>
      <c r="BI1176" s="98" t="str">
        <f t="shared" si="80"/>
        <v>INDENIZAÇÃO</v>
      </c>
      <c r="BJ1176" s="98" t="str">
        <f t="shared" si="81"/>
        <v>NÃO</v>
      </c>
    </row>
    <row r="1177" spans="2:62" ht="30" hidden="1" customHeight="1">
      <c r="B1177" s="197"/>
      <c r="AK1177" s="313"/>
      <c r="AL1177" s="313"/>
      <c r="AM1177" s="313"/>
      <c r="AN1177" s="313"/>
      <c r="AO1177" s="313"/>
      <c r="AP1177" s="313"/>
      <c r="AQ1177" s="314"/>
      <c r="AR1177" s="315" t="str">
        <f t="shared" si="78"/>
        <v/>
      </c>
      <c r="BH1177" s="321" t="str">
        <f t="shared" si="79"/>
        <v/>
      </c>
      <c r="BI1177" s="98" t="str">
        <f t="shared" si="80"/>
        <v>INDENIZAÇÃO</v>
      </c>
      <c r="BJ1177" s="98" t="str">
        <f t="shared" si="81"/>
        <v>NÃO</v>
      </c>
    </row>
    <row r="1178" spans="2:62" ht="30" hidden="1" customHeight="1">
      <c r="B1178" s="197"/>
      <c r="AK1178" s="313"/>
      <c r="AL1178" s="313"/>
      <c r="AM1178" s="313"/>
      <c r="AN1178" s="313"/>
      <c r="AO1178" s="313"/>
      <c r="AP1178" s="313"/>
      <c r="AQ1178" s="314"/>
      <c r="AR1178" s="315" t="str">
        <f t="shared" si="78"/>
        <v/>
      </c>
      <c r="BH1178" s="321" t="str">
        <f t="shared" si="79"/>
        <v/>
      </c>
      <c r="BI1178" s="98" t="str">
        <f t="shared" si="80"/>
        <v>INDENIZAÇÃO</v>
      </c>
      <c r="BJ1178" s="98" t="str">
        <f t="shared" si="81"/>
        <v>NÃO</v>
      </c>
    </row>
    <row r="1179" spans="2:62" ht="30" hidden="1" customHeight="1">
      <c r="B1179" s="197"/>
      <c r="AK1179" s="313"/>
      <c r="AL1179" s="313"/>
      <c r="AM1179" s="313"/>
      <c r="AN1179" s="313"/>
      <c r="AO1179" s="313"/>
      <c r="AP1179" s="313"/>
      <c r="AQ1179" s="314"/>
      <c r="AR1179" s="315" t="str">
        <f t="shared" si="78"/>
        <v/>
      </c>
      <c r="BH1179" s="321" t="str">
        <f t="shared" si="79"/>
        <v/>
      </c>
      <c r="BI1179" s="98" t="str">
        <f t="shared" si="80"/>
        <v>INDENIZAÇÃO</v>
      </c>
      <c r="BJ1179" s="98" t="str">
        <f t="shared" si="81"/>
        <v>NÃO</v>
      </c>
    </row>
    <row r="1180" spans="2:62" ht="30" hidden="1" customHeight="1">
      <c r="B1180" s="197"/>
      <c r="AK1180" s="313"/>
      <c r="AL1180" s="313"/>
      <c r="AM1180" s="313"/>
      <c r="AN1180" s="313"/>
      <c r="AO1180" s="313"/>
      <c r="AP1180" s="313"/>
      <c r="AQ1180" s="314"/>
      <c r="AR1180" s="315" t="str">
        <f t="shared" si="78"/>
        <v/>
      </c>
      <c r="BH1180" s="321" t="str">
        <f t="shared" si="79"/>
        <v/>
      </c>
      <c r="BJ1180" s="98" t="str">
        <f t="shared" si="81"/>
        <v>NÃO</v>
      </c>
    </row>
    <row r="1181" spans="2:62" ht="30" hidden="1" customHeight="1">
      <c r="B1181" s="197"/>
      <c r="AK1181" s="313"/>
      <c r="AL1181" s="313"/>
      <c r="AM1181" s="313"/>
      <c r="AN1181" s="313"/>
      <c r="AO1181" s="313"/>
      <c r="AP1181" s="313"/>
      <c r="AQ1181" s="314"/>
      <c r="AR1181" s="315" t="str">
        <f t="shared" si="78"/>
        <v/>
      </c>
      <c r="BH1181" s="321" t="str">
        <f t="shared" si="79"/>
        <v/>
      </c>
      <c r="BJ1181" s="98" t="str">
        <f t="shared" si="81"/>
        <v>NÃO</v>
      </c>
    </row>
    <row r="1182" spans="2:62" ht="30" hidden="1" customHeight="1">
      <c r="B1182" s="197"/>
      <c r="AK1182" s="313"/>
      <c r="AL1182" s="313"/>
      <c r="AM1182" s="313"/>
      <c r="AN1182" s="313"/>
      <c r="AO1182" s="313"/>
      <c r="AP1182" s="313"/>
      <c r="AQ1182" s="314"/>
      <c r="AR1182" s="315" t="str">
        <f t="shared" si="78"/>
        <v/>
      </c>
      <c r="BH1182" s="321" t="str">
        <f t="shared" si="79"/>
        <v/>
      </c>
      <c r="BJ1182" s="98" t="str">
        <f t="shared" si="81"/>
        <v>NÃO</v>
      </c>
    </row>
    <row r="1183" spans="2:62" ht="30" hidden="1" customHeight="1">
      <c r="B1183" s="197"/>
      <c r="AK1183" s="313"/>
      <c r="AL1183" s="313"/>
      <c r="AM1183" s="313"/>
      <c r="AN1183" s="313"/>
      <c r="AO1183" s="313"/>
      <c r="AP1183" s="313"/>
      <c r="AQ1183" s="314"/>
      <c r="AR1183" s="315" t="str">
        <f t="shared" si="78"/>
        <v/>
      </c>
      <c r="BH1183" s="321" t="str">
        <f t="shared" si="79"/>
        <v/>
      </c>
      <c r="BJ1183" s="98" t="str">
        <f t="shared" si="81"/>
        <v>NÃO</v>
      </c>
    </row>
    <row r="1184" spans="2:62" ht="30" hidden="1" customHeight="1">
      <c r="B1184" s="197"/>
      <c r="AK1184" s="313"/>
      <c r="AL1184" s="313"/>
      <c r="AM1184" s="313"/>
      <c r="AN1184" s="313"/>
      <c r="AO1184" s="313"/>
      <c r="AP1184" s="313"/>
      <c r="AQ1184" s="314"/>
      <c r="AR1184" s="315" t="str">
        <f t="shared" si="78"/>
        <v/>
      </c>
      <c r="BH1184" s="321" t="str">
        <f t="shared" si="79"/>
        <v/>
      </c>
      <c r="BJ1184" s="98" t="str">
        <f t="shared" si="81"/>
        <v>NÃO</v>
      </c>
    </row>
    <row r="1185" spans="2:62" ht="30" hidden="1" customHeight="1">
      <c r="B1185" s="197"/>
      <c r="AK1185" s="313"/>
      <c r="AL1185" s="313"/>
      <c r="AM1185" s="313"/>
      <c r="AN1185" s="313"/>
      <c r="AO1185" s="313"/>
      <c r="AP1185" s="313"/>
      <c r="AQ1185" s="314"/>
      <c r="AR1185" s="315" t="str">
        <f t="shared" si="78"/>
        <v/>
      </c>
      <c r="BH1185" s="321" t="str">
        <f t="shared" si="79"/>
        <v/>
      </c>
      <c r="BJ1185" s="98" t="str">
        <f t="shared" si="81"/>
        <v>NÃO</v>
      </c>
    </row>
    <row r="1186" spans="2:62" ht="30" hidden="1" customHeight="1">
      <c r="B1186" s="197"/>
      <c r="AK1186" s="313"/>
      <c r="AL1186" s="313"/>
      <c r="AM1186" s="313"/>
      <c r="AN1186" s="313"/>
      <c r="AO1186" s="313"/>
      <c r="AP1186" s="313"/>
      <c r="AQ1186" s="314"/>
      <c r="AR1186" s="315" t="str">
        <f t="shared" si="78"/>
        <v/>
      </c>
      <c r="BH1186" s="321" t="str">
        <f t="shared" si="79"/>
        <v/>
      </c>
      <c r="BJ1186" s="98" t="str">
        <f t="shared" si="81"/>
        <v>NÃO</v>
      </c>
    </row>
    <row r="1187" spans="2:62" ht="30" hidden="1" customHeight="1">
      <c r="B1187" s="197"/>
      <c r="AK1187" s="313"/>
      <c r="AL1187" s="313"/>
      <c r="AM1187" s="313"/>
      <c r="AN1187" s="313"/>
      <c r="AO1187" s="313"/>
      <c r="AP1187" s="313"/>
      <c r="AQ1187" s="314"/>
      <c r="AR1187" s="315" t="str">
        <f t="shared" si="78"/>
        <v/>
      </c>
      <c r="BH1187" s="321" t="str">
        <f t="shared" si="79"/>
        <v/>
      </c>
      <c r="BJ1187" s="98" t="str">
        <f t="shared" si="81"/>
        <v>NÃO</v>
      </c>
    </row>
    <row r="1188" spans="2:62" ht="30" hidden="1" customHeight="1">
      <c r="B1188" s="197"/>
      <c r="AK1188" s="313"/>
      <c r="AL1188" s="313"/>
      <c r="AM1188" s="313"/>
      <c r="AN1188" s="313"/>
      <c r="AO1188" s="313"/>
      <c r="AP1188" s="313"/>
      <c r="AQ1188" s="314"/>
      <c r="AR1188" s="315" t="str">
        <f t="shared" si="78"/>
        <v/>
      </c>
      <c r="BH1188" s="321" t="str">
        <f t="shared" si="79"/>
        <v/>
      </c>
      <c r="BJ1188" s="98" t="str">
        <f t="shared" si="81"/>
        <v>NÃO</v>
      </c>
    </row>
    <row r="1189" spans="2:62" ht="30" hidden="1" customHeight="1">
      <c r="B1189" s="197"/>
      <c r="AK1189" s="313"/>
      <c r="AL1189" s="313"/>
      <c r="AM1189" s="313"/>
      <c r="AN1189" s="313"/>
      <c r="AO1189" s="313"/>
      <c r="AP1189" s="313"/>
      <c r="AQ1189" s="314"/>
      <c r="AR1189" s="315" t="str">
        <f t="shared" si="78"/>
        <v/>
      </c>
      <c r="BH1189" s="321" t="str">
        <f t="shared" si="79"/>
        <v/>
      </c>
      <c r="BJ1189" s="98" t="str">
        <f t="shared" si="81"/>
        <v>NÃO</v>
      </c>
    </row>
    <row r="1190" spans="2:62" ht="30" hidden="1" customHeight="1">
      <c r="B1190" s="197"/>
      <c r="AK1190" s="313"/>
      <c r="AL1190" s="313"/>
      <c r="AM1190" s="313"/>
      <c r="AN1190" s="313"/>
      <c r="AO1190" s="313"/>
      <c r="AP1190" s="313"/>
      <c r="AQ1190" s="314"/>
      <c r="AR1190" s="315" t="str">
        <f t="shared" si="78"/>
        <v/>
      </c>
      <c r="BH1190" s="321" t="str">
        <f t="shared" si="79"/>
        <v/>
      </c>
      <c r="BJ1190" s="98" t="str">
        <f t="shared" si="81"/>
        <v>NÃO</v>
      </c>
    </row>
    <row r="1191" spans="2:62" ht="30" hidden="1" customHeight="1">
      <c r="B1191" s="197"/>
      <c r="AK1191" s="313"/>
      <c r="AL1191" s="313"/>
      <c r="AM1191" s="313"/>
      <c r="AN1191" s="313"/>
      <c r="AO1191" s="313"/>
      <c r="AP1191" s="313"/>
      <c r="AQ1191" s="314"/>
      <c r="AR1191" s="315" t="str">
        <f t="shared" si="78"/>
        <v/>
      </c>
      <c r="BH1191" s="321" t="str">
        <f t="shared" si="79"/>
        <v/>
      </c>
      <c r="BJ1191" s="98" t="str">
        <f t="shared" si="81"/>
        <v>NÃO</v>
      </c>
    </row>
    <row r="1192" spans="2:62" ht="30" hidden="1" customHeight="1">
      <c r="B1192" s="197"/>
      <c r="AK1192" s="313"/>
      <c r="AL1192" s="313"/>
      <c r="AM1192" s="313"/>
      <c r="AN1192" s="313"/>
      <c r="AO1192" s="313"/>
      <c r="AP1192" s="313"/>
      <c r="AQ1192" s="314"/>
      <c r="AR1192" s="315" t="str">
        <f t="shared" si="78"/>
        <v/>
      </c>
      <c r="BH1192" s="321" t="str">
        <f t="shared" si="79"/>
        <v/>
      </c>
      <c r="BJ1192" s="98" t="str">
        <f t="shared" si="81"/>
        <v>NÃO</v>
      </c>
    </row>
    <row r="1193" spans="2:62" ht="30" hidden="1" customHeight="1">
      <c r="B1193" s="197"/>
      <c r="AK1193" s="313"/>
      <c r="AL1193" s="313"/>
      <c r="AM1193" s="313"/>
      <c r="AN1193" s="313"/>
      <c r="AO1193" s="313"/>
      <c r="AP1193" s="313"/>
      <c r="AQ1193" s="314"/>
      <c r="AR1193" s="315" t="str">
        <f t="shared" si="78"/>
        <v/>
      </c>
      <c r="BH1193" s="321" t="str">
        <f t="shared" si="79"/>
        <v/>
      </c>
      <c r="BJ1193" s="98" t="str">
        <f t="shared" si="81"/>
        <v>NÃO</v>
      </c>
    </row>
    <row r="1194" spans="2:62" ht="30" hidden="1" customHeight="1">
      <c r="B1194" s="197"/>
      <c r="AK1194" s="313"/>
      <c r="AL1194" s="313"/>
      <c r="AM1194" s="313"/>
      <c r="AN1194" s="313"/>
      <c r="AO1194" s="313"/>
      <c r="AP1194" s="313"/>
      <c r="AQ1194" s="314"/>
      <c r="AR1194" s="315" t="str">
        <f t="shared" si="78"/>
        <v/>
      </c>
      <c r="BH1194" s="321" t="str">
        <f t="shared" si="79"/>
        <v/>
      </c>
      <c r="BJ1194" s="98" t="str">
        <f t="shared" si="81"/>
        <v>NÃO</v>
      </c>
    </row>
    <row r="1195" spans="2:62" ht="30" hidden="1" customHeight="1">
      <c r="B1195" s="197"/>
      <c r="AK1195" s="313"/>
      <c r="AL1195" s="313"/>
      <c r="AM1195" s="313"/>
      <c r="AN1195" s="313"/>
      <c r="AO1195" s="313"/>
      <c r="AP1195" s="313"/>
      <c r="AQ1195" s="314"/>
      <c r="AR1195" s="315" t="str">
        <f t="shared" si="78"/>
        <v/>
      </c>
      <c r="BH1195" s="321" t="str">
        <f t="shared" si="79"/>
        <v/>
      </c>
      <c r="BJ1195" s="98" t="str">
        <f t="shared" si="81"/>
        <v>NÃO</v>
      </c>
    </row>
    <row r="1196" spans="2:62" ht="30" hidden="1" customHeight="1">
      <c r="B1196" s="197"/>
      <c r="AK1196" s="313"/>
      <c r="AL1196" s="313"/>
      <c r="AM1196" s="313"/>
      <c r="AN1196" s="313"/>
      <c r="AO1196" s="313"/>
      <c r="AP1196" s="313"/>
      <c r="AQ1196" s="314"/>
      <c r="AR1196" s="315" t="str">
        <f t="shared" si="78"/>
        <v/>
      </c>
      <c r="BH1196" s="321" t="str">
        <f t="shared" si="79"/>
        <v/>
      </c>
      <c r="BJ1196" s="98" t="str">
        <f t="shared" si="81"/>
        <v>NÃO</v>
      </c>
    </row>
    <row r="1197" spans="2:62" ht="30" hidden="1" customHeight="1">
      <c r="B1197" s="197"/>
      <c r="AK1197" s="313"/>
      <c r="AL1197" s="313"/>
      <c r="AM1197" s="313"/>
      <c r="AN1197" s="313"/>
      <c r="AO1197" s="313"/>
      <c r="AP1197" s="313"/>
      <c r="AQ1197" s="314"/>
      <c r="AR1197" s="315" t="str">
        <f t="shared" si="78"/>
        <v/>
      </c>
      <c r="BH1197" s="321" t="str">
        <f t="shared" si="79"/>
        <v/>
      </c>
      <c r="BJ1197" s="98" t="str">
        <f t="shared" si="81"/>
        <v>NÃO</v>
      </c>
    </row>
    <row r="1198" spans="2:62" ht="30" hidden="1" customHeight="1">
      <c r="B1198" s="197"/>
      <c r="AK1198" s="313"/>
      <c r="AL1198" s="313"/>
      <c r="AM1198" s="313"/>
      <c r="AN1198" s="313"/>
      <c r="AO1198" s="313"/>
      <c r="AP1198" s="313"/>
      <c r="AQ1198" s="314"/>
      <c r="AR1198" s="315" t="str">
        <f t="shared" si="78"/>
        <v/>
      </c>
      <c r="BH1198" s="321" t="str">
        <f t="shared" si="79"/>
        <v/>
      </c>
      <c r="BJ1198" s="98" t="str">
        <f t="shared" si="81"/>
        <v>NÃO</v>
      </c>
    </row>
    <row r="1199" spans="2:62" ht="30" hidden="1" customHeight="1">
      <c r="B1199" s="197"/>
      <c r="AK1199" s="313"/>
      <c r="AL1199" s="313"/>
      <c r="AM1199" s="313"/>
      <c r="AN1199" s="313"/>
      <c r="AO1199" s="313"/>
      <c r="AP1199" s="313"/>
      <c r="AQ1199" s="314"/>
      <c r="AR1199" s="315" t="str">
        <f t="shared" si="78"/>
        <v/>
      </c>
      <c r="BH1199" s="321" t="str">
        <f t="shared" si="79"/>
        <v/>
      </c>
      <c r="BJ1199" s="98" t="str">
        <f t="shared" si="81"/>
        <v>NÃO</v>
      </c>
    </row>
    <row r="1200" spans="2:62" ht="30" hidden="1" customHeight="1">
      <c r="B1200" s="197"/>
      <c r="AK1200" s="313"/>
      <c r="AL1200" s="313"/>
      <c r="AM1200" s="313"/>
      <c r="AN1200" s="313"/>
      <c r="AO1200" s="313"/>
      <c r="AP1200" s="313"/>
      <c r="AQ1200" s="314"/>
      <c r="AR1200" s="315" t="str">
        <f t="shared" si="78"/>
        <v/>
      </c>
      <c r="BH1200" s="321" t="str">
        <f t="shared" si="79"/>
        <v/>
      </c>
      <c r="BJ1200" s="98" t="str">
        <f t="shared" si="81"/>
        <v>NÃO</v>
      </c>
    </row>
    <row r="1201" spans="2:62" ht="30" hidden="1" customHeight="1">
      <c r="B1201" s="197"/>
      <c r="AK1201" s="313"/>
      <c r="AL1201" s="313"/>
      <c r="AM1201" s="313"/>
      <c r="AN1201" s="313"/>
      <c r="AO1201" s="313"/>
      <c r="AP1201" s="313"/>
      <c r="AQ1201" s="314"/>
      <c r="AR1201" s="315" t="str">
        <f t="shared" si="78"/>
        <v/>
      </c>
      <c r="BH1201" s="321" t="str">
        <f t="shared" si="79"/>
        <v/>
      </c>
      <c r="BJ1201" s="98" t="str">
        <f t="shared" si="81"/>
        <v>NÃO</v>
      </c>
    </row>
    <row r="1202" spans="2:62" ht="30" hidden="1" customHeight="1">
      <c r="B1202" s="197"/>
      <c r="AK1202" s="313"/>
      <c r="AL1202" s="313"/>
      <c r="AM1202" s="313"/>
      <c r="AN1202" s="313"/>
      <c r="AO1202" s="313"/>
      <c r="AP1202" s="313"/>
      <c r="AQ1202" s="314"/>
      <c r="AR1202" s="315" t="str">
        <f t="shared" si="78"/>
        <v/>
      </c>
      <c r="BH1202" s="321" t="str">
        <f t="shared" si="79"/>
        <v/>
      </c>
      <c r="BJ1202" s="98" t="str">
        <f t="shared" si="81"/>
        <v>NÃO</v>
      </c>
    </row>
    <row r="1203" spans="2:62" ht="30" hidden="1" customHeight="1">
      <c r="B1203" s="197"/>
      <c r="AK1203" s="313"/>
      <c r="AL1203" s="313"/>
      <c r="AM1203" s="313"/>
      <c r="AN1203" s="313"/>
      <c r="AO1203" s="313"/>
      <c r="AP1203" s="313"/>
      <c r="AQ1203" s="314"/>
      <c r="AR1203" s="315" t="str">
        <f t="shared" si="78"/>
        <v/>
      </c>
      <c r="BH1203" s="321" t="str">
        <f t="shared" si="79"/>
        <v/>
      </c>
      <c r="BJ1203" s="98" t="str">
        <f t="shared" si="81"/>
        <v>NÃO</v>
      </c>
    </row>
    <row r="1204" spans="2:62" ht="30" hidden="1" customHeight="1">
      <c r="B1204" s="197"/>
      <c r="AK1204" s="313"/>
      <c r="AL1204" s="313"/>
      <c r="AM1204" s="313"/>
      <c r="AN1204" s="313"/>
      <c r="AO1204" s="313"/>
      <c r="AP1204" s="313"/>
      <c r="AQ1204" s="314"/>
      <c r="AR1204" s="315" t="str">
        <f t="shared" si="78"/>
        <v/>
      </c>
      <c r="BH1204" s="321" t="str">
        <f t="shared" si="79"/>
        <v/>
      </c>
      <c r="BJ1204" s="98" t="str">
        <f t="shared" si="81"/>
        <v>NÃO</v>
      </c>
    </row>
    <row r="1205" spans="2:62" ht="30" hidden="1" customHeight="1">
      <c r="B1205" s="197"/>
      <c r="AK1205" s="313"/>
      <c r="AL1205" s="313"/>
      <c r="AM1205" s="313"/>
      <c r="AN1205" s="313"/>
      <c r="AO1205" s="313"/>
      <c r="AP1205" s="313"/>
      <c r="AQ1205" s="314"/>
      <c r="AR1205" s="315" t="str">
        <f t="shared" si="78"/>
        <v/>
      </c>
      <c r="BH1205" s="321" t="str">
        <f t="shared" si="79"/>
        <v/>
      </c>
      <c r="BJ1205" s="98" t="str">
        <f t="shared" si="81"/>
        <v>NÃO</v>
      </c>
    </row>
    <row r="1206" spans="2:62" ht="30" hidden="1" customHeight="1">
      <c r="B1206" s="197"/>
      <c r="AK1206" s="313"/>
      <c r="AL1206" s="313"/>
      <c r="AM1206" s="313"/>
      <c r="AN1206" s="313"/>
      <c r="AO1206" s="313"/>
      <c r="AP1206" s="313"/>
      <c r="AQ1206" s="314"/>
      <c r="AR1206" s="315" t="str">
        <f t="shared" si="78"/>
        <v/>
      </c>
      <c r="BH1206" s="321" t="str">
        <f t="shared" si="79"/>
        <v/>
      </c>
      <c r="BJ1206" s="98" t="str">
        <f t="shared" si="81"/>
        <v>NÃO</v>
      </c>
    </row>
    <row r="1207" spans="2:62" ht="30" hidden="1" customHeight="1">
      <c r="B1207" s="197"/>
      <c r="AK1207" s="313"/>
      <c r="AL1207" s="313"/>
      <c r="AM1207" s="313"/>
      <c r="AN1207" s="313"/>
      <c r="AO1207" s="313"/>
      <c r="AP1207" s="313"/>
      <c r="AQ1207" s="314"/>
      <c r="AR1207" s="315" t="str">
        <f t="shared" si="78"/>
        <v/>
      </c>
      <c r="BH1207" s="321" t="str">
        <f t="shared" si="79"/>
        <v/>
      </c>
      <c r="BJ1207" s="98" t="str">
        <f t="shared" si="81"/>
        <v>NÃO</v>
      </c>
    </row>
    <row r="1208" spans="2:62" ht="30" hidden="1" customHeight="1">
      <c r="B1208" s="197"/>
      <c r="AK1208" s="313"/>
      <c r="AL1208" s="313"/>
      <c r="AM1208" s="313"/>
      <c r="AN1208" s="313"/>
      <c r="AO1208" s="313"/>
      <c r="AP1208" s="313"/>
      <c r="AQ1208" s="314"/>
      <c r="AR1208" s="315" t="str">
        <f t="shared" si="78"/>
        <v/>
      </c>
      <c r="BH1208" s="321" t="str">
        <f t="shared" si="79"/>
        <v/>
      </c>
      <c r="BJ1208" s="98" t="str">
        <f t="shared" si="81"/>
        <v>NÃO</v>
      </c>
    </row>
    <row r="1209" spans="2:62" ht="30" hidden="1" customHeight="1">
      <c r="B1209" s="197"/>
      <c r="AK1209" s="313"/>
      <c r="AL1209" s="313"/>
      <c r="AM1209" s="313"/>
      <c r="AN1209" s="313"/>
      <c r="AO1209" s="313"/>
      <c r="AP1209" s="313"/>
      <c r="AQ1209" s="314"/>
      <c r="AR1209" s="315" t="str">
        <f t="shared" si="78"/>
        <v/>
      </c>
      <c r="BH1209" s="321" t="str">
        <f t="shared" si="79"/>
        <v/>
      </c>
      <c r="BJ1209" s="98" t="str">
        <f t="shared" si="81"/>
        <v>NÃO</v>
      </c>
    </row>
    <row r="1210" spans="2:62" ht="30" hidden="1" customHeight="1">
      <c r="B1210" s="197"/>
      <c r="AK1210" s="313"/>
      <c r="AL1210" s="313"/>
      <c r="AM1210" s="313"/>
      <c r="AN1210" s="313"/>
      <c r="AO1210" s="313"/>
      <c r="AP1210" s="313"/>
      <c r="AQ1210" s="314"/>
      <c r="AR1210" s="315" t="str">
        <f t="shared" si="78"/>
        <v/>
      </c>
      <c r="BH1210" s="321" t="str">
        <f t="shared" si="79"/>
        <v/>
      </c>
      <c r="BJ1210" s="98" t="str">
        <f t="shared" si="81"/>
        <v>NÃO</v>
      </c>
    </row>
    <row r="1211" spans="2:62" ht="30" hidden="1" customHeight="1">
      <c r="B1211" s="197"/>
      <c r="AK1211" s="313"/>
      <c r="AL1211" s="313"/>
      <c r="AM1211" s="313"/>
      <c r="AN1211" s="313"/>
      <c r="AO1211" s="313"/>
      <c r="AP1211" s="313"/>
      <c r="AQ1211" s="314"/>
      <c r="AR1211" s="315" t="str">
        <f t="shared" si="78"/>
        <v/>
      </c>
      <c r="BH1211" s="321" t="str">
        <f t="shared" si="79"/>
        <v/>
      </c>
      <c r="BJ1211" s="98" t="str">
        <f t="shared" si="81"/>
        <v>NÃO</v>
      </c>
    </row>
    <row r="1212" spans="2:62" ht="30" hidden="1" customHeight="1">
      <c r="B1212" s="197"/>
      <c r="AK1212" s="313"/>
      <c r="AL1212" s="313"/>
      <c r="AM1212" s="313"/>
      <c r="AN1212" s="313"/>
      <c r="AO1212" s="313"/>
      <c r="AP1212" s="313"/>
      <c r="AQ1212" s="314"/>
      <c r="AR1212" s="315" t="str">
        <f t="shared" si="78"/>
        <v/>
      </c>
      <c r="BH1212" s="321" t="str">
        <f t="shared" si="79"/>
        <v/>
      </c>
      <c r="BJ1212" s="98" t="str">
        <f t="shared" si="81"/>
        <v>NÃO</v>
      </c>
    </row>
    <row r="1213" spans="2:62" ht="30" hidden="1" customHeight="1">
      <c r="B1213" s="197"/>
      <c r="AK1213" s="313"/>
      <c r="AL1213" s="313"/>
      <c r="AM1213" s="313"/>
      <c r="AN1213" s="313"/>
      <c r="AO1213" s="313"/>
      <c r="AP1213" s="313"/>
      <c r="AQ1213" s="314"/>
      <c r="AR1213" s="315" t="str">
        <f t="shared" si="78"/>
        <v/>
      </c>
      <c r="BH1213" s="321" t="str">
        <f t="shared" si="79"/>
        <v/>
      </c>
      <c r="BJ1213" s="98" t="str">
        <f t="shared" si="81"/>
        <v>NÃO</v>
      </c>
    </row>
    <row r="1214" spans="2:62" ht="30" hidden="1" customHeight="1">
      <c r="B1214" s="197"/>
      <c r="AK1214" s="313"/>
      <c r="AL1214" s="313"/>
      <c r="AM1214" s="313"/>
      <c r="AN1214" s="313"/>
      <c r="AO1214" s="313"/>
      <c r="AP1214" s="313"/>
      <c r="AQ1214" s="314"/>
      <c r="AR1214" s="315" t="str">
        <f t="shared" si="78"/>
        <v/>
      </c>
      <c r="BH1214" s="321" t="str">
        <f t="shared" si="79"/>
        <v/>
      </c>
      <c r="BJ1214" s="98" t="str">
        <f t="shared" si="81"/>
        <v>NÃO</v>
      </c>
    </row>
    <row r="1215" spans="2:62" ht="30" hidden="1" customHeight="1">
      <c r="B1215" s="197"/>
      <c r="AK1215" s="313"/>
      <c r="AL1215" s="313"/>
      <c r="AM1215" s="313"/>
      <c r="AN1215" s="313"/>
      <c r="AO1215" s="313"/>
      <c r="AP1215" s="313"/>
      <c r="AQ1215" s="314"/>
      <c r="AR1215" s="315" t="str">
        <f t="shared" ref="AR1215:AR1278" si="82">IF(AQ1215="SIM","AGUARDANDO CORREÇÃO",IF(AP1215&lt;&gt;"","FINALIZADO",IF(AO1215&lt;&gt;"","AGUARDANDO ENVIO DTS",IF(AN1215&lt;&gt;"","AGUARDANDO ASSINATURA GAB",IF(AM1215&lt;&gt;"","AGUARDANDO ASSINATURA CTS",IF(AL1215&lt;&gt;"","AGUARDANDO ENVIO ASSINATURA CTS",IF(AK1215&lt;&gt;"","AGUARDANDO CONFERÊNCIA","")))))))</f>
        <v/>
      </c>
      <c r="BH1215" s="321" t="str">
        <f t="shared" si="79"/>
        <v/>
      </c>
      <c r="BJ1215" s="98" t="str">
        <f t="shared" si="81"/>
        <v>NÃO</v>
      </c>
    </row>
    <row r="1216" spans="2:62" ht="30" hidden="1" customHeight="1">
      <c r="B1216" s="197"/>
      <c r="AK1216" s="313"/>
      <c r="AL1216" s="313"/>
      <c r="AM1216" s="313"/>
      <c r="AN1216" s="313"/>
      <c r="AO1216" s="313"/>
      <c r="AP1216" s="313"/>
      <c r="AQ1216" s="314"/>
      <c r="AR1216" s="315" t="str">
        <f t="shared" si="82"/>
        <v/>
      </c>
      <c r="BH1216" s="321" t="str">
        <f t="shared" si="79"/>
        <v/>
      </c>
      <c r="BJ1216" s="98" t="str">
        <f t="shared" si="81"/>
        <v>NÃO</v>
      </c>
    </row>
    <row r="1217" spans="2:62" ht="30" hidden="1" customHeight="1">
      <c r="B1217" s="197"/>
      <c r="AK1217" s="313"/>
      <c r="AL1217" s="313"/>
      <c r="AM1217" s="313"/>
      <c r="AN1217" s="313"/>
      <c r="AO1217" s="313"/>
      <c r="AP1217" s="313"/>
      <c r="AQ1217" s="314"/>
      <c r="AR1217" s="315" t="str">
        <f t="shared" si="82"/>
        <v/>
      </c>
      <c r="BH1217" s="321" t="str">
        <f t="shared" si="79"/>
        <v/>
      </c>
      <c r="BJ1217" s="98" t="str">
        <f t="shared" si="81"/>
        <v>NÃO</v>
      </c>
    </row>
    <row r="1218" spans="2:62" ht="30" hidden="1" customHeight="1">
      <c r="B1218" s="197"/>
      <c r="AK1218" s="313"/>
      <c r="AL1218" s="313"/>
      <c r="AM1218" s="313"/>
      <c r="AN1218" s="313"/>
      <c r="AO1218" s="313"/>
      <c r="AP1218" s="313"/>
      <c r="AQ1218" s="314"/>
      <c r="AR1218" s="315" t="str">
        <f t="shared" si="82"/>
        <v/>
      </c>
      <c r="BH1218" s="321" t="str">
        <f t="shared" si="79"/>
        <v/>
      </c>
      <c r="BJ1218" s="98" t="str">
        <f t="shared" si="81"/>
        <v>NÃO</v>
      </c>
    </row>
    <row r="1219" spans="2:62" ht="30" hidden="1" customHeight="1">
      <c r="B1219" s="197"/>
      <c r="AK1219" s="313"/>
      <c r="AL1219" s="313"/>
      <c r="AM1219" s="313"/>
      <c r="AN1219" s="313"/>
      <c r="AO1219" s="313"/>
      <c r="AP1219" s="313"/>
      <c r="AQ1219" s="314"/>
      <c r="AR1219" s="315" t="str">
        <f t="shared" si="82"/>
        <v/>
      </c>
      <c r="BH1219" s="321" t="str">
        <f t="shared" si="79"/>
        <v/>
      </c>
      <c r="BJ1219" s="98" t="str">
        <f t="shared" si="81"/>
        <v>NÃO</v>
      </c>
    </row>
    <row r="1220" spans="2:62" ht="30" hidden="1" customHeight="1">
      <c r="B1220" s="197"/>
      <c r="AK1220" s="313"/>
      <c r="AL1220" s="313"/>
      <c r="AM1220" s="313"/>
      <c r="AN1220" s="313"/>
      <c r="AO1220" s="313"/>
      <c r="AP1220" s="313"/>
      <c r="AQ1220" s="314"/>
      <c r="AR1220" s="315" t="str">
        <f t="shared" si="82"/>
        <v/>
      </c>
      <c r="BH1220" s="321" t="str">
        <f t="shared" si="79"/>
        <v/>
      </c>
      <c r="BJ1220" s="98" t="str">
        <f t="shared" si="81"/>
        <v>NÃO</v>
      </c>
    </row>
    <row r="1221" spans="2:62" ht="30" hidden="1" customHeight="1">
      <c r="B1221" s="197"/>
      <c r="AK1221" s="313"/>
      <c r="AL1221" s="313"/>
      <c r="AM1221" s="313"/>
      <c r="AN1221" s="313"/>
      <c r="AO1221" s="313"/>
      <c r="AP1221" s="313"/>
      <c r="AQ1221" s="314"/>
      <c r="AR1221" s="315" t="str">
        <f t="shared" si="82"/>
        <v/>
      </c>
      <c r="BH1221" s="321" t="str">
        <f t="shared" ref="BH1221:BH1260" si="83">IFERROR(IF(BD1221-KI1221=0,"",BD1221-AK1221),"")</f>
        <v/>
      </c>
      <c r="BJ1221" s="98" t="str">
        <f t="shared" ref="BJ1221:BJ1284" si="84">IF(AND(BD1221&lt;&gt;"AGUARDANDO",BD1221&lt;&gt;"",N1221="AUXÍLIO ALUGUEL ATÉ INDENIZAÇÃO"),"SIM","NÃO")</f>
        <v>NÃO</v>
      </c>
    </row>
    <row r="1222" spans="2:62" ht="30" hidden="1" customHeight="1">
      <c r="B1222" s="197"/>
      <c r="AK1222" s="313"/>
      <c r="AL1222" s="313"/>
      <c r="AM1222" s="313"/>
      <c r="AN1222" s="313"/>
      <c r="AO1222" s="313"/>
      <c r="AP1222" s="313"/>
      <c r="AQ1222" s="314"/>
      <c r="AR1222" s="315" t="str">
        <f t="shared" si="82"/>
        <v/>
      </c>
      <c r="BH1222" s="321" t="str">
        <f t="shared" si="83"/>
        <v/>
      </c>
      <c r="BJ1222" s="98" t="str">
        <f t="shared" si="84"/>
        <v>NÃO</v>
      </c>
    </row>
    <row r="1223" spans="2:62" ht="30" hidden="1" customHeight="1">
      <c r="B1223" s="197"/>
      <c r="AK1223" s="313"/>
      <c r="AL1223" s="313"/>
      <c r="AM1223" s="313"/>
      <c r="AN1223" s="313"/>
      <c r="AO1223" s="313"/>
      <c r="AP1223" s="313"/>
      <c r="AQ1223" s="314"/>
      <c r="AR1223" s="315" t="str">
        <f t="shared" si="82"/>
        <v/>
      </c>
      <c r="BH1223" s="321" t="str">
        <f t="shared" si="83"/>
        <v/>
      </c>
      <c r="BJ1223" s="98" t="str">
        <f t="shared" si="84"/>
        <v>NÃO</v>
      </c>
    </row>
    <row r="1224" spans="2:62" ht="30" hidden="1" customHeight="1">
      <c r="B1224" s="197"/>
      <c r="AK1224" s="313"/>
      <c r="AL1224" s="313"/>
      <c r="AM1224" s="313"/>
      <c r="AN1224" s="313"/>
      <c r="AO1224" s="313"/>
      <c r="AP1224" s="313"/>
      <c r="AQ1224" s="314"/>
      <c r="AR1224" s="315" t="str">
        <f t="shared" si="82"/>
        <v/>
      </c>
      <c r="BH1224" s="321" t="str">
        <f t="shared" si="83"/>
        <v/>
      </c>
      <c r="BJ1224" s="98" t="str">
        <f t="shared" si="84"/>
        <v>NÃO</v>
      </c>
    </row>
    <row r="1225" spans="2:62" ht="30" hidden="1" customHeight="1">
      <c r="B1225" s="197"/>
      <c r="AK1225" s="313"/>
      <c r="AL1225" s="313"/>
      <c r="AM1225" s="313"/>
      <c r="AN1225" s="313"/>
      <c r="AO1225" s="313"/>
      <c r="AP1225" s="313"/>
      <c r="AQ1225" s="314"/>
      <c r="AR1225" s="315" t="str">
        <f t="shared" si="82"/>
        <v/>
      </c>
      <c r="BH1225" s="321" t="str">
        <f t="shared" si="83"/>
        <v/>
      </c>
      <c r="BJ1225" s="98" t="str">
        <f t="shared" si="84"/>
        <v>NÃO</v>
      </c>
    </row>
    <row r="1226" spans="2:62" ht="30" hidden="1" customHeight="1">
      <c r="B1226" s="197"/>
      <c r="AK1226" s="313"/>
      <c r="AL1226" s="313"/>
      <c r="AM1226" s="313"/>
      <c r="AN1226" s="313"/>
      <c r="AO1226" s="313"/>
      <c r="AP1226" s="313"/>
      <c r="AQ1226" s="314"/>
      <c r="AR1226" s="315" t="str">
        <f t="shared" si="82"/>
        <v/>
      </c>
      <c r="BH1226" s="321" t="str">
        <f t="shared" si="83"/>
        <v/>
      </c>
      <c r="BJ1226" s="98" t="str">
        <f t="shared" si="84"/>
        <v>NÃO</v>
      </c>
    </row>
    <row r="1227" spans="2:62" ht="30" hidden="1" customHeight="1">
      <c r="B1227" s="197"/>
      <c r="AK1227" s="313"/>
      <c r="AL1227" s="313"/>
      <c r="AM1227" s="313"/>
      <c r="AN1227" s="313"/>
      <c r="AO1227" s="313"/>
      <c r="AP1227" s="313"/>
      <c r="AQ1227" s="314"/>
      <c r="AR1227" s="315" t="str">
        <f t="shared" si="82"/>
        <v/>
      </c>
      <c r="BH1227" s="321" t="str">
        <f t="shared" si="83"/>
        <v/>
      </c>
      <c r="BJ1227" s="98" t="str">
        <f t="shared" si="84"/>
        <v>NÃO</v>
      </c>
    </row>
    <row r="1228" spans="2:62" ht="30" hidden="1" customHeight="1">
      <c r="B1228" s="197"/>
      <c r="AK1228" s="313"/>
      <c r="AL1228" s="313"/>
      <c r="AM1228" s="313"/>
      <c r="AN1228" s="313"/>
      <c r="AO1228" s="313"/>
      <c r="AP1228" s="313"/>
      <c r="AQ1228" s="314"/>
      <c r="AR1228" s="315" t="str">
        <f t="shared" si="82"/>
        <v/>
      </c>
      <c r="BH1228" s="321" t="str">
        <f t="shared" si="83"/>
        <v/>
      </c>
      <c r="BJ1228" s="98" t="str">
        <f t="shared" si="84"/>
        <v>NÃO</v>
      </c>
    </row>
    <row r="1229" spans="2:62" ht="30" hidden="1" customHeight="1">
      <c r="B1229" s="197"/>
      <c r="AK1229" s="313"/>
      <c r="AL1229" s="313"/>
      <c r="AM1229" s="313"/>
      <c r="AN1229" s="313"/>
      <c r="AO1229" s="313"/>
      <c r="AP1229" s="313"/>
      <c r="AQ1229" s="314"/>
      <c r="AR1229" s="315" t="str">
        <f t="shared" si="82"/>
        <v/>
      </c>
      <c r="BH1229" s="321" t="str">
        <f t="shared" si="83"/>
        <v/>
      </c>
      <c r="BJ1229" s="98" t="str">
        <f t="shared" si="84"/>
        <v>NÃO</v>
      </c>
    </row>
    <row r="1230" spans="2:62" ht="30" hidden="1" customHeight="1">
      <c r="B1230" s="197"/>
      <c r="AK1230" s="313"/>
      <c r="AL1230" s="313"/>
      <c r="AM1230" s="313"/>
      <c r="AN1230" s="313"/>
      <c r="AO1230" s="313"/>
      <c r="AP1230" s="313"/>
      <c r="AQ1230" s="314"/>
      <c r="AR1230" s="315" t="str">
        <f t="shared" si="82"/>
        <v/>
      </c>
      <c r="BH1230" s="321" t="str">
        <f t="shared" si="83"/>
        <v/>
      </c>
      <c r="BJ1230" s="98" t="str">
        <f t="shared" si="84"/>
        <v>NÃO</v>
      </c>
    </row>
    <row r="1231" spans="2:62" ht="30" hidden="1" customHeight="1">
      <c r="B1231" s="197"/>
      <c r="AK1231" s="313"/>
      <c r="AL1231" s="313"/>
      <c r="AM1231" s="313"/>
      <c r="AN1231" s="313"/>
      <c r="AO1231" s="313"/>
      <c r="AP1231" s="313"/>
      <c r="AQ1231" s="314"/>
      <c r="AR1231" s="315" t="str">
        <f t="shared" si="82"/>
        <v/>
      </c>
      <c r="BH1231" s="321" t="str">
        <f t="shared" si="83"/>
        <v/>
      </c>
      <c r="BJ1231" s="98" t="str">
        <f t="shared" si="84"/>
        <v>NÃO</v>
      </c>
    </row>
    <row r="1232" spans="2:62" ht="30" hidden="1" customHeight="1">
      <c r="B1232" s="197"/>
      <c r="AK1232" s="313"/>
      <c r="AL1232" s="313"/>
      <c r="AM1232" s="313"/>
      <c r="AN1232" s="313"/>
      <c r="AO1232" s="313"/>
      <c r="AP1232" s="313"/>
      <c r="AQ1232" s="314"/>
      <c r="AR1232" s="315" t="str">
        <f t="shared" si="82"/>
        <v/>
      </c>
      <c r="BH1232" s="321" t="str">
        <f t="shared" si="83"/>
        <v/>
      </c>
      <c r="BJ1232" s="98" t="str">
        <f t="shared" si="84"/>
        <v>NÃO</v>
      </c>
    </row>
    <row r="1233" spans="2:62" ht="30" hidden="1" customHeight="1">
      <c r="B1233" s="197"/>
      <c r="AK1233" s="313"/>
      <c r="AL1233" s="313"/>
      <c r="AM1233" s="313"/>
      <c r="AN1233" s="313"/>
      <c r="AO1233" s="313"/>
      <c r="AP1233" s="313"/>
      <c r="AQ1233" s="314"/>
      <c r="AR1233" s="315" t="str">
        <f t="shared" si="82"/>
        <v/>
      </c>
      <c r="BH1233" s="321" t="str">
        <f t="shared" si="83"/>
        <v/>
      </c>
      <c r="BJ1233" s="98" t="str">
        <f t="shared" si="84"/>
        <v>NÃO</v>
      </c>
    </row>
    <row r="1234" spans="2:62" ht="30" hidden="1" customHeight="1">
      <c r="B1234" s="197"/>
      <c r="AK1234" s="313"/>
      <c r="AL1234" s="313"/>
      <c r="AM1234" s="313"/>
      <c r="AN1234" s="313"/>
      <c r="AO1234" s="313"/>
      <c r="AP1234" s="313"/>
      <c r="AQ1234" s="314"/>
      <c r="AR1234" s="315" t="str">
        <f t="shared" si="82"/>
        <v/>
      </c>
      <c r="BH1234" s="321" t="str">
        <f t="shared" si="83"/>
        <v/>
      </c>
      <c r="BJ1234" s="98" t="str">
        <f t="shared" si="84"/>
        <v>NÃO</v>
      </c>
    </row>
    <row r="1235" spans="2:62" ht="30" hidden="1" customHeight="1">
      <c r="B1235" s="197"/>
      <c r="AK1235" s="313"/>
      <c r="AL1235" s="313"/>
      <c r="AM1235" s="313"/>
      <c r="AN1235" s="313"/>
      <c r="AO1235" s="313"/>
      <c r="AP1235" s="313"/>
      <c r="AQ1235" s="314"/>
      <c r="AR1235" s="315" t="str">
        <f t="shared" si="82"/>
        <v/>
      </c>
      <c r="BH1235" s="321" t="str">
        <f t="shared" si="83"/>
        <v/>
      </c>
      <c r="BJ1235" s="98" t="str">
        <f t="shared" si="84"/>
        <v>NÃO</v>
      </c>
    </row>
    <row r="1236" spans="2:62" ht="30" hidden="1" customHeight="1">
      <c r="B1236" s="197"/>
      <c r="AK1236" s="313"/>
      <c r="AL1236" s="313"/>
      <c r="AM1236" s="313"/>
      <c r="AN1236" s="313"/>
      <c r="AO1236" s="313"/>
      <c r="AP1236" s="313"/>
      <c r="AQ1236" s="314"/>
      <c r="AR1236" s="315" t="str">
        <f t="shared" si="82"/>
        <v/>
      </c>
      <c r="BH1236" s="321" t="str">
        <f t="shared" si="83"/>
        <v/>
      </c>
      <c r="BJ1236" s="98" t="str">
        <f t="shared" si="84"/>
        <v>NÃO</v>
      </c>
    </row>
    <row r="1237" spans="2:62" ht="30" hidden="1" customHeight="1">
      <c r="B1237" s="197"/>
      <c r="AK1237" s="313"/>
      <c r="AL1237" s="313"/>
      <c r="AM1237" s="313"/>
      <c r="AN1237" s="313"/>
      <c r="AO1237" s="313"/>
      <c r="AP1237" s="313"/>
      <c r="AQ1237" s="314"/>
      <c r="AR1237" s="315" t="str">
        <f t="shared" si="82"/>
        <v/>
      </c>
      <c r="BH1237" s="321" t="str">
        <f t="shared" si="83"/>
        <v/>
      </c>
      <c r="BJ1237" s="98" t="str">
        <f t="shared" si="84"/>
        <v>NÃO</v>
      </c>
    </row>
    <row r="1238" spans="2:62" ht="30" hidden="1" customHeight="1">
      <c r="B1238" s="197"/>
      <c r="AK1238" s="313"/>
      <c r="AL1238" s="313"/>
      <c r="AM1238" s="313"/>
      <c r="AN1238" s="313"/>
      <c r="AO1238" s="313"/>
      <c r="AP1238" s="313"/>
      <c r="AQ1238" s="314"/>
      <c r="AR1238" s="315" t="str">
        <f t="shared" si="82"/>
        <v/>
      </c>
      <c r="BH1238" s="321" t="str">
        <f t="shared" si="83"/>
        <v/>
      </c>
      <c r="BJ1238" s="98" t="str">
        <f t="shared" si="84"/>
        <v>NÃO</v>
      </c>
    </row>
    <row r="1239" spans="2:62" ht="30" hidden="1" customHeight="1">
      <c r="B1239" s="197"/>
      <c r="AK1239" s="313"/>
      <c r="AL1239" s="313"/>
      <c r="AM1239" s="313"/>
      <c r="AN1239" s="313"/>
      <c r="AO1239" s="313"/>
      <c r="AP1239" s="313"/>
      <c r="AQ1239" s="314"/>
      <c r="AR1239" s="315" t="str">
        <f t="shared" si="82"/>
        <v/>
      </c>
      <c r="BH1239" s="321" t="str">
        <f t="shared" si="83"/>
        <v/>
      </c>
      <c r="BJ1239" s="98" t="str">
        <f t="shared" si="84"/>
        <v>NÃO</v>
      </c>
    </row>
    <row r="1240" spans="2:62" ht="30" hidden="1" customHeight="1">
      <c r="B1240" s="197"/>
      <c r="AK1240" s="313"/>
      <c r="AL1240" s="313"/>
      <c r="AM1240" s="313"/>
      <c r="AN1240" s="313"/>
      <c r="AO1240" s="313"/>
      <c r="AP1240" s="313"/>
      <c r="AQ1240" s="314"/>
      <c r="AR1240" s="315" t="str">
        <f t="shared" si="82"/>
        <v/>
      </c>
      <c r="BH1240" s="321" t="str">
        <f t="shared" si="83"/>
        <v/>
      </c>
      <c r="BJ1240" s="98" t="str">
        <f t="shared" si="84"/>
        <v>NÃO</v>
      </c>
    </row>
    <row r="1241" spans="2:62" ht="30" hidden="1" customHeight="1">
      <c r="B1241" s="197"/>
      <c r="AK1241" s="313"/>
      <c r="AL1241" s="313"/>
      <c r="AM1241" s="313"/>
      <c r="AN1241" s="313"/>
      <c r="AO1241" s="313"/>
      <c r="AP1241" s="313"/>
      <c r="AQ1241" s="314"/>
      <c r="AR1241" s="315" t="str">
        <f t="shared" si="82"/>
        <v/>
      </c>
      <c r="BH1241" s="321" t="str">
        <f t="shared" si="83"/>
        <v/>
      </c>
      <c r="BJ1241" s="98" t="str">
        <f t="shared" si="84"/>
        <v>NÃO</v>
      </c>
    </row>
    <row r="1242" spans="2:62" ht="30" hidden="1" customHeight="1">
      <c r="B1242" s="197"/>
      <c r="AK1242" s="313"/>
      <c r="AL1242" s="313"/>
      <c r="AM1242" s="313"/>
      <c r="AN1242" s="313"/>
      <c r="AO1242" s="313"/>
      <c r="AP1242" s="313"/>
      <c r="AQ1242" s="314"/>
      <c r="AR1242" s="315" t="str">
        <f t="shared" si="82"/>
        <v/>
      </c>
      <c r="BH1242" s="321" t="str">
        <f t="shared" si="83"/>
        <v/>
      </c>
      <c r="BJ1242" s="98" t="str">
        <f t="shared" si="84"/>
        <v>NÃO</v>
      </c>
    </row>
    <row r="1243" spans="2:62" ht="30" hidden="1" customHeight="1">
      <c r="B1243" s="197"/>
      <c r="AK1243" s="313"/>
      <c r="AL1243" s="313"/>
      <c r="AM1243" s="313"/>
      <c r="AN1243" s="313"/>
      <c r="AO1243" s="313"/>
      <c r="AP1243" s="313"/>
      <c r="AQ1243" s="314"/>
      <c r="AR1243" s="315" t="str">
        <f t="shared" si="82"/>
        <v/>
      </c>
      <c r="BH1243" s="321" t="str">
        <f t="shared" si="83"/>
        <v/>
      </c>
      <c r="BJ1243" s="98" t="str">
        <f t="shared" si="84"/>
        <v>NÃO</v>
      </c>
    </row>
    <row r="1244" spans="2:62" ht="30" hidden="1" customHeight="1">
      <c r="B1244" s="197"/>
      <c r="AK1244" s="313"/>
      <c r="AL1244" s="313"/>
      <c r="AM1244" s="313"/>
      <c r="AN1244" s="313"/>
      <c r="AO1244" s="313"/>
      <c r="AP1244" s="313"/>
      <c r="AQ1244" s="314"/>
      <c r="AR1244" s="315" t="str">
        <f t="shared" si="82"/>
        <v/>
      </c>
      <c r="BH1244" s="321" t="str">
        <f t="shared" si="83"/>
        <v/>
      </c>
      <c r="BJ1244" s="98" t="str">
        <f t="shared" si="84"/>
        <v>NÃO</v>
      </c>
    </row>
    <row r="1245" spans="2:62" ht="30" hidden="1" customHeight="1">
      <c r="B1245" s="197"/>
      <c r="AK1245" s="313"/>
      <c r="AL1245" s="313"/>
      <c r="AM1245" s="313"/>
      <c r="AN1245" s="313"/>
      <c r="AO1245" s="313"/>
      <c r="AP1245" s="313"/>
      <c r="AQ1245" s="314"/>
      <c r="AR1245" s="315" t="str">
        <f t="shared" si="82"/>
        <v/>
      </c>
      <c r="BH1245" s="321" t="str">
        <f t="shared" si="83"/>
        <v/>
      </c>
      <c r="BJ1245" s="98" t="str">
        <f t="shared" si="84"/>
        <v>NÃO</v>
      </c>
    </row>
    <row r="1246" spans="2:62" ht="30" hidden="1" customHeight="1">
      <c r="B1246" s="197"/>
      <c r="AK1246" s="313"/>
      <c r="AL1246" s="313"/>
      <c r="AM1246" s="313"/>
      <c r="AN1246" s="313"/>
      <c r="AO1246" s="313"/>
      <c r="AP1246" s="313"/>
      <c r="AQ1246" s="314"/>
      <c r="AR1246" s="315" t="str">
        <f t="shared" si="82"/>
        <v/>
      </c>
      <c r="BH1246" s="321" t="str">
        <f t="shared" si="83"/>
        <v/>
      </c>
      <c r="BJ1246" s="98" t="str">
        <f t="shared" si="84"/>
        <v>NÃO</v>
      </c>
    </row>
    <row r="1247" spans="2:62" ht="30" hidden="1" customHeight="1">
      <c r="B1247" s="197"/>
      <c r="AK1247" s="313"/>
      <c r="AL1247" s="313"/>
      <c r="AM1247" s="313"/>
      <c r="AN1247" s="313"/>
      <c r="AO1247" s="313"/>
      <c r="AP1247" s="313"/>
      <c r="AQ1247" s="314"/>
      <c r="AR1247" s="315" t="str">
        <f t="shared" si="82"/>
        <v/>
      </c>
      <c r="BH1247" s="321" t="str">
        <f t="shared" si="83"/>
        <v/>
      </c>
      <c r="BJ1247" s="98" t="str">
        <f t="shared" si="84"/>
        <v>NÃO</v>
      </c>
    </row>
    <row r="1248" spans="2:62" ht="30" hidden="1" customHeight="1">
      <c r="B1248" s="197"/>
      <c r="AK1248" s="313"/>
      <c r="AL1248" s="313"/>
      <c r="AM1248" s="313"/>
      <c r="AN1248" s="313"/>
      <c r="AO1248" s="313"/>
      <c r="AP1248" s="313"/>
      <c r="AQ1248" s="314"/>
      <c r="AR1248" s="315" t="str">
        <f t="shared" si="82"/>
        <v/>
      </c>
      <c r="BH1248" s="321" t="str">
        <f t="shared" si="83"/>
        <v/>
      </c>
      <c r="BJ1248" s="98" t="str">
        <f t="shared" si="84"/>
        <v>NÃO</v>
      </c>
    </row>
    <row r="1249" spans="2:62" ht="30" hidden="1" customHeight="1">
      <c r="B1249" s="197"/>
      <c r="AK1249" s="313"/>
      <c r="AL1249" s="313"/>
      <c r="AM1249" s="313"/>
      <c r="AN1249" s="313"/>
      <c r="AO1249" s="313"/>
      <c r="AP1249" s="313"/>
      <c r="AQ1249" s="314"/>
      <c r="AR1249" s="315" t="str">
        <f t="shared" si="82"/>
        <v/>
      </c>
      <c r="BH1249" s="321" t="str">
        <f t="shared" si="83"/>
        <v/>
      </c>
      <c r="BJ1249" s="98" t="str">
        <f t="shared" si="84"/>
        <v>NÃO</v>
      </c>
    </row>
    <row r="1250" spans="2:62" ht="30" hidden="1" customHeight="1">
      <c r="B1250" s="197"/>
      <c r="AK1250" s="313"/>
      <c r="AL1250" s="313"/>
      <c r="AM1250" s="313"/>
      <c r="AN1250" s="313"/>
      <c r="AO1250" s="313"/>
      <c r="AP1250" s="313"/>
      <c r="AQ1250" s="314"/>
      <c r="AR1250" s="315" t="str">
        <f t="shared" si="82"/>
        <v/>
      </c>
      <c r="BH1250" s="321" t="str">
        <f t="shared" si="83"/>
        <v/>
      </c>
      <c r="BJ1250" s="98" t="str">
        <f t="shared" si="84"/>
        <v>NÃO</v>
      </c>
    </row>
    <row r="1251" spans="2:62" ht="30" hidden="1" customHeight="1">
      <c r="B1251" s="197"/>
      <c r="AK1251" s="313"/>
      <c r="AL1251" s="313"/>
      <c r="AM1251" s="313"/>
      <c r="AN1251" s="313"/>
      <c r="AO1251" s="313"/>
      <c r="AP1251" s="313"/>
      <c r="AQ1251" s="314"/>
      <c r="AR1251" s="315" t="str">
        <f t="shared" si="82"/>
        <v/>
      </c>
      <c r="BH1251" s="321" t="str">
        <f t="shared" si="83"/>
        <v/>
      </c>
      <c r="BJ1251" s="98" t="str">
        <f t="shared" si="84"/>
        <v>NÃO</v>
      </c>
    </row>
    <row r="1252" spans="2:62" ht="30" hidden="1" customHeight="1">
      <c r="B1252" s="197"/>
      <c r="AK1252" s="313"/>
      <c r="AL1252" s="313"/>
      <c r="AM1252" s="313"/>
      <c r="AN1252" s="313"/>
      <c r="AO1252" s="313"/>
      <c r="AP1252" s="313"/>
      <c r="AQ1252" s="314"/>
      <c r="AR1252" s="315" t="str">
        <f t="shared" si="82"/>
        <v/>
      </c>
      <c r="BH1252" s="321" t="str">
        <f t="shared" si="83"/>
        <v/>
      </c>
      <c r="BJ1252" s="98" t="str">
        <f t="shared" si="84"/>
        <v>NÃO</v>
      </c>
    </row>
    <row r="1253" spans="2:62" ht="30" hidden="1" customHeight="1">
      <c r="B1253" s="197"/>
      <c r="AK1253" s="313"/>
      <c r="AL1253" s="313"/>
      <c r="AM1253" s="313"/>
      <c r="AN1253" s="313"/>
      <c r="AO1253" s="313"/>
      <c r="AP1253" s="313"/>
      <c r="AQ1253" s="314"/>
      <c r="AR1253" s="315" t="str">
        <f t="shared" si="82"/>
        <v/>
      </c>
      <c r="BH1253" s="321" t="str">
        <f t="shared" si="83"/>
        <v/>
      </c>
      <c r="BJ1253" s="98" t="str">
        <f t="shared" si="84"/>
        <v>NÃO</v>
      </c>
    </row>
    <row r="1254" spans="2:62" ht="30" hidden="1" customHeight="1">
      <c r="B1254" s="197"/>
      <c r="AK1254" s="313"/>
      <c r="AL1254" s="313"/>
      <c r="AM1254" s="313"/>
      <c r="AN1254" s="313"/>
      <c r="AO1254" s="313"/>
      <c r="AP1254" s="313"/>
      <c r="AQ1254" s="314"/>
      <c r="AR1254" s="315" t="str">
        <f t="shared" si="82"/>
        <v/>
      </c>
      <c r="BH1254" s="321" t="str">
        <f t="shared" si="83"/>
        <v/>
      </c>
      <c r="BJ1254" s="98" t="str">
        <f t="shared" si="84"/>
        <v>NÃO</v>
      </c>
    </row>
    <row r="1255" spans="2:62" ht="30" hidden="1" customHeight="1">
      <c r="B1255" s="197"/>
      <c r="AK1255" s="313"/>
      <c r="AL1255" s="313"/>
      <c r="AM1255" s="313"/>
      <c r="AN1255" s="313"/>
      <c r="AO1255" s="313"/>
      <c r="AP1255" s="313"/>
      <c r="AQ1255" s="314"/>
      <c r="AR1255" s="315" t="str">
        <f t="shared" si="82"/>
        <v/>
      </c>
      <c r="BH1255" s="321" t="str">
        <f t="shared" si="83"/>
        <v/>
      </c>
      <c r="BJ1255" s="98" t="str">
        <f t="shared" si="84"/>
        <v>NÃO</v>
      </c>
    </row>
    <row r="1256" spans="2:62" ht="30" hidden="1" customHeight="1">
      <c r="B1256" s="197"/>
      <c r="AK1256" s="313"/>
      <c r="AL1256" s="313"/>
      <c r="AM1256" s="313"/>
      <c r="AN1256" s="313"/>
      <c r="AO1256" s="313"/>
      <c r="AP1256" s="313"/>
      <c r="AQ1256" s="314"/>
      <c r="AR1256" s="315" t="str">
        <f t="shared" si="82"/>
        <v/>
      </c>
      <c r="BH1256" s="321" t="str">
        <f t="shared" si="83"/>
        <v/>
      </c>
      <c r="BJ1256" s="98" t="str">
        <f t="shared" si="84"/>
        <v>NÃO</v>
      </c>
    </row>
    <row r="1257" spans="2:62" ht="30" hidden="1" customHeight="1">
      <c r="B1257" s="197"/>
      <c r="AK1257" s="313"/>
      <c r="AL1257" s="313"/>
      <c r="AM1257" s="313"/>
      <c r="AN1257" s="313"/>
      <c r="AO1257" s="313"/>
      <c r="AP1257" s="313"/>
      <c r="AQ1257" s="314"/>
      <c r="AR1257" s="315" t="str">
        <f t="shared" si="82"/>
        <v/>
      </c>
      <c r="BH1257" s="321" t="str">
        <f t="shared" si="83"/>
        <v/>
      </c>
      <c r="BJ1257" s="98" t="str">
        <f t="shared" si="84"/>
        <v>NÃO</v>
      </c>
    </row>
    <row r="1258" spans="2:62" ht="30" hidden="1" customHeight="1">
      <c r="B1258" s="197"/>
      <c r="AK1258" s="313"/>
      <c r="AL1258" s="313"/>
      <c r="AM1258" s="313"/>
      <c r="AN1258" s="313"/>
      <c r="AO1258" s="313"/>
      <c r="AP1258" s="313"/>
      <c r="AQ1258" s="314"/>
      <c r="AR1258" s="315" t="str">
        <f t="shared" si="82"/>
        <v/>
      </c>
      <c r="BH1258" s="321" t="str">
        <f t="shared" si="83"/>
        <v/>
      </c>
      <c r="BJ1258" s="98" t="str">
        <f t="shared" si="84"/>
        <v>NÃO</v>
      </c>
    </row>
    <row r="1259" spans="2:62" ht="30" hidden="1" customHeight="1">
      <c r="B1259" s="197"/>
      <c r="AK1259" s="313"/>
      <c r="AL1259" s="313"/>
      <c r="AM1259" s="313"/>
      <c r="AN1259" s="313"/>
      <c r="AO1259" s="313"/>
      <c r="AP1259" s="313"/>
      <c r="AQ1259" s="314"/>
      <c r="AR1259" s="315" t="str">
        <f t="shared" si="82"/>
        <v/>
      </c>
      <c r="BH1259" s="321" t="str">
        <f t="shared" si="83"/>
        <v/>
      </c>
      <c r="BJ1259" s="98" t="str">
        <f t="shared" si="84"/>
        <v>NÃO</v>
      </c>
    </row>
    <row r="1260" spans="2:62" ht="30" hidden="1" customHeight="1">
      <c r="B1260" s="197"/>
      <c r="AK1260" s="313"/>
      <c r="AL1260" s="313"/>
      <c r="AM1260" s="313"/>
      <c r="AN1260" s="313"/>
      <c r="AO1260" s="313"/>
      <c r="AP1260" s="313"/>
      <c r="AQ1260" s="314"/>
      <c r="AR1260" s="315" t="str">
        <f t="shared" si="82"/>
        <v/>
      </c>
      <c r="BH1260" s="321" t="str">
        <f t="shared" si="83"/>
        <v/>
      </c>
      <c r="BJ1260" s="98" t="str">
        <f t="shared" si="84"/>
        <v>NÃO</v>
      </c>
    </row>
    <row r="1261" spans="2:62" ht="30" hidden="1" customHeight="1">
      <c r="B1261" s="197"/>
      <c r="AK1261" s="313"/>
      <c r="AL1261" s="313"/>
      <c r="AM1261" s="313"/>
      <c r="AN1261" s="313"/>
      <c r="AO1261" s="313"/>
      <c r="AP1261" s="313"/>
      <c r="AQ1261" s="314"/>
      <c r="AR1261" s="315" t="str">
        <f t="shared" si="82"/>
        <v/>
      </c>
      <c r="BH1261" s="321" t="str">
        <f t="shared" ref="BH1261:BH1324" si="85">IF(BD1261-KI1261=0,"",BD1261-AK1261)</f>
        <v/>
      </c>
      <c r="BJ1261" s="98" t="str">
        <f t="shared" si="84"/>
        <v>NÃO</v>
      </c>
    </row>
    <row r="1262" spans="2:62" ht="30" hidden="1" customHeight="1">
      <c r="B1262" s="197"/>
      <c r="AK1262" s="313"/>
      <c r="AL1262" s="313"/>
      <c r="AM1262" s="313"/>
      <c r="AN1262" s="313"/>
      <c r="AO1262" s="313"/>
      <c r="AP1262" s="313"/>
      <c r="AQ1262" s="314"/>
      <c r="AR1262" s="315" t="str">
        <f t="shared" si="82"/>
        <v/>
      </c>
      <c r="BH1262" s="321" t="str">
        <f t="shared" si="85"/>
        <v/>
      </c>
      <c r="BJ1262" s="98" t="str">
        <f t="shared" si="84"/>
        <v>NÃO</v>
      </c>
    </row>
    <row r="1263" spans="2:62" ht="30" hidden="1" customHeight="1">
      <c r="B1263" s="197"/>
      <c r="AK1263" s="313"/>
      <c r="AL1263" s="313"/>
      <c r="AM1263" s="313"/>
      <c r="AN1263" s="313"/>
      <c r="AO1263" s="313"/>
      <c r="AP1263" s="313"/>
      <c r="AQ1263" s="314"/>
      <c r="AR1263" s="315" t="str">
        <f t="shared" si="82"/>
        <v/>
      </c>
      <c r="BH1263" s="321" t="str">
        <f t="shared" si="85"/>
        <v/>
      </c>
      <c r="BJ1263" s="98" t="str">
        <f t="shared" si="84"/>
        <v>NÃO</v>
      </c>
    </row>
    <row r="1264" spans="2:62" ht="30" hidden="1" customHeight="1">
      <c r="B1264" s="197"/>
      <c r="AK1264" s="313"/>
      <c r="AL1264" s="313"/>
      <c r="AM1264" s="313"/>
      <c r="AN1264" s="313"/>
      <c r="AO1264" s="313"/>
      <c r="AP1264" s="313"/>
      <c r="AQ1264" s="314"/>
      <c r="AR1264" s="315" t="str">
        <f t="shared" si="82"/>
        <v/>
      </c>
      <c r="BH1264" s="321" t="str">
        <f t="shared" si="85"/>
        <v/>
      </c>
      <c r="BJ1264" s="98" t="str">
        <f t="shared" si="84"/>
        <v>NÃO</v>
      </c>
    </row>
    <row r="1265" spans="2:62" ht="30" hidden="1" customHeight="1">
      <c r="B1265" s="197"/>
      <c r="AK1265" s="313"/>
      <c r="AL1265" s="313"/>
      <c r="AM1265" s="313"/>
      <c r="AN1265" s="313"/>
      <c r="AO1265" s="313"/>
      <c r="AP1265" s="313"/>
      <c r="AQ1265" s="314"/>
      <c r="AR1265" s="315" t="str">
        <f t="shared" si="82"/>
        <v/>
      </c>
      <c r="BH1265" s="321" t="str">
        <f t="shared" si="85"/>
        <v/>
      </c>
      <c r="BJ1265" s="98" t="str">
        <f t="shared" si="84"/>
        <v>NÃO</v>
      </c>
    </row>
    <row r="1266" spans="2:62" ht="30" hidden="1" customHeight="1">
      <c r="B1266" s="197"/>
      <c r="AK1266" s="313"/>
      <c r="AL1266" s="313"/>
      <c r="AM1266" s="313"/>
      <c r="AN1266" s="313"/>
      <c r="AO1266" s="313"/>
      <c r="AP1266" s="313"/>
      <c r="AQ1266" s="314"/>
      <c r="AR1266" s="315" t="str">
        <f t="shared" si="82"/>
        <v/>
      </c>
      <c r="BH1266" s="321" t="str">
        <f t="shared" si="85"/>
        <v/>
      </c>
      <c r="BJ1266" s="98" t="str">
        <f t="shared" si="84"/>
        <v>NÃO</v>
      </c>
    </row>
    <row r="1267" spans="2:62" ht="30" hidden="1" customHeight="1">
      <c r="B1267" s="197"/>
      <c r="AK1267" s="313"/>
      <c r="AL1267" s="313"/>
      <c r="AM1267" s="313"/>
      <c r="AN1267" s="313"/>
      <c r="AO1267" s="313"/>
      <c r="AP1267" s="313"/>
      <c r="AQ1267" s="314"/>
      <c r="AR1267" s="315" t="str">
        <f t="shared" si="82"/>
        <v/>
      </c>
      <c r="BH1267" s="321" t="str">
        <f t="shared" si="85"/>
        <v/>
      </c>
      <c r="BJ1267" s="98" t="str">
        <f t="shared" si="84"/>
        <v>NÃO</v>
      </c>
    </row>
    <row r="1268" spans="2:62" ht="30" hidden="1" customHeight="1">
      <c r="B1268" s="197"/>
      <c r="AK1268" s="313"/>
      <c r="AL1268" s="313"/>
      <c r="AM1268" s="313"/>
      <c r="AN1268" s="313"/>
      <c r="AO1268" s="313"/>
      <c r="AP1268" s="313"/>
      <c r="AQ1268" s="314"/>
      <c r="AR1268" s="315" t="str">
        <f t="shared" si="82"/>
        <v/>
      </c>
      <c r="BH1268" s="321" t="str">
        <f t="shared" si="85"/>
        <v/>
      </c>
      <c r="BJ1268" s="98" t="str">
        <f t="shared" si="84"/>
        <v>NÃO</v>
      </c>
    </row>
    <row r="1269" spans="2:62" ht="30" hidden="1" customHeight="1">
      <c r="B1269" s="197"/>
      <c r="AK1269" s="313"/>
      <c r="AL1269" s="313"/>
      <c r="AM1269" s="313"/>
      <c r="AN1269" s="313"/>
      <c r="AO1269" s="313"/>
      <c r="AP1269" s="313"/>
      <c r="AQ1269" s="314"/>
      <c r="AR1269" s="315" t="str">
        <f t="shared" si="82"/>
        <v/>
      </c>
      <c r="BH1269" s="321" t="str">
        <f t="shared" si="85"/>
        <v/>
      </c>
      <c r="BJ1269" s="98" t="str">
        <f t="shared" si="84"/>
        <v>NÃO</v>
      </c>
    </row>
    <row r="1270" spans="2:62" ht="30" hidden="1" customHeight="1">
      <c r="B1270" s="197"/>
      <c r="AK1270" s="313"/>
      <c r="AL1270" s="313"/>
      <c r="AM1270" s="313"/>
      <c r="AN1270" s="313"/>
      <c r="AO1270" s="313"/>
      <c r="AP1270" s="313"/>
      <c r="AQ1270" s="314"/>
      <c r="AR1270" s="315" t="str">
        <f t="shared" si="82"/>
        <v/>
      </c>
      <c r="BH1270" s="321" t="str">
        <f t="shared" si="85"/>
        <v/>
      </c>
      <c r="BJ1270" s="98" t="str">
        <f t="shared" si="84"/>
        <v>NÃO</v>
      </c>
    </row>
    <row r="1271" spans="2:62" ht="30" hidden="1" customHeight="1">
      <c r="B1271" s="197"/>
      <c r="AK1271" s="313"/>
      <c r="AL1271" s="313"/>
      <c r="AM1271" s="313"/>
      <c r="AN1271" s="313"/>
      <c r="AO1271" s="313"/>
      <c r="AP1271" s="313"/>
      <c r="AQ1271" s="314"/>
      <c r="AR1271" s="315" t="str">
        <f t="shared" si="82"/>
        <v/>
      </c>
      <c r="BH1271" s="321" t="str">
        <f t="shared" si="85"/>
        <v/>
      </c>
      <c r="BJ1271" s="98" t="str">
        <f t="shared" si="84"/>
        <v>NÃO</v>
      </c>
    </row>
    <row r="1272" spans="2:62" ht="30" hidden="1" customHeight="1">
      <c r="B1272" s="197"/>
      <c r="AK1272" s="313"/>
      <c r="AL1272" s="313"/>
      <c r="AM1272" s="313"/>
      <c r="AN1272" s="313"/>
      <c r="AO1272" s="313"/>
      <c r="AP1272" s="313"/>
      <c r="AQ1272" s="314"/>
      <c r="AR1272" s="315" t="str">
        <f t="shared" si="82"/>
        <v/>
      </c>
      <c r="BH1272" s="321" t="str">
        <f t="shared" si="85"/>
        <v/>
      </c>
      <c r="BJ1272" s="98" t="str">
        <f t="shared" si="84"/>
        <v>NÃO</v>
      </c>
    </row>
    <row r="1273" spans="2:62" ht="30" hidden="1" customHeight="1">
      <c r="B1273" s="197"/>
      <c r="AK1273" s="313"/>
      <c r="AL1273" s="313"/>
      <c r="AM1273" s="313"/>
      <c r="AN1273" s="313"/>
      <c r="AO1273" s="313"/>
      <c r="AP1273" s="313"/>
      <c r="AQ1273" s="314"/>
      <c r="AR1273" s="315" t="str">
        <f t="shared" si="82"/>
        <v/>
      </c>
      <c r="BH1273" s="321" t="str">
        <f t="shared" si="85"/>
        <v/>
      </c>
      <c r="BJ1273" s="98" t="str">
        <f t="shared" si="84"/>
        <v>NÃO</v>
      </c>
    </row>
    <row r="1274" spans="2:62" ht="30" hidden="1" customHeight="1">
      <c r="B1274" s="197"/>
      <c r="AK1274" s="313"/>
      <c r="AL1274" s="313"/>
      <c r="AM1274" s="313"/>
      <c r="AN1274" s="313"/>
      <c r="AO1274" s="313"/>
      <c r="AP1274" s="313"/>
      <c r="AQ1274" s="314"/>
      <c r="AR1274" s="315" t="str">
        <f t="shared" si="82"/>
        <v/>
      </c>
      <c r="BH1274" s="321" t="str">
        <f t="shared" si="85"/>
        <v/>
      </c>
      <c r="BJ1274" s="98" t="str">
        <f t="shared" si="84"/>
        <v>NÃO</v>
      </c>
    </row>
    <row r="1275" spans="2:62" ht="30" hidden="1" customHeight="1">
      <c r="B1275" s="197"/>
      <c r="AK1275" s="313"/>
      <c r="AL1275" s="313"/>
      <c r="AM1275" s="313"/>
      <c r="AN1275" s="313"/>
      <c r="AO1275" s="313"/>
      <c r="AP1275" s="313"/>
      <c r="AQ1275" s="314"/>
      <c r="AR1275" s="315" t="str">
        <f t="shared" si="82"/>
        <v/>
      </c>
      <c r="BH1275" s="321" t="str">
        <f t="shared" si="85"/>
        <v/>
      </c>
      <c r="BJ1275" s="98" t="str">
        <f t="shared" si="84"/>
        <v>NÃO</v>
      </c>
    </row>
    <row r="1276" spans="2:62" ht="30" hidden="1" customHeight="1">
      <c r="B1276" s="197"/>
      <c r="AK1276" s="313"/>
      <c r="AL1276" s="313"/>
      <c r="AM1276" s="313"/>
      <c r="AN1276" s="313"/>
      <c r="AO1276" s="313"/>
      <c r="AP1276" s="313"/>
      <c r="AQ1276" s="314"/>
      <c r="AR1276" s="315" t="str">
        <f t="shared" si="82"/>
        <v/>
      </c>
      <c r="BH1276" s="321" t="str">
        <f t="shared" si="85"/>
        <v/>
      </c>
      <c r="BJ1276" s="98" t="str">
        <f t="shared" si="84"/>
        <v>NÃO</v>
      </c>
    </row>
    <row r="1277" spans="2:62" ht="30" hidden="1" customHeight="1">
      <c r="B1277" s="197"/>
      <c r="AK1277" s="313"/>
      <c r="AL1277" s="313"/>
      <c r="AM1277" s="313"/>
      <c r="AN1277" s="313"/>
      <c r="AO1277" s="313"/>
      <c r="AP1277" s="313"/>
      <c r="AQ1277" s="314"/>
      <c r="AR1277" s="315" t="str">
        <f t="shared" si="82"/>
        <v/>
      </c>
      <c r="BH1277" s="321" t="str">
        <f t="shared" si="85"/>
        <v/>
      </c>
      <c r="BJ1277" s="98" t="str">
        <f t="shared" si="84"/>
        <v>NÃO</v>
      </c>
    </row>
    <row r="1278" spans="2:62" ht="30" hidden="1" customHeight="1">
      <c r="B1278" s="197"/>
      <c r="AK1278" s="313"/>
      <c r="AL1278" s="313"/>
      <c r="AM1278" s="313"/>
      <c r="AN1278" s="313"/>
      <c r="AO1278" s="313"/>
      <c r="AP1278" s="313"/>
      <c r="AQ1278" s="314"/>
      <c r="AR1278" s="315" t="str">
        <f t="shared" si="82"/>
        <v/>
      </c>
      <c r="BH1278" s="321" t="str">
        <f t="shared" si="85"/>
        <v/>
      </c>
      <c r="BJ1278" s="98" t="str">
        <f t="shared" si="84"/>
        <v>NÃO</v>
      </c>
    </row>
    <row r="1279" spans="2:62" ht="30" hidden="1" customHeight="1">
      <c r="B1279" s="197"/>
      <c r="AK1279" s="313"/>
      <c r="AL1279" s="313"/>
      <c r="AM1279" s="313"/>
      <c r="AN1279" s="313"/>
      <c r="AO1279" s="313"/>
      <c r="AP1279" s="313"/>
      <c r="AQ1279" s="314"/>
      <c r="AR1279" s="315" t="str">
        <f t="shared" ref="AR1279:AR1342" si="86">IF(AQ1279="SIM","AGUARDANDO CORREÇÃO",IF(AP1279&lt;&gt;"","FINALIZADO",IF(AO1279&lt;&gt;"","AGUARDANDO ENVIO DTS",IF(AN1279&lt;&gt;"","AGUARDANDO ASSINATURA GAB",IF(AM1279&lt;&gt;"","AGUARDANDO ASSINATURA CTS",IF(AL1279&lt;&gt;"","AGUARDANDO ENVIO ASSINATURA CTS",IF(AK1279&lt;&gt;"","AGUARDANDO CONFERÊNCIA","")))))))</f>
        <v/>
      </c>
      <c r="BH1279" s="321" t="str">
        <f t="shared" si="85"/>
        <v/>
      </c>
      <c r="BJ1279" s="98" t="str">
        <f t="shared" si="84"/>
        <v>NÃO</v>
      </c>
    </row>
    <row r="1280" spans="2:62" ht="30" hidden="1" customHeight="1">
      <c r="B1280" s="197"/>
      <c r="AK1280" s="313"/>
      <c r="AL1280" s="313"/>
      <c r="AM1280" s="313"/>
      <c r="AN1280" s="313"/>
      <c r="AO1280" s="313"/>
      <c r="AP1280" s="313"/>
      <c r="AQ1280" s="314"/>
      <c r="AR1280" s="315" t="str">
        <f t="shared" si="86"/>
        <v/>
      </c>
      <c r="BH1280" s="321" t="str">
        <f t="shared" si="85"/>
        <v/>
      </c>
      <c r="BJ1280" s="98" t="str">
        <f t="shared" si="84"/>
        <v>NÃO</v>
      </c>
    </row>
    <row r="1281" spans="2:62" ht="30" hidden="1" customHeight="1">
      <c r="B1281" s="197"/>
      <c r="AK1281" s="313"/>
      <c r="AL1281" s="313"/>
      <c r="AM1281" s="313"/>
      <c r="AN1281" s="313"/>
      <c r="AO1281" s="313"/>
      <c r="AP1281" s="313"/>
      <c r="AQ1281" s="314"/>
      <c r="AR1281" s="315" t="str">
        <f t="shared" si="86"/>
        <v/>
      </c>
      <c r="BH1281" s="321" t="str">
        <f t="shared" si="85"/>
        <v/>
      </c>
      <c r="BJ1281" s="98" t="str">
        <f t="shared" si="84"/>
        <v>NÃO</v>
      </c>
    </row>
    <row r="1282" spans="2:62" ht="30" hidden="1" customHeight="1">
      <c r="B1282" s="197"/>
      <c r="AK1282" s="313"/>
      <c r="AL1282" s="313"/>
      <c r="AM1282" s="313"/>
      <c r="AN1282" s="313"/>
      <c r="AO1282" s="313"/>
      <c r="AP1282" s="313"/>
      <c r="AQ1282" s="314"/>
      <c r="AR1282" s="315" t="str">
        <f t="shared" si="86"/>
        <v/>
      </c>
      <c r="BH1282" s="321" t="str">
        <f t="shared" si="85"/>
        <v/>
      </c>
      <c r="BJ1282" s="98" t="str">
        <f t="shared" si="84"/>
        <v>NÃO</v>
      </c>
    </row>
    <row r="1283" spans="2:62" ht="30" hidden="1" customHeight="1">
      <c r="B1283" s="197"/>
      <c r="AK1283" s="313"/>
      <c r="AL1283" s="313"/>
      <c r="AM1283" s="313"/>
      <c r="AN1283" s="313"/>
      <c r="AO1283" s="313"/>
      <c r="AP1283" s="313"/>
      <c r="AQ1283" s="314"/>
      <c r="AR1283" s="315" t="str">
        <f t="shared" si="86"/>
        <v/>
      </c>
      <c r="BH1283" s="321" t="str">
        <f t="shared" si="85"/>
        <v/>
      </c>
      <c r="BJ1283" s="98" t="str">
        <f t="shared" si="84"/>
        <v>NÃO</v>
      </c>
    </row>
    <row r="1284" spans="2:62" ht="30" hidden="1" customHeight="1">
      <c r="B1284" s="197"/>
      <c r="AK1284" s="313"/>
      <c r="AL1284" s="313"/>
      <c r="AM1284" s="313"/>
      <c r="AN1284" s="313"/>
      <c r="AO1284" s="313"/>
      <c r="AP1284" s="313"/>
      <c r="AQ1284" s="314"/>
      <c r="AR1284" s="315" t="str">
        <f t="shared" si="86"/>
        <v/>
      </c>
      <c r="BH1284" s="321" t="str">
        <f t="shared" si="85"/>
        <v/>
      </c>
      <c r="BJ1284" s="98" t="str">
        <f t="shared" si="84"/>
        <v>NÃO</v>
      </c>
    </row>
    <row r="1285" spans="2:62" ht="30" hidden="1" customHeight="1">
      <c r="B1285" s="197"/>
      <c r="AK1285" s="313"/>
      <c r="AL1285" s="313"/>
      <c r="AM1285" s="313"/>
      <c r="AN1285" s="313"/>
      <c r="AO1285" s="313"/>
      <c r="AP1285" s="313"/>
      <c r="AQ1285" s="314"/>
      <c r="AR1285" s="315" t="str">
        <f t="shared" si="86"/>
        <v/>
      </c>
      <c r="BH1285" s="321" t="str">
        <f t="shared" si="85"/>
        <v/>
      </c>
      <c r="BJ1285" s="98" t="str">
        <f t="shared" ref="BJ1285:BJ1291" si="87">IF(AND(BD1285&lt;&gt;"AGUARDANDO",BD1285&lt;&gt;"",N1285="AUXÍLIO ALUGUEL ATÉ INDENIZAÇÃO"),"SIM","NÃO")</f>
        <v>NÃO</v>
      </c>
    </row>
    <row r="1286" spans="2:62" ht="30" hidden="1" customHeight="1">
      <c r="B1286" s="197"/>
      <c r="AK1286" s="313"/>
      <c r="AL1286" s="313"/>
      <c r="AM1286" s="313"/>
      <c r="AN1286" s="313"/>
      <c r="AO1286" s="313"/>
      <c r="AP1286" s="313"/>
      <c r="AQ1286" s="314"/>
      <c r="AR1286" s="315" t="str">
        <f t="shared" si="86"/>
        <v/>
      </c>
      <c r="BH1286" s="321" t="str">
        <f t="shared" si="85"/>
        <v/>
      </c>
      <c r="BJ1286" s="98" t="str">
        <f t="shared" si="87"/>
        <v>NÃO</v>
      </c>
    </row>
    <row r="1287" spans="2:62" ht="30" hidden="1" customHeight="1">
      <c r="B1287" s="197"/>
      <c r="AK1287" s="313"/>
      <c r="AL1287" s="313"/>
      <c r="AM1287" s="313"/>
      <c r="AN1287" s="313"/>
      <c r="AO1287" s="313"/>
      <c r="AP1287" s="313"/>
      <c r="AQ1287" s="314"/>
      <c r="AR1287" s="315" t="str">
        <f t="shared" si="86"/>
        <v/>
      </c>
      <c r="BH1287" s="321" t="str">
        <f t="shared" si="85"/>
        <v/>
      </c>
      <c r="BJ1287" s="98" t="str">
        <f t="shared" si="87"/>
        <v>NÃO</v>
      </c>
    </row>
    <row r="1288" spans="2:62" ht="30" hidden="1" customHeight="1">
      <c r="B1288" s="197"/>
      <c r="AK1288" s="313"/>
      <c r="AL1288" s="313"/>
      <c r="AM1288" s="313"/>
      <c r="AN1288" s="313"/>
      <c r="AO1288" s="313"/>
      <c r="AP1288" s="313"/>
      <c r="AQ1288" s="314"/>
      <c r="AR1288" s="315" t="str">
        <f t="shared" si="86"/>
        <v/>
      </c>
      <c r="BH1288" s="321" t="str">
        <f t="shared" si="85"/>
        <v/>
      </c>
      <c r="BJ1288" s="98" t="str">
        <f t="shared" si="87"/>
        <v>NÃO</v>
      </c>
    </row>
    <row r="1289" spans="2:62" ht="30" hidden="1" customHeight="1">
      <c r="B1289" s="197"/>
      <c r="AK1289" s="313"/>
      <c r="AL1289" s="313"/>
      <c r="AM1289" s="313"/>
      <c r="AN1289" s="313"/>
      <c r="AO1289" s="313"/>
      <c r="AP1289" s="313"/>
      <c r="AQ1289" s="314"/>
      <c r="AR1289" s="315" t="str">
        <f t="shared" si="86"/>
        <v/>
      </c>
      <c r="BH1289" s="321" t="str">
        <f t="shared" si="85"/>
        <v/>
      </c>
      <c r="BJ1289" s="98" t="str">
        <f t="shared" si="87"/>
        <v>NÃO</v>
      </c>
    </row>
    <row r="1290" spans="2:62" ht="30" hidden="1" customHeight="1">
      <c r="B1290" s="197"/>
      <c r="AK1290" s="313"/>
      <c r="AL1290" s="313"/>
      <c r="AM1290" s="313"/>
      <c r="AN1290" s="313"/>
      <c r="AO1290" s="313"/>
      <c r="AP1290" s="313"/>
      <c r="AQ1290" s="314"/>
      <c r="AR1290" s="315" t="str">
        <f t="shared" si="86"/>
        <v/>
      </c>
      <c r="BH1290" s="321" t="str">
        <f t="shared" si="85"/>
        <v/>
      </c>
      <c r="BJ1290" s="98" t="str">
        <f t="shared" si="87"/>
        <v>NÃO</v>
      </c>
    </row>
    <row r="1291" spans="2:62" ht="30" hidden="1" customHeight="1">
      <c r="B1291" s="197"/>
      <c r="AK1291" s="313"/>
      <c r="AL1291" s="313"/>
      <c r="AM1291" s="313"/>
      <c r="AN1291" s="313"/>
      <c r="AO1291" s="313"/>
      <c r="AP1291" s="313"/>
      <c r="AQ1291" s="314"/>
      <c r="AR1291" s="315" t="str">
        <f t="shared" si="86"/>
        <v/>
      </c>
      <c r="BH1291" s="321" t="str">
        <f t="shared" si="85"/>
        <v/>
      </c>
      <c r="BJ1291" s="98" t="str">
        <f t="shared" si="87"/>
        <v>NÃO</v>
      </c>
    </row>
    <row r="1292" spans="2:62" ht="30" hidden="1" customHeight="1">
      <c r="B1292" s="197"/>
      <c r="AK1292" s="313"/>
      <c r="AL1292" s="313"/>
      <c r="AM1292" s="313"/>
      <c r="AN1292" s="313"/>
      <c r="AO1292" s="313"/>
      <c r="AP1292" s="313"/>
      <c r="AQ1292" s="314"/>
      <c r="AR1292" s="315" t="str">
        <f t="shared" si="86"/>
        <v/>
      </c>
      <c r="BH1292" s="321" t="str">
        <f t="shared" si="85"/>
        <v/>
      </c>
    </row>
    <row r="1293" spans="2:62" ht="30" hidden="1" customHeight="1">
      <c r="B1293" s="197"/>
      <c r="AK1293" s="313"/>
      <c r="AL1293" s="313"/>
      <c r="AM1293" s="313"/>
      <c r="AN1293" s="313"/>
      <c r="AO1293" s="313"/>
      <c r="AP1293" s="313"/>
      <c r="AQ1293" s="314"/>
      <c r="AR1293" s="315" t="str">
        <f t="shared" si="86"/>
        <v/>
      </c>
      <c r="BH1293" s="321" t="str">
        <f t="shared" si="85"/>
        <v/>
      </c>
    </row>
    <row r="1294" spans="2:62" ht="30" hidden="1" customHeight="1">
      <c r="B1294" s="197"/>
      <c r="AK1294" s="313"/>
      <c r="AL1294" s="313"/>
      <c r="AM1294" s="313"/>
      <c r="AN1294" s="313"/>
      <c r="AO1294" s="313"/>
      <c r="AP1294" s="313"/>
      <c r="AQ1294" s="314"/>
      <c r="AR1294" s="315" t="str">
        <f t="shared" si="86"/>
        <v/>
      </c>
      <c r="BH1294" s="321" t="str">
        <f t="shared" si="85"/>
        <v/>
      </c>
    </row>
    <row r="1295" spans="2:62" ht="30" hidden="1" customHeight="1">
      <c r="B1295" s="197"/>
      <c r="AK1295" s="313"/>
      <c r="AL1295" s="313"/>
      <c r="AM1295" s="313"/>
      <c r="AN1295" s="313"/>
      <c r="AO1295" s="313"/>
      <c r="AP1295" s="313"/>
      <c r="AQ1295" s="314"/>
      <c r="AR1295" s="315" t="str">
        <f t="shared" si="86"/>
        <v/>
      </c>
      <c r="BH1295" s="321" t="str">
        <f t="shared" si="85"/>
        <v/>
      </c>
    </row>
    <row r="1296" spans="2:62" ht="30" hidden="1" customHeight="1">
      <c r="B1296" s="197"/>
      <c r="AK1296" s="313"/>
      <c r="AL1296" s="313"/>
      <c r="AM1296" s="313"/>
      <c r="AN1296" s="313"/>
      <c r="AO1296" s="313"/>
      <c r="AP1296" s="313"/>
      <c r="AQ1296" s="314"/>
      <c r="AR1296" s="315" t="str">
        <f t="shared" si="86"/>
        <v/>
      </c>
      <c r="BH1296" s="321" t="str">
        <f t="shared" si="85"/>
        <v/>
      </c>
    </row>
    <row r="1297" spans="2:60" ht="30" hidden="1" customHeight="1">
      <c r="B1297" s="197"/>
      <c r="AK1297" s="313"/>
      <c r="AL1297" s="313"/>
      <c r="AM1297" s="313"/>
      <c r="AN1297" s="313"/>
      <c r="AO1297" s="313"/>
      <c r="AP1297" s="313"/>
      <c r="AQ1297" s="314"/>
      <c r="AR1297" s="315" t="str">
        <f t="shared" si="86"/>
        <v/>
      </c>
      <c r="BH1297" s="321" t="str">
        <f t="shared" si="85"/>
        <v/>
      </c>
    </row>
    <row r="1298" spans="2:60" ht="30" hidden="1" customHeight="1">
      <c r="B1298" s="197"/>
      <c r="AK1298" s="313"/>
      <c r="AL1298" s="313"/>
      <c r="AM1298" s="313"/>
      <c r="AN1298" s="313"/>
      <c r="AO1298" s="313"/>
      <c r="AP1298" s="313"/>
      <c r="AQ1298" s="314"/>
      <c r="AR1298" s="315" t="str">
        <f t="shared" si="86"/>
        <v/>
      </c>
      <c r="BH1298" s="321" t="str">
        <f t="shared" si="85"/>
        <v/>
      </c>
    </row>
    <row r="1299" spans="2:60" ht="30" hidden="1" customHeight="1">
      <c r="B1299" s="197"/>
      <c r="AK1299" s="313"/>
      <c r="AL1299" s="313"/>
      <c r="AM1299" s="313"/>
      <c r="AN1299" s="313"/>
      <c r="AO1299" s="313"/>
      <c r="AP1299" s="313"/>
      <c r="AQ1299" s="314"/>
      <c r="AR1299" s="315" t="str">
        <f t="shared" si="86"/>
        <v/>
      </c>
      <c r="BH1299" s="321" t="str">
        <f t="shared" si="85"/>
        <v/>
      </c>
    </row>
    <row r="1300" spans="2:60" ht="30" hidden="1" customHeight="1">
      <c r="B1300" s="197"/>
      <c r="AK1300" s="313"/>
      <c r="AL1300" s="313"/>
      <c r="AM1300" s="313"/>
      <c r="AN1300" s="313"/>
      <c r="AO1300" s="313"/>
      <c r="AP1300" s="313"/>
      <c r="AQ1300" s="314"/>
      <c r="AR1300" s="315" t="str">
        <f t="shared" si="86"/>
        <v/>
      </c>
      <c r="BH1300" s="321" t="str">
        <f t="shared" si="85"/>
        <v/>
      </c>
    </row>
    <row r="1301" spans="2:60" ht="30" hidden="1" customHeight="1">
      <c r="B1301" s="197"/>
      <c r="AK1301" s="313"/>
      <c r="AL1301" s="313"/>
      <c r="AM1301" s="313"/>
      <c r="AN1301" s="313"/>
      <c r="AO1301" s="313"/>
      <c r="AP1301" s="313"/>
      <c r="AQ1301" s="314"/>
      <c r="AR1301" s="315" t="str">
        <f t="shared" si="86"/>
        <v/>
      </c>
      <c r="BH1301" s="321" t="str">
        <f t="shared" si="85"/>
        <v/>
      </c>
    </row>
    <row r="1302" spans="2:60" ht="30" hidden="1" customHeight="1">
      <c r="B1302" s="197"/>
      <c r="AK1302" s="313"/>
      <c r="AL1302" s="313"/>
      <c r="AM1302" s="313"/>
      <c r="AN1302" s="313"/>
      <c r="AO1302" s="313"/>
      <c r="AP1302" s="313"/>
      <c r="AQ1302" s="314"/>
      <c r="AR1302" s="315" t="str">
        <f t="shared" si="86"/>
        <v/>
      </c>
      <c r="BH1302" s="321" t="str">
        <f t="shared" si="85"/>
        <v/>
      </c>
    </row>
    <row r="1303" spans="2:60" ht="30" hidden="1" customHeight="1">
      <c r="B1303" s="197"/>
      <c r="AK1303" s="313"/>
      <c r="AL1303" s="313"/>
      <c r="AM1303" s="313"/>
      <c r="AN1303" s="313"/>
      <c r="AO1303" s="313"/>
      <c r="AP1303" s="313"/>
      <c r="AQ1303" s="314"/>
      <c r="AR1303" s="315" t="str">
        <f t="shared" si="86"/>
        <v/>
      </c>
      <c r="BH1303" s="321" t="str">
        <f t="shared" si="85"/>
        <v/>
      </c>
    </row>
    <row r="1304" spans="2:60" ht="30" hidden="1" customHeight="1">
      <c r="B1304" s="197"/>
      <c r="AK1304" s="313"/>
      <c r="AL1304" s="313"/>
      <c r="AM1304" s="313"/>
      <c r="AN1304" s="313"/>
      <c r="AO1304" s="313"/>
      <c r="AP1304" s="313"/>
      <c r="AQ1304" s="314"/>
      <c r="AR1304" s="315" t="str">
        <f t="shared" si="86"/>
        <v/>
      </c>
      <c r="BH1304" s="321" t="str">
        <f t="shared" si="85"/>
        <v/>
      </c>
    </row>
    <row r="1305" spans="2:60" ht="30" hidden="1" customHeight="1">
      <c r="B1305" s="197"/>
      <c r="AK1305" s="313"/>
      <c r="AL1305" s="313"/>
      <c r="AM1305" s="313"/>
      <c r="AN1305" s="313"/>
      <c r="AO1305" s="313"/>
      <c r="AP1305" s="313"/>
      <c r="AQ1305" s="314"/>
      <c r="AR1305" s="315" t="str">
        <f t="shared" si="86"/>
        <v/>
      </c>
      <c r="BH1305" s="321" t="str">
        <f t="shared" si="85"/>
        <v/>
      </c>
    </row>
    <row r="1306" spans="2:60" ht="30" hidden="1" customHeight="1">
      <c r="B1306" s="197"/>
      <c r="AK1306" s="313"/>
      <c r="AL1306" s="313"/>
      <c r="AM1306" s="313"/>
      <c r="AN1306" s="313"/>
      <c r="AO1306" s="313"/>
      <c r="AP1306" s="313"/>
      <c r="AQ1306" s="314"/>
      <c r="AR1306" s="315" t="str">
        <f t="shared" si="86"/>
        <v/>
      </c>
      <c r="BH1306" s="321" t="str">
        <f t="shared" si="85"/>
        <v/>
      </c>
    </row>
    <row r="1307" spans="2:60" ht="30" hidden="1" customHeight="1">
      <c r="B1307" s="197"/>
      <c r="AK1307" s="313"/>
      <c r="AL1307" s="313"/>
      <c r="AM1307" s="313"/>
      <c r="AN1307" s="313"/>
      <c r="AO1307" s="313"/>
      <c r="AP1307" s="313"/>
      <c r="AQ1307" s="314"/>
      <c r="AR1307" s="315" t="str">
        <f t="shared" si="86"/>
        <v/>
      </c>
      <c r="BH1307" s="321" t="str">
        <f t="shared" si="85"/>
        <v/>
      </c>
    </row>
    <row r="1308" spans="2:60" ht="30" hidden="1" customHeight="1">
      <c r="B1308" s="197"/>
      <c r="AK1308" s="313"/>
      <c r="AL1308" s="313"/>
      <c r="AM1308" s="313"/>
      <c r="AN1308" s="313"/>
      <c r="AO1308" s="313"/>
      <c r="AP1308" s="313"/>
      <c r="AQ1308" s="314"/>
      <c r="AR1308" s="315" t="str">
        <f t="shared" si="86"/>
        <v/>
      </c>
      <c r="BH1308" s="321" t="str">
        <f t="shared" si="85"/>
        <v/>
      </c>
    </row>
    <row r="1309" spans="2:60" ht="30" hidden="1" customHeight="1">
      <c r="B1309" s="197"/>
      <c r="AK1309" s="313"/>
      <c r="AL1309" s="313"/>
      <c r="AM1309" s="313"/>
      <c r="AN1309" s="313"/>
      <c r="AO1309" s="313"/>
      <c r="AP1309" s="313"/>
      <c r="AQ1309" s="314"/>
      <c r="AR1309" s="315" t="str">
        <f t="shared" si="86"/>
        <v/>
      </c>
      <c r="BH1309" s="321" t="str">
        <f t="shared" si="85"/>
        <v/>
      </c>
    </row>
    <row r="1310" spans="2:60" ht="30" hidden="1" customHeight="1">
      <c r="B1310" s="197"/>
      <c r="AK1310" s="313"/>
      <c r="AL1310" s="313"/>
      <c r="AM1310" s="313"/>
      <c r="AN1310" s="313"/>
      <c r="AO1310" s="313"/>
      <c r="AP1310" s="313"/>
      <c r="AQ1310" s="314"/>
      <c r="AR1310" s="315" t="str">
        <f t="shared" si="86"/>
        <v/>
      </c>
      <c r="BH1310" s="321" t="str">
        <f t="shared" si="85"/>
        <v/>
      </c>
    </row>
    <row r="1311" spans="2:60" ht="30" hidden="1" customHeight="1">
      <c r="B1311" s="197"/>
      <c r="AK1311" s="313"/>
      <c r="AL1311" s="313"/>
      <c r="AM1311" s="313"/>
      <c r="AN1311" s="313"/>
      <c r="AO1311" s="313"/>
      <c r="AP1311" s="313"/>
      <c r="AQ1311" s="314"/>
      <c r="AR1311" s="315" t="str">
        <f t="shared" si="86"/>
        <v/>
      </c>
      <c r="BH1311" s="321" t="str">
        <f t="shared" si="85"/>
        <v/>
      </c>
    </row>
    <row r="1312" spans="2:60" ht="30" hidden="1" customHeight="1">
      <c r="B1312" s="197"/>
      <c r="AK1312" s="313"/>
      <c r="AL1312" s="313"/>
      <c r="AM1312" s="313"/>
      <c r="AN1312" s="313"/>
      <c r="AO1312" s="313"/>
      <c r="AP1312" s="313"/>
      <c r="AQ1312" s="314"/>
      <c r="AR1312" s="315" t="str">
        <f t="shared" si="86"/>
        <v/>
      </c>
      <c r="BH1312" s="321" t="str">
        <f t="shared" si="85"/>
        <v/>
      </c>
    </row>
    <row r="1313" spans="2:60" ht="30" hidden="1" customHeight="1">
      <c r="B1313" s="197"/>
      <c r="AK1313" s="313"/>
      <c r="AL1313" s="313"/>
      <c r="AM1313" s="313"/>
      <c r="AN1313" s="313"/>
      <c r="AO1313" s="313"/>
      <c r="AP1313" s="313"/>
      <c r="AQ1313" s="314"/>
      <c r="AR1313" s="315" t="str">
        <f t="shared" si="86"/>
        <v/>
      </c>
      <c r="BH1313" s="321" t="str">
        <f t="shared" si="85"/>
        <v/>
      </c>
    </row>
    <row r="1314" spans="2:60" ht="30" hidden="1" customHeight="1">
      <c r="B1314" s="197"/>
      <c r="AK1314" s="313"/>
      <c r="AL1314" s="313"/>
      <c r="AM1314" s="313"/>
      <c r="AN1314" s="313"/>
      <c r="AO1314" s="313"/>
      <c r="AP1314" s="313"/>
      <c r="AQ1314" s="314"/>
      <c r="AR1314" s="315" t="str">
        <f t="shared" si="86"/>
        <v/>
      </c>
      <c r="BH1314" s="321" t="str">
        <f t="shared" si="85"/>
        <v/>
      </c>
    </row>
    <row r="1315" spans="2:60" ht="30" hidden="1" customHeight="1">
      <c r="B1315" s="197"/>
      <c r="AK1315" s="313"/>
      <c r="AL1315" s="313"/>
      <c r="AM1315" s="313"/>
      <c r="AN1315" s="313"/>
      <c r="AO1315" s="313"/>
      <c r="AP1315" s="313"/>
      <c r="AQ1315" s="314"/>
      <c r="AR1315" s="315" t="str">
        <f t="shared" si="86"/>
        <v/>
      </c>
      <c r="BH1315" s="321" t="str">
        <f t="shared" si="85"/>
        <v/>
      </c>
    </row>
    <row r="1316" spans="2:60" ht="30" hidden="1" customHeight="1">
      <c r="B1316" s="197"/>
      <c r="AK1316" s="313"/>
      <c r="AL1316" s="313"/>
      <c r="AM1316" s="313"/>
      <c r="AN1316" s="313"/>
      <c r="AO1316" s="313"/>
      <c r="AP1316" s="313"/>
      <c r="AQ1316" s="314"/>
      <c r="AR1316" s="315" t="str">
        <f t="shared" si="86"/>
        <v/>
      </c>
      <c r="BH1316" s="321" t="str">
        <f t="shared" si="85"/>
        <v/>
      </c>
    </row>
    <row r="1317" spans="2:60" ht="30" hidden="1" customHeight="1">
      <c r="B1317" s="197"/>
      <c r="AK1317" s="313"/>
      <c r="AL1317" s="313"/>
      <c r="AM1317" s="313"/>
      <c r="AN1317" s="313"/>
      <c r="AO1317" s="313"/>
      <c r="AP1317" s="313"/>
      <c r="AQ1317" s="314"/>
      <c r="AR1317" s="315" t="str">
        <f t="shared" si="86"/>
        <v/>
      </c>
      <c r="BH1317" s="321" t="str">
        <f t="shared" si="85"/>
        <v/>
      </c>
    </row>
    <row r="1318" spans="2:60" ht="30" hidden="1" customHeight="1">
      <c r="B1318" s="197"/>
      <c r="AK1318" s="313"/>
      <c r="AL1318" s="313"/>
      <c r="AM1318" s="313"/>
      <c r="AN1318" s="313"/>
      <c r="AO1318" s="313"/>
      <c r="AP1318" s="313"/>
      <c r="AQ1318" s="314"/>
      <c r="AR1318" s="315" t="str">
        <f t="shared" si="86"/>
        <v/>
      </c>
      <c r="BH1318" s="321" t="str">
        <f t="shared" si="85"/>
        <v/>
      </c>
    </row>
    <row r="1319" spans="2:60" ht="30" hidden="1" customHeight="1">
      <c r="B1319" s="197"/>
      <c r="AK1319" s="313"/>
      <c r="AL1319" s="313"/>
      <c r="AM1319" s="313"/>
      <c r="AN1319" s="313"/>
      <c r="AO1319" s="313"/>
      <c r="AP1319" s="313"/>
      <c r="AQ1319" s="314"/>
      <c r="AR1319" s="315" t="str">
        <f t="shared" si="86"/>
        <v/>
      </c>
      <c r="BH1319" s="321" t="str">
        <f t="shared" si="85"/>
        <v/>
      </c>
    </row>
    <row r="1320" spans="2:60" ht="30" hidden="1" customHeight="1">
      <c r="B1320" s="197"/>
      <c r="AK1320" s="313"/>
      <c r="AL1320" s="313"/>
      <c r="AM1320" s="313"/>
      <c r="AN1320" s="313"/>
      <c r="AO1320" s="313"/>
      <c r="AP1320" s="313"/>
      <c r="AQ1320" s="314"/>
      <c r="AR1320" s="315" t="str">
        <f t="shared" si="86"/>
        <v/>
      </c>
      <c r="BH1320" s="321" t="str">
        <f t="shared" si="85"/>
        <v/>
      </c>
    </row>
    <row r="1321" spans="2:60" ht="30" hidden="1" customHeight="1">
      <c r="B1321" s="197"/>
      <c r="AK1321" s="313"/>
      <c r="AL1321" s="313"/>
      <c r="AM1321" s="313"/>
      <c r="AN1321" s="313"/>
      <c r="AO1321" s="313"/>
      <c r="AP1321" s="313"/>
      <c r="AQ1321" s="314"/>
      <c r="AR1321" s="315" t="str">
        <f t="shared" si="86"/>
        <v/>
      </c>
      <c r="BH1321" s="321" t="str">
        <f t="shared" si="85"/>
        <v/>
      </c>
    </row>
    <row r="1322" spans="2:60" ht="30" hidden="1" customHeight="1">
      <c r="B1322" s="197"/>
      <c r="AK1322" s="313"/>
      <c r="AL1322" s="313"/>
      <c r="AM1322" s="313"/>
      <c r="AN1322" s="313"/>
      <c r="AO1322" s="313"/>
      <c r="AP1322" s="313"/>
      <c r="AQ1322" s="314"/>
      <c r="AR1322" s="315" t="str">
        <f t="shared" si="86"/>
        <v/>
      </c>
      <c r="BH1322" s="321" t="str">
        <f t="shared" si="85"/>
        <v/>
      </c>
    </row>
    <row r="1323" spans="2:60" ht="30" hidden="1" customHeight="1">
      <c r="B1323" s="197"/>
      <c r="AK1323" s="313"/>
      <c r="AL1323" s="313"/>
      <c r="AM1323" s="313"/>
      <c r="AN1323" s="313"/>
      <c r="AO1323" s="313"/>
      <c r="AP1323" s="313"/>
      <c r="AQ1323" s="314"/>
      <c r="AR1323" s="315" t="str">
        <f t="shared" si="86"/>
        <v/>
      </c>
      <c r="BH1323" s="321" t="str">
        <f t="shared" si="85"/>
        <v/>
      </c>
    </row>
    <row r="1324" spans="2:60" ht="30" hidden="1" customHeight="1">
      <c r="B1324" s="197"/>
      <c r="AK1324" s="313"/>
      <c r="AL1324" s="313"/>
      <c r="AM1324" s="313"/>
      <c r="AN1324" s="313"/>
      <c r="AO1324" s="313"/>
      <c r="AP1324" s="313"/>
      <c r="AQ1324" s="314"/>
      <c r="AR1324" s="315" t="str">
        <f t="shared" si="86"/>
        <v/>
      </c>
      <c r="BH1324" s="321" t="str">
        <f t="shared" si="85"/>
        <v/>
      </c>
    </row>
    <row r="1325" spans="2:60" ht="30" hidden="1" customHeight="1">
      <c r="B1325" s="197"/>
      <c r="AK1325" s="313"/>
      <c r="AL1325" s="313"/>
      <c r="AM1325" s="313"/>
      <c r="AN1325" s="313"/>
      <c r="AO1325" s="313"/>
      <c r="AP1325" s="313"/>
      <c r="AQ1325" s="314"/>
      <c r="AR1325" s="315" t="str">
        <f t="shared" si="86"/>
        <v/>
      </c>
      <c r="BH1325" s="321" t="str">
        <f t="shared" ref="BH1325:BH1388" si="88">IF(BD1325-KI1325=0,"",BD1325-AK1325)</f>
        <v/>
      </c>
    </row>
    <row r="1326" spans="2:60" ht="30" hidden="1" customHeight="1">
      <c r="B1326" s="197"/>
      <c r="AK1326" s="313"/>
      <c r="AL1326" s="313"/>
      <c r="AM1326" s="313"/>
      <c r="AN1326" s="313"/>
      <c r="AO1326" s="313"/>
      <c r="AP1326" s="313"/>
      <c r="AQ1326" s="314"/>
      <c r="AR1326" s="315" t="str">
        <f t="shared" si="86"/>
        <v/>
      </c>
      <c r="BH1326" s="321" t="str">
        <f t="shared" si="88"/>
        <v/>
      </c>
    </row>
    <row r="1327" spans="2:60" ht="30" hidden="1" customHeight="1">
      <c r="B1327" s="197"/>
      <c r="AK1327" s="313"/>
      <c r="AL1327" s="313"/>
      <c r="AM1327" s="313"/>
      <c r="AN1327" s="313"/>
      <c r="AO1327" s="313"/>
      <c r="AP1327" s="313"/>
      <c r="AQ1327" s="314"/>
      <c r="AR1327" s="315" t="str">
        <f t="shared" si="86"/>
        <v/>
      </c>
      <c r="BH1327" s="321" t="str">
        <f t="shared" si="88"/>
        <v/>
      </c>
    </row>
    <row r="1328" spans="2:60" ht="30" hidden="1" customHeight="1">
      <c r="B1328" s="197"/>
      <c r="AK1328" s="313"/>
      <c r="AL1328" s="313"/>
      <c r="AM1328" s="313"/>
      <c r="AN1328" s="313"/>
      <c r="AO1328" s="313"/>
      <c r="AP1328" s="313"/>
      <c r="AQ1328" s="314"/>
      <c r="AR1328" s="315" t="str">
        <f t="shared" si="86"/>
        <v/>
      </c>
      <c r="BH1328" s="321" t="str">
        <f t="shared" si="88"/>
        <v/>
      </c>
    </row>
    <row r="1329" spans="2:60" ht="30" hidden="1" customHeight="1">
      <c r="B1329" s="197"/>
      <c r="AK1329" s="313"/>
      <c r="AL1329" s="313"/>
      <c r="AM1329" s="313"/>
      <c r="AN1329" s="313"/>
      <c r="AO1329" s="313"/>
      <c r="AP1329" s="313"/>
      <c r="AQ1329" s="314"/>
      <c r="AR1329" s="315" t="str">
        <f t="shared" si="86"/>
        <v/>
      </c>
      <c r="BH1329" s="321" t="str">
        <f t="shared" si="88"/>
        <v/>
      </c>
    </row>
    <row r="1330" spans="2:60" ht="30" hidden="1" customHeight="1">
      <c r="B1330" s="197"/>
      <c r="AK1330" s="313"/>
      <c r="AL1330" s="313"/>
      <c r="AM1330" s="313"/>
      <c r="AN1330" s="313"/>
      <c r="AO1330" s="313"/>
      <c r="AP1330" s="313"/>
      <c r="AQ1330" s="314"/>
      <c r="AR1330" s="315" t="str">
        <f t="shared" si="86"/>
        <v/>
      </c>
      <c r="BH1330" s="321" t="str">
        <f t="shared" si="88"/>
        <v/>
      </c>
    </row>
    <row r="1331" spans="2:60" ht="30" hidden="1" customHeight="1">
      <c r="B1331" s="197"/>
      <c r="AK1331" s="313"/>
      <c r="AL1331" s="313"/>
      <c r="AM1331" s="313"/>
      <c r="AN1331" s="313"/>
      <c r="AO1331" s="313"/>
      <c r="AP1331" s="313"/>
      <c r="AQ1331" s="314"/>
      <c r="AR1331" s="315" t="str">
        <f t="shared" si="86"/>
        <v/>
      </c>
      <c r="BH1331" s="321" t="str">
        <f t="shared" si="88"/>
        <v/>
      </c>
    </row>
    <row r="1332" spans="2:60" ht="30" hidden="1" customHeight="1">
      <c r="B1332" s="197"/>
      <c r="AK1332" s="313"/>
      <c r="AL1332" s="313"/>
      <c r="AM1332" s="313"/>
      <c r="AN1332" s="313"/>
      <c r="AO1332" s="313"/>
      <c r="AP1332" s="313"/>
      <c r="AQ1332" s="314"/>
      <c r="AR1332" s="315" t="str">
        <f t="shared" si="86"/>
        <v/>
      </c>
      <c r="BH1332" s="321" t="str">
        <f t="shared" si="88"/>
        <v/>
      </c>
    </row>
    <row r="1333" spans="2:60" ht="30" hidden="1" customHeight="1">
      <c r="B1333" s="197"/>
      <c r="AK1333" s="313"/>
      <c r="AL1333" s="313"/>
      <c r="AM1333" s="313"/>
      <c r="AN1333" s="313"/>
      <c r="AO1333" s="313"/>
      <c r="AP1333" s="313"/>
      <c r="AQ1333" s="314"/>
      <c r="AR1333" s="315" t="str">
        <f t="shared" si="86"/>
        <v/>
      </c>
      <c r="BH1333" s="321" t="str">
        <f t="shared" si="88"/>
        <v/>
      </c>
    </row>
    <row r="1334" spans="2:60" ht="30" hidden="1" customHeight="1">
      <c r="B1334" s="197"/>
      <c r="AK1334" s="313"/>
      <c r="AL1334" s="313"/>
      <c r="AM1334" s="313"/>
      <c r="AN1334" s="313"/>
      <c r="AO1334" s="313"/>
      <c r="AP1334" s="313"/>
      <c r="AQ1334" s="314"/>
      <c r="AR1334" s="315" t="str">
        <f t="shared" si="86"/>
        <v/>
      </c>
      <c r="BH1334" s="321" t="str">
        <f t="shared" si="88"/>
        <v/>
      </c>
    </row>
    <row r="1335" spans="2:60" ht="30" hidden="1" customHeight="1">
      <c r="B1335" s="197"/>
      <c r="AK1335" s="313"/>
      <c r="AL1335" s="313"/>
      <c r="AM1335" s="313"/>
      <c r="AN1335" s="313"/>
      <c r="AO1335" s="313"/>
      <c r="AP1335" s="313"/>
      <c r="AQ1335" s="314"/>
      <c r="AR1335" s="315" t="str">
        <f t="shared" si="86"/>
        <v/>
      </c>
      <c r="BH1335" s="321" t="str">
        <f t="shared" si="88"/>
        <v/>
      </c>
    </row>
    <row r="1336" spans="2:60" ht="30" hidden="1" customHeight="1">
      <c r="B1336" s="197"/>
      <c r="AK1336" s="313"/>
      <c r="AL1336" s="313"/>
      <c r="AM1336" s="313"/>
      <c r="AN1336" s="313"/>
      <c r="AO1336" s="313"/>
      <c r="AP1336" s="313"/>
      <c r="AQ1336" s="314"/>
      <c r="AR1336" s="315" t="str">
        <f t="shared" si="86"/>
        <v/>
      </c>
      <c r="BH1336" s="321" t="str">
        <f t="shared" si="88"/>
        <v/>
      </c>
    </row>
    <row r="1337" spans="2:60" ht="30" hidden="1" customHeight="1">
      <c r="B1337" s="197"/>
      <c r="AK1337" s="313"/>
      <c r="AL1337" s="313"/>
      <c r="AM1337" s="313"/>
      <c r="AN1337" s="313"/>
      <c r="AO1337" s="313"/>
      <c r="AP1337" s="313"/>
      <c r="AQ1337" s="314"/>
      <c r="AR1337" s="315" t="str">
        <f t="shared" si="86"/>
        <v/>
      </c>
      <c r="BH1337" s="321" t="str">
        <f t="shared" si="88"/>
        <v/>
      </c>
    </row>
    <row r="1338" spans="2:60" ht="30" hidden="1" customHeight="1">
      <c r="B1338" s="197"/>
      <c r="AK1338" s="313"/>
      <c r="AL1338" s="313"/>
      <c r="AM1338" s="313"/>
      <c r="AN1338" s="313"/>
      <c r="AO1338" s="313"/>
      <c r="AP1338" s="313"/>
      <c r="AQ1338" s="314"/>
      <c r="AR1338" s="315" t="str">
        <f t="shared" si="86"/>
        <v/>
      </c>
      <c r="BH1338" s="321" t="str">
        <f t="shared" si="88"/>
        <v/>
      </c>
    </row>
    <row r="1339" spans="2:60" ht="30" hidden="1" customHeight="1">
      <c r="B1339" s="197"/>
      <c r="AK1339" s="313"/>
      <c r="AL1339" s="313"/>
      <c r="AM1339" s="313"/>
      <c r="AN1339" s="313"/>
      <c r="AO1339" s="313"/>
      <c r="AP1339" s="313"/>
      <c r="AQ1339" s="314"/>
      <c r="AR1339" s="315" t="str">
        <f t="shared" si="86"/>
        <v/>
      </c>
      <c r="BH1339" s="321" t="str">
        <f t="shared" si="88"/>
        <v/>
      </c>
    </row>
    <row r="1340" spans="2:60" ht="30" hidden="1" customHeight="1">
      <c r="B1340" s="197"/>
      <c r="AK1340" s="313"/>
      <c r="AL1340" s="313"/>
      <c r="AM1340" s="313"/>
      <c r="AN1340" s="313"/>
      <c r="AO1340" s="313"/>
      <c r="AP1340" s="313"/>
      <c r="AQ1340" s="314"/>
      <c r="AR1340" s="315" t="str">
        <f t="shared" si="86"/>
        <v/>
      </c>
      <c r="BH1340" s="321" t="str">
        <f t="shared" si="88"/>
        <v/>
      </c>
    </row>
    <row r="1341" spans="2:60" ht="30" hidden="1" customHeight="1">
      <c r="B1341" s="197"/>
      <c r="AK1341" s="313"/>
      <c r="AL1341" s="313"/>
      <c r="AM1341" s="313"/>
      <c r="AN1341" s="313"/>
      <c r="AO1341" s="313"/>
      <c r="AP1341" s="313"/>
      <c r="AQ1341" s="314"/>
      <c r="AR1341" s="315" t="str">
        <f t="shared" si="86"/>
        <v/>
      </c>
      <c r="BH1341" s="321" t="str">
        <f t="shared" si="88"/>
        <v/>
      </c>
    </row>
    <row r="1342" spans="2:60" ht="30" hidden="1" customHeight="1">
      <c r="B1342" s="197"/>
      <c r="AK1342" s="313"/>
      <c r="AL1342" s="313"/>
      <c r="AM1342" s="313"/>
      <c r="AN1342" s="313"/>
      <c r="AO1342" s="313"/>
      <c r="AP1342" s="313"/>
      <c r="AQ1342" s="314"/>
      <c r="AR1342" s="315" t="str">
        <f t="shared" si="86"/>
        <v/>
      </c>
      <c r="BH1342" s="321" t="str">
        <f t="shared" si="88"/>
        <v/>
      </c>
    </row>
    <row r="1343" spans="2:60" ht="30" hidden="1" customHeight="1">
      <c r="B1343" s="197"/>
      <c r="AK1343" s="313"/>
      <c r="AL1343" s="313"/>
      <c r="AM1343" s="313"/>
      <c r="AN1343" s="313"/>
      <c r="AO1343" s="313"/>
      <c r="AP1343" s="313"/>
      <c r="AQ1343" s="314"/>
      <c r="AR1343" s="315" t="str">
        <f t="shared" ref="AR1343:AR1406" si="89">IF(AQ1343="SIM","AGUARDANDO CORREÇÃO",IF(AP1343&lt;&gt;"","FINALIZADO",IF(AO1343&lt;&gt;"","AGUARDANDO ENVIO DTS",IF(AN1343&lt;&gt;"","AGUARDANDO ASSINATURA GAB",IF(AM1343&lt;&gt;"","AGUARDANDO ASSINATURA CTS",IF(AL1343&lt;&gt;"","AGUARDANDO ENVIO ASSINATURA CTS",IF(AK1343&lt;&gt;"","AGUARDANDO CONFERÊNCIA","")))))))</f>
        <v/>
      </c>
      <c r="BH1343" s="321" t="str">
        <f t="shared" si="88"/>
        <v/>
      </c>
    </row>
    <row r="1344" spans="2:60" ht="30" hidden="1" customHeight="1">
      <c r="B1344" s="197"/>
      <c r="AK1344" s="313"/>
      <c r="AL1344" s="313"/>
      <c r="AM1344" s="313"/>
      <c r="AN1344" s="313"/>
      <c r="AO1344" s="313"/>
      <c r="AP1344" s="313"/>
      <c r="AQ1344" s="314"/>
      <c r="AR1344" s="315" t="str">
        <f t="shared" si="89"/>
        <v/>
      </c>
      <c r="BH1344" s="321" t="str">
        <f t="shared" si="88"/>
        <v/>
      </c>
    </row>
    <row r="1345" spans="2:60" ht="30" hidden="1" customHeight="1">
      <c r="B1345" s="197"/>
      <c r="AK1345" s="313"/>
      <c r="AL1345" s="313"/>
      <c r="AM1345" s="313"/>
      <c r="AN1345" s="313"/>
      <c r="AO1345" s="313"/>
      <c r="AP1345" s="313"/>
      <c r="AQ1345" s="314"/>
      <c r="AR1345" s="315" t="str">
        <f t="shared" si="89"/>
        <v/>
      </c>
      <c r="BH1345" s="321" t="str">
        <f t="shared" si="88"/>
        <v/>
      </c>
    </row>
    <row r="1346" spans="2:60" ht="30" hidden="1" customHeight="1">
      <c r="B1346" s="197"/>
      <c r="AK1346" s="313"/>
      <c r="AL1346" s="313"/>
      <c r="AM1346" s="313"/>
      <c r="AN1346" s="313"/>
      <c r="AO1346" s="313"/>
      <c r="AP1346" s="313"/>
      <c r="AQ1346" s="314"/>
      <c r="AR1346" s="315" t="str">
        <f t="shared" si="89"/>
        <v/>
      </c>
      <c r="BH1346" s="321" t="str">
        <f t="shared" si="88"/>
        <v/>
      </c>
    </row>
    <row r="1347" spans="2:60" ht="30" hidden="1" customHeight="1">
      <c r="B1347" s="197"/>
      <c r="AK1347" s="313"/>
      <c r="AL1347" s="313"/>
      <c r="AM1347" s="313"/>
      <c r="AN1347" s="313"/>
      <c r="AO1347" s="313"/>
      <c r="AP1347" s="313"/>
      <c r="AQ1347" s="314"/>
      <c r="AR1347" s="315" t="str">
        <f t="shared" si="89"/>
        <v/>
      </c>
      <c r="BH1347" s="321" t="str">
        <f t="shared" si="88"/>
        <v/>
      </c>
    </row>
    <row r="1348" spans="2:60" ht="30" hidden="1" customHeight="1">
      <c r="B1348" s="197"/>
      <c r="AK1348" s="313"/>
      <c r="AL1348" s="313"/>
      <c r="AM1348" s="313"/>
      <c r="AN1348" s="313"/>
      <c r="AO1348" s="313"/>
      <c r="AP1348" s="313"/>
      <c r="AQ1348" s="314"/>
      <c r="AR1348" s="315" t="str">
        <f t="shared" si="89"/>
        <v/>
      </c>
      <c r="BH1348" s="321" t="str">
        <f t="shared" si="88"/>
        <v/>
      </c>
    </row>
    <row r="1349" spans="2:60" ht="30" hidden="1" customHeight="1">
      <c r="B1349" s="197"/>
      <c r="AK1349" s="313"/>
      <c r="AL1349" s="313"/>
      <c r="AM1349" s="313"/>
      <c r="AN1349" s="313"/>
      <c r="AO1349" s="313"/>
      <c r="AP1349" s="313"/>
      <c r="AQ1349" s="314"/>
      <c r="AR1349" s="315" t="str">
        <f t="shared" si="89"/>
        <v/>
      </c>
      <c r="BH1349" s="321" t="str">
        <f t="shared" si="88"/>
        <v/>
      </c>
    </row>
    <row r="1350" spans="2:60" ht="30" hidden="1" customHeight="1">
      <c r="B1350" s="197"/>
      <c r="AK1350" s="313"/>
      <c r="AL1350" s="313"/>
      <c r="AM1350" s="313"/>
      <c r="AN1350" s="313"/>
      <c r="AO1350" s="313"/>
      <c r="AP1350" s="313"/>
      <c r="AQ1350" s="314"/>
      <c r="AR1350" s="315" t="str">
        <f t="shared" si="89"/>
        <v/>
      </c>
      <c r="BH1350" s="321" t="str">
        <f t="shared" si="88"/>
        <v/>
      </c>
    </row>
    <row r="1351" spans="2:60" ht="30" hidden="1" customHeight="1">
      <c r="B1351" s="197"/>
      <c r="AK1351" s="313"/>
      <c r="AL1351" s="313"/>
      <c r="AM1351" s="313"/>
      <c r="AN1351" s="313"/>
      <c r="AO1351" s="313"/>
      <c r="AP1351" s="313"/>
      <c r="AQ1351" s="314"/>
      <c r="AR1351" s="315" t="str">
        <f t="shared" si="89"/>
        <v/>
      </c>
      <c r="BH1351" s="321" t="str">
        <f t="shared" si="88"/>
        <v/>
      </c>
    </row>
    <row r="1352" spans="2:60" ht="30" hidden="1" customHeight="1">
      <c r="B1352" s="197"/>
      <c r="AK1352" s="313"/>
      <c r="AL1352" s="313"/>
      <c r="AM1352" s="313"/>
      <c r="AN1352" s="313"/>
      <c r="AO1352" s="313"/>
      <c r="AP1352" s="313"/>
      <c r="AQ1352" s="314"/>
      <c r="AR1352" s="315" t="str">
        <f t="shared" si="89"/>
        <v/>
      </c>
      <c r="BH1352" s="321" t="str">
        <f t="shared" si="88"/>
        <v/>
      </c>
    </row>
    <row r="1353" spans="2:60" ht="30" hidden="1" customHeight="1">
      <c r="B1353" s="197"/>
      <c r="AK1353" s="313"/>
      <c r="AL1353" s="313"/>
      <c r="AM1353" s="313"/>
      <c r="AN1353" s="313"/>
      <c r="AO1353" s="313"/>
      <c r="AP1353" s="313"/>
      <c r="AQ1353" s="314"/>
      <c r="AR1353" s="315" t="str">
        <f t="shared" si="89"/>
        <v/>
      </c>
      <c r="BH1353" s="321" t="str">
        <f t="shared" si="88"/>
        <v/>
      </c>
    </row>
    <row r="1354" spans="2:60" ht="30" hidden="1" customHeight="1">
      <c r="B1354" s="197"/>
      <c r="AK1354" s="313"/>
      <c r="AL1354" s="313"/>
      <c r="AM1354" s="313"/>
      <c r="AN1354" s="313"/>
      <c r="AO1354" s="313"/>
      <c r="AP1354" s="313"/>
      <c r="AQ1354" s="314"/>
      <c r="AR1354" s="315" t="str">
        <f t="shared" si="89"/>
        <v/>
      </c>
      <c r="BH1354" s="321" t="str">
        <f t="shared" si="88"/>
        <v/>
      </c>
    </row>
    <row r="1355" spans="2:60" ht="30" hidden="1" customHeight="1">
      <c r="B1355" s="197"/>
      <c r="AK1355" s="313"/>
      <c r="AL1355" s="313"/>
      <c r="AM1355" s="313"/>
      <c r="AN1355" s="313"/>
      <c r="AO1355" s="313"/>
      <c r="AP1355" s="313"/>
      <c r="AQ1355" s="314"/>
      <c r="AR1355" s="315" t="str">
        <f t="shared" si="89"/>
        <v/>
      </c>
      <c r="BH1355" s="321" t="str">
        <f t="shared" si="88"/>
        <v/>
      </c>
    </row>
    <row r="1356" spans="2:60" ht="30" hidden="1" customHeight="1">
      <c r="B1356" s="197"/>
      <c r="AK1356" s="313"/>
      <c r="AL1356" s="313"/>
      <c r="AM1356" s="313"/>
      <c r="AN1356" s="313"/>
      <c r="AO1356" s="313"/>
      <c r="AP1356" s="313"/>
      <c r="AQ1356" s="314"/>
      <c r="AR1356" s="315" t="str">
        <f t="shared" si="89"/>
        <v/>
      </c>
      <c r="BH1356" s="321" t="str">
        <f t="shared" si="88"/>
        <v/>
      </c>
    </row>
    <row r="1357" spans="2:60" ht="30" hidden="1" customHeight="1">
      <c r="B1357" s="197"/>
      <c r="AK1357" s="313"/>
      <c r="AL1357" s="313"/>
      <c r="AM1357" s="313"/>
      <c r="AN1357" s="313"/>
      <c r="AO1357" s="313"/>
      <c r="AP1357" s="313"/>
      <c r="AQ1357" s="314"/>
      <c r="AR1357" s="315" t="str">
        <f t="shared" si="89"/>
        <v/>
      </c>
      <c r="BH1357" s="321" t="str">
        <f t="shared" si="88"/>
        <v/>
      </c>
    </row>
    <row r="1358" spans="2:60" ht="30" hidden="1" customHeight="1">
      <c r="B1358" s="197"/>
      <c r="AK1358" s="313"/>
      <c r="AL1358" s="313"/>
      <c r="AM1358" s="313"/>
      <c r="AN1358" s="313"/>
      <c r="AO1358" s="313"/>
      <c r="AP1358" s="313"/>
      <c r="AQ1358" s="314"/>
      <c r="AR1358" s="315" t="str">
        <f t="shared" si="89"/>
        <v/>
      </c>
      <c r="BH1358" s="321" t="str">
        <f t="shared" si="88"/>
        <v/>
      </c>
    </row>
    <row r="1359" spans="2:60" ht="30" hidden="1" customHeight="1">
      <c r="B1359" s="197"/>
      <c r="AK1359" s="313"/>
      <c r="AL1359" s="313"/>
      <c r="AM1359" s="313"/>
      <c r="AN1359" s="313"/>
      <c r="AO1359" s="313"/>
      <c r="AP1359" s="313"/>
      <c r="AQ1359" s="314"/>
      <c r="AR1359" s="315" t="str">
        <f t="shared" si="89"/>
        <v/>
      </c>
      <c r="BH1359" s="321" t="str">
        <f t="shared" si="88"/>
        <v/>
      </c>
    </row>
    <row r="1360" spans="2:60" ht="30" hidden="1" customHeight="1">
      <c r="B1360" s="197"/>
      <c r="AK1360" s="313"/>
      <c r="AL1360" s="313"/>
      <c r="AM1360" s="313"/>
      <c r="AN1360" s="313"/>
      <c r="AO1360" s="313"/>
      <c r="AP1360" s="313"/>
      <c r="AQ1360" s="314"/>
      <c r="AR1360" s="315" t="str">
        <f t="shared" si="89"/>
        <v/>
      </c>
      <c r="BH1360" s="321" t="str">
        <f t="shared" si="88"/>
        <v/>
      </c>
    </row>
    <row r="1361" spans="2:60" ht="30" hidden="1" customHeight="1">
      <c r="B1361" s="197"/>
      <c r="AK1361" s="313"/>
      <c r="AL1361" s="313"/>
      <c r="AM1361" s="313"/>
      <c r="AN1361" s="313"/>
      <c r="AO1361" s="313"/>
      <c r="AP1361" s="313"/>
      <c r="AQ1361" s="314"/>
      <c r="AR1361" s="315" t="str">
        <f t="shared" si="89"/>
        <v/>
      </c>
      <c r="BH1361" s="321" t="str">
        <f t="shared" si="88"/>
        <v/>
      </c>
    </row>
    <row r="1362" spans="2:60" ht="30" hidden="1" customHeight="1">
      <c r="B1362" s="197"/>
      <c r="AK1362" s="313"/>
      <c r="AL1362" s="313"/>
      <c r="AM1362" s="313"/>
      <c r="AN1362" s="313"/>
      <c r="AO1362" s="313"/>
      <c r="AP1362" s="313"/>
      <c r="AQ1362" s="314"/>
      <c r="AR1362" s="315" t="str">
        <f t="shared" si="89"/>
        <v/>
      </c>
      <c r="BH1362" s="321" t="str">
        <f t="shared" si="88"/>
        <v/>
      </c>
    </row>
    <row r="1363" spans="2:60" ht="30" hidden="1" customHeight="1">
      <c r="B1363" s="197"/>
      <c r="AK1363" s="313"/>
      <c r="AL1363" s="313"/>
      <c r="AM1363" s="313"/>
      <c r="AN1363" s="313"/>
      <c r="AO1363" s="313"/>
      <c r="AP1363" s="313"/>
      <c r="AQ1363" s="314"/>
      <c r="AR1363" s="315" t="str">
        <f t="shared" si="89"/>
        <v/>
      </c>
      <c r="BH1363" s="321" t="str">
        <f t="shared" si="88"/>
        <v/>
      </c>
    </row>
    <row r="1364" spans="2:60" ht="30" hidden="1" customHeight="1">
      <c r="B1364" s="197"/>
      <c r="AK1364" s="313"/>
      <c r="AL1364" s="313"/>
      <c r="AM1364" s="313"/>
      <c r="AN1364" s="313"/>
      <c r="AO1364" s="313"/>
      <c r="AP1364" s="313"/>
      <c r="AQ1364" s="314"/>
      <c r="AR1364" s="315" t="str">
        <f t="shared" si="89"/>
        <v/>
      </c>
      <c r="BH1364" s="321" t="str">
        <f t="shared" si="88"/>
        <v/>
      </c>
    </row>
    <row r="1365" spans="2:60" ht="30" hidden="1" customHeight="1">
      <c r="B1365" s="197"/>
      <c r="AK1365" s="313"/>
      <c r="AL1365" s="313"/>
      <c r="AM1365" s="313"/>
      <c r="AN1365" s="313"/>
      <c r="AO1365" s="313"/>
      <c r="AP1365" s="313"/>
      <c r="AQ1365" s="314"/>
      <c r="AR1365" s="315" t="str">
        <f t="shared" si="89"/>
        <v/>
      </c>
      <c r="BH1365" s="321" t="str">
        <f t="shared" si="88"/>
        <v/>
      </c>
    </row>
    <row r="1366" spans="2:60" ht="30" hidden="1" customHeight="1">
      <c r="B1366" s="197"/>
      <c r="AK1366" s="313"/>
      <c r="AL1366" s="313"/>
      <c r="AM1366" s="313"/>
      <c r="AN1366" s="313"/>
      <c r="AO1366" s="313"/>
      <c r="AP1366" s="313"/>
      <c r="AQ1366" s="314"/>
      <c r="AR1366" s="315" t="str">
        <f t="shared" si="89"/>
        <v/>
      </c>
      <c r="BH1366" s="321" t="str">
        <f t="shared" si="88"/>
        <v/>
      </c>
    </row>
    <row r="1367" spans="2:60" ht="30" hidden="1" customHeight="1">
      <c r="B1367" s="197"/>
      <c r="AK1367" s="313"/>
      <c r="AL1367" s="313"/>
      <c r="AM1367" s="313"/>
      <c r="AN1367" s="313"/>
      <c r="AO1367" s="313"/>
      <c r="AP1367" s="313"/>
      <c r="AQ1367" s="314"/>
      <c r="AR1367" s="315" t="str">
        <f t="shared" si="89"/>
        <v/>
      </c>
      <c r="BH1367" s="321" t="str">
        <f t="shared" si="88"/>
        <v/>
      </c>
    </row>
    <row r="1368" spans="2:60" ht="30" hidden="1" customHeight="1">
      <c r="B1368" s="197"/>
      <c r="AK1368" s="313"/>
      <c r="AL1368" s="313"/>
      <c r="AM1368" s="313"/>
      <c r="AN1368" s="313"/>
      <c r="AO1368" s="313"/>
      <c r="AP1368" s="313"/>
      <c r="AQ1368" s="314"/>
      <c r="AR1368" s="315" t="str">
        <f t="shared" si="89"/>
        <v/>
      </c>
      <c r="BH1368" s="321" t="str">
        <f t="shared" si="88"/>
        <v/>
      </c>
    </row>
    <row r="1369" spans="2:60" ht="30" hidden="1" customHeight="1">
      <c r="B1369" s="197"/>
      <c r="AK1369" s="313"/>
      <c r="AL1369" s="313"/>
      <c r="AM1369" s="313"/>
      <c r="AN1369" s="313"/>
      <c r="AO1369" s="313"/>
      <c r="AP1369" s="313"/>
      <c r="AQ1369" s="314"/>
      <c r="AR1369" s="315" t="str">
        <f t="shared" si="89"/>
        <v/>
      </c>
      <c r="BH1369" s="321" t="str">
        <f t="shared" si="88"/>
        <v/>
      </c>
    </row>
    <row r="1370" spans="2:60" ht="30" hidden="1" customHeight="1">
      <c r="B1370" s="197"/>
      <c r="AK1370" s="313"/>
      <c r="AL1370" s="313"/>
      <c r="AM1370" s="313"/>
      <c r="AN1370" s="313"/>
      <c r="AO1370" s="313"/>
      <c r="AP1370" s="313"/>
      <c r="AQ1370" s="314"/>
      <c r="AR1370" s="315" t="str">
        <f t="shared" si="89"/>
        <v/>
      </c>
      <c r="BH1370" s="321" t="str">
        <f t="shared" si="88"/>
        <v/>
      </c>
    </row>
    <row r="1371" spans="2:60" ht="30" hidden="1" customHeight="1">
      <c r="B1371" s="197"/>
      <c r="AK1371" s="313"/>
      <c r="AL1371" s="313"/>
      <c r="AM1371" s="313"/>
      <c r="AN1371" s="313"/>
      <c r="AO1371" s="313"/>
      <c r="AP1371" s="313"/>
      <c r="AQ1371" s="314"/>
      <c r="AR1371" s="315" t="str">
        <f t="shared" si="89"/>
        <v/>
      </c>
      <c r="BH1371" s="321" t="str">
        <f t="shared" si="88"/>
        <v/>
      </c>
    </row>
    <row r="1372" spans="2:60" ht="30" hidden="1" customHeight="1">
      <c r="B1372" s="197"/>
      <c r="AK1372" s="313"/>
      <c r="AL1372" s="313"/>
      <c r="AM1372" s="313"/>
      <c r="AN1372" s="313"/>
      <c r="AO1372" s="313"/>
      <c r="AP1372" s="313"/>
      <c r="AQ1372" s="314"/>
      <c r="AR1372" s="315" t="str">
        <f t="shared" si="89"/>
        <v/>
      </c>
      <c r="BH1372" s="321" t="str">
        <f t="shared" si="88"/>
        <v/>
      </c>
    </row>
    <row r="1373" spans="2:60" ht="30" hidden="1" customHeight="1">
      <c r="B1373" s="197"/>
      <c r="AK1373" s="313"/>
      <c r="AL1373" s="313"/>
      <c r="AM1373" s="313"/>
      <c r="AN1373" s="313"/>
      <c r="AO1373" s="313"/>
      <c r="AP1373" s="313"/>
      <c r="AQ1373" s="314"/>
      <c r="AR1373" s="315" t="str">
        <f t="shared" si="89"/>
        <v/>
      </c>
      <c r="BH1373" s="321" t="str">
        <f t="shared" si="88"/>
        <v/>
      </c>
    </row>
    <row r="1374" spans="2:60" ht="30" hidden="1" customHeight="1">
      <c r="B1374" s="197"/>
      <c r="AK1374" s="313"/>
      <c r="AL1374" s="313"/>
      <c r="AM1374" s="313"/>
      <c r="AN1374" s="313"/>
      <c r="AO1374" s="313"/>
      <c r="AP1374" s="313"/>
      <c r="AQ1374" s="314"/>
      <c r="AR1374" s="315" t="str">
        <f t="shared" si="89"/>
        <v/>
      </c>
      <c r="BH1374" s="321" t="str">
        <f t="shared" si="88"/>
        <v/>
      </c>
    </row>
    <row r="1375" spans="2:60" ht="30" hidden="1" customHeight="1">
      <c r="B1375" s="197"/>
      <c r="AK1375" s="313"/>
      <c r="AL1375" s="313"/>
      <c r="AM1375" s="313"/>
      <c r="AN1375" s="313"/>
      <c r="AO1375" s="313"/>
      <c r="AP1375" s="313"/>
      <c r="AQ1375" s="314"/>
      <c r="AR1375" s="315" t="str">
        <f t="shared" si="89"/>
        <v/>
      </c>
      <c r="BH1375" s="321" t="str">
        <f t="shared" si="88"/>
        <v/>
      </c>
    </row>
    <row r="1376" spans="2:60" ht="30" hidden="1" customHeight="1">
      <c r="B1376" s="197"/>
      <c r="AK1376" s="313"/>
      <c r="AL1376" s="313"/>
      <c r="AM1376" s="313"/>
      <c r="AN1376" s="313"/>
      <c r="AO1376" s="313"/>
      <c r="AP1376" s="313"/>
      <c r="AQ1376" s="314"/>
      <c r="AR1376" s="315" t="str">
        <f t="shared" si="89"/>
        <v/>
      </c>
      <c r="BH1376" s="321" t="str">
        <f t="shared" si="88"/>
        <v/>
      </c>
    </row>
    <row r="1377" spans="2:60" ht="30" hidden="1" customHeight="1">
      <c r="B1377" s="197"/>
      <c r="AK1377" s="313"/>
      <c r="AL1377" s="313"/>
      <c r="AM1377" s="313"/>
      <c r="AN1377" s="313"/>
      <c r="AO1377" s="313"/>
      <c r="AP1377" s="313"/>
      <c r="AQ1377" s="314"/>
      <c r="AR1377" s="315" t="str">
        <f t="shared" si="89"/>
        <v/>
      </c>
      <c r="BH1377" s="321" t="str">
        <f t="shared" si="88"/>
        <v/>
      </c>
    </row>
    <row r="1378" spans="2:60" ht="30" hidden="1" customHeight="1">
      <c r="B1378" s="197"/>
      <c r="AK1378" s="313"/>
      <c r="AL1378" s="313"/>
      <c r="AM1378" s="313"/>
      <c r="AN1378" s="313"/>
      <c r="AO1378" s="313"/>
      <c r="AP1378" s="313"/>
      <c r="AQ1378" s="314"/>
      <c r="AR1378" s="315" t="str">
        <f t="shared" si="89"/>
        <v/>
      </c>
      <c r="BH1378" s="321" t="str">
        <f t="shared" si="88"/>
        <v/>
      </c>
    </row>
    <row r="1379" spans="2:60" ht="30" hidden="1" customHeight="1">
      <c r="B1379" s="197"/>
      <c r="AK1379" s="313"/>
      <c r="AL1379" s="313"/>
      <c r="AM1379" s="313"/>
      <c r="AN1379" s="313"/>
      <c r="AO1379" s="313"/>
      <c r="AP1379" s="313"/>
      <c r="AQ1379" s="314"/>
      <c r="AR1379" s="315" t="str">
        <f t="shared" si="89"/>
        <v/>
      </c>
      <c r="BH1379" s="321" t="str">
        <f t="shared" si="88"/>
        <v/>
      </c>
    </row>
    <row r="1380" spans="2:60" ht="30" hidden="1" customHeight="1">
      <c r="B1380" s="197"/>
      <c r="AK1380" s="313"/>
      <c r="AL1380" s="313"/>
      <c r="AM1380" s="313"/>
      <c r="AN1380" s="313"/>
      <c r="AO1380" s="313"/>
      <c r="AP1380" s="313"/>
      <c r="AQ1380" s="314"/>
      <c r="AR1380" s="315" t="str">
        <f t="shared" si="89"/>
        <v/>
      </c>
      <c r="BH1380" s="321" t="str">
        <f t="shared" si="88"/>
        <v/>
      </c>
    </row>
    <row r="1381" spans="2:60" ht="30" hidden="1" customHeight="1">
      <c r="B1381" s="197"/>
      <c r="AK1381" s="313"/>
      <c r="AL1381" s="313"/>
      <c r="AM1381" s="313"/>
      <c r="AN1381" s="313"/>
      <c r="AO1381" s="313"/>
      <c r="AP1381" s="313"/>
      <c r="AQ1381" s="314"/>
      <c r="AR1381" s="315" t="str">
        <f t="shared" si="89"/>
        <v/>
      </c>
      <c r="BH1381" s="321" t="str">
        <f t="shared" si="88"/>
        <v/>
      </c>
    </row>
    <row r="1382" spans="2:60" ht="30" hidden="1" customHeight="1">
      <c r="B1382" s="197"/>
      <c r="AK1382" s="313"/>
      <c r="AL1382" s="313"/>
      <c r="AM1382" s="313"/>
      <c r="AN1382" s="313"/>
      <c r="AO1382" s="313"/>
      <c r="AP1382" s="313"/>
      <c r="AQ1382" s="314"/>
      <c r="AR1382" s="315" t="str">
        <f t="shared" si="89"/>
        <v/>
      </c>
      <c r="BH1382" s="321" t="str">
        <f t="shared" si="88"/>
        <v/>
      </c>
    </row>
    <row r="1383" spans="2:60" ht="30" hidden="1" customHeight="1">
      <c r="B1383" s="197"/>
      <c r="AK1383" s="313"/>
      <c r="AL1383" s="313"/>
      <c r="AM1383" s="313"/>
      <c r="AN1383" s="313"/>
      <c r="AO1383" s="313"/>
      <c r="AP1383" s="313"/>
      <c r="AQ1383" s="314"/>
      <c r="AR1383" s="315" t="str">
        <f t="shared" si="89"/>
        <v/>
      </c>
      <c r="BH1383" s="321" t="str">
        <f t="shared" si="88"/>
        <v/>
      </c>
    </row>
    <row r="1384" spans="2:60" ht="30" hidden="1" customHeight="1">
      <c r="B1384" s="197"/>
      <c r="AK1384" s="313"/>
      <c r="AL1384" s="313"/>
      <c r="AM1384" s="313"/>
      <c r="AN1384" s="313"/>
      <c r="AO1384" s="313"/>
      <c r="AP1384" s="313"/>
      <c r="AQ1384" s="314"/>
      <c r="AR1384" s="315" t="str">
        <f t="shared" si="89"/>
        <v/>
      </c>
      <c r="BH1384" s="321" t="str">
        <f t="shared" si="88"/>
        <v/>
      </c>
    </row>
    <row r="1385" spans="2:60" ht="30" hidden="1" customHeight="1">
      <c r="B1385" s="197"/>
      <c r="AK1385" s="313"/>
      <c r="AL1385" s="313"/>
      <c r="AM1385" s="313"/>
      <c r="AN1385" s="313"/>
      <c r="AO1385" s="313"/>
      <c r="AP1385" s="313"/>
      <c r="AQ1385" s="314"/>
      <c r="AR1385" s="315" t="str">
        <f t="shared" si="89"/>
        <v/>
      </c>
      <c r="BH1385" s="321" t="str">
        <f t="shared" si="88"/>
        <v/>
      </c>
    </row>
    <row r="1386" spans="2:60" ht="30" hidden="1" customHeight="1">
      <c r="B1386" s="197"/>
      <c r="AK1386" s="313"/>
      <c r="AL1386" s="313"/>
      <c r="AM1386" s="313"/>
      <c r="AN1386" s="313"/>
      <c r="AO1386" s="313"/>
      <c r="AP1386" s="313"/>
      <c r="AQ1386" s="314"/>
      <c r="AR1386" s="315" t="str">
        <f t="shared" si="89"/>
        <v/>
      </c>
      <c r="BH1386" s="321" t="str">
        <f t="shared" si="88"/>
        <v/>
      </c>
    </row>
    <row r="1387" spans="2:60" ht="30" hidden="1" customHeight="1">
      <c r="B1387" s="197"/>
      <c r="AK1387" s="313"/>
      <c r="AL1387" s="313"/>
      <c r="AM1387" s="313"/>
      <c r="AN1387" s="313"/>
      <c r="AO1387" s="313"/>
      <c r="AP1387" s="313"/>
      <c r="AQ1387" s="314"/>
      <c r="AR1387" s="315" t="str">
        <f t="shared" si="89"/>
        <v/>
      </c>
      <c r="BH1387" s="321" t="str">
        <f t="shared" si="88"/>
        <v/>
      </c>
    </row>
    <row r="1388" spans="2:60" ht="30" hidden="1" customHeight="1">
      <c r="B1388" s="197"/>
      <c r="AK1388" s="313"/>
      <c r="AL1388" s="313"/>
      <c r="AM1388" s="313"/>
      <c r="AN1388" s="313"/>
      <c r="AO1388" s="313"/>
      <c r="AP1388" s="313"/>
      <c r="AQ1388" s="314"/>
      <c r="AR1388" s="315" t="str">
        <f t="shared" si="89"/>
        <v/>
      </c>
      <c r="BH1388" s="321" t="str">
        <f t="shared" si="88"/>
        <v/>
      </c>
    </row>
    <row r="1389" spans="2:60" ht="30" hidden="1" customHeight="1">
      <c r="B1389" s="197"/>
      <c r="AK1389" s="313"/>
      <c r="AL1389" s="313"/>
      <c r="AM1389" s="313"/>
      <c r="AN1389" s="313"/>
      <c r="AO1389" s="313"/>
      <c r="AP1389" s="313"/>
      <c r="AQ1389" s="314"/>
      <c r="AR1389" s="315" t="str">
        <f t="shared" si="89"/>
        <v/>
      </c>
      <c r="BH1389" s="321" t="str">
        <f t="shared" ref="BH1389:BH1452" si="90">IF(BD1389-KI1389=0,"",BD1389-AK1389)</f>
        <v/>
      </c>
    </row>
    <row r="1390" spans="2:60" ht="30" hidden="1" customHeight="1">
      <c r="B1390" s="197"/>
      <c r="AK1390" s="313"/>
      <c r="AL1390" s="313"/>
      <c r="AM1390" s="313"/>
      <c r="AN1390" s="313"/>
      <c r="AO1390" s="313"/>
      <c r="AP1390" s="313"/>
      <c r="AQ1390" s="314"/>
      <c r="AR1390" s="315" t="str">
        <f t="shared" si="89"/>
        <v/>
      </c>
      <c r="BH1390" s="321" t="str">
        <f t="shared" si="90"/>
        <v/>
      </c>
    </row>
    <row r="1391" spans="2:60" ht="30" hidden="1" customHeight="1">
      <c r="B1391" s="197"/>
      <c r="AK1391" s="313"/>
      <c r="AL1391" s="313"/>
      <c r="AM1391" s="313"/>
      <c r="AN1391" s="313"/>
      <c r="AO1391" s="313"/>
      <c r="AP1391" s="313"/>
      <c r="AQ1391" s="314"/>
      <c r="AR1391" s="315" t="str">
        <f t="shared" si="89"/>
        <v/>
      </c>
      <c r="BH1391" s="321" t="str">
        <f t="shared" si="90"/>
        <v/>
      </c>
    </row>
    <row r="1392" spans="2:60" ht="30" hidden="1" customHeight="1">
      <c r="B1392" s="197"/>
      <c r="AK1392" s="313"/>
      <c r="AL1392" s="313"/>
      <c r="AM1392" s="313"/>
      <c r="AN1392" s="313"/>
      <c r="AO1392" s="313"/>
      <c r="AP1392" s="313"/>
      <c r="AQ1392" s="314"/>
      <c r="AR1392" s="315" t="str">
        <f t="shared" si="89"/>
        <v/>
      </c>
      <c r="BH1392" s="321" t="str">
        <f t="shared" si="90"/>
        <v/>
      </c>
    </row>
    <row r="1393" spans="2:60" ht="30" hidden="1" customHeight="1">
      <c r="B1393" s="197"/>
      <c r="AK1393" s="313"/>
      <c r="AL1393" s="313"/>
      <c r="AM1393" s="313"/>
      <c r="AN1393" s="313"/>
      <c r="AO1393" s="313"/>
      <c r="AP1393" s="313"/>
      <c r="AQ1393" s="314"/>
      <c r="AR1393" s="315" t="str">
        <f t="shared" si="89"/>
        <v/>
      </c>
      <c r="BH1393" s="321" t="str">
        <f t="shared" si="90"/>
        <v/>
      </c>
    </row>
    <row r="1394" spans="2:60" ht="30" hidden="1" customHeight="1">
      <c r="B1394" s="197"/>
      <c r="AK1394" s="313"/>
      <c r="AL1394" s="313"/>
      <c r="AM1394" s="313"/>
      <c r="AN1394" s="313"/>
      <c r="AO1394" s="313"/>
      <c r="AP1394" s="313"/>
      <c r="AQ1394" s="314"/>
      <c r="AR1394" s="315" t="str">
        <f t="shared" si="89"/>
        <v/>
      </c>
      <c r="BH1394" s="321" t="str">
        <f t="shared" si="90"/>
        <v/>
      </c>
    </row>
    <row r="1395" spans="2:60" ht="30" hidden="1" customHeight="1">
      <c r="B1395" s="197"/>
      <c r="AK1395" s="313"/>
      <c r="AL1395" s="313"/>
      <c r="AM1395" s="313"/>
      <c r="AN1395" s="313"/>
      <c r="AO1395" s="313"/>
      <c r="AP1395" s="313"/>
      <c r="AQ1395" s="314"/>
      <c r="AR1395" s="315" t="str">
        <f t="shared" si="89"/>
        <v/>
      </c>
      <c r="BH1395" s="321" t="str">
        <f t="shared" si="90"/>
        <v/>
      </c>
    </row>
    <row r="1396" spans="2:60" ht="30" hidden="1" customHeight="1">
      <c r="B1396" s="197"/>
      <c r="AK1396" s="313"/>
      <c r="AL1396" s="313"/>
      <c r="AM1396" s="313"/>
      <c r="AN1396" s="313"/>
      <c r="AO1396" s="313"/>
      <c r="AP1396" s="313"/>
      <c r="AQ1396" s="314"/>
      <c r="AR1396" s="315" t="str">
        <f t="shared" si="89"/>
        <v/>
      </c>
      <c r="BH1396" s="321" t="str">
        <f t="shared" si="90"/>
        <v/>
      </c>
    </row>
    <row r="1397" spans="2:60" ht="30" hidden="1" customHeight="1">
      <c r="B1397" s="197"/>
      <c r="AK1397" s="313"/>
      <c r="AL1397" s="313"/>
      <c r="AM1397" s="313"/>
      <c r="AN1397" s="313"/>
      <c r="AO1397" s="313"/>
      <c r="AP1397" s="313"/>
      <c r="AQ1397" s="314"/>
      <c r="AR1397" s="315" t="str">
        <f t="shared" si="89"/>
        <v/>
      </c>
      <c r="BH1397" s="321" t="str">
        <f t="shared" si="90"/>
        <v/>
      </c>
    </row>
    <row r="1398" spans="2:60" ht="30" hidden="1" customHeight="1">
      <c r="B1398" s="197"/>
      <c r="AK1398" s="313"/>
      <c r="AL1398" s="313"/>
      <c r="AM1398" s="313"/>
      <c r="AN1398" s="313"/>
      <c r="AO1398" s="313"/>
      <c r="AP1398" s="313"/>
      <c r="AQ1398" s="314"/>
      <c r="AR1398" s="315" t="str">
        <f t="shared" si="89"/>
        <v/>
      </c>
      <c r="BH1398" s="321" t="str">
        <f t="shared" si="90"/>
        <v/>
      </c>
    </row>
    <row r="1399" spans="2:60" ht="30" hidden="1" customHeight="1">
      <c r="B1399" s="197"/>
      <c r="AK1399" s="313"/>
      <c r="AL1399" s="313"/>
      <c r="AM1399" s="313"/>
      <c r="AN1399" s="313"/>
      <c r="AO1399" s="313"/>
      <c r="AP1399" s="313"/>
      <c r="AQ1399" s="314"/>
      <c r="AR1399" s="315" t="str">
        <f t="shared" si="89"/>
        <v/>
      </c>
      <c r="BH1399" s="321" t="str">
        <f t="shared" si="90"/>
        <v/>
      </c>
    </row>
    <row r="1400" spans="2:60" ht="30" hidden="1" customHeight="1">
      <c r="B1400" s="197"/>
      <c r="AK1400" s="313"/>
      <c r="AL1400" s="313"/>
      <c r="AM1400" s="313"/>
      <c r="AN1400" s="313"/>
      <c r="AO1400" s="313"/>
      <c r="AP1400" s="313"/>
      <c r="AQ1400" s="314"/>
      <c r="AR1400" s="315" t="str">
        <f t="shared" si="89"/>
        <v/>
      </c>
      <c r="BH1400" s="321" t="str">
        <f t="shared" si="90"/>
        <v/>
      </c>
    </row>
    <row r="1401" spans="2:60" ht="30" hidden="1" customHeight="1">
      <c r="B1401" s="197"/>
      <c r="AK1401" s="313"/>
      <c r="AL1401" s="313"/>
      <c r="AM1401" s="313"/>
      <c r="AN1401" s="313"/>
      <c r="AO1401" s="313"/>
      <c r="AP1401" s="313"/>
      <c r="AQ1401" s="314"/>
      <c r="AR1401" s="315" t="str">
        <f t="shared" si="89"/>
        <v/>
      </c>
      <c r="BH1401" s="321" t="str">
        <f t="shared" si="90"/>
        <v/>
      </c>
    </row>
    <row r="1402" spans="2:60" ht="30" hidden="1" customHeight="1">
      <c r="B1402" s="197"/>
      <c r="AK1402" s="313"/>
      <c r="AL1402" s="313"/>
      <c r="AM1402" s="313"/>
      <c r="AN1402" s="313"/>
      <c r="AO1402" s="313"/>
      <c r="AP1402" s="313"/>
      <c r="AQ1402" s="314"/>
      <c r="AR1402" s="315" t="str">
        <f t="shared" si="89"/>
        <v/>
      </c>
      <c r="BH1402" s="321" t="str">
        <f t="shared" si="90"/>
        <v/>
      </c>
    </row>
    <row r="1403" spans="2:60" ht="30" hidden="1" customHeight="1">
      <c r="B1403" s="197"/>
      <c r="AK1403" s="313"/>
      <c r="AL1403" s="313"/>
      <c r="AM1403" s="313"/>
      <c r="AN1403" s="313"/>
      <c r="AO1403" s="313"/>
      <c r="AP1403" s="313"/>
      <c r="AQ1403" s="314"/>
      <c r="AR1403" s="315" t="str">
        <f t="shared" si="89"/>
        <v/>
      </c>
      <c r="BH1403" s="321" t="str">
        <f t="shared" si="90"/>
        <v/>
      </c>
    </row>
    <row r="1404" spans="2:60" ht="30" hidden="1" customHeight="1">
      <c r="B1404" s="197"/>
      <c r="AK1404" s="313"/>
      <c r="AL1404" s="313"/>
      <c r="AM1404" s="313"/>
      <c r="AN1404" s="313"/>
      <c r="AO1404" s="313"/>
      <c r="AP1404" s="313"/>
      <c r="AQ1404" s="314"/>
      <c r="AR1404" s="315" t="str">
        <f t="shared" si="89"/>
        <v/>
      </c>
      <c r="BH1404" s="321" t="str">
        <f t="shared" si="90"/>
        <v/>
      </c>
    </row>
    <row r="1405" spans="2:60" ht="30" hidden="1" customHeight="1">
      <c r="B1405" s="197"/>
      <c r="AK1405" s="313"/>
      <c r="AL1405" s="313"/>
      <c r="AM1405" s="313"/>
      <c r="AN1405" s="313"/>
      <c r="AO1405" s="313"/>
      <c r="AP1405" s="313"/>
      <c r="AQ1405" s="314"/>
      <c r="AR1405" s="315" t="str">
        <f t="shared" si="89"/>
        <v/>
      </c>
      <c r="BH1405" s="321" t="str">
        <f t="shared" si="90"/>
        <v/>
      </c>
    </row>
    <row r="1406" spans="2:60" ht="30" hidden="1" customHeight="1">
      <c r="B1406" s="197"/>
      <c r="AK1406" s="313"/>
      <c r="AL1406" s="313"/>
      <c r="AM1406" s="313"/>
      <c r="AN1406" s="313"/>
      <c r="AO1406" s="313"/>
      <c r="AP1406" s="313"/>
      <c r="AQ1406" s="314"/>
      <c r="AR1406" s="315" t="str">
        <f t="shared" si="89"/>
        <v/>
      </c>
      <c r="BH1406" s="321" t="str">
        <f t="shared" si="90"/>
        <v/>
      </c>
    </row>
    <row r="1407" spans="2:60" ht="30" hidden="1" customHeight="1">
      <c r="B1407" s="197"/>
      <c r="AK1407" s="313"/>
      <c r="AL1407" s="313"/>
      <c r="AM1407" s="313"/>
      <c r="AN1407" s="313"/>
      <c r="AO1407" s="313"/>
      <c r="AP1407" s="313"/>
      <c r="AQ1407" s="314"/>
      <c r="AR1407" s="315" t="str">
        <f t="shared" ref="AR1407:AR1470" si="91">IF(AQ1407="SIM","AGUARDANDO CORREÇÃO",IF(AP1407&lt;&gt;"","FINALIZADO",IF(AO1407&lt;&gt;"","AGUARDANDO ENVIO DTS",IF(AN1407&lt;&gt;"","AGUARDANDO ASSINATURA GAB",IF(AM1407&lt;&gt;"","AGUARDANDO ASSINATURA CTS",IF(AL1407&lt;&gt;"","AGUARDANDO ENVIO ASSINATURA CTS",IF(AK1407&lt;&gt;"","AGUARDANDO CONFERÊNCIA","")))))))</f>
        <v/>
      </c>
      <c r="BH1407" s="321" t="str">
        <f t="shared" si="90"/>
        <v/>
      </c>
    </row>
    <row r="1408" spans="2:60" ht="30" hidden="1" customHeight="1">
      <c r="B1408" s="197"/>
      <c r="AK1408" s="313"/>
      <c r="AL1408" s="313"/>
      <c r="AM1408" s="313"/>
      <c r="AN1408" s="313"/>
      <c r="AO1408" s="313"/>
      <c r="AP1408" s="313"/>
      <c r="AQ1408" s="314"/>
      <c r="AR1408" s="315" t="str">
        <f t="shared" si="91"/>
        <v/>
      </c>
      <c r="BH1408" s="321" t="str">
        <f t="shared" si="90"/>
        <v/>
      </c>
    </row>
    <row r="1409" spans="2:60" ht="30" hidden="1" customHeight="1">
      <c r="B1409" s="197"/>
      <c r="AK1409" s="313"/>
      <c r="AL1409" s="313"/>
      <c r="AM1409" s="313"/>
      <c r="AN1409" s="313"/>
      <c r="AO1409" s="313"/>
      <c r="AP1409" s="313"/>
      <c r="AQ1409" s="314"/>
      <c r="AR1409" s="315" t="str">
        <f t="shared" si="91"/>
        <v/>
      </c>
      <c r="BH1409" s="321" t="str">
        <f t="shared" si="90"/>
        <v/>
      </c>
    </row>
    <row r="1410" spans="2:60" ht="30" hidden="1" customHeight="1">
      <c r="B1410" s="197"/>
      <c r="AK1410" s="313"/>
      <c r="AL1410" s="313"/>
      <c r="AM1410" s="313"/>
      <c r="AN1410" s="313"/>
      <c r="AO1410" s="313"/>
      <c r="AP1410" s="313"/>
      <c r="AQ1410" s="314"/>
      <c r="AR1410" s="315" t="str">
        <f t="shared" si="91"/>
        <v/>
      </c>
      <c r="BH1410" s="321" t="str">
        <f t="shared" si="90"/>
        <v/>
      </c>
    </row>
    <row r="1411" spans="2:60" ht="30" hidden="1" customHeight="1">
      <c r="B1411" s="197"/>
      <c r="AK1411" s="313"/>
      <c r="AL1411" s="313"/>
      <c r="AM1411" s="313"/>
      <c r="AN1411" s="313"/>
      <c r="AO1411" s="313"/>
      <c r="AP1411" s="313"/>
      <c r="AQ1411" s="314"/>
      <c r="AR1411" s="315" t="str">
        <f t="shared" si="91"/>
        <v/>
      </c>
      <c r="BH1411" s="321" t="str">
        <f t="shared" si="90"/>
        <v/>
      </c>
    </row>
    <row r="1412" spans="2:60" ht="30" hidden="1" customHeight="1">
      <c r="B1412" s="197"/>
      <c r="AK1412" s="313"/>
      <c r="AL1412" s="313"/>
      <c r="AM1412" s="313"/>
      <c r="AN1412" s="313"/>
      <c r="AO1412" s="313"/>
      <c r="AP1412" s="313"/>
      <c r="AQ1412" s="314"/>
      <c r="AR1412" s="315" t="str">
        <f t="shared" si="91"/>
        <v/>
      </c>
      <c r="BH1412" s="321" t="str">
        <f t="shared" si="90"/>
        <v/>
      </c>
    </row>
    <row r="1413" spans="2:60" ht="30" hidden="1" customHeight="1">
      <c r="B1413" s="197"/>
      <c r="AK1413" s="313"/>
      <c r="AL1413" s="313"/>
      <c r="AM1413" s="313"/>
      <c r="AN1413" s="313"/>
      <c r="AO1413" s="313"/>
      <c r="AP1413" s="313"/>
      <c r="AQ1413" s="314"/>
      <c r="AR1413" s="315" t="str">
        <f t="shared" si="91"/>
        <v/>
      </c>
      <c r="BH1413" s="321" t="str">
        <f t="shared" si="90"/>
        <v/>
      </c>
    </row>
    <row r="1414" spans="2:60" ht="30" hidden="1" customHeight="1">
      <c r="B1414" s="197"/>
      <c r="AK1414" s="313"/>
      <c r="AL1414" s="313"/>
      <c r="AM1414" s="313"/>
      <c r="AN1414" s="313"/>
      <c r="AO1414" s="313"/>
      <c r="AP1414" s="313"/>
      <c r="AQ1414" s="314"/>
      <c r="AR1414" s="315" t="str">
        <f t="shared" si="91"/>
        <v/>
      </c>
      <c r="BH1414" s="321" t="str">
        <f t="shared" si="90"/>
        <v/>
      </c>
    </row>
    <row r="1415" spans="2:60" ht="30" hidden="1" customHeight="1">
      <c r="B1415" s="197"/>
      <c r="AK1415" s="313"/>
      <c r="AL1415" s="313"/>
      <c r="AM1415" s="313"/>
      <c r="AN1415" s="313"/>
      <c r="AO1415" s="313"/>
      <c r="AP1415" s="313"/>
      <c r="AQ1415" s="314"/>
      <c r="AR1415" s="315" t="str">
        <f t="shared" si="91"/>
        <v/>
      </c>
      <c r="BH1415" s="321" t="str">
        <f t="shared" si="90"/>
        <v/>
      </c>
    </row>
    <row r="1416" spans="2:60" ht="30" hidden="1" customHeight="1">
      <c r="B1416" s="197"/>
      <c r="AK1416" s="313"/>
      <c r="AL1416" s="313"/>
      <c r="AM1416" s="313"/>
      <c r="AN1416" s="313"/>
      <c r="AO1416" s="313"/>
      <c r="AP1416" s="313"/>
      <c r="AQ1416" s="314"/>
      <c r="AR1416" s="315" t="str">
        <f t="shared" si="91"/>
        <v/>
      </c>
      <c r="BH1416" s="321" t="str">
        <f t="shared" si="90"/>
        <v/>
      </c>
    </row>
    <row r="1417" spans="2:60" ht="30" hidden="1" customHeight="1">
      <c r="B1417" s="197"/>
      <c r="AK1417" s="313"/>
      <c r="AL1417" s="313"/>
      <c r="AM1417" s="313"/>
      <c r="AN1417" s="313"/>
      <c r="AO1417" s="313"/>
      <c r="AP1417" s="313"/>
      <c r="AQ1417" s="314"/>
      <c r="AR1417" s="315" t="str">
        <f t="shared" si="91"/>
        <v/>
      </c>
      <c r="BH1417" s="321" t="str">
        <f t="shared" si="90"/>
        <v/>
      </c>
    </row>
    <row r="1418" spans="2:60" ht="30" hidden="1" customHeight="1">
      <c r="B1418" s="197"/>
      <c r="AK1418" s="313"/>
      <c r="AL1418" s="313"/>
      <c r="AM1418" s="313"/>
      <c r="AN1418" s="313"/>
      <c r="AO1418" s="313"/>
      <c r="AP1418" s="313"/>
      <c r="AQ1418" s="314"/>
      <c r="AR1418" s="315" t="str">
        <f t="shared" si="91"/>
        <v/>
      </c>
      <c r="BH1418" s="321" t="str">
        <f t="shared" si="90"/>
        <v/>
      </c>
    </row>
    <row r="1419" spans="2:60" ht="30" hidden="1" customHeight="1">
      <c r="B1419" s="197"/>
      <c r="AK1419" s="313"/>
      <c r="AL1419" s="313"/>
      <c r="AM1419" s="313"/>
      <c r="AN1419" s="313"/>
      <c r="AO1419" s="313"/>
      <c r="AP1419" s="313"/>
      <c r="AQ1419" s="314"/>
      <c r="AR1419" s="315" t="str">
        <f t="shared" si="91"/>
        <v/>
      </c>
      <c r="BH1419" s="321" t="str">
        <f t="shared" si="90"/>
        <v/>
      </c>
    </row>
    <row r="1420" spans="2:60" ht="30" hidden="1" customHeight="1">
      <c r="B1420" s="197"/>
      <c r="AK1420" s="313"/>
      <c r="AL1420" s="313"/>
      <c r="AM1420" s="313"/>
      <c r="AN1420" s="313"/>
      <c r="AO1420" s="313"/>
      <c r="AP1420" s="313"/>
      <c r="AQ1420" s="314"/>
      <c r="AR1420" s="315" t="str">
        <f t="shared" si="91"/>
        <v/>
      </c>
      <c r="BH1420" s="321" t="str">
        <f t="shared" si="90"/>
        <v/>
      </c>
    </row>
    <row r="1421" spans="2:60" ht="30" hidden="1" customHeight="1">
      <c r="B1421" s="197"/>
      <c r="AK1421" s="313"/>
      <c r="AL1421" s="313"/>
      <c r="AM1421" s="313"/>
      <c r="AN1421" s="313"/>
      <c r="AO1421" s="313"/>
      <c r="AP1421" s="313"/>
      <c r="AQ1421" s="314"/>
      <c r="AR1421" s="315" t="str">
        <f t="shared" si="91"/>
        <v/>
      </c>
      <c r="BH1421" s="321" t="str">
        <f t="shared" si="90"/>
        <v/>
      </c>
    </row>
    <row r="1422" spans="2:60" ht="30" hidden="1" customHeight="1">
      <c r="B1422" s="197"/>
      <c r="AK1422" s="313"/>
      <c r="AL1422" s="313"/>
      <c r="AM1422" s="313"/>
      <c r="AN1422" s="313"/>
      <c r="AO1422" s="313"/>
      <c r="AP1422" s="313"/>
      <c r="AQ1422" s="314"/>
      <c r="AR1422" s="315" t="str">
        <f t="shared" si="91"/>
        <v/>
      </c>
      <c r="BH1422" s="321" t="str">
        <f t="shared" si="90"/>
        <v/>
      </c>
    </row>
    <row r="1423" spans="2:60" ht="30" hidden="1" customHeight="1">
      <c r="B1423" s="197"/>
      <c r="AK1423" s="313"/>
      <c r="AL1423" s="313"/>
      <c r="AM1423" s="313"/>
      <c r="AN1423" s="313"/>
      <c r="AO1423" s="313"/>
      <c r="AP1423" s="313"/>
      <c r="AQ1423" s="314"/>
      <c r="AR1423" s="315" t="str">
        <f t="shared" si="91"/>
        <v/>
      </c>
      <c r="BH1423" s="321" t="str">
        <f t="shared" si="90"/>
        <v/>
      </c>
    </row>
    <row r="1424" spans="2:60" ht="30" hidden="1" customHeight="1">
      <c r="B1424" s="197"/>
      <c r="AK1424" s="313"/>
      <c r="AL1424" s="313"/>
      <c r="AM1424" s="313"/>
      <c r="AN1424" s="313"/>
      <c r="AO1424" s="313"/>
      <c r="AP1424" s="313"/>
      <c r="AQ1424" s="314"/>
      <c r="AR1424" s="315" t="str">
        <f t="shared" si="91"/>
        <v/>
      </c>
      <c r="BH1424" s="321" t="str">
        <f t="shared" si="90"/>
        <v/>
      </c>
    </row>
    <row r="1425" spans="2:60" ht="30" hidden="1" customHeight="1">
      <c r="B1425" s="197"/>
      <c r="AK1425" s="313"/>
      <c r="AL1425" s="313"/>
      <c r="AM1425" s="313"/>
      <c r="AN1425" s="313"/>
      <c r="AO1425" s="313"/>
      <c r="AP1425" s="313"/>
      <c r="AQ1425" s="314"/>
      <c r="AR1425" s="315" t="str">
        <f t="shared" si="91"/>
        <v/>
      </c>
      <c r="BH1425" s="321" t="str">
        <f t="shared" si="90"/>
        <v/>
      </c>
    </row>
    <row r="1426" spans="2:60" ht="30" hidden="1" customHeight="1">
      <c r="B1426" s="197"/>
      <c r="AK1426" s="313"/>
      <c r="AL1426" s="313"/>
      <c r="AM1426" s="313"/>
      <c r="AN1426" s="313"/>
      <c r="AO1426" s="313"/>
      <c r="AP1426" s="313"/>
      <c r="AQ1426" s="314"/>
      <c r="AR1426" s="315" t="str">
        <f t="shared" si="91"/>
        <v/>
      </c>
      <c r="BH1426" s="321" t="str">
        <f t="shared" si="90"/>
        <v/>
      </c>
    </row>
    <row r="1427" spans="2:60" ht="30" hidden="1" customHeight="1">
      <c r="B1427" s="197"/>
      <c r="AK1427" s="313"/>
      <c r="AL1427" s="313"/>
      <c r="AM1427" s="313"/>
      <c r="AN1427" s="313"/>
      <c r="AO1427" s="313"/>
      <c r="AP1427" s="313"/>
      <c r="AQ1427" s="314"/>
      <c r="AR1427" s="315" t="str">
        <f t="shared" si="91"/>
        <v/>
      </c>
      <c r="BH1427" s="321" t="str">
        <f t="shared" si="90"/>
        <v/>
      </c>
    </row>
    <row r="1428" spans="2:60" ht="30" hidden="1" customHeight="1">
      <c r="B1428" s="197"/>
      <c r="AK1428" s="313"/>
      <c r="AL1428" s="313"/>
      <c r="AM1428" s="313"/>
      <c r="AN1428" s="313"/>
      <c r="AO1428" s="313"/>
      <c r="AP1428" s="313"/>
      <c r="AQ1428" s="314"/>
      <c r="AR1428" s="315" t="str">
        <f t="shared" si="91"/>
        <v/>
      </c>
      <c r="BH1428" s="321" t="str">
        <f t="shared" si="90"/>
        <v/>
      </c>
    </row>
    <row r="1429" spans="2:60" ht="30" hidden="1" customHeight="1">
      <c r="B1429" s="197"/>
      <c r="AK1429" s="313"/>
      <c r="AL1429" s="313"/>
      <c r="AM1429" s="313"/>
      <c r="AN1429" s="313"/>
      <c r="AO1429" s="313"/>
      <c r="AP1429" s="313"/>
      <c r="AQ1429" s="314"/>
      <c r="AR1429" s="315" t="str">
        <f t="shared" si="91"/>
        <v/>
      </c>
      <c r="BH1429" s="321" t="str">
        <f t="shared" si="90"/>
        <v/>
      </c>
    </row>
    <row r="1430" spans="2:60" ht="30" hidden="1" customHeight="1">
      <c r="B1430" s="197"/>
      <c r="AK1430" s="313"/>
      <c r="AL1430" s="313"/>
      <c r="AM1430" s="313"/>
      <c r="AN1430" s="313"/>
      <c r="AO1430" s="313"/>
      <c r="AP1430" s="313"/>
      <c r="AQ1430" s="314"/>
      <c r="AR1430" s="315" t="str">
        <f t="shared" si="91"/>
        <v/>
      </c>
      <c r="BH1430" s="321" t="str">
        <f t="shared" si="90"/>
        <v/>
      </c>
    </row>
    <row r="1431" spans="2:60" ht="30" hidden="1" customHeight="1">
      <c r="B1431" s="197"/>
      <c r="AK1431" s="313"/>
      <c r="AL1431" s="313"/>
      <c r="AM1431" s="313"/>
      <c r="AN1431" s="313"/>
      <c r="AO1431" s="313"/>
      <c r="AP1431" s="313"/>
      <c r="AQ1431" s="314"/>
      <c r="AR1431" s="315" t="str">
        <f t="shared" si="91"/>
        <v/>
      </c>
      <c r="BH1431" s="321" t="str">
        <f t="shared" si="90"/>
        <v/>
      </c>
    </row>
    <row r="1432" spans="2:60" ht="30" hidden="1" customHeight="1">
      <c r="B1432" s="197"/>
      <c r="AK1432" s="313"/>
      <c r="AL1432" s="313"/>
      <c r="AM1432" s="313"/>
      <c r="AN1432" s="313"/>
      <c r="AO1432" s="313"/>
      <c r="AP1432" s="313"/>
      <c r="AQ1432" s="314"/>
      <c r="AR1432" s="315" t="str">
        <f t="shared" si="91"/>
        <v/>
      </c>
      <c r="BH1432" s="321" t="str">
        <f t="shared" si="90"/>
        <v/>
      </c>
    </row>
    <row r="1433" spans="2:60" ht="30" hidden="1" customHeight="1">
      <c r="B1433" s="197"/>
      <c r="AK1433" s="313"/>
      <c r="AL1433" s="313"/>
      <c r="AM1433" s="313"/>
      <c r="AN1433" s="313"/>
      <c r="AO1433" s="313"/>
      <c r="AP1433" s="313"/>
      <c r="AQ1433" s="314"/>
      <c r="AR1433" s="315" t="str">
        <f t="shared" si="91"/>
        <v/>
      </c>
      <c r="BH1433" s="321" t="str">
        <f t="shared" si="90"/>
        <v/>
      </c>
    </row>
    <row r="1434" spans="2:60" ht="30" hidden="1" customHeight="1">
      <c r="B1434" s="197"/>
      <c r="AK1434" s="313"/>
      <c r="AL1434" s="313"/>
      <c r="AM1434" s="313"/>
      <c r="AN1434" s="313"/>
      <c r="AO1434" s="313"/>
      <c r="AP1434" s="313"/>
      <c r="AQ1434" s="314"/>
      <c r="AR1434" s="315" t="str">
        <f t="shared" si="91"/>
        <v/>
      </c>
      <c r="BH1434" s="321" t="str">
        <f t="shared" si="90"/>
        <v/>
      </c>
    </row>
    <row r="1435" spans="2:60" ht="30" hidden="1" customHeight="1">
      <c r="B1435" s="197"/>
      <c r="AK1435" s="313"/>
      <c r="AL1435" s="313"/>
      <c r="AM1435" s="313"/>
      <c r="AN1435" s="313"/>
      <c r="AO1435" s="313"/>
      <c r="AP1435" s="313"/>
      <c r="AQ1435" s="314"/>
      <c r="AR1435" s="315" t="str">
        <f t="shared" si="91"/>
        <v/>
      </c>
      <c r="BH1435" s="321" t="str">
        <f t="shared" si="90"/>
        <v/>
      </c>
    </row>
    <row r="1436" spans="2:60" ht="30" hidden="1" customHeight="1">
      <c r="B1436" s="197"/>
      <c r="AK1436" s="313"/>
      <c r="AL1436" s="313"/>
      <c r="AM1436" s="313"/>
      <c r="AN1436" s="313"/>
      <c r="AO1436" s="313"/>
      <c r="AP1436" s="313"/>
      <c r="AQ1436" s="314"/>
      <c r="AR1436" s="315" t="str">
        <f t="shared" si="91"/>
        <v/>
      </c>
      <c r="BH1436" s="321" t="str">
        <f t="shared" si="90"/>
        <v/>
      </c>
    </row>
    <row r="1437" spans="2:60" ht="30" hidden="1" customHeight="1">
      <c r="B1437" s="197"/>
      <c r="AK1437" s="313"/>
      <c r="AL1437" s="313"/>
      <c r="AM1437" s="313"/>
      <c r="AN1437" s="313"/>
      <c r="AO1437" s="313"/>
      <c r="AP1437" s="313"/>
      <c r="AQ1437" s="314"/>
      <c r="AR1437" s="315" t="str">
        <f t="shared" si="91"/>
        <v/>
      </c>
      <c r="BH1437" s="321" t="str">
        <f t="shared" si="90"/>
        <v/>
      </c>
    </row>
    <row r="1438" spans="2:60" ht="30" hidden="1" customHeight="1">
      <c r="B1438" s="197"/>
      <c r="AK1438" s="313"/>
      <c r="AL1438" s="313"/>
      <c r="AM1438" s="313"/>
      <c r="AN1438" s="313"/>
      <c r="AO1438" s="313"/>
      <c r="AP1438" s="313"/>
      <c r="AQ1438" s="314"/>
      <c r="AR1438" s="315" t="str">
        <f t="shared" si="91"/>
        <v/>
      </c>
      <c r="BH1438" s="321" t="str">
        <f t="shared" si="90"/>
        <v/>
      </c>
    </row>
    <row r="1439" spans="2:60" ht="30" hidden="1" customHeight="1">
      <c r="B1439" s="197"/>
      <c r="AK1439" s="313"/>
      <c r="AL1439" s="313"/>
      <c r="AM1439" s="313"/>
      <c r="AN1439" s="313"/>
      <c r="AO1439" s="313"/>
      <c r="AP1439" s="313"/>
      <c r="AQ1439" s="314"/>
      <c r="AR1439" s="315" t="str">
        <f t="shared" si="91"/>
        <v/>
      </c>
      <c r="BH1439" s="321" t="str">
        <f t="shared" si="90"/>
        <v/>
      </c>
    </row>
    <row r="1440" spans="2:60" ht="30" hidden="1" customHeight="1">
      <c r="B1440" s="197"/>
      <c r="AK1440" s="313"/>
      <c r="AL1440" s="313"/>
      <c r="AM1440" s="313"/>
      <c r="AN1440" s="313"/>
      <c r="AO1440" s="313"/>
      <c r="AP1440" s="313"/>
      <c r="AQ1440" s="314"/>
      <c r="AR1440" s="315" t="str">
        <f t="shared" si="91"/>
        <v/>
      </c>
      <c r="BH1440" s="321" t="str">
        <f t="shared" si="90"/>
        <v/>
      </c>
    </row>
    <row r="1441" spans="2:60" ht="30" hidden="1" customHeight="1">
      <c r="B1441" s="197"/>
      <c r="AK1441" s="313"/>
      <c r="AL1441" s="313"/>
      <c r="AM1441" s="313"/>
      <c r="AN1441" s="313"/>
      <c r="AO1441" s="313"/>
      <c r="AP1441" s="313"/>
      <c r="AQ1441" s="314"/>
      <c r="AR1441" s="315" t="str">
        <f t="shared" si="91"/>
        <v/>
      </c>
      <c r="BH1441" s="321" t="str">
        <f t="shared" si="90"/>
        <v/>
      </c>
    </row>
    <row r="1442" spans="2:60" ht="30" hidden="1" customHeight="1">
      <c r="B1442" s="197"/>
      <c r="AK1442" s="313"/>
      <c r="AL1442" s="313"/>
      <c r="AM1442" s="313"/>
      <c r="AN1442" s="313"/>
      <c r="AO1442" s="313"/>
      <c r="AP1442" s="313"/>
      <c r="AQ1442" s="314"/>
      <c r="AR1442" s="315" t="str">
        <f t="shared" si="91"/>
        <v/>
      </c>
      <c r="BH1442" s="321" t="str">
        <f t="shared" si="90"/>
        <v/>
      </c>
    </row>
    <row r="1443" spans="2:60" ht="30" hidden="1" customHeight="1">
      <c r="B1443" s="197"/>
      <c r="AK1443" s="313"/>
      <c r="AL1443" s="313"/>
      <c r="AM1443" s="313"/>
      <c r="AN1443" s="313"/>
      <c r="AO1443" s="313"/>
      <c r="AP1443" s="313"/>
      <c r="AQ1443" s="314"/>
      <c r="AR1443" s="315" t="str">
        <f t="shared" si="91"/>
        <v/>
      </c>
      <c r="BH1443" s="321" t="str">
        <f t="shared" si="90"/>
        <v/>
      </c>
    </row>
    <row r="1444" spans="2:60" ht="30" hidden="1" customHeight="1">
      <c r="B1444" s="197"/>
      <c r="AK1444" s="313"/>
      <c r="AL1444" s="313"/>
      <c r="AM1444" s="313"/>
      <c r="AN1444" s="313"/>
      <c r="AO1444" s="313"/>
      <c r="AP1444" s="313"/>
      <c r="AQ1444" s="314"/>
      <c r="AR1444" s="315" t="str">
        <f t="shared" si="91"/>
        <v/>
      </c>
      <c r="BH1444" s="321" t="str">
        <f t="shared" si="90"/>
        <v/>
      </c>
    </row>
    <row r="1445" spans="2:60" ht="30" hidden="1" customHeight="1">
      <c r="B1445" s="197"/>
      <c r="AK1445" s="313"/>
      <c r="AL1445" s="313"/>
      <c r="AM1445" s="313"/>
      <c r="AN1445" s="313"/>
      <c r="AO1445" s="313"/>
      <c r="AP1445" s="313"/>
      <c r="AQ1445" s="314"/>
      <c r="AR1445" s="315" t="str">
        <f t="shared" si="91"/>
        <v/>
      </c>
      <c r="BH1445" s="321" t="str">
        <f t="shared" si="90"/>
        <v/>
      </c>
    </row>
    <row r="1446" spans="2:60" ht="30" hidden="1" customHeight="1">
      <c r="B1446" s="197"/>
      <c r="AK1446" s="313"/>
      <c r="AL1446" s="313"/>
      <c r="AM1446" s="313"/>
      <c r="AN1446" s="313"/>
      <c r="AO1446" s="313"/>
      <c r="AP1446" s="313"/>
      <c r="AQ1446" s="314"/>
      <c r="AR1446" s="315" t="str">
        <f t="shared" si="91"/>
        <v/>
      </c>
      <c r="BH1446" s="321" t="str">
        <f t="shared" si="90"/>
        <v/>
      </c>
    </row>
    <row r="1447" spans="2:60" ht="30" hidden="1" customHeight="1">
      <c r="B1447" s="197"/>
      <c r="AK1447" s="313"/>
      <c r="AL1447" s="313"/>
      <c r="AM1447" s="313"/>
      <c r="AN1447" s="313"/>
      <c r="AO1447" s="313"/>
      <c r="AP1447" s="313"/>
      <c r="AQ1447" s="314"/>
      <c r="AR1447" s="315" t="str">
        <f t="shared" si="91"/>
        <v/>
      </c>
      <c r="BH1447" s="321" t="str">
        <f t="shared" si="90"/>
        <v/>
      </c>
    </row>
    <row r="1448" spans="2:60" ht="30" hidden="1" customHeight="1">
      <c r="B1448" s="197"/>
      <c r="AK1448" s="313"/>
      <c r="AL1448" s="313"/>
      <c r="AM1448" s="313"/>
      <c r="AN1448" s="313"/>
      <c r="AO1448" s="313"/>
      <c r="AP1448" s="313"/>
      <c r="AQ1448" s="314"/>
      <c r="AR1448" s="315" t="str">
        <f t="shared" si="91"/>
        <v/>
      </c>
      <c r="BH1448" s="321" t="str">
        <f t="shared" si="90"/>
        <v/>
      </c>
    </row>
    <row r="1449" spans="2:60" ht="30" hidden="1" customHeight="1">
      <c r="B1449" s="197"/>
      <c r="AK1449" s="313"/>
      <c r="AL1449" s="313"/>
      <c r="AM1449" s="313"/>
      <c r="AN1449" s="313"/>
      <c r="AO1449" s="313"/>
      <c r="AP1449" s="313"/>
      <c r="AQ1449" s="314"/>
      <c r="AR1449" s="315" t="str">
        <f t="shared" si="91"/>
        <v/>
      </c>
      <c r="BH1449" s="321" t="str">
        <f t="shared" si="90"/>
        <v/>
      </c>
    </row>
    <row r="1450" spans="2:60" ht="30" hidden="1" customHeight="1">
      <c r="B1450" s="197"/>
      <c r="AK1450" s="313"/>
      <c r="AL1450" s="313"/>
      <c r="AM1450" s="313"/>
      <c r="AN1450" s="313"/>
      <c r="AO1450" s="313"/>
      <c r="AP1450" s="313"/>
      <c r="AQ1450" s="314"/>
      <c r="AR1450" s="315" t="str">
        <f t="shared" si="91"/>
        <v/>
      </c>
      <c r="BH1450" s="321" t="str">
        <f t="shared" si="90"/>
        <v/>
      </c>
    </row>
    <row r="1451" spans="2:60" ht="30" hidden="1" customHeight="1">
      <c r="B1451" s="197"/>
      <c r="AK1451" s="313"/>
      <c r="AL1451" s="313"/>
      <c r="AM1451" s="313"/>
      <c r="AN1451" s="313"/>
      <c r="AO1451" s="313"/>
      <c r="AP1451" s="313"/>
      <c r="AQ1451" s="314"/>
      <c r="AR1451" s="315" t="str">
        <f t="shared" si="91"/>
        <v/>
      </c>
      <c r="BH1451" s="321" t="str">
        <f t="shared" si="90"/>
        <v/>
      </c>
    </row>
    <row r="1452" spans="2:60" ht="30" hidden="1" customHeight="1">
      <c r="B1452" s="197"/>
      <c r="AK1452" s="313"/>
      <c r="AL1452" s="313"/>
      <c r="AM1452" s="313"/>
      <c r="AN1452" s="313"/>
      <c r="AO1452" s="313"/>
      <c r="AP1452" s="313"/>
      <c r="AQ1452" s="314"/>
      <c r="AR1452" s="315" t="str">
        <f t="shared" si="91"/>
        <v/>
      </c>
      <c r="BH1452" s="321" t="str">
        <f t="shared" si="90"/>
        <v/>
      </c>
    </row>
    <row r="1453" spans="2:60" ht="30" hidden="1" customHeight="1">
      <c r="B1453" s="197"/>
      <c r="AK1453" s="313"/>
      <c r="AL1453" s="313"/>
      <c r="AM1453" s="313"/>
      <c r="AN1453" s="313"/>
      <c r="AO1453" s="313"/>
      <c r="AP1453" s="313"/>
      <c r="AQ1453" s="314"/>
      <c r="AR1453" s="315" t="str">
        <f t="shared" si="91"/>
        <v/>
      </c>
      <c r="BH1453" s="321" t="str">
        <f t="shared" ref="BH1453:BH1516" si="92">IF(BD1453-KI1453=0,"",BD1453-AK1453)</f>
        <v/>
      </c>
    </row>
    <row r="1454" spans="2:60" ht="30" hidden="1" customHeight="1">
      <c r="B1454" s="197"/>
      <c r="AK1454" s="313"/>
      <c r="AL1454" s="313"/>
      <c r="AM1454" s="313"/>
      <c r="AN1454" s="313"/>
      <c r="AO1454" s="313"/>
      <c r="AP1454" s="313"/>
      <c r="AQ1454" s="314"/>
      <c r="AR1454" s="315" t="str">
        <f t="shared" si="91"/>
        <v/>
      </c>
      <c r="BH1454" s="321" t="str">
        <f t="shared" si="92"/>
        <v/>
      </c>
    </row>
    <row r="1455" spans="2:60" ht="30" hidden="1" customHeight="1">
      <c r="B1455" s="197"/>
      <c r="AK1455" s="313"/>
      <c r="AL1455" s="313"/>
      <c r="AM1455" s="313"/>
      <c r="AN1455" s="313"/>
      <c r="AO1455" s="313"/>
      <c r="AP1455" s="313"/>
      <c r="AQ1455" s="314"/>
      <c r="AR1455" s="315" t="str">
        <f t="shared" si="91"/>
        <v/>
      </c>
      <c r="BH1455" s="321" t="str">
        <f t="shared" si="92"/>
        <v/>
      </c>
    </row>
    <row r="1456" spans="2:60" ht="30" hidden="1" customHeight="1">
      <c r="B1456" s="197"/>
      <c r="AK1456" s="313"/>
      <c r="AL1456" s="313"/>
      <c r="AM1456" s="313"/>
      <c r="AN1456" s="313"/>
      <c r="AO1456" s="313"/>
      <c r="AP1456" s="313"/>
      <c r="AQ1456" s="314"/>
      <c r="AR1456" s="315" t="str">
        <f t="shared" si="91"/>
        <v/>
      </c>
      <c r="BH1456" s="321" t="str">
        <f t="shared" si="92"/>
        <v/>
      </c>
    </row>
    <row r="1457" spans="2:60" ht="30" hidden="1" customHeight="1">
      <c r="B1457" s="197"/>
      <c r="AK1457" s="313"/>
      <c r="AL1457" s="313"/>
      <c r="AM1457" s="313"/>
      <c r="AN1457" s="313"/>
      <c r="AO1457" s="313"/>
      <c r="AP1457" s="313"/>
      <c r="AQ1457" s="314"/>
      <c r="AR1457" s="315" t="str">
        <f t="shared" si="91"/>
        <v/>
      </c>
      <c r="BH1457" s="321" t="str">
        <f t="shared" si="92"/>
        <v/>
      </c>
    </row>
    <row r="1458" spans="2:60" ht="30" hidden="1" customHeight="1">
      <c r="B1458" s="197"/>
      <c r="AK1458" s="313"/>
      <c r="AL1458" s="313"/>
      <c r="AM1458" s="313"/>
      <c r="AN1458" s="313"/>
      <c r="AO1458" s="313"/>
      <c r="AP1458" s="313"/>
      <c r="AQ1458" s="314"/>
      <c r="AR1458" s="315" t="str">
        <f t="shared" si="91"/>
        <v/>
      </c>
      <c r="BH1458" s="321" t="str">
        <f t="shared" si="92"/>
        <v/>
      </c>
    </row>
    <row r="1459" spans="2:60" ht="30" hidden="1" customHeight="1">
      <c r="B1459" s="197"/>
      <c r="AK1459" s="313"/>
      <c r="AL1459" s="313"/>
      <c r="AM1459" s="313"/>
      <c r="AN1459" s="313"/>
      <c r="AO1459" s="313"/>
      <c r="AP1459" s="313"/>
      <c r="AQ1459" s="314"/>
      <c r="AR1459" s="315" t="str">
        <f t="shared" si="91"/>
        <v/>
      </c>
      <c r="BH1459" s="321" t="str">
        <f t="shared" si="92"/>
        <v/>
      </c>
    </row>
    <row r="1460" spans="2:60" ht="30" hidden="1" customHeight="1">
      <c r="B1460" s="197"/>
      <c r="AK1460" s="313"/>
      <c r="AL1460" s="313"/>
      <c r="AM1460" s="313"/>
      <c r="AN1460" s="313"/>
      <c r="AO1460" s="313"/>
      <c r="AP1460" s="313"/>
      <c r="AQ1460" s="314"/>
      <c r="AR1460" s="315" t="str">
        <f t="shared" si="91"/>
        <v/>
      </c>
      <c r="BH1460" s="321" t="str">
        <f t="shared" si="92"/>
        <v/>
      </c>
    </row>
    <row r="1461" spans="2:60" ht="30" hidden="1" customHeight="1">
      <c r="B1461" s="197"/>
      <c r="AK1461" s="313"/>
      <c r="AL1461" s="313"/>
      <c r="AM1461" s="313"/>
      <c r="AN1461" s="313"/>
      <c r="AO1461" s="313"/>
      <c r="AP1461" s="313"/>
      <c r="AQ1461" s="314"/>
      <c r="AR1461" s="315" t="str">
        <f t="shared" si="91"/>
        <v/>
      </c>
      <c r="BH1461" s="321" t="str">
        <f t="shared" si="92"/>
        <v/>
      </c>
    </row>
    <row r="1462" spans="2:60" ht="30" hidden="1" customHeight="1">
      <c r="B1462" s="197"/>
      <c r="AK1462" s="313"/>
      <c r="AL1462" s="313"/>
      <c r="AM1462" s="313"/>
      <c r="AN1462" s="313"/>
      <c r="AO1462" s="313"/>
      <c r="AP1462" s="313"/>
      <c r="AQ1462" s="314"/>
      <c r="AR1462" s="315" t="str">
        <f t="shared" si="91"/>
        <v/>
      </c>
      <c r="BH1462" s="321" t="str">
        <f t="shared" si="92"/>
        <v/>
      </c>
    </row>
    <row r="1463" spans="2:60" ht="30" hidden="1" customHeight="1">
      <c r="B1463" s="197"/>
      <c r="AK1463" s="313"/>
      <c r="AL1463" s="313"/>
      <c r="AM1463" s="313"/>
      <c r="AN1463" s="313"/>
      <c r="AO1463" s="313"/>
      <c r="AP1463" s="313"/>
      <c r="AQ1463" s="314"/>
      <c r="AR1463" s="315" t="str">
        <f t="shared" si="91"/>
        <v/>
      </c>
      <c r="BH1463" s="321" t="str">
        <f t="shared" si="92"/>
        <v/>
      </c>
    </row>
    <row r="1464" spans="2:60" ht="30" hidden="1" customHeight="1">
      <c r="B1464" s="197"/>
      <c r="AK1464" s="313"/>
      <c r="AL1464" s="313"/>
      <c r="AM1464" s="313"/>
      <c r="AN1464" s="313"/>
      <c r="AO1464" s="313"/>
      <c r="AP1464" s="313"/>
      <c r="AQ1464" s="314"/>
      <c r="AR1464" s="315" t="str">
        <f t="shared" si="91"/>
        <v/>
      </c>
      <c r="BH1464" s="321" t="str">
        <f t="shared" si="92"/>
        <v/>
      </c>
    </row>
    <row r="1465" spans="2:60" ht="30" hidden="1" customHeight="1">
      <c r="AK1465" s="313"/>
      <c r="AL1465" s="313"/>
      <c r="AM1465" s="313"/>
      <c r="AN1465" s="313"/>
      <c r="AO1465" s="313"/>
      <c r="AP1465" s="313"/>
      <c r="AQ1465" s="314"/>
      <c r="AR1465" s="315" t="str">
        <f t="shared" si="91"/>
        <v/>
      </c>
      <c r="BH1465" s="321" t="str">
        <f t="shared" si="92"/>
        <v/>
      </c>
    </row>
    <row r="1466" spans="2:60" ht="30" hidden="1" customHeight="1">
      <c r="AK1466" s="313"/>
      <c r="AL1466" s="313"/>
      <c r="AM1466" s="313"/>
      <c r="AN1466" s="313"/>
      <c r="AO1466" s="313"/>
      <c r="AP1466" s="313"/>
      <c r="AQ1466" s="314"/>
      <c r="AR1466" s="315" t="str">
        <f t="shared" si="91"/>
        <v/>
      </c>
      <c r="BH1466" s="321" t="str">
        <f t="shared" si="92"/>
        <v/>
      </c>
    </row>
    <row r="1467" spans="2:60" ht="30" hidden="1" customHeight="1">
      <c r="AK1467" s="313"/>
      <c r="AL1467" s="313"/>
      <c r="AM1467" s="313"/>
      <c r="AN1467" s="313"/>
      <c r="AO1467" s="313"/>
      <c r="AP1467" s="313"/>
      <c r="AQ1467" s="314"/>
      <c r="AR1467" s="315" t="str">
        <f t="shared" si="91"/>
        <v/>
      </c>
      <c r="BH1467" s="321" t="str">
        <f t="shared" si="92"/>
        <v/>
      </c>
    </row>
    <row r="1468" spans="2:60" ht="30" hidden="1" customHeight="1">
      <c r="AK1468" s="313"/>
      <c r="AL1468" s="313"/>
      <c r="AM1468" s="313"/>
      <c r="AN1468" s="313"/>
      <c r="AO1468" s="313"/>
      <c r="AP1468" s="313"/>
      <c r="AQ1468" s="314"/>
      <c r="AR1468" s="315" t="str">
        <f t="shared" si="91"/>
        <v/>
      </c>
      <c r="BH1468" s="321" t="str">
        <f t="shared" si="92"/>
        <v/>
      </c>
    </row>
    <row r="1469" spans="2:60" ht="30" hidden="1" customHeight="1">
      <c r="AK1469" s="313"/>
      <c r="AL1469" s="313"/>
      <c r="AM1469" s="313"/>
      <c r="AN1469" s="313"/>
      <c r="AO1469" s="313"/>
      <c r="AP1469" s="313"/>
      <c r="AQ1469" s="314"/>
      <c r="AR1469" s="315" t="str">
        <f t="shared" si="91"/>
        <v/>
      </c>
      <c r="BH1469" s="321" t="str">
        <f t="shared" si="92"/>
        <v/>
      </c>
    </row>
    <row r="1470" spans="2:60" ht="30" hidden="1" customHeight="1">
      <c r="AK1470" s="313"/>
      <c r="AL1470" s="313"/>
      <c r="AM1470" s="313"/>
      <c r="AN1470" s="313"/>
      <c r="AO1470" s="313"/>
      <c r="AP1470" s="313"/>
      <c r="AQ1470" s="314"/>
      <c r="AR1470" s="315" t="str">
        <f t="shared" si="91"/>
        <v/>
      </c>
      <c r="BH1470" s="321" t="str">
        <f t="shared" si="92"/>
        <v/>
      </c>
    </row>
    <row r="1471" spans="2:60" ht="30" hidden="1" customHeight="1">
      <c r="AK1471" s="313"/>
      <c r="AL1471" s="313"/>
      <c r="AM1471" s="313"/>
      <c r="AN1471" s="313"/>
      <c r="AO1471" s="313"/>
      <c r="AP1471" s="313"/>
      <c r="AQ1471" s="314"/>
      <c r="AR1471" s="315" t="str">
        <f t="shared" ref="AR1471:AR1534" si="93">IF(AQ1471="SIM","AGUARDANDO CORREÇÃO",IF(AP1471&lt;&gt;"","FINALIZADO",IF(AO1471&lt;&gt;"","AGUARDANDO ENVIO DTS",IF(AN1471&lt;&gt;"","AGUARDANDO ASSINATURA GAB",IF(AM1471&lt;&gt;"","AGUARDANDO ASSINATURA CTS",IF(AL1471&lt;&gt;"","AGUARDANDO ENVIO ASSINATURA CTS",IF(AK1471&lt;&gt;"","AGUARDANDO CONFERÊNCIA","")))))))</f>
        <v/>
      </c>
      <c r="BH1471" s="321" t="str">
        <f t="shared" si="92"/>
        <v/>
      </c>
    </row>
    <row r="1472" spans="2:60" ht="30" hidden="1" customHeight="1">
      <c r="AK1472" s="313"/>
      <c r="AL1472" s="313"/>
      <c r="AM1472" s="313"/>
      <c r="AN1472" s="313"/>
      <c r="AO1472" s="313"/>
      <c r="AP1472" s="313"/>
      <c r="AQ1472" s="314"/>
      <c r="AR1472" s="315" t="str">
        <f t="shared" si="93"/>
        <v/>
      </c>
      <c r="BH1472" s="321" t="str">
        <f t="shared" si="92"/>
        <v/>
      </c>
    </row>
    <row r="1473" spans="37:60" ht="30" hidden="1" customHeight="1">
      <c r="AK1473" s="313"/>
      <c r="AL1473" s="313"/>
      <c r="AM1473" s="313"/>
      <c r="AN1473" s="313"/>
      <c r="AO1473" s="313"/>
      <c r="AP1473" s="313"/>
      <c r="AQ1473" s="314"/>
      <c r="AR1473" s="315" t="str">
        <f t="shared" si="93"/>
        <v/>
      </c>
      <c r="BH1473" s="321" t="str">
        <f t="shared" si="92"/>
        <v/>
      </c>
    </row>
    <row r="1474" spans="37:60" ht="30" hidden="1" customHeight="1">
      <c r="AK1474" s="313"/>
      <c r="AL1474" s="313"/>
      <c r="AM1474" s="313"/>
      <c r="AN1474" s="313"/>
      <c r="AO1474" s="313"/>
      <c r="AP1474" s="313"/>
      <c r="AQ1474" s="314"/>
      <c r="AR1474" s="315" t="str">
        <f t="shared" si="93"/>
        <v/>
      </c>
      <c r="BH1474" s="321" t="str">
        <f t="shared" si="92"/>
        <v/>
      </c>
    </row>
    <row r="1475" spans="37:60" ht="30" hidden="1" customHeight="1">
      <c r="AK1475" s="313"/>
      <c r="AL1475" s="313"/>
      <c r="AM1475" s="313"/>
      <c r="AN1475" s="313"/>
      <c r="AO1475" s="313"/>
      <c r="AP1475" s="313"/>
      <c r="AQ1475" s="314"/>
      <c r="AR1475" s="315" t="str">
        <f t="shared" si="93"/>
        <v/>
      </c>
      <c r="BH1475" s="321" t="str">
        <f t="shared" si="92"/>
        <v/>
      </c>
    </row>
    <row r="1476" spans="37:60" ht="30" hidden="1" customHeight="1">
      <c r="AK1476" s="313"/>
      <c r="AL1476" s="313"/>
      <c r="AM1476" s="313"/>
      <c r="AN1476" s="313"/>
      <c r="AO1476" s="313"/>
      <c r="AP1476" s="313"/>
      <c r="AQ1476" s="314"/>
      <c r="AR1476" s="315" t="str">
        <f t="shared" si="93"/>
        <v/>
      </c>
      <c r="BH1476" s="321" t="str">
        <f t="shared" si="92"/>
        <v/>
      </c>
    </row>
    <row r="1477" spans="37:60" ht="30" hidden="1" customHeight="1">
      <c r="AK1477" s="313"/>
      <c r="AL1477" s="313"/>
      <c r="AM1477" s="313"/>
      <c r="AN1477" s="313"/>
      <c r="AO1477" s="313"/>
      <c r="AP1477" s="313"/>
      <c r="AQ1477" s="314"/>
      <c r="AR1477" s="315" t="str">
        <f t="shared" si="93"/>
        <v/>
      </c>
      <c r="BH1477" s="321" t="str">
        <f t="shared" si="92"/>
        <v/>
      </c>
    </row>
    <row r="1478" spans="37:60" ht="30" hidden="1" customHeight="1">
      <c r="AK1478" s="313"/>
      <c r="AL1478" s="313"/>
      <c r="AM1478" s="313"/>
      <c r="AN1478" s="313"/>
      <c r="AO1478" s="313"/>
      <c r="AP1478" s="313"/>
      <c r="AQ1478" s="314"/>
      <c r="AR1478" s="315" t="str">
        <f t="shared" si="93"/>
        <v/>
      </c>
      <c r="BH1478" s="321" t="str">
        <f t="shared" si="92"/>
        <v/>
      </c>
    </row>
    <row r="1479" spans="37:60" ht="30" hidden="1" customHeight="1">
      <c r="AK1479" s="313"/>
      <c r="AL1479" s="313"/>
      <c r="AM1479" s="313"/>
      <c r="AN1479" s="313"/>
      <c r="AO1479" s="313"/>
      <c r="AP1479" s="313"/>
      <c r="AQ1479" s="314"/>
      <c r="AR1479" s="315" t="str">
        <f t="shared" si="93"/>
        <v/>
      </c>
      <c r="BH1479" s="321" t="str">
        <f t="shared" si="92"/>
        <v/>
      </c>
    </row>
    <row r="1480" spans="37:60" ht="30" hidden="1" customHeight="1">
      <c r="AK1480" s="313"/>
      <c r="AL1480" s="313"/>
      <c r="AM1480" s="313"/>
      <c r="AN1480" s="313"/>
      <c r="AO1480" s="313"/>
      <c r="AP1480" s="313"/>
      <c r="AQ1480" s="314"/>
      <c r="AR1480" s="315" t="str">
        <f t="shared" si="93"/>
        <v/>
      </c>
      <c r="BH1480" s="321" t="str">
        <f t="shared" si="92"/>
        <v/>
      </c>
    </row>
    <row r="1481" spans="37:60" ht="30" hidden="1" customHeight="1">
      <c r="AK1481" s="313"/>
      <c r="AL1481" s="313"/>
      <c r="AM1481" s="313"/>
      <c r="AN1481" s="313"/>
      <c r="AO1481" s="313"/>
      <c r="AP1481" s="313"/>
      <c r="AQ1481" s="314"/>
      <c r="AR1481" s="315" t="str">
        <f t="shared" si="93"/>
        <v/>
      </c>
      <c r="BH1481" s="321" t="str">
        <f t="shared" si="92"/>
        <v/>
      </c>
    </row>
    <row r="1482" spans="37:60" ht="30" hidden="1" customHeight="1">
      <c r="AK1482" s="313"/>
      <c r="AL1482" s="313"/>
      <c r="AM1482" s="313"/>
      <c r="AN1482" s="313"/>
      <c r="AO1482" s="313"/>
      <c r="AP1482" s="313"/>
      <c r="AQ1482" s="314"/>
      <c r="AR1482" s="315" t="str">
        <f t="shared" si="93"/>
        <v/>
      </c>
      <c r="BH1482" s="321" t="str">
        <f t="shared" si="92"/>
        <v/>
      </c>
    </row>
    <row r="1483" spans="37:60" ht="30" hidden="1" customHeight="1">
      <c r="AK1483" s="313"/>
      <c r="AL1483" s="313"/>
      <c r="AM1483" s="313"/>
      <c r="AN1483" s="313"/>
      <c r="AO1483" s="313"/>
      <c r="AP1483" s="313"/>
      <c r="AQ1483" s="314"/>
      <c r="AR1483" s="315" t="str">
        <f t="shared" si="93"/>
        <v/>
      </c>
      <c r="BH1483" s="321" t="str">
        <f t="shared" si="92"/>
        <v/>
      </c>
    </row>
    <row r="1484" spans="37:60" ht="30" hidden="1" customHeight="1">
      <c r="AK1484" s="313"/>
      <c r="AL1484" s="313"/>
      <c r="AM1484" s="313"/>
      <c r="AN1484" s="313"/>
      <c r="AO1484" s="313"/>
      <c r="AP1484" s="313"/>
      <c r="AQ1484" s="314"/>
      <c r="AR1484" s="315" t="str">
        <f t="shared" si="93"/>
        <v/>
      </c>
      <c r="BH1484" s="321" t="str">
        <f t="shared" si="92"/>
        <v/>
      </c>
    </row>
    <row r="1485" spans="37:60" ht="30" hidden="1" customHeight="1">
      <c r="AK1485" s="313"/>
      <c r="AL1485" s="313"/>
      <c r="AM1485" s="313"/>
      <c r="AN1485" s="313"/>
      <c r="AO1485" s="313"/>
      <c r="AP1485" s="313"/>
      <c r="AQ1485" s="314"/>
      <c r="AR1485" s="315" t="str">
        <f t="shared" si="93"/>
        <v/>
      </c>
      <c r="BH1485" s="321" t="str">
        <f t="shared" si="92"/>
        <v/>
      </c>
    </row>
    <row r="1486" spans="37:60" ht="30" hidden="1" customHeight="1">
      <c r="AK1486" s="313"/>
      <c r="AL1486" s="313"/>
      <c r="AM1486" s="313"/>
      <c r="AN1486" s="313"/>
      <c r="AO1486" s="313"/>
      <c r="AP1486" s="313"/>
      <c r="AQ1486" s="314"/>
      <c r="AR1486" s="315" t="str">
        <f t="shared" si="93"/>
        <v/>
      </c>
      <c r="BH1486" s="321" t="str">
        <f t="shared" si="92"/>
        <v/>
      </c>
    </row>
    <row r="1487" spans="37:60" ht="30" hidden="1" customHeight="1">
      <c r="AK1487" s="313"/>
      <c r="AL1487" s="313"/>
      <c r="AM1487" s="313"/>
      <c r="AN1487" s="313"/>
      <c r="AO1487" s="313"/>
      <c r="AP1487" s="313"/>
      <c r="AQ1487" s="314"/>
      <c r="AR1487" s="315" t="str">
        <f t="shared" si="93"/>
        <v/>
      </c>
      <c r="BH1487" s="321" t="str">
        <f t="shared" si="92"/>
        <v/>
      </c>
    </row>
    <row r="1488" spans="37:60" ht="30" hidden="1" customHeight="1">
      <c r="AK1488" s="313"/>
      <c r="AL1488" s="313"/>
      <c r="AM1488" s="313"/>
      <c r="AN1488" s="313"/>
      <c r="AO1488" s="313"/>
      <c r="AP1488" s="313"/>
      <c r="AQ1488" s="314"/>
      <c r="AR1488" s="315" t="str">
        <f t="shared" si="93"/>
        <v/>
      </c>
      <c r="BH1488" s="321" t="str">
        <f t="shared" si="92"/>
        <v/>
      </c>
    </row>
    <row r="1489" spans="37:60" ht="30" hidden="1" customHeight="1">
      <c r="AK1489" s="313"/>
      <c r="AL1489" s="313"/>
      <c r="AM1489" s="313"/>
      <c r="AN1489" s="313"/>
      <c r="AO1489" s="313"/>
      <c r="AP1489" s="313"/>
      <c r="AQ1489" s="314"/>
      <c r="AR1489" s="315" t="str">
        <f t="shared" si="93"/>
        <v/>
      </c>
      <c r="BH1489" s="321" t="str">
        <f t="shared" si="92"/>
        <v/>
      </c>
    </row>
    <row r="1490" spans="37:60" ht="30" hidden="1" customHeight="1">
      <c r="AK1490" s="313"/>
      <c r="AL1490" s="313"/>
      <c r="AM1490" s="313"/>
      <c r="AN1490" s="313"/>
      <c r="AO1490" s="313"/>
      <c r="AP1490" s="313"/>
      <c r="AQ1490" s="314"/>
      <c r="AR1490" s="315" t="str">
        <f t="shared" si="93"/>
        <v/>
      </c>
      <c r="BH1490" s="321" t="str">
        <f t="shared" si="92"/>
        <v/>
      </c>
    </row>
    <row r="1491" spans="37:60" ht="30" hidden="1" customHeight="1">
      <c r="AK1491" s="313"/>
      <c r="AL1491" s="313"/>
      <c r="AM1491" s="313"/>
      <c r="AN1491" s="313"/>
      <c r="AO1491" s="313"/>
      <c r="AP1491" s="313"/>
      <c r="AQ1491" s="314"/>
      <c r="AR1491" s="315" t="str">
        <f t="shared" si="93"/>
        <v/>
      </c>
      <c r="BH1491" s="321" t="str">
        <f t="shared" si="92"/>
        <v/>
      </c>
    </row>
    <row r="1492" spans="37:60" ht="30" hidden="1" customHeight="1">
      <c r="AK1492" s="313"/>
      <c r="AL1492" s="313"/>
      <c r="AM1492" s="313"/>
      <c r="AN1492" s="313"/>
      <c r="AO1492" s="313"/>
      <c r="AP1492" s="313"/>
      <c r="AQ1492" s="314"/>
      <c r="AR1492" s="315" t="str">
        <f t="shared" si="93"/>
        <v/>
      </c>
      <c r="BH1492" s="321" t="str">
        <f t="shared" si="92"/>
        <v/>
      </c>
    </row>
    <row r="1493" spans="37:60" ht="30" hidden="1" customHeight="1">
      <c r="AK1493" s="313"/>
      <c r="AL1493" s="313"/>
      <c r="AM1493" s="313"/>
      <c r="AN1493" s="313"/>
      <c r="AO1493" s="313"/>
      <c r="AP1493" s="313"/>
      <c r="AQ1493" s="314"/>
      <c r="AR1493" s="315" t="str">
        <f t="shared" si="93"/>
        <v/>
      </c>
      <c r="BH1493" s="321" t="str">
        <f t="shared" si="92"/>
        <v/>
      </c>
    </row>
    <row r="1494" spans="37:60" ht="30" hidden="1" customHeight="1">
      <c r="AK1494" s="313"/>
      <c r="AL1494" s="313"/>
      <c r="AM1494" s="313"/>
      <c r="AN1494" s="313"/>
      <c r="AO1494" s="313"/>
      <c r="AP1494" s="313"/>
      <c r="AQ1494" s="314"/>
      <c r="AR1494" s="315" t="str">
        <f t="shared" si="93"/>
        <v/>
      </c>
      <c r="BH1494" s="321" t="str">
        <f t="shared" si="92"/>
        <v/>
      </c>
    </row>
    <row r="1495" spans="37:60" ht="30" hidden="1" customHeight="1">
      <c r="AK1495" s="313"/>
      <c r="AL1495" s="313"/>
      <c r="AM1495" s="313"/>
      <c r="AN1495" s="313"/>
      <c r="AO1495" s="313"/>
      <c r="AP1495" s="313"/>
      <c r="AQ1495" s="314"/>
      <c r="AR1495" s="315" t="str">
        <f t="shared" si="93"/>
        <v/>
      </c>
      <c r="BH1495" s="321" t="str">
        <f t="shared" si="92"/>
        <v/>
      </c>
    </row>
    <row r="1496" spans="37:60" ht="30" hidden="1" customHeight="1">
      <c r="AK1496" s="313"/>
      <c r="AL1496" s="313"/>
      <c r="AM1496" s="313"/>
      <c r="AN1496" s="313"/>
      <c r="AO1496" s="313"/>
      <c r="AP1496" s="313"/>
      <c r="AQ1496" s="314"/>
      <c r="AR1496" s="315" t="str">
        <f t="shared" si="93"/>
        <v/>
      </c>
      <c r="BH1496" s="321" t="str">
        <f t="shared" si="92"/>
        <v/>
      </c>
    </row>
    <row r="1497" spans="37:60" ht="30" hidden="1" customHeight="1">
      <c r="AK1497" s="313"/>
      <c r="AL1497" s="313"/>
      <c r="AM1497" s="313"/>
      <c r="AN1497" s="313"/>
      <c r="AO1497" s="313"/>
      <c r="AP1497" s="313"/>
      <c r="AQ1497" s="314"/>
      <c r="AR1497" s="315" t="str">
        <f t="shared" si="93"/>
        <v/>
      </c>
      <c r="BH1497" s="321" t="str">
        <f t="shared" si="92"/>
        <v/>
      </c>
    </row>
    <row r="1498" spans="37:60" ht="30" hidden="1" customHeight="1">
      <c r="AK1498" s="313"/>
      <c r="AL1498" s="313"/>
      <c r="AM1498" s="313"/>
      <c r="AN1498" s="313"/>
      <c r="AO1498" s="313"/>
      <c r="AP1498" s="313"/>
      <c r="AQ1498" s="314"/>
      <c r="AR1498" s="315" t="str">
        <f t="shared" si="93"/>
        <v/>
      </c>
      <c r="BH1498" s="321" t="str">
        <f t="shared" si="92"/>
        <v/>
      </c>
    </row>
    <row r="1499" spans="37:60" ht="30" hidden="1" customHeight="1">
      <c r="AK1499" s="313"/>
      <c r="AL1499" s="313"/>
      <c r="AM1499" s="313"/>
      <c r="AN1499" s="313"/>
      <c r="AO1499" s="313"/>
      <c r="AP1499" s="313"/>
      <c r="AQ1499" s="314"/>
      <c r="AR1499" s="315" t="str">
        <f t="shared" si="93"/>
        <v/>
      </c>
      <c r="BH1499" s="321" t="str">
        <f t="shared" si="92"/>
        <v/>
      </c>
    </row>
    <row r="1500" spans="37:60" ht="30" hidden="1" customHeight="1">
      <c r="AK1500" s="313"/>
      <c r="AL1500" s="313"/>
      <c r="AM1500" s="313"/>
      <c r="AN1500" s="313"/>
      <c r="AO1500" s="313"/>
      <c r="AP1500" s="313"/>
      <c r="AQ1500" s="314"/>
      <c r="AR1500" s="315" t="str">
        <f t="shared" si="93"/>
        <v/>
      </c>
      <c r="BH1500" s="321" t="str">
        <f t="shared" si="92"/>
        <v/>
      </c>
    </row>
    <row r="1501" spans="37:60" ht="30" hidden="1" customHeight="1">
      <c r="AK1501" s="313"/>
      <c r="AL1501" s="313"/>
      <c r="AM1501" s="313"/>
      <c r="AN1501" s="313"/>
      <c r="AO1501" s="313"/>
      <c r="AP1501" s="313"/>
      <c r="AQ1501" s="314"/>
      <c r="AR1501" s="315" t="str">
        <f t="shared" si="93"/>
        <v/>
      </c>
      <c r="BH1501" s="321" t="str">
        <f t="shared" si="92"/>
        <v/>
      </c>
    </row>
    <row r="1502" spans="37:60" ht="30" hidden="1" customHeight="1">
      <c r="AK1502" s="313"/>
      <c r="AL1502" s="313"/>
      <c r="AM1502" s="313"/>
      <c r="AN1502" s="313"/>
      <c r="AO1502" s="313"/>
      <c r="AP1502" s="313"/>
      <c r="AQ1502" s="314"/>
      <c r="AR1502" s="315" t="str">
        <f t="shared" si="93"/>
        <v/>
      </c>
      <c r="BH1502" s="321" t="str">
        <f t="shared" si="92"/>
        <v/>
      </c>
    </row>
    <row r="1503" spans="37:60" ht="30" hidden="1" customHeight="1">
      <c r="AK1503" s="313"/>
      <c r="AL1503" s="313"/>
      <c r="AM1503" s="313"/>
      <c r="AN1503" s="313"/>
      <c r="AO1503" s="313"/>
      <c r="AP1503" s="313"/>
      <c r="AQ1503" s="314"/>
      <c r="AR1503" s="315" t="str">
        <f t="shared" si="93"/>
        <v/>
      </c>
      <c r="BH1503" s="321" t="str">
        <f t="shared" si="92"/>
        <v/>
      </c>
    </row>
    <row r="1504" spans="37:60" ht="30" hidden="1" customHeight="1">
      <c r="AK1504" s="313"/>
      <c r="AL1504" s="313"/>
      <c r="AM1504" s="313"/>
      <c r="AN1504" s="313"/>
      <c r="AO1504" s="313"/>
      <c r="AP1504" s="313"/>
      <c r="AQ1504" s="314"/>
      <c r="AR1504" s="315" t="str">
        <f t="shared" si="93"/>
        <v/>
      </c>
      <c r="BH1504" s="321" t="str">
        <f t="shared" si="92"/>
        <v/>
      </c>
    </row>
    <row r="1505" spans="37:60" ht="30" hidden="1" customHeight="1">
      <c r="AK1505" s="313"/>
      <c r="AL1505" s="313"/>
      <c r="AM1505" s="313"/>
      <c r="AN1505" s="313"/>
      <c r="AO1505" s="313"/>
      <c r="AP1505" s="313"/>
      <c r="AQ1505" s="314"/>
      <c r="AR1505" s="315" t="str">
        <f t="shared" si="93"/>
        <v/>
      </c>
      <c r="BH1505" s="321" t="str">
        <f t="shared" si="92"/>
        <v/>
      </c>
    </row>
    <row r="1506" spans="37:60" ht="30" hidden="1" customHeight="1">
      <c r="AK1506" s="313"/>
      <c r="AL1506" s="313"/>
      <c r="AM1506" s="313"/>
      <c r="AN1506" s="313"/>
      <c r="AO1506" s="313"/>
      <c r="AP1506" s="313"/>
      <c r="AQ1506" s="314"/>
      <c r="AR1506" s="315" t="str">
        <f t="shared" si="93"/>
        <v/>
      </c>
      <c r="BH1506" s="321" t="str">
        <f t="shared" si="92"/>
        <v/>
      </c>
    </row>
    <row r="1507" spans="37:60" ht="30" hidden="1" customHeight="1">
      <c r="AK1507" s="313"/>
      <c r="AL1507" s="313"/>
      <c r="AM1507" s="313"/>
      <c r="AN1507" s="313"/>
      <c r="AO1507" s="313"/>
      <c r="AP1507" s="313"/>
      <c r="AQ1507" s="314"/>
      <c r="AR1507" s="315" t="str">
        <f t="shared" si="93"/>
        <v/>
      </c>
      <c r="BH1507" s="321" t="str">
        <f t="shared" si="92"/>
        <v/>
      </c>
    </row>
    <row r="1508" spans="37:60" ht="30" hidden="1" customHeight="1">
      <c r="AK1508" s="313"/>
      <c r="AL1508" s="313"/>
      <c r="AM1508" s="313"/>
      <c r="AN1508" s="313"/>
      <c r="AO1508" s="313"/>
      <c r="AP1508" s="313"/>
      <c r="AQ1508" s="314"/>
      <c r="AR1508" s="315" t="str">
        <f t="shared" si="93"/>
        <v/>
      </c>
      <c r="BH1508" s="321" t="str">
        <f t="shared" si="92"/>
        <v/>
      </c>
    </row>
    <row r="1509" spans="37:60" ht="30" hidden="1" customHeight="1">
      <c r="AK1509" s="313"/>
      <c r="AL1509" s="313"/>
      <c r="AM1509" s="313"/>
      <c r="AN1509" s="313"/>
      <c r="AO1509" s="313"/>
      <c r="AP1509" s="313"/>
      <c r="AQ1509" s="314"/>
      <c r="AR1509" s="315" t="str">
        <f t="shared" si="93"/>
        <v/>
      </c>
      <c r="BH1509" s="321" t="str">
        <f t="shared" si="92"/>
        <v/>
      </c>
    </row>
    <row r="1510" spans="37:60" ht="30" hidden="1" customHeight="1">
      <c r="AK1510" s="313"/>
      <c r="AL1510" s="313"/>
      <c r="AM1510" s="313"/>
      <c r="AN1510" s="313"/>
      <c r="AO1510" s="313"/>
      <c r="AP1510" s="313"/>
      <c r="AQ1510" s="314"/>
      <c r="AR1510" s="315" t="str">
        <f t="shared" si="93"/>
        <v/>
      </c>
      <c r="BH1510" s="321" t="str">
        <f t="shared" si="92"/>
        <v/>
      </c>
    </row>
    <row r="1511" spans="37:60" ht="30" hidden="1" customHeight="1">
      <c r="AK1511" s="313"/>
      <c r="AL1511" s="313"/>
      <c r="AM1511" s="313"/>
      <c r="AN1511" s="313"/>
      <c r="AO1511" s="313"/>
      <c r="AP1511" s="313"/>
      <c r="AQ1511" s="314"/>
      <c r="AR1511" s="315" t="str">
        <f t="shared" si="93"/>
        <v/>
      </c>
      <c r="BH1511" s="321" t="str">
        <f t="shared" si="92"/>
        <v/>
      </c>
    </row>
    <row r="1512" spans="37:60" ht="30" hidden="1" customHeight="1">
      <c r="AK1512" s="313"/>
      <c r="AL1512" s="313"/>
      <c r="AM1512" s="313"/>
      <c r="AN1512" s="313"/>
      <c r="AO1512" s="313"/>
      <c r="AP1512" s="313"/>
      <c r="AQ1512" s="314"/>
      <c r="AR1512" s="315" t="str">
        <f t="shared" si="93"/>
        <v/>
      </c>
      <c r="BH1512" s="321" t="str">
        <f t="shared" si="92"/>
        <v/>
      </c>
    </row>
    <row r="1513" spans="37:60" ht="30" hidden="1" customHeight="1">
      <c r="AK1513" s="313"/>
      <c r="AL1513" s="313"/>
      <c r="AM1513" s="313"/>
      <c r="AN1513" s="313"/>
      <c r="AO1513" s="313"/>
      <c r="AP1513" s="313"/>
      <c r="AQ1513" s="314"/>
      <c r="AR1513" s="315" t="str">
        <f t="shared" si="93"/>
        <v/>
      </c>
      <c r="BH1513" s="321" t="str">
        <f t="shared" si="92"/>
        <v/>
      </c>
    </row>
    <row r="1514" spans="37:60" ht="30" hidden="1" customHeight="1">
      <c r="AK1514" s="313"/>
      <c r="AL1514" s="313"/>
      <c r="AM1514" s="313"/>
      <c r="AN1514" s="313"/>
      <c r="AO1514" s="313"/>
      <c r="AP1514" s="313"/>
      <c r="AQ1514" s="314"/>
      <c r="AR1514" s="315" t="str">
        <f t="shared" si="93"/>
        <v/>
      </c>
      <c r="BH1514" s="321" t="str">
        <f t="shared" si="92"/>
        <v/>
      </c>
    </row>
    <row r="1515" spans="37:60" ht="30" hidden="1" customHeight="1">
      <c r="AK1515" s="313"/>
      <c r="AL1515" s="313"/>
      <c r="AM1515" s="313"/>
      <c r="AN1515" s="313"/>
      <c r="AO1515" s="313"/>
      <c r="AP1515" s="313"/>
      <c r="AQ1515" s="314"/>
      <c r="AR1515" s="315" t="str">
        <f t="shared" si="93"/>
        <v/>
      </c>
      <c r="BH1515" s="321" t="str">
        <f t="shared" si="92"/>
        <v/>
      </c>
    </row>
    <row r="1516" spans="37:60" ht="30" hidden="1" customHeight="1">
      <c r="AK1516" s="313"/>
      <c r="AL1516" s="313"/>
      <c r="AM1516" s="313"/>
      <c r="AN1516" s="313"/>
      <c r="AO1516" s="313"/>
      <c r="AP1516" s="313"/>
      <c r="AQ1516" s="314"/>
      <c r="AR1516" s="315" t="str">
        <f t="shared" si="93"/>
        <v/>
      </c>
      <c r="BH1516" s="321" t="str">
        <f t="shared" si="92"/>
        <v/>
      </c>
    </row>
    <row r="1517" spans="37:60" ht="30" hidden="1" customHeight="1">
      <c r="AK1517" s="313"/>
      <c r="AL1517" s="313"/>
      <c r="AM1517" s="313"/>
      <c r="AN1517" s="313"/>
      <c r="AO1517" s="313"/>
      <c r="AP1517" s="313"/>
      <c r="AQ1517" s="314"/>
      <c r="AR1517" s="315" t="str">
        <f t="shared" si="93"/>
        <v/>
      </c>
      <c r="BH1517" s="321" t="str">
        <f t="shared" ref="BH1517:BH1580" si="94">IF(BD1517-KI1517=0,"",BD1517-AK1517)</f>
        <v/>
      </c>
    </row>
    <row r="1518" spans="37:60" ht="30" hidden="1" customHeight="1">
      <c r="AK1518" s="313"/>
      <c r="AL1518" s="313"/>
      <c r="AM1518" s="313"/>
      <c r="AN1518" s="313"/>
      <c r="AO1518" s="313"/>
      <c r="AP1518" s="313"/>
      <c r="AQ1518" s="314"/>
      <c r="AR1518" s="315" t="str">
        <f t="shared" si="93"/>
        <v/>
      </c>
      <c r="BH1518" s="321" t="str">
        <f t="shared" si="94"/>
        <v/>
      </c>
    </row>
    <row r="1519" spans="37:60" ht="30" hidden="1" customHeight="1">
      <c r="AK1519" s="313"/>
      <c r="AL1519" s="313"/>
      <c r="AM1519" s="313"/>
      <c r="AN1519" s="313"/>
      <c r="AO1519" s="313"/>
      <c r="AP1519" s="313"/>
      <c r="AQ1519" s="314"/>
      <c r="AR1519" s="315" t="str">
        <f t="shared" si="93"/>
        <v/>
      </c>
      <c r="BH1519" s="321" t="str">
        <f t="shared" si="94"/>
        <v/>
      </c>
    </row>
    <row r="1520" spans="37:60" ht="30" hidden="1" customHeight="1">
      <c r="AK1520" s="313"/>
      <c r="AL1520" s="313"/>
      <c r="AM1520" s="313"/>
      <c r="AN1520" s="313"/>
      <c r="AO1520" s="313"/>
      <c r="AP1520" s="313"/>
      <c r="AQ1520" s="314"/>
      <c r="AR1520" s="315" t="str">
        <f t="shared" si="93"/>
        <v/>
      </c>
      <c r="BH1520" s="321" t="str">
        <f t="shared" si="94"/>
        <v/>
      </c>
    </row>
    <row r="1521" spans="37:60" ht="30" hidden="1" customHeight="1">
      <c r="AK1521" s="313"/>
      <c r="AL1521" s="313"/>
      <c r="AM1521" s="313"/>
      <c r="AN1521" s="313"/>
      <c r="AO1521" s="313"/>
      <c r="AP1521" s="313"/>
      <c r="AQ1521" s="314"/>
      <c r="AR1521" s="315" t="str">
        <f t="shared" si="93"/>
        <v/>
      </c>
      <c r="BH1521" s="321" t="str">
        <f t="shared" si="94"/>
        <v/>
      </c>
    </row>
    <row r="1522" spans="37:60" ht="30" hidden="1" customHeight="1">
      <c r="AK1522" s="313"/>
      <c r="AL1522" s="313"/>
      <c r="AM1522" s="313"/>
      <c r="AN1522" s="313"/>
      <c r="AO1522" s="313"/>
      <c r="AP1522" s="313"/>
      <c r="AQ1522" s="314"/>
      <c r="AR1522" s="315" t="str">
        <f t="shared" si="93"/>
        <v/>
      </c>
      <c r="BH1522" s="321" t="str">
        <f t="shared" si="94"/>
        <v/>
      </c>
    </row>
    <row r="1523" spans="37:60" ht="30" hidden="1" customHeight="1">
      <c r="AK1523" s="313"/>
      <c r="AL1523" s="313"/>
      <c r="AM1523" s="313"/>
      <c r="AN1523" s="313"/>
      <c r="AO1523" s="313"/>
      <c r="AP1523" s="313"/>
      <c r="AQ1523" s="314"/>
      <c r="AR1523" s="315" t="str">
        <f t="shared" si="93"/>
        <v/>
      </c>
      <c r="BH1523" s="321" t="str">
        <f t="shared" si="94"/>
        <v/>
      </c>
    </row>
    <row r="1524" spans="37:60" ht="30" hidden="1" customHeight="1">
      <c r="AK1524" s="313"/>
      <c r="AL1524" s="313"/>
      <c r="AM1524" s="313"/>
      <c r="AN1524" s="313"/>
      <c r="AO1524" s="313"/>
      <c r="AP1524" s="313"/>
      <c r="AQ1524" s="314"/>
      <c r="AR1524" s="315" t="str">
        <f t="shared" si="93"/>
        <v/>
      </c>
      <c r="BH1524" s="321" t="str">
        <f t="shared" si="94"/>
        <v/>
      </c>
    </row>
    <row r="1525" spans="37:60" ht="30" hidden="1" customHeight="1">
      <c r="AK1525" s="313"/>
      <c r="AL1525" s="313"/>
      <c r="AM1525" s="313"/>
      <c r="AN1525" s="313"/>
      <c r="AO1525" s="313"/>
      <c r="AP1525" s="313"/>
      <c r="AQ1525" s="314"/>
      <c r="AR1525" s="315" t="str">
        <f t="shared" si="93"/>
        <v/>
      </c>
      <c r="BH1525" s="321" t="str">
        <f t="shared" si="94"/>
        <v/>
      </c>
    </row>
    <row r="1526" spans="37:60" ht="30" hidden="1" customHeight="1">
      <c r="AK1526" s="313"/>
      <c r="AL1526" s="313"/>
      <c r="AM1526" s="313"/>
      <c r="AN1526" s="313"/>
      <c r="AO1526" s="313"/>
      <c r="AP1526" s="313"/>
      <c r="AQ1526" s="314"/>
      <c r="AR1526" s="315" t="str">
        <f t="shared" si="93"/>
        <v/>
      </c>
      <c r="BH1526" s="321" t="str">
        <f t="shared" si="94"/>
        <v/>
      </c>
    </row>
    <row r="1527" spans="37:60" ht="30" hidden="1" customHeight="1">
      <c r="AK1527" s="313"/>
      <c r="AL1527" s="313"/>
      <c r="AM1527" s="313"/>
      <c r="AN1527" s="313"/>
      <c r="AO1527" s="313"/>
      <c r="AP1527" s="313"/>
      <c r="AQ1527" s="314"/>
      <c r="AR1527" s="315" t="str">
        <f t="shared" si="93"/>
        <v/>
      </c>
      <c r="BH1527" s="321" t="str">
        <f t="shared" si="94"/>
        <v/>
      </c>
    </row>
    <row r="1528" spans="37:60" ht="30" hidden="1" customHeight="1">
      <c r="AK1528" s="313"/>
      <c r="AL1528" s="313"/>
      <c r="AM1528" s="313"/>
      <c r="AN1528" s="313"/>
      <c r="AO1528" s="313"/>
      <c r="AP1528" s="313"/>
      <c r="AQ1528" s="314"/>
      <c r="AR1528" s="315" t="str">
        <f t="shared" si="93"/>
        <v/>
      </c>
      <c r="BH1528" s="321" t="str">
        <f t="shared" si="94"/>
        <v/>
      </c>
    </row>
    <row r="1529" spans="37:60" ht="30" hidden="1" customHeight="1">
      <c r="AK1529" s="313"/>
      <c r="AL1529" s="313"/>
      <c r="AM1529" s="313"/>
      <c r="AN1529" s="313"/>
      <c r="AO1529" s="313"/>
      <c r="AP1529" s="313"/>
      <c r="AQ1529" s="314"/>
      <c r="AR1529" s="315" t="str">
        <f t="shared" si="93"/>
        <v/>
      </c>
      <c r="BH1529" s="321" t="str">
        <f t="shared" si="94"/>
        <v/>
      </c>
    </row>
    <row r="1530" spans="37:60" ht="30" hidden="1" customHeight="1">
      <c r="AK1530" s="313"/>
      <c r="AL1530" s="313"/>
      <c r="AM1530" s="313"/>
      <c r="AN1530" s="313"/>
      <c r="AO1530" s="313"/>
      <c r="AP1530" s="313"/>
      <c r="AQ1530" s="314"/>
      <c r="AR1530" s="315" t="str">
        <f t="shared" si="93"/>
        <v/>
      </c>
      <c r="BH1530" s="321" t="str">
        <f t="shared" si="94"/>
        <v/>
      </c>
    </row>
    <row r="1531" spans="37:60" ht="30" hidden="1" customHeight="1">
      <c r="AK1531" s="313"/>
      <c r="AL1531" s="313"/>
      <c r="AM1531" s="313"/>
      <c r="AN1531" s="313"/>
      <c r="AO1531" s="313"/>
      <c r="AP1531" s="313"/>
      <c r="AQ1531" s="314"/>
      <c r="AR1531" s="315" t="str">
        <f t="shared" si="93"/>
        <v/>
      </c>
      <c r="BH1531" s="321" t="str">
        <f t="shared" si="94"/>
        <v/>
      </c>
    </row>
    <row r="1532" spans="37:60" ht="30" hidden="1" customHeight="1">
      <c r="AK1532" s="313"/>
      <c r="AL1532" s="313"/>
      <c r="AM1532" s="313"/>
      <c r="AN1532" s="313"/>
      <c r="AO1532" s="313"/>
      <c r="AP1532" s="313"/>
      <c r="AQ1532" s="314"/>
      <c r="AR1532" s="315" t="str">
        <f t="shared" si="93"/>
        <v/>
      </c>
      <c r="BH1532" s="321" t="str">
        <f t="shared" si="94"/>
        <v/>
      </c>
    </row>
    <row r="1533" spans="37:60" ht="30" hidden="1" customHeight="1">
      <c r="AK1533" s="313"/>
      <c r="AL1533" s="313"/>
      <c r="AM1533" s="313"/>
      <c r="AN1533" s="313"/>
      <c r="AO1533" s="313"/>
      <c r="AP1533" s="313"/>
      <c r="AQ1533" s="314"/>
      <c r="AR1533" s="315" t="str">
        <f t="shared" si="93"/>
        <v/>
      </c>
      <c r="BH1533" s="321" t="str">
        <f t="shared" si="94"/>
        <v/>
      </c>
    </row>
    <row r="1534" spans="37:60" ht="30" hidden="1" customHeight="1">
      <c r="AK1534" s="313"/>
      <c r="AL1534" s="313"/>
      <c r="AM1534" s="313"/>
      <c r="AN1534" s="313"/>
      <c r="AO1534" s="313"/>
      <c r="AP1534" s="313"/>
      <c r="AQ1534" s="314"/>
      <c r="AR1534" s="315" t="str">
        <f t="shared" si="93"/>
        <v/>
      </c>
      <c r="BH1534" s="321" t="str">
        <f t="shared" si="94"/>
        <v/>
      </c>
    </row>
    <row r="1535" spans="37:60" ht="30" hidden="1" customHeight="1">
      <c r="AK1535" s="313"/>
      <c r="AL1535" s="313"/>
      <c r="AM1535" s="313"/>
      <c r="AN1535" s="313"/>
      <c r="AO1535" s="313"/>
      <c r="AP1535" s="313"/>
      <c r="AQ1535" s="314"/>
      <c r="AR1535" s="315" t="str">
        <f t="shared" ref="AR1535:AR1598" si="95">IF(AQ1535="SIM","AGUARDANDO CORREÇÃO",IF(AP1535&lt;&gt;"","FINALIZADO",IF(AO1535&lt;&gt;"","AGUARDANDO ENVIO DTS",IF(AN1535&lt;&gt;"","AGUARDANDO ASSINATURA GAB",IF(AM1535&lt;&gt;"","AGUARDANDO ASSINATURA CTS",IF(AL1535&lt;&gt;"","AGUARDANDO ENVIO ASSINATURA CTS",IF(AK1535&lt;&gt;"","AGUARDANDO CONFERÊNCIA","")))))))</f>
        <v/>
      </c>
      <c r="BH1535" s="321" t="str">
        <f t="shared" si="94"/>
        <v/>
      </c>
    </row>
    <row r="1536" spans="37:60" ht="30" hidden="1" customHeight="1">
      <c r="AK1536" s="313"/>
      <c r="AL1536" s="313"/>
      <c r="AM1536" s="313"/>
      <c r="AN1536" s="313"/>
      <c r="AO1536" s="313"/>
      <c r="AP1536" s="313"/>
      <c r="AQ1536" s="314"/>
      <c r="AR1536" s="315" t="str">
        <f t="shared" si="95"/>
        <v/>
      </c>
      <c r="BH1536" s="321" t="str">
        <f t="shared" si="94"/>
        <v/>
      </c>
    </row>
    <row r="1537" spans="37:60" ht="30" hidden="1" customHeight="1">
      <c r="AK1537" s="313"/>
      <c r="AL1537" s="313"/>
      <c r="AM1537" s="313"/>
      <c r="AN1537" s="313"/>
      <c r="AO1537" s="313"/>
      <c r="AP1537" s="313"/>
      <c r="AQ1537" s="314"/>
      <c r="AR1537" s="315" t="str">
        <f t="shared" si="95"/>
        <v/>
      </c>
      <c r="BH1537" s="321" t="str">
        <f t="shared" si="94"/>
        <v/>
      </c>
    </row>
    <row r="1538" spans="37:60" ht="30" hidden="1" customHeight="1">
      <c r="AK1538" s="313"/>
      <c r="AL1538" s="313"/>
      <c r="AM1538" s="313"/>
      <c r="AN1538" s="313"/>
      <c r="AO1538" s="313"/>
      <c r="AP1538" s="313"/>
      <c r="AQ1538" s="314"/>
      <c r="AR1538" s="315" t="str">
        <f t="shared" si="95"/>
        <v/>
      </c>
      <c r="BH1538" s="321" t="str">
        <f t="shared" si="94"/>
        <v/>
      </c>
    </row>
    <row r="1539" spans="37:60" ht="30" hidden="1" customHeight="1">
      <c r="AK1539" s="313"/>
      <c r="AL1539" s="313"/>
      <c r="AM1539" s="313"/>
      <c r="AN1539" s="313"/>
      <c r="AO1539" s="313"/>
      <c r="AP1539" s="313"/>
      <c r="AQ1539" s="314"/>
      <c r="AR1539" s="315" t="str">
        <f t="shared" si="95"/>
        <v/>
      </c>
      <c r="BH1539" s="321" t="str">
        <f t="shared" si="94"/>
        <v/>
      </c>
    </row>
    <row r="1540" spans="37:60" ht="30" hidden="1" customHeight="1">
      <c r="AK1540" s="313"/>
      <c r="AL1540" s="313"/>
      <c r="AM1540" s="313"/>
      <c r="AN1540" s="313"/>
      <c r="AO1540" s="313"/>
      <c r="AP1540" s="313"/>
      <c r="AQ1540" s="314"/>
      <c r="AR1540" s="315" t="str">
        <f t="shared" si="95"/>
        <v/>
      </c>
      <c r="BH1540" s="321" t="str">
        <f t="shared" si="94"/>
        <v/>
      </c>
    </row>
    <row r="1541" spans="37:60" ht="30" hidden="1" customHeight="1">
      <c r="AK1541" s="313"/>
      <c r="AL1541" s="313"/>
      <c r="AM1541" s="313"/>
      <c r="AN1541" s="313"/>
      <c r="AO1541" s="313"/>
      <c r="AP1541" s="313"/>
      <c r="AQ1541" s="314"/>
      <c r="AR1541" s="315" t="str">
        <f t="shared" si="95"/>
        <v/>
      </c>
      <c r="BH1541" s="321" t="str">
        <f t="shared" si="94"/>
        <v/>
      </c>
    </row>
    <row r="1542" spans="37:60" ht="30" hidden="1" customHeight="1">
      <c r="AK1542" s="313"/>
      <c r="AL1542" s="313"/>
      <c r="AM1542" s="313"/>
      <c r="AN1542" s="313"/>
      <c r="AO1542" s="313"/>
      <c r="AP1542" s="313"/>
      <c r="AQ1542" s="314"/>
      <c r="AR1542" s="315" t="str">
        <f t="shared" si="95"/>
        <v/>
      </c>
      <c r="BH1542" s="321" t="str">
        <f t="shared" si="94"/>
        <v/>
      </c>
    </row>
    <row r="1543" spans="37:60" ht="30" hidden="1" customHeight="1">
      <c r="AK1543" s="313"/>
      <c r="AL1543" s="313"/>
      <c r="AM1543" s="313"/>
      <c r="AN1543" s="313"/>
      <c r="AO1543" s="313"/>
      <c r="AP1543" s="313"/>
      <c r="AQ1543" s="314"/>
      <c r="AR1543" s="315" t="str">
        <f t="shared" si="95"/>
        <v/>
      </c>
      <c r="BH1543" s="321" t="str">
        <f t="shared" si="94"/>
        <v/>
      </c>
    </row>
    <row r="1544" spans="37:60" ht="30" hidden="1" customHeight="1">
      <c r="AK1544" s="313"/>
      <c r="AL1544" s="313"/>
      <c r="AM1544" s="313"/>
      <c r="AN1544" s="313"/>
      <c r="AO1544" s="313"/>
      <c r="AP1544" s="313"/>
      <c r="AQ1544" s="314"/>
      <c r="AR1544" s="315" t="str">
        <f t="shared" si="95"/>
        <v/>
      </c>
      <c r="BH1544" s="321" t="str">
        <f t="shared" si="94"/>
        <v/>
      </c>
    </row>
    <row r="1545" spans="37:60" ht="30" hidden="1" customHeight="1">
      <c r="AK1545" s="313"/>
      <c r="AL1545" s="313"/>
      <c r="AM1545" s="313"/>
      <c r="AN1545" s="313"/>
      <c r="AO1545" s="313"/>
      <c r="AP1545" s="313"/>
      <c r="AQ1545" s="314"/>
      <c r="AR1545" s="315" t="str">
        <f t="shared" si="95"/>
        <v/>
      </c>
      <c r="BH1545" s="321" t="str">
        <f t="shared" si="94"/>
        <v/>
      </c>
    </row>
    <row r="1546" spans="37:60" ht="30" hidden="1" customHeight="1">
      <c r="AK1546" s="313"/>
      <c r="AL1546" s="313"/>
      <c r="AM1546" s="313"/>
      <c r="AN1546" s="313"/>
      <c r="AO1546" s="313"/>
      <c r="AP1546" s="313"/>
      <c r="AQ1546" s="314"/>
      <c r="AR1546" s="315" t="str">
        <f t="shared" si="95"/>
        <v/>
      </c>
      <c r="BH1546" s="321" t="str">
        <f t="shared" si="94"/>
        <v/>
      </c>
    </row>
    <row r="1547" spans="37:60" ht="30" hidden="1" customHeight="1">
      <c r="AK1547" s="313"/>
      <c r="AL1547" s="313"/>
      <c r="AM1547" s="313"/>
      <c r="AN1547" s="313"/>
      <c r="AO1547" s="313"/>
      <c r="AP1547" s="313"/>
      <c r="AQ1547" s="314"/>
      <c r="AR1547" s="315" t="str">
        <f t="shared" si="95"/>
        <v/>
      </c>
      <c r="BH1547" s="321" t="str">
        <f t="shared" si="94"/>
        <v/>
      </c>
    </row>
    <row r="1548" spans="37:60" ht="30" hidden="1" customHeight="1">
      <c r="AK1548" s="313"/>
      <c r="AL1548" s="313"/>
      <c r="AM1548" s="313"/>
      <c r="AN1548" s="313"/>
      <c r="AO1548" s="313"/>
      <c r="AP1548" s="313"/>
      <c r="AQ1548" s="314"/>
      <c r="AR1548" s="315" t="str">
        <f t="shared" si="95"/>
        <v/>
      </c>
      <c r="BH1548" s="321" t="str">
        <f t="shared" si="94"/>
        <v/>
      </c>
    </row>
    <row r="1549" spans="37:60" ht="30" hidden="1" customHeight="1">
      <c r="AK1549" s="313"/>
      <c r="AL1549" s="313"/>
      <c r="AM1549" s="313"/>
      <c r="AN1549" s="313"/>
      <c r="AO1549" s="313"/>
      <c r="AP1549" s="313"/>
      <c r="AQ1549" s="314"/>
      <c r="AR1549" s="315" t="str">
        <f t="shared" si="95"/>
        <v/>
      </c>
      <c r="BH1549" s="321" t="str">
        <f t="shared" si="94"/>
        <v/>
      </c>
    </row>
    <row r="1550" spans="37:60" ht="30" hidden="1" customHeight="1">
      <c r="AK1550" s="313"/>
      <c r="AL1550" s="313"/>
      <c r="AM1550" s="313"/>
      <c r="AN1550" s="313"/>
      <c r="AO1550" s="313"/>
      <c r="AP1550" s="313"/>
      <c r="AQ1550" s="314"/>
      <c r="AR1550" s="315" t="str">
        <f t="shared" si="95"/>
        <v/>
      </c>
      <c r="BH1550" s="321" t="str">
        <f t="shared" si="94"/>
        <v/>
      </c>
    </row>
    <row r="1551" spans="37:60" ht="30" hidden="1" customHeight="1">
      <c r="AK1551" s="313"/>
      <c r="AL1551" s="313"/>
      <c r="AM1551" s="313"/>
      <c r="AN1551" s="313"/>
      <c r="AO1551" s="313"/>
      <c r="AP1551" s="313"/>
      <c r="AQ1551" s="314"/>
      <c r="AR1551" s="315" t="str">
        <f t="shared" si="95"/>
        <v/>
      </c>
      <c r="BH1551" s="321" t="str">
        <f t="shared" si="94"/>
        <v/>
      </c>
    </row>
    <row r="1552" spans="37:60" ht="30" hidden="1" customHeight="1">
      <c r="AK1552" s="313"/>
      <c r="AL1552" s="313"/>
      <c r="AM1552" s="313"/>
      <c r="AN1552" s="313"/>
      <c r="AO1552" s="313"/>
      <c r="AP1552" s="313"/>
      <c r="AQ1552" s="314"/>
      <c r="AR1552" s="315" t="str">
        <f t="shared" si="95"/>
        <v/>
      </c>
      <c r="BH1552" s="321" t="str">
        <f t="shared" si="94"/>
        <v/>
      </c>
    </row>
    <row r="1553" spans="37:60" ht="30" hidden="1" customHeight="1">
      <c r="AK1553" s="313"/>
      <c r="AL1553" s="313"/>
      <c r="AM1553" s="313"/>
      <c r="AN1553" s="313"/>
      <c r="AO1553" s="313"/>
      <c r="AP1553" s="313"/>
      <c r="AQ1553" s="314"/>
      <c r="AR1553" s="315" t="str">
        <f t="shared" si="95"/>
        <v/>
      </c>
      <c r="BH1553" s="321" t="str">
        <f t="shared" si="94"/>
        <v/>
      </c>
    </row>
    <row r="1554" spans="37:60" ht="30" hidden="1" customHeight="1">
      <c r="AK1554" s="313"/>
      <c r="AL1554" s="313"/>
      <c r="AM1554" s="313"/>
      <c r="AN1554" s="313"/>
      <c r="AO1554" s="313"/>
      <c r="AP1554" s="313"/>
      <c r="AQ1554" s="314"/>
      <c r="AR1554" s="315" t="str">
        <f t="shared" si="95"/>
        <v/>
      </c>
      <c r="BH1554" s="321" t="str">
        <f t="shared" si="94"/>
        <v/>
      </c>
    </row>
    <row r="1555" spans="37:60" ht="30" hidden="1" customHeight="1">
      <c r="AK1555" s="313"/>
      <c r="AL1555" s="313"/>
      <c r="AM1555" s="313"/>
      <c r="AN1555" s="313"/>
      <c r="AO1555" s="313"/>
      <c r="AP1555" s="313"/>
      <c r="AQ1555" s="314"/>
      <c r="AR1555" s="315" t="str">
        <f t="shared" si="95"/>
        <v/>
      </c>
      <c r="BH1555" s="321" t="str">
        <f t="shared" si="94"/>
        <v/>
      </c>
    </row>
    <row r="1556" spans="37:60" ht="30" hidden="1" customHeight="1">
      <c r="AK1556" s="313"/>
      <c r="AL1556" s="313"/>
      <c r="AM1556" s="313"/>
      <c r="AN1556" s="313"/>
      <c r="AO1556" s="313"/>
      <c r="AP1556" s="313"/>
      <c r="AQ1556" s="314"/>
      <c r="AR1556" s="315" t="str">
        <f t="shared" si="95"/>
        <v/>
      </c>
      <c r="BH1556" s="321" t="str">
        <f t="shared" si="94"/>
        <v/>
      </c>
    </row>
    <row r="1557" spans="37:60" ht="30" hidden="1" customHeight="1">
      <c r="AK1557" s="313"/>
      <c r="AL1557" s="313"/>
      <c r="AM1557" s="313"/>
      <c r="AN1557" s="313"/>
      <c r="AO1557" s="313"/>
      <c r="AP1557" s="313"/>
      <c r="AQ1557" s="314"/>
      <c r="AR1557" s="315" t="str">
        <f t="shared" si="95"/>
        <v/>
      </c>
      <c r="BH1557" s="321" t="str">
        <f t="shared" si="94"/>
        <v/>
      </c>
    </row>
    <row r="1558" spans="37:60" ht="30" hidden="1" customHeight="1">
      <c r="AK1558" s="313"/>
      <c r="AL1558" s="313"/>
      <c r="AM1558" s="313"/>
      <c r="AN1558" s="313"/>
      <c r="AO1558" s="313"/>
      <c r="AP1558" s="313"/>
      <c r="AQ1558" s="314"/>
      <c r="AR1558" s="315" t="str">
        <f t="shared" si="95"/>
        <v/>
      </c>
      <c r="BH1558" s="321" t="str">
        <f t="shared" si="94"/>
        <v/>
      </c>
    </row>
    <row r="1559" spans="37:60" ht="30" hidden="1" customHeight="1">
      <c r="AK1559" s="313"/>
      <c r="AL1559" s="313"/>
      <c r="AM1559" s="313"/>
      <c r="AN1559" s="313"/>
      <c r="AO1559" s="313"/>
      <c r="AP1559" s="313"/>
      <c r="AQ1559" s="314"/>
      <c r="AR1559" s="315" t="str">
        <f t="shared" si="95"/>
        <v/>
      </c>
      <c r="BH1559" s="321" t="str">
        <f t="shared" si="94"/>
        <v/>
      </c>
    </row>
    <row r="1560" spans="37:60" ht="30" hidden="1" customHeight="1">
      <c r="AK1560" s="313"/>
      <c r="AL1560" s="313"/>
      <c r="AM1560" s="313"/>
      <c r="AN1560" s="313"/>
      <c r="AO1560" s="313"/>
      <c r="AP1560" s="313"/>
      <c r="AQ1560" s="314"/>
      <c r="AR1560" s="315" t="str">
        <f t="shared" si="95"/>
        <v/>
      </c>
      <c r="BH1560" s="321" t="str">
        <f t="shared" si="94"/>
        <v/>
      </c>
    </row>
    <row r="1561" spans="37:60" ht="30" hidden="1" customHeight="1">
      <c r="AK1561" s="313"/>
      <c r="AL1561" s="313"/>
      <c r="AM1561" s="313"/>
      <c r="AN1561" s="313"/>
      <c r="AO1561" s="313"/>
      <c r="AP1561" s="313"/>
      <c r="AQ1561" s="314"/>
      <c r="AR1561" s="315" t="str">
        <f t="shared" si="95"/>
        <v/>
      </c>
      <c r="BH1561" s="321" t="str">
        <f t="shared" si="94"/>
        <v/>
      </c>
    </row>
    <row r="1562" spans="37:60" ht="30" hidden="1" customHeight="1">
      <c r="AK1562" s="313"/>
      <c r="AL1562" s="313"/>
      <c r="AM1562" s="313"/>
      <c r="AN1562" s="313"/>
      <c r="AO1562" s="313"/>
      <c r="AP1562" s="313"/>
      <c r="AQ1562" s="314"/>
      <c r="AR1562" s="315" t="str">
        <f t="shared" si="95"/>
        <v/>
      </c>
      <c r="BH1562" s="321" t="str">
        <f t="shared" si="94"/>
        <v/>
      </c>
    </row>
    <row r="1563" spans="37:60" ht="30" hidden="1" customHeight="1">
      <c r="AK1563" s="313"/>
      <c r="AL1563" s="313"/>
      <c r="AM1563" s="313"/>
      <c r="AN1563" s="313"/>
      <c r="AO1563" s="313"/>
      <c r="AP1563" s="313"/>
      <c r="AQ1563" s="314"/>
      <c r="AR1563" s="315" t="str">
        <f t="shared" si="95"/>
        <v/>
      </c>
      <c r="BH1563" s="321" t="str">
        <f t="shared" si="94"/>
        <v/>
      </c>
    </row>
    <row r="1564" spans="37:60" ht="30" hidden="1" customHeight="1">
      <c r="AK1564" s="313"/>
      <c r="AL1564" s="313"/>
      <c r="AM1564" s="313"/>
      <c r="AN1564" s="313"/>
      <c r="AO1564" s="313"/>
      <c r="AP1564" s="313"/>
      <c r="AQ1564" s="314"/>
      <c r="AR1564" s="315" t="str">
        <f t="shared" si="95"/>
        <v/>
      </c>
      <c r="BH1564" s="321" t="str">
        <f t="shared" si="94"/>
        <v/>
      </c>
    </row>
    <row r="1565" spans="37:60" ht="30" hidden="1" customHeight="1">
      <c r="AK1565" s="313"/>
      <c r="AL1565" s="313"/>
      <c r="AM1565" s="313"/>
      <c r="AN1565" s="313"/>
      <c r="AO1565" s="313"/>
      <c r="AP1565" s="313"/>
      <c r="AQ1565" s="314"/>
      <c r="AR1565" s="315" t="str">
        <f t="shared" si="95"/>
        <v/>
      </c>
      <c r="BH1565" s="321" t="str">
        <f t="shared" si="94"/>
        <v/>
      </c>
    </row>
    <row r="1566" spans="37:60" ht="30" hidden="1" customHeight="1">
      <c r="AK1566" s="313"/>
      <c r="AL1566" s="313"/>
      <c r="AM1566" s="313"/>
      <c r="AN1566" s="313"/>
      <c r="AO1566" s="313"/>
      <c r="AP1566" s="313"/>
      <c r="AQ1566" s="314"/>
      <c r="AR1566" s="315" t="str">
        <f t="shared" si="95"/>
        <v/>
      </c>
      <c r="BH1566" s="321" t="str">
        <f t="shared" si="94"/>
        <v/>
      </c>
    </row>
    <row r="1567" spans="37:60" ht="30" hidden="1" customHeight="1">
      <c r="AK1567" s="313"/>
      <c r="AL1567" s="313"/>
      <c r="AM1567" s="313"/>
      <c r="AN1567" s="313"/>
      <c r="AO1567" s="313"/>
      <c r="AP1567" s="313"/>
      <c r="AQ1567" s="314"/>
      <c r="AR1567" s="315" t="str">
        <f t="shared" si="95"/>
        <v/>
      </c>
      <c r="BH1567" s="321" t="str">
        <f t="shared" si="94"/>
        <v/>
      </c>
    </row>
    <row r="1568" spans="37:60" ht="30" hidden="1" customHeight="1">
      <c r="AK1568" s="313"/>
      <c r="AL1568" s="313"/>
      <c r="AM1568" s="313"/>
      <c r="AN1568" s="313"/>
      <c r="AO1568" s="313"/>
      <c r="AP1568" s="313"/>
      <c r="AQ1568" s="314"/>
      <c r="AR1568" s="315" t="str">
        <f t="shared" si="95"/>
        <v/>
      </c>
      <c r="BH1568" s="321" t="str">
        <f t="shared" si="94"/>
        <v/>
      </c>
    </row>
    <row r="1569" spans="37:60" ht="30" hidden="1" customHeight="1">
      <c r="AK1569" s="313"/>
      <c r="AL1569" s="313"/>
      <c r="AM1569" s="313"/>
      <c r="AN1569" s="313"/>
      <c r="AO1569" s="313"/>
      <c r="AP1569" s="313"/>
      <c r="AQ1569" s="314"/>
      <c r="AR1569" s="315" t="str">
        <f t="shared" si="95"/>
        <v/>
      </c>
      <c r="BH1569" s="321" t="str">
        <f t="shared" si="94"/>
        <v/>
      </c>
    </row>
    <row r="1570" spans="37:60" ht="30" hidden="1" customHeight="1">
      <c r="AK1570" s="313"/>
      <c r="AL1570" s="313"/>
      <c r="AM1570" s="313"/>
      <c r="AN1570" s="313"/>
      <c r="AO1570" s="313"/>
      <c r="AP1570" s="313"/>
      <c r="AQ1570" s="314"/>
      <c r="AR1570" s="315" t="str">
        <f t="shared" si="95"/>
        <v/>
      </c>
      <c r="BH1570" s="321" t="str">
        <f t="shared" si="94"/>
        <v/>
      </c>
    </row>
    <row r="1571" spans="37:60" ht="30" hidden="1" customHeight="1">
      <c r="AK1571" s="313"/>
      <c r="AL1571" s="313"/>
      <c r="AM1571" s="313"/>
      <c r="AN1571" s="313"/>
      <c r="AO1571" s="313"/>
      <c r="AP1571" s="313"/>
      <c r="AQ1571" s="314"/>
      <c r="AR1571" s="315" t="str">
        <f t="shared" si="95"/>
        <v/>
      </c>
      <c r="BH1571" s="321" t="str">
        <f t="shared" si="94"/>
        <v/>
      </c>
    </row>
    <row r="1572" spans="37:60" ht="30" hidden="1" customHeight="1">
      <c r="AK1572" s="313"/>
      <c r="AL1572" s="313"/>
      <c r="AM1572" s="313"/>
      <c r="AN1572" s="313"/>
      <c r="AO1572" s="313"/>
      <c r="AP1572" s="313"/>
      <c r="AQ1572" s="314"/>
      <c r="AR1572" s="315" t="str">
        <f t="shared" si="95"/>
        <v/>
      </c>
      <c r="BH1572" s="321" t="str">
        <f t="shared" si="94"/>
        <v/>
      </c>
    </row>
    <row r="1573" spans="37:60" ht="30" hidden="1" customHeight="1">
      <c r="AK1573" s="313"/>
      <c r="AL1573" s="313"/>
      <c r="AM1573" s="313"/>
      <c r="AN1573" s="313"/>
      <c r="AO1573" s="313"/>
      <c r="AP1573" s="313"/>
      <c r="AQ1573" s="314"/>
      <c r="AR1573" s="315" t="str">
        <f t="shared" si="95"/>
        <v/>
      </c>
      <c r="BH1573" s="321" t="str">
        <f t="shared" si="94"/>
        <v/>
      </c>
    </row>
    <row r="1574" spans="37:60" ht="30" hidden="1" customHeight="1">
      <c r="AK1574" s="313"/>
      <c r="AL1574" s="313"/>
      <c r="AM1574" s="313"/>
      <c r="AN1574" s="313"/>
      <c r="AO1574" s="313"/>
      <c r="AP1574" s="313"/>
      <c r="AQ1574" s="314"/>
      <c r="AR1574" s="315" t="str">
        <f t="shared" si="95"/>
        <v/>
      </c>
      <c r="BH1574" s="321" t="str">
        <f t="shared" si="94"/>
        <v/>
      </c>
    </row>
    <row r="1575" spans="37:60" ht="30" hidden="1" customHeight="1">
      <c r="AK1575" s="313"/>
      <c r="AL1575" s="313"/>
      <c r="AM1575" s="313"/>
      <c r="AN1575" s="313"/>
      <c r="AO1575" s="313"/>
      <c r="AP1575" s="313"/>
      <c r="AQ1575" s="314"/>
      <c r="AR1575" s="315" t="str">
        <f t="shared" si="95"/>
        <v/>
      </c>
      <c r="BH1575" s="321" t="str">
        <f t="shared" si="94"/>
        <v/>
      </c>
    </row>
    <row r="1576" spans="37:60" ht="30" hidden="1" customHeight="1">
      <c r="AK1576" s="313"/>
      <c r="AL1576" s="313"/>
      <c r="AM1576" s="313"/>
      <c r="AN1576" s="313"/>
      <c r="AO1576" s="313"/>
      <c r="AP1576" s="313"/>
      <c r="AQ1576" s="314"/>
      <c r="AR1576" s="315" t="str">
        <f t="shared" si="95"/>
        <v/>
      </c>
      <c r="BH1576" s="321" t="str">
        <f t="shared" si="94"/>
        <v/>
      </c>
    </row>
    <row r="1577" spans="37:60" ht="30" hidden="1" customHeight="1">
      <c r="AK1577" s="313"/>
      <c r="AL1577" s="313"/>
      <c r="AM1577" s="313"/>
      <c r="AN1577" s="313"/>
      <c r="AO1577" s="313"/>
      <c r="AP1577" s="313"/>
      <c r="AQ1577" s="314"/>
      <c r="AR1577" s="315" t="str">
        <f t="shared" si="95"/>
        <v/>
      </c>
      <c r="BH1577" s="321" t="str">
        <f t="shared" si="94"/>
        <v/>
      </c>
    </row>
    <row r="1578" spans="37:60" ht="30" hidden="1" customHeight="1">
      <c r="AK1578" s="313"/>
      <c r="AL1578" s="313"/>
      <c r="AM1578" s="313"/>
      <c r="AN1578" s="313"/>
      <c r="AO1578" s="313"/>
      <c r="AP1578" s="313"/>
      <c r="AQ1578" s="314"/>
      <c r="AR1578" s="315" t="str">
        <f t="shared" si="95"/>
        <v/>
      </c>
      <c r="BH1578" s="321" t="str">
        <f t="shared" si="94"/>
        <v/>
      </c>
    </row>
    <row r="1579" spans="37:60" ht="30" hidden="1" customHeight="1">
      <c r="AK1579" s="313"/>
      <c r="AL1579" s="313"/>
      <c r="AM1579" s="313"/>
      <c r="AN1579" s="313"/>
      <c r="AO1579" s="313"/>
      <c r="AP1579" s="313"/>
      <c r="AQ1579" s="314"/>
      <c r="AR1579" s="315" t="str">
        <f t="shared" si="95"/>
        <v/>
      </c>
      <c r="BH1579" s="321" t="str">
        <f t="shared" si="94"/>
        <v/>
      </c>
    </row>
    <row r="1580" spans="37:60" ht="30" hidden="1" customHeight="1">
      <c r="AK1580" s="313"/>
      <c r="AL1580" s="313"/>
      <c r="AM1580" s="313"/>
      <c r="AN1580" s="313"/>
      <c r="AO1580" s="313"/>
      <c r="AP1580" s="313"/>
      <c r="AQ1580" s="314"/>
      <c r="AR1580" s="315" t="str">
        <f t="shared" si="95"/>
        <v/>
      </c>
      <c r="BH1580" s="321" t="str">
        <f t="shared" si="94"/>
        <v/>
      </c>
    </row>
    <row r="1581" spans="37:60" ht="30" hidden="1" customHeight="1">
      <c r="AK1581" s="313"/>
      <c r="AL1581" s="313"/>
      <c r="AM1581" s="313"/>
      <c r="AN1581" s="313"/>
      <c r="AO1581" s="313"/>
      <c r="AP1581" s="313"/>
      <c r="AQ1581" s="314"/>
      <c r="AR1581" s="315" t="str">
        <f t="shared" si="95"/>
        <v/>
      </c>
      <c r="BH1581" s="321" t="str">
        <f t="shared" ref="BH1581:BH1644" si="96">IF(BD1581-KI1581=0,"",BD1581-AK1581)</f>
        <v/>
      </c>
    </row>
    <row r="1582" spans="37:60" ht="30" hidden="1" customHeight="1">
      <c r="AK1582" s="313"/>
      <c r="AL1582" s="313"/>
      <c r="AM1582" s="313"/>
      <c r="AN1582" s="313"/>
      <c r="AO1582" s="313"/>
      <c r="AP1582" s="313"/>
      <c r="AQ1582" s="314"/>
      <c r="AR1582" s="315" t="str">
        <f t="shared" si="95"/>
        <v/>
      </c>
      <c r="BH1582" s="321" t="str">
        <f t="shared" si="96"/>
        <v/>
      </c>
    </row>
    <row r="1583" spans="37:60" ht="30" hidden="1" customHeight="1">
      <c r="AK1583" s="313"/>
      <c r="AL1583" s="313"/>
      <c r="AM1583" s="313"/>
      <c r="AN1583" s="313"/>
      <c r="AO1583" s="313"/>
      <c r="AP1583" s="313"/>
      <c r="AQ1583" s="314"/>
      <c r="AR1583" s="315" t="str">
        <f t="shared" si="95"/>
        <v/>
      </c>
      <c r="BH1583" s="321" t="str">
        <f t="shared" si="96"/>
        <v/>
      </c>
    </row>
    <row r="1584" spans="37:60" ht="30" hidden="1" customHeight="1">
      <c r="AK1584" s="313"/>
      <c r="AL1584" s="313"/>
      <c r="AM1584" s="313"/>
      <c r="AN1584" s="313"/>
      <c r="AO1584" s="313"/>
      <c r="AP1584" s="313"/>
      <c r="AQ1584" s="314"/>
      <c r="AR1584" s="315" t="str">
        <f t="shared" si="95"/>
        <v/>
      </c>
      <c r="BH1584" s="321" t="str">
        <f t="shared" si="96"/>
        <v/>
      </c>
    </row>
    <row r="1585" spans="37:60" ht="30" hidden="1" customHeight="1">
      <c r="AK1585" s="313"/>
      <c r="AL1585" s="313"/>
      <c r="AM1585" s="313"/>
      <c r="AN1585" s="313"/>
      <c r="AO1585" s="313"/>
      <c r="AP1585" s="313"/>
      <c r="AQ1585" s="314"/>
      <c r="AR1585" s="315" t="str">
        <f t="shared" si="95"/>
        <v/>
      </c>
      <c r="BH1585" s="321" t="str">
        <f t="shared" si="96"/>
        <v/>
      </c>
    </row>
    <row r="1586" spans="37:60" ht="30" hidden="1" customHeight="1">
      <c r="AK1586" s="313"/>
      <c r="AL1586" s="313"/>
      <c r="AM1586" s="313"/>
      <c r="AN1586" s="313"/>
      <c r="AO1586" s="313"/>
      <c r="AP1586" s="313"/>
      <c r="AQ1586" s="314"/>
      <c r="AR1586" s="315" t="str">
        <f t="shared" si="95"/>
        <v/>
      </c>
      <c r="BH1586" s="321" t="str">
        <f t="shared" si="96"/>
        <v/>
      </c>
    </row>
    <row r="1587" spans="37:60" ht="30" hidden="1" customHeight="1">
      <c r="AK1587" s="313"/>
      <c r="AL1587" s="313"/>
      <c r="AM1587" s="313"/>
      <c r="AN1587" s="313"/>
      <c r="AO1587" s="313"/>
      <c r="AP1587" s="313"/>
      <c r="AQ1587" s="314"/>
      <c r="AR1587" s="315" t="str">
        <f t="shared" si="95"/>
        <v/>
      </c>
      <c r="BH1587" s="321" t="str">
        <f t="shared" si="96"/>
        <v/>
      </c>
    </row>
    <row r="1588" spans="37:60" ht="30" hidden="1" customHeight="1">
      <c r="AK1588" s="313"/>
      <c r="AL1588" s="313"/>
      <c r="AM1588" s="313"/>
      <c r="AN1588" s="313"/>
      <c r="AO1588" s="313"/>
      <c r="AP1588" s="313"/>
      <c r="AQ1588" s="314"/>
      <c r="AR1588" s="315" t="str">
        <f t="shared" si="95"/>
        <v/>
      </c>
      <c r="BH1588" s="321" t="str">
        <f t="shared" si="96"/>
        <v/>
      </c>
    </row>
    <row r="1589" spans="37:60" ht="30" hidden="1" customHeight="1">
      <c r="AK1589" s="313"/>
      <c r="AL1589" s="313"/>
      <c r="AM1589" s="313"/>
      <c r="AN1589" s="313"/>
      <c r="AO1589" s="313"/>
      <c r="AP1589" s="313"/>
      <c r="AQ1589" s="314"/>
      <c r="AR1589" s="315" t="str">
        <f t="shared" si="95"/>
        <v/>
      </c>
      <c r="BH1589" s="321" t="str">
        <f t="shared" si="96"/>
        <v/>
      </c>
    </row>
    <row r="1590" spans="37:60" ht="30" hidden="1" customHeight="1">
      <c r="AK1590" s="313"/>
      <c r="AL1590" s="313"/>
      <c r="AM1590" s="313"/>
      <c r="AN1590" s="313"/>
      <c r="AO1590" s="313"/>
      <c r="AP1590" s="313"/>
      <c r="AQ1590" s="314"/>
      <c r="AR1590" s="315" t="str">
        <f t="shared" si="95"/>
        <v/>
      </c>
      <c r="BH1590" s="321" t="str">
        <f t="shared" si="96"/>
        <v/>
      </c>
    </row>
    <row r="1591" spans="37:60" ht="30" hidden="1" customHeight="1">
      <c r="AK1591" s="313"/>
      <c r="AL1591" s="313"/>
      <c r="AM1591" s="313"/>
      <c r="AN1591" s="313"/>
      <c r="AO1591" s="313"/>
      <c r="AP1591" s="313"/>
      <c r="AQ1591" s="314"/>
      <c r="AR1591" s="315" t="str">
        <f t="shared" si="95"/>
        <v/>
      </c>
      <c r="BH1591" s="321" t="str">
        <f t="shared" si="96"/>
        <v/>
      </c>
    </row>
    <row r="1592" spans="37:60" ht="30" hidden="1" customHeight="1">
      <c r="AK1592" s="313"/>
      <c r="AL1592" s="313"/>
      <c r="AM1592" s="313"/>
      <c r="AN1592" s="313"/>
      <c r="AO1592" s="313"/>
      <c r="AP1592" s="313"/>
      <c r="AQ1592" s="314"/>
      <c r="AR1592" s="315" t="str">
        <f t="shared" si="95"/>
        <v/>
      </c>
      <c r="BH1592" s="321" t="str">
        <f t="shared" si="96"/>
        <v/>
      </c>
    </row>
    <row r="1593" spans="37:60" ht="30" hidden="1" customHeight="1">
      <c r="AK1593" s="313"/>
      <c r="AL1593" s="313"/>
      <c r="AM1593" s="313"/>
      <c r="AN1593" s="313"/>
      <c r="AO1593" s="313"/>
      <c r="AP1593" s="313"/>
      <c r="AQ1593" s="314"/>
      <c r="AR1593" s="315" t="str">
        <f t="shared" si="95"/>
        <v/>
      </c>
      <c r="BH1593" s="321" t="str">
        <f t="shared" si="96"/>
        <v/>
      </c>
    </row>
    <row r="1594" spans="37:60" ht="30" hidden="1" customHeight="1">
      <c r="AK1594" s="313"/>
      <c r="AL1594" s="313"/>
      <c r="AM1594" s="313"/>
      <c r="AN1594" s="313"/>
      <c r="AO1594" s="313"/>
      <c r="AP1594" s="313"/>
      <c r="AQ1594" s="314"/>
      <c r="AR1594" s="315" t="str">
        <f t="shared" si="95"/>
        <v/>
      </c>
      <c r="BH1594" s="321" t="str">
        <f t="shared" si="96"/>
        <v/>
      </c>
    </row>
    <row r="1595" spans="37:60" ht="30" hidden="1" customHeight="1">
      <c r="AK1595" s="313"/>
      <c r="AL1595" s="313"/>
      <c r="AM1595" s="313"/>
      <c r="AN1595" s="313"/>
      <c r="AO1595" s="313"/>
      <c r="AP1595" s="313"/>
      <c r="AQ1595" s="314"/>
      <c r="AR1595" s="315" t="str">
        <f t="shared" si="95"/>
        <v/>
      </c>
      <c r="BH1595" s="321" t="str">
        <f t="shared" si="96"/>
        <v/>
      </c>
    </row>
    <row r="1596" spans="37:60" ht="30" hidden="1" customHeight="1">
      <c r="AK1596" s="313"/>
      <c r="AL1596" s="313"/>
      <c r="AM1596" s="313"/>
      <c r="AN1596" s="313"/>
      <c r="AO1596" s="313"/>
      <c r="AP1596" s="313"/>
      <c r="AQ1596" s="314"/>
      <c r="AR1596" s="315" t="str">
        <f t="shared" si="95"/>
        <v/>
      </c>
      <c r="BH1596" s="321" t="str">
        <f t="shared" si="96"/>
        <v/>
      </c>
    </row>
    <row r="1597" spans="37:60" ht="30" hidden="1" customHeight="1">
      <c r="AK1597" s="313"/>
      <c r="AL1597" s="313"/>
      <c r="AM1597" s="313"/>
      <c r="AN1597" s="313"/>
      <c r="AO1597" s="313"/>
      <c r="AP1597" s="313"/>
      <c r="AQ1597" s="314"/>
      <c r="AR1597" s="315" t="str">
        <f t="shared" si="95"/>
        <v/>
      </c>
      <c r="BH1597" s="321" t="str">
        <f t="shared" si="96"/>
        <v/>
      </c>
    </row>
    <row r="1598" spans="37:60" ht="30" hidden="1" customHeight="1">
      <c r="AK1598" s="313"/>
      <c r="AL1598" s="313"/>
      <c r="AM1598" s="313"/>
      <c r="AN1598" s="313"/>
      <c r="AO1598" s="313"/>
      <c r="AP1598" s="313"/>
      <c r="AQ1598" s="314"/>
      <c r="AR1598" s="315" t="str">
        <f t="shared" si="95"/>
        <v/>
      </c>
      <c r="BH1598" s="321" t="str">
        <f t="shared" si="96"/>
        <v/>
      </c>
    </row>
    <row r="1599" spans="37:60" ht="30" hidden="1" customHeight="1">
      <c r="AK1599" s="313"/>
      <c r="AL1599" s="313"/>
      <c r="AM1599" s="313"/>
      <c r="AN1599" s="313"/>
      <c r="AO1599" s="313"/>
      <c r="AP1599" s="313"/>
      <c r="AQ1599" s="314"/>
      <c r="AR1599" s="315" t="str">
        <f t="shared" ref="AR1599:AR1662" si="97">IF(AQ1599="SIM","AGUARDANDO CORREÇÃO",IF(AP1599&lt;&gt;"","FINALIZADO",IF(AO1599&lt;&gt;"","AGUARDANDO ENVIO DTS",IF(AN1599&lt;&gt;"","AGUARDANDO ASSINATURA GAB",IF(AM1599&lt;&gt;"","AGUARDANDO ASSINATURA CTS",IF(AL1599&lt;&gt;"","AGUARDANDO ENVIO ASSINATURA CTS",IF(AK1599&lt;&gt;"","AGUARDANDO CONFERÊNCIA","")))))))</f>
        <v/>
      </c>
      <c r="BH1599" s="321" t="str">
        <f t="shared" si="96"/>
        <v/>
      </c>
    </row>
    <row r="1600" spans="37:60" ht="30" hidden="1" customHeight="1">
      <c r="AK1600" s="313"/>
      <c r="AL1600" s="313"/>
      <c r="AM1600" s="313"/>
      <c r="AN1600" s="313"/>
      <c r="AO1600" s="313"/>
      <c r="AP1600" s="313"/>
      <c r="AQ1600" s="314"/>
      <c r="AR1600" s="315" t="str">
        <f t="shared" si="97"/>
        <v/>
      </c>
      <c r="BH1600" s="321" t="str">
        <f t="shared" si="96"/>
        <v/>
      </c>
    </row>
    <row r="1601" spans="37:60" ht="30" hidden="1" customHeight="1">
      <c r="AK1601" s="313"/>
      <c r="AL1601" s="313"/>
      <c r="AM1601" s="313"/>
      <c r="AN1601" s="313"/>
      <c r="AO1601" s="313"/>
      <c r="AP1601" s="313"/>
      <c r="AQ1601" s="314"/>
      <c r="AR1601" s="315" t="str">
        <f t="shared" si="97"/>
        <v/>
      </c>
      <c r="BH1601" s="321" t="str">
        <f t="shared" si="96"/>
        <v/>
      </c>
    </row>
    <row r="1602" spans="37:60" ht="30" hidden="1" customHeight="1">
      <c r="AK1602" s="313"/>
      <c r="AL1602" s="313"/>
      <c r="AM1602" s="313"/>
      <c r="AN1602" s="313"/>
      <c r="AO1602" s="313"/>
      <c r="AP1602" s="313"/>
      <c r="AQ1602" s="314"/>
      <c r="AR1602" s="315" t="str">
        <f t="shared" si="97"/>
        <v/>
      </c>
      <c r="BH1602" s="321" t="str">
        <f t="shared" si="96"/>
        <v/>
      </c>
    </row>
    <row r="1603" spans="37:60" ht="30" hidden="1" customHeight="1">
      <c r="AK1603" s="313"/>
      <c r="AL1603" s="313"/>
      <c r="AM1603" s="313"/>
      <c r="AN1603" s="313"/>
      <c r="AO1603" s="313"/>
      <c r="AP1603" s="313"/>
      <c r="AQ1603" s="314"/>
      <c r="AR1603" s="315" t="str">
        <f t="shared" si="97"/>
        <v/>
      </c>
      <c r="BH1603" s="321" t="str">
        <f t="shared" si="96"/>
        <v/>
      </c>
    </row>
    <row r="1604" spans="37:60" ht="30" hidden="1" customHeight="1">
      <c r="AK1604" s="313"/>
      <c r="AL1604" s="313"/>
      <c r="AM1604" s="313"/>
      <c r="AN1604" s="313"/>
      <c r="AO1604" s="313"/>
      <c r="AP1604" s="313"/>
      <c r="AQ1604" s="314"/>
      <c r="AR1604" s="315" t="str">
        <f t="shared" si="97"/>
        <v/>
      </c>
      <c r="BH1604" s="321" t="str">
        <f t="shared" si="96"/>
        <v/>
      </c>
    </row>
    <row r="1605" spans="37:60" ht="30" hidden="1" customHeight="1">
      <c r="AK1605" s="313"/>
      <c r="AL1605" s="313"/>
      <c r="AM1605" s="313"/>
      <c r="AN1605" s="313"/>
      <c r="AO1605" s="313"/>
      <c r="AP1605" s="313"/>
      <c r="AQ1605" s="314"/>
      <c r="AR1605" s="315" t="str">
        <f t="shared" si="97"/>
        <v/>
      </c>
      <c r="BH1605" s="321" t="str">
        <f t="shared" si="96"/>
        <v/>
      </c>
    </row>
    <row r="1606" spans="37:60" ht="30" hidden="1" customHeight="1">
      <c r="AK1606" s="313"/>
      <c r="AL1606" s="313"/>
      <c r="AM1606" s="313"/>
      <c r="AN1606" s="313"/>
      <c r="AO1606" s="313"/>
      <c r="AP1606" s="313"/>
      <c r="AQ1606" s="314"/>
      <c r="AR1606" s="315" t="str">
        <f t="shared" si="97"/>
        <v/>
      </c>
      <c r="BH1606" s="321" t="str">
        <f t="shared" si="96"/>
        <v/>
      </c>
    </row>
    <row r="1607" spans="37:60" ht="30" hidden="1" customHeight="1">
      <c r="AK1607" s="313"/>
      <c r="AL1607" s="313"/>
      <c r="AM1607" s="313"/>
      <c r="AN1607" s="313"/>
      <c r="AO1607" s="313"/>
      <c r="AP1607" s="313"/>
      <c r="AQ1607" s="314"/>
      <c r="AR1607" s="315" t="str">
        <f t="shared" si="97"/>
        <v/>
      </c>
      <c r="BH1607" s="321" t="str">
        <f t="shared" si="96"/>
        <v/>
      </c>
    </row>
    <row r="1608" spans="37:60" ht="30" hidden="1" customHeight="1">
      <c r="AK1608" s="313"/>
      <c r="AL1608" s="313"/>
      <c r="AM1608" s="313"/>
      <c r="AN1608" s="313"/>
      <c r="AO1608" s="313"/>
      <c r="AP1608" s="313"/>
      <c r="AQ1608" s="314"/>
      <c r="AR1608" s="315" t="str">
        <f t="shared" si="97"/>
        <v/>
      </c>
      <c r="BH1608" s="321" t="str">
        <f t="shared" si="96"/>
        <v/>
      </c>
    </row>
    <row r="1609" spans="37:60" ht="30" hidden="1" customHeight="1">
      <c r="AK1609" s="313"/>
      <c r="AL1609" s="313"/>
      <c r="AM1609" s="313"/>
      <c r="AN1609" s="313"/>
      <c r="AO1609" s="313"/>
      <c r="AP1609" s="313"/>
      <c r="AQ1609" s="314"/>
      <c r="AR1609" s="315" t="str">
        <f t="shared" si="97"/>
        <v/>
      </c>
      <c r="BH1609" s="321" t="str">
        <f t="shared" si="96"/>
        <v/>
      </c>
    </row>
    <row r="1610" spans="37:60" ht="30" hidden="1" customHeight="1">
      <c r="AK1610" s="313"/>
      <c r="AL1610" s="313"/>
      <c r="AM1610" s="313"/>
      <c r="AN1610" s="313"/>
      <c r="AO1610" s="313"/>
      <c r="AP1610" s="313"/>
      <c r="AQ1610" s="314"/>
      <c r="AR1610" s="315" t="str">
        <f t="shared" si="97"/>
        <v/>
      </c>
      <c r="BH1610" s="321" t="str">
        <f t="shared" si="96"/>
        <v/>
      </c>
    </row>
    <row r="1611" spans="37:60" ht="30" hidden="1" customHeight="1">
      <c r="AK1611" s="313"/>
      <c r="AL1611" s="313"/>
      <c r="AM1611" s="313"/>
      <c r="AN1611" s="313"/>
      <c r="AO1611" s="313"/>
      <c r="AP1611" s="313"/>
      <c r="AQ1611" s="314"/>
      <c r="AR1611" s="315" t="str">
        <f t="shared" si="97"/>
        <v/>
      </c>
      <c r="BH1611" s="321" t="str">
        <f t="shared" si="96"/>
        <v/>
      </c>
    </row>
    <row r="1612" spans="37:60" ht="30" hidden="1" customHeight="1">
      <c r="AK1612" s="313"/>
      <c r="AL1612" s="313"/>
      <c r="AM1612" s="313"/>
      <c r="AN1612" s="313"/>
      <c r="AO1612" s="313"/>
      <c r="AP1612" s="313"/>
      <c r="AQ1612" s="314"/>
      <c r="AR1612" s="315" t="str">
        <f t="shared" si="97"/>
        <v/>
      </c>
      <c r="BH1612" s="321" t="str">
        <f t="shared" si="96"/>
        <v/>
      </c>
    </row>
    <row r="1613" spans="37:60" ht="30" hidden="1" customHeight="1">
      <c r="AK1613" s="313"/>
      <c r="AL1613" s="313"/>
      <c r="AM1613" s="313"/>
      <c r="AN1613" s="313"/>
      <c r="AO1613" s="313"/>
      <c r="AP1613" s="313"/>
      <c r="AQ1613" s="314"/>
      <c r="AR1613" s="315" t="str">
        <f t="shared" si="97"/>
        <v/>
      </c>
      <c r="BH1613" s="321" t="str">
        <f t="shared" si="96"/>
        <v/>
      </c>
    </row>
    <row r="1614" spans="37:60" ht="30" hidden="1" customHeight="1">
      <c r="AK1614" s="313"/>
      <c r="AL1614" s="313"/>
      <c r="AM1614" s="313"/>
      <c r="AN1614" s="313"/>
      <c r="AO1614" s="313"/>
      <c r="AP1614" s="313"/>
      <c r="AQ1614" s="314"/>
      <c r="AR1614" s="315" t="str">
        <f t="shared" si="97"/>
        <v/>
      </c>
      <c r="BH1614" s="321" t="str">
        <f t="shared" si="96"/>
        <v/>
      </c>
    </row>
    <row r="1615" spans="37:60" ht="30" hidden="1" customHeight="1">
      <c r="AK1615" s="313"/>
      <c r="AL1615" s="313"/>
      <c r="AM1615" s="313"/>
      <c r="AN1615" s="313"/>
      <c r="AO1615" s="313"/>
      <c r="AP1615" s="313"/>
      <c r="AQ1615" s="314"/>
      <c r="AR1615" s="315" t="str">
        <f t="shared" si="97"/>
        <v/>
      </c>
      <c r="BH1615" s="321" t="str">
        <f t="shared" si="96"/>
        <v/>
      </c>
    </row>
    <row r="1616" spans="37:60" ht="30" hidden="1" customHeight="1">
      <c r="AK1616" s="313"/>
      <c r="AL1616" s="313"/>
      <c r="AM1616" s="313"/>
      <c r="AN1616" s="313"/>
      <c r="AO1616" s="313"/>
      <c r="AP1616" s="313"/>
      <c r="AQ1616" s="314"/>
      <c r="AR1616" s="315" t="str">
        <f t="shared" si="97"/>
        <v/>
      </c>
      <c r="BH1616" s="321" t="str">
        <f t="shared" si="96"/>
        <v/>
      </c>
    </row>
    <row r="1617" spans="37:60" ht="30" hidden="1" customHeight="1">
      <c r="AK1617" s="313"/>
      <c r="AL1617" s="313"/>
      <c r="AM1617" s="313"/>
      <c r="AN1617" s="313"/>
      <c r="AO1617" s="313"/>
      <c r="AP1617" s="313"/>
      <c r="AQ1617" s="314"/>
      <c r="AR1617" s="315" t="str">
        <f t="shared" si="97"/>
        <v/>
      </c>
      <c r="BH1617" s="321" t="str">
        <f t="shared" si="96"/>
        <v/>
      </c>
    </row>
    <row r="1618" spans="37:60" ht="30" hidden="1" customHeight="1">
      <c r="AK1618" s="313"/>
      <c r="AL1618" s="313"/>
      <c r="AM1618" s="313"/>
      <c r="AN1618" s="313"/>
      <c r="AO1618" s="313"/>
      <c r="AP1618" s="313"/>
      <c r="AQ1618" s="314"/>
      <c r="AR1618" s="315" t="str">
        <f t="shared" si="97"/>
        <v/>
      </c>
      <c r="BH1618" s="321" t="str">
        <f t="shared" si="96"/>
        <v/>
      </c>
    </row>
    <row r="1619" spans="37:60" ht="30" hidden="1" customHeight="1">
      <c r="AK1619" s="313"/>
      <c r="AL1619" s="313"/>
      <c r="AM1619" s="313"/>
      <c r="AN1619" s="313"/>
      <c r="AO1619" s="313"/>
      <c r="AP1619" s="313"/>
      <c r="AQ1619" s="314"/>
      <c r="AR1619" s="315" t="str">
        <f t="shared" si="97"/>
        <v/>
      </c>
      <c r="BH1619" s="321" t="str">
        <f t="shared" si="96"/>
        <v/>
      </c>
    </row>
    <row r="1620" spans="37:60" ht="30" hidden="1" customHeight="1">
      <c r="AK1620" s="313"/>
      <c r="AL1620" s="313"/>
      <c r="AM1620" s="313"/>
      <c r="AN1620" s="313"/>
      <c r="AO1620" s="313"/>
      <c r="AP1620" s="313"/>
      <c r="AQ1620" s="314"/>
      <c r="AR1620" s="315" t="str">
        <f t="shared" si="97"/>
        <v/>
      </c>
      <c r="BH1620" s="321" t="str">
        <f t="shared" si="96"/>
        <v/>
      </c>
    </row>
    <row r="1621" spans="37:60" ht="30" hidden="1" customHeight="1">
      <c r="AK1621" s="313"/>
      <c r="AL1621" s="313"/>
      <c r="AM1621" s="313"/>
      <c r="AN1621" s="313"/>
      <c r="AO1621" s="313"/>
      <c r="AP1621" s="313"/>
      <c r="AQ1621" s="314"/>
      <c r="AR1621" s="315" t="str">
        <f t="shared" si="97"/>
        <v/>
      </c>
      <c r="BH1621" s="321" t="str">
        <f t="shared" si="96"/>
        <v/>
      </c>
    </row>
    <row r="1622" spans="37:60" ht="30" hidden="1" customHeight="1">
      <c r="AK1622" s="313"/>
      <c r="AL1622" s="313"/>
      <c r="AM1622" s="313"/>
      <c r="AN1622" s="313"/>
      <c r="AO1622" s="313"/>
      <c r="AP1622" s="313"/>
      <c r="AQ1622" s="314"/>
      <c r="AR1622" s="315" t="str">
        <f t="shared" si="97"/>
        <v/>
      </c>
      <c r="BH1622" s="321" t="str">
        <f t="shared" si="96"/>
        <v/>
      </c>
    </row>
    <row r="1623" spans="37:60" ht="30" hidden="1" customHeight="1">
      <c r="AK1623" s="313"/>
      <c r="AL1623" s="313"/>
      <c r="AM1623" s="313"/>
      <c r="AN1623" s="313"/>
      <c r="AO1623" s="313"/>
      <c r="AP1623" s="313"/>
      <c r="AQ1623" s="314"/>
      <c r="AR1623" s="315" t="str">
        <f t="shared" si="97"/>
        <v/>
      </c>
      <c r="BH1623" s="321" t="str">
        <f t="shared" si="96"/>
        <v/>
      </c>
    </row>
    <row r="1624" spans="37:60" ht="30" hidden="1" customHeight="1">
      <c r="AK1624" s="313"/>
      <c r="AL1624" s="313"/>
      <c r="AM1624" s="313"/>
      <c r="AN1624" s="313"/>
      <c r="AO1624" s="313"/>
      <c r="AP1624" s="313"/>
      <c r="AQ1624" s="314"/>
      <c r="AR1624" s="315" t="str">
        <f t="shared" si="97"/>
        <v/>
      </c>
      <c r="BH1624" s="321" t="str">
        <f t="shared" si="96"/>
        <v/>
      </c>
    </row>
    <row r="1625" spans="37:60" ht="30" hidden="1" customHeight="1">
      <c r="AK1625" s="313"/>
      <c r="AL1625" s="313"/>
      <c r="AM1625" s="313"/>
      <c r="AN1625" s="313"/>
      <c r="AO1625" s="313"/>
      <c r="AP1625" s="313"/>
      <c r="AQ1625" s="314"/>
      <c r="AR1625" s="315" t="str">
        <f t="shared" si="97"/>
        <v/>
      </c>
      <c r="BH1625" s="321" t="str">
        <f t="shared" si="96"/>
        <v/>
      </c>
    </row>
    <row r="1626" spans="37:60" ht="30" hidden="1" customHeight="1">
      <c r="AK1626" s="313"/>
      <c r="AL1626" s="313"/>
      <c r="AM1626" s="313"/>
      <c r="AN1626" s="313"/>
      <c r="AO1626" s="313"/>
      <c r="AP1626" s="313"/>
      <c r="AQ1626" s="314"/>
      <c r="AR1626" s="315" t="str">
        <f t="shared" si="97"/>
        <v/>
      </c>
      <c r="BH1626" s="321" t="str">
        <f t="shared" si="96"/>
        <v/>
      </c>
    </row>
    <row r="1627" spans="37:60" ht="30" hidden="1" customHeight="1">
      <c r="AK1627" s="313"/>
      <c r="AL1627" s="313"/>
      <c r="AM1627" s="313"/>
      <c r="AN1627" s="313"/>
      <c r="AO1627" s="313"/>
      <c r="AP1627" s="313"/>
      <c r="AQ1627" s="314"/>
      <c r="AR1627" s="315" t="str">
        <f t="shared" si="97"/>
        <v/>
      </c>
      <c r="BH1627" s="321" t="str">
        <f t="shared" si="96"/>
        <v/>
      </c>
    </row>
    <row r="1628" spans="37:60" ht="30" hidden="1" customHeight="1">
      <c r="AK1628" s="313"/>
      <c r="AL1628" s="313"/>
      <c r="AM1628" s="313"/>
      <c r="AN1628" s="313"/>
      <c r="AO1628" s="313"/>
      <c r="AP1628" s="313"/>
      <c r="AQ1628" s="314"/>
      <c r="AR1628" s="315" t="str">
        <f t="shared" si="97"/>
        <v/>
      </c>
      <c r="BH1628" s="321" t="str">
        <f t="shared" si="96"/>
        <v/>
      </c>
    </row>
    <row r="1629" spans="37:60" ht="30" hidden="1" customHeight="1">
      <c r="AK1629" s="313"/>
      <c r="AL1629" s="313"/>
      <c r="AM1629" s="313"/>
      <c r="AN1629" s="313"/>
      <c r="AO1629" s="313"/>
      <c r="AP1629" s="313"/>
      <c r="AQ1629" s="314"/>
      <c r="AR1629" s="315" t="str">
        <f t="shared" si="97"/>
        <v/>
      </c>
      <c r="BH1629" s="321" t="str">
        <f t="shared" si="96"/>
        <v/>
      </c>
    </row>
    <row r="1630" spans="37:60" ht="30" hidden="1" customHeight="1">
      <c r="AK1630" s="313"/>
      <c r="AL1630" s="313"/>
      <c r="AM1630" s="313"/>
      <c r="AN1630" s="313"/>
      <c r="AO1630" s="313"/>
      <c r="AP1630" s="313"/>
      <c r="AQ1630" s="314"/>
      <c r="AR1630" s="315" t="str">
        <f t="shared" si="97"/>
        <v/>
      </c>
      <c r="BH1630" s="321" t="str">
        <f t="shared" si="96"/>
        <v/>
      </c>
    </row>
    <row r="1631" spans="37:60" ht="30" hidden="1" customHeight="1">
      <c r="AK1631" s="313"/>
      <c r="AL1631" s="313"/>
      <c r="AM1631" s="313"/>
      <c r="AN1631" s="313"/>
      <c r="AO1631" s="313"/>
      <c r="AP1631" s="313"/>
      <c r="AQ1631" s="314"/>
      <c r="AR1631" s="315" t="str">
        <f t="shared" si="97"/>
        <v/>
      </c>
      <c r="BH1631" s="321" t="str">
        <f t="shared" si="96"/>
        <v/>
      </c>
    </row>
    <row r="1632" spans="37:60" ht="30" hidden="1" customHeight="1">
      <c r="AK1632" s="313"/>
      <c r="AL1632" s="313"/>
      <c r="AM1632" s="313"/>
      <c r="AN1632" s="313"/>
      <c r="AO1632" s="313"/>
      <c r="AP1632" s="313"/>
      <c r="AQ1632" s="314"/>
      <c r="AR1632" s="315" t="str">
        <f t="shared" si="97"/>
        <v/>
      </c>
      <c r="BH1632" s="321" t="str">
        <f t="shared" si="96"/>
        <v/>
      </c>
    </row>
    <row r="1633" spans="37:60" ht="30" hidden="1" customHeight="1">
      <c r="AK1633" s="313"/>
      <c r="AL1633" s="313"/>
      <c r="AM1633" s="313"/>
      <c r="AN1633" s="313"/>
      <c r="AO1633" s="313"/>
      <c r="AP1633" s="313"/>
      <c r="AQ1633" s="314"/>
      <c r="AR1633" s="315" t="str">
        <f t="shared" si="97"/>
        <v/>
      </c>
      <c r="BH1633" s="321" t="str">
        <f t="shared" si="96"/>
        <v/>
      </c>
    </row>
    <row r="1634" spans="37:60" ht="30" hidden="1" customHeight="1">
      <c r="AK1634" s="313"/>
      <c r="AL1634" s="313"/>
      <c r="AM1634" s="313"/>
      <c r="AN1634" s="313"/>
      <c r="AO1634" s="313"/>
      <c r="AP1634" s="313"/>
      <c r="AQ1634" s="314"/>
      <c r="AR1634" s="315" t="str">
        <f t="shared" si="97"/>
        <v/>
      </c>
      <c r="BH1634" s="321" t="str">
        <f t="shared" si="96"/>
        <v/>
      </c>
    </row>
    <row r="1635" spans="37:60" ht="30" hidden="1" customHeight="1">
      <c r="AK1635" s="313"/>
      <c r="AL1635" s="313"/>
      <c r="AM1635" s="313"/>
      <c r="AN1635" s="313"/>
      <c r="AO1635" s="313"/>
      <c r="AP1635" s="313"/>
      <c r="AQ1635" s="314"/>
      <c r="AR1635" s="315" t="str">
        <f t="shared" si="97"/>
        <v/>
      </c>
      <c r="BH1635" s="321" t="str">
        <f t="shared" si="96"/>
        <v/>
      </c>
    </row>
    <row r="1636" spans="37:60" ht="30" hidden="1" customHeight="1">
      <c r="AK1636" s="313"/>
      <c r="AL1636" s="313"/>
      <c r="AM1636" s="313"/>
      <c r="AN1636" s="313"/>
      <c r="AO1636" s="313"/>
      <c r="AP1636" s="313"/>
      <c r="AQ1636" s="314"/>
      <c r="AR1636" s="315" t="str">
        <f t="shared" si="97"/>
        <v/>
      </c>
      <c r="BH1636" s="321" t="str">
        <f t="shared" si="96"/>
        <v/>
      </c>
    </row>
    <row r="1637" spans="37:60" ht="30" hidden="1" customHeight="1">
      <c r="AK1637" s="313"/>
      <c r="AL1637" s="313"/>
      <c r="AM1637" s="313"/>
      <c r="AN1637" s="313"/>
      <c r="AO1637" s="313"/>
      <c r="AP1637" s="313"/>
      <c r="AQ1637" s="314"/>
      <c r="AR1637" s="315" t="str">
        <f t="shared" si="97"/>
        <v/>
      </c>
      <c r="BH1637" s="321" t="str">
        <f t="shared" si="96"/>
        <v/>
      </c>
    </row>
    <row r="1638" spans="37:60" ht="30" hidden="1" customHeight="1">
      <c r="AK1638" s="313"/>
      <c r="AL1638" s="313"/>
      <c r="AM1638" s="313"/>
      <c r="AN1638" s="313"/>
      <c r="AO1638" s="313"/>
      <c r="AP1638" s="313"/>
      <c r="AQ1638" s="314"/>
      <c r="AR1638" s="315" t="str">
        <f t="shared" si="97"/>
        <v/>
      </c>
      <c r="BH1638" s="321" t="str">
        <f t="shared" si="96"/>
        <v/>
      </c>
    </row>
    <row r="1639" spans="37:60" ht="30" hidden="1" customHeight="1">
      <c r="AK1639" s="313"/>
      <c r="AL1639" s="313"/>
      <c r="AM1639" s="313"/>
      <c r="AN1639" s="313"/>
      <c r="AO1639" s="313"/>
      <c r="AP1639" s="313"/>
      <c r="AQ1639" s="314"/>
      <c r="AR1639" s="315" t="str">
        <f t="shared" si="97"/>
        <v/>
      </c>
      <c r="BH1639" s="321" t="str">
        <f t="shared" si="96"/>
        <v/>
      </c>
    </row>
    <row r="1640" spans="37:60" ht="30" hidden="1" customHeight="1">
      <c r="AK1640" s="313"/>
      <c r="AL1640" s="313"/>
      <c r="AM1640" s="313"/>
      <c r="AN1640" s="313"/>
      <c r="AO1640" s="313"/>
      <c r="AP1640" s="313"/>
      <c r="AQ1640" s="314"/>
      <c r="AR1640" s="315" t="str">
        <f t="shared" si="97"/>
        <v/>
      </c>
      <c r="BH1640" s="321" t="str">
        <f t="shared" si="96"/>
        <v/>
      </c>
    </row>
    <row r="1641" spans="37:60" ht="30" hidden="1" customHeight="1">
      <c r="AK1641" s="313"/>
      <c r="AL1641" s="313"/>
      <c r="AM1641" s="313"/>
      <c r="AN1641" s="313"/>
      <c r="AO1641" s="313"/>
      <c r="AP1641" s="313"/>
      <c r="AQ1641" s="314"/>
      <c r="AR1641" s="315" t="str">
        <f t="shared" si="97"/>
        <v/>
      </c>
      <c r="BH1641" s="321" t="str">
        <f t="shared" si="96"/>
        <v/>
      </c>
    </row>
    <row r="1642" spans="37:60" ht="30" hidden="1" customHeight="1">
      <c r="AK1642" s="313"/>
      <c r="AL1642" s="313"/>
      <c r="AM1642" s="313"/>
      <c r="AN1642" s="313"/>
      <c r="AO1642" s="313"/>
      <c r="AP1642" s="313"/>
      <c r="AQ1642" s="314"/>
      <c r="AR1642" s="315" t="str">
        <f t="shared" si="97"/>
        <v/>
      </c>
      <c r="BH1642" s="321" t="str">
        <f t="shared" si="96"/>
        <v/>
      </c>
    </row>
    <row r="1643" spans="37:60" ht="30" hidden="1" customHeight="1">
      <c r="AK1643" s="313"/>
      <c r="AL1643" s="313"/>
      <c r="AM1643" s="313"/>
      <c r="AN1643" s="313"/>
      <c r="AO1643" s="313"/>
      <c r="AP1643" s="313"/>
      <c r="AQ1643" s="314"/>
      <c r="AR1643" s="315" t="str">
        <f t="shared" si="97"/>
        <v/>
      </c>
      <c r="BH1643" s="321" t="str">
        <f t="shared" si="96"/>
        <v/>
      </c>
    </row>
    <row r="1644" spans="37:60" ht="30" hidden="1" customHeight="1">
      <c r="AK1644" s="313"/>
      <c r="AL1644" s="313"/>
      <c r="AM1644" s="313"/>
      <c r="AN1644" s="313"/>
      <c r="AO1644" s="313"/>
      <c r="AP1644" s="313"/>
      <c r="AQ1644" s="314"/>
      <c r="AR1644" s="315" t="str">
        <f t="shared" si="97"/>
        <v/>
      </c>
      <c r="BH1644" s="321" t="str">
        <f t="shared" si="96"/>
        <v/>
      </c>
    </row>
    <row r="1645" spans="37:60" ht="30" hidden="1" customHeight="1">
      <c r="AK1645" s="313"/>
      <c r="AL1645" s="313"/>
      <c r="AM1645" s="313"/>
      <c r="AN1645" s="313"/>
      <c r="AO1645" s="313"/>
      <c r="AP1645" s="313"/>
      <c r="AQ1645" s="314"/>
      <c r="AR1645" s="315" t="str">
        <f t="shared" si="97"/>
        <v/>
      </c>
      <c r="BH1645" s="321" t="str">
        <f t="shared" ref="BH1645:BH1708" si="98">IF(BD1645-KI1645=0,"",BD1645-AK1645)</f>
        <v/>
      </c>
    </row>
    <row r="1646" spans="37:60" ht="30" hidden="1" customHeight="1">
      <c r="AK1646" s="313"/>
      <c r="AL1646" s="313"/>
      <c r="AM1646" s="313"/>
      <c r="AN1646" s="313"/>
      <c r="AO1646" s="313"/>
      <c r="AP1646" s="313"/>
      <c r="AQ1646" s="314"/>
      <c r="AR1646" s="315" t="str">
        <f t="shared" si="97"/>
        <v/>
      </c>
      <c r="BH1646" s="321" t="str">
        <f t="shared" si="98"/>
        <v/>
      </c>
    </row>
    <row r="1647" spans="37:60" ht="30" hidden="1" customHeight="1">
      <c r="AK1647" s="313"/>
      <c r="AL1647" s="313"/>
      <c r="AM1647" s="313"/>
      <c r="AN1647" s="313"/>
      <c r="AO1647" s="313"/>
      <c r="AP1647" s="313"/>
      <c r="AQ1647" s="314"/>
      <c r="AR1647" s="315" t="str">
        <f t="shared" si="97"/>
        <v/>
      </c>
      <c r="BH1647" s="321" t="str">
        <f t="shared" si="98"/>
        <v/>
      </c>
    </row>
    <row r="1648" spans="37:60" ht="30" hidden="1" customHeight="1">
      <c r="AK1648" s="313"/>
      <c r="AL1648" s="313"/>
      <c r="AM1648" s="313"/>
      <c r="AN1648" s="313"/>
      <c r="AO1648" s="313"/>
      <c r="AP1648" s="313"/>
      <c r="AQ1648" s="314"/>
      <c r="AR1648" s="315" t="str">
        <f t="shared" si="97"/>
        <v/>
      </c>
      <c r="BH1648" s="321" t="str">
        <f t="shared" si="98"/>
        <v/>
      </c>
    </row>
    <row r="1649" spans="37:60" ht="30" hidden="1" customHeight="1">
      <c r="AK1649" s="313"/>
      <c r="AL1649" s="313"/>
      <c r="AM1649" s="313"/>
      <c r="AN1649" s="313"/>
      <c r="AO1649" s="313"/>
      <c r="AP1649" s="313"/>
      <c r="AQ1649" s="314"/>
      <c r="AR1649" s="315" t="str">
        <f t="shared" si="97"/>
        <v/>
      </c>
      <c r="BH1649" s="321" t="str">
        <f t="shared" si="98"/>
        <v/>
      </c>
    </row>
    <row r="1650" spans="37:60" ht="30" hidden="1" customHeight="1">
      <c r="AK1650" s="313"/>
      <c r="AL1650" s="313"/>
      <c r="AM1650" s="313"/>
      <c r="AN1650" s="313"/>
      <c r="AO1650" s="313"/>
      <c r="AP1650" s="313"/>
      <c r="AQ1650" s="314"/>
      <c r="AR1650" s="315" t="str">
        <f t="shared" si="97"/>
        <v/>
      </c>
      <c r="BH1650" s="321" t="str">
        <f t="shared" si="98"/>
        <v/>
      </c>
    </row>
    <row r="1651" spans="37:60" ht="30" hidden="1" customHeight="1">
      <c r="AK1651" s="313"/>
      <c r="AL1651" s="313"/>
      <c r="AM1651" s="313"/>
      <c r="AN1651" s="313"/>
      <c r="AO1651" s="313"/>
      <c r="AP1651" s="313"/>
      <c r="AQ1651" s="314"/>
      <c r="AR1651" s="315" t="str">
        <f t="shared" si="97"/>
        <v/>
      </c>
      <c r="BH1651" s="321" t="str">
        <f t="shared" si="98"/>
        <v/>
      </c>
    </row>
    <row r="1652" spans="37:60" ht="30" hidden="1" customHeight="1">
      <c r="AK1652" s="313"/>
      <c r="AL1652" s="313"/>
      <c r="AM1652" s="313"/>
      <c r="AN1652" s="313"/>
      <c r="AO1652" s="313"/>
      <c r="AP1652" s="313"/>
      <c r="AQ1652" s="314"/>
      <c r="AR1652" s="315" t="str">
        <f t="shared" si="97"/>
        <v/>
      </c>
      <c r="BH1652" s="321" t="str">
        <f t="shared" si="98"/>
        <v/>
      </c>
    </row>
    <row r="1653" spans="37:60" ht="30" hidden="1" customHeight="1">
      <c r="AK1653" s="313"/>
      <c r="AL1653" s="313"/>
      <c r="AM1653" s="313"/>
      <c r="AN1653" s="313"/>
      <c r="AO1653" s="313"/>
      <c r="AP1653" s="313"/>
      <c r="AQ1653" s="314"/>
      <c r="AR1653" s="315" t="str">
        <f t="shared" si="97"/>
        <v/>
      </c>
      <c r="BH1653" s="321" t="str">
        <f t="shared" si="98"/>
        <v/>
      </c>
    </row>
    <row r="1654" spans="37:60" ht="30" hidden="1" customHeight="1">
      <c r="AK1654" s="313"/>
      <c r="AL1654" s="313"/>
      <c r="AM1654" s="313"/>
      <c r="AN1654" s="313"/>
      <c r="AO1654" s="313"/>
      <c r="AP1654" s="313"/>
      <c r="AQ1654" s="314"/>
      <c r="AR1654" s="315" t="str">
        <f t="shared" si="97"/>
        <v/>
      </c>
      <c r="BH1654" s="321" t="str">
        <f t="shared" si="98"/>
        <v/>
      </c>
    </row>
    <row r="1655" spans="37:60" ht="30" hidden="1" customHeight="1">
      <c r="AK1655" s="313"/>
      <c r="AL1655" s="313"/>
      <c r="AM1655" s="313"/>
      <c r="AN1655" s="313"/>
      <c r="AO1655" s="313"/>
      <c r="AP1655" s="313"/>
      <c r="AQ1655" s="314"/>
      <c r="AR1655" s="315" t="str">
        <f t="shared" si="97"/>
        <v/>
      </c>
      <c r="BH1655" s="321" t="str">
        <f t="shared" si="98"/>
        <v/>
      </c>
    </row>
    <row r="1656" spans="37:60" ht="30" hidden="1" customHeight="1">
      <c r="AK1656" s="313"/>
      <c r="AL1656" s="313"/>
      <c r="AM1656" s="313"/>
      <c r="AN1656" s="313"/>
      <c r="AO1656" s="313"/>
      <c r="AP1656" s="313"/>
      <c r="AQ1656" s="314"/>
      <c r="AR1656" s="315" t="str">
        <f t="shared" si="97"/>
        <v/>
      </c>
      <c r="BH1656" s="321" t="str">
        <f t="shared" si="98"/>
        <v/>
      </c>
    </row>
    <row r="1657" spans="37:60" ht="30" hidden="1" customHeight="1">
      <c r="AK1657" s="313"/>
      <c r="AL1657" s="313"/>
      <c r="AM1657" s="313"/>
      <c r="AN1657" s="313"/>
      <c r="AO1657" s="313"/>
      <c r="AP1657" s="313"/>
      <c r="AQ1657" s="314"/>
      <c r="AR1657" s="315" t="str">
        <f t="shared" si="97"/>
        <v/>
      </c>
      <c r="BH1657" s="321" t="str">
        <f t="shared" si="98"/>
        <v/>
      </c>
    </row>
    <row r="1658" spans="37:60" ht="30" hidden="1" customHeight="1">
      <c r="AK1658" s="313"/>
      <c r="AL1658" s="313"/>
      <c r="AM1658" s="313"/>
      <c r="AN1658" s="313"/>
      <c r="AO1658" s="313"/>
      <c r="AP1658" s="313"/>
      <c r="AQ1658" s="314"/>
      <c r="AR1658" s="315" t="str">
        <f t="shared" si="97"/>
        <v/>
      </c>
      <c r="BH1658" s="321" t="str">
        <f t="shared" si="98"/>
        <v/>
      </c>
    </row>
    <row r="1659" spans="37:60" ht="30" hidden="1" customHeight="1">
      <c r="AK1659" s="313"/>
      <c r="AL1659" s="313"/>
      <c r="AM1659" s="313"/>
      <c r="AN1659" s="313"/>
      <c r="AO1659" s="313"/>
      <c r="AP1659" s="313"/>
      <c r="AQ1659" s="314"/>
      <c r="AR1659" s="315" t="str">
        <f t="shared" si="97"/>
        <v/>
      </c>
      <c r="BH1659" s="321" t="str">
        <f t="shared" si="98"/>
        <v/>
      </c>
    </row>
    <row r="1660" spans="37:60" ht="30" hidden="1" customHeight="1">
      <c r="AK1660" s="313"/>
      <c r="AL1660" s="313"/>
      <c r="AM1660" s="313"/>
      <c r="AN1660" s="313"/>
      <c r="AO1660" s="313"/>
      <c r="AP1660" s="313"/>
      <c r="AQ1660" s="314"/>
      <c r="AR1660" s="315" t="str">
        <f t="shared" si="97"/>
        <v/>
      </c>
      <c r="BH1660" s="321" t="str">
        <f t="shared" si="98"/>
        <v/>
      </c>
    </row>
    <row r="1661" spans="37:60" ht="30" hidden="1" customHeight="1">
      <c r="AK1661" s="313"/>
      <c r="AL1661" s="313"/>
      <c r="AM1661" s="313"/>
      <c r="AN1661" s="313"/>
      <c r="AO1661" s="313"/>
      <c r="AP1661" s="313"/>
      <c r="AQ1661" s="314"/>
      <c r="AR1661" s="315" t="str">
        <f t="shared" si="97"/>
        <v/>
      </c>
      <c r="BH1661" s="321" t="str">
        <f t="shared" si="98"/>
        <v/>
      </c>
    </row>
    <row r="1662" spans="37:60" ht="30" hidden="1" customHeight="1">
      <c r="AK1662" s="313"/>
      <c r="AL1662" s="313"/>
      <c r="AM1662" s="313"/>
      <c r="AN1662" s="313"/>
      <c r="AO1662" s="313"/>
      <c r="AP1662" s="313"/>
      <c r="AQ1662" s="314"/>
      <c r="AR1662" s="315" t="str">
        <f t="shared" si="97"/>
        <v/>
      </c>
      <c r="BH1662" s="321" t="str">
        <f t="shared" si="98"/>
        <v/>
      </c>
    </row>
    <row r="1663" spans="37:60" ht="30" hidden="1" customHeight="1">
      <c r="AK1663" s="313"/>
      <c r="AL1663" s="313"/>
      <c r="AM1663" s="313"/>
      <c r="AN1663" s="313"/>
      <c r="AO1663" s="313"/>
      <c r="AP1663" s="313"/>
      <c r="AQ1663" s="314"/>
      <c r="AR1663" s="315" t="str">
        <f t="shared" ref="AR1663:AR1726" si="99">IF(AQ1663="SIM","AGUARDANDO CORREÇÃO",IF(AP1663&lt;&gt;"","FINALIZADO",IF(AO1663&lt;&gt;"","AGUARDANDO ENVIO DTS",IF(AN1663&lt;&gt;"","AGUARDANDO ASSINATURA GAB",IF(AM1663&lt;&gt;"","AGUARDANDO ASSINATURA CTS",IF(AL1663&lt;&gt;"","AGUARDANDO ENVIO ASSINATURA CTS",IF(AK1663&lt;&gt;"","AGUARDANDO CONFERÊNCIA","")))))))</f>
        <v/>
      </c>
      <c r="BH1663" s="321" t="str">
        <f t="shared" si="98"/>
        <v/>
      </c>
    </row>
    <row r="1664" spans="37:60" ht="30" hidden="1" customHeight="1">
      <c r="AK1664" s="313"/>
      <c r="AL1664" s="313"/>
      <c r="AM1664" s="313"/>
      <c r="AN1664" s="313"/>
      <c r="AO1664" s="313"/>
      <c r="AP1664" s="313"/>
      <c r="AQ1664" s="314"/>
      <c r="AR1664" s="315" t="str">
        <f t="shared" si="99"/>
        <v/>
      </c>
      <c r="BH1664" s="321" t="str">
        <f t="shared" si="98"/>
        <v/>
      </c>
    </row>
    <row r="1665" spans="37:60" ht="30" hidden="1" customHeight="1">
      <c r="AK1665" s="313"/>
      <c r="AL1665" s="313"/>
      <c r="AM1665" s="313"/>
      <c r="AN1665" s="313"/>
      <c r="AO1665" s="313"/>
      <c r="AP1665" s="313"/>
      <c r="AQ1665" s="314"/>
      <c r="AR1665" s="315" t="str">
        <f t="shared" si="99"/>
        <v/>
      </c>
      <c r="BH1665" s="321" t="str">
        <f t="shared" si="98"/>
        <v/>
      </c>
    </row>
    <row r="1666" spans="37:60" ht="30" hidden="1" customHeight="1">
      <c r="AK1666" s="313"/>
      <c r="AL1666" s="313"/>
      <c r="AM1666" s="313"/>
      <c r="AN1666" s="313"/>
      <c r="AO1666" s="313"/>
      <c r="AP1666" s="313"/>
      <c r="AQ1666" s="314"/>
      <c r="AR1666" s="315" t="str">
        <f t="shared" si="99"/>
        <v/>
      </c>
      <c r="BH1666" s="321" t="str">
        <f t="shared" si="98"/>
        <v/>
      </c>
    </row>
    <row r="1667" spans="37:60" ht="30" hidden="1" customHeight="1">
      <c r="AK1667" s="313"/>
      <c r="AL1667" s="313"/>
      <c r="AM1667" s="313"/>
      <c r="AN1667" s="313"/>
      <c r="AO1667" s="313"/>
      <c r="AP1667" s="313"/>
      <c r="AQ1667" s="314"/>
      <c r="AR1667" s="315" t="str">
        <f t="shared" si="99"/>
        <v/>
      </c>
      <c r="BH1667" s="321" t="str">
        <f t="shared" si="98"/>
        <v/>
      </c>
    </row>
    <row r="1668" spans="37:60" ht="30" hidden="1" customHeight="1">
      <c r="AK1668" s="313"/>
      <c r="AL1668" s="313"/>
      <c r="AM1668" s="313"/>
      <c r="AN1668" s="313"/>
      <c r="AO1668" s="313"/>
      <c r="AP1668" s="313"/>
      <c r="AQ1668" s="314"/>
      <c r="AR1668" s="315" t="str">
        <f t="shared" si="99"/>
        <v/>
      </c>
      <c r="BH1668" s="321" t="str">
        <f t="shared" si="98"/>
        <v/>
      </c>
    </row>
    <row r="1669" spans="37:60" ht="30" hidden="1" customHeight="1">
      <c r="AK1669" s="313"/>
      <c r="AL1669" s="313"/>
      <c r="AM1669" s="313"/>
      <c r="AN1669" s="313"/>
      <c r="AO1669" s="313"/>
      <c r="AP1669" s="313"/>
      <c r="AQ1669" s="314"/>
      <c r="AR1669" s="315" t="str">
        <f t="shared" si="99"/>
        <v/>
      </c>
      <c r="BH1669" s="321" t="str">
        <f t="shared" si="98"/>
        <v/>
      </c>
    </row>
    <row r="1670" spans="37:60" ht="30" hidden="1" customHeight="1">
      <c r="AK1670" s="313"/>
      <c r="AL1670" s="313"/>
      <c r="AM1670" s="313"/>
      <c r="AN1670" s="313"/>
      <c r="AO1670" s="313"/>
      <c r="AP1670" s="313"/>
      <c r="AQ1670" s="314"/>
      <c r="AR1670" s="315" t="str">
        <f t="shared" si="99"/>
        <v/>
      </c>
      <c r="BH1670" s="321" t="str">
        <f t="shared" si="98"/>
        <v/>
      </c>
    </row>
    <row r="1671" spans="37:60" ht="30" hidden="1" customHeight="1">
      <c r="AK1671" s="313"/>
      <c r="AL1671" s="313"/>
      <c r="AM1671" s="313"/>
      <c r="AN1671" s="313"/>
      <c r="AO1671" s="313"/>
      <c r="AP1671" s="313"/>
      <c r="AQ1671" s="314"/>
      <c r="AR1671" s="315" t="str">
        <f t="shared" si="99"/>
        <v/>
      </c>
      <c r="BH1671" s="321" t="str">
        <f t="shared" si="98"/>
        <v/>
      </c>
    </row>
    <row r="1672" spans="37:60" ht="30" hidden="1" customHeight="1">
      <c r="AK1672" s="313"/>
      <c r="AL1672" s="313"/>
      <c r="AM1672" s="313"/>
      <c r="AN1672" s="313"/>
      <c r="AO1672" s="313"/>
      <c r="AP1672" s="313"/>
      <c r="AQ1672" s="314"/>
      <c r="AR1672" s="315" t="str">
        <f t="shared" si="99"/>
        <v/>
      </c>
      <c r="BH1672" s="321" t="str">
        <f t="shared" si="98"/>
        <v/>
      </c>
    </row>
    <row r="1673" spans="37:60" ht="30" hidden="1" customHeight="1">
      <c r="AK1673" s="313"/>
      <c r="AL1673" s="313"/>
      <c r="AM1673" s="313"/>
      <c r="AN1673" s="313"/>
      <c r="AO1673" s="313"/>
      <c r="AP1673" s="313"/>
      <c r="AQ1673" s="314"/>
      <c r="AR1673" s="315" t="str">
        <f t="shared" si="99"/>
        <v/>
      </c>
      <c r="BH1673" s="321" t="str">
        <f t="shared" si="98"/>
        <v/>
      </c>
    </row>
    <row r="1674" spans="37:60" ht="30" hidden="1" customHeight="1">
      <c r="AK1674" s="313"/>
      <c r="AL1674" s="313"/>
      <c r="AM1674" s="313"/>
      <c r="AN1674" s="313"/>
      <c r="AO1674" s="313"/>
      <c r="AP1674" s="313"/>
      <c r="AQ1674" s="314"/>
      <c r="AR1674" s="315" t="str">
        <f t="shared" si="99"/>
        <v/>
      </c>
      <c r="BH1674" s="321" t="str">
        <f t="shared" si="98"/>
        <v/>
      </c>
    </row>
    <row r="1675" spans="37:60" ht="30" hidden="1" customHeight="1">
      <c r="AK1675" s="313"/>
      <c r="AL1675" s="313"/>
      <c r="AM1675" s="313"/>
      <c r="AN1675" s="313"/>
      <c r="AO1675" s="313"/>
      <c r="AP1675" s="313"/>
      <c r="AQ1675" s="314"/>
      <c r="AR1675" s="315" t="str">
        <f t="shared" si="99"/>
        <v/>
      </c>
      <c r="BH1675" s="321" t="str">
        <f t="shared" si="98"/>
        <v/>
      </c>
    </row>
    <row r="1676" spans="37:60" ht="30" hidden="1" customHeight="1">
      <c r="AK1676" s="313"/>
      <c r="AL1676" s="313"/>
      <c r="AM1676" s="313"/>
      <c r="AN1676" s="313"/>
      <c r="AO1676" s="313"/>
      <c r="AP1676" s="313"/>
      <c r="AQ1676" s="314"/>
      <c r="AR1676" s="315" t="str">
        <f t="shared" si="99"/>
        <v/>
      </c>
      <c r="BH1676" s="321" t="str">
        <f t="shared" si="98"/>
        <v/>
      </c>
    </row>
    <row r="1677" spans="37:60" ht="30" hidden="1" customHeight="1">
      <c r="AK1677" s="313"/>
      <c r="AL1677" s="313"/>
      <c r="AM1677" s="313"/>
      <c r="AN1677" s="313"/>
      <c r="AO1677" s="313"/>
      <c r="AP1677" s="313"/>
      <c r="AQ1677" s="314"/>
      <c r="AR1677" s="315" t="str">
        <f t="shared" si="99"/>
        <v/>
      </c>
      <c r="BH1677" s="321" t="str">
        <f t="shared" si="98"/>
        <v/>
      </c>
    </row>
    <row r="1678" spans="37:60" ht="30" hidden="1" customHeight="1">
      <c r="AK1678" s="313"/>
      <c r="AL1678" s="313"/>
      <c r="AM1678" s="313"/>
      <c r="AN1678" s="313"/>
      <c r="AO1678" s="313"/>
      <c r="AP1678" s="313"/>
      <c r="AQ1678" s="314"/>
      <c r="AR1678" s="315" t="str">
        <f t="shared" si="99"/>
        <v/>
      </c>
      <c r="BH1678" s="321" t="str">
        <f t="shared" si="98"/>
        <v/>
      </c>
    </row>
    <row r="1679" spans="37:60" ht="30" hidden="1" customHeight="1">
      <c r="AK1679" s="313"/>
      <c r="AL1679" s="313"/>
      <c r="AM1679" s="313"/>
      <c r="AN1679" s="313"/>
      <c r="AO1679" s="313"/>
      <c r="AP1679" s="313"/>
      <c r="AQ1679" s="314"/>
      <c r="AR1679" s="315" t="str">
        <f t="shared" si="99"/>
        <v/>
      </c>
      <c r="BH1679" s="321" t="str">
        <f t="shared" si="98"/>
        <v/>
      </c>
    </row>
    <row r="1680" spans="37:60" ht="30" hidden="1" customHeight="1">
      <c r="AK1680" s="313"/>
      <c r="AL1680" s="313"/>
      <c r="AM1680" s="313"/>
      <c r="AN1680" s="313"/>
      <c r="AO1680" s="313"/>
      <c r="AP1680" s="313"/>
      <c r="AQ1680" s="314"/>
      <c r="AR1680" s="315" t="str">
        <f t="shared" si="99"/>
        <v/>
      </c>
      <c r="BH1680" s="321" t="str">
        <f t="shared" si="98"/>
        <v/>
      </c>
    </row>
    <row r="1681" spans="37:60" ht="30" hidden="1" customHeight="1">
      <c r="AK1681" s="313"/>
      <c r="AL1681" s="313"/>
      <c r="AM1681" s="313"/>
      <c r="AN1681" s="313"/>
      <c r="AO1681" s="313"/>
      <c r="AP1681" s="313"/>
      <c r="AQ1681" s="314"/>
      <c r="AR1681" s="315" t="str">
        <f t="shared" si="99"/>
        <v/>
      </c>
      <c r="BH1681" s="321" t="str">
        <f t="shared" si="98"/>
        <v/>
      </c>
    </row>
    <row r="1682" spans="37:60" ht="30" hidden="1" customHeight="1">
      <c r="AK1682" s="313"/>
      <c r="AL1682" s="313"/>
      <c r="AM1682" s="313"/>
      <c r="AN1682" s="313"/>
      <c r="AO1682" s="313"/>
      <c r="AP1682" s="313"/>
      <c r="AQ1682" s="314"/>
      <c r="AR1682" s="315" t="str">
        <f t="shared" si="99"/>
        <v/>
      </c>
      <c r="BH1682" s="321" t="str">
        <f t="shared" si="98"/>
        <v/>
      </c>
    </row>
    <row r="1683" spans="37:60" ht="30" hidden="1" customHeight="1">
      <c r="AK1683" s="313"/>
      <c r="AL1683" s="313"/>
      <c r="AM1683" s="313"/>
      <c r="AN1683" s="313"/>
      <c r="AO1683" s="313"/>
      <c r="AP1683" s="313"/>
      <c r="AQ1683" s="314"/>
      <c r="AR1683" s="315" t="str">
        <f t="shared" si="99"/>
        <v/>
      </c>
      <c r="BH1683" s="321" t="str">
        <f t="shared" si="98"/>
        <v/>
      </c>
    </row>
    <row r="1684" spans="37:60" ht="30" hidden="1" customHeight="1">
      <c r="AK1684" s="313"/>
      <c r="AL1684" s="313"/>
      <c r="AM1684" s="313"/>
      <c r="AN1684" s="313"/>
      <c r="AO1684" s="313"/>
      <c r="AP1684" s="313"/>
      <c r="AQ1684" s="314"/>
      <c r="AR1684" s="315" t="str">
        <f t="shared" si="99"/>
        <v/>
      </c>
      <c r="BH1684" s="321" t="str">
        <f t="shared" si="98"/>
        <v/>
      </c>
    </row>
    <row r="1685" spans="37:60" ht="30" hidden="1" customHeight="1">
      <c r="AK1685" s="313"/>
      <c r="AL1685" s="313"/>
      <c r="AM1685" s="313"/>
      <c r="AN1685" s="313"/>
      <c r="AO1685" s="313"/>
      <c r="AP1685" s="313"/>
      <c r="AQ1685" s="314"/>
      <c r="AR1685" s="315" t="str">
        <f t="shared" si="99"/>
        <v/>
      </c>
      <c r="BH1685" s="321" t="str">
        <f t="shared" si="98"/>
        <v/>
      </c>
    </row>
    <row r="1686" spans="37:60" ht="30" hidden="1" customHeight="1">
      <c r="AK1686" s="313"/>
      <c r="AL1686" s="313"/>
      <c r="AM1686" s="313"/>
      <c r="AN1686" s="313"/>
      <c r="AO1686" s="313"/>
      <c r="AP1686" s="313"/>
      <c r="AQ1686" s="314"/>
      <c r="AR1686" s="315" t="str">
        <f t="shared" si="99"/>
        <v/>
      </c>
      <c r="BH1686" s="321" t="str">
        <f t="shared" si="98"/>
        <v/>
      </c>
    </row>
    <row r="1687" spans="37:60" ht="30" hidden="1" customHeight="1">
      <c r="AK1687" s="313"/>
      <c r="AL1687" s="313"/>
      <c r="AM1687" s="313"/>
      <c r="AN1687" s="313"/>
      <c r="AO1687" s="313"/>
      <c r="AP1687" s="313"/>
      <c r="AQ1687" s="314"/>
      <c r="AR1687" s="315" t="str">
        <f t="shared" si="99"/>
        <v/>
      </c>
      <c r="BH1687" s="321" t="str">
        <f t="shared" si="98"/>
        <v/>
      </c>
    </row>
    <row r="1688" spans="37:60" ht="30" hidden="1" customHeight="1">
      <c r="AK1688" s="313"/>
      <c r="AL1688" s="313"/>
      <c r="AM1688" s="313"/>
      <c r="AN1688" s="313"/>
      <c r="AO1688" s="313"/>
      <c r="AP1688" s="313"/>
      <c r="AQ1688" s="314"/>
      <c r="AR1688" s="315" t="str">
        <f t="shared" si="99"/>
        <v/>
      </c>
      <c r="BH1688" s="321" t="str">
        <f t="shared" si="98"/>
        <v/>
      </c>
    </row>
    <row r="1689" spans="37:60" ht="30" hidden="1" customHeight="1">
      <c r="AK1689" s="313"/>
      <c r="AL1689" s="313"/>
      <c r="AM1689" s="313"/>
      <c r="AN1689" s="313"/>
      <c r="AO1689" s="313"/>
      <c r="AP1689" s="313"/>
      <c r="AQ1689" s="314"/>
      <c r="AR1689" s="315" t="str">
        <f t="shared" si="99"/>
        <v/>
      </c>
      <c r="BH1689" s="321" t="str">
        <f t="shared" si="98"/>
        <v/>
      </c>
    </row>
    <row r="1690" spans="37:60" ht="30" hidden="1" customHeight="1">
      <c r="AK1690" s="313"/>
      <c r="AL1690" s="313"/>
      <c r="AM1690" s="313"/>
      <c r="AN1690" s="313"/>
      <c r="AO1690" s="313"/>
      <c r="AP1690" s="313"/>
      <c r="AQ1690" s="314"/>
      <c r="AR1690" s="315" t="str">
        <f t="shared" si="99"/>
        <v/>
      </c>
      <c r="BH1690" s="321" t="str">
        <f t="shared" si="98"/>
        <v/>
      </c>
    </row>
    <row r="1691" spans="37:60" ht="30" hidden="1" customHeight="1">
      <c r="AK1691" s="313"/>
      <c r="AL1691" s="313"/>
      <c r="AM1691" s="313"/>
      <c r="AN1691" s="313"/>
      <c r="AO1691" s="313"/>
      <c r="AP1691" s="313"/>
      <c r="AQ1691" s="314"/>
      <c r="AR1691" s="315" t="str">
        <f t="shared" si="99"/>
        <v/>
      </c>
      <c r="BH1691" s="321" t="str">
        <f t="shared" si="98"/>
        <v/>
      </c>
    </row>
    <row r="1692" spans="37:60" ht="30" hidden="1" customHeight="1">
      <c r="AK1692" s="313"/>
      <c r="AL1692" s="313"/>
      <c r="AM1692" s="313"/>
      <c r="AN1692" s="313"/>
      <c r="AO1692" s="313"/>
      <c r="AP1692" s="313"/>
      <c r="AQ1692" s="314"/>
      <c r="AR1692" s="315" t="str">
        <f t="shared" si="99"/>
        <v/>
      </c>
      <c r="BH1692" s="321" t="str">
        <f t="shared" si="98"/>
        <v/>
      </c>
    </row>
    <row r="1693" spans="37:60" ht="30" hidden="1" customHeight="1">
      <c r="AK1693" s="313"/>
      <c r="AL1693" s="313"/>
      <c r="AM1693" s="313"/>
      <c r="AN1693" s="313"/>
      <c r="AO1693" s="313"/>
      <c r="AP1693" s="313"/>
      <c r="AQ1693" s="314"/>
      <c r="AR1693" s="315" t="str">
        <f t="shared" si="99"/>
        <v/>
      </c>
      <c r="BH1693" s="321" t="str">
        <f t="shared" si="98"/>
        <v/>
      </c>
    </row>
    <row r="1694" spans="37:60" ht="30" hidden="1" customHeight="1">
      <c r="AK1694" s="313"/>
      <c r="AL1694" s="313"/>
      <c r="AM1694" s="313"/>
      <c r="AN1694" s="313"/>
      <c r="AO1694" s="313"/>
      <c r="AP1694" s="313"/>
      <c r="AQ1694" s="314"/>
      <c r="AR1694" s="315" t="str">
        <f t="shared" si="99"/>
        <v/>
      </c>
      <c r="BH1694" s="321" t="str">
        <f t="shared" si="98"/>
        <v/>
      </c>
    </row>
    <row r="1695" spans="37:60" ht="30" hidden="1" customHeight="1">
      <c r="AK1695" s="313"/>
      <c r="AL1695" s="313"/>
      <c r="AM1695" s="313"/>
      <c r="AN1695" s="313"/>
      <c r="AO1695" s="313"/>
      <c r="AP1695" s="313"/>
      <c r="AQ1695" s="314"/>
      <c r="AR1695" s="315" t="str">
        <f t="shared" si="99"/>
        <v/>
      </c>
      <c r="BH1695" s="321" t="str">
        <f t="shared" si="98"/>
        <v/>
      </c>
    </row>
    <row r="1696" spans="37:60" ht="30" hidden="1" customHeight="1">
      <c r="AK1696" s="313"/>
      <c r="AL1696" s="313"/>
      <c r="AM1696" s="313"/>
      <c r="AN1696" s="313"/>
      <c r="AO1696" s="313"/>
      <c r="AP1696" s="313"/>
      <c r="AQ1696" s="314"/>
      <c r="AR1696" s="315" t="str">
        <f t="shared" si="99"/>
        <v/>
      </c>
      <c r="BH1696" s="321" t="str">
        <f t="shared" si="98"/>
        <v/>
      </c>
    </row>
    <row r="1697" spans="37:60" ht="30" hidden="1" customHeight="1">
      <c r="AK1697" s="313"/>
      <c r="AL1697" s="313"/>
      <c r="AM1697" s="313"/>
      <c r="AN1697" s="313"/>
      <c r="AO1697" s="313"/>
      <c r="AP1697" s="313"/>
      <c r="AQ1697" s="314"/>
      <c r="AR1697" s="315" t="str">
        <f t="shared" si="99"/>
        <v/>
      </c>
      <c r="BH1697" s="321" t="str">
        <f t="shared" si="98"/>
        <v/>
      </c>
    </row>
    <row r="1698" spans="37:60" ht="30" hidden="1" customHeight="1">
      <c r="AK1698" s="313"/>
      <c r="AL1698" s="313"/>
      <c r="AM1698" s="313"/>
      <c r="AN1698" s="313"/>
      <c r="AO1698" s="313"/>
      <c r="AP1698" s="313"/>
      <c r="AQ1698" s="314"/>
      <c r="AR1698" s="315" t="str">
        <f t="shared" si="99"/>
        <v/>
      </c>
      <c r="BH1698" s="321" t="str">
        <f t="shared" si="98"/>
        <v/>
      </c>
    </row>
    <row r="1699" spans="37:60" ht="30" hidden="1" customHeight="1">
      <c r="AK1699" s="313"/>
      <c r="AL1699" s="313"/>
      <c r="AM1699" s="313"/>
      <c r="AN1699" s="313"/>
      <c r="AO1699" s="313"/>
      <c r="AP1699" s="313"/>
      <c r="AQ1699" s="314"/>
      <c r="AR1699" s="315" t="str">
        <f t="shared" si="99"/>
        <v/>
      </c>
      <c r="BH1699" s="321" t="str">
        <f t="shared" si="98"/>
        <v/>
      </c>
    </row>
    <row r="1700" spans="37:60" ht="30" hidden="1" customHeight="1">
      <c r="AK1700" s="313"/>
      <c r="AL1700" s="313"/>
      <c r="AM1700" s="313"/>
      <c r="AN1700" s="313"/>
      <c r="AO1700" s="313"/>
      <c r="AP1700" s="313"/>
      <c r="AQ1700" s="314"/>
      <c r="AR1700" s="315" t="str">
        <f t="shared" si="99"/>
        <v/>
      </c>
      <c r="BH1700" s="321" t="str">
        <f t="shared" si="98"/>
        <v/>
      </c>
    </row>
    <row r="1701" spans="37:60" ht="30" hidden="1" customHeight="1">
      <c r="AK1701" s="313"/>
      <c r="AL1701" s="313"/>
      <c r="AM1701" s="313"/>
      <c r="AN1701" s="313"/>
      <c r="AO1701" s="313"/>
      <c r="AP1701" s="313"/>
      <c r="AQ1701" s="314"/>
      <c r="AR1701" s="315" t="str">
        <f t="shared" si="99"/>
        <v/>
      </c>
      <c r="BH1701" s="321" t="str">
        <f t="shared" si="98"/>
        <v/>
      </c>
    </row>
    <row r="1702" spans="37:60" ht="30" hidden="1" customHeight="1">
      <c r="AK1702" s="313"/>
      <c r="AL1702" s="313"/>
      <c r="AM1702" s="313"/>
      <c r="AN1702" s="313"/>
      <c r="AO1702" s="313"/>
      <c r="AP1702" s="313"/>
      <c r="AQ1702" s="314"/>
      <c r="AR1702" s="315" t="str">
        <f t="shared" si="99"/>
        <v/>
      </c>
      <c r="BH1702" s="321" t="str">
        <f t="shared" si="98"/>
        <v/>
      </c>
    </row>
    <row r="1703" spans="37:60" ht="30" hidden="1" customHeight="1">
      <c r="AK1703" s="313"/>
      <c r="AL1703" s="313"/>
      <c r="AM1703" s="313"/>
      <c r="AN1703" s="313"/>
      <c r="AO1703" s="313"/>
      <c r="AP1703" s="313"/>
      <c r="AQ1703" s="314"/>
      <c r="AR1703" s="315" t="str">
        <f t="shared" si="99"/>
        <v/>
      </c>
      <c r="BH1703" s="321" t="str">
        <f t="shared" si="98"/>
        <v/>
      </c>
    </row>
    <row r="1704" spans="37:60" ht="30" hidden="1" customHeight="1">
      <c r="AK1704" s="313"/>
      <c r="AL1704" s="313"/>
      <c r="AM1704" s="313"/>
      <c r="AN1704" s="313"/>
      <c r="AO1704" s="313"/>
      <c r="AP1704" s="313"/>
      <c r="AQ1704" s="314"/>
      <c r="AR1704" s="315" t="str">
        <f t="shared" si="99"/>
        <v/>
      </c>
      <c r="BH1704" s="321" t="str">
        <f t="shared" si="98"/>
        <v/>
      </c>
    </row>
    <row r="1705" spans="37:60" ht="30" hidden="1" customHeight="1">
      <c r="AK1705" s="313"/>
      <c r="AL1705" s="313"/>
      <c r="AM1705" s="313"/>
      <c r="AN1705" s="313"/>
      <c r="AO1705" s="313"/>
      <c r="AP1705" s="313"/>
      <c r="AQ1705" s="314"/>
      <c r="AR1705" s="315" t="str">
        <f t="shared" si="99"/>
        <v/>
      </c>
      <c r="BH1705" s="321" t="str">
        <f t="shared" si="98"/>
        <v/>
      </c>
    </row>
    <row r="1706" spans="37:60" ht="30" hidden="1" customHeight="1">
      <c r="AK1706" s="313"/>
      <c r="AL1706" s="313"/>
      <c r="AM1706" s="313"/>
      <c r="AN1706" s="313"/>
      <c r="AO1706" s="313"/>
      <c r="AP1706" s="313"/>
      <c r="AQ1706" s="314"/>
      <c r="AR1706" s="315" t="str">
        <f t="shared" si="99"/>
        <v/>
      </c>
      <c r="BH1706" s="321" t="str">
        <f t="shared" si="98"/>
        <v/>
      </c>
    </row>
    <row r="1707" spans="37:60" ht="30" hidden="1" customHeight="1">
      <c r="AK1707" s="313"/>
      <c r="AL1707" s="313"/>
      <c r="AM1707" s="313"/>
      <c r="AN1707" s="313"/>
      <c r="AO1707" s="313"/>
      <c r="AP1707" s="313"/>
      <c r="AQ1707" s="314"/>
      <c r="AR1707" s="315" t="str">
        <f t="shared" si="99"/>
        <v/>
      </c>
      <c r="BH1707" s="321" t="str">
        <f t="shared" si="98"/>
        <v/>
      </c>
    </row>
    <row r="1708" spans="37:60" ht="30" hidden="1" customHeight="1">
      <c r="AK1708" s="313"/>
      <c r="AL1708" s="313"/>
      <c r="AM1708" s="313"/>
      <c r="AN1708" s="313"/>
      <c r="AO1708" s="313"/>
      <c r="AP1708" s="313"/>
      <c r="AQ1708" s="314"/>
      <c r="AR1708" s="315" t="str">
        <f t="shared" si="99"/>
        <v/>
      </c>
      <c r="BH1708" s="321" t="str">
        <f t="shared" si="98"/>
        <v/>
      </c>
    </row>
    <row r="1709" spans="37:60" ht="30" hidden="1" customHeight="1">
      <c r="AK1709" s="313"/>
      <c r="AL1709" s="313"/>
      <c r="AM1709" s="313"/>
      <c r="AN1709" s="313"/>
      <c r="AO1709" s="313"/>
      <c r="AP1709" s="313"/>
      <c r="AQ1709" s="314"/>
      <c r="AR1709" s="315" t="str">
        <f t="shared" si="99"/>
        <v/>
      </c>
      <c r="BH1709" s="321" t="str">
        <f t="shared" ref="BH1709:BH1754" si="100">IF(BD1709-KI1709=0,"",BD1709-AK1709)</f>
        <v/>
      </c>
    </row>
    <row r="1710" spans="37:60" ht="30" hidden="1" customHeight="1">
      <c r="AK1710" s="313"/>
      <c r="AL1710" s="313"/>
      <c r="AM1710" s="313"/>
      <c r="AN1710" s="313"/>
      <c r="AO1710" s="313"/>
      <c r="AP1710" s="313"/>
      <c r="AQ1710" s="314"/>
      <c r="AR1710" s="315" t="str">
        <f t="shared" si="99"/>
        <v/>
      </c>
      <c r="BH1710" s="321" t="str">
        <f t="shared" si="100"/>
        <v/>
      </c>
    </row>
    <row r="1711" spans="37:60" ht="30" hidden="1" customHeight="1">
      <c r="AK1711" s="313"/>
      <c r="AL1711" s="313"/>
      <c r="AM1711" s="313"/>
      <c r="AN1711" s="313"/>
      <c r="AO1711" s="313"/>
      <c r="AP1711" s="313"/>
      <c r="AQ1711" s="314"/>
      <c r="AR1711" s="315" t="str">
        <f t="shared" si="99"/>
        <v/>
      </c>
      <c r="BH1711" s="321" t="str">
        <f t="shared" si="100"/>
        <v/>
      </c>
    </row>
    <row r="1712" spans="37:60" ht="30" hidden="1" customHeight="1">
      <c r="AK1712" s="313"/>
      <c r="AL1712" s="313"/>
      <c r="AM1712" s="313"/>
      <c r="AN1712" s="313"/>
      <c r="AO1712" s="313"/>
      <c r="AP1712" s="313"/>
      <c r="AQ1712" s="314"/>
      <c r="AR1712" s="315" t="str">
        <f t="shared" si="99"/>
        <v/>
      </c>
      <c r="BH1712" s="321" t="str">
        <f t="shared" si="100"/>
        <v/>
      </c>
    </row>
    <row r="1713" spans="37:60" ht="30" hidden="1" customHeight="1">
      <c r="AK1713" s="313"/>
      <c r="AL1713" s="313"/>
      <c r="AM1713" s="313"/>
      <c r="AN1713" s="313"/>
      <c r="AO1713" s="313"/>
      <c r="AP1713" s="313"/>
      <c r="AQ1713" s="314"/>
      <c r="AR1713" s="315" t="str">
        <f t="shared" si="99"/>
        <v/>
      </c>
      <c r="BH1713" s="321" t="str">
        <f t="shared" si="100"/>
        <v/>
      </c>
    </row>
    <row r="1714" spans="37:60" ht="30" hidden="1" customHeight="1">
      <c r="AK1714" s="313"/>
      <c r="AL1714" s="313"/>
      <c r="AM1714" s="313"/>
      <c r="AN1714" s="313"/>
      <c r="AO1714" s="313"/>
      <c r="AP1714" s="313"/>
      <c r="AQ1714" s="314"/>
      <c r="AR1714" s="315" t="str">
        <f t="shared" si="99"/>
        <v/>
      </c>
      <c r="BH1714" s="321" t="str">
        <f t="shared" si="100"/>
        <v/>
      </c>
    </row>
    <row r="1715" spans="37:60" ht="30" hidden="1" customHeight="1">
      <c r="AK1715" s="313"/>
      <c r="AL1715" s="313"/>
      <c r="AM1715" s="313"/>
      <c r="AN1715" s="313"/>
      <c r="AO1715" s="313"/>
      <c r="AP1715" s="313"/>
      <c r="AQ1715" s="314"/>
      <c r="AR1715" s="315" t="str">
        <f t="shared" si="99"/>
        <v/>
      </c>
      <c r="BH1715" s="321" t="str">
        <f t="shared" si="100"/>
        <v/>
      </c>
    </row>
    <row r="1716" spans="37:60" ht="30" hidden="1" customHeight="1">
      <c r="AK1716" s="313"/>
      <c r="AL1716" s="313"/>
      <c r="AM1716" s="313"/>
      <c r="AN1716" s="313"/>
      <c r="AO1716" s="313"/>
      <c r="AP1716" s="313"/>
      <c r="AQ1716" s="314"/>
      <c r="AR1716" s="315" t="str">
        <f t="shared" si="99"/>
        <v/>
      </c>
      <c r="BH1716" s="321" t="str">
        <f t="shared" si="100"/>
        <v/>
      </c>
    </row>
    <row r="1717" spans="37:60" ht="30" hidden="1" customHeight="1">
      <c r="AK1717" s="313"/>
      <c r="AL1717" s="313"/>
      <c r="AM1717" s="313"/>
      <c r="AN1717" s="313"/>
      <c r="AO1717" s="313"/>
      <c r="AP1717" s="313"/>
      <c r="AQ1717" s="314"/>
      <c r="AR1717" s="315" t="str">
        <f t="shared" si="99"/>
        <v/>
      </c>
      <c r="BH1717" s="321" t="str">
        <f t="shared" si="100"/>
        <v/>
      </c>
    </row>
    <row r="1718" spans="37:60" ht="30" hidden="1" customHeight="1">
      <c r="AK1718" s="313"/>
      <c r="AL1718" s="313"/>
      <c r="AM1718" s="313"/>
      <c r="AN1718" s="313"/>
      <c r="AO1718" s="313"/>
      <c r="AP1718" s="313"/>
      <c r="AQ1718" s="314"/>
      <c r="AR1718" s="315" t="str">
        <f t="shared" si="99"/>
        <v/>
      </c>
      <c r="BH1718" s="321" t="str">
        <f t="shared" si="100"/>
        <v/>
      </c>
    </row>
    <row r="1719" spans="37:60" ht="30" hidden="1" customHeight="1">
      <c r="AK1719" s="313"/>
      <c r="AL1719" s="313"/>
      <c r="AM1719" s="313"/>
      <c r="AN1719" s="313"/>
      <c r="AO1719" s="313"/>
      <c r="AP1719" s="313"/>
      <c r="AQ1719" s="314"/>
      <c r="AR1719" s="315" t="str">
        <f t="shared" si="99"/>
        <v/>
      </c>
      <c r="BH1719" s="321" t="str">
        <f t="shared" si="100"/>
        <v/>
      </c>
    </row>
    <row r="1720" spans="37:60" ht="30" hidden="1" customHeight="1">
      <c r="AK1720" s="313"/>
      <c r="AL1720" s="313"/>
      <c r="AM1720" s="313"/>
      <c r="AN1720" s="313"/>
      <c r="AO1720" s="313"/>
      <c r="AP1720" s="313"/>
      <c r="AQ1720" s="314"/>
      <c r="AR1720" s="315" t="str">
        <f t="shared" si="99"/>
        <v/>
      </c>
      <c r="BH1720" s="321" t="str">
        <f t="shared" si="100"/>
        <v/>
      </c>
    </row>
    <row r="1721" spans="37:60" ht="30" hidden="1" customHeight="1">
      <c r="AK1721" s="313"/>
      <c r="AL1721" s="313"/>
      <c r="AM1721" s="313"/>
      <c r="AN1721" s="313"/>
      <c r="AO1721" s="313"/>
      <c r="AP1721" s="313"/>
      <c r="AQ1721" s="314"/>
      <c r="AR1721" s="315" t="str">
        <f t="shared" si="99"/>
        <v/>
      </c>
      <c r="BH1721" s="321" t="str">
        <f t="shared" si="100"/>
        <v/>
      </c>
    </row>
    <row r="1722" spans="37:60" ht="30" hidden="1" customHeight="1">
      <c r="AK1722" s="313"/>
      <c r="AL1722" s="313"/>
      <c r="AM1722" s="313"/>
      <c r="AN1722" s="313"/>
      <c r="AO1722" s="313"/>
      <c r="AP1722" s="313"/>
      <c r="AQ1722" s="314"/>
      <c r="AR1722" s="315" t="str">
        <f t="shared" si="99"/>
        <v/>
      </c>
      <c r="BH1722" s="321" t="str">
        <f t="shared" si="100"/>
        <v/>
      </c>
    </row>
    <row r="1723" spans="37:60" ht="30" hidden="1" customHeight="1">
      <c r="AK1723" s="313"/>
      <c r="AL1723" s="313"/>
      <c r="AM1723" s="313"/>
      <c r="AN1723" s="313"/>
      <c r="AO1723" s="313"/>
      <c r="AP1723" s="313"/>
      <c r="AQ1723" s="314"/>
      <c r="AR1723" s="315" t="str">
        <f t="shared" si="99"/>
        <v/>
      </c>
      <c r="BH1723" s="321" t="str">
        <f t="shared" si="100"/>
        <v/>
      </c>
    </row>
    <row r="1724" spans="37:60" ht="30" hidden="1" customHeight="1">
      <c r="AK1724" s="313"/>
      <c r="AL1724" s="313"/>
      <c r="AM1724" s="313"/>
      <c r="AN1724" s="313"/>
      <c r="AO1724" s="313"/>
      <c r="AP1724" s="313"/>
      <c r="AQ1724" s="314"/>
      <c r="AR1724" s="315" t="str">
        <f t="shared" si="99"/>
        <v/>
      </c>
      <c r="BH1724" s="321" t="str">
        <f t="shared" si="100"/>
        <v/>
      </c>
    </row>
    <row r="1725" spans="37:60" ht="30" hidden="1" customHeight="1">
      <c r="AK1725" s="313"/>
      <c r="AL1725" s="313"/>
      <c r="AM1725" s="313"/>
      <c r="AN1725" s="313"/>
      <c r="AO1725" s="313"/>
      <c r="AP1725" s="313"/>
      <c r="AQ1725" s="314"/>
      <c r="AR1725" s="315" t="str">
        <f t="shared" si="99"/>
        <v/>
      </c>
      <c r="BH1725" s="321" t="str">
        <f t="shared" si="100"/>
        <v/>
      </c>
    </row>
    <row r="1726" spans="37:60" ht="30" hidden="1" customHeight="1">
      <c r="AK1726" s="313"/>
      <c r="AL1726" s="313"/>
      <c r="AM1726" s="313"/>
      <c r="AN1726" s="313"/>
      <c r="AO1726" s="313"/>
      <c r="AP1726" s="313"/>
      <c r="AQ1726" s="314"/>
      <c r="AR1726" s="315" t="str">
        <f t="shared" si="99"/>
        <v/>
      </c>
      <c r="BH1726" s="321" t="str">
        <f t="shared" si="100"/>
        <v/>
      </c>
    </row>
    <row r="1727" spans="37:60" ht="30" hidden="1" customHeight="1">
      <c r="AK1727" s="313"/>
      <c r="AL1727" s="313"/>
      <c r="AM1727" s="313"/>
      <c r="AN1727" s="313"/>
      <c r="AO1727" s="313"/>
      <c r="AP1727" s="313"/>
      <c r="AQ1727" s="314"/>
      <c r="AR1727" s="315" t="str">
        <f t="shared" ref="AR1727:AR1790" si="101">IF(AQ1727="SIM","AGUARDANDO CORREÇÃO",IF(AP1727&lt;&gt;"","FINALIZADO",IF(AO1727&lt;&gt;"","AGUARDANDO ENVIO DTS",IF(AN1727&lt;&gt;"","AGUARDANDO ASSINATURA GAB",IF(AM1727&lt;&gt;"","AGUARDANDO ASSINATURA CTS",IF(AL1727&lt;&gt;"","AGUARDANDO ENVIO ASSINATURA CTS",IF(AK1727&lt;&gt;"","AGUARDANDO CONFERÊNCIA","")))))))</f>
        <v/>
      </c>
      <c r="BH1727" s="321" t="str">
        <f t="shared" si="100"/>
        <v/>
      </c>
    </row>
    <row r="1728" spans="37:60" ht="30" hidden="1" customHeight="1">
      <c r="AK1728" s="313"/>
      <c r="AL1728" s="313"/>
      <c r="AM1728" s="313"/>
      <c r="AN1728" s="313"/>
      <c r="AO1728" s="313"/>
      <c r="AP1728" s="313"/>
      <c r="AQ1728" s="314"/>
      <c r="AR1728" s="315" t="str">
        <f t="shared" si="101"/>
        <v/>
      </c>
      <c r="BH1728" s="321" t="str">
        <f t="shared" si="100"/>
        <v/>
      </c>
    </row>
    <row r="1729" spans="37:60" ht="30" hidden="1" customHeight="1">
      <c r="AK1729" s="313"/>
      <c r="AL1729" s="313"/>
      <c r="AM1729" s="313"/>
      <c r="AN1729" s="313"/>
      <c r="AO1729" s="313"/>
      <c r="AP1729" s="313"/>
      <c r="AQ1729" s="314"/>
      <c r="AR1729" s="315" t="str">
        <f t="shared" si="101"/>
        <v/>
      </c>
      <c r="BH1729" s="321" t="str">
        <f t="shared" si="100"/>
        <v/>
      </c>
    </row>
    <row r="1730" spans="37:60" ht="30" hidden="1" customHeight="1">
      <c r="AK1730" s="313"/>
      <c r="AL1730" s="313"/>
      <c r="AM1730" s="313"/>
      <c r="AN1730" s="313"/>
      <c r="AO1730" s="313"/>
      <c r="AP1730" s="313"/>
      <c r="AQ1730" s="314"/>
      <c r="AR1730" s="315" t="str">
        <f t="shared" si="101"/>
        <v/>
      </c>
      <c r="BH1730" s="321" t="str">
        <f t="shared" si="100"/>
        <v/>
      </c>
    </row>
    <row r="1731" spans="37:60" ht="30" hidden="1" customHeight="1">
      <c r="AK1731" s="313"/>
      <c r="AL1731" s="313"/>
      <c r="AM1731" s="313"/>
      <c r="AN1731" s="313"/>
      <c r="AO1731" s="313"/>
      <c r="AP1731" s="313"/>
      <c r="AQ1731" s="314"/>
      <c r="AR1731" s="315" t="str">
        <f t="shared" si="101"/>
        <v/>
      </c>
      <c r="BH1731" s="321" t="str">
        <f t="shared" si="100"/>
        <v/>
      </c>
    </row>
    <row r="1732" spans="37:60" ht="30" hidden="1" customHeight="1">
      <c r="AK1732" s="313"/>
      <c r="AL1732" s="313"/>
      <c r="AM1732" s="313"/>
      <c r="AN1732" s="313"/>
      <c r="AO1732" s="313"/>
      <c r="AP1732" s="313"/>
      <c r="AQ1732" s="314"/>
      <c r="AR1732" s="315" t="str">
        <f t="shared" si="101"/>
        <v/>
      </c>
      <c r="BH1732" s="321" t="str">
        <f t="shared" si="100"/>
        <v/>
      </c>
    </row>
    <row r="1733" spans="37:60" ht="30" hidden="1" customHeight="1">
      <c r="AK1733" s="313"/>
      <c r="AL1733" s="313"/>
      <c r="AM1733" s="313"/>
      <c r="AN1733" s="313"/>
      <c r="AO1733" s="313"/>
      <c r="AP1733" s="313"/>
      <c r="AQ1733" s="314"/>
      <c r="AR1733" s="315" t="str">
        <f t="shared" si="101"/>
        <v/>
      </c>
      <c r="BH1733" s="321" t="str">
        <f t="shared" si="100"/>
        <v/>
      </c>
    </row>
    <row r="1734" spans="37:60" ht="30" hidden="1" customHeight="1">
      <c r="AK1734" s="313"/>
      <c r="AL1734" s="313"/>
      <c r="AM1734" s="313"/>
      <c r="AN1734" s="313"/>
      <c r="AO1734" s="313"/>
      <c r="AP1734" s="313"/>
      <c r="AQ1734" s="314"/>
      <c r="AR1734" s="315" t="str">
        <f t="shared" si="101"/>
        <v/>
      </c>
      <c r="BH1734" s="321" t="str">
        <f t="shared" si="100"/>
        <v/>
      </c>
    </row>
    <row r="1735" spans="37:60" ht="30" hidden="1" customHeight="1">
      <c r="AK1735" s="313"/>
      <c r="AL1735" s="313"/>
      <c r="AM1735" s="313"/>
      <c r="AN1735" s="313"/>
      <c r="AO1735" s="313"/>
      <c r="AP1735" s="313"/>
      <c r="AQ1735" s="314"/>
      <c r="AR1735" s="315" t="str">
        <f t="shared" si="101"/>
        <v/>
      </c>
      <c r="BH1735" s="321" t="str">
        <f t="shared" si="100"/>
        <v/>
      </c>
    </row>
    <row r="1736" spans="37:60" ht="30" hidden="1" customHeight="1">
      <c r="AK1736" s="313"/>
      <c r="AL1736" s="313"/>
      <c r="AM1736" s="313"/>
      <c r="AN1736" s="313"/>
      <c r="AO1736" s="313"/>
      <c r="AP1736" s="313"/>
      <c r="AQ1736" s="314"/>
      <c r="AR1736" s="315" t="str">
        <f t="shared" si="101"/>
        <v/>
      </c>
      <c r="BH1736" s="321" t="str">
        <f t="shared" si="100"/>
        <v/>
      </c>
    </row>
    <row r="1737" spans="37:60" ht="30" hidden="1" customHeight="1">
      <c r="AK1737" s="313"/>
      <c r="AL1737" s="313"/>
      <c r="AM1737" s="313"/>
      <c r="AN1737" s="313"/>
      <c r="AO1737" s="313"/>
      <c r="AP1737" s="313"/>
      <c r="AQ1737" s="314"/>
      <c r="AR1737" s="315" t="str">
        <f t="shared" si="101"/>
        <v/>
      </c>
      <c r="BH1737" s="321" t="str">
        <f t="shared" si="100"/>
        <v/>
      </c>
    </row>
    <row r="1738" spans="37:60" ht="30" hidden="1" customHeight="1">
      <c r="AK1738" s="313"/>
      <c r="AL1738" s="313"/>
      <c r="AM1738" s="313"/>
      <c r="AN1738" s="313"/>
      <c r="AO1738" s="313"/>
      <c r="AP1738" s="313"/>
      <c r="AQ1738" s="314"/>
      <c r="AR1738" s="315" t="str">
        <f t="shared" si="101"/>
        <v/>
      </c>
      <c r="BH1738" s="321" t="str">
        <f t="shared" si="100"/>
        <v/>
      </c>
    </row>
    <row r="1739" spans="37:60" ht="30" hidden="1" customHeight="1">
      <c r="AK1739" s="313"/>
      <c r="AL1739" s="313"/>
      <c r="AM1739" s="313"/>
      <c r="AN1739" s="313"/>
      <c r="AO1739" s="313"/>
      <c r="AP1739" s="313"/>
      <c r="AQ1739" s="314"/>
      <c r="AR1739" s="315" t="str">
        <f t="shared" si="101"/>
        <v/>
      </c>
      <c r="BH1739" s="321" t="str">
        <f t="shared" si="100"/>
        <v/>
      </c>
    </row>
    <row r="1740" spans="37:60" ht="30" hidden="1" customHeight="1">
      <c r="AK1740" s="313"/>
      <c r="AL1740" s="313"/>
      <c r="AM1740" s="313"/>
      <c r="AN1740" s="313"/>
      <c r="AO1740" s="313"/>
      <c r="AP1740" s="313"/>
      <c r="AQ1740" s="314"/>
      <c r="AR1740" s="315" t="str">
        <f t="shared" si="101"/>
        <v/>
      </c>
      <c r="BH1740" s="321" t="str">
        <f t="shared" si="100"/>
        <v/>
      </c>
    </row>
    <row r="1741" spans="37:60" ht="30" hidden="1" customHeight="1">
      <c r="AK1741" s="313"/>
      <c r="AL1741" s="313"/>
      <c r="AM1741" s="313"/>
      <c r="AN1741" s="313"/>
      <c r="AO1741" s="313"/>
      <c r="AP1741" s="313"/>
      <c r="AQ1741" s="314"/>
      <c r="AR1741" s="315" t="str">
        <f t="shared" si="101"/>
        <v/>
      </c>
      <c r="BH1741" s="321" t="str">
        <f t="shared" si="100"/>
        <v/>
      </c>
    </row>
    <row r="1742" spans="37:60" ht="30" hidden="1" customHeight="1">
      <c r="AK1742" s="313"/>
      <c r="AL1742" s="313"/>
      <c r="AM1742" s="313"/>
      <c r="AN1742" s="313"/>
      <c r="AO1742" s="313"/>
      <c r="AP1742" s="313"/>
      <c r="AQ1742" s="314"/>
      <c r="AR1742" s="315" t="str">
        <f t="shared" si="101"/>
        <v/>
      </c>
      <c r="BH1742" s="321" t="str">
        <f t="shared" si="100"/>
        <v/>
      </c>
    </row>
    <row r="1743" spans="37:60" ht="30" hidden="1" customHeight="1">
      <c r="AK1743" s="313"/>
      <c r="AL1743" s="313"/>
      <c r="AM1743" s="313"/>
      <c r="AN1743" s="313"/>
      <c r="AO1743" s="313"/>
      <c r="AP1743" s="313"/>
      <c r="AQ1743" s="314"/>
      <c r="AR1743" s="315" t="str">
        <f t="shared" si="101"/>
        <v/>
      </c>
      <c r="BH1743" s="321" t="str">
        <f t="shared" si="100"/>
        <v/>
      </c>
    </row>
    <row r="1744" spans="37:60" ht="30" hidden="1" customHeight="1">
      <c r="AK1744" s="313"/>
      <c r="AL1744" s="313"/>
      <c r="AM1744" s="313"/>
      <c r="AN1744" s="313"/>
      <c r="AO1744" s="313"/>
      <c r="AP1744" s="313"/>
      <c r="AQ1744" s="314"/>
      <c r="AR1744" s="315" t="str">
        <f t="shared" si="101"/>
        <v/>
      </c>
      <c r="BH1744" s="321" t="str">
        <f t="shared" si="100"/>
        <v/>
      </c>
    </row>
    <row r="1745" spans="37:60" ht="30" hidden="1" customHeight="1">
      <c r="AK1745" s="313"/>
      <c r="AL1745" s="313"/>
      <c r="AM1745" s="313"/>
      <c r="AN1745" s="313"/>
      <c r="AO1745" s="313"/>
      <c r="AP1745" s="313"/>
      <c r="AQ1745" s="314"/>
      <c r="AR1745" s="315" t="str">
        <f t="shared" si="101"/>
        <v/>
      </c>
      <c r="BH1745" s="321" t="str">
        <f t="shared" si="100"/>
        <v/>
      </c>
    </row>
    <row r="1746" spans="37:60" ht="30" hidden="1" customHeight="1">
      <c r="AK1746" s="313"/>
      <c r="AL1746" s="313"/>
      <c r="AM1746" s="313"/>
      <c r="AN1746" s="313"/>
      <c r="AO1746" s="313"/>
      <c r="AP1746" s="313"/>
      <c r="AQ1746" s="314"/>
      <c r="AR1746" s="315" t="str">
        <f t="shared" si="101"/>
        <v/>
      </c>
      <c r="BH1746" s="321" t="str">
        <f t="shared" si="100"/>
        <v/>
      </c>
    </row>
    <row r="1747" spans="37:60" ht="30" hidden="1" customHeight="1">
      <c r="AK1747" s="313"/>
      <c r="AL1747" s="313"/>
      <c r="AM1747" s="313"/>
      <c r="AN1747" s="313"/>
      <c r="AO1747" s="313"/>
      <c r="AP1747" s="313"/>
      <c r="AQ1747" s="314"/>
      <c r="AR1747" s="315" t="str">
        <f t="shared" si="101"/>
        <v/>
      </c>
      <c r="BH1747" s="321" t="str">
        <f t="shared" si="100"/>
        <v/>
      </c>
    </row>
    <row r="1748" spans="37:60" ht="30" hidden="1" customHeight="1">
      <c r="AK1748" s="313"/>
      <c r="AL1748" s="313"/>
      <c r="AM1748" s="313"/>
      <c r="AN1748" s="313"/>
      <c r="AO1748" s="313"/>
      <c r="AP1748" s="313"/>
      <c r="AQ1748" s="314"/>
      <c r="AR1748" s="315" t="str">
        <f t="shared" si="101"/>
        <v/>
      </c>
      <c r="BH1748" s="321" t="str">
        <f t="shared" si="100"/>
        <v/>
      </c>
    </row>
    <row r="1749" spans="37:60" ht="30" hidden="1" customHeight="1">
      <c r="AK1749" s="313"/>
      <c r="AL1749" s="313"/>
      <c r="AM1749" s="313"/>
      <c r="AN1749" s="313"/>
      <c r="AO1749" s="313"/>
      <c r="AP1749" s="313"/>
      <c r="AQ1749" s="314"/>
      <c r="AR1749" s="315" t="str">
        <f t="shared" si="101"/>
        <v/>
      </c>
      <c r="BH1749" s="321" t="str">
        <f t="shared" si="100"/>
        <v/>
      </c>
    </row>
    <row r="1750" spans="37:60" ht="30" hidden="1" customHeight="1">
      <c r="AK1750" s="313"/>
      <c r="AL1750" s="313"/>
      <c r="AM1750" s="313"/>
      <c r="AN1750" s="313"/>
      <c r="AO1750" s="313"/>
      <c r="AP1750" s="313"/>
      <c r="AQ1750" s="314"/>
      <c r="AR1750" s="315" t="str">
        <f t="shared" si="101"/>
        <v/>
      </c>
      <c r="BH1750" s="321" t="str">
        <f t="shared" si="100"/>
        <v/>
      </c>
    </row>
    <row r="1751" spans="37:60" ht="30" hidden="1" customHeight="1">
      <c r="AK1751" s="313"/>
      <c r="AL1751" s="313"/>
      <c r="AM1751" s="313"/>
      <c r="AN1751" s="313"/>
      <c r="AO1751" s="313"/>
      <c r="AP1751" s="313"/>
      <c r="AQ1751" s="314"/>
      <c r="AR1751" s="315" t="str">
        <f t="shared" si="101"/>
        <v/>
      </c>
      <c r="BH1751" s="321" t="str">
        <f t="shared" si="100"/>
        <v/>
      </c>
    </row>
    <row r="1752" spans="37:60" ht="30" hidden="1" customHeight="1">
      <c r="AK1752" s="313"/>
      <c r="AL1752" s="313"/>
      <c r="AM1752" s="313"/>
      <c r="AN1752" s="313"/>
      <c r="AO1752" s="313"/>
      <c r="AP1752" s="313"/>
      <c r="AQ1752" s="314"/>
      <c r="AR1752" s="315" t="str">
        <f t="shared" si="101"/>
        <v/>
      </c>
      <c r="BH1752" s="321" t="str">
        <f t="shared" si="100"/>
        <v/>
      </c>
    </row>
    <row r="1753" spans="37:60" ht="30" hidden="1" customHeight="1">
      <c r="AK1753" s="313"/>
      <c r="AL1753" s="313"/>
      <c r="AM1753" s="313"/>
      <c r="AN1753" s="313"/>
      <c r="AO1753" s="313"/>
      <c r="AP1753" s="313"/>
      <c r="AQ1753" s="314"/>
      <c r="AR1753" s="315" t="str">
        <f t="shared" si="101"/>
        <v/>
      </c>
      <c r="BH1753" s="321" t="str">
        <f t="shared" si="100"/>
        <v/>
      </c>
    </row>
    <row r="1754" spans="37:60" ht="30" hidden="1" customHeight="1">
      <c r="AK1754" s="313"/>
      <c r="AL1754" s="313"/>
      <c r="AM1754" s="313"/>
      <c r="AN1754" s="313"/>
      <c r="AO1754" s="313"/>
      <c r="AP1754" s="313"/>
      <c r="AQ1754" s="314"/>
      <c r="AR1754" s="315" t="str">
        <f t="shared" si="101"/>
        <v/>
      </c>
      <c r="BH1754" s="321" t="str">
        <f t="shared" si="100"/>
        <v/>
      </c>
    </row>
    <row r="1755" spans="37:60" ht="30" hidden="1" customHeight="1">
      <c r="AK1755" s="313"/>
      <c r="AL1755" s="313"/>
      <c r="AM1755" s="313"/>
      <c r="AN1755" s="313"/>
      <c r="AO1755" s="313"/>
      <c r="AP1755" s="313"/>
      <c r="AQ1755" s="314"/>
      <c r="AR1755" s="315" t="str">
        <f t="shared" si="101"/>
        <v/>
      </c>
    </row>
    <row r="1756" spans="37:60" ht="30" hidden="1" customHeight="1">
      <c r="AK1756" s="313"/>
      <c r="AL1756" s="313"/>
      <c r="AM1756" s="313"/>
      <c r="AN1756" s="313"/>
      <c r="AO1756" s="313"/>
      <c r="AP1756" s="313"/>
      <c r="AQ1756" s="314"/>
      <c r="AR1756" s="315" t="str">
        <f t="shared" si="101"/>
        <v/>
      </c>
    </row>
    <row r="1757" spans="37:60" ht="30" hidden="1" customHeight="1">
      <c r="AK1757" s="313"/>
      <c r="AL1757" s="313"/>
      <c r="AM1757" s="313"/>
      <c r="AN1757" s="313"/>
      <c r="AO1757" s="313"/>
      <c r="AP1757" s="313"/>
      <c r="AQ1757" s="314"/>
      <c r="AR1757" s="315" t="str">
        <f t="shared" si="101"/>
        <v/>
      </c>
    </row>
    <row r="1758" spans="37:60" ht="30" hidden="1" customHeight="1">
      <c r="AK1758" s="313"/>
      <c r="AL1758" s="313"/>
      <c r="AM1758" s="313"/>
      <c r="AN1758" s="313"/>
      <c r="AO1758" s="313"/>
      <c r="AP1758" s="313"/>
      <c r="AQ1758" s="314"/>
      <c r="AR1758" s="315" t="str">
        <f t="shared" si="101"/>
        <v/>
      </c>
    </row>
    <row r="1759" spans="37:60" ht="30" hidden="1" customHeight="1">
      <c r="AK1759" s="313"/>
      <c r="AL1759" s="313"/>
      <c r="AM1759" s="313"/>
      <c r="AN1759" s="313"/>
      <c r="AO1759" s="313"/>
      <c r="AP1759" s="313"/>
      <c r="AQ1759" s="314"/>
      <c r="AR1759" s="315" t="str">
        <f t="shared" si="101"/>
        <v/>
      </c>
    </row>
    <row r="1760" spans="37:60" ht="30" hidden="1" customHeight="1">
      <c r="AK1760" s="313"/>
      <c r="AL1760" s="313"/>
      <c r="AM1760" s="313"/>
      <c r="AN1760" s="313"/>
      <c r="AO1760" s="313"/>
      <c r="AP1760" s="313"/>
      <c r="AQ1760" s="314"/>
      <c r="AR1760" s="315" t="str">
        <f t="shared" si="101"/>
        <v/>
      </c>
    </row>
    <row r="1761" spans="37:44" ht="30" hidden="1" customHeight="1">
      <c r="AK1761" s="313"/>
      <c r="AL1761" s="313"/>
      <c r="AM1761" s="313"/>
      <c r="AN1761" s="313"/>
      <c r="AO1761" s="313"/>
      <c r="AP1761" s="313"/>
      <c r="AQ1761" s="314"/>
      <c r="AR1761" s="315" t="str">
        <f t="shared" si="101"/>
        <v/>
      </c>
    </row>
    <row r="1762" spans="37:44" ht="30" hidden="1" customHeight="1">
      <c r="AK1762" s="313"/>
      <c r="AL1762" s="313"/>
      <c r="AM1762" s="313"/>
      <c r="AN1762" s="313"/>
      <c r="AO1762" s="313"/>
      <c r="AP1762" s="313"/>
      <c r="AQ1762" s="314"/>
      <c r="AR1762" s="315" t="str">
        <f t="shared" si="101"/>
        <v/>
      </c>
    </row>
    <row r="1763" spans="37:44" ht="30" hidden="1" customHeight="1">
      <c r="AK1763" s="313"/>
      <c r="AL1763" s="313"/>
      <c r="AM1763" s="313"/>
      <c r="AN1763" s="313"/>
      <c r="AO1763" s="313"/>
      <c r="AP1763" s="313"/>
      <c r="AQ1763" s="314"/>
      <c r="AR1763" s="315" t="str">
        <f t="shared" si="101"/>
        <v/>
      </c>
    </row>
    <row r="1764" spans="37:44" ht="30" hidden="1" customHeight="1">
      <c r="AK1764" s="313"/>
      <c r="AL1764" s="313"/>
      <c r="AM1764" s="313"/>
      <c r="AN1764" s="313"/>
      <c r="AO1764" s="313"/>
      <c r="AP1764" s="313"/>
      <c r="AQ1764" s="314"/>
      <c r="AR1764" s="315" t="str">
        <f t="shared" si="101"/>
        <v/>
      </c>
    </row>
    <row r="1765" spans="37:44" ht="30" hidden="1" customHeight="1">
      <c r="AK1765" s="313"/>
      <c r="AL1765" s="313"/>
      <c r="AM1765" s="313"/>
      <c r="AN1765" s="313"/>
      <c r="AO1765" s="313"/>
      <c r="AP1765" s="313"/>
      <c r="AQ1765" s="314"/>
      <c r="AR1765" s="315" t="str">
        <f t="shared" si="101"/>
        <v/>
      </c>
    </row>
    <row r="1766" spans="37:44" ht="30" hidden="1" customHeight="1">
      <c r="AK1766" s="313"/>
      <c r="AL1766" s="313"/>
      <c r="AM1766" s="313"/>
      <c r="AN1766" s="313"/>
      <c r="AO1766" s="313"/>
      <c r="AP1766" s="313"/>
      <c r="AQ1766" s="314"/>
      <c r="AR1766" s="315" t="str">
        <f t="shared" si="101"/>
        <v/>
      </c>
    </row>
    <row r="1767" spans="37:44" ht="30" hidden="1" customHeight="1">
      <c r="AK1767" s="313"/>
      <c r="AL1767" s="313"/>
      <c r="AM1767" s="313"/>
      <c r="AN1767" s="313"/>
      <c r="AO1767" s="313"/>
      <c r="AP1767" s="313"/>
      <c r="AQ1767" s="314"/>
      <c r="AR1767" s="315" t="str">
        <f t="shared" si="101"/>
        <v/>
      </c>
    </row>
    <row r="1768" spans="37:44" ht="30" hidden="1" customHeight="1">
      <c r="AK1768" s="313"/>
      <c r="AL1768" s="313"/>
      <c r="AM1768" s="313"/>
      <c r="AN1768" s="313"/>
      <c r="AO1768" s="313"/>
      <c r="AP1768" s="313"/>
      <c r="AQ1768" s="314"/>
      <c r="AR1768" s="315" t="str">
        <f t="shared" si="101"/>
        <v/>
      </c>
    </row>
    <row r="1769" spans="37:44" ht="30" hidden="1" customHeight="1">
      <c r="AK1769" s="313"/>
      <c r="AL1769" s="313"/>
      <c r="AM1769" s="313"/>
      <c r="AN1769" s="313"/>
      <c r="AO1769" s="313"/>
      <c r="AP1769" s="313"/>
      <c r="AQ1769" s="314"/>
      <c r="AR1769" s="315" t="str">
        <f t="shared" si="101"/>
        <v/>
      </c>
    </row>
    <row r="1770" spans="37:44" ht="30" hidden="1" customHeight="1">
      <c r="AK1770" s="313"/>
      <c r="AL1770" s="313"/>
      <c r="AM1770" s="313"/>
      <c r="AN1770" s="313"/>
      <c r="AO1770" s="313"/>
      <c r="AP1770" s="313"/>
      <c r="AQ1770" s="314"/>
      <c r="AR1770" s="315" t="str">
        <f t="shared" si="101"/>
        <v/>
      </c>
    </row>
    <row r="1771" spans="37:44" ht="30" hidden="1" customHeight="1">
      <c r="AK1771" s="313"/>
      <c r="AL1771" s="313"/>
      <c r="AM1771" s="313"/>
      <c r="AN1771" s="313"/>
      <c r="AO1771" s="313"/>
      <c r="AP1771" s="313"/>
      <c r="AQ1771" s="314"/>
      <c r="AR1771" s="315" t="str">
        <f t="shared" si="101"/>
        <v/>
      </c>
    </row>
    <row r="1772" spans="37:44" ht="30" hidden="1" customHeight="1">
      <c r="AK1772" s="313"/>
      <c r="AL1772" s="313"/>
      <c r="AM1772" s="313"/>
      <c r="AN1772" s="313"/>
      <c r="AO1772" s="313"/>
      <c r="AP1772" s="313"/>
      <c r="AQ1772" s="314"/>
      <c r="AR1772" s="315" t="str">
        <f t="shared" si="101"/>
        <v/>
      </c>
    </row>
    <row r="1773" spans="37:44" ht="30" hidden="1" customHeight="1">
      <c r="AK1773" s="313"/>
      <c r="AL1773" s="313"/>
      <c r="AM1773" s="313"/>
      <c r="AN1773" s="313"/>
      <c r="AO1773" s="313"/>
      <c r="AP1773" s="313"/>
      <c r="AQ1773" s="314"/>
      <c r="AR1773" s="315" t="str">
        <f t="shared" si="101"/>
        <v/>
      </c>
    </row>
    <row r="1774" spans="37:44" ht="30" hidden="1" customHeight="1">
      <c r="AK1774" s="313"/>
      <c r="AL1774" s="313"/>
      <c r="AM1774" s="313"/>
      <c r="AN1774" s="313"/>
      <c r="AO1774" s="313"/>
      <c r="AP1774" s="313"/>
      <c r="AQ1774" s="314"/>
      <c r="AR1774" s="315" t="str">
        <f t="shared" si="101"/>
        <v/>
      </c>
    </row>
    <row r="1775" spans="37:44" ht="30" hidden="1" customHeight="1">
      <c r="AK1775" s="313"/>
      <c r="AL1775" s="313"/>
      <c r="AM1775" s="313"/>
      <c r="AN1775" s="313"/>
      <c r="AO1775" s="313"/>
      <c r="AP1775" s="313"/>
      <c r="AQ1775" s="314"/>
      <c r="AR1775" s="315" t="str">
        <f t="shared" si="101"/>
        <v/>
      </c>
    </row>
    <row r="1776" spans="37:44" ht="30" hidden="1" customHeight="1">
      <c r="AK1776" s="313"/>
      <c r="AL1776" s="313"/>
      <c r="AM1776" s="313"/>
      <c r="AN1776" s="313"/>
      <c r="AO1776" s="313"/>
      <c r="AP1776" s="313"/>
      <c r="AQ1776" s="314"/>
      <c r="AR1776" s="315" t="str">
        <f t="shared" si="101"/>
        <v/>
      </c>
    </row>
    <row r="1777" spans="37:44" ht="30" hidden="1" customHeight="1">
      <c r="AK1777" s="313"/>
      <c r="AL1777" s="313"/>
      <c r="AM1777" s="313"/>
      <c r="AN1777" s="313"/>
      <c r="AO1777" s="313"/>
      <c r="AP1777" s="313"/>
      <c r="AQ1777" s="314"/>
      <c r="AR1777" s="315" t="str">
        <f t="shared" si="101"/>
        <v/>
      </c>
    </row>
    <row r="1778" spans="37:44" ht="30" hidden="1" customHeight="1">
      <c r="AK1778" s="313"/>
      <c r="AL1778" s="313"/>
      <c r="AM1778" s="313"/>
      <c r="AN1778" s="313"/>
      <c r="AO1778" s="313"/>
      <c r="AP1778" s="313"/>
      <c r="AQ1778" s="314"/>
      <c r="AR1778" s="315" t="str">
        <f t="shared" si="101"/>
        <v/>
      </c>
    </row>
    <row r="1779" spans="37:44" ht="30" hidden="1" customHeight="1">
      <c r="AK1779" s="313"/>
      <c r="AL1779" s="313"/>
      <c r="AM1779" s="313"/>
      <c r="AN1779" s="313"/>
      <c r="AO1779" s="313"/>
      <c r="AP1779" s="313"/>
      <c r="AQ1779" s="314"/>
      <c r="AR1779" s="315" t="str">
        <f t="shared" si="101"/>
        <v/>
      </c>
    </row>
    <row r="1780" spans="37:44" ht="30" hidden="1" customHeight="1">
      <c r="AK1780" s="313"/>
      <c r="AL1780" s="313"/>
      <c r="AM1780" s="313"/>
      <c r="AN1780" s="313"/>
      <c r="AO1780" s="313"/>
      <c r="AP1780" s="313"/>
      <c r="AQ1780" s="314"/>
      <c r="AR1780" s="315" t="str">
        <f t="shared" si="101"/>
        <v/>
      </c>
    </row>
    <row r="1781" spans="37:44" ht="30" hidden="1" customHeight="1">
      <c r="AK1781" s="313"/>
      <c r="AL1781" s="313"/>
      <c r="AM1781" s="313"/>
      <c r="AN1781" s="313"/>
      <c r="AO1781" s="313"/>
      <c r="AP1781" s="313"/>
      <c r="AQ1781" s="314"/>
      <c r="AR1781" s="315" t="str">
        <f t="shared" si="101"/>
        <v/>
      </c>
    </row>
    <row r="1782" spans="37:44" ht="30" hidden="1" customHeight="1">
      <c r="AK1782" s="313"/>
      <c r="AL1782" s="313"/>
      <c r="AM1782" s="313"/>
      <c r="AN1782" s="313"/>
      <c r="AO1782" s="313"/>
      <c r="AP1782" s="313"/>
      <c r="AQ1782" s="314"/>
      <c r="AR1782" s="315" t="str">
        <f t="shared" si="101"/>
        <v/>
      </c>
    </row>
    <row r="1783" spans="37:44" ht="30" hidden="1" customHeight="1">
      <c r="AK1783" s="313"/>
      <c r="AL1783" s="313"/>
      <c r="AM1783" s="313"/>
      <c r="AN1783" s="313"/>
      <c r="AO1783" s="313"/>
      <c r="AP1783" s="313"/>
      <c r="AQ1783" s="314"/>
      <c r="AR1783" s="315" t="str">
        <f t="shared" si="101"/>
        <v/>
      </c>
    </row>
    <row r="1784" spans="37:44" ht="30" hidden="1" customHeight="1">
      <c r="AK1784" s="313"/>
      <c r="AL1784" s="313"/>
      <c r="AM1784" s="313"/>
      <c r="AN1784" s="313"/>
      <c r="AO1784" s="313"/>
      <c r="AP1784" s="313"/>
      <c r="AQ1784" s="314"/>
      <c r="AR1784" s="315" t="str">
        <f t="shared" si="101"/>
        <v/>
      </c>
    </row>
    <row r="1785" spans="37:44" ht="30" hidden="1" customHeight="1">
      <c r="AK1785" s="313"/>
      <c r="AL1785" s="313"/>
      <c r="AM1785" s="313"/>
      <c r="AN1785" s="313"/>
      <c r="AO1785" s="313"/>
      <c r="AP1785" s="313"/>
      <c r="AQ1785" s="314"/>
      <c r="AR1785" s="315" t="str">
        <f t="shared" si="101"/>
        <v/>
      </c>
    </row>
    <row r="1786" spans="37:44" ht="30" hidden="1" customHeight="1">
      <c r="AK1786" s="313"/>
      <c r="AL1786" s="313"/>
      <c r="AM1786" s="313"/>
      <c r="AN1786" s="313"/>
      <c r="AO1786" s="313"/>
      <c r="AP1786" s="313"/>
      <c r="AQ1786" s="314"/>
      <c r="AR1786" s="315" t="str">
        <f t="shared" si="101"/>
        <v/>
      </c>
    </row>
    <row r="1787" spans="37:44" ht="30" hidden="1" customHeight="1">
      <c r="AK1787" s="313"/>
      <c r="AL1787" s="313"/>
      <c r="AM1787" s="313"/>
      <c r="AN1787" s="313"/>
      <c r="AO1787" s="313"/>
      <c r="AP1787" s="313"/>
      <c r="AQ1787" s="314"/>
      <c r="AR1787" s="315" t="str">
        <f t="shared" si="101"/>
        <v/>
      </c>
    </row>
    <row r="1788" spans="37:44" ht="30" hidden="1" customHeight="1">
      <c r="AK1788" s="313"/>
      <c r="AL1788" s="313"/>
      <c r="AM1788" s="313"/>
      <c r="AN1788" s="313"/>
      <c r="AO1788" s="313"/>
      <c r="AP1788" s="313"/>
      <c r="AQ1788" s="314"/>
      <c r="AR1788" s="315" t="str">
        <f t="shared" si="101"/>
        <v/>
      </c>
    </row>
    <row r="1789" spans="37:44" ht="30" hidden="1" customHeight="1">
      <c r="AK1789" s="313"/>
      <c r="AL1789" s="313"/>
      <c r="AM1789" s="313"/>
      <c r="AN1789" s="313"/>
      <c r="AO1789" s="313"/>
      <c r="AP1789" s="313"/>
      <c r="AQ1789" s="314"/>
      <c r="AR1789" s="315" t="str">
        <f t="shared" si="101"/>
        <v/>
      </c>
    </row>
    <row r="1790" spans="37:44" ht="30" hidden="1" customHeight="1">
      <c r="AK1790" s="313"/>
      <c r="AL1790" s="313"/>
      <c r="AM1790" s="313"/>
      <c r="AN1790" s="313"/>
      <c r="AO1790" s="313"/>
      <c r="AP1790" s="313"/>
      <c r="AQ1790" s="314"/>
      <c r="AR1790" s="315" t="str">
        <f t="shared" si="101"/>
        <v/>
      </c>
    </row>
    <row r="1791" spans="37:44" ht="30" hidden="1" customHeight="1">
      <c r="AK1791" s="313"/>
      <c r="AL1791" s="313"/>
      <c r="AM1791" s="313"/>
      <c r="AN1791" s="313"/>
      <c r="AO1791" s="313"/>
      <c r="AP1791" s="313"/>
      <c r="AQ1791" s="314"/>
      <c r="AR1791" s="315" t="str">
        <f t="shared" ref="AR1791:AR1854" si="102">IF(AQ1791="SIM","AGUARDANDO CORREÇÃO",IF(AP1791&lt;&gt;"","FINALIZADO",IF(AO1791&lt;&gt;"","AGUARDANDO ENVIO DTS",IF(AN1791&lt;&gt;"","AGUARDANDO ASSINATURA GAB",IF(AM1791&lt;&gt;"","AGUARDANDO ASSINATURA CTS",IF(AL1791&lt;&gt;"","AGUARDANDO ENVIO ASSINATURA CTS",IF(AK1791&lt;&gt;"","AGUARDANDO CONFERÊNCIA","")))))))</f>
        <v/>
      </c>
    </row>
    <row r="1792" spans="37:44" ht="30" hidden="1" customHeight="1">
      <c r="AK1792" s="313"/>
      <c r="AL1792" s="313"/>
      <c r="AM1792" s="313"/>
      <c r="AN1792" s="313"/>
      <c r="AO1792" s="313"/>
      <c r="AP1792" s="313"/>
      <c r="AQ1792" s="314"/>
      <c r="AR1792" s="315" t="str">
        <f t="shared" si="102"/>
        <v/>
      </c>
    </row>
    <row r="1793" spans="37:44" ht="30" hidden="1" customHeight="1">
      <c r="AK1793" s="313"/>
      <c r="AL1793" s="313"/>
      <c r="AM1793" s="313"/>
      <c r="AN1793" s="313"/>
      <c r="AO1793" s="313"/>
      <c r="AP1793" s="313"/>
      <c r="AQ1793" s="314"/>
      <c r="AR1793" s="315" t="str">
        <f t="shared" si="102"/>
        <v/>
      </c>
    </row>
    <row r="1794" spans="37:44" ht="30" hidden="1" customHeight="1">
      <c r="AK1794" s="313"/>
      <c r="AL1794" s="313"/>
      <c r="AM1794" s="313"/>
      <c r="AN1794" s="313"/>
      <c r="AO1794" s="313"/>
      <c r="AP1794" s="313"/>
      <c r="AQ1794" s="314"/>
      <c r="AR1794" s="315" t="str">
        <f t="shared" si="102"/>
        <v/>
      </c>
    </row>
    <row r="1795" spans="37:44" ht="30" hidden="1" customHeight="1">
      <c r="AK1795" s="313"/>
      <c r="AL1795" s="313"/>
      <c r="AM1795" s="313"/>
      <c r="AN1795" s="313"/>
      <c r="AO1795" s="313"/>
      <c r="AP1795" s="313"/>
      <c r="AQ1795" s="314"/>
      <c r="AR1795" s="315" t="str">
        <f t="shared" si="102"/>
        <v/>
      </c>
    </row>
    <row r="1796" spans="37:44" ht="30" hidden="1" customHeight="1">
      <c r="AK1796" s="313"/>
      <c r="AL1796" s="313"/>
      <c r="AM1796" s="313"/>
      <c r="AN1796" s="313"/>
      <c r="AO1796" s="313"/>
      <c r="AP1796" s="313"/>
      <c r="AQ1796" s="314"/>
      <c r="AR1796" s="315" t="str">
        <f t="shared" si="102"/>
        <v/>
      </c>
    </row>
    <row r="1797" spans="37:44" ht="30" hidden="1" customHeight="1">
      <c r="AK1797" s="313"/>
      <c r="AL1797" s="313"/>
      <c r="AM1797" s="313"/>
      <c r="AN1797" s="313"/>
      <c r="AO1797" s="313"/>
      <c r="AP1797" s="313"/>
      <c r="AQ1797" s="314"/>
      <c r="AR1797" s="315" t="str">
        <f t="shared" si="102"/>
        <v/>
      </c>
    </row>
    <row r="1798" spans="37:44" ht="30" hidden="1" customHeight="1">
      <c r="AK1798" s="313"/>
      <c r="AL1798" s="313"/>
      <c r="AM1798" s="313"/>
      <c r="AN1798" s="313"/>
      <c r="AO1798" s="313"/>
      <c r="AP1798" s="313"/>
      <c r="AQ1798" s="314"/>
      <c r="AR1798" s="315" t="str">
        <f t="shared" si="102"/>
        <v/>
      </c>
    </row>
    <row r="1799" spans="37:44" ht="30" hidden="1" customHeight="1">
      <c r="AK1799" s="313"/>
      <c r="AL1799" s="313"/>
      <c r="AM1799" s="313"/>
      <c r="AN1799" s="313"/>
      <c r="AO1799" s="313"/>
      <c r="AP1799" s="313"/>
      <c r="AQ1799" s="314"/>
      <c r="AR1799" s="315" t="str">
        <f t="shared" si="102"/>
        <v/>
      </c>
    </row>
    <row r="1800" spans="37:44" ht="30" hidden="1" customHeight="1">
      <c r="AK1800" s="313"/>
      <c r="AL1800" s="313"/>
      <c r="AM1800" s="313"/>
      <c r="AN1800" s="313"/>
      <c r="AO1800" s="313"/>
      <c r="AP1800" s="313"/>
      <c r="AQ1800" s="314"/>
      <c r="AR1800" s="315" t="str">
        <f t="shared" si="102"/>
        <v/>
      </c>
    </row>
    <row r="1801" spans="37:44" ht="30" hidden="1" customHeight="1">
      <c r="AK1801" s="313"/>
      <c r="AL1801" s="313"/>
      <c r="AM1801" s="313"/>
      <c r="AN1801" s="313"/>
      <c r="AO1801" s="313"/>
      <c r="AP1801" s="313"/>
      <c r="AQ1801" s="314"/>
      <c r="AR1801" s="315" t="str">
        <f t="shared" si="102"/>
        <v/>
      </c>
    </row>
    <row r="1802" spans="37:44" ht="30" hidden="1" customHeight="1">
      <c r="AK1802" s="313"/>
      <c r="AL1802" s="313"/>
      <c r="AM1802" s="313"/>
      <c r="AN1802" s="313"/>
      <c r="AO1802" s="313"/>
      <c r="AP1802" s="313"/>
      <c r="AQ1802" s="314"/>
      <c r="AR1802" s="315" t="str">
        <f t="shared" si="102"/>
        <v/>
      </c>
    </row>
    <row r="1803" spans="37:44" ht="30" hidden="1" customHeight="1">
      <c r="AK1803" s="313"/>
      <c r="AL1803" s="313"/>
      <c r="AM1803" s="313"/>
      <c r="AN1803" s="313"/>
      <c r="AO1803" s="313"/>
      <c r="AP1803" s="313"/>
      <c r="AQ1803" s="314"/>
      <c r="AR1803" s="315" t="str">
        <f t="shared" si="102"/>
        <v/>
      </c>
    </row>
    <row r="1804" spans="37:44" ht="30" hidden="1" customHeight="1">
      <c r="AK1804" s="313"/>
      <c r="AL1804" s="313"/>
      <c r="AM1804" s="313"/>
      <c r="AN1804" s="313"/>
      <c r="AO1804" s="313"/>
      <c r="AP1804" s="313"/>
      <c r="AQ1804" s="314"/>
      <c r="AR1804" s="315" t="str">
        <f t="shared" si="102"/>
        <v/>
      </c>
    </row>
    <row r="1805" spans="37:44" ht="30" hidden="1" customHeight="1">
      <c r="AK1805" s="313"/>
      <c r="AL1805" s="313"/>
      <c r="AM1805" s="313"/>
      <c r="AN1805" s="313"/>
      <c r="AO1805" s="313"/>
      <c r="AP1805" s="313"/>
      <c r="AQ1805" s="314"/>
      <c r="AR1805" s="315" t="str">
        <f t="shared" si="102"/>
        <v/>
      </c>
    </row>
    <row r="1806" spans="37:44" ht="30" hidden="1" customHeight="1">
      <c r="AK1806" s="313"/>
      <c r="AL1806" s="313"/>
      <c r="AM1806" s="313"/>
      <c r="AN1806" s="313"/>
      <c r="AO1806" s="313"/>
      <c r="AP1806" s="313"/>
      <c r="AQ1806" s="314"/>
      <c r="AR1806" s="315" t="str">
        <f t="shared" si="102"/>
        <v/>
      </c>
    </row>
    <row r="1807" spans="37:44" ht="30" hidden="1" customHeight="1">
      <c r="AK1807" s="313"/>
      <c r="AL1807" s="313"/>
      <c r="AM1807" s="313"/>
      <c r="AN1807" s="313"/>
      <c r="AO1807" s="313"/>
      <c r="AP1807" s="313"/>
      <c r="AQ1807" s="314"/>
      <c r="AR1807" s="315" t="str">
        <f t="shared" si="102"/>
        <v/>
      </c>
    </row>
    <row r="1808" spans="37:44" ht="30" hidden="1" customHeight="1">
      <c r="AK1808" s="313"/>
      <c r="AL1808" s="313"/>
      <c r="AM1808" s="313"/>
      <c r="AN1808" s="313"/>
      <c r="AO1808" s="313"/>
      <c r="AP1808" s="313"/>
      <c r="AQ1808" s="314"/>
      <c r="AR1808" s="315" t="str">
        <f t="shared" si="102"/>
        <v/>
      </c>
    </row>
    <row r="1809" spans="37:44" ht="30" hidden="1" customHeight="1">
      <c r="AK1809" s="313"/>
      <c r="AL1809" s="313"/>
      <c r="AM1809" s="313"/>
      <c r="AN1809" s="313"/>
      <c r="AO1809" s="313"/>
      <c r="AP1809" s="313"/>
      <c r="AQ1809" s="314"/>
      <c r="AR1809" s="315" t="str">
        <f t="shared" si="102"/>
        <v/>
      </c>
    </row>
    <row r="1810" spans="37:44" ht="30" hidden="1" customHeight="1">
      <c r="AK1810" s="313"/>
      <c r="AL1810" s="313"/>
      <c r="AM1810" s="313"/>
      <c r="AN1810" s="313"/>
      <c r="AO1810" s="313"/>
      <c r="AP1810" s="313"/>
      <c r="AQ1810" s="314"/>
      <c r="AR1810" s="315" t="str">
        <f t="shared" si="102"/>
        <v/>
      </c>
    </row>
    <row r="1811" spans="37:44" ht="30" hidden="1" customHeight="1">
      <c r="AK1811" s="313"/>
      <c r="AL1811" s="313"/>
      <c r="AM1811" s="313"/>
      <c r="AN1811" s="313"/>
      <c r="AO1811" s="313"/>
      <c r="AP1811" s="313"/>
      <c r="AQ1811" s="314"/>
      <c r="AR1811" s="315" t="str">
        <f t="shared" si="102"/>
        <v/>
      </c>
    </row>
    <row r="1812" spans="37:44" ht="30" hidden="1" customHeight="1">
      <c r="AK1812" s="313"/>
      <c r="AL1812" s="313"/>
      <c r="AM1812" s="313"/>
      <c r="AN1812" s="313"/>
      <c r="AO1812" s="313"/>
      <c r="AP1812" s="313"/>
      <c r="AQ1812" s="314"/>
      <c r="AR1812" s="315" t="str">
        <f t="shared" si="102"/>
        <v/>
      </c>
    </row>
    <row r="1813" spans="37:44" ht="30" hidden="1" customHeight="1">
      <c r="AK1813" s="313"/>
      <c r="AL1813" s="313"/>
      <c r="AM1813" s="313"/>
      <c r="AN1813" s="313"/>
      <c r="AO1813" s="313"/>
      <c r="AP1813" s="313"/>
      <c r="AQ1813" s="314"/>
      <c r="AR1813" s="315" t="str">
        <f t="shared" si="102"/>
        <v/>
      </c>
    </row>
    <row r="1814" spans="37:44" ht="30" hidden="1" customHeight="1">
      <c r="AK1814" s="313"/>
      <c r="AL1814" s="313"/>
      <c r="AM1814" s="313"/>
      <c r="AN1814" s="313"/>
      <c r="AO1814" s="313"/>
      <c r="AP1814" s="313"/>
      <c r="AQ1814" s="314"/>
      <c r="AR1814" s="315" t="str">
        <f t="shared" si="102"/>
        <v/>
      </c>
    </row>
    <row r="1815" spans="37:44" ht="30" hidden="1" customHeight="1">
      <c r="AK1815" s="313"/>
      <c r="AL1815" s="313"/>
      <c r="AM1815" s="313"/>
      <c r="AN1815" s="313"/>
      <c r="AO1815" s="313"/>
      <c r="AP1815" s="313"/>
      <c r="AQ1815" s="314"/>
      <c r="AR1815" s="315" t="str">
        <f t="shared" si="102"/>
        <v/>
      </c>
    </row>
    <row r="1816" spans="37:44" ht="30" hidden="1" customHeight="1">
      <c r="AK1816" s="313"/>
      <c r="AL1816" s="313"/>
      <c r="AM1816" s="313"/>
      <c r="AN1816" s="313"/>
      <c r="AO1816" s="313"/>
      <c r="AP1816" s="313"/>
      <c r="AQ1816" s="314"/>
      <c r="AR1816" s="315" t="str">
        <f t="shared" si="102"/>
        <v/>
      </c>
    </row>
    <row r="1817" spans="37:44" ht="30" hidden="1" customHeight="1">
      <c r="AK1817" s="313"/>
      <c r="AL1817" s="313"/>
      <c r="AM1817" s="313"/>
      <c r="AN1817" s="313"/>
      <c r="AO1817" s="313"/>
      <c r="AP1817" s="313"/>
      <c r="AQ1817" s="314"/>
      <c r="AR1817" s="315" t="str">
        <f t="shared" si="102"/>
        <v/>
      </c>
    </row>
    <row r="1818" spans="37:44" ht="30" hidden="1" customHeight="1">
      <c r="AK1818" s="313"/>
      <c r="AL1818" s="313"/>
      <c r="AM1818" s="313"/>
      <c r="AN1818" s="313"/>
      <c r="AO1818" s="313"/>
      <c r="AP1818" s="313"/>
      <c r="AQ1818" s="314"/>
      <c r="AR1818" s="315" t="str">
        <f t="shared" si="102"/>
        <v/>
      </c>
    </row>
    <row r="1819" spans="37:44" ht="30" hidden="1" customHeight="1">
      <c r="AK1819" s="313"/>
      <c r="AL1819" s="313"/>
      <c r="AM1819" s="313"/>
      <c r="AN1819" s="313"/>
      <c r="AO1819" s="313"/>
      <c r="AP1819" s="313"/>
      <c r="AQ1819" s="314"/>
      <c r="AR1819" s="315" t="str">
        <f t="shared" si="102"/>
        <v/>
      </c>
    </row>
    <row r="1820" spans="37:44" ht="30" hidden="1" customHeight="1">
      <c r="AK1820" s="313"/>
      <c r="AL1820" s="313"/>
      <c r="AM1820" s="313"/>
      <c r="AN1820" s="313"/>
      <c r="AO1820" s="313"/>
      <c r="AP1820" s="313"/>
      <c r="AQ1820" s="314"/>
      <c r="AR1820" s="315" t="str">
        <f t="shared" si="102"/>
        <v/>
      </c>
    </row>
    <row r="1821" spans="37:44" ht="30" hidden="1" customHeight="1">
      <c r="AK1821" s="313"/>
      <c r="AL1821" s="313"/>
      <c r="AM1821" s="313"/>
      <c r="AN1821" s="313"/>
      <c r="AO1821" s="313"/>
      <c r="AP1821" s="313"/>
      <c r="AQ1821" s="314"/>
      <c r="AR1821" s="315" t="str">
        <f t="shared" si="102"/>
        <v/>
      </c>
    </row>
    <row r="1822" spans="37:44" ht="30" hidden="1" customHeight="1">
      <c r="AK1822" s="313"/>
      <c r="AL1822" s="313"/>
      <c r="AM1822" s="313"/>
      <c r="AN1822" s="313"/>
      <c r="AO1822" s="313"/>
      <c r="AP1822" s="313"/>
      <c r="AQ1822" s="314"/>
      <c r="AR1822" s="315" t="str">
        <f t="shared" si="102"/>
        <v/>
      </c>
    </row>
    <row r="1823" spans="37:44" ht="30" hidden="1" customHeight="1">
      <c r="AK1823" s="313"/>
      <c r="AL1823" s="313"/>
      <c r="AM1823" s="313"/>
      <c r="AN1823" s="313"/>
      <c r="AO1823" s="313"/>
      <c r="AP1823" s="313"/>
      <c r="AQ1823" s="314"/>
      <c r="AR1823" s="315" t="str">
        <f t="shared" si="102"/>
        <v/>
      </c>
    </row>
    <row r="1824" spans="37:44" ht="30" hidden="1" customHeight="1">
      <c r="AK1824" s="313"/>
      <c r="AL1824" s="313"/>
      <c r="AM1824" s="313"/>
      <c r="AN1824" s="313"/>
      <c r="AO1824" s="313"/>
      <c r="AP1824" s="313"/>
      <c r="AQ1824" s="314"/>
      <c r="AR1824" s="315" t="str">
        <f t="shared" si="102"/>
        <v/>
      </c>
    </row>
    <row r="1825" spans="37:44" ht="30" hidden="1" customHeight="1">
      <c r="AK1825" s="313"/>
      <c r="AL1825" s="313"/>
      <c r="AM1825" s="313"/>
      <c r="AN1825" s="313"/>
      <c r="AO1825" s="313"/>
      <c r="AP1825" s="313"/>
      <c r="AQ1825" s="314"/>
      <c r="AR1825" s="315" t="str">
        <f t="shared" si="102"/>
        <v/>
      </c>
    </row>
    <row r="1826" spans="37:44" ht="30" hidden="1" customHeight="1">
      <c r="AK1826" s="313"/>
      <c r="AL1826" s="313"/>
      <c r="AM1826" s="313"/>
      <c r="AN1826" s="313"/>
      <c r="AO1826" s="313"/>
      <c r="AP1826" s="313"/>
      <c r="AQ1826" s="314"/>
      <c r="AR1826" s="315" t="str">
        <f t="shared" si="102"/>
        <v/>
      </c>
    </row>
    <row r="1827" spans="37:44" ht="30" hidden="1" customHeight="1">
      <c r="AK1827" s="313"/>
      <c r="AL1827" s="313"/>
      <c r="AM1827" s="313"/>
      <c r="AN1827" s="313"/>
      <c r="AO1827" s="313"/>
      <c r="AP1827" s="313"/>
      <c r="AQ1827" s="314"/>
      <c r="AR1827" s="315" t="str">
        <f t="shared" si="102"/>
        <v/>
      </c>
    </row>
    <row r="1828" spans="37:44" ht="30" hidden="1" customHeight="1">
      <c r="AK1828" s="313"/>
      <c r="AL1828" s="313"/>
      <c r="AM1828" s="313"/>
      <c r="AN1828" s="313"/>
      <c r="AO1828" s="313"/>
      <c r="AP1828" s="313"/>
      <c r="AQ1828" s="314"/>
      <c r="AR1828" s="315" t="str">
        <f t="shared" si="102"/>
        <v/>
      </c>
    </row>
    <row r="1829" spans="37:44" ht="30" hidden="1" customHeight="1">
      <c r="AK1829" s="313"/>
      <c r="AL1829" s="313"/>
      <c r="AM1829" s="313"/>
      <c r="AN1829" s="313"/>
      <c r="AO1829" s="313"/>
      <c r="AP1829" s="313"/>
      <c r="AQ1829" s="314"/>
      <c r="AR1829" s="315" t="str">
        <f t="shared" si="102"/>
        <v/>
      </c>
    </row>
    <row r="1830" spans="37:44" ht="30" hidden="1" customHeight="1">
      <c r="AK1830" s="313"/>
      <c r="AL1830" s="313"/>
      <c r="AM1830" s="313"/>
      <c r="AN1830" s="313"/>
      <c r="AO1830" s="313"/>
      <c r="AP1830" s="313"/>
      <c r="AQ1830" s="314"/>
      <c r="AR1830" s="315" t="str">
        <f t="shared" si="102"/>
        <v/>
      </c>
    </row>
    <row r="1831" spans="37:44" ht="30" hidden="1" customHeight="1">
      <c r="AK1831" s="313"/>
      <c r="AL1831" s="313"/>
      <c r="AM1831" s="313"/>
      <c r="AN1831" s="313"/>
      <c r="AO1831" s="313"/>
      <c r="AP1831" s="313"/>
      <c r="AQ1831" s="314"/>
      <c r="AR1831" s="315" t="str">
        <f t="shared" si="102"/>
        <v/>
      </c>
    </row>
    <row r="1832" spans="37:44" ht="30" hidden="1" customHeight="1">
      <c r="AK1832" s="313"/>
      <c r="AL1832" s="313"/>
      <c r="AM1832" s="313"/>
      <c r="AN1832" s="313"/>
      <c r="AO1832" s="313"/>
      <c r="AP1832" s="313"/>
      <c r="AQ1832" s="314"/>
      <c r="AR1832" s="315" t="str">
        <f t="shared" si="102"/>
        <v/>
      </c>
    </row>
    <row r="1833" spans="37:44" ht="30" hidden="1" customHeight="1">
      <c r="AK1833" s="313"/>
      <c r="AL1833" s="313"/>
      <c r="AM1833" s="313"/>
      <c r="AN1833" s="313"/>
      <c r="AO1833" s="313"/>
      <c r="AP1833" s="313"/>
      <c r="AQ1833" s="314"/>
      <c r="AR1833" s="315" t="str">
        <f t="shared" si="102"/>
        <v/>
      </c>
    </row>
    <row r="1834" spans="37:44" ht="30" hidden="1" customHeight="1">
      <c r="AK1834" s="313"/>
      <c r="AL1834" s="313"/>
      <c r="AM1834" s="313"/>
      <c r="AN1834" s="313"/>
      <c r="AO1834" s="313"/>
      <c r="AP1834" s="313"/>
      <c r="AQ1834" s="314"/>
      <c r="AR1834" s="315" t="str">
        <f t="shared" si="102"/>
        <v/>
      </c>
    </row>
    <row r="1835" spans="37:44" ht="30" hidden="1" customHeight="1">
      <c r="AK1835" s="313"/>
      <c r="AL1835" s="313"/>
      <c r="AM1835" s="313"/>
      <c r="AN1835" s="313"/>
      <c r="AO1835" s="313"/>
      <c r="AP1835" s="313"/>
      <c r="AQ1835" s="314"/>
      <c r="AR1835" s="315" t="str">
        <f t="shared" si="102"/>
        <v/>
      </c>
    </row>
    <row r="1836" spans="37:44" ht="30" hidden="1" customHeight="1">
      <c r="AK1836" s="313"/>
      <c r="AL1836" s="313"/>
      <c r="AM1836" s="313"/>
      <c r="AN1836" s="313"/>
      <c r="AO1836" s="313"/>
      <c r="AP1836" s="313"/>
      <c r="AQ1836" s="314"/>
      <c r="AR1836" s="315" t="str">
        <f t="shared" si="102"/>
        <v/>
      </c>
    </row>
    <row r="1837" spans="37:44" ht="30" hidden="1" customHeight="1">
      <c r="AK1837" s="313"/>
      <c r="AL1837" s="313"/>
      <c r="AM1837" s="313"/>
      <c r="AN1837" s="313"/>
      <c r="AO1837" s="313"/>
      <c r="AP1837" s="313"/>
      <c r="AQ1837" s="314"/>
      <c r="AR1837" s="315" t="str">
        <f t="shared" si="102"/>
        <v/>
      </c>
    </row>
    <row r="1838" spans="37:44" ht="30" hidden="1" customHeight="1">
      <c r="AK1838" s="313"/>
      <c r="AL1838" s="313"/>
      <c r="AM1838" s="313"/>
      <c r="AN1838" s="313"/>
      <c r="AO1838" s="313"/>
      <c r="AP1838" s="313"/>
      <c r="AQ1838" s="314"/>
      <c r="AR1838" s="315" t="str">
        <f t="shared" si="102"/>
        <v/>
      </c>
    </row>
    <row r="1839" spans="37:44" ht="30" hidden="1" customHeight="1">
      <c r="AK1839" s="313"/>
      <c r="AL1839" s="313"/>
      <c r="AM1839" s="313"/>
      <c r="AN1839" s="313"/>
      <c r="AO1839" s="313"/>
      <c r="AP1839" s="313"/>
      <c r="AQ1839" s="314"/>
      <c r="AR1839" s="315" t="str">
        <f t="shared" si="102"/>
        <v/>
      </c>
    </row>
    <row r="1840" spans="37:44" ht="30" hidden="1" customHeight="1">
      <c r="AK1840" s="313"/>
      <c r="AL1840" s="313"/>
      <c r="AM1840" s="313"/>
      <c r="AN1840" s="313"/>
      <c r="AO1840" s="313"/>
      <c r="AP1840" s="313"/>
      <c r="AQ1840" s="314"/>
      <c r="AR1840" s="315" t="str">
        <f t="shared" si="102"/>
        <v/>
      </c>
    </row>
    <row r="1841" spans="37:44" ht="30" hidden="1" customHeight="1">
      <c r="AK1841" s="313"/>
      <c r="AL1841" s="313"/>
      <c r="AM1841" s="313"/>
      <c r="AN1841" s="313"/>
      <c r="AO1841" s="313"/>
      <c r="AP1841" s="313"/>
      <c r="AQ1841" s="314"/>
      <c r="AR1841" s="315" t="str">
        <f t="shared" si="102"/>
        <v/>
      </c>
    </row>
    <row r="1842" spans="37:44" ht="30" hidden="1" customHeight="1">
      <c r="AK1842" s="313"/>
      <c r="AL1842" s="313"/>
      <c r="AM1842" s="313"/>
      <c r="AN1842" s="313"/>
      <c r="AO1842" s="313"/>
      <c r="AP1842" s="313"/>
      <c r="AQ1842" s="314"/>
      <c r="AR1842" s="315" t="str">
        <f t="shared" si="102"/>
        <v/>
      </c>
    </row>
    <row r="1843" spans="37:44" ht="30" hidden="1" customHeight="1">
      <c r="AK1843" s="313"/>
      <c r="AL1843" s="313"/>
      <c r="AM1843" s="313"/>
      <c r="AN1843" s="313"/>
      <c r="AO1843" s="313"/>
      <c r="AP1843" s="313"/>
      <c r="AQ1843" s="314"/>
      <c r="AR1843" s="315" t="str">
        <f t="shared" si="102"/>
        <v/>
      </c>
    </row>
    <row r="1844" spans="37:44" ht="30" hidden="1" customHeight="1">
      <c r="AK1844" s="313"/>
      <c r="AL1844" s="313"/>
      <c r="AM1844" s="313"/>
      <c r="AN1844" s="313"/>
      <c r="AO1844" s="313"/>
      <c r="AP1844" s="313"/>
      <c r="AQ1844" s="314"/>
      <c r="AR1844" s="315" t="str">
        <f t="shared" si="102"/>
        <v/>
      </c>
    </row>
    <row r="1845" spans="37:44" ht="30" hidden="1" customHeight="1">
      <c r="AK1845" s="313"/>
      <c r="AL1845" s="313"/>
      <c r="AM1845" s="313"/>
      <c r="AN1845" s="313"/>
      <c r="AO1845" s="313"/>
      <c r="AP1845" s="313"/>
      <c r="AQ1845" s="314"/>
      <c r="AR1845" s="315" t="str">
        <f t="shared" si="102"/>
        <v/>
      </c>
    </row>
    <row r="1846" spans="37:44" ht="30" hidden="1" customHeight="1">
      <c r="AK1846" s="313"/>
      <c r="AL1846" s="313"/>
      <c r="AM1846" s="313"/>
      <c r="AN1846" s="313"/>
      <c r="AO1846" s="313"/>
      <c r="AP1846" s="313"/>
      <c r="AQ1846" s="314"/>
      <c r="AR1846" s="315" t="str">
        <f t="shared" si="102"/>
        <v/>
      </c>
    </row>
    <row r="1847" spans="37:44" ht="30" hidden="1" customHeight="1">
      <c r="AK1847" s="313"/>
      <c r="AL1847" s="313"/>
      <c r="AM1847" s="313"/>
      <c r="AN1847" s="313"/>
      <c r="AO1847" s="313"/>
      <c r="AP1847" s="313"/>
      <c r="AQ1847" s="314"/>
      <c r="AR1847" s="315" t="str">
        <f t="shared" si="102"/>
        <v/>
      </c>
    </row>
    <row r="1848" spans="37:44" ht="30" hidden="1" customHeight="1">
      <c r="AK1848" s="313"/>
      <c r="AL1848" s="313"/>
      <c r="AM1848" s="313"/>
      <c r="AN1848" s="313"/>
      <c r="AO1848" s="313"/>
      <c r="AP1848" s="313"/>
      <c r="AQ1848" s="314"/>
      <c r="AR1848" s="315" t="str">
        <f t="shared" si="102"/>
        <v/>
      </c>
    </row>
    <row r="1849" spans="37:44" ht="30" hidden="1" customHeight="1">
      <c r="AK1849" s="313"/>
      <c r="AL1849" s="313"/>
      <c r="AM1849" s="313"/>
      <c r="AN1849" s="313"/>
      <c r="AO1849" s="313"/>
      <c r="AP1849" s="313"/>
      <c r="AQ1849" s="314"/>
      <c r="AR1849" s="315" t="str">
        <f t="shared" si="102"/>
        <v/>
      </c>
    </row>
    <row r="1850" spans="37:44" ht="30" hidden="1" customHeight="1">
      <c r="AK1850" s="313"/>
      <c r="AL1850" s="313"/>
      <c r="AM1850" s="313"/>
      <c r="AN1850" s="313"/>
      <c r="AO1850" s="313"/>
      <c r="AP1850" s="313"/>
      <c r="AQ1850" s="314"/>
      <c r="AR1850" s="315" t="str">
        <f t="shared" si="102"/>
        <v/>
      </c>
    </row>
    <row r="1851" spans="37:44" ht="30" hidden="1" customHeight="1">
      <c r="AK1851" s="313"/>
      <c r="AL1851" s="313"/>
      <c r="AM1851" s="313"/>
      <c r="AN1851" s="313"/>
      <c r="AO1851" s="313"/>
      <c r="AP1851" s="313"/>
      <c r="AQ1851" s="314"/>
      <c r="AR1851" s="315" t="str">
        <f t="shared" si="102"/>
        <v/>
      </c>
    </row>
    <row r="1852" spans="37:44" ht="30" hidden="1" customHeight="1">
      <c r="AK1852" s="313"/>
      <c r="AL1852" s="313"/>
      <c r="AM1852" s="313"/>
      <c r="AN1852" s="313"/>
      <c r="AO1852" s="313"/>
      <c r="AP1852" s="313"/>
      <c r="AQ1852" s="314"/>
      <c r="AR1852" s="315" t="str">
        <f t="shared" si="102"/>
        <v/>
      </c>
    </row>
    <row r="1853" spans="37:44" ht="30" hidden="1" customHeight="1">
      <c r="AK1853" s="313"/>
      <c r="AL1853" s="313"/>
      <c r="AM1853" s="313"/>
      <c r="AN1853" s="313"/>
      <c r="AO1853" s="313"/>
      <c r="AP1853" s="313"/>
      <c r="AQ1853" s="314"/>
      <c r="AR1853" s="315" t="str">
        <f t="shared" si="102"/>
        <v/>
      </c>
    </row>
    <row r="1854" spans="37:44" ht="30" hidden="1" customHeight="1">
      <c r="AK1854" s="313"/>
      <c r="AL1854" s="313"/>
      <c r="AM1854" s="313"/>
      <c r="AN1854" s="313"/>
      <c r="AO1854" s="313"/>
      <c r="AP1854" s="313"/>
      <c r="AQ1854" s="314"/>
      <c r="AR1854" s="315" t="str">
        <f t="shared" si="102"/>
        <v/>
      </c>
    </row>
    <row r="1855" spans="37:44" ht="30" hidden="1" customHeight="1">
      <c r="AK1855" s="313"/>
      <c r="AL1855" s="313"/>
      <c r="AM1855" s="313"/>
      <c r="AN1855" s="313"/>
      <c r="AO1855" s="313"/>
      <c r="AP1855" s="313"/>
      <c r="AQ1855" s="314"/>
      <c r="AR1855" s="315" t="str">
        <f t="shared" ref="AR1855:AR1918" si="103">IF(AQ1855="SIM","AGUARDANDO CORREÇÃO",IF(AP1855&lt;&gt;"","FINALIZADO",IF(AO1855&lt;&gt;"","AGUARDANDO ENVIO DTS",IF(AN1855&lt;&gt;"","AGUARDANDO ASSINATURA GAB",IF(AM1855&lt;&gt;"","AGUARDANDO ASSINATURA CTS",IF(AL1855&lt;&gt;"","AGUARDANDO ENVIO ASSINATURA CTS",IF(AK1855&lt;&gt;"","AGUARDANDO CONFERÊNCIA","")))))))</f>
        <v/>
      </c>
    </row>
    <row r="1856" spans="37:44" ht="30" hidden="1" customHeight="1">
      <c r="AK1856" s="313"/>
      <c r="AL1856" s="313"/>
      <c r="AM1856" s="313"/>
      <c r="AN1856" s="313"/>
      <c r="AO1856" s="313"/>
      <c r="AP1856" s="313"/>
      <c r="AQ1856" s="314"/>
      <c r="AR1856" s="315" t="str">
        <f t="shared" si="103"/>
        <v/>
      </c>
    </row>
    <row r="1857" spans="37:44" ht="30" hidden="1" customHeight="1">
      <c r="AK1857" s="313"/>
      <c r="AL1857" s="313"/>
      <c r="AM1857" s="313"/>
      <c r="AN1857" s="313"/>
      <c r="AO1857" s="313"/>
      <c r="AP1857" s="313"/>
      <c r="AQ1857" s="314"/>
      <c r="AR1857" s="315" t="str">
        <f t="shared" si="103"/>
        <v/>
      </c>
    </row>
    <row r="1858" spans="37:44" ht="30" hidden="1" customHeight="1">
      <c r="AK1858" s="313"/>
      <c r="AL1858" s="313"/>
      <c r="AM1858" s="313"/>
      <c r="AN1858" s="313"/>
      <c r="AO1858" s="313"/>
      <c r="AP1858" s="313"/>
      <c r="AQ1858" s="314"/>
      <c r="AR1858" s="315" t="str">
        <f t="shared" si="103"/>
        <v/>
      </c>
    </row>
    <row r="1859" spans="37:44" ht="30" hidden="1" customHeight="1">
      <c r="AK1859" s="313"/>
      <c r="AL1859" s="313"/>
      <c r="AM1859" s="313"/>
      <c r="AN1859" s="313"/>
      <c r="AO1859" s="313"/>
      <c r="AP1859" s="313"/>
      <c r="AQ1859" s="314"/>
      <c r="AR1859" s="315" t="str">
        <f t="shared" si="103"/>
        <v/>
      </c>
    </row>
    <row r="1860" spans="37:44" ht="30" hidden="1" customHeight="1">
      <c r="AK1860" s="313"/>
      <c r="AL1860" s="313"/>
      <c r="AM1860" s="313"/>
      <c r="AN1860" s="313"/>
      <c r="AO1860" s="313"/>
      <c r="AP1860" s="313"/>
      <c r="AQ1860" s="314"/>
      <c r="AR1860" s="315" t="str">
        <f t="shared" si="103"/>
        <v/>
      </c>
    </row>
    <row r="1861" spans="37:44" ht="30" hidden="1" customHeight="1">
      <c r="AK1861" s="313"/>
      <c r="AL1861" s="313"/>
      <c r="AM1861" s="313"/>
      <c r="AN1861" s="313"/>
      <c r="AO1861" s="313"/>
      <c r="AP1861" s="313"/>
      <c r="AQ1861" s="314"/>
      <c r="AR1861" s="315" t="str">
        <f t="shared" si="103"/>
        <v/>
      </c>
    </row>
    <row r="1862" spans="37:44" ht="30" hidden="1" customHeight="1">
      <c r="AK1862" s="313"/>
      <c r="AL1862" s="313"/>
      <c r="AM1862" s="313"/>
      <c r="AN1862" s="313"/>
      <c r="AO1862" s="313"/>
      <c r="AP1862" s="313"/>
      <c r="AQ1862" s="314"/>
      <c r="AR1862" s="315" t="str">
        <f t="shared" si="103"/>
        <v/>
      </c>
    </row>
    <row r="1863" spans="37:44" ht="30" hidden="1" customHeight="1">
      <c r="AK1863" s="313"/>
      <c r="AL1863" s="313"/>
      <c r="AM1863" s="313"/>
      <c r="AN1863" s="313"/>
      <c r="AO1863" s="313"/>
      <c r="AP1863" s="313"/>
      <c r="AQ1863" s="314"/>
      <c r="AR1863" s="315" t="str">
        <f t="shared" si="103"/>
        <v/>
      </c>
    </row>
    <row r="1864" spans="37:44" ht="30" hidden="1" customHeight="1">
      <c r="AK1864" s="313"/>
      <c r="AL1864" s="313"/>
      <c r="AM1864" s="313"/>
      <c r="AN1864" s="313"/>
      <c r="AO1864" s="313"/>
      <c r="AP1864" s="313"/>
      <c r="AQ1864" s="314"/>
      <c r="AR1864" s="315" t="str">
        <f t="shared" si="103"/>
        <v/>
      </c>
    </row>
    <row r="1865" spans="37:44" ht="30" hidden="1" customHeight="1">
      <c r="AK1865" s="313"/>
      <c r="AL1865" s="313"/>
      <c r="AM1865" s="313"/>
      <c r="AN1865" s="313"/>
      <c r="AO1865" s="313"/>
      <c r="AP1865" s="313"/>
      <c r="AQ1865" s="314"/>
      <c r="AR1865" s="315" t="str">
        <f t="shared" si="103"/>
        <v/>
      </c>
    </row>
    <row r="1866" spans="37:44" ht="30" hidden="1" customHeight="1">
      <c r="AK1866" s="313"/>
      <c r="AL1866" s="313"/>
      <c r="AM1866" s="313"/>
      <c r="AN1866" s="313"/>
      <c r="AO1866" s="313"/>
      <c r="AP1866" s="313"/>
      <c r="AQ1866" s="314"/>
      <c r="AR1866" s="315" t="str">
        <f t="shared" si="103"/>
        <v/>
      </c>
    </row>
    <row r="1867" spans="37:44" ht="30" hidden="1" customHeight="1">
      <c r="AK1867" s="313"/>
      <c r="AL1867" s="313"/>
      <c r="AM1867" s="313"/>
      <c r="AN1867" s="313"/>
      <c r="AO1867" s="313"/>
      <c r="AP1867" s="313"/>
      <c r="AQ1867" s="314"/>
      <c r="AR1867" s="315" t="str">
        <f t="shared" si="103"/>
        <v/>
      </c>
    </row>
    <row r="1868" spans="37:44" ht="30" hidden="1" customHeight="1">
      <c r="AK1868" s="313"/>
      <c r="AL1868" s="313"/>
      <c r="AM1868" s="313"/>
      <c r="AN1868" s="313"/>
      <c r="AO1868" s="313"/>
      <c r="AP1868" s="313"/>
      <c r="AQ1868" s="314"/>
      <c r="AR1868" s="315" t="str">
        <f t="shared" si="103"/>
        <v/>
      </c>
    </row>
    <row r="1869" spans="37:44" ht="30" hidden="1" customHeight="1">
      <c r="AK1869" s="313"/>
      <c r="AL1869" s="313"/>
      <c r="AM1869" s="313"/>
      <c r="AN1869" s="313"/>
      <c r="AO1869" s="313"/>
      <c r="AP1869" s="313"/>
      <c r="AQ1869" s="314"/>
      <c r="AR1869" s="315" t="str">
        <f t="shared" si="103"/>
        <v/>
      </c>
    </row>
    <row r="1870" spans="37:44" ht="30" hidden="1" customHeight="1">
      <c r="AK1870" s="313"/>
      <c r="AL1870" s="313"/>
      <c r="AM1870" s="313"/>
      <c r="AN1870" s="313"/>
      <c r="AO1870" s="313"/>
      <c r="AP1870" s="313"/>
      <c r="AQ1870" s="314"/>
      <c r="AR1870" s="315" t="str">
        <f t="shared" si="103"/>
        <v/>
      </c>
    </row>
    <row r="1871" spans="37:44" ht="30" hidden="1" customHeight="1">
      <c r="AK1871" s="313"/>
      <c r="AL1871" s="313"/>
      <c r="AM1871" s="313"/>
      <c r="AN1871" s="313"/>
      <c r="AO1871" s="313"/>
      <c r="AP1871" s="313"/>
      <c r="AQ1871" s="314"/>
      <c r="AR1871" s="315" t="str">
        <f t="shared" si="103"/>
        <v/>
      </c>
    </row>
    <row r="1872" spans="37:44" ht="30" hidden="1" customHeight="1">
      <c r="AK1872" s="313"/>
      <c r="AL1872" s="313"/>
      <c r="AM1872" s="313"/>
      <c r="AN1872" s="313"/>
      <c r="AO1872" s="313"/>
      <c r="AP1872" s="313"/>
      <c r="AQ1872" s="314"/>
      <c r="AR1872" s="315" t="str">
        <f t="shared" si="103"/>
        <v/>
      </c>
    </row>
    <row r="1873" spans="37:44" ht="30" hidden="1" customHeight="1">
      <c r="AK1873" s="313"/>
      <c r="AL1873" s="313"/>
      <c r="AM1873" s="313"/>
      <c r="AN1873" s="313"/>
      <c r="AO1873" s="313"/>
      <c r="AP1873" s="313"/>
      <c r="AQ1873" s="314"/>
      <c r="AR1873" s="315" t="str">
        <f t="shared" si="103"/>
        <v/>
      </c>
    </row>
    <row r="1874" spans="37:44" ht="30" hidden="1" customHeight="1">
      <c r="AK1874" s="313"/>
      <c r="AL1874" s="313"/>
      <c r="AM1874" s="313"/>
      <c r="AN1874" s="313"/>
      <c r="AO1874" s="313"/>
      <c r="AP1874" s="313"/>
      <c r="AQ1874" s="314"/>
      <c r="AR1874" s="315" t="str">
        <f t="shared" si="103"/>
        <v/>
      </c>
    </row>
    <row r="1875" spans="37:44" ht="30" hidden="1" customHeight="1">
      <c r="AK1875" s="313"/>
      <c r="AL1875" s="313"/>
      <c r="AM1875" s="313"/>
      <c r="AN1875" s="313"/>
      <c r="AO1875" s="313"/>
      <c r="AP1875" s="313"/>
      <c r="AQ1875" s="314"/>
      <c r="AR1875" s="315" t="str">
        <f t="shared" si="103"/>
        <v/>
      </c>
    </row>
    <row r="1876" spans="37:44" ht="30" hidden="1" customHeight="1">
      <c r="AK1876" s="313"/>
      <c r="AL1876" s="313"/>
      <c r="AM1876" s="313"/>
      <c r="AN1876" s="313"/>
      <c r="AO1876" s="313"/>
      <c r="AP1876" s="313"/>
      <c r="AQ1876" s="314"/>
      <c r="AR1876" s="315" t="str">
        <f t="shared" si="103"/>
        <v/>
      </c>
    </row>
    <row r="1877" spans="37:44" ht="30" hidden="1" customHeight="1">
      <c r="AK1877" s="313"/>
      <c r="AL1877" s="313"/>
      <c r="AM1877" s="313"/>
      <c r="AN1877" s="313"/>
      <c r="AO1877" s="313"/>
      <c r="AP1877" s="313"/>
      <c r="AQ1877" s="314"/>
      <c r="AR1877" s="315" t="str">
        <f t="shared" si="103"/>
        <v/>
      </c>
    </row>
    <row r="1878" spans="37:44" ht="30" hidden="1" customHeight="1">
      <c r="AK1878" s="313"/>
      <c r="AL1878" s="313"/>
      <c r="AM1878" s="313"/>
      <c r="AN1878" s="313"/>
      <c r="AO1878" s="313"/>
      <c r="AP1878" s="313"/>
      <c r="AQ1878" s="314"/>
      <c r="AR1878" s="315" t="str">
        <f t="shared" si="103"/>
        <v/>
      </c>
    </row>
    <row r="1879" spans="37:44" ht="30" hidden="1" customHeight="1">
      <c r="AK1879" s="313"/>
      <c r="AL1879" s="313"/>
      <c r="AM1879" s="313"/>
      <c r="AN1879" s="313"/>
      <c r="AO1879" s="313"/>
      <c r="AP1879" s="313"/>
      <c r="AQ1879" s="314"/>
      <c r="AR1879" s="315" t="str">
        <f t="shared" si="103"/>
        <v/>
      </c>
    </row>
    <row r="1880" spans="37:44" ht="30" hidden="1" customHeight="1">
      <c r="AK1880" s="313"/>
      <c r="AL1880" s="313"/>
      <c r="AM1880" s="313"/>
      <c r="AN1880" s="313"/>
      <c r="AO1880" s="313"/>
      <c r="AP1880" s="313"/>
      <c r="AQ1880" s="314"/>
      <c r="AR1880" s="315" t="str">
        <f t="shared" si="103"/>
        <v/>
      </c>
    </row>
    <row r="1881" spans="37:44" ht="30" hidden="1" customHeight="1">
      <c r="AK1881" s="313"/>
      <c r="AL1881" s="313"/>
      <c r="AM1881" s="313"/>
      <c r="AN1881" s="313"/>
      <c r="AO1881" s="313"/>
      <c r="AP1881" s="313"/>
      <c r="AQ1881" s="314"/>
      <c r="AR1881" s="315" t="str">
        <f t="shared" si="103"/>
        <v/>
      </c>
    </row>
    <row r="1882" spans="37:44" ht="30" hidden="1" customHeight="1">
      <c r="AK1882" s="313"/>
      <c r="AL1882" s="313"/>
      <c r="AM1882" s="313"/>
      <c r="AN1882" s="313"/>
      <c r="AO1882" s="313"/>
      <c r="AP1882" s="313"/>
      <c r="AQ1882" s="314"/>
      <c r="AR1882" s="315" t="str">
        <f t="shared" si="103"/>
        <v/>
      </c>
    </row>
    <row r="1883" spans="37:44" ht="30" hidden="1" customHeight="1">
      <c r="AK1883" s="313"/>
      <c r="AL1883" s="313"/>
      <c r="AM1883" s="313"/>
      <c r="AN1883" s="313"/>
      <c r="AO1883" s="313"/>
      <c r="AP1883" s="313"/>
      <c r="AQ1883" s="314"/>
      <c r="AR1883" s="315" t="str">
        <f t="shared" si="103"/>
        <v/>
      </c>
    </row>
    <row r="1884" spans="37:44" ht="30" hidden="1" customHeight="1">
      <c r="AK1884" s="313"/>
      <c r="AL1884" s="313"/>
      <c r="AM1884" s="313"/>
      <c r="AN1884" s="313"/>
      <c r="AO1884" s="313"/>
      <c r="AP1884" s="313"/>
      <c r="AQ1884" s="314"/>
      <c r="AR1884" s="315" t="str">
        <f t="shared" si="103"/>
        <v/>
      </c>
    </row>
    <row r="1885" spans="37:44" ht="30" hidden="1" customHeight="1">
      <c r="AK1885" s="313"/>
      <c r="AL1885" s="313"/>
      <c r="AM1885" s="313"/>
      <c r="AN1885" s="313"/>
      <c r="AO1885" s="313"/>
      <c r="AP1885" s="313"/>
      <c r="AQ1885" s="314"/>
      <c r="AR1885" s="315" t="str">
        <f t="shared" si="103"/>
        <v/>
      </c>
    </row>
    <row r="1886" spans="37:44" ht="30" hidden="1" customHeight="1">
      <c r="AK1886" s="313"/>
      <c r="AL1886" s="313"/>
      <c r="AM1886" s="313"/>
      <c r="AN1886" s="313"/>
      <c r="AO1886" s="313"/>
      <c r="AP1886" s="313"/>
      <c r="AQ1886" s="314"/>
      <c r="AR1886" s="315" t="str">
        <f t="shared" si="103"/>
        <v/>
      </c>
    </row>
    <row r="1887" spans="37:44" ht="30" hidden="1" customHeight="1">
      <c r="AK1887" s="313"/>
      <c r="AL1887" s="313"/>
      <c r="AM1887" s="313"/>
      <c r="AN1887" s="313"/>
      <c r="AO1887" s="313"/>
      <c r="AP1887" s="313"/>
      <c r="AQ1887" s="314"/>
      <c r="AR1887" s="315" t="str">
        <f t="shared" si="103"/>
        <v/>
      </c>
    </row>
    <row r="1888" spans="37:44" ht="30" hidden="1" customHeight="1">
      <c r="AK1888" s="313"/>
      <c r="AL1888" s="313"/>
      <c r="AM1888" s="313"/>
      <c r="AN1888" s="313"/>
      <c r="AO1888" s="313"/>
      <c r="AP1888" s="313"/>
      <c r="AQ1888" s="314"/>
      <c r="AR1888" s="315" t="str">
        <f t="shared" si="103"/>
        <v/>
      </c>
    </row>
    <row r="1889" spans="37:44" ht="30" hidden="1" customHeight="1">
      <c r="AK1889" s="313"/>
      <c r="AL1889" s="313"/>
      <c r="AM1889" s="313"/>
      <c r="AN1889" s="313"/>
      <c r="AO1889" s="313"/>
      <c r="AP1889" s="313"/>
      <c r="AQ1889" s="314"/>
      <c r="AR1889" s="315" t="str">
        <f t="shared" si="103"/>
        <v/>
      </c>
    </row>
    <row r="1890" spans="37:44" ht="30" hidden="1" customHeight="1">
      <c r="AK1890" s="313"/>
      <c r="AL1890" s="313"/>
      <c r="AM1890" s="313"/>
      <c r="AN1890" s="313"/>
      <c r="AO1890" s="313"/>
      <c r="AP1890" s="313"/>
      <c r="AQ1890" s="314"/>
      <c r="AR1890" s="315" t="str">
        <f t="shared" si="103"/>
        <v/>
      </c>
    </row>
    <row r="1891" spans="37:44" ht="30" hidden="1" customHeight="1">
      <c r="AK1891" s="313"/>
      <c r="AL1891" s="313"/>
      <c r="AM1891" s="313"/>
      <c r="AN1891" s="313"/>
      <c r="AO1891" s="313"/>
      <c r="AP1891" s="313"/>
      <c r="AQ1891" s="314"/>
      <c r="AR1891" s="315" t="str">
        <f t="shared" si="103"/>
        <v/>
      </c>
    </row>
    <row r="1892" spans="37:44" ht="30" hidden="1" customHeight="1">
      <c r="AK1892" s="313"/>
      <c r="AL1892" s="313"/>
      <c r="AM1892" s="313"/>
      <c r="AN1892" s="313"/>
      <c r="AO1892" s="313"/>
      <c r="AP1892" s="313"/>
      <c r="AQ1892" s="314"/>
      <c r="AR1892" s="315" t="str">
        <f t="shared" si="103"/>
        <v/>
      </c>
    </row>
    <row r="1893" spans="37:44" ht="30" hidden="1" customHeight="1">
      <c r="AK1893" s="313"/>
      <c r="AL1893" s="313"/>
      <c r="AM1893" s="313"/>
      <c r="AN1893" s="313"/>
      <c r="AO1893" s="313"/>
      <c r="AP1893" s="313"/>
      <c r="AQ1893" s="314"/>
      <c r="AR1893" s="315" t="str">
        <f t="shared" si="103"/>
        <v/>
      </c>
    </row>
    <row r="1894" spans="37:44" ht="30" hidden="1" customHeight="1">
      <c r="AK1894" s="313"/>
      <c r="AL1894" s="313"/>
      <c r="AM1894" s="313"/>
      <c r="AN1894" s="313"/>
      <c r="AO1894" s="313"/>
      <c r="AP1894" s="313"/>
      <c r="AQ1894" s="314"/>
      <c r="AR1894" s="315" t="str">
        <f t="shared" si="103"/>
        <v/>
      </c>
    </row>
    <row r="1895" spans="37:44" ht="30" hidden="1" customHeight="1">
      <c r="AK1895" s="313"/>
      <c r="AL1895" s="313"/>
      <c r="AM1895" s="313"/>
      <c r="AN1895" s="313"/>
      <c r="AO1895" s="313"/>
      <c r="AP1895" s="313"/>
      <c r="AQ1895" s="314"/>
      <c r="AR1895" s="315" t="str">
        <f t="shared" si="103"/>
        <v/>
      </c>
    </row>
    <row r="1896" spans="37:44" ht="30" hidden="1" customHeight="1">
      <c r="AK1896" s="313"/>
      <c r="AL1896" s="313"/>
      <c r="AM1896" s="313"/>
      <c r="AN1896" s="313"/>
      <c r="AO1896" s="313"/>
      <c r="AP1896" s="313"/>
      <c r="AQ1896" s="314"/>
      <c r="AR1896" s="315" t="str">
        <f t="shared" si="103"/>
        <v/>
      </c>
    </row>
    <row r="1897" spans="37:44" ht="30" hidden="1" customHeight="1">
      <c r="AK1897" s="313"/>
      <c r="AL1897" s="313"/>
      <c r="AM1897" s="313"/>
      <c r="AN1897" s="313"/>
      <c r="AO1897" s="313"/>
      <c r="AP1897" s="313"/>
      <c r="AQ1897" s="314"/>
      <c r="AR1897" s="315" t="str">
        <f t="shared" si="103"/>
        <v/>
      </c>
    </row>
    <row r="1898" spans="37:44" ht="30" hidden="1" customHeight="1">
      <c r="AK1898" s="313"/>
      <c r="AL1898" s="313"/>
      <c r="AM1898" s="313"/>
      <c r="AN1898" s="313"/>
      <c r="AO1898" s="313"/>
      <c r="AP1898" s="313"/>
      <c r="AQ1898" s="314"/>
      <c r="AR1898" s="315" t="str">
        <f t="shared" si="103"/>
        <v/>
      </c>
    </row>
    <row r="1899" spans="37:44" ht="30" hidden="1" customHeight="1">
      <c r="AK1899" s="313"/>
      <c r="AL1899" s="313"/>
      <c r="AM1899" s="313"/>
      <c r="AN1899" s="313"/>
      <c r="AO1899" s="313"/>
      <c r="AP1899" s="313"/>
      <c r="AQ1899" s="314"/>
      <c r="AR1899" s="315" t="str">
        <f t="shared" si="103"/>
        <v/>
      </c>
    </row>
    <row r="1900" spans="37:44" ht="30" hidden="1" customHeight="1">
      <c r="AK1900" s="313"/>
      <c r="AL1900" s="313"/>
      <c r="AM1900" s="313"/>
      <c r="AN1900" s="313"/>
      <c r="AO1900" s="313"/>
      <c r="AP1900" s="313"/>
      <c r="AQ1900" s="314"/>
      <c r="AR1900" s="315" t="str">
        <f t="shared" si="103"/>
        <v/>
      </c>
    </row>
    <row r="1901" spans="37:44" ht="30" hidden="1" customHeight="1">
      <c r="AK1901" s="313"/>
      <c r="AL1901" s="313"/>
      <c r="AM1901" s="313"/>
      <c r="AN1901" s="313"/>
      <c r="AO1901" s="313"/>
      <c r="AP1901" s="313"/>
      <c r="AQ1901" s="314"/>
      <c r="AR1901" s="315" t="str">
        <f t="shared" si="103"/>
        <v/>
      </c>
    </row>
    <row r="1902" spans="37:44" ht="30" hidden="1" customHeight="1">
      <c r="AK1902" s="313"/>
      <c r="AL1902" s="313"/>
      <c r="AM1902" s="313"/>
      <c r="AN1902" s="313"/>
      <c r="AO1902" s="313"/>
      <c r="AP1902" s="313"/>
      <c r="AQ1902" s="314"/>
      <c r="AR1902" s="315" t="str">
        <f t="shared" si="103"/>
        <v/>
      </c>
    </row>
    <row r="1903" spans="37:44" ht="30" hidden="1" customHeight="1">
      <c r="AK1903" s="313"/>
      <c r="AL1903" s="313"/>
      <c r="AM1903" s="313"/>
      <c r="AN1903" s="313"/>
      <c r="AO1903" s="313"/>
      <c r="AP1903" s="313"/>
      <c r="AQ1903" s="314"/>
      <c r="AR1903" s="315" t="str">
        <f t="shared" si="103"/>
        <v/>
      </c>
    </row>
    <row r="1904" spans="37:44" ht="30" hidden="1" customHeight="1">
      <c r="AK1904" s="313"/>
      <c r="AL1904" s="313"/>
      <c r="AM1904" s="313"/>
      <c r="AN1904" s="313"/>
      <c r="AO1904" s="313"/>
      <c r="AP1904" s="313"/>
      <c r="AQ1904" s="314"/>
      <c r="AR1904" s="315" t="str">
        <f t="shared" si="103"/>
        <v/>
      </c>
    </row>
    <row r="1905" spans="37:44" ht="30" hidden="1" customHeight="1">
      <c r="AK1905" s="313"/>
      <c r="AL1905" s="313"/>
      <c r="AM1905" s="313"/>
      <c r="AN1905" s="313"/>
      <c r="AO1905" s="313"/>
      <c r="AP1905" s="313"/>
      <c r="AQ1905" s="314"/>
      <c r="AR1905" s="315" t="str">
        <f t="shared" si="103"/>
        <v/>
      </c>
    </row>
    <row r="1906" spans="37:44" ht="30" hidden="1" customHeight="1">
      <c r="AK1906" s="313"/>
      <c r="AL1906" s="313"/>
      <c r="AM1906" s="313"/>
      <c r="AN1906" s="313"/>
      <c r="AO1906" s="313"/>
      <c r="AP1906" s="313"/>
      <c r="AQ1906" s="314"/>
      <c r="AR1906" s="315" t="str">
        <f t="shared" si="103"/>
        <v/>
      </c>
    </row>
    <row r="1907" spans="37:44" ht="30" hidden="1" customHeight="1">
      <c r="AK1907" s="313"/>
      <c r="AL1907" s="313"/>
      <c r="AM1907" s="313"/>
      <c r="AN1907" s="313"/>
      <c r="AO1907" s="313"/>
      <c r="AP1907" s="313"/>
      <c r="AQ1907" s="314"/>
      <c r="AR1907" s="315" t="str">
        <f t="shared" si="103"/>
        <v/>
      </c>
    </row>
    <row r="1908" spans="37:44" ht="30" hidden="1" customHeight="1">
      <c r="AK1908" s="313"/>
      <c r="AL1908" s="313"/>
      <c r="AM1908" s="313"/>
      <c r="AN1908" s="313"/>
      <c r="AO1908" s="313"/>
      <c r="AP1908" s="313"/>
      <c r="AQ1908" s="314"/>
      <c r="AR1908" s="315" t="str">
        <f t="shared" si="103"/>
        <v/>
      </c>
    </row>
    <row r="1909" spans="37:44" ht="30" hidden="1" customHeight="1">
      <c r="AK1909" s="313"/>
      <c r="AL1909" s="313"/>
      <c r="AM1909" s="313"/>
      <c r="AN1909" s="313"/>
      <c r="AO1909" s="313"/>
      <c r="AP1909" s="313"/>
      <c r="AQ1909" s="314"/>
      <c r="AR1909" s="315" t="str">
        <f t="shared" si="103"/>
        <v/>
      </c>
    </row>
    <row r="1910" spans="37:44" ht="30" hidden="1" customHeight="1">
      <c r="AK1910" s="313"/>
      <c r="AL1910" s="313"/>
      <c r="AM1910" s="313"/>
      <c r="AN1910" s="313"/>
      <c r="AO1910" s="313"/>
      <c r="AP1910" s="313"/>
      <c r="AQ1910" s="314"/>
      <c r="AR1910" s="315" t="str">
        <f t="shared" si="103"/>
        <v/>
      </c>
    </row>
    <row r="1911" spans="37:44" ht="30" hidden="1" customHeight="1">
      <c r="AK1911" s="313"/>
      <c r="AL1911" s="313"/>
      <c r="AM1911" s="313"/>
      <c r="AN1911" s="313"/>
      <c r="AO1911" s="313"/>
      <c r="AP1911" s="313"/>
      <c r="AQ1911" s="314"/>
      <c r="AR1911" s="315" t="str">
        <f t="shared" si="103"/>
        <v/>
      </c>
    </row>
    <row r="1912" spans="37:44" ht="30" hidden="1" customHeight="1">
      <c r="AK1912" s="313"/>
      <c r="AL1912" s="313"/>
      <c r="AM1912" s="313"/>
      <c r="AN1912" s="313"/>
      <c r="AO1912" s="313"/>
      <c r="AP1912" s="313"/>
      <c r="AQ1912" s="314"/>
      <c r="AR1912" s="315" t="str">
        <f t="shared" si="103"/>
        <v/>
      </c>
    </row>
    <row r="1913" spans="37:44" ht="30" hidden="1" customHeight="1">
      <c r="AK1913" s="313"/>
      <c r="AL1913" s="313"/>
      <c r="AM1913" s="313"/>
      <c r="AN1913" s="313"/>
      <c r="AO1913" s="313"/>
      <c r="AP1913" s="313"/>
      <c r="AQ1913" s="314"/>
      <c r="AR1913" s="315" t="str">
        <f t="shared" si="103"/>
        <v/>
      </c>
    </row>
    <row r="1914" spans="37:44" ht="30" hidden="1" customHeight="1">
      <c r="AK1914" s="313"/>
      <c r="AL1914" s="313"/>
      <c r="AM1914" s="313"/>
      <c r="AN1914" s="313"/>
      <c r="AO1914" s="313"/>
      <c r="AP1914" s="313"/>
      <c r="AQ1914" s="314"/>
      <c r="AR1914" s="315" t="str">
        <f t="shared" si="103"/>
        <v/>
      </c>
    </row>
    <row r="1915" spans="37:44" ht="30" hidden="1" customHeight="1">
      <c r="AK1915" s="313"/>
      <c r="AL1915" s="313"/>
      <c r="AM1915" s="313"/>
      <c r="AN1915" s="313"/>
      <c r="AO1915" s="313"/>
      <c r="AP1915" s="313"/>
      <c r="AQ1915" s="314"/>
      <c r="AR1915" s="315" t="str">
        <f t="shared" si="103"/>
        <v/>
      </c>
    </row>
    <row r="1916" spans="37:44" ht="30" hidden="1" customHeight="1">
      <c r="AK1916" s="313"/>
      <c r="AL1916" s="313"/>
      <c r="AM1916" s="313"/>
      <c r="AN1916" s="313"/>
      <c r="AO1916" s="313"/>
      <c r="AP1916" s="313"/>
      <c r="AQ1916" s="314"/>
      <c r="AR1916" s="315" t="str">
        <f t="shared" si="103"/>
        <v/>
      </c>
    </row>
    <row r="1917" spans="37:44" ht="30" hidden="1" customHeight="1">
      <c r="AK1917" s="313"/>
      <c r="AL1917" s="313"/>
      <c r="AM1917" s="313"/>
      <c r="AN1917" s="313"/>
      <c r="AO1917" s="313"/>
      <c r="AP1917" s="313"/>
      <c r="AQ1917" s="314"/>
      <c r="AR1917" s="315" t="str">
        <f t="shared" si="103"/>
        <v/>
      </c>
    </row>
    <row r="1918" spans="37:44" ht="30" hidden="1" customHeight="1">
      <c r="AK1918" s="313"/>
      <c r="AL1918" s="313"/>
      <c r="AM1918" s="313"/>
      <c r="AN1918" s="313"/>
      <c r="AO1918" s="313"/>
      <c r="AP1918" s="313"/>
      <c r="AQ1918" s="314"/>
      <c r="AR1918" s="315" t="str">
        <f t="shared" si="103"/>
        <v/>
      </c>
    </row>
    <row r="1919" spans="37:44" ht="30" hidden="1" customHeight="1">
      <c r="AK1919" s="313"/>
      <c r="AL1919" s="313"/>
      <c r="AM1919" s="313"/>
      <c r="AN1919" s="313"/>
      <c r="AO1919" s="313"/>
      <c r="AP1919" s="313"/>
      <c r="AQ1919" s="314"/>
      <c r="AR1919" s="315" t="str">
        <f t="shared" ref="AR1919:AR1982" si="104">IF(AQ1919="SIM","AGUARDANDO CORREÇÃO",IF(AP1919&lt;&gt;"","FINALIZADO",IF(AO1919&lt;&gt;"","AGUARDANDO ENVIO DTS",IF(AN1919&lt;&gt;"","AGUARDANDO ASSINATURA GAB",IF(AM1919&lt;&gt;"","AGUARDANDO ASSINATURA CTS",IF(AL1919&lt;&gt;"","AGUARDANDO ENVIO ASSINATURA CTS",IF(AK1919&lt;&gt;"","AGUARDANDO CONFERÊNCIA","")))))))</f>
        <v/>
      </c>
    </row>
    <row r="1920" spans="37:44" ht="30" hidden="1" customHeight="1">
      <c r="AK1920" s="313"/>
      <c r="AL1920" s="313"/>
      <c r="AM1920" s="313"/>
      <c r="AN1920" s="313"/>
      <c r="AO1920" s="313"/>
      <c r="AP1920" s="313"/>
      <c r="AQ1920" s="314"/>
      <c r="AR1920" s="315" t="str">
        <f t="shared" si="104"/>
        <v/>
      </c>
    </row>
    <row r="1921" spans="37:44" ht="30" hidden="1" customHeight="1">
      <c r="AK1921" s="313"/>
      <c r="AL1921" s="313"/>
      <c r="AM1921" s="313"/>
      <c r="AN1921" s="313"/>
      <c r="AO1921" s="313"/>
      <c r="AP1921" s="313"/>
      <c r="AQ1921" s="314"/>
      <c r="AR1921" s="315" t="str">
        <f t="shared" si="104"/>
        <v/>
      </c>
    </row>
    <row r="1922" spans="37:44" ht="30" hidden="1" customHeight="1">
      <c r="AK1922" s="313"/>
      <c r="AL1922" s="313"/>
      <c r="AM1922" s="313"/>
      <c r="AN1922" s="313"/>
      <c r="AO1922" s="313"/>
      <c r="AP1922" s="313"/>
      <c r="AQ1922" s="314"/>
      <c r="AR1922" s="315" t="str">
        <f t="shared" si="104"/>
        <v/>
      </c>
    </row>
    <row r="1923" spans="37:44" ht="30" hidden="1" customHeight="1">
      <c r="AK1923" s="313"/>
      <c r="AL1923" s="313"/>
      <c r="AM1923" s="313"/>
      <c r="AN1923" s="313"/>
      <c r="AO1923" s="313"/>
      <c r="AP1923" s="313"/>
      <c r="AQ1923" s="314"/>
      <c r="AR1923" s="315" t="str">
        <f t="shared" si="104"/>
        <v/>
      </c>
    </row>
    <row r="1924" spans="37:44" ht="30" hidden="1" customHeight="1">
      <c r="AK1924" s="313"/>
      <c r="AL1924" s="313"/>
      <c r="AM1924" s="313"/>
      <c r="AN1924" s="313"/>
      <c r="AO1924" s="313"/>
      <c r="AP1924" s="313"/>
      <c r="AQ1924" s="314"/>
      <c r="AR1924" s="315" t="str">
        <f t="shared" si="104"/>
        <v/>
      </c>
    </row>
    <row r="1925" spans="37:44" ht="30" hidden="1" customHeight="1">
      <c r="AK1925" s="313"/>
      <c r="AL1925" s="313"/>
      <c r="AM1925" s="313"/>
      <c r="AN1925" s="313"/>
      <c r="AO1925" s="313"/>
      <c r="AP1925" s="313"/>
      <c r="AQ1925" s="314"/>
      <c r="AR1925" s="315" t="str">
        <f t="shared" si="104"/>
        <v/>
      </c>
    </row>
    <row r="1926" spans="37:44" ht="30" hidden="1" customHeight="1">
      <c r="AK1926" s="313"/>
      <c r="AL1926" s="313"/>
      <c r="AM1926" s="313"/>
      <c r="AN1926" s="313"/>
      <c r="AO1926" s="313"/>
      <c r="AP1926" s="313"/>
      <c r="AQ1926" s="314"/>
      <c r="AR1926" s="315" t="str">
        <f t="shared" si="104"/>
        <v/>
      </c>
    </row>
    <row r="1927" spans="37:44" ht="30" hidden="1" customHeight="1">
      <c r="AK1927" s="313"/>
      <c r="AL1927" s="313"/>
      <c r="AM1927" s="313"/>
      <c r="AN1927" s="313"/>
      <c r="AO1927" s="313"/>
      <c r="AP1927" s="313"/>
      <c r="AQ1927" s="314"/>
      <c r="AR1927" s="315" t="str">
        <f t="shared" si="104"/>
        <v/>
      </c>
    </row>
    <row r="1928" spans="37:44" ht="30" hidden="1" customHeight="1">
      <c r="AK1928" s="313"/>
      <c r="AL1928" s="313"/>
      <c r="AM1928" s="313"/>
      <c r="AN1928" s="313"/>
      <c r="AO1928" s="313"/>
      <c r="AP1928" s="313"/>
      <c r="AQ1928" s="314"/>
      <c r="AR1928" s="315" t="str">
        <f t="shared" si="104"/>
        <v/>
      </c>
    </row>
    <row r="1929" spans="37:44" ht="30" hidden="1" customHeight="1">
      <c r="AK1929" s="313"/>
      <c r="AL1929" s="313"/>
      <c r="AM1929" s="313"/>
      <c r="AN1929" s="313"/>
      <c r="AO1929" s="313"/>
      <c r="AP1929" s="313"/>
      <c r="AQ1929" s="314"/>
      <c r="AR1929" s="315" t="str">
        <f t="shared" si="104"/>
        <v/>
      </c>
    </row>
    <row r="1930" spans="37:44" ht="30" hidden="1" customHeight="1">
      <c r="AK1930" s="313"/>
      <c r="AL1930" s="313"/>
      <c r="AM1930" s="313"/>
      <c r="AN1930" s="313"/>
      <c r="AO1930" s="313"/>
      <c r="AP1930" s="313"/>
      <c r="AQ1930" s="314"/>
      <c r="AR1930" s="315" t="str">
        <f t="shared" si="104"/>
        <v/>
      </c>
    </row>
    <row r="1931" spans="37:44" ht="30" hidden="1" customHeight="1">
      <c r="AK1931" s="313"/>
      <c r="AL1931" s="313"/>
      <c r="AM1931" s="313"/>
      <c r="AN1931" s="313"/>
      <c r="AO1931" s="313"/>
      <c r="AP1931" s="313"/>
      <c r="AQ1931" s="314"/>
      <c r="AR1931" s="315" t="str">
        <f t="shared" si="104"/>
        <v/>
      </c>
    </row>
    <row r="1932" spans="37:44" ht="30" hidden="1" customHeight="1">
      <c r="AK1932" s="313"/>
      <c r="AL1932" s="313"/>
      <c r="AM1932" s="313"/>
      <c r="AN1932" s="313"/>
      <c r="AO1932" s="313"/>
      <c r="AP1932" s="313"/>
      <c r="AQ1932" s="314"/>
      <c r="AR1932" s="315" t="str">
        <f t="shared" si="104"/>
        <v/>
      </c>
    </row>
    <row r="1933" spans="37:44" ht="30" hidden="1" customHeight="1">
      <c r="AK1933" s="313"/>
      <c r="AL1933" s="313"/>
      <c r="AM1933" s="313"/>
      <c r="AN1933" s="313"/>
      <c r="AO1933" s="313"/>
      <c r="AP1933" s="313"/>
      <c r="AQ1933" s="314"/>
      <c r="AR1933" s="315" t="str">
        <f t="shared" si="104"/>
        <v/>
      </c>
    </row>
    <row r="1934" spans="37:44" ht="30" hidden="1" customHeight="1">
      <c r="AK1934" s="313"/>
      <c r="AL1934" s="313"/>
      <c r="AM1934" s="313"/>
      <c r="AN1934" s="313"/>
      <c r="AO1934" s="313"/>
      <c r="AP1934" s="313"/>
      <c r="AQ1934" s="314"/>
      <c r="AR1934" s="315" t="str">
        <f t="shared" si="104"/>
        <v/>
      </c>
    </row>
    <row r="1935" spans="37:44" ht="30" hidden="1" customHeight="1">
      <c r="AK1935" s="313"/>
      <c r="AL1935" s="313"/>
      <c r="AM1935" s="313"/>
      <c r="AN1935" s="313"/>
      <c r="AO1935" s="313"/>
      <c r="AP1935" s="313"/>
      <c r="AQ1935" s="314"/>
      <c r="AR1935" s="315" t="str">
        <f t="shared" si="104"/>
        <v/>
      </c>
    </row>
    <row r="1936" spans="37:44" ht="30" hidden="1" customHeight="1">
      <c r="AK1936" s="313"/>
      <c r="AL1936" s="313"/>
      <c r="AM1936" s="313"/>
      <c r="AN1936" s="313"/>
      <c r="AO1936" s="313"/>
      <c r="AP1936" s="313"/>
      <c r="AQ1936" s="314"/>
      <c r="AR1936" s="315" t="str">
        <f t="shared" si="104"/>
        <v/>
      </c>
    </row>
    <row r="1937" spans="37:44" ht="30" hidden="1" customHeight="1">
      <c r="AK1937" s="313"/>
      <c r="AL1937" s="313"/>
      <c r="AM1937" s="313"/>
      <c r="AN1937" s="313"/>
      <c r="AO1937" s="313"/>
      <c r="AP1937" s="313"/>
      <c r="AQ1937" s="314"/>
      <c r="AR1937" s="315" t="str">
        <f t="shared" si="104"/>
        <v/>
      </c>
    </row>
    <row r="1938" spans="37:44" ht="30" hidden="1" customHeight="1">
      <c r="AK1938" s="313"/>
      <c r="AL1938" s="313"/>
      <c r="AM1938" s="313"/>
      <c r="AN1938" s="313"/>
      <c r="AO1938" s="313"/>
      <c r="AP1938" s="313"/>
      <c r="AQ1938" s="314"/>
      <c r="AR1938" s="315" t="str">
        <f t="shared" si="104"/>
        <v/>
      </c>
    </row>
    <row r="1939" spans="37:44" ht="30" hidden="1" customHeight="1">
      <c r="AK1939" s="313"/>
      <c r="AL1939" s="313"/>
      <c r="AM1939" s="313"/>
      <c r="AN1939" s="313"/>
      <c r="AO1939" s="313"/>
      <c r="AP1939" s="313"/>
      <c r="AQ1939" s="314"/>
      <c r="AR1939" s="315" t="str">
        <f t="shared" si="104"/>
        <v/>
      </c>
    </row>
    <row r="1940" spans="37:44" ht="30" hidden="1" customHeight="1">
      <c r="AK1940" s="313"/>
      <c r="AL1940" s="313"/>
      <c r="AM1940" s="313"/>
      <c r="AN1940" s="313"/>
      <c r="AO1940" s="313"/>
      <c r="AP1940" s="313"/>
      <c r="AQ1940" s="314"/>
      <c r="AR1940" s="315" t="str">
        <f t="shared" si="104"/>
        <v/>
      </c>
    </row>
    <row r="1941" spans="37:44" ht="30" hidden="1" customHeight="1">
      <c r="AK1941" s="313"/>
      <c r="AL1941" s="313"/>
      <c r="AM1941" s="313"/>
      <c r="AN1941" s="313"/>
      <c r="AO1941" s="313"/>
      <c r="AP1941" s="313"/>
      <c r="AQ1941" s="314"/>
      <c r="AR1941" s="315" t="str">
        <f t="shared" si="104"/>
        <v/>
      </c>
    </row>
    <row r="1942" spans="37:44" ht="30" hidden="1" customHeight="1">
      <c r="AK1942" s="313"/>
      <c r="AL1942" s="313"/>
      <c r="AM1942" s="313"/>
      <c r="AN1942" s="313"/>
      <c r="AO1942" s="313"/>
      <c r="AP1942" s="313"/>
      <c r="AQ1942" s="314"/>
      <c r="AR1942" s="315" t="str">
        <f t="shared" si="104"/>
        <v/>
      </c>
    </row>
    <row r="1943" spans="37:44" ht="30" hidden="1" customHeight="1">
      <c r="AK1943" s="313"/>
      <c r="AL1943" s="313"/>
      <c r="AM1943" s="313"/>
      <c r="AN1943" s="313"/>
      <c r="AO1943" s="313"/>
      <c r="AP1943" s="313"/>
      <c r="AQ1943" s="314"/>
      <c r="AR1943" s="315" t="str">
        <f t="shared" si="104"/>
        <v/>
      </c>
    </row>
    <row r="1944" spans="37:44" ht="30" hidden="1" customHeight="1">
      <c r="AK1944" s="313"/>
      <c r="AL1944" s="313"/>
      <c r="AM1944" s="313"/>
      <c r="AN1944" s="313"/>
      <c r="AO1944" s="313"/>
      <c r="AP1944" s="313"/>
      <c r="AQ1944" s="314"/>
      <c r="AR1944" s="315" t="str">
        <f t="shared" si="104"/>
        <v/>
      </c>
    </row>
    <row r="1945" spans="37:44" ht="30" hidden="1" customHeight="1">
      <c r="AK1945" s="313"/>
      <c r="AL1945" s="313"/>
      <c r="AM1945" s="313"/>
      <c r="AN1945" s="313"/>
      <c r="AO1945" s="313"/>
      <c r="AP1945" s="313"/>
      <c r="AQ1945" s="314"/>
      <c r="AR1945" s="315" t="str">
        <f t="shared" si="104"/>
        <v/>
      </c>
    </row>
    <row r="1946" spans="37:44" ht="30" hidden="1" customHeight="1">
      <c r="AK1946" s="313"/>
      <c r="AL1946" s="313"/>
      <c r="AM1946" s="313"/>
      <c r="AN1946" s="313"/>
      <c r="AO1946" s="313"/>
      <c r="AP1946" s="313"/>
      <c r="AQ1946" s="314"/>
      <c r="AR1946" s="315" t="str">
        <f t="shared" si="104"/>
        <v/>
      </c>
    </row>
    <row r="1947" spans="37:44" ht="30" hidden="1" customHeight="1">
      <c r="AK1947" s="313"/>
      <c r="AL1947" s="313"/>
      <c r="AM1947" s="313"/>
      <c r="AN1947" s="313"/>
      <c r="AO1947" s="313"/>
      <c r="AP1947" s="313"/>
      <c r="AQ1947" s="314"/>
      <c r="AR1947" s="315" t="str">
        <f t="shared" si="104"/>
        <v/>
      </c>
    </row>
    <row r="1948" spans="37:44" ht="30" hidden="1" customHeight="1">
      <c r="AK1948" s="313"/>
      <c r="AL1948" s="313"/>
      <c r="AM1948" s="313"/>
      <c r="AN1948" s="313"/>
      <c r="AO1948" s="313"/>
      <c r="AP1948" s="313"/>
      <c r="AQ1948" s="314"/>
      <c r="AR1948" s="315" t="str">
        <f t="shared" si="104"/>
        <v/>
      </c>
    </row>
    <row r="1949" spans="37:44" ht="30" hidden="1" customHeight="1">
      <c r="AK1949" s="313"/>
      <c r="AL1949" s="313"/>
      <c r="AM1949" s="313"/>
      <c r="AN1949" s="313"/>
      <c r="AO1949" s="313"/>
      <c r="AP1949" s="313"/>
      <c r="AQ1949" s="314"/>
      <c r="AR1949" s="315" t="str">
        <f t="shared" si="104"/>
        <v/>
      </c>
    </row>
    <row r="1950" spans="37:44" ht="30" hidden="1" customHeight="1">
      <c r="AK1950" s="313"/>
      <c r="AL1950" s="313"/>
      <c r="AM1950" s="313"/>
      <c r="AN1950" s="313"/>
      <c r="AO1950" s="313"/>
      <c r="AP1950" s="313"/>
      <c r="AQ1950" s="314"/>
      <c r="AR1950" s="315" t="str">
        <f t="shared" si="104"/>
        <v/>
      </c>
    </row>
    <row r="1951" spans="37:44" ht="30" hidden="1" customHeight="1">
      <c r="AK1951" s="313"/>
      <c r="AL1951" s="313"/>
      <c r="AM1951" s="313"/>
      <c r="AN1951" s="313"/>
      <c r="AO1951" s="313"/>
      <c r="AP1951" s="313"/>
      <c r="AQ1951" s="314"/>
      <c r="AR1951" s="315" t="str">
        <f t="shared" si="104"/>
        <v/>
      </c>
    </row>
    <row r="1952" spans="37:44" ht="30" hidden="1" customHeight="1">
      <c r="AK1952" s="313"/>
      <c r="AL1952" s="313"/>
      <c r="AM1952" s="313"/>
      <c r="AN1952" s="313"/>
      <c r="AO1952" s="313"/>
      <c r="AP1952" s="313"/>
      <c r="AQ1952" s="314"/>
      <c r="AR1952" s="315" t="str">
        <f t="shared" si="104"/>
        <v/>
      </c>
    </row>
    <row r="1953" spans="37:44" ht="30" hidden="1" customHeight="1">
      <c r="AK1953" s="313"/>
      <c r="AL1953" s="313"/>
      <c r="AM1953" s="313"/>
      <c r="AN1953" s="313"/>
      <c r="AO1953" s="313"/>
      <c r="AP1953" s="313"/>
      <c r="AQ1953" s="314"/>
      <c r="AR1953" s="315" t="str">
        <f t="shared" si="104"/>
        <v/>
      </c>
    </row>
    <row r="1954" spans="37:44" ht="30" hidden="1" customHeight="1">
      <c r="AK1954" s="313"/>
      <c r="AL1954" s="313"/>
      <c r="AM1954" s="313"/>
      <c r="AN1954" s="313"/>
      <c r="AO1954" s="313"/>
      <c r="AP1954" s="313"/>
      <c r="AQ1954" s="314"/>
      <c r="AR1954" s="315" t="str">
        <f t="shared" si="104"/>
        <v/>
      </c>
    </row>
    <row r="1955" spans="37:44" ht="30" hidden="1" customHeight="1">
      <c r="AK1955" s="313"/>
      <c r="AL1955" s="313"/>
      <c r="AM1955" s="313"/>
      <c r="AN1955" s="313"/>
      <c r="AO1955" s="313"/>
      <c r="AP1955" s="313"/>
      <c r="AQ1955" s="314"/>
      <c r="AR1955" s="315" t="str">
        <f t="shared" si="104"/>
        <v/>
      </c>
    </row>
    <row r="1956" spans="37:44" ht="30" hidden="1" customHeight="1">
      <c r="AK1956" s="313"/>
      <c r="AL1956" s="313"/>
      <c r="AM1956" s="313"/>
      <c r="AN1956" s="313"/>
      <c r="AO1956" s="313"/>
      <c r="AP1956" s="313"/>
      <c r="AQ1956" s="314"/>
      <c r="AR1956" s="315" t="str">
        <f t="shared" si="104"/>
        <v/>
      </c>
    </row>
    <row r="1957" spans="37:44" ht="30" hidden="1" customHeight="1">
      <c r="AK1957" s="313"/>
      <c r="AL1957" s="313"/>
      <c r="AM1957" s="313"/>
      <c r="AN1957" s="313"/>
      <c r="AO1957" s="313"/>
      <c r="AP1957" s="313"/>
      <c r="AQ1957" s="314"/>
      <c r="AR1957" s="315" t="str">
        <f t="shared" si="104"/>
        <v/>
      </c>
    </row>
    <row r="1958" spans="37:44" ht="30" hidden="1" customHeight="1">
      <c r="AK1958" s="313"/>
      <c r="AL1958" s="313"/>
      <c r="AM1958" s="313"/>
      <c r="AN1958" s="313"/>
      <c r="AO1958" s="313"/>
      <c r="AP1958" s="313"/>
      <c r="AQ1958" s="314"/>
      <c r="AR1958" s="315" t="str">
        <f t="shared" si="104"/>
        <v/>
      </c>
    </row>
    <row r="1959" spans="37:44" ht="30" hidden="1" customHeight="1">
      <c r="AK1959" s="313"/>
      <c r="AL1959" s="313"/>
      <c r="AM1959" s="313"/>
      <c r="AN1959" s="313"/>
      <c r="AO1959" s="313"/>
      <c r="AP1959" s="313"/>
      <c r="AQ1959" s="314"/>
      <c r="AR1959" s="315" t="str">
        <f t="shared" si="104"/>
        <v/>
      </c>
    </row>
    <row r="1960" spans="37:44" ht="30" hidden="1" customHeight="1">
      <c r="AK1960" s="313"/>
      <c r="AL1960" s="313"/>
      <c r="AM1960" s="313"/>
      <c r="AN1960" s="313"/>
      <c r="AO1960" s="313"/>
      <c r="AP1960" s="313"/>
      <c r="AQ1960" s="314"/>
      <c r="AR1960" s="315" t="str">
        <f t="shared" si="104"/>
        <v/>
      </c>
    </row>
    <row r="1961" spans="37:44" ht="30" hidden="1" customHeight="1">
      <c r="AK1961" s="313"/>
      <c r="AL1961" s="313"/>
      <c r="AM1961" s="313"/>
      <c r="AN1961" s="313"/>
      <c r="AO1961" s="313"/>
      <c r="AP1961" s="313"/>
      <c r="AQ1961" s="314"/>
      <c r="AR1961" s="315" t="str">
        <f t="shared" si="104"/>
        <v/>
      </c>
    </row>
    <row r="1962" spans="37:44" ht="30" hidden="1" customHeight="1">
      <c r="AK1962" s="313"/>
      <c r="AL1962" s="313"/>
      <c r="AM1962" s="313"/>
      <c r="AN1962" s="313"/>
      <c r="AO1962" s="313"/>
      <c r="AP1962" s="313"/>
      <c r="AQ1962" s="314"/>
      <c r="AR1962" s="315" t="str">
        <f t="shared" si="104"/>
        <v/>
      </c>
    </row>
    <row r="1963" spans="37:44" ht="30" hidden="1" customHeight="1">
      <c r="AK1963" s="313"/>
      <c r="AL1963" s="313"/>
      <c r="AM1963" s="313"/>
      <c r="AN1963" s="313"/>
      <c r="AO1963" s="313"/>
      <c r="AP1963" s="313"/>
      <c r="AQ1963" s="314"/>
      <c r="AR1963" s="315" t="str">
        <f t="shared" si="104"/>
        <v/>
      </c>
    </row>
    <row r="1964" spans="37:44" ht="30" hidden="1" customHeight="1">
      <c r="AK1964" s="313"/>
      <c r="AL1964" s="313"/>
      <c r="AM1964" s="313"/>
      <c r="AN1964" s="313"/>
      <c r="AO1964" s="313"/>
      <c r="AP1964" s="313"/>
      <c r="AQ1964" s="314"/>
      <c r="AR1964" s="315" t="str">
        <f t="shared" si="104"/>
        <v/>
      </c>
    </row>
    <row r="1965" spans="37:44" ht="30" hidden="1" customHeight="1">
      <c r="AK1965" s="313"/>
      <c r="AL1965" s="313"/>
      <c r="AM1965" s="313"/>
      <c r="AN1965" s="313"/>
      <c r="AO1965" s="313"/>
      <c r="AP1965" s="313"/>
      <c r="AQ1965" s="314"/>
      <c r="AR1965" s="315" t="str">
        <f t="shared" si="104"/>
        <v/>
      </c>
    </row>
    <row r="1966" spans="37:44" ht="30" hidden="1" customHeight="1">
      <c r="AK1966" s="313"/>
      <c r="AL1966" s="313"/>
      <c r="AM1966" s="313"/>
      <c r="AN1966" s="313"/>
      <c r="AO1966" s="313"/>
      <c r="AP1966" s="313"/>
      <c r="AQ1966" s="314"/>
      <c r="AR1966" s="315" t="str">
        <f t="shared" si="104"/>
        <v/>
      </c>
    </row>
    <row r="1967" spans="37:44" ht="30" hidden="1" customHeight="1">
      <c r="AK1967" s="313"/>
      <c r="AL1967" s="313"/>
      <c r="AM1967" s="313"/>
      <c r="AN1967" s="313"/>
      <c r="AO1967" s="313"/>
      <c r="AP1967" s="313"/>
      <c r="AQ1967" s="314"/>
      <c r="AR1967" s="315" t="str">
        <f t="shared" si="104"/>
        <v/>
      </c>
    </row>
    <row r="1968" spans="37:44" ht="30" hidden="1" customHeight="1">
      <c r="AK1968" s="313"/>
      <c r="AL1968" s="313"/>
      <c r="AM1968" s="313"/>
      <c r="AN1968" s="313"/>
      <c r="AO1968" s="313"/>
      <c r="AP1968" s="313"/>
      <c r="AQ1968" s="314"/>
      <c r="AR1968" s="315" t="str">
        <f t="shared" si="104"/>
        <v/>
      </c>
    </row>
    <row r="1969" spans="37:44" ht="30" hidden="1" customHeight="1">
      <c r="AK1969" s="313"/>
      <c r="AL1969" s="313"/>
      <c r="AM1969" s="313"/>
      <c r="AN1969" s="313"/>
      <c r="AO1969" s="313"/>
      <c r="AP1969" s="313"/>
      <c r="AQ1969" s="314"/>
      <c r="AR1969" s="315" t="str">
        <f t="shared" si="104"/>
        <v/>
      </c>
    </row>
    <row r="1970" spans="37:44" ht="30" hidden="1" customHeight="1">
      <c r="AK1970" s="313"/>
      <c r="AL1970" s="313"/>
      <c r="AM1970" s="313"/>
      <c r="AN1970" s="313"/>
      <c r="AO1970" s="313"/>
      <c r="AP1970" s="313"/>
      <c r="AQ1970" s="314"/>
      <c r="AR1970" s="315" t="str">
        <f t="shared" si="104"/>
        <v/>
      </c>
    </row>
    <row r="1971" spans="37:44" ht="30" hidden="1" customHeight="1">
      <c r="AK1971" s="313"/>
      <c r="AL1971" s="313"/>
      <c r="AM1971" s="313"/>
      <c r="AN1971" s="313"/>
      <c r="AO1971" s="313"/>
      <c r="AP1971" s="313"/>
      <c r="AQ1971" s="314"/>
      <c r="AR1971" s="315" t="str">
        <f t="shared" si="104"/>
        <v/>
      </c>
    </row>
    <row r="1972" spans="37:44" ht="30" hidden="1" customHeight="1">
      <c r="AK1972" s="313"/>
      <c r="AL1972" s="313"/>
      <c r="AM1972" s="313"/>
      <c r="AN1972" s="313"/>
      <c r="AO1972" s="313"/>
      <c r="AP1972" s="313"/>
      <c r="AQ1972" s="314"/>
      <c r="AR1972" s="315" t="str">
        <f t="shared" si="104"/>
        <v/>
      </c>
    </row>
    <row r="1973" spans="37:44" ht="30" hidden="1" customHeight="1">
      <c r="AK1973" s="313"/>
      <c r="AL1973" s="313"/>
      <c r="AM1973" s="313"/>
      <c r="AN1973" s="313"/>
      <c r="AO1973" s="313"/>
      <c r="AP1973" s="313"/>
      <c r="AQ1973" s="314"/>
      <c r="AR1973" s="315" t="str">
        <f t="shared" si="104"/>
        <v/>
      </c>
    </row>
    <row r="1974" spans="37:44" ht="30" hidden="1" customHeight="1">
      <c r="AK1974" s="313"/>
      <c r="AL1974" s="313"/>
      <c r="AM1974" s="313"/>
      <c r="AN1974" s="313"/>
      <c r="AO1974" s="313"/>
      <c r="AP1974" s="313"/>
      <c r="AQ1974" s="314"/>
      <c r="AR1974" s="315" t="str">
        <f t="shared" si="104"/>
        <v/>
      </c>
    </row>
    <row r="1975" spans="37:44" ht="30" hidden="1" customHeight="1">
      <c r="AK1975" s="313"/>
      <c r="AL1975" s="313"/>
      <c r="AM1975" s="313"/>
      <c r="AN1975" s="313"/>
      <c r="AO1975" s="313"/>
      <c r="AP1975" s="313"/>
      <c r="AQ1975" s="314"/>
      <c r="AR1975" s="315" t="str">
        <f t="shared" si="104"/>
        <v/>
      </c>
    </row>
    <row r="1976" spans="37:44" ht="30" hidden="1" customHeight="1">
      <c r="AK1976" s="313"/>
      <c r="AL1976" s="313"/>
      <c r="AM1976" s="313"/>
      <c r="AN1976" s="313"/>
      <c r="AO1976" s="313"/>
      <c r="AP1976" s="313"/>
      <c r="AQ1976" s="314"/>
      <c r="AR1976" s="315" t="str">
        <f t="shared" si="104"/>
        <v/>
      </c>
    </row>
    <row r="1977" spans="37:44" ht="30" hidden="1" customHeight="1">
      <c r="AK1977" s="313"/>
      <c r="AL1977" s="313"/>
      <c r="AM1977" s="313"/>
      <c r="AN1977" s="313"/>
      <c r="AO1977" s="313"/>
      <c r="AP1977" s="313"/>
      <c r="AQ1977" s="314"/>
      <c r="AR1977" s="315" t="str">
        <f t="shared" si="104"/>
        <v/>
      </c>
    </row>
    <row r="1978" spans="37:44" ht="30" hidden="1" customHeight="1">
      <c r="AK1978" s="313"/>
      <c r="AL1978" s="313"/>
      <c r="AM1978" s="313"/>
      <c r="AN1978" s="313"/>
      <c r="AO1978" s="313"/>
      <c r="AP1978" s="313"/>
      <c r="AQ1978" s="314"/>
      <c r="AR1978" s="315" t="str">
        <f t="shared" si="104"/>
        <v/>
      </c>
    </row>
    <row r="1979" spans="37:44" ht="30" hidden="1" customHeight="1">
      <c r="AK1979" s="313"/>
      <c r="AL1979" s="313"/>
      <c r="AM1979" s="313"/>
      <c r="AN1979" s="313"/>
      <c r="AO1979" s="313"/>
      <c r="AP1979" s="313"/>
      <c r="AQ1979" s="314"/>
      <c r="AR1979" s="315" t="str">
        <f t="shared" si="104"/>
        <v/>
      </c>
    </row>
    <row r="1980" spans="37:44" ht="30" hidden="1" customHeight="1">
      <c r="AK1980" s="313"/>
      <c r="AL1980" s="313"/>
      <c r="AM1980" s="313"/>
      <c r="AN1980" s="313"/>
      <c r="AO1980" s="313"/>
      <c r="AP1980" s="313"/>
      <c r="AQ1980" s="314"/>
      <c r="AR1980" s="315" t="str">
        <f t="shared" si="104"/>
        <v/>
      </c>
    </row>
    <row r="1981" spans="37:44" ht="30" hidden="1" customHeight="1">
      <c r="AK1981" s="313"/>
      <c r="AL1981" s="313"/>
      <c r="AM1981" s="313"/>
      <c r="AN1981" s="313"/>
      <c r="AO1981" s="313"/>
      <c r="AP1981" s="313"/>
      <c r="AQ1981" s="314"/>
      <c r="AR1981" s="315" t="str">
        <f t="shared" si="104"/>
        <v/>
      </c>
    </row>
    <row r="1982" spans="37:44" ht="30" hidden="1" customHeight="1">
      <c r="AK1982" s="313"/>
      <c r="AL1982" s="313"/>
      <c r="AM1982" s="313"/>
      <c r="AN1982" s="313"/>
      <c r="AO1982" s="313"/>
      <c r="AP1982" s="313"/>
      <c r="AQ1982" s="314"/>
      <c r="AR1982" s="315" t="str">
        <f t="shared" si="104"/>
        <v/>
      </c>
    </row>
    <row r="1983" spans="37:44" ht="30" hidden="1" customHeight="1">
      <c r="AK1983" s="313"/>
      <c r="AL1983" s="313"/>
      <c r="AM1983" s="313"/>
      <c r="AN1983" s="313"/>
      <c r="AO1983" s="313"/>
      <c r="AP1983" s="313"/>
      <c r="AQ1983" s="314"/>
      <c r="AR1983" s="315" t="str">
        <f t="shared" ref="AR1983:AR2046" si="105">IF(AQ1983="SIM","AGUARDANDO CORREÇÃO",IF(AP1983&lt;&gt;"","FINALIZADO",IF(AO1983&lt;&gt;"","AGUARDANDO ENVIO DTS",IF(AN1983&lt;&gt;"","AGUARDANDO ASSINATURA GAB",IF(AM1983&lt;&gt;"","AGUARDANDO ASSINATURA CTS",IF(AL1983&lt;&gt;"","AGUARDANDO ENVIO ASSINATURA CTS",IF(AK1983&lt;&gt;"","AGUARDANDO CONFERÊNCIA","")))))))</f>
        <v/>
      </c>
    </row>
    <row r="1984" spans="37:44" ht="30" hidden="1" customHeight="1">
      <c r="AK1984" s="313"/>
      <c r="AL1984" s="313"/>
      <c r="AM1984" s="313"/>
      <c r="AN1984" s="313"/>
      <c r="AO1984" s="313"/>
      <c r="AP1984" s="313"/>
      <c r="AQ1984" s="314"/>
      <c r="AR1984" s="315" t="str">
        <f t="shared" si="105"/>
        <v/>
      </c>
    </row>
    <row r="1985" spans="37:44" ht="30" hidden="1" customHeight="1">
      <c r="AK1985" s="313"/>
      <c r="AL1985" s="313"/>
      <c r="AM1985" s="313"/>
      <c r="AN1985" s="313"/>
      <c r="AO1985" s="313"/>
      <c r="AP1985" s="313"/>
      <c r="AQ1985" s="314"/>
      <c r="AR1985" s="315" t="str">
        <f t="shared" si="105"/>
        <v/>
      </c>
    </row>
    <row r="1986" spans="37:44" ht="30" hidden="1" customHeight="1">
      <c r="AK1986" s="313"/>
      <c r="AL1986" s="313"/>
      <c r="AM1986" s="313"/>
      <c r="AN1986" s="313"/>
      <c r="AO1986" s="313"/>
      <c r="AP1986" s="313"/>
      <c r="AQ1986" s="314"/>
      <c r="AR1986" s="315" t="str">
        <f t="shared" si="105"/>
        <v/>
      </c>
    </row>
    <row r="1987" spans="37:44" ht="30" hidden="1" customHeight="1">
      <c r="AK1987" s="313"/>
      <c r="AL1987" s="313"/>
      <c r="AM1987" s="313"/>
      <c r="AN1987" s="313"/>
      <c r="AO1987" s="313"/>
      <c r="AP1987" s="313"/>
      <c r="AQ1987" s="314"/>
      <c r="AR1987" s="315" t="str">
        <f t="shared" si="105"/>
        <v/>
      </c>
    </row>
    <row r="1988" spans="37:44" ht="30" hidden="1" customHeight="1">
      <c r="AK1988" s="313"/>
      <c r="AL1988" s="313"/>
      <c r="AM1988" s="313"/>
      <c r="AN1988" s="313"/>
      <c r="AO1988" s="313"/>
      <c r="AP1988" s="313"/>
      <c r="AQ1988" s="314"/>
      <c r="AR1988" s="315" t="str">
        <f t="shared" si="105"/>
        <v/>
      </c>
    </row>
    <row r="1989" spans="37:44" ht="30" hidden="1" customHeight="1">
      <c r="AK1989" s="313"/>
      <c r="AL1989" s="313"/>
      <c r="AM1989" s="313"/>
      <c r="AN1989" s="313"/>
      <c r="AO1989" s="313"/>
      <c r="AP1989" s="313"/>
      <c r="AQ1989" s="314"/>
      <c r="AR1989" s="315" t="str">
        <f t="shared" si="105"/>
        <v/>
      </c>
    </row>
    <row r="1990" spans="37:44" ht="30" hidden="1" customHeight="1">
      <c r="AK1990" s="313"/>
      <c r="AL1990" s="313"/>
      <c r="AM1990" s="313"/>
      <c r="AN1990" s="313"/>
      <c r="AO1990" s="313"/>
      <c r="AP1990" s="313"/>
      <c r="AQ1990" s="314"/>
      <c r="AR1990" s="315" t="str">
        <f t="shared" si="105"/>
        <v/>
      </c>
    </row>
    <row r="1991" spans="37:44" ht="30" hidden="1" customHeight="1">
      <c r="AK1991" s="313"/>
      <c r="AL1991" s="313"/>
      <c r="AM1991" s="313"/>
      <c r="AN1991" s="313"/>
      <c r="AO1991" s="313"/>
      <c r="AP1991" s="313"/>
      <c r="AQ1991" s="314"/>
      <c r="AR1991" s="315" t="str">
        <f t="shared" si="105"/>
        <v/>
      </c>
    </row>
    <row r="1992" spans="37:44" ht="30" hidden="1" customHeight="1">
      <c r="AK1992" s="313"/>
      <c r="AL1992" s="313"/>
      <c r="AM1992" s="313"/>
      <c r="AN1992" s="313"/>
      <c r="AO1992" s="313"/>
      <c r="AP1992" s="313"/>
      <c r="AQ1992" s="314"/>
      <c r="AR1992" s="315" t="str">
        <f t="shared" si="105"/>
        <v/>
      </c>
    </row>
    <row r="1993" spans="37:44" ht="30" hidden="1" customHeight="1">
      <c r="AK1993" s="313"/>
      <c r="AL1993" s="313"/>
      <c r="AM1993" s="313"/>
      <c r="AN1993" s="313"/>
      <c r="AO1993" s="313"/>
      <c r="AP1993" s="313"/>
      <c r="AQ1993" s="314"/>
      <c r="AR1993" s="315" t="str">
        <f t="shared" si="105"/>
        <v/>
      </c>
    </row>
    <row r="1994" spans="37:44" ht="30" hidden="1" customHeight="1">
      <c r="AK1994" s="313"/>
      <c r="AL1994" s="313"/>
      <c r="AM1994" s="313"/>
      <c r="AN1994" s="313"/>
      <c r="AO1994" s="313"/>
      <c r="AP1994" s="313"/>
      <c r="AQ1994" s="314"/>
      <c r="AR1994" s="315" t="str">
        <f t="shared" si="105"/>
        <v/>
      </c>
    </row>
    <row r="1995" spans="37:44" ht="30" hidden="1" customHeight="1">
      <c r="AK1995" s="313"/>
      <c r="AL1995" s="313"/>
      <c r="AM1995" s="313"/>
      <c r="AN1995" s="313"/>
      <c r="AO1995" s="313"/>
      <c r="AP1995" s="313"/>
      <c r="AQ1995" s="314"/>
      <c r="AR1995" s="315" t="str">
        <f t="shared" si="105"/>
        <v/>
      </c>
    </row>
    <row r="1996" spans="37:44" ht="30" hidden="1" customHeight="1">
      <c r="AK1996" s="313"/>
      <c r="AL1996" s="313"/>
      <c r="AM1996" s="313"/>
      <c r="AN1996" s="313"/>
      <c r="AO1996" s="313"/>
      <c r="AP1996" s="313"/>
      <c r="AQ1996" s="314"/>
      <c r="AR1996" s="315" t="str">
        <f t="shared" si="105"/>
        <v/>
      </c>
    </row>
    <row r="1997" spans="37:44" ht="30" hidden="1" customHeight="1">
      <c r="AK1997" s="313"/>
      <c r="AL1997" s="313"/>
      <c r="AM1997" s="313"/>
      <c r="AN1997" s="313"/>
      <c r="AO1997" s="313"/>
      <c r="AP1997" s="313"/>
      <c r="AQ1997" s="314"/>
      <c r="AR1997" s="315" t="str">
        <f t="shared" si="105"/>
        <v/>
      </c>
    </row>
    <row r="1998" spans="37:44" ht="30" hidden="1" customHeight="1">
      <c r="AK1998" s="313"/>
      <c r="AL1998" s="313"/>
      <c r="AM1998" s="313"/>
      <c r="AN1998" s="313"/>
      <c r="AO1998" s="313"/>
      <c r="AP1998" s="313"/>
      <c r="AQ1998" s="314"/>
      <c r="AR1998" s="315" t="str">
        <f t="shared" si="105"/>
        <v/>
      </c>
    </row>
    <row r="1999" spans="37:44" ht="30" hidden="1" customHeight="1">
      <c r="AK1999" s="313"/>
      <c r="AL1999" s="313"/>
      <c r="AM1999" s="313"/>
      <c r="AN1999" s="313"/>
      <c r="AO1999" s="313"/>
      <c r="AP1999" s="313"/>
      <c r="AQ1999" s="314"/>
      <c r="AR1999" s="315" t="str">
        <f t="shared" si="105"/>
        <v/>
      </c>
    </row>
    <row r="2000" spans="37:44" ht="30" hidden="1" customHeight="1">
      <c r="AK2000" s="313"/>
      <c r="AL2000" s="313"/>
      <c r="AM2000" s="313"/>
      <c r="AN2000" s="313"/>
      <c r="AO2000" s="313"/>
      <c r="AP2000" s="313"/>
      <c r="AQ2000" s="314"/>
      <c r="AR2000" s="315" t="str">
        <f t="shared" si="105"/>
        <v/>
      </c>
    </row>
    <row r="2001" spans="37:44" ht="30" hidden="1" customHeight="1">
      <c r="AK2001" s="313"/>
      <c r="AL2001" s="313"/>
      <c r="AM2001" s="313"/>
      <c r="AN2001" s="313"/>
      <c r="AO2001" s="313"/>
      <c r="AP2001" s="313"/>
      <c r="AQ2001" s="314"/>
      <c r="AR2001" s="315" t="str">
        <f t="shared" si="105"/>
        <v/>
      </c>
    </row>
    <row r="2002" spans="37:44" ht="30" hidden="1" customHeight="1">
      <c r="AK2002" s="313"/>
      <c r="AL2002" s="313"/>
      <c r="AM2002" s="313"/>
      <c r="AN2002" s="313"/>
      <c r="AO2002" s="313"/>
      <c r="AP2002" s="313"/>
      <c r="AQ2002" s="314"/>
      <c r="AR2002" s="315" t="str">
        <f t="shared" si="105"/>
        <v/>
      </c>
    </row>
    <row r="2003" spans="37:44" ht="30" hidden="1" customHeight="1">
      <c r="AK2003" s="313"/>
      <c r="AL2003" s="313"/>
      <c r="AM2003" s="313"/>
      <c r="AN2003" s="313"/>
      <c r="AO2003" s="313"/>
      <c r="AP2003" s="313"/>
      <c r="AQ2003" s="314"/>
      <c r="AR2003" s="315" t="str">
        <f t="shared" si="105"/>
        <v/>
      </c>
    </row>
    <row r="2004" spans="37:44" ht="30" hidden="1" customHeight="1">
      <c r="AK2004" s="313"/>
      <c r="AL2004" s="313"/>
      <c r="AM2004" s="313"/>
      <c r="AN2004" s="313"/>
      <c r="AO2004" s="313"/>
      <c r="AP2004" s="313"/>
      <c r="AQ2004" s="314"/>
      <c r="AR2004" s="315" t="str">
        <f t="shared" si="105"/>
        <v/>
      </c>
    </row>
    <row r="2005" spans="37:44" ht="30" hidden="1" customHeight="1">
      <c r="AK2005" s="313"/>
      <c r="AL2005" s="313"/>
      <c r="AM2005" s="313"/>
      <c r="AN2005" s="313"/>
      <c r="AO2005" s="313"/>
      <c r="AP2005" s="313"/>
      <c r="AQ2005" s="314"/>
      <c r="AR2005" s="315" t="str">
        <f t="shared" si="105"/>
        <v/>
      </c>
    </row>
    <row r="2006" spans="37:44" ht="30" hidden="1" customHeight="1">
      <c r="AK2006" s="313"/>
      <c r="AL2006" s="313"/>
      <c r="AM2006" s="313"/>
      <c r="AN2006" s="313"/>
      <c r="AO2006" s="313"/>
      <c r="AP2006" s="313"/>
      <c r="AQ2006" s="314"/>
      <c r="AR2006" s="315" t="str">
        <f t="shared" si="105"/>
        <v/>
      </c>
    </row>
    <row r="2007" spans="37:44" ht="30" hidden="1" customHeight="1">
      <c r="AK2007" s="313"/>
      <c r="AL2007" s="313"/>
      <c r="AM2007" s="313"/>
      <c r="AN2007" s="313"/>
      <c r="AO2007" s="313"/>
      <c r="AP2007" s="313"/>
      <c r="AQ2007" s="314"/>
      <c r="AR2007" s="315" t="str">
        <f t="shared" si="105"/>
        <v/>
      </c>
    </row>
    <row r="2008" spans="37:44" ht="30" hidden="1" customHeight="1">
      <c r="AK2008" s="313"/>
      <c r="AL2008" s="313"/>
      <c r="AM2008" s="313"/>
      <c r="AN2008" s="313"/>
      <c r="AO2008" s="313"/>
      <c r="AP2008" s="313"/>
      <c r="AQ2008" s="314"/>
      <c r="AR2008" s="315" t="str">
        <f t="shared" si="105"/>
        <v/>
      </c>
    </row>
    <row r="2009" spans="37:44" ht="30" hidden="1" customHeight="1">
      <c r="AK2009" s="313"/>
      <c r="AL2009" s="313"/>
      <c r="AM2009" s="313"/>
      <c r="AN2009" s="313"/>
      <c r="AO2009" s="313"/>
      <c r="AP2009" s="313"/>
      <c r="AQ2009" s="314"/>
      <c r="AR2009" s="315" t="str">
        <f t="shared" si="105"/>
        <v/>
      </c>
    </row>
    <row r="2010" spans="37:44" ht="30" hidden="1" customHeight="1">
      <c r="AK2010" s="313"/>
      <c r="AL2010" s="313"/>
      <c r="AM2010" s="313"/>
      <c r="AN2010" s="313"/>
      <c r="AO2010" s="313"/>
      <c r="AP2010" s="313"/>
      <c r="AQ2010" s="314"/>
      <c r="AR2010" s="315" t="str">
        <f t="shared" si="105"/>
        <v/>
      </c>
    </row>
    <row r="2011" spans="37:44" ht="30" hidden="1" customHeight="1">
      <c r="AK2011" s="313"/>
      <c r="AL2011" s="313"/>
      <c r="AM2011" s="313"/>
      <c r="AN2011" s="313"/>
      <c r="AO2011" s="313"/>
      <c r="AP2011" s="313"/>
      <c r="AQ2011" s="314"/>
      <c r="AR2011" s="315" t="str">
        <f t="shared" si="105"/>
        <v/>
      </c>
    </row>
    <row r="2012" spans="37:44" ht="30" hidden="1" customHeight="1">
      <c r="AK2012" s="313"/>
      <c r="AL2012" s="313"/>
      <c r="AM2012" s="313"/>
      <c r="AN2012" s="313"/>
      <c r="AO2012" s="313"/>
      <c r="AP2012" s="313"/>
      <c r="AQ2012" s="314"/>
      <c r="AR2012" s="315" t="str">
        <f t="shared" si="105"/>
        <v/>
      </c>
    </row>
    <row r="2013" spans="37:44" ht="30" hidden="1" customHeight="1">
      <c r="AK2013" s="313"/>
      <c r="AL2013" s="313"/>
      <c r="AM2013" s="313"/>
      <c r="AN2013" s="313"/>
      <c r="AO2013" s="313"/>
      <c r="AP2013" s="313"/>
      <c r="AQ2013" s="314"/>
      <c r="AR2013" s="315" t="str">
        <f t="shared" si="105"/>
        <v/>
      </c>
    </row>
    <row r="2014" spans="37:44" ht="30" hidden="1" customHeight="1">
      <c r="AK2014" s="313"/>
      <c r="AL2014" s="313"/>
      <c r="AM2014" s="313"/>
      <c r="AN2014" s="313"/>
      <c r="AO2014" s="313"/>
      <c r="AP2014" s="313"/>
      <c r="AQ2014" s="314"/>
      <c r="AR2014" s="315" t="str">
        <f t="shared" si="105"/>
        <v/>
      </c>
    </row>
    <row r="2015" spans="37:44" ht="30" hidden="1" customHeight="1">
      <c r="AK2015" s="313"/>
      <c r="AL2015" s="313"/>
      <c r="AM2015" s="313"/>
      <c r="AN2015" s="313"/>
      <c r="AO2015" s="313"/>
      <c r="AP2015" s="313"/>
      <c r="AQ2015" s="314"/>
      <c r="AR2015" s="315" t="str">
        <f t="shared" si="105"/>
        <v/>
      </c>
    </row>
    <row r="2016" spans="37:44" ht="30" hidden="1" customHeight="1">
      <c r="AK2016" s="313"/>
      <c r="AL2016" s="313"/>
      <c r="AM2016" s="313"/>
      <c r="AN2016" s="313"/>
      <c r="AO2016" s="313"/>
      <c r="AP2016" s="313"/>
      <c r="AQ2016" s="314"/>
      <c r="AR2016" s="315" t="str">
        <f t="shared" si="105"/>
        <v/>
      </c>
    </row>
    <row r="2017" spans="37:44" ht="30" hidden="1" customHeight="1">
      <c r="AK2017" s="313"/>
      <c r="AL2017" s="313"/>
      <c r="AM2017" s="313"/>
      <c r="AN2017" s="313"/>
      <c r="AO2017" s="313"/>
      <c r="AP2017" s="313"/>
      <c r="AQ2017" s="314"/>
      <c r="AR2017" s="315" t="str">
        <f t="shared" si="105"/>
        <v/>
      </c>
    </row>
    <row r="2018" spans="37:44" ht="30" hidden="1" customHeight="1">
      <c r="AK2018" s="313"/>
      <c r="AL2018" s="313"/>
      <c r="AM2018" s="313"/>
      <c r="AN2018" s="313"/>
      <c r="AO2018" s="313"/>
      <c r="AP2018" s="313"/>
      <c r="AQ2018" s="314"/>
      <c r="AR2018" s="315" t="str">
        <f t="shared" si="105"/>
        <v/>
      </c>
    </row>
    <row r="2019" spans="37:44" ht="30" hidden="1" customHeight="1">
      <c r="AK2019" s="313"/>
      <c r="AL2019" s="313"/>
      <c r="AM2019" s="313"/>
      <c r="AN2019" s="313"/>
      <c r="AO2019" s="313"/>
      <c r="AP2019" s="313"/>
      <c r="AQ2019" s="314"/>
      <c r="AR2019" s="315" t="str">
        <f t="shared" si="105"/>
        <v/>
      </c>
    </row>
    <row r="2020" spans="37:44" ht="30" hidden="1" customHeight="1">
      <c r="AK2020" s="313"/>
      <c r="AL2020" s="313"/>
      <c r="AM2020" s="313"/>
      <c r="AN2020" s="313"/>
      <c r="AO2020" s="313"/>
      <c r="AP2020" s="313"/>
      <c r="AQ2020" s="314"/>
      <c r="AR2020" s="315" t="str">
        <f t="shared" si="105"/>
        <v/>
      </c>
    </row>
    <row r="2021" spans="37:44" ht="30" hidden="1" customHeight="1">
      <c r="AK2021" s="313"/>
      <c r="AL2021" s="313"/>
      <c r="AM2021" s="313"/>
      <c r="AN2021" s="313"/>
      <c r="AO2021" s="313"/>
      <c r="AP2021" s="313"/>
      <c r="AQ2021" s="314"/>
      <c r="AR2021" s="315" t="str">
        <f t="shared" si="105"/>
        <v/>
      </c>
    </row>
    <row r="2022" spans="37:44" ht="30" hidden="1" customHeight="1">
      <c r="AK2022" s="313"/>
      <c r="AL2022" s="313"/>
      <c r="AM2022" s="313"/>
      <c r="AN2022" s="313"/>
      <c r="AO2022" s="313"/>
      <c r="AP2022" s="313"/>
      <c r="AQ2022" s="314"/>
      <c r="AR2022" s="315" t="str">
        <f t="shared" si="105"/>
        <v/>
      </c>
    </row>
    <row r="2023" spans="37:44" ht="30" hidden="1" customHeight="1">
      <c r="AK2023" s="313"/>
      <c r="AL2023" s="313"/>
      <c r="AM2023" s="313"/>
      <c r="AN2023" s="313"/>
      <c r="AO2023" s="313"/>
      <c r="AP2023" s="313"/>
      <c r="AQ2023" s="314"/>
      <c r="AR2023" s="315" t="str">
        <f t="shared" si="105"/>
        <v/>
      </c>
    </row>
    <row r="2024" spans="37:44" ht="30" hidden="1" customHeight="1">
      <c r="AK2024" s="313"/>
      <c r="AL2024" s="313"/>
      <c r="AM2024" s="313"/>
      <c r="AN2024" s="313"/>
      <c r="AO2024" s="313"/>
      <c r="AP2024" s="313"/>
      <c r="AQ2024" s="314"/>
      <c r="AR2024" s="315" t="str">
        <f t="shared" si="105"/>
        <v/>
      </c>
    </row>
    <row r="2025" spans="37:44" ht="30" hidden="1" customHeight="1">
      <c r="AK2025" s="313"/>
      <c r="AL2025" s="313"/>
      <c r="AM2025" s="313"/>
      <c r="AN2025" s="313"/>
      <c r="AO2025" s="313"/>
      <c r="AP2025" s="313"/>
      <c r="AQ2025" s="314"/>
      <c r="AR2025" s="315" t="str">
        <f t="shared" si="105"/>
        <v/>
      </c>
    </row>
    <row r="2026" spans="37:44" ht="30" hidden="1" customHeight="1">
      <c r="AK2026" s="313"/>
      <c r="AL2026" s="313"/>
      <c r="AM2026" s="313"/>
      <c r="AN2026" s="313"/>
      <c r="AO2026" s="313"/>
      <c r="AP2026" s="313"/>
      <c r="AQ2026" s="314"/>
      <c r="AR2026" s="315" t="str">
        <f t="shared" si="105"/>
        <v/>
      </c>
    </row>
    <row r="2027" spans="37:44" ht="30" hidden="1" customHeight="1">
      <c r="AK2027" s="313"/>
      <c r="AL2027" s="313"/>
      <c r="AM2027" s="313"/>
      <c r="AN2027" s="313"/>
      <c r="AO2027" s="313"/>
      <c r="AP2027" s="313"/>
      <c r="AQ2027" s="314"/>
      <c r="AR2027" s="315" t="str">
        <f t="shared" si="105"/>
        <v/>
      </c>
    </row>
    <row r="2028" spans="37:44" ht="30" hidden="1" customHeight="1">
      <c r="AK2028" s="313"/>
      <c r="AL2028" s="313"/>
      <c r="AM2028" s="313"/>
      <c r="AN2028" s="313"/>
      <c r="AO2028" s="313"/>
      <c r="AP2028" s="313"/>
      <c r="AQ2028" s="314"/>
      <c r="AR2028" s="315" t="str">
        <f t="shared" si="105"/>
        <v/>
      </c>
    </row>
    <row r="2029" spans="37:44" ht="30" hidden="1" customHeight="1">
      <c r="AK2029" s="313"/>
      <c r="AL2029" s="313"/>
      <c r="AM2029" s="313"/>
      <c r="AN2029" s="313"/>
      <c r="AO2029" s="313"/>
      <c r="AP2029" s="313"/>
      <c r="AQ2029" s="314"/>
      <c r="AR2029" s="315" t="str">
        <f t="shared" si="105"/>
        <v/>
      </c>
    </row>
    <row r="2030" spans="37:44" ht="30" hidden="1" customHeight="1">
      <c r="AK2030" s="313"/>
      <c r="AL2030" s="313"/>
      <c r="AM2030" s="313"/>
      <c r="AN2030" s="313"/>
      <c r="AO2030" s="313"/>
      <c r="AP2030" s="313"/>
      <c r="AQ2030" s="314"/>
      <c r="AR2030" s="315" t="str">
        <f t="shared" si="105"/>
        <v/>
      </c>
    </row>
    <row r="2031" spans="37:44" ht="30" hidden="1" customHeight="1">
      <c r="AK2031" s="313"/>
      <c r="AL2031" s="313"/>
      <c r="AM2031" s="313"/>
      <c r="AN2031" s="313"/>
      <c r="AO2031" s="313"/>
      <c r="AP2031" s="313"/>
      <c r="AQ2031" s="314"/>
      <c r="AR2031" s="315" t="str">
        <f t="shared" si="105"/>
        <v/>
      </c>
    </row>
    <row r="2032" spans="37:44" ht="30" hidden="1" customHeight="1">
      <c r="AK2032" s="313"/>
      <c r="AL2032" s="313"/>
      <c r="AM2032" s="313"/>
      <c r="AN2032" s="313"/>
      <c r="AO2032" s="313"/>
      <c r="AP2032" s="313"/>
      <c r="AQ2032" s="314"/>
      <c r="AR2032" s="315" t="str">
        <f t="shared" si="105"/>
        <v/>
      </c>
    </row>
    <row r="2033" spans="37:44" ht="30" hidden="1" customHeight="1">
      <c r="AK2033" s="313"/>
      <c r="AL2033" s="313"/>
      <c r="AM2033" s="313"/>
      <c r="AN2033" s="313"/>
      <c r="AO2033" s="313"/>
      <c r="AP2033" s="313"/>
      <c r="AQ2033" s="314"/>
      <c r="AR2033" s="315" t="str">
        <f t="shared" si="105"/>
        <v/>
      </c>
    </row>
    <row r="2034" spans="37:44" ht="30" hidden="1" customHeight="1">
      <c r="AK2034" s="313"/>
      <c r="AL2034" s="313"/>
      <c r="AM2034" s="313"/>
      <c r="AN2034" s="313"/>
      <c r="AO2034" s="313"/>
      <c r="AP2034" s="313"/>
      <c r="AQ2034" s="314"/>
      <c r="AR2034" s="315" t="str">
        <f t="shared" si="105"/>
        <v/>
      </c>
    </row>
    <row r="2035" spans="37:44" ht="30" hidden="1" customHeight="1">
      <c r="AK2035" s="313"/>
      <c r="AL2035" s="313"/>
      <c r="AM2035" s="313"/>
      <c r="AN2035" s="313"/>
      <c r="AO2035" s="313"/>
      <c r="AP2035" s="313"/>
      <c r="AQ2035" s="314"/>
      <c r="AR2035" s="315" t="str">
        <f t="shared" si="105"/>
        <v/>
      </c>
    </row>
    <row r="2036" spans="37:44" ht="30" hidden="1" customHeight="1">
      <c r="AK2036" s="313"/>
      <c r="AL2036" s="313"/>
      <c r="AM2036" s="313"/>
      <c r="AN2036" s="313"/>
      <c r="AO2036" s="313"/>
      <c r="AP2036" s="313"/>
      <c r="AQ2036" s="314"/>
      <c r="AR2036" s="315" t="str">
        <f t="shared" si="105"/>
        <v/>
      </c>
    </row>
    <row r="2037" spans="37:44" ht="30" hidden="1" customHeight="1">
      <c r="AK2037" s="313"/>
      <c r="AL2037" s="313"/>
      <c r="AM2037" s="313"/>
      <c r="AN2037" s="313"/>
      <c r="AO2037" s="313"/>
      <c r="AP2037" s="313"/>
      <c r="AQ2037" s="314"/>
      <c r="AR2037" s="315" t="str">
        <f t="shared" si="105"/>
        <v/>
      </c>
    </row>
    <row r="2038" spans="37:44" ht="30" hidden="1" customHeight="1">
      <c r="AK2038" s="313"/>
      <c r="AL2038" s="313"/>
      <c r="AM2038" s="313"/>
      <c r="AN2038" s="313"/>
      <c r="AO2038" s="313"/>
      <c r="AP2038" s="313"/>
      <c r="AQ2038" s="314"/>
      <c r="AR2038" s="315" t="str">
        <f t="shared" si="105"/>
        <v/>
      </c>
    </row>
    <row r="2039" spans="37:44" ht="30" hidden="1" customHeight="1">
      <c r="AK2039" s="313"/>
      <c r="AL2039" s="313"/>
      <c r="AM2039" s="313"/>
      <c r="AN2039" s="313"/>
      <c r="AO2039" s="313"/>
      <c r="AP2039" s="313"/>
      <c r="AQ2039" s="314"/>
      <c r="AR2039" s="315" t="str">
        <f t="shared" si="105"/>
        <v/>
      </c>
    </row>
    <row r="2040" spans="37:44" ht="30" hidden="1" customHeight="1">
      <c r="AK2040" s="313"/>
      <c r="AL2040" s="313"/>
      <c r="AM2040" s="313"/>
      <c r="AN2040" s="313"/>
      <c r="AO2040" s="313"/>
      <c r="AP2040" s="313"/>
      <c r="AQ2040" s="314"/>
      <c r="AR2040" s="315" t="str">
        <f t="shared" si="105"/>
        <v/>
      </c>
    </row>
    <row r="2041" spans="37:44" ht="30" hidden="1" customHeight="1">
      <c r="AK2041" s="313"/>
      <c r="AL2041" s="313"/>
      <c r="AM2041" s="313"/>
      <c r="AN2041" s="313"/>
      <c r="AO2041" s="313"/>
      <c r="AP2041" s="313"/>
      <c r="AQ2041" s="314"/>
      <c r="AR2041" s="315" t="str">
        <f t="shared" si="105"/>
        <v/>
      </c>
    </row>
    <row r="2042" spans="37:44" ht="30" hidden="1" customHeight="1">
      <c r="AK2042" s="313"/>
      <c r="AL2042" s="313"/>
      <c r="AM2042" s="313"/>
      <c r="AN2042" s="313"/>
      <c r="AO2042" s="313"/>
      <c r="AP2042" s="313"/>
      <c r="AQ2042" s="314"/>
      <c r="AR2042" s="315" t="str">
        <f t="shared" si="105"/>
        <v/>
      </c>
    </row>
    <row r="2043" spans="37:44" ht="30" hidden="1" customHeight="1">
      <c r="AK2043" s="313"/>
      <c r="AL2043" s="313"/>
      <c r="AM2043" s="313"/>
      <c r="AN2043" s="313"/>
      <c r="AO2043" s="313"/>
      <c r="AP2043" s="313"/>
      <c r="AQ2043" s="314"/>
      <c r="AR2043" s="315" t="str">
        <f t="shared" si="105"/>
        <v/>
      </c>
    </row>
    <row r="2044" spans="37:44" ht="30" hidden="1" customHeight="1">
      <c r="AK2044" s="313"/>
      <c r="AL2044" s="313"/>
      <c r="AM2044" s="313"/>
      <c r="AN2044" s="313"/>
      <c r="AO2044" s="313"/>
      <c r="AP2044" s="313"/>
      <c r="AQ2044" s="314"/>
      <c r="AR2044" s="315" t="str">
        <f t="shared" si="105"/>
        <v/>
      </c>
    </row>
    <row r="2045" spans="37:44" ht="30" hidden="1" customHeight="1">
      <c r="AK2045" s="313"/>
      <c r="AL2045" s="313"/>
      <c r="AM2045" s="313"/>
      <c r="AN2045" s="313"/>
      <c r="AO2045" s="313"/>
      <c r="AP2045" s="313"/>
      <c r="AQ2045" s="314"/>
      <c r="AR2045" s="315" t="str">
        <f t="shared" si="105"/>
        <v/>
      </c>
    </row>
    <row r="2046" spans="37:44" ht="30" hidden="1" customHeight="1">
      <c r="AK2046" s="313"/>
      <c r="AL2046" s="313"/>
      <c r="AM2046" s="313"/>
      <c r="AN2046" s="313"/>
      <c r="AO2046" s="313"/>
      <c r="AP2046" s="313"/>
      <c r="AQ2046" s="314"/>
      <c r="AR2046" s="315" t="str">
        <f t="shared" si="105"/>
        <v/>
      </c>
    </row>
    <row r="2047" spans="37:44" ht="30" hidden="1" customHeight="1">
      <c r="AK2047" s="313"/>
      <c r="AL2047" s="313"/>
      <c r="AM2047" s="313"/>
      <c r="AN2047" s="313"/>
      <c r="AO2047" s="313"/>
      <c r="AP2047" s="313"/>
      <c r="AQ2047" s="314"/>
      <c r="AR2047" s="315" t="str">
        <f t="shared" ref="AR2047:AR2110" si="106">IF(AQ2047="SIM","AGUARDANDO CORREÇÃO",IF(AP2047&lt;&gt;"","FINALIZADO",IF(AO2047&lt;&gt;"","AGUARDANDO ENVIO DTS",IF(AN2047&lt;&gt;"","AGUARDANDO ASSINATURA GAB",IF(AM2047&lt;&gt;"","AGUARDANDO ASSINATURA CTS",IF(AL2047&lt;&gt;"","AGUARDANDO ENVIO ASSINATURA CTS",IF(AK2047&lt;&gt;"","AGUARDANDO CONFERÊNCIA","")))))))</f>
        <v/>
      </c>
    </row>
    <row r="2048" spans="37:44" ht="30" hidden="1" customHeight="1">
      <c r="AK2048" s="313"/>
      <c r="AL2048" s="313"/>
      <c r="AM2048" s="313"/>
      <c r="AN2048" s="313"/>
      <c r="AO2048" s="313"/>
      <c r="AP2048" s="313"/>
      <c r="AQ2048" s="314"/>
      <c r="AR2048" s="315" t="str">
        <f t="shared" si="106"/>
        <v/>
      </c>
    </row>
    <row r="2049" spans="37:44" ht="30" hidden="1" customHeight="1">
      <c r="AK2049" s="313"/>
      <c r="AL2049" s="313"/>
      <c r="AM2049" s="313"/>
      <c r="AN2049" s="313"/>
      <c r="AO2049" s="313"/>
      <c r="AP2049" s="313"/>
      <c r="AQ2049" s="314"/>
      <c r="AR2049" s="315" t="str">
        <f t="shared" si="106"/>
        <v/>
      </c>
    </row>
    <row r="2050" spans="37:44" ht="30" hidden="1" customHeight="1">
      <c r="AK2050" s="313"/>
      <c r="AL2050" s="313"/>
      <c r="AM2050" s="313"/>
      <c r="AN2050" s="313"/>
      <c r="AO2050" s="313"/>
      <c r="AP2050" s="313"/>
      <c r="AQ2050" s="314"/>
      <c r="AR2050" s="315" t="str">
        <f t="shared" si="106"/>
        <v/>
      </c>
    </row>
    <row r="2051" spans="37:44" ht="30" hidden="1" customHeight="1">
      <c r="AK2051" s="313"/>
      <c r="AL2051" s="313"/>
      <c r="AM2051" s="313"/>
      <c r="AN2051" s="313"/>
      <c r="AO2051" s="313"/>
      <c r="AP2051" s="313"/>
      <c r="AQ2051" s="314"/>
      <c r="AR2051" s="315" t="str">
        <f t="shared" si="106"/>
        <v/>
      </c>
    </row>
    <row r="2052" spans="37:44" ht="30" hidden="1" customHeight="1">
      <c r="AK2052" s="313"/>
      <c r="AL2052" s="313"/>
      <c r="AM2052" s="313"/>
      <c r="AN2052" s="313"/>
      <c r="AO2052" s="313"/>
      <c r="AP2052" s="313"/>
      <c r="AQ2052" s="314"/>
      <c r="AR2052" s="315" t="str">
        <f t="shared" si="106"/>
        <v/>
      </c>
    </row>
    <row r="2053" spans="37:44" ht="30" hidden="1" customHeight="1">
      <c r="AK2053" s="313"/>
      <c r="AL2053" s="313"/>
      <c r="AM2053" s="313"/>
      <c r="AN2053" s="313"/>
      <c r="AO2053" s="313"/>
      <c r="AP2053" s="313"/>
      <c r="AQ2053" s="314"/>
      <c r="AR2053" s="315" t="str">
        <f t="shared" si="106"/>
        <v/>
      </c>
    </row>
    <row r="2054" spans="37:44" ht="30" hidden="1" customHeight="1">
      <c r="AK2054" s="313"/>
      <c r="AL2054" s="313"/>
      <c r="AM2054" s="313"/>
      <c r="AN2054" s="313"/>
      <c r="AO2054" s="313"/>
      <c r="AP2054" s="313"/>
      <c r="AQ2054" s="314"/>
      <c r="AR2054" s="315" t="str">
        <f t="shared" si="106"/>
        <v/>
      </c>
    </row>
    <row r="2055" spans="37:44" ht="30" hidden="1" customHeight="1">
      <c r="AK2055" s="313"/>
      <c r="AL2055" s="313"/>
      <c r="AM2055" s="313"/>
      <c r="AN2055" s="313"/>
      <c r="AO2055" s="313"/>
      <c r="AP2055" s="313"/>
      <c r="AQ2055" s="314"/>
      <c r="AR2055" s="315" t="str">
        <f t="shared" si="106"/>
        <v/>
      </c>
    </row>
    <row r="2056" spans="37:44" ht="30" hidden="1" customHeight="1">
      <c r="AK2056" s="313"/>
      <c r="AL2056" s="313"/>
      <c r="AM2056" s="313"/>
      <c r="AN2056" s="313"/>
      <c r="AO2056" s="313"/>
      <c r="AP2056" s="313"/>
      <c r="AQ2056" s="314"/>
      <c r="AR2056" s="315" t="str">
        <f t="shared" si="106"/>
        <v/>
      </c>
    </row>
    <row r="2057" spans="37:44" ht="30" hidden="1" customHeight="1">
      <c r="AK2057" s="313"/>
      <c r="AL2057" s="313"/>
      <c r="AM2057" s="313"/>
      <c r="AN2057" s="313"/>
      <c r="AO2057" s="313"/>
      <c r="AP2057" s="313"/>
      <c r="AQ2057" s="314"/>
      <c r="AR2057" s="315" t="str">
        <f t="shared" si="106"/>
        <v/>
      </c>
    </row>
    <row r="2058" spans="37:44" ht="30" hidden="1" customHeight="1">
      <c r="AK2058" s="313"/>
      <c r="AL2058" s="313"/>
      <c r="AM2058" s="313"/>
      <c r="AN2058" s="313"/>
      <c r="AO2058" s="313"/>
      <c r="AP2058" s="313"/>
      <c r="AQ2058" s="314"/>
      <c r="AR2058" s="315" t="str">
        <f t="shared" si="106"/>
        <v/>
      </c>
    </row>
    <row r="2059" spans="37:44" ht="30" hidden="1" customHeight="1">
      <c r="AK2059" s="313"/>
      <c r="AL2059" s="313"/>
      <c r="AM2059" s="313"/>
      <c r="AN2059" s="313"/>
      <c r="AO2059" s="313"/>
      <c r="AP2059" s="313"/>
      <c r="AQ2059" s="314"/>
      <c r="AR2059" s="315" t="str">
        <f t="shared" si="106"/>
        <v/>
      </c>
    </row>
    <row r="2060" spans="37:44" ht="30" hidden="1" customHeight="1">
      <c r="AK2060" s="313"/>
      <c r="AL2060" s="313"/>
      <c r="AM2060" s="313"/>
      <c r="AN2060" s="313"/>
      <c r="AO2060" s="313"/>
      <c r="AP2060" s="313"/>
      <c r="AQ2060" s="314"/>
      <c r="AR2060" s="315" t="str">
        <f t="shared" si="106"/>
        <v/>
      </c>
    </row>
    <row r="2061" spans="37:44" ht="30" hidden="1" customHeight="1">
      <c r="AK2061" s="313"/>
      <c r="AL2061" s="313"/>
      <c r="AM2061" s="313"/>
      <c r="AN2061" s="313"/>
      <c r="AO2061" s="313"/>
      <c r="AP2061" s="313"/>
      <c r="AQ2061" s="314"/>
      <c r="AR2061" s="315" t="str">
        <f t="shared" si="106"/>
        <v/>
      </c>
    </row>
    <row r="2062" spans="37:44" ht="30" hidden="1" customHeight="1">
      <c r="AK2062" s="313"/>
      <c r="AL2062" s="313"/>
      <c r="AM2062" s="313"/>
      <c r="AN2062" s="313"/>
      <c r="AO2062" s="313"/>
      <c r="AP2062" s="313"/>
      <c r="AQ2062" s="314"/>
      <c r="AR2062" s="315" t="str">
        <f t="shared" si="106"/>
        <v/>
      </c>
    </row>
    <row r="2063" spans="37:44" ht="30" hidden="1" customHeight="1">
      <c r="AK2063" s="313"/>
      <c r="AL2063" s="313"/>
      <c r="AM2063" s="313"/>
      <c r="AN2063" s="313"/>
      <c r="AO2063" s="313"/>
      <c r="AP2063" s="313"/>
      <c r="AQ2063" s="314"/>
      <c r="AR2063" s="315" t="str">
        <f t="shared" si="106"/>
        <v/>
      </c>
    </row>
    <row r="2064" spans="37:44" ht="30" hidden="1" customHeight="1">
      <c r="AK2064" s="313"/>
      <c r="AL2064" s="313"/>
      <c r="AM2064" s="313"/>
      <c r="AN2064" s="313"/>
      <c r="AO2064" s="313"/>
      <c r="AP2064" s="313"/>
      <c r="AQ2064" s="314"/>
      <c r="AR2064" s="315" t="str">
        <f t="shared" si="106"/>
        <v/>
      </c>
    </row>
    <row r="2065" spans="37:44" ht="30" hidden="1" customHeight="1">
      <c r="AK2065" s="313"/>
      <c r="AL2065" s="313"/>
      <c r="AM2065" s="313"/>
      <c r="AN2065" s="313"/>
      <c r="AO2065" s="313"/>
      <c r="AP2065" s="313"/>
      <c r="AQ2065" s="314"/>
      <c r="AR2065" s="315" t="str">
        <f t="shared" si="106"/>
        <v/>
      </c>
    </row>
    <row r="2066" spans="37:44" ht="30" hidden="1" customHeight="1">
      <c r="AK2066" s="313"/>
      <c r="AL2066" s="313"/>
      <c r="AM2066" s="313"/>
      <c r="AN2066" s="313"/>
      <c r="AO2066" s="313"/>
      <c r="AP2066" s="313"/>
      <c r="AQ2066" s="314"/>
      <c r="AR2066" s="315" t="str">
        <f t="shared" si="106"/>
        <v/>
      </c>
    </row>
    <row r="2067" spans="37:44" ht="30" hidden="1" customHeight="1">
      <c r="AK2067" s="313"/>
      <c r="AL2067" s="313"/>
      <c r="AM2067" s="313"/>
      <c r="AN2067" s="313"/>
      <c r="AO2067" s="313"/>
      <c r="AP2067" s="313"/>
      <c r="AQ2067" s="314"/>
      <c r="AR2067" s="315" t="str">
        <f t="shared" si="106"/>
        <v/>
      </c>
    </row>
    <row r="2068" spans="37:44" ht="30" hidden="1" customHeight="1">
      <c r="AK2068" s="313"/>
      <c r="AL2068" s="313"/>
      <c r="AM2068" s="313"/>
      <c r="AN2068" s="313"/>
      <c r="AO2068" s="313"/>
      <c r="AP2068" s="313"/>
      <c r="AQ2068" s="314"/>
      <c r="AR2068" s="315" t="str">
        <f t="shared" si="106"/>
        <v/>
      </c>
    </row>
    <row r="2069" spans="37:44" ht="30" hidden="1" customHeight="1">
      <c r="AK2069" s="313"/>
      <c r="AL2069" s="313"/>
      <c r="AM2069" s="313"/>
      <c r="AN2069" s="313"/>
      <c r="AO2069" s="313"/>
      <c r="AP2069" s="313"/>
      <c r="AQ2069" s="314"/>
      <c r="AR2069" s="315" t="str">
        <f t="shared" si="106"/>
        <v/>
      </c>
    </row>
    <row r="2070" spans="37:44" ht="30" hidden="1" customHeight="1">
      <c r="AK2070" s="313"/>
      <c r="AL2070" s="313"/>
      <c r="AM2070" s="313"/>
      <c r="AN2070" s="313"/>
      <c r="AO2070" s="313"/>
      <c r="AP2070" s="313"/>
      <c r="AQ2070" s="314"/>
      <c r="AR2070" s="315" t="str">
        <f t="shared" si="106"/>
        <v/>
      </c>
    </row>
    <row r="2071" spans="37:44" ht="30" hidden="1" customHeight="1">
      <c r="AK2071" s="313"/>
      <c r="AL2071" s="313"/>
      <c r="AM2071" s="313"/>
      <c r="AN2071" s="313"/>
      <c r="AO2071" s="313"/>
      <c r="AP2071" s="313"/>
      <c r="AQ2071" s="314"/>
      <c r="AR2071" s="315" t="str">
        <f t="shared" si="106"/>
        <v/>
      </c>
    </row>
    <row r="2072" spans="37:44" ht="30" hidden="1" customHeight="1">
      <c r="AK2072" s="313"/>
      <c r="AL2072" s="313"/>
      <c r="AM2072" s="313"/>
      <c r="AN2072" s="313"/>
      <c r="AO2072" s="313"/>
      <c r="AP2072" s="313"/>
      <c r="AQ2072" s="314"/>
      <c r="AR2072" s="315" t="str">
        <f t="shared" si="106"/>
        <v/>
      </c>
    </row>
    <row r="2073" spans="37:44" ht="30" hidden="1" customHeight="1">
      <c r="AK2073" s="313"/>
      <c r="AL2073" s="313"/>
      <c r="AM2073" s="313"/>
      <c r="AN2073" s="313"/>
      <c r="AO2073" s="313"/>
      <c r="AP2073" s="313"/>
      <c r="AQ2073" s="314"/>
      <c r="AR2073" s="315" t="str">
        <f t="shared" si="106"/>
        <v/>
      </c>
    </row>
    <row r="2074" spans="37:44" ht="30" hidden="1" customHeight="1">
      <c r="AK2074" s="313"/>
      <c r="AL2074" s="313"/>
      <c r="AM2074" s="313"/>
      <c r="AN2074" s="313"/>
      <c r="AO2074" s="313"/>
      <c r="AP2074" s="313"/>
      <c r="AQ2074" s="314"/>
      <c r="AR2074" s="315" t="str">
        <f t="shared" si="106"/>
        <v/>
      </c>
    </row>
    <row r="2075" spans="37:44" ht="30" hidden="1" customHeight="1">
      <c r="AK2075" s="313"/>
      <c r="AL2075" s="313"/>
      <c r="AM2075" s="313"/>
      <c r="AN2075" s="313"/>
      <c r="AO2075" s="313"/>
      <c r="AP2075" s="313"/>
      <c r="AQ2075" s="314"/>
      <c r="AR2075" s="315" t="str">
        <f t="shared" si="106"/>
        <v/>
      </c>
    </row>
    <row r="2076" spans="37:44" ht="30" hidden="1" customHeight="1">
      <c r="AK2076" s="313"/>
      <c r="AL2076" s="313"/>
      <c r="AM2076" s="313"/>
      <c r="AN2076" s="313"/>
      <c r="AO2076" s="313"/>
      <c r="AP2076" s="313"/>
      <c r="AQ2076" s="314"/>
      <c r="AR2076" s="315" t="str">
        <f t="shared" si="106"/>
        <v/>
      </c>
    </row>
    <row r="2077" spans="37:44" ht="30" hidden="1" customHeight="1">
      <c r="AK2077" s="313"/>
      <c r="AL2077" s="313"/>
      <c r="AM2077" s="313"/>
      <c r="AN2077" s="313"/>
      <c r="AO2077" s="313"/>
      <c r="AP2077" s="313"/>
      <c r="AQ2077" s="314"/>
      <c r="AR2077" s="315" t="str">
        <f t="shared" si="106"/>
        <v/>
      </c>
    </row>
    <row r="2078" spans="37:44" ht="30" hidden="1" customHeight="1">
      <c r="AK2078" s="313"/>
      <c r="AL2078" s="313"/>
      <c r="AM2078" s="313"/>
      <c r="AN2078" s="313"/>
      <c r="AO2078" s="313"/>
      <c r="AP2078" s="313"/>
      <c r="AQ2078" s="314"/>
      <c r="AR2078" s="315" t="str">
        <f t="shared" si="106"/>
        <v/>
      </c>
    </row>
    <row r="2079" spans="37:44" ht="30" hidden="1" customHeight="1">
      <c r="AK2079" s="313"/>
      <c r="AL2079" s="313"/>
      <c r="AM2079" s="313"/>
      <c r="AN2079" s="313"/>
      <c r="AO2079" s="313"/>
      <c r="AP2079" s="313"/>
      <c r="AQ2079" s="314"/>
      <c r="AR2079" s="315" t="str">
        <f t="shared" si="106"/>
        <v/>
      </c>
    </row>
    <row r="2080" spans="37:44" ht="30" hidden="1" customHeight="1">
      <c r="AK2080" s="313"/>
      <c r="AL2080" s="313"/>
      <c r="AM2080" s="313"/>
      <c r="AN2080" s="313"/>
      <c r="AO2080" s="313"/>
      <c r="AP2080" s="313"/>
      <c r="AQ2080" s="314"/>
      <c r="AR2080" s="315" t="str">
        <f t="shared" si="106"/>
        <v/>
      </c>
    </row>
    <row r="2081" spans="37:44" ht="30" hidden="1" customHeight="1">
      <c r="AK2081" s="313"/>
      <c r="AL2081" s="313"/>
      <c r="AM2081" s="313"/>
      <c r="AN2081" s="313"/>
      <c r="AO2081" s="313"/>
      <c r="AP2081" s="313"/>
      <c r="AQ2081" s="314"/>
      <c r="AR2081" s="315" t="str">
        <f t="shared" si="106"/>
        <v/>
      </c>
    </row>
    <row r="2082" spans="37:44" ht="30" hidden="1" customHeight="1">
      <c r="AK2082" s="313"/>
      <c r="AL2082" s="313"/>
      <c r="AM2082" s="313"/>
      <c r="AN2082" s="313"/>
      <c r="AO2082" s="313"/>
      <c r="AP2082" s="313"/>
      <c r="AQ2082" s="314"/>
      <c r="AR2082" s="315" t="str">
        <f t="shared" si="106"/>
        <v/>
      </c>
    </row>
    <row r="2083" spans="37:44" ht="30" hidden="1" customHeight="1">
      <c r="AK2083" s="313"/>
      <c r="AL2083" s="313"/>
      <c r="AM2083" s="313"/>
      <c r="AN2083" s="313"/>
      <c r="AO2083" s="313"/>
      <c r="AP2083" s="313"/>
      <c r="AQ2083" s="314"/>
      <c r="AR2083" s="315" t="str">
        <f t="shared" si="106"/>
        <v/>
      </c>
    </row>
    <row r="2084" spans="37:44" ht="30" hidden="1" customHeight="1">
      <c r="AK2084" s="313"/>
      <c r="AL2084" s="313"/>
      <c r="AM2084" s="313"/>
      <c r="AN2084" s="313"/>
      <c r="AO2084" s="313"/>
      <c r="AP2084" s="313"/>
      <c r="AQ2084" s="314"/>
      <c r="AR2084" s="315" t="str">
        <f t="shared" si="106"/>
        <v/>
      </c>
    </row>
    <row r="2085" spans="37:44" ht="30" hidden="1" customHeight="1">
      <c r="AK2085" s="313"/>
      <c r="AL2085" s="313"/>
      <c r="AM2085" s="313"/>
      <c r="AN2085" s="313"/>
      <c r="AO2085" s="313"/>
      <c r="AP2085" s="313"/>
      <c r="AQ2085" s="314"/>
      <c r="AR2085" s="315" t="str">
        <f t="shared" si="106"/>
        <v/>
      </c>
    </row>
    <row r="2086" spans="37:44" ht="30" hidden="1" customHeight="1">
      <c r="AK2086" s="313"/>
      <c r="AL2086" s="313"/>
      <c r="AM2086" s="313"/>
      <c r="AN2086" s="313"/>
      <c r="AO2086" s="313"/>
      <c r="AP2086" s="313"/>
      <c r="AQ2086" s="314"/>
      <c r="AR2086" s="315" t="str">
        <f t="shared" si="106"/>
        <v/>
      </c>
    </row>
    <row r="2087" spans="37:44" ht="30" hidden="1" customHeight="1">
      <c r="AK2087" s="313"/>
      <c r="AL2087" s="313"/>
      <c r="AM2087" s="313"/>
      <c r="AN2087" s="313"/>
      <c r="AO2087" s="313"/>
      <c r="AP2087" s="313"/>
      <c r="AQ2087" s="314"/>
      <c r="AR2087" s="315" t="str">
        <f t="shared" si="106"/>
        <v/>
      </c>
    </row>
    <row r="2088" spans="37:44" ht="30" hidden="1" customHeight="1">
      <c r="AK2088" s="313"/>
      <c r="AL2088" s="313"/>
      <c r="AM2088" s="313"/>
      <c r="AN2088" s="313"/>
      <c r="AO2088" s="313"/>
      <c r="AP2088" s="313"/>
      <c r="AQ2088" s="314"/>
      <c r="AR2088" s="315" t="str">
        <f t="shared" si="106"/>
        <v/>
      </c>
    </row>
    <row r="2089" spans="37:44" ht="30" hidden="1" customHeight="1">
      <c r="AK2089" s="313"/>
      <c r="AL2089" s="313"/>
      <c r="AM2089" s="313"/>
      <c r="AN2089" s="313"/>
      <c r="AO2089" s="313"/>
      <c r="AP2089" s="313"/>
      <c r="AQ2089" s="314"/>
      <c r="AR2089" s="315" t="str">
        <f t="shared" si="106"/>
        <v/>
      </c>
    </row>
    <row r="2090" spans="37:44" ht="30" hidden="1" customHeight="1">
      <c r="AK2090" s="313"/>
      <c r="AL2090" s="313"/>
      <c r="AM2090" s="313"/>
      <c r="AN2090" s="313"/>
      <c r="AO2090" s="313"/>
      <c r="AP2090" s="313"/>
      <c r="AQ2090" s="314"/>
      <c r="AR2090" s="315" t="str">
        <f t="shared" si="106"/>
        <v/>
      </c>
    </row>
    <row r="2091" spans="37:44" ht="30" hidden="1" customHeight="1">
      <c r="AK2091" s="313"/>
      <c r="AL2091" s="313"/>
      <c r="AM2091" s="313"/>
      <c r="AN2091" s="313"/>
      <c r="AO2091" s="313"/>
      <c r="AP2091" s="313"/>
      <c r="AQ2091" s="314"/>
      <c r="AR2091" s="315" t="str">
        <f t="shared" si="106"/>
        <v/>
      </c>
    </row>
    <row r="2092" spans="37:44" ht="30" hidden="1" customHeight="1">
      <c r="AK2092" s="313"/>
      <c r="AL2092" s="313"/>
      <c r="AM2092" s="313"/>
      <c r="AN2092" s="313"/>
      <c r="AO2092" s="313"/>
      <c r="AP2092" s="313"/>
      <c r="AQ2092" s="314"/>
      <c r="AR2092" s="315" t="str">
        <f t="shared" si="106"/>
        <v/>
      </c>
    </row>
    <row r="2093" spans="37:44" ht="30" hidden="1" customHeight="1">
      <c r="AK2093" s="313"/>
      <c r="AL2093" s="313"/>
      <c r="AM2093" s="313"/>
      <c r="AN2093" s="313"/>
      <c r="AO2093" s="313"/>
      <c r="AP2093" s="313"/>
      <c r="AQ2093" s="314"/>
      <c r="AR2093" s="315" t="str">
        <f t="shared" si="106"/>
        <v/>
      </c>
    </row>
    <row r="2094" spans="37:44" ht="30" hidden="1" customHeight="1">
      <c r="AK2094" s="313"/>
      <c r="AL2094" s="313"/>
      <c r="AM2094" s="313"/>
      <c r="AN2094" s="313"/>
      <c r="AO2094" s="313"/>
      <c r="AP2094" s="313"/>
      <c r="AQ2094" s="314"/>
      <c r="AR2094" s="315" t="str">
        <f t="shared" si="106"/>
        <v/>
      </c>
    </row>
    <row r="2095" spans="37:44" ht="30" hidden="1" customHeight="1">
      <c r="AK2095" s="313"/>
      <c r="AL2095" s="313"/>
      <c r="AM2095" s="313"/>
      <c r="AN2095" s="313"/>
      <c r="AO2095" s="313"/>
      <c r="AP2095" s="313"/>
      <c r="AQ2095" s="314"/>
      <c r="AR2095" s="315" t="str">
        <f t="shared" si="106"/>
        <v/>
      </c>
    </row>
    <row r="2096" spans="37:44" ht="30" hidden="1" customHeight="1">
      <c r="AK2096" s="313"/>
      <c r="AL2096" s="313"/>
      <c r="AM2096" s="313"/>
      <c r="AN2096" s="313"/>
      <c r="AO2096" s="313"/>
      <c r="AP2096" s="313"/>
      <c r="AQ2096" s="314"/>
      <c r="AR2096" s="315" t="str">
        <f t="shared" si="106"/>
        <v/>
      </c>
    </row>
    <row r="2097" spans="37:44" ht="30" hidden="1" customHeight="1">
      <c r="AK2097" s="313"/>
      <c r="AL2097" s="313"/>
      <c r="AM2097" s="313"/>
      <c r="AN2097" s="313"/>
      <c r="AO2097" s="313"/>
      <c r="AP2097" s="313"/>
      <c r="AQ2097" s="314"/>
      <c r="AR2097" s="315" t="str">
        <f t="shared" si="106"/>
        <v/>
      </c>
    </row>
    <row r="2098" spans="37:44" ht="30" hidden="1" customHeight="1">
      <c r="AK2098" s="313"/>
      <c r="AL2098" s="313"/>
      <c r="AM2098" s="313"/>
      <c r="AN2098" s="313"/>
      <c r="AO2098" s="313"/>
      <c r="AP2098" s="313"/>
      <c r="AQ2098" s="314"/>
      <c r="AR2098" s="315" t="str">
        <f t="shared" si="106"/>
        <v/>
      </c>
    </row>
    <row r="2099" spans="37:44" ht="30" hidden="1" customHeight="1">
      <c r="AK2099" s="313"/>
      <c r="AL2099" s="313"/>
      <c r="AM2099" s="313"/>
      <c r="AN2099" s="313"/>
      <c r="AO2099" s="313"/>
      <c r="AP2099" s="313"/>
      <c r="AQ2099" s="314"/>
      <c r="AR2099" s="315" t="str">
        <f t="shared" si="106"/>
        <v/>
      </c>
    </row>
    <row r="2100" spans="37:44" ht="30" hidden="1" customHeight="1">
      <c r="AK2100" s="313"/>
      <c r="AL2100" s="313"/>
      <c r="AM2100" s="313"/>
      <c r="AN2100" s="313"/>
      <c r="AO2100" s="313"/>
      <c r="AP2100" s="313"/>
      <c r="AQ2100" s="314"/>
      <c r="AR2100" s="315" t="str">
        <f t="shared" si="106"/>
        <v/>
      </c>
    </row>
    <row r="2101" spans="37:44" ht="30" hidden="1" customHeight="1">
      <c r="AK2101" s="313"/>
      <c r="AL2101" s="313"/>
      <c r="AM2101" s="313"/>
      <c r="AN2101" s="313"/>
      <c r="AO2101" s="313"/>
      <c r="AP2101" s="313"/>
      <c r="AQ2101" s="314"/>
      <c r="AR2101" s="315" t="str">
        <f t="shared" si="106"/>
        <v/>
      </c>
    </row>
    <row r="2102" spans="37:44" ht="30" hidden="1" customHeight="1">
      <c r="AK2102" s="313"/>
      <c r="AL2102" s="313"/>
      <c r="AM2102" s="313"/>
      <c r="AN2102" s="313"/>
      <c r="AO2102" s="313"/>
      <c r="AP2102" s="313"/>
      <c r="AQ2102" s="314"/>
      <c r="AR2102" s="315" t="str">
        <f t="shared" si="106"/>
        <v/>
      </c>
    </row>
    <row r="2103" spans="37:44" ht="30" hidden="1" customHeight="1">
      <c r="AK2103" s="313"/>
      <c r="AL2103" s="313"/>
      <c r="AM2103" s="313"/>
      <c r="AN2103" s="313"/>
      <c r="AO2103" s="313"/>
      <c r="AP2103" s="313"/>
      <c r="AQ2103" s="314"/>
      <c r="AR2103" s="315" t="str">
        <f t="shared" si="106"/>
        <v/>
      </c>
    </row>
    <row r="2104" spans="37:44" ht="30" hidden="1" customHeight="1">
      <c r="AK2104" s="313"/>
      <c r="AL2104" s="313"/>
      <c r="AM2104" s="313"/>
      <c r="AN2104" s="313"/>
      <c r="AO2104" s="313"/>
      <c r="AP2104" s="313"/>
      <c r="AQ2104" s="314"/>
      <c r="AR2104" s="315" t="str">
        <f t="shared" si="106"/>
        <v/>
      </c>
    </row>
    <row r="2105" spans="37:44" ht="30" hidden="1" customHeight="1">
      <c r="AK2105" s="313"/>
      <c r="AL2105" s="313"/>
      <c r="AM2105" s="313"/>
      <c r="AN2105" s="313"/>
      <c r="AO2105" s="313"/>
      <c r="AP2105" s="313"/>
      <c r="AQ2105" s="314"/>
      <c r="AR2105" s="315" t="str">
        <f t="shared" si="106"/>
        <v/>
      </c>
    </row>
    <row r="2106" spans="37:44" ht="30" hidden="1" customHeight="1">
      <c r="AK2106" s="313"/>
      <c r="AL2106" s="313"/>
      <c r="AM2106" s="313"/>
      <c r="AN2106" s="313"/>
      <c r="AO2106" s="313"/>
      <c r="AP2106" s="313"/>
      <c r="AQ2106" s="314"/>
      <c r="AR2106" s="315" t="str">
        <f t="shared" si="106"/>
        <v/>
      </c>
    </row>
    <row r="2107" spans="37:44" ht="30" hidden="1" customHeight="1">
      <c r="AK2107" s="313"/>
      <c r="AL2107" s="313"/>
      <c r="AM2107" s="313"/>
      <c r="AN2107" s="313"/>
      <c r="AO2107" s="313"/>
      <c r="AP2107" s="313"/>
      <c r="AQ2107" s="314"/>
      <c r="AR2107" s="315" t="str">
        <f t="shared" si="106"/>
        <v/>
      </c>
    </row>
    <row r="2108" spans="37:44" ht="30" hidden="1" customHeight="1">
      <c r="AK2108" s="313"/>
      <c r="AL2108" s="313"/>
      <c r="AM2108" s="313"/>
      <c r="AN2108" s="313"/>
      <c r="AO2108" s="313"/>
      <c r="AP2108" s="313"/>
      <c r="AQ2108" s="314"/>
      <c r="AR2108" s="315" t="str">
        <f t="shared" si="106"/>
        <v/>
      </c>
    </row>
    <row r="2109" spans="37:44" ht="30" hidden="1" customHeight="1">
      <c r="AK2109" s="313"/>
      <c r="AL2109" s="313"/>
      <c r="AM2109" s="313"/>
      <c r="AN2109" s="313"/>
      <c r="AO2109" s="313"/>
      <c r="AP2109" s="313"/>
      <c r="AQ2109" s="314"/>
      <c r="AR2109" s="315" t="str">
        <f t="shared" si="106"/>
        <v/>
      </c>
    </row>
    <row r="2110" spans="37:44" ht="30" hidden="1" customHeight="1">
      <c r="AK2110" s="313"/>
      <c r="AL2110" s="313"/>
      <c r="AM2110" s="313"/>
      <c r="AN2110" s="313"/>
      <c r="AO2110" s="313"/>
      <c r="AP2110" s="313"/>
      <c r="AQ2110" s="314"/>
      <c r="AR2110" s="315" t="str">
        <f t="shared" si="106"/>
        <v/>
      </c>
    </row>
    <row r="2111" spans="37:44" ht="30" hidden="1" customHeight="1">
      <c r="AK2111" s="313"/>
      <c r="AL2111" s="313"/>
      <c r="AM2111" s="313"/>
      <c r="AN2111" s="313"/>
      <c r="AO2111" s="313"/>
      <c r="AP2111" s="313"/>
      <c r="AQ2111" s="314"/>
      <c r="AR2111" s="315" t="str">
        <f t="shared" ref="AR2111:AR2174" si="107">IF(AQ2111="SIM","AGUARDANDO CORREÇÃO",IF(AP2111&lt;&gt;"","FINALIZADO",IF(AO2111&lt;&gt;"","AGUARDANDO ENVIO DTS",IF(AN2111&lt;&gt;"","AGUARDANDO ASSINATURA GAB",IF(AM2111&lt;&gt;"","AGUARDANDO ASSINATURA CTS",IF(AL2111&lt;&gt;"","AGUARDANDO ENVIO ASSINATURA CTS",IF(AK2111&lt;&gt;"","AGUARDANDO CONFERÊNCIA","")))))))</f>
        <v/>
      </c>
    </row>
    <row r="2112" spans="37:44" ht="30" hidden="1" customHeight="1">
      <c r="AK2112" s="313"/>
      <c r="AL2112" s="313"/>
      <c r="AM2112" s="313"/>
      <c r="AN2112" s="313"/>
      <c r="AO2112" s="313"/>
      <c r="AP2112" s="313"/>
      <c r="AQ2112" s="314"/>
      <c r="AR2112" s="315" t="str">
        <f t="shared" si="107"/>
        <v/>
      </c>
    </row>
    <row r="2113" spans="37:44" ht="30" hidden="1" customHeight="1">
      <c r="AK2113" s="313"/>
      <c r="AL2113" s="313"/>
      <c r="AM2113" s="313"/>
      <c r="AN2113" s="313"/>
      <c r="AO2113" s="313"/>
      <c r="AP2113" s="313"/>
      <c r="AQ2113" s="314"/>
      <c r="AR2113" s="315" t="str">
        <f t="shared" si="107"/>
        <v/>
      </c>
    </row>
    <row r="2114" spans="37:44" ht="30" hidden="1" customHeight="1">
      <c r="AK2114" s="313"/>
      <c r="AL2114" s="313"/>
      <c r="AM2114" s="313"/>
      <c r="AN2114" s="313"/>
      <c r="AO2114" s="313"/>
      <c r="AP2114" s="313"/>
      <c r="AQ2114" s="314"/>
      <c r="AR2114" s="315" t="str">
        <f t="shared" si="107"/>
        <v/>
      </c>
    </row>
    <row r="2115" spans="37:44" ht="30" hidden="1" customHeight="1">
      <c r="AK2115" s="313"/>
      <c r="AL2115" s="313"/>
      <c r="AM2115" s="313"/>
      <c r="AN2115" s="313"/>
      <c r="AO2115" s="313"/>
      <c r="AP2115" s="313"/>
      <c r="AQ2115" s="314"/>
      <c r="AR2115" s="315" t="str">
        <f t="shared" si="107"/>
        <v/>
      </c>
    </row>
    <row r="2116" spans="37:44" ht="30" hidden="1" customHeight="1">
      <c r="AK2116" s="313"/>
      <c r="AL2116" s="313"/>
      <c r="AM2116" s="313"/>
      <c r="AN2116" s="313"/>
      <c r="AO2116" s="313"/>
      <c r="AP2116" s="313"/>
      <c r="AQ2116" s="314"/>
      <c r="AR2116" s="315" t="str">
        <f t="shared" si="107"/>
        <v/>
      </c>
    </row>
    <row r="2117" spans="37:44" ht="30" hidden="1" customHeight="1">
      <c r="AK2117" s="313"/>
      <c r="AL2117" s="313"/>
      <c r="AM2117" s="313"/>
      <c r="AN2117" s="313"/>
      <c r="AO2117" s="313"/>
      <c r="AP2117" s="313"/>
      <c r="AQ2117" s="314"/>
      <c r="AR2117" s="315" t="str">
        <f t="shared" si="107"/>
        <v/>
      </c>
    </row>
    <row r="2118" spans="37:44" ht="30" hidden="1" customHeight="1">
      <c r="AK2118" s="313"/>
      <c r="AL2118" s="313"/>
      <c r="AM2118" s="313"/>
      <c r="AN2118" s="313"/>
      <c r="AO2118" s="313"/>
      <c r="AP2118" s="313"/>
      <c r="AQ2118" s="314"/>
      <c r="AR2118" s="315" t="str">
        <f t="shared" si="107"/>
        <v/>
      </c>
    </row>
    <row r="2119" spans="37:44" ht="30" hidden="1" customHeight="1">
      <c r="AK2119" s="313"/>
      <c r="AL2119" s="313"/>
      <c r="AM2119" s="313"/>
      <c r="AN2119" s="313"/>
      <c r="AO2119" s="313"/>
      <c r="AP2119" s="313"/>
      <c r="AQ2119" s="314"/>
      <c r="AR2119" s="315" t="str">
        <f t="shared" si="107"/>
        <v/>
      </c>
    </row>
    <row r="2120" spans="37:44" ht="30" hidden="1" customHeight="1">
      <c r="AK2120" s="313"/>
      <c r="AL2120" s="313"/>
      <c r="AM2120" s="313"/>
      <c r="AN2120" s="313"/>
      <c r="AO2120" s="313"/>
      <c r="AP2120" s="313"/>
      <c r="AQ2120" s="314"/>
      <c r="AR2120" s="315" t="str">
        <f t="shared" si="107"/>
        <v/>
      </c>
    </row>
    <row r="2121" spans="37:44" ht="30" hidden="1" customHeight="1">
      <c r="AK2121" s="313"/>
      <c r="AL2121" s="313"/>
      <c r="AM2121" s="313"/>
      <c r="AN2121" s="313"/>
      <c r="AO2121" s="313"/>
      <c r="AP2121" s="313"/>
      <c r="AQ2121" s="314"/>
      <c r="AR2121" s="315" t="str">
        <f t="shared" si="107"/>
        <v/>
      </c>
    </row>
    <row r="2122" spans="37:44" ht="30" hidden="1" customHeight="1">
      <c r="AK2122" s="313"/>
      <c r="AL2122" s="313"/>
      <c r="AM2122" s="313"/>
      <c r="AN2122" s="313"/>
      <c r="AO2122" s="313"/>
      <c r="AP2122" s="313"/>
      <c r="AQ2122" s="314"/>
      <c r="AR2122" s="315" t="str">
        <f t="shared" si="107"/>
        <v/>
      </c>
    </row>
    <row r="2123" spans="37:44" ht="30" hidden="1" customHeight="1">
      <c r="AK2123" s="313"/>
      <c r="AL2123" s="313"/>
      <c r="AM2123" s="313"/>
      <c r="AN2123" s="313"/>
      <c r="AO2123" s="313"/>
      <c r="AP2123" s="313"/>
      <c r="AQ2123" s="314"/>
      <c r="AR2123" s="315" t="str">
        <f t="shared" si="107"/>
        <v/>
      </c>
    </row>
    <row r="2124" spans="37:44" ht="30" hidden="1" customHeight="1">
      <c r="AK2124" s="313"/>
      <c r="AL2124" s="313"/>
      <c r="AM2124" s="313"/>
      <c r="AN2124" s="313"/>
      <c r="AO2124" s="313"/>
      <c r="AP2124" s="313"/>
      <c r="AQ2124" s="314"/>
      <c r="AR2124" s="315" t="str">
        <f t="shared" si="107"/>
        <v/>
      </c>
    </row>
    <row r="2125" spans="37:44" ht="30" hidden="1" customHeight="1">
      <c r="AK2125" s="313"/>
      <c r="AL2125" s="313"/>
      <c r="AM2125" s="313"/>
      <c r="AN2125" s="313"/>
      <c r="AO2125" s="313"/>
      <c r="AP2125" s="313"/>
      <c r="AQ2125" s="314"/>
      <c r="AR2125" s="315" t="str">
        <f t="shared" si="107"/>
        <v/>
      </c>
    </row>
    <row r="2126" spans="37:44" ht="30" hidden="1" customHeight="1">
      <c r="AK2126" s="313"/>
      <c r="AL2126" s="313"/>
      <c r="AM2126" s="313"/>
      <c r="AN2126" s="313"/>
      <c r="AO2126" s="313"/>
      <c r="AP2126" s="313"/>
      <c r="AQ2126" s="314"/>
      <c r="AR2126" s="315" t="str">
        <f t="shared" si="107"/>
        <v/>
      </c>
    </row>
    <row r="2127" spans="37:44" ht="30" hidden="1" customHeight="1">
      <c r="AK2127" s="313"/>
      <c r="AL2127" s="313"/>
      <c r="AM2127" s="313"/>
      <c r="AN2127" s="313"/>
      <c r="AO2127" s="313"/>
      <c r="AP2127" s="313"/>
      <c r="AQ2127" s="314"/>
      <c r="AR2127" s="315" t="str">
        <f t="shared" si="107"/>
        <v/>
      </c>
    </row>
    <row r="2128" spans="37:44" ht="30" hidden="1" customHeight="1">
      <c r="AK2128" s="313"/>
      <c r="AL2128" s="313"/>
      <c r="AM2128" s="313"/>
      <c r="AN2128" s="313"/>
      <c r="AO2128" s="313"/>
      <c r="AP2128" s="313"/>
      <c r="AQ2128" s="314"/>
      <c r="AR2128" s="315" t="str">
        <f t="shared" si="107"/>
        <v/>
      </c>
    </row>
    <row r="2129" spans="37:44" ht="30" hidden="1" customHeight="1">
      <c r="AK2129" s="313"/>
      <c r="AL2129" s="313"/>
      <c r="AM2129" s="313"/>
      <c r="AN2129" s="313"/>
      <c r="AO2129" s="313"/>
      <c r="AP2129" s="313"/>
      <c r="AQ2129" s="314"/>
      <c r="AR2129" s="315" t="str">
        <f t="shared" si="107"/>
        <v/>
      </c>
    </row>
    <row r="2130" spans="37:44" ht="30" hidden="1" customHeight="1">
      <c r="AK2130" s="313"/>
      <c r="AL2130" s="313"/>
      <c r="AM2130" s="313"/>
      <c r="AN2130" s="313"/>
      <c r="AO2130" s="313"/>
      <c r="AP2130" s="313"/>
      <c r="AQ2130" s="314"/>
      <c r="AR2130" s="315" t="str">
        <f t="shared" si="107"/>
        <v/>
      </c>
    </row>
    <row r="2131" spans="37:44" ht="30" hidden="1" customHeight="1">
      <c r="AK2131" s="313"/>
      <c r="AL2131" s="313"/>
      <c r="AM2131" s="313"/>
      <c r="AN2131" s="313"/>
      <c r="AO2131" s="313"/>
      <c r="AP2131" s="313"/>
      <c r="AQ2131" s="314"/>
      <c r="AR2131" s="315" t="str">
        <f t="shared" si="107"/>
        <v/>
      </c>
    </row>
    <row r="2132" spans="37:44" ht="30" hidden="1" customHeight="1">
      <c r="AK2132" s="313"/>
      <c r="AL2132" s="313"/>
      <c r="AM2132" s="313"/>
      <c r="AN2132" s="313"/>
      <c r="AO2132" s="313"/>
      <c r="AP2132" s="313"/>
      <c r="AQ2132" s="314"/>
      <c r="AR2132" s="315" t="str">
        <f t="shared" si="107"/>
        <v/>
      </c>
    </row>
    <row r="2133" spans="37:44" ht="30" hidden="1" customHeight="1">
      <c r="AK2133" s="313"/>
      <c r="AL2133" s="313"/>
      <c r="AM2133" s="313"/>
      <c r="AN2133" s="313"/>
      <c r="AO2133" s="313"/>
      <c r="AP2133" s="313"/>
      <c r="AQ2133" s="314"/>
      <c r="AR2133" s="315" t="str">
        <f t="shared" si="107"/>
        <v/>
      </c>
    </row>
    <row r="2134" spans="37:44" ht="30" hidden="1" customHeight="1">
      <c r="AK2134" s="313"/>
      <c r="AL2134" s="313"/>
      <c r="AM2134" s="313"/>
      <c r="AN2134" s="313"/>
      <c r="AO2134" s="313"/>
      <c r="AP2134" s="313"/>
      <c r="AQ2134" s="314"/>
      <c r="AR2134" s="315" t="str">
        <f t="shared" si="107"/>
        <v/>
      </c>
    </row>
    <row r="2135" spans="37:44" ht="30" hidden="1" customHeight="1">
      <c r="AK2135" s="313"/>
      <c r="AL2135" s="313"/>
      <c r="AM2135" s="313"/>
      <c r="AN2135" s="313"/>
      <c r="AO2135" s="313"/>
      <c r="AP2135" s="313"/>
      <c r="AQ2135" s="314"/>
      <c r="AR2135" s="315" t="str">
        <f t="shared" si="107"/>
        <v/>
      </c>
    </row>
    <row r="2136" spans="37:44" ht="30" hidden="1" customHeight="1">
      <c r="AK2136" s="313"/>
      <c r="AL2136" s="313"/>
      <c r="AM2136" s="313"/>
      <c r="AN2136" s="313"/>
      <c r="AO2136" s="313"/>
      <c r="AP2136" s="313"/>
      <c r="AQ2136" s="314"/>
      <c r="AR2136" s="315" t="str">
        <f t="shared" si="107"/>
        <v/>
      </c>
    </row>
    <row r="2137" spans="37:44" ht="30" hidden="1" customHeight="1">
      <c r="AK2137" s="313"/>
      <c r="AL2137" s="313"/>
      <c r="AM2137" s="313"/>
      <c r="AN2137" s="313"/>
      <c r="AO2137" s="313"/>
      <c r="AP2137" s="313"/>
      <c r="AQ2137" s="314"/>
      <c r="AR2137" s="315" t="str">
        <f t="shared" si="107"/>
        <v/>
      </c>
    </row>
    <row r="2138" spans="37:44" ht="30" hidden="1" customHeight="1">
      <c r="AK2138" s="313"/>
      <c r="AL2138" s="313"/>
      <c r="AM2138" s="313"/>
      <c r="AN2138" s="313"/>
      <c r="AO2138" s="313"/>
      <c r="AP2138" s="313"/>
      <c r="AQ2138" s="314"/>
      <c r="AR2138" s="315" t="str">
        <f t="shared" si="107"/>
        <v/>
      </c>
    </row>
    <row r="2139" spans="37:44" ht="30" hidden="1" customHeight="1">
      <c r="AK2139" s="313"/>
      <c r="AL2139" s="313"/>
      <c r="AM2139" s="313"/>
      <c r="AN2139" s="313"/>
      <c r="AO2139" s="313"/>
      <c r="AP2139" s="313"/>
      <c r="AQ2139" s="314"/>
      <c r="AR2139" s="315" t="str">
        <f t="shared" si="107"/>
        <v/>
      </c>
    </row>
    <row r="2140" spans="37:44" ht="30" hidden="1" customHeight="1">
      <c r="AK2140" s="313"/>
      <c r="AL2140" s="313"/>
      <c r="AM2140" s="313"/>
      <c r="AN2140" s="313"/>
      <c r="AO2140" s="313"/>
      <c r="AP2140" s="313"/>
      <c r="AQ2140" s="314"/>
      <c r="AR2140" s="315" t="str">
        <f t="shared" si="107"/>
        <v/>
      </c>
    </row>
    <row r="2141" spans="37:44" ht="30" hidden="1" customHeight="1">
      <c r="AK2141" s="313"/>
      <c r="AL2141" s="313"/>
      <c r="AM2141" s="313"/>
      <c r="AN2141" s="313"/>
      <c r="AO2141" s="313"/>
      <c r="AP2141" s="313"/>
      <c r="AQ2141" s="314"/>
      <c r="AR2141" s="315" t="str">
        <f t="shared" si="107"/>
        <v/>
      </c>
    </row>
    <row r="2142" spans="37:44" ht="30" hidden="1" customHeight="1">
      <c r="AK2142" s="313"/>
      <c r="AL2142" s="313"/>
      <c r="AM2142" s="313"/>
      <c r="AN2142" s="313"/>
      <c r="AO2142" s="313"/>
      <c r="AP2142" s="313"/>
      <c r="AQ2142" s="314"/>
      <c r="AR2142" s="315" t="str">
        <f t="shared" si="107"/>
        <v/>
      </c>
    </row>
    <row r="2143" spans="37:44" ht="30" hidden="1" customHeight="1">
      <c r="AK2143" s="313"/>
      <c r="AL2143" s="313"/>
      <c r="AM2143" s="313"/>
      <c r="AN2143" s="313"/>
      <c r="AO2143" s="313"/>
      <c r="AP2143" s="313"/>
      <c r="AQ2143" s="314"/>
      <c r="AR2143" s="315" t="str">
        <f t="shared" si="107"/>
        <v/>
      </c>
    </row>
    <row r="2144" spans="37:44" ht="30" hidden="1" customHeight="1">
      <c r="AK2144" s="313"/>
      <c r="AL2144" s="313"/>
      <c r="AM2144" s="313"/>
      <c r="AN2144" s="313"/>
      <c r="AO2144" s="313"/>
      <c r="AP2144" s="313"/>
      <c r="AQ2144" s="314"/>
      <c r="AR2144" s="315" t="str">
        <f t="shared" si="107"/>
        <v/>
      </c>
    </row>
    <row r="2145" spans="37:44" ht="30" hidden="1" customHeight="1">
      <c r="AK2145" s="313"/>
      <c r="AL2145" s="313"/>
      <c r="AM2145" s="313"/>
      <c r="AN2145" s="313"/>
      <c r="AO2145" s="313"/>
      <c r="AP2145" s="313"/>
      <c r="AQ2145" s="314"/>
      <c r="AR2145" s="315" t="str">
        <f t="shared" si="107"/>
        <v/>
      </c>
    </row>
    <row r="2146" spans="37:44" ht="30" hidden="1" customHeight="1">
      <c r="AK2146" s="313"/>
      <c r="AL2146" s="313"/>
      <c r="AM2146" s="313"/>
      <c r="AN2146" s="313"/>
      <c r="AO2146" s="313"/>
      <c r="AP2146" s="313"/>
      <c r="AQ2146" s="314"/>
      <c r="AR2146" s="315" t="str">
        <f t="shared" si="107"/>
        <v/>
      </c>
    </row>
    <row r="2147" spans="37:44" ht="30" hidden="1" customHeight="1">
      <c r="AK2147" s="313"/>
      <c r="AL2147" s="313"/>
      <c r="AM2147" s="313"/>
      <c r="AN2147" s="313"/>
      <c r="AO2147" s="313"/>
      <c r="AP2147" s="313"/>
      <c r="AQ2147" s="314"/>
      <c r="AR2147" s="315" t="str">
        <f t="shared" si="107"/>
        <v/>
      </c>
    </row>
    <row r="2148" spans="37:44" ht="30" hidden="1" customHeight="1">
      <c r="AK2148" s="313"/>
      <c r="AL2148" s="313"/>
      <c r="AM2148" s="313"/>
      <c r="AN2148" s="313"/>
      <c r="AO2148" s="313"/>
      <c r="AP2148" s="313"/>
      <c r="AQ2148" s="314"/>
      <c r="AR2148" s="315" t="str">
        <f t="shared" si="107"/>
        <v/>
      </c>
    </row>
    <row r="2149" spans="37:44" ht="30" hidden="1" customHeight="1">
      <c r="AK2149" s="313"/>
      <c r="AL2149" s="313"/>
      <c r="AM2149" s="313"/>
      <c r="AN2149" s="313"/>
      <c r="AO2149" s="313"/>
      <c r="AP2149" s="313"/>
      <c r="AQ2149" s="314"/>
      <c r="AR2149" s="315" t="str">
        <f t="shared" si="107"/>
        <v/>
      </c>
    </row>
    <row r="2150" spans="37:44" ht="30" hidden="1" customHeight="1">
      <c r="AK2150" s="313"/>
      <c r="AL2150" s="313"/>
      <c r="AM2150" s="313"/>
      <c r="AN2150" s="313"/>
      <c r="AO2150" s="313"/>
      <c r="AP2150" s="313"/>
      <c r="AQ2150" s="314"/>
      <c r="AR2150" s="315" t="str">
        <f t="shared" si="107"/>
        <v/>
      </c>
    </row>
    <row r="2151" spans="37:44" ht="30" hidden="1" customHeight="1">
      <c r="AK2151" s="313"/>
      <c r="AL2151" s="313"/>
      <c r="AM2151" s="313"/>
      <c r="AN2151" s="313"/>
      <c r="AO2151" s="313"/>
      <c r="AP2151" s="313"/>
      <c r="AQ2151" s="314"/>
      <c r="AR2151" s="315" t="str">
        <f t="shared" si="107"/>
        <v/>
      </c>
    </row>
    <row r="2152" spans="37:44" ht="30" hidden="1" customHeight="1">
      <c r="AK2152" s="313"/>
      <c r="AL2152" s="313"/>
      <c r="AM2152" s="313"/>
      <c r="AN2152" s="313"/>
      <c r="AO2152" s="313"/>
      <c r="AP2152" s="313"/>
      <c r="AQ2152" s="314"/>
      <c r="AR2152" s="315" t="str">
        <f t="shared" si="107"/>
        <v/>
      </c>
    </row>
    <row r="2153" spans="37:44" ht="30" hidden="1" customHeight="1">
      <c r="AK2153" s="313"/>
      <c r="AL2153" s="313"/>
      <c r="AM2153" s="313"/>
      <c r="AN2153" s="313"/>
      <c r="AO2153" s="313"/>
      <c r="AP2153" s="313"/>
      <c r="AQ2153" s="314"/>
      <c r="AR2153" s="315" t="str">
        <f t="shared" si="107"/>
        <v/>
      </c>
    </row>
    <row r="2154" spans="37:44" ht="30" hidden="1" customHeight="1">
      <c r="AK2154" s="313"/>
      <c r="AL2154" s="313"/>
      <c r="AM2154" s="313"/>
      <c r="AN2154" s="313"/>
      <c r="AO2154" s="313"/>
      <c r="AP2154" s="313"/>
      <c r="AQ2154" s="314"/>
      <c r="AR2154" s="315" t="str">
        <f t="shared" si="107"/>
        <v/>
      </c>
    </row>
    <row r="2155" spans="37:44" ht="30" hidden="1" customHeight="1">
      <c r="AK2155" s="313"/>
      <c r="AL2155" s="313"/>
      <c r="AM2155" s="313"/>
      <c r="AN2155" s="313"/>
      <c r="AO2155" s="313"/>
      <c r="AP2155" s="313"/>
      <c r="AQ2155" s="314"/>
      <c r="AR2155" s="315" t="str">
        <f t="shared" si="107"/>
        <v/>
      </c>
    </row>
    <row r="2156" spans="37:44" ht="30" hidden="1" customHeight="1">
      <c r="AK2156" s="313"/>
      <c r="AL2156" s="313"/>
      <c r="AM2156" s="313"/>
      <c r="AN2156" s="313"/>
      <c r="AO2156" s="313"/>
      <c r="AP2156" s="313"/>
      <c r="AQ2156" s="314"/>
      <c r="AR2156" s="315" t="str">
        <f t="shared" si="107"/>
        <v/>
      </c>
    </row>
    <row r="2157" spans="37:44" ht="30" hidden="1" customHeight="1">
      <c r="AK2157" s="313"/>
      <c r="AL2157" s="313"/>
      <c r="AM2157" s="313"/>
      <c r="AN2157" s="313"/>
      <c r="AO2157" s="313"/>
      <c r="AP2157" s="313"/>
      <c r="AQ2157" s="314"/>
      <c r="AR2157" s="315" t="str">
        <f t="shared" si="107"/>
        <v/>
      </c>
    </row>
    <row r="2158" spans="37:44" ht="30" hidden="1" customHeight="1">
      <c r="AK2158" s="313"/>
      <c r="AL2158" s="313"/>
      <c r="AM2158" s="313"/>
      <c r="AN2158" s="313"/>
      <c r="AO2158" s="313"/>
      <c r="AP2158" s="313"/>
      <c r="AQ2158" s="314"/>
      <c r="AR2158" s="315" t="str">
        <f t="shared" si="107"/>
        <v/>
      </c>
    </row>
    <row r="2159" spans="37:44" ht="30" hidden="1" customHeight="1">
      <c r="AK2159" s="313"/>
      <c r="AL2159" s="313"/>
      <c r="AM2159" s="313"/>
      <c r="AN2159" s="313"/>
      <c r="AO2159" s="313"/>
      <c r="AP2159" s="313"/>
      <c r="AQ2159" s="314"/>
      <c r="AR2159" s="315" t="str">
        <f t="shared" si="107"/>
        <v/>
      </c>
    </row>
    <row r="2160" spans="37:44" ht="30" hidden="1" customHeight="1">
      <c r="AK2160" s="313"/>
      <c r="AL2160" s="313"/>
      <c r="AM2160" s="313"/>
      <c r="AN2160" s="313"/>
      <c r="AO2160" s="313"/>
      <c r="AP2160" s="313"/>
      <c r="AQ2160" s="314"/>
      <c r="AR2160" s="315" t="str">
        <f t="shared" si="107"/>
        <v/>
      </c>
    </row>
    <row r="2161" spans="37:44" ht="30" hidden="1" customHeight="1">
      <c r="AK2161" s="313"/>
      <c r="AL2161" s="313"/>
      <c r="AM2161" s="313"/>
      <c r="AN2161" s="313"/>
      <c r="AO2161" s="313"/>
      <c r="AP2161" s="313"/>
      <c r="AQ2161" s="314"/>
      <c r="AR2161" s="315" t="str">
        <f t="shared" si="107"/>
        <v/>
      </c>
    </row>
    <row r="2162" spans="37:44" ht="30" hidden="1" customHeight="1">
      <c r="AK2162" s="313"/>
      <c r="AL2162" s="313"/>
      <c r="AM2162" s="313"/>
      <c r="AN2162" s="313"/>
      <c r="AO2162" s="313"/>
      <c r="AP2162" s="313"/>
      <c r="AQ2162" s="314"/>
      <c r="AR2162" s="315" t="str">
        <f t="shared" si="107"/>
        <v/>
      </c>
    </row>
    <row r="2163" spans="37:44" ht="30" hidden="1" customHeight="1">
      <c r="AK2163" s="313"/>
      <c r="AL2163" s="313"/>
      <c r="AM2163" s="313"/>
      <c r="AN2163" s="313"/>
      <c r="AO2163" s="313"/>
      <c r="AP2163" s="313"/>
      <c r="AQ2163" s="314"/>
      <c r="AR2163" s="315" t="str">
        <f t="shared" si="107"/>
        <v/>
      </c>
    </row>
    <row r="2164" spans="37:44" ht="30" hidden="1" customHeight="1">
      <c r="AK2164" s="313"/>
      <c r="AL2164" s="313"/>
      <c r="AM2164" s="313"/>
      <c r="AN2164" s="313"/>
      <c r="AO2164" s="313"/>
      <c r="AP2164" s="313"/>
      <c r="AQ2164" s="314"/>
      <c r="AR2164" s="315" t="str">
        <f t="shared" si="107"/>
        <v/>
      </c>
    </row>
    <row r="2165" spans="37:44" ht="30" hidden="1" customHeight="1">
      <c r="AK2165" s="313"/>
      <c r="AL2165" s="313"/>
      <c r="AM2165" s="313"/>
      <c r="AN2165" s="313"/>
      <c r="AO2165" s="313"/>
      <c r="AP2165" s="313"/>
      <c r="AQ2165" s="314"/>
      <c r="AR2165" s="315" t="str">
        <f t="shared" si="107"/>
        <v/>
      </c>
    </row>
    <row r="2166" spans="37:44" ht="30" hidden="1" customHeight="1">
      <c r="AK2166" s="313"/>
      <c r="AL2166" s="313"/>
      <c r="AM2166" s="313"/>
      <c r="AN2166" s="313"/>
      <c r="AO2166" s="313"/>
      <c r="AP2166" s="313"/>
      <c r="AQ2166" s="314"/>
      <c r="AR2166" s="315" t="str">
        <f t="shared" si="107"/>
        <v/>
      </c>
    </row>
    <row r="2167" spans="37:44" ht="30" hidden="1" customHeight="1">
      <c r="AK2167" s="313"/>
      <c r="AL2167" s="313"/>
      <c r="AM2167" s="313"/>
      <c r="AN2167" s="313"/>
      <c r="AO2167" s="313"/>
      <c r="AP2167" s="313"/>
      <c r="AQ2167" s="314"/>
      <c r="AR2167" s="315" t="str">
        <f t="shared" si="107"/>
        <v/>
      </c>
    </row>
    <row r="2168" spans="37:44" ht="30" hidden="1" customHeight="1">
      <c r="AK2168" s="313"/>
      <c r="AL2168" s="313"/>
      <c r="AM2168" s="313"/>
      <c r="AN2168" s="313"/>
      <c r="AO2168" s="313"/>
      <c r="AP2168" s="313"/>
      <c r="AQ2168" s="314"/>
      <c r="AR2168" s="315" t="str">
        <f t="shared" si="107"/>
        <v/>
      </c>
    </row>
    <row r="2169" spans="37:44" ht="30" hidden="1" customHeight="1">
      <c r="AK2169" s="313"/>
      <c r="AL2169" s="313"/>
      <c r="AM2169" s="313"/>
      <c r="AN2169" s="313"/>
      <c r="AO2169" s="313"/>
      <c r="AP2169" s="313"/>
      <c r="AQ2169" s="314"/>
      <c r="AR2169" s="315" t="str">
        <f t="shared" si="107"/>
        <v/>
      </c>
    </row>
    <row r="2170" spans="37:44" ht="30" hidden="1" customHeight="1">
      <c r="AK2170" s="313"/>
      <c r="AL2170" s="313"/>
      <c r="AM2170" s="313"/>
      <c r="AN2170" s="313"/>
      <c r="AO2170" s="313"/>
      <c r="AP2170" s="313"/>
      <c r="AQ2170" s="314"/>
      <c r="AR2170" s="315" t="str">
        <f t="shared" si="107"/>
        <v/>
      </c>
    </row>
    <row r="2171" spans="37:44" ht="30" hidden="1" customHeight="1">
      <c r="AK2171" s="313"/>
      <c r="AL2171" s="313"/>
      <c r="AM2171" s="313"/>
      <c r="AN2171" s="313"/>
      <c r="AO2171" s="313"/>
      <c r="AP2171" s="313"/>
      <c r="AQ2171" s="314"/>
      <c r="AR2171" s="315" t="str">
        <f t="shared" si="107"/>
        <v/>
      </c>
    </row>
    <row r="2172" spans="37:44" ht="30" hidden="1" customHeight="1">
      <c r="AK2172" s="313"/>
      <c r="AL2172" s="313"/>
      <c r="AM2172" s="313"/>
      <c r="AN2172" s="313"/>
      <c r="AO2172" s="313"/>
      <c r="AP2172" s="313"/>
      <c r="AQ2172" s="314"/>
      <c r="AR2172" s="315" t="str">
        <f t="shared" si="107"/>
        <v/>
      </c>
    </row>
    <row r="2173" spans="37:44" ht="30" hidden="1" customHeight="1">
      <c r="AK2173" s="313"/>
      <c r="AL2173" s="313"/>
      <c r="AM2173" s="313"/>
      <c r="AN2173" s="313"/>
      <c r="AO2173" s="313"/>
      <c r="AP2173" s="313"/>
      <c r="AQ2173" s="314"/>
      <c r="AR2173" s="315" t="str">
        <f t="shared" si="107"/>
        <v/>
      </c>
    </row>
    <row r="2174" spans="37:44" ht="30" hidden="1" customHeight="1">
      <c r="AK2174" s="313"/>
      <c r="AL2174" s="313"/>
      <c r="AM2174" s="313"/>
      <c r="AN2174" s="313"/>
      <c r="AO2174" s="313"/>
      <c r="AP2174" s="313"/>
      <c r="AQ2174" s="314"/>
      <c r="AR2174" s="315" t="str">
        <f t="shared" si="107"/>
        <v/>
      </c>
    </row>
    <row r="2175" spans="37:44" ht="30" hidden="1" customHeight="1">
      <c r="AK2175" s="313"/>
      <c r="AL2175" s="313"/>
      <c r="AM2175" s="313"/>
      <c r="AN2175" s="313"/>
      <c r="AO2175" s="313"/>
      <c r="AP2175" s="313"/>
      <c r="AQ2175" s="314"/>
      <c r="AR2175" s="315" t="str">
        <f t="shared" ref="AR2175:AR2238" si="108">IF(AQ2175="SIM","AGUARDANDO CORREÇÃO",IF(AP2175&lt;&gt;"","FINALIZADO",IF(AO2175&lt;&gt;"","AGUARDANDO ENVIO DTS",IF(AN2175&lt;&gt;"","AGUARDANDO ASSINATURA GAB",IF(AM2175&lt;&gt;"","AGUARDANDO ASSINATURA CTS",IF(AL2175&lt;&gt;"","AGUARDANDO ENVIO ASSINATURA CTS",IF(AK2175&lt;&gt;"","AGUARDANDO CONFERÊNCIA","")))))))</f>
        <v/>
      </c>
    </row>
    <row r="2176" spans="37:44" ht="30" hidden="1" customHeight="1">
      <c r="AK2176" s="313"/>
      <c r="AL2176" s="313"/>
      <c r="AM2176" s="313"/>
      <c r="AN2176" s="313"/>
      <c r="AO2176" s="313"/>
      <c r="AP2176" s="313"/>
      <c r="AQ2176" s="314"/>
      <c r="AR2176" s="315" t="str">
        <f t="shared" si="108"/>
        <v/>
      </c>
    </row>
    <row r="2177" spans="37:44" ht="30" hidden="1" customHeight="1">
      <c r="AK2177" s="313"/>
      <c r="AL2177" s="313"/>
      <c r="AM2177" s="313"/>
      <c r="AN2177" s="313"/>
      <c r="AO2177" s="313"/>
      <c r="AP2177" s="313"/>
      <c r="AQ2177" s="314"/>
      <c r="AR2177" s="315" t="str">
        <f t="shared" si="108"/>
        <v/>
      </c>
    </row>
    <row r="2178" spans="37:44" ht="30" hidden="1" customHeight="1">
      <c r="AK2178" s="313"/>
      <c r="AL2178" s="313"/>
      <c r="AM2178" s="313"/>
      <c r="AN2178" s="313"/>
      <c r="AO2178" s="313"/>
      <c r="AP2178" s="313"/>
      <c r="AQ2178" s="314"/>
      <c r="AR2178" s="315" t="str">
        <f t="shared" si="108"/>
        <v/>
      </c>
    </row>
    <row r="2179" spans="37:44" ht="30" hidden="1" customHeight="1">
      <c r="AK2179" s="313"/>
      <c r="AL2179" s="313"/>
      <c r="AM2179" s="313"/>
      <c r="AN2179" s="313"/>
      <c r="AO2179" s="313"/>
      <c r="AP2179" s="313"/>
      <c r="AQ2179" s="314"/>
      <c r="AR2179" s="315" t="str">
        <f t="shared" si="108"/>
        <v/>
      </c>
    </row>
    <row r="2180" spans="37:44" ht="30" hidden="1" customHeight="1">
      <c r="AK2180" s="313"/>
      <c r="AL2180" s="313"/>
      <c r="AM2180" s="313"/>
      <c r="AN2180" s="313"/>
      <c r="AO2180" s="313"/>
      <c r="AP2180" s="313"/>
      <c r="AQ2180" s="314"/>
      <c r="AR2180" s="315" t="str">
        <f t="shared" si="108"/>
        <v/>
      </c>
    </row>
    <row r="2181" spans="37:44" ht="30" hidden="1" customHeight="1">
      <c r="AK2181" s="313"/>
      <c r="AL2181" s="313"/>
      <c r="AM2181" s="313"/>
      <c r="AN2181" s="313"/>
      <c r="AO2181" s="313"/>
      <c r="AP2181" s="313"/>
      <c r="AQ2181" s="314"/>
      <c r="AR2181" s="315" t="str">
        <f t="shared" si="108"/>
        <v/>
      </c>
    </row>
    <row r="2182" spans="37:44" ht="30" hidden="1" customHeight="1">
      <c r="AK2182" s="313"/>
      <c r="AL2182" s="313"/>
      <c r="AM2182" s="313"/>
      <c r="AN2182" s="313"/>
      <c r="AO2182" s="313"/>
      <c r="AP2182" s="313"/>
      <c r="AQ2182" s="314"/>
      <c r="AR2182" s="315" t="str">
        <f t="shared" si="108"/>
        <v/>
      </c>
    </row>
    <row r="2183" spans="37:44" ht="30" hidden="1" customHeight="1">
      <c r="AK2183" s="313"/>
      <c r="AL2183" s="313"/>
      <c r="AM2183" s="313"/>
      <c r="AN2183" s="313"/>
      <c r="AO2183" s="313"/>
      <c r="AP2183" s="313"/>
      <c r="AQ2183" s="314"/>
      <c r="AR2183" s="315" t="str">
        <f t="shared" si="108"/>
        <v/>
      </c>
    </row>
    <row r="2184" spans="37:44" ht="30" hidden="1" customHeight="1">
      <c r="AK2184" s="313"/>
      <c r="AL2184" s="313"/>
      <c r="AM2184" s="313"/>
      <c r="AN2184" s="313"/>
      <c r="AO2184" s="313"/>
      <c r="AP2184" s="313"/>
      <c r="AQ2184" s="314"/>
      <c r="AR2184" s="315" t="str">
        <f t="shared" si="108"/>
        <v/>
      </c>
    </row>
    <row r="2185" spans="37:44" ht="30" hidden="1" customHeight="1">
      <c r="AK2185" s="313"/>
      <c r="AL2185" s="313"/>
      <c r="AM2185" s="313"/>
      <c r="AN2185" s="313"/>
      <c r="AO2185" s="313"/>
      <c r="AP2185" s="313"/>
      <c r="AQ2185" s="314"/>
      <c r="AR2185" s="315" t="str">
        <f t="shared" si="108"/>
        <v/>
      </c>
    </row>
    <row r="2186" spans="37:44" ht="30" hidden="1" customHeight="1">
      <c r="AK2186" s="313"/>
      <c r="AL2186" s="313"/>
      <c r="AM2186" s="313"/>
      <c r="AN2186" s="313"/>
      <c r="AO2186" s="313"/>
      <c r="AP2186" s="313"/>
      <c r="AQ2186" s="314"/>
      <c r="AR2186" s="315" t="str">
        <f t="shared" si="108"/>
        <v/>
      </c>
    </row>
    <row r="2187" spans="37:44" ht="30" hidden="1" customHeight="1">
      <c r="AK2187" s="313"/>
      <c r="AL2187" s="313"/>
      <c r="AM2187" s="313"/>
      <c r="AN2187" s="313"/>
      <c r="AO2187" s="313"/>
      <c r="AP2187" s="313"/>
      <c r="AQ2187" s="314"/>
      <c r="AR2187" s="315" t="str">
        <f t="shared" si="108"/>
        <v/>
      </c>
    </row>
    <row r="2188" spans="37:44" ht="30" hidden="1" customHeight="1">
      <c r="AK2188" s="313"/>
      <c r="AL2188" s="313"/>
      <c r="AM2188" s="313"/>
      <c r="AN2188" s="313"/>
      <c r="AO2188" s="313"/>
      <c r="AP2188" s="313"/>
      <c r="AQ2188" s="314"/>
      <c r="AR2188" s="315" t="str">
        <f t="shared" si="108"/>
        <v/>
      </c>
    </row>
    <row r="2189" spans="37:44" ht="30" hidden="1" customHeight="1">
      <c r="AK2189" s="313"/>
      <c r="AL2189" s="313"/>
      <c r="AM2189" s="313"/>
      <c r="AN2189" s="313"/>
      <c r="AO2189" s="313"/>
      <c r="AP2189" s="313"/>
      <c r="AQ2189" s="314"/>
      <c r="AR2189" s="315" t="str">
        <f t="shared" si="108"/>
        <v/>
      </c>
    </row>
    <row r="2190" spans="37:44" ht="30" hidden="1" customHeight="1">
      <c r="AK2190" s="313"/>
      <c r="AL2190" s="313"/>
      <c r="AM2190" s="313"/>
      <c r="AN2190" s="313"/>
      <c r="AO2190" s="313"/>
      <c r="AP2190" s="313"/>
      <c r="AQ2190" s="314"/>
      <c r="AR2190" s="315" t="str">
        <f t="shared" si="108"/>
        <v/>
      </c>
    </row>
    <row r="2191" spans="37:44" ht="30" hidden="1" customHeight="1">
      <c r="AK2191" s="313"/>
      <c r="AL2191" s="313"/>
      <c r="AM2191" s="313"/>
      <c r="AN2191" s="313"/>
      <c r="AO2191" s="313"/>
      <c r="AP2191" s="313"/>
      <c r="AQ2191" s="314"/>
      <c r="AR2191" s="315" t="str">
        <f t="shared" si="108"/>
        <v/>
      </c>
    </row>
    <row r="2192" spans="37:44" ht="30" hidden="1" customHeight="1">
      <c r="AK2192" s="313"/>
      <c r="AL2192" s="313"/>
      <c r="AM2192" s="313"/>
      <c r="AN2192" s="313"/>
      <c r="AO2192" s="313"/>
      <c r="AP2192" s="313"/>
      <c r="AQ2192" s="314"/>
      <c r="AR2192" s="315" t="str">
        <f t="shared" si="108"/>
        <v/>
      </c>
    </row>
    <row r="2193" spans="37:44" ht="30" hidden="1" customHeight="1">
      <c r="AK2193" s="313"/>
      <c r="AL2193" s="313"/>
      <c r="AM2193" s="313"/>
      <c r="AN2193" s="313"/>
      <c r="AO2193" s="313"/>
      <c r="AP2193" s="313"/>
      <c r="AQ2193" s="314"/>
      <c r="AR2193" s="315" t="str">
        <f t="shared" si="108"/>
        <v/>
      </c>
    </row>
    <row r="2194" spans="37:44" ht="30" hidden="1" customHeight="1">
      <c r="AK2194" s="313"/>
      <c r="AL2194" s="313"/>
      <c r="AM2194" s="313"/>
      <c r="AN2194" s="313"/>
      <c r="AO2194" s="313"/>
      <c r="AP2194" s="313"/>
      <c r="AQ2194" s="314"/>
      <c r="AR2194" s="315" t="str">
        <f t="shared" si="108"/>
        <v/>
      </c>
    </row>
    <row r="2195" spans="37:44" ht="30" hidden="1" customHeight="1">
      <c r="AK2195" s="313"/>
      <c r="AL2195" s="313"/>
      <c r="AM2195" s="313"/>
      <c r="AN2195" s="313"/>
      <c r="AO2195" s="313"/>
      <c r="AP2195" s="313"/>
      <c r="AQ2195" s="314"/>
      <c r="AR2195" s="315" t="str">
        <f t="shared" si="108"/>
        <v/>
      </c>
    </row>
    <row r="2196" spans="37:44" ht="30" hidden="1" customHeight="1">
      <c r="AK2196" s="313"/>
      <c r="AL2196" s="313"/>
      <c r="AM2196" s="313"/>
      <c r="AN2196" s="313"/>
      <c r="AO2196" s="313"/>
      <c r="AP2196" s="313"/>
      <c r="AQ2196" s="314"/>
      <c r="AR2196" s="315" t="str">
        <f t="shared" si="108"/>
        <v/>
      </c>
    </row>
    <row r="2197" spans="37:44" ht="30" hidden="1" customHeight="1">
      <c r="AK2197" s="313"/>
      <c r="AL2197" s="313"/>
      <c r="AM2197" s="313"/>
      <c r="AN2197" s="313"/>
      <c r="AO2197" s="313"/>
      <c r="AP2197" s="313"/>
      <c r="AQ2197" s="314"/>
      <c r="AR2197" s="315" t="str">
        <f t="shared" si="108"/>
        <v/>
      </c>
    </row>
    <row r="2198" spans="37:44" ht="30" hidden="1" customHeight="1">
      <c r="AK2198" s="313"/>
      <c r="AL2198" s="313"/>
      <c r="AM2198" s="313"/>
      <c r="AN2198" s="313"/>
      <c r="AO2198" s="313"/>
      <c r="AP2198" s="313"/>
      <c r="AQ2198" s="314"/>
      <c r="AR2198" s="315" t="str">
        <f t="shared" si="108"/>
        <v/>
      </c>
    </row>
    <row r="2199" spans="37:44" ht="30" hidden="1" customHeight="1">
      <c r="AK2199" s="313"/>
      <c r="AL2199" s="313"/>
      <c r="AM2199" s="313"/>
      <c r="AN2199" s="313"/>
      <c r="AO2199" s="313"/>
      <c r="AP2199" s="313"/>
      <c r="AQ2199" s="314"/>
      <c r="AR2199" s="315" t="str">
        <f t="shared" si="108"/>
        <v/>
      </c>
    </row>
    <row r="2200" spans="37:44" ht="30" hidden="1" customHeight="1">
      <c r="AK2200" s="313"/>
      <c r="AL2200" s="313"/>
      <c r="AM2200" s="313"/>
      <c r="AN2200" s="313"/>
      <c r="AO2200" s="313"/>
      <c r="AP2200" s="313"/>
      <c r="AQ2200" s="314"/>
      <c r="AR2200" s="315" t="str">
        <f t="shared" si="108"/>
        <v/>
      </c>
    </row>
    <row r="2201" spans="37:44" ht="30" hidden="1" customHeight="1">
      <c r="AK2201" s="313"/>
      <c r="AL2201" s="313"/>
      <c r="AM2201" s="313"/>
      <c r="AN2201" s="313"/>
      <c r="AO2201" s="313"/>
      <c r="AP2201" s="313"/>
      <c r="AQ2201" s="314"/>
      <c r="AR2201" s="315" t="str">
        <f t="shared" si="108"/>
        <v/>
      </c>
    </row>
    <row r="2202" spans="37:44" ht="30" hidden="1" customHeight="1">
      <c r="AK2202" s="313"/>
      <c r="AL2202" s="313"/>
      <c r="AM2202" s="313"/>
      <c r="AN2202" s="313"/>
      <c r="AO2202" s="313"/>
      <c r="AP2202" s="313"/>
      <c r="AQ2202" s="314"/>
      <c r="AR2202" s="315" t="str">
        <f t="shared" si="108"/>
        <v/>
      </c>
    </row>
    <row r="2203" spans="37:44" ht="30" hidden="1" customHeight="1">
      <c r="AK2203" s="313"/>
      <c r="AL2203" s="313"/>
      <c r="AM2203" s="313"/>
      <c r="AN2203" s="313"/>
      <c r="AO2203" s="313"/>
      <c r="AP2203" s="313"/>
      <c r="AQ2203" s="314"/>
      <c r="AR2203" s="315" t="str">
        <f t="shared" si="108"/>
        <v/>
      </c>
    </row>
    <row r="2204" spans="37:44" ht="30" hidden="1" customHeight="1">
      <c r="AK2204" s="313"/>
      <c r="AL2204" s="313"/>
      <c r="AM2204" s="313"/>
      <c r="AN2204" s="313"/>
      <c r="AO2204" s="313"/>
      <c r="AP2204" s="313"/>
      <c r="AQ2204" s="314"/>
      <c r="AR2204" s="315" t="str">
        <f t="shared" si="108"/>
        <v/>
      </c>
    </row>
    <row r="2205" spans="37:44" ht="30" hidden="1" customHeight="1">
      <c r="AK2205" s="313"/>
      <c r="AL2205" s="313"/>
      <c r="AM2205" s="313"/>
      <c r="AN2205" s="313"/>
      <c r="AO2205" s="313"/>
      <c r="AP2205" s="313"/>
      <c r="AQ2205" s="314"/>
      <c r="AR2205" s="315" t="str">
        <f t="shared" si="108"/>
        <v/>
      </c>
    </row>
    <row r="2206" spans="37:44" ht="30" hidden="1" customHeight="1">
      <c r="AK2206" s="313"/>
      <c r="AL2206" s="313"/>
      <c r="AM2206" s="313"/>
      <c r="AN2206" s="313"/>
      <c r="AO2206" s="313"/>
      <c r="AP2206" s="313"/>
      <c r="AQ2206" s="314"/>
      <c r="AR2206" s="315" t="str">
        <f t="shared" si="108"/>
        <v/>
      </c>
    </row>
    <row r="2207" spans="37:44" ht="30" hidden="1" customHeight="1">
      <c r="AK2207" s="313"/>
      <c r="AL2207" s="313"/>
      <c r="AM2207" s="313"/>
      <c r="AN2207" s="313"/>
      <c r="AO2207" s="313"/>
      <c r="AP2207" s="313"/>
      <c r="AQ2207" s="314"/>
      <c r="AR2207" s="315" t="str">
        <f t="shared" si="108"/>
        <v/>
      </c>
    </row>
    <row r="2208" spans="37:44" ht="30" hidden="1" customHeight="1">
      <c r="AK2208" s="313"/>
      <c r="AL2208" s="313"/>
      <c r="AM2208" s="313"/>
      <c r="AN2208" s="313"/>
      <c r="AO2208" s="313"/>
      <c r="AP2208" s="313"/>
      <c r="AQ2208" s="314"/>
      <c r="AR2208" s="315" t="str">
        <f t="shared" si="108"/>
        <v/>
      </c>
    </row>
    <row r="2209" spans="37:44" ht="30" hidden="1" customHeight="1">
      <c r="AK2209" s="313"/>
      <c r="AL2209" s="313"/>
      <c r="AM2209" s="313"/>
      <c r="AN2209" s="313"/>
      <c r="AO2209" s="313"/>
      <c r="AP2209" s="313"/>
      <c r="AQ2209" s="314"/>
      <c r="AR2209" s="315" t="str">
        <f t="shared" si="108"/>
        <v/>
      </c>
    </row>
    <row r="2210" spans="37:44" ht="30" hidden="1" customHeight="1">
      <c r="AK2210" s="313"/>
      <c r="AL2210" s="313"/>
      <c r="AM2210" s="313"/>
      <c r="AN2210" s="313"/>
      <c r="AO2210" s="313"/>
      <c r="AP2210" s="313"/>
      <c r="AQ2210" s="314"/>
      <c r="AR2210" s="315" t="str">
        <f t="shared" si="108"/>
        <v/>
      </c>
    </row>
    <row r="2211" spans="37:44" ht="30" hidden="1" customHeight="1">
      <c r="AK2211" s="313"/>
      <c r="AL2211" s="313"/>
      <c r="AM2211" s="313"/>
      <c r="AN2211" s="313"/>
      <c r="AO2211" s="313"/>
      <c r="AP2211" s="313"/>
      <c r="AQ2211" s="314"/>
      <c r="AR2211" s="315" t="str">
        <f t="shared" si="108"/>
        <v/>
      </c>
    </row>
    <row r="2212" spans="37:44" ht="30" hidden="1" customHeight="1">
      <c r="AK2212" s="313"/>
      <c r="AL2212" s="313"/>
      <c r="AM2212" s="313"/>
      <c r="AN2212" s="313"/>
      <c r="AO2212" s="313"/>
      <c r="AP2212" s="313"/>
      <c r="AQ2212" s="314"/>
      <c r="AR2212" s="315" t="str">
        <f t="shared" si="108"/>
        <v/>
      </c>
    </row>
    <row r="2213" spans="37:44" ht="30" hidden="1" customHeight="1">
      <c r="AK2213" s="313"/>
      <c r="AL2213" s="313"/>
      <c r="AM2213" s="313"/>
      <c r="AN2213" s="313"/>
      <c r="AO2213" s="313"/>
      <c r="AP2213" s="313"/>
      <c r="AQ2213" s="314"/>
      <c r="AR2213" s="315" t="str">
        <f t="shared" si="108"/>
        <v/>
      </c>
    </row>
    <row r="2214" spans="37:44" ht="30" hidden="1" customHeight="1">
      <c r="AK2214" s="313"/>
      <c r="AL2214" s="313"/>
      <c r="AM2214" s="313"/>
      <c r="AN2214" s="313"/>
      <c r="AO2214" s="313"/>
      <c r="AP2214" s="313"/>
      <c r="AQ2214" s="314"/>
      <c r="AR2214" s="315" t="str">
        <f t="shared" si="108"/>
        <v/>
      </c>
    </row>
    <row r="2215" spans="37:44" ht="30" hidden="1" customHeight="1">
      <c r="AK2215" s="313"/>
      <c r="AL2215" s="313"/>
      <c r="AM2215" s="313"/>
      <c r="AN2215" s="313"/>
      <c r="AO2215" s="313"/>
      <c r="AP2215" s="313"/>
      <c r="AQ2215" s="314"/>
      <c r="AR2215" s="315" t="str">
        <f t="shared" si="108"/>
        <v/>
      </c>
    </row>
    <row r="2216" spans="37:44" ht="30" hidden="1" customHeight="1">
      <c r="AK2216" s="313"/>
      <c r="AL2216" s="313"/>
      <c r="AM2216" s="313"/>
      <c r="AN2216" s="313"/>
      <c r="AO2216" s="313"/>
      <c r="AP2216" s="313"/>
      <c r="AQ2216" s="314"/>
      <c r="AR2216" s="315" t="str">
        <f t="shared" si="108"/>
        <v/>
      </c>
    </row>
    <row r="2217" spans="37:44" ht="30" hidden="1" customHeight="1">
      <c r="AK2217" s="313"/>
      <c r="AL2217" s="313"/>
      <c r="AM2217" s="313"/>
      <c r="AN2217" s="313"/>
      <c r="AO2217" s="313"/>
      <c r="AP2217" s="313"/>
      <c r="AQ2217" s="314"/>
      <c r="AR2217" s="315" t="str">
        <f t="shared" si="108"/>
        <v/>
      </c>
    </row>
    <row r="2218" spans="37:44" ht="30" hidden="1" customHeight="1">
      <c r="AK2218" s="313"/>
      <c r="AL2218" s="313"/>
      <c r="AM2218" s="313"/>
      <c r="AN2218" s="313"/>
      <c r="AO2218" s="313"/>
      <c r="AP2218" s="313"/>
      <c r="AQ2218" s="314"/>
      <c r="AR2218" s="315" t="str">
        <f t="shared" si="108"/>
        <v/>
      </c>
    </row>
    <row r="2219" spans="37:44" ht="30" hidden="1" customHeight="1">
      <c r="AK2219" s="313"/>
      <c r="AL2219" s="313"/>
      <c r="AM2219" s="313"/>
      <c r="AN2219" s="313"/>
      <c r="AO2219" s="313"/>
      <c r="AP2219" s="313"/>
      <c r="AQ2219" s="314"/>
      <c r="AR2219" s="315" t="str">
        <f t="shared" si="108"/>
        <v/>
      </c>
    </row>
    <row r="2220" spans="37:44" ht="30" hidden="1" customHeight="1">
      <c r="AK2220" s="313"/>
      <c r="AL2220" s="313"/>
      <c r="AM2220" s="313"/>
      <c r="AN2220" s="313"/>
      <c r="AO2220" s="313"/>
      <c r="AP2220" s="313"/>
      <c r="AQ2220" s="314"/>
      <c r="AR2220" s="315" t="str">
        <f t="shared" si="108"/>
        <v/>
      </c>
    </row>
    <row r="2221" spans="37:44" ht="30" hidden="1" customHeight="1">
      <c r="AK2221" s="313"/>
      <c r="AL2221" s="313"/>
      <c r="AM2221" s="313"/>
      <c r="AN2221" s="313"/>
      <c r="AO2221" s="313"/>
      <c r="AP2221" s="313"/>
      <c r="AQ2221" s="314"/>
      <c r="AR2221" s="315" t="str">
        <f t="shared" si="108"/>
        <v/>
      </c>
    </row>
    <row r="2222" spans="37:44" ht="30" hidden="1" customHeight="1">
      <c r="AK2222" s="313"/>
      <c r="AL2222" s="313"/>
      <c r="AM2222" s="313"/>
      <c r="AN2222" s="313"/>
      <c r="AO2222" s="313"/>
      <c r="AP2222" s="313"/>
      <c r="AQ2222" s="314"/>
      <c r="AR2222" s="315" t="str">
        <f t="shared" si="108"/>
        <v/>
      </c>
    </row>
    <row r="2223" spans="37:44" ht="30" hidden="1" customHeight="1">
      <c r="AK2223" s="313"/>
      <c r="AL2223" s="313"/>
      <c r="AM2223" s="313"/>
      <c r="AN2223" s="313"/>
      <c r="AO2223" s="313"/>
      <c r="AP2223" s="313"/>
      <c r="AQ2223" s="314"/>
      <c r="AR2223" s="315" t="str">
        <f t="shared" si="108"/>
        <v/>
      </c>
    </row>
    <row r="2224" spans="37:44" ht="30" hidden="1" customHeight="1">
      <c r="AK2224" s="313"/>
      <c r="AL2224" s="313"/>
      <c r="AM2224" s="313"/>
      <c r="AN2224" s="313"/>
      <c r="AO2224" s="313"/>
      <c r="AP2224" s="313"/>
      <c r="AQ2224" s="314"/>
      <c r="AR2224" s="315" t="str">
        <f t="shared" si="108"/>
        <v/>
      </c>
    </row>
    <row r="2225" spans="37:44" ht="30" hidden="1" customHeight="1">
      <c r="AK2225" s="313"/>
      <c r="AL2225" s="313"/>
      <c r="AM2225" s="313"/>
      <c r="AN2225" s="313"/>
      <c r="AO2225" s="313"/>
      <c r="AP2225" s="313"/>
      <c r="AQ2225" s="314"/>
      <c r="AR2225" s="315" t="str">
        <f t="shared" si="108"/>
        <v/>
      </c>
    </row>
    <row r="2226" spans="37:44" ht="30" hidden="1" customHeight="1">
      <c r="AK2226" s="313"/>
      <c r="AL2226" s="313"/>
      <c r="AM2226" s="313"/>
      <c r="AN2226" s="313"/>
      <c r="AO2226" s="313"/>
      <c r="AP2226" s="313"/>
      <c r="AQ2226" s="314"/>
      <c r="AR2226" s="315" t="str">
        <f t="shared" si="108"/>
        <v/>
      </c>
    </row>
    <row r="2227" spans="37:44" ht="30" hidden="1" customHeight="1">
      <c r="AK2227" s="313"/>
      <c r="AL2227" s="313"/>
      <c r="AM2227" s="313"/>
      <c r="AN2227" s="313"/>
      <c r="AO2227" s="313"/>
      <c r="AP2227" s="313"/>
      <c r="AQ2227" s="314"/>
      <c r="AR2227" s="315" t="str">
        <f t="shared" si="108"/>
        <v/>
      </c>
    </row>
    <row r="2228" spans="37:44" ht="30" hidden="1" customHeight="1">
      <c r="AK2228" s="313"/>
      <c r="AL2228" s="313"/>
      <c r="AM2228" s="313"/>
      <c r="AN2228" s="313"/>
      <c r="AO2228" s="313"/>
      <c r="AP2228" s="313"/>
      <c r="AQ2228" s="314"/>
      <c r="AR2228" s="315" t="str">
        <f t="shared" si="108"/>
        <v/>
      </c>
    </row>
    <row r="2229" spans="37:44" ht="30" hidden="1" customHeight="1">
      <c r="AK2229" s="313"/>
      <c r="AL2229" s="313"/>
      <c r="AM2229" s="313"/>
      <c r="AN2229" s="313"/>
      <c r="AO2229" s="313"/>
      <c r="AP2229" s="313"/>
      <c r="AQ2229" s="314"/>
      <c r="AR2229" s="315" t="str">
        <f t="shared" si="108"/>
        <v/>
      </c>
    </row>
    <row r="2230" spans="37:44" ht="30" hidden="1" customHeight="1">
      <c r="AK2230" s="313"/>
      <c r="AL2230" s="313"/>
      <c r="AM2230" s="313"/>
      <c r="AN2230" s="313"/>
      <c r="AO2230" s="313"/>
      <c r="AP2230" s="313"/>
      <c r="AQ2230" s="314"/>
      <c r="AR2230" s="315" t="str">
        <f t="shared" si="108"/>
        <v/>
      </c>
    </row>
    <row r="2231" spans="37:44" ht="30" hidden="1" customHeight="1">
      <c r="AK2231" s="313"/>
      <c r="AL2231" s="313"/>
      <c r="AM2231" s="313"/>
      <c r="AN2231" s="313"/>
      <c r="AO2231" s="313"/>
      <c r="AP2231" s="313"/>
      <c r="AQ2231" s="314"/>
      <c r="AR2231" s="315" t="str">
        <f t="shared" si="108"/>
        <v/>
      </c>
    </row>
    <row r="2232" spans="37:44" ht="30" hidden="1" customHeight="1">
      <c r="AK2232" s="313"/>
      <c r="AL2232" s="313"/>
      <c r="AM2232" s="313"/>
      <c r="AN2232" s="313"/>
      <c r="AO2232" s="313"/>
      <c r="AP2232" s="313"/>
      <c r="AQ2232" s="314"/>
      <c r="AR2232" s="315" t="str">
        <f t="shared" si="108"/>
        <v/>
      </c>
    </row>
    <row r="2233" spans="37:44" ht="30" hidden="1" customHeight="1">
      <c r="AK2233" s="313"/>
      <c r="AL2233" s="313"/>
      <c r="AM2233" s="313"/>
      <c r="AN2233" s="313"/>
      <c r="AO2233" s="313"/>
      <c r="AP2233" s="313"/>
      <c r="AQ2233" s="314"/>
      <c r="AR2233" s="315" t="str">
        <f t="shared" si="108"/>
        <v/>
      </c>
    </row>
    <row r="2234" spans="37:44" ht="30" hidden="1" customHeight="1">
      <c r="AK2234" s="313"/>
      <c r="AL2234" s="313"/>
      <c r="AM2234" s="313"/>
      <c r="AN2234" s="313"/>
      <c r="AO2234" s="313"/>
      <c r="AP2234" s="313"/>
      <c r="AQ2234" s="314"/>
      <c r="AR2234" s="315" t="str">
        <f t="shared" si="108"/>
        <v/>
      </c>
    </row>
    <row r="2235" spans="37:44" ht="30" hidden="1" customHeight="1">
      <c r="AK2235" s="313"/>
      <c r="AL2235" s="313"/>
      <c r="AM2235" s="313"/>
      <c r="AN2235" s="313"/>
      <c r="AO2235" s="313"/>
      <c r="AP2235" s="313"/>
      <c r="AQ2235" s="314"/>
      <c r="AR2235" s="315" t="str">
        <f t="shared" si="108"/>
        <v/>
      </c>
    </row>
    <row r="2236" spans="37:44" ht="30" hidden="1" customHeight="1">
      <c r="AK2236" s="313"/>
      <c r="AL2236" s="313"/>
      <c r="AM2236" s="313"/>
      <c r="AN2236" s="313"/>
      <c r="AO2236" s="313"/>
      <c r="AP2236" s="313"/>
      <c r="AQ2236" s="314"/>
      <c r="AR2236" s="315" t="str">
        <f t="shared" si="108"/>
        <v/>
      </c>
    </row>
    <row r="2237" spans="37:44" ht="30" hidden="1" customHeight="1">
      <c r="AK2237" s="313"/>
      <c r="AL2237" s="313"/>
      <c r="AM2237" s="313"/>
      <c r="AN2237" s="313"/>
      <c r="AO2237" s="313"/>
      <c r="AP2237" s="313"/>
      <c r="AQ2237" s="314"/>
      <c r="AR2237" s="315" t="str">
        <f t="shared" si="108"/>
        <v/>
      </c>
    </row>
    <row r="2238" spans="37:44" ht="30" hidden="1" customHeight="1">
      <c r="AK2238" s="313"/>
      <c r="AL2238" s="313"/>
      <c r="AM2238" s="313"/>
      <c r="AN2238" s="313"/>
      <c r="AO2238" s="313"/>
      <c r="AP2238" s="313"/>
      <c r="AQ2238" s="314"/>
      <c r="AR2238" s="315" t="str">
        <f t="shared" si="108"/>
        <v/>
      </c>
    </row>
    <row r="2239" spans="37:44" ht="30" hidden="1" customHeight="1">
      <c r="AK2239" s="313"/>
      <c r="AL2239" s="313"/>
      <c r="AM2239" s="313"/>
      <c r="AN2239" s="313"/>
      <c r="AO2239" s="313"/>
      <c r="AP2239" s="313"/>
      <c r="AQ2239" s="314"/>
      <c r="AR2239" s="315" t="str">
        <f t="shared" ref="AR2239:AR2302" si="109">IF(AQ2239="SIM","AGUARDANDO CORREÇÃO",IF(AP2239&lt;&gt;"","FINALIZADO",IF(AO2239&lt;&gt;"","AGUARDANDO ENVIO DTS",IF(AN2239&lt;&gt;"","AGUARDANDO ASSINATURA GAB",IF(AM2239&lt;&gt;"","AGUARDANDO ASSINATURA CTS",IF(AL2239&lt;&gt;"","AGUARDANDO ENVIO ASSINATURA CTS",IF(AK2239&lt;&gt;"","AGUARDANDO CONFERÊNCIA","")))))))</f>
        <v/>
      </c>
    </row>
    <row r="2240" spans="37:44" ht="30" hidden="1" customHeight="1">
      <c r="AK2240" s="313"/>
      <c r="AL2240" s="313"/>
      <c r="AM2240" s="313"/>
      <c r="AN2240" s="313"/>
      <c r="AO2240" s="313"/>
      <c r="AP2240" s="313"/>
      <c r="AQ2240" s="314"/>
      <c r="AR2240" s="315" t="str">
        <f t="shared" si="109"/>
        <v/>
      </c>
    </row>
    <row r="2241" spans="37:44" ht="30" hidden="1" customHeight="1">
      <c r="AK2241" s="313"/>
      <c r="AL2241" s="313"/>
      <c r="AM2241" s="313"/>
      <c r="AN2241" s="313"/>
      <c r="AO2241" s="313"/>
      <c r="AP2241" s="313"/>
      <c r="AQ2241" s="314"/>
      <c r="AR2241" s="315" t="str">
        <f t="shared" si="109"/>
        <v/>
      </c>
    </row>
    <row r="2242" spans="37:44" ht="30" hidden="1" customHeight="1">
      <c r="AK2242" s="313"/>
      <c r="AL2242" s="313"/>
      <c r="AM2242" s="313"/>
      <c r="AN2242" s="313"/>
      <c r="AO2242" s="313"/>
      <c r="AP2242" s="313"/>
      <c r="AQ2242" s="314"/>
      <c r="AR2242" s="315" t="str">
        <f t="shared" si="109"/>
        <v/>
      </c>
    </row>
    <row r="2243" spans="37:44" ht="30" hidden="1" customHeight="1">
      <c r="AK2243" s="313"/>
      <c r="AL2243" s="313"/>
      <c r="AM2243" s="313"/>
      <c r="AN2243" s="313"/>
      <c r="AO2243" s="313"/>
      <c r="AP2243" s="313"/>
      <c r="AQ2243" s="314"/>
      <c r="AR2243" s="315" t="str">
        <f t="shared" si="109"/>
        <v/>
      </c>
    </row>
    <row r="2244" spans="37:44" ht="30" hidden="1" customHeight="1">
      <c r="AK2244" s="313"/>
      <c r="AL2244" s="313"/>
      <c r="AM2244" s="313"/>
      <c r="AN2244" s="313"/>
      <c r="AO2244" s="313"/>
      <c r="AP2244" s="313"/>
      <c r="AQ2244" s="314"/>
      <c r="AR2244" s="315" t="str">
        <f t="shared" si="109"/>
        <v/>
      </c>
    </row>
    <row r="2245" spans="37:44" ht="30" hidden="1" customHeight="1">
      <c r="AK2245" s="313"/>
      <c r="AL2245" s="313"/>
      <c r="AM2245" s="313"/>
      <c r="AN2245" s="313"/>
      <c r="AO2245" s="313"/>
      <c r="AP2245" s="313"/>
      <c r="AQ2245" s="314"/>
      <c r="AR2245" s="315" t="str">
        <f t="shared" si="109"/>
        <v/>
      </c>
    </row>
    <row r="2246" spans="37:44" ht="30" hidden="1" customHeight="1">
      <c r="AK2246" s="313"/>
      <c r="AL2246" s="313"/>
      <c r="AM2246" s="313"/>
      <c r="AN2246" s="313"/>
      <c r="AO2246" s="313"/>
      <c r="AP2246" s="313"/>
      <c r="AQ2246" s="314"/>
      <c r="AR2246" s="315" t="str">
        <f t="shared" si="109"/>
        <v/>
      </c>
    </row>
    <row r="2247" spans="37:44" ht="30" hidden="1" customHeight="1">
      <c r="AK2247" s="313"/>
      <c r="AL2247" s="313"/>
      <c r="AM2247" s="313"/>
      <c r="AN2247" s="313"/>
      <c r="AO2247" s="313"/>
      <c r="AP2247" s="313"/>
      <c r="AQ2247" s="314"/>
      <c r="AR2247" s="315" t="str">
        <f t="shared" si="109"/>
        <v/>
      </c>
    </row>
    <row r="2248" spans="37:44" ht="30" hidden="1" customHeight="1">
      <c r="AK2248" s="313"/>
      <c r="AL2248" s="313"/>
      <c r="AM2248" s="313"/>
      <c r="AN2248" s="313"/>
      <c r="AO2248" s="313"/>
      <c r="AP2248" s="313"/>
      <c r="AQ2248" s="314"/>
      <c r="AR2248" s="315" t="str">
        <f t="shared" si="109"/>
        <v/>
      </c>
    </row>
    <row r="2249" spans="37:44" ht="30" hidden="1" customHeight="1">
      <c r="AK2249" s="313"/>
      <c r="AL2249" s="313"/>
      <c r="AM2249" s="313"/>
      <c r="AN2249" s="313"/>
      <c r="AO2249" s="313"/>
      <c r="AP2249" s="313"/>
      <c r="AQ2249" s="314"/>
      <c r="AR2249" s="315" t="str">
        <f t="shared" si="109"/>
        <v/>
      </c>
    </row>
    <row r="2250" spans="37:44" ht="30" hidden="1" customHeight="1">
      <c r="AK2250" s="313"/>
      <c r="AL2250" s="313"/>
      <c r="AM2250" s="313"/>
      <c r="AN2250" s="313"/>
      <c r="AO2250" s="313"/>
      <c r="AP2250" s="313"/>
      <c r="AQ2250" s="314"/>
      <c r="AR2250" s="315" t="str">
        <f t="shared" si="109"/>
        <v/>
      </c>
    </row>
    <row r="2251" spans="37:44" ht="30" hidden="1" customHeight="1">
      <c r="AK2251" s="313"/>
      <c r="AL2251" s="313"/>
      <c r="AM2251" s="313"/>
      <c r="AN2251" s="313"/>
      <c r="AO2251" s="313"/>
      <c r="AP2251" s="313"/>
      <c r="AQ2251" s="314"/>
      <c r="AR2251" s="315" t="str">
        <f t="shared" si="109"/>
        <v/>
      </c>
    </row>
    <row r="2252" spans="37:44" ht="30" hidden="1" customHeight="1">
      <c r="AK2252" s="313"/>
      <c r="AL2252" s="313"/>
      <c r="AM2252" s="313"/>
      <c r="AN2252" s="313"/>
      <c r="AO2252" s="313"/>
      <c r="AP2252" s="313"/>
      <c r="AQ2252" s="314"/>
      <c r="AR2252" s="315" t="str">
        <f t="shared" si="109"/>
        <v/>
      </c>
    </row>
    <row r="2253" spans="37:44" ht="30" hidden="1" customHeight="1">
      <c r="AK2253" s="313"/>
      <c r="AL2253" s="313"/>
      <c r="AM2253" s="313"/>
      <c r="AN2253" s="313"/>
      <c r="AO2253" s="313"/>
      <c r="AP2253" s="313"/>
      <c r="AQ2253" s="314"/>
      <c r="AR2253" s="315" t="str">
        <f t="shared" si="109"/>
        <v/>
      </c>
    </row>
    <row r="2254" spans="37:44" ht="30" hidden="1" customHeight="1">
      <c r="AK2254" s="313"/>
      <c r="AL2254" s="313"/>
      <c r="AM2254" s="313"/>
      <c r="AN2254" s="313"/>
      <c r="AO2254" s="313"/>
      <c r="AP2254" s="313"/>
      <c r="AQ2254" s="314"/>
      <c r="AR2254" s="315" t="str">
        <f t="shared" si="109"/>
        <v/>
      </c>
    </row>
    <row r="2255" spans="37:44" ht="30" hidden="1" customHeight="1">
      <c r="AK2255" s="313"/>
      <c r="AL2255" s="313"/>
      <c r="AM2255" s="313"/>
      <c r="AN2255" s="313"/>
      <c r="AO2255" s="313"/>
      <c r="AP2255" s="313"/>
      <c r="AQ2255" s="314"/>
      <c r="AR2255" s="315" t="str">
        <f t="shared" si="109"/>
        <v/>
      </c>
    </row>
    <row r="2256" spans="37:44" ht="30" hidden="1" customHeight="1">
      <c r="AK2256" s="313"/>
      <c r="AL2256" s="313"/>
      <c r="AM2256" s="313"/>
      <c r="AN2256" s="313"/>
      <c r="AO2256" s="313"/>
      <c r="AP2256" s="313"/>
      <c r="AQ2256" s="314"/>
      <c r="AR2256" s="315" t="str">
        <f t="shared" si="109"/>
        <v/>
      </c>
    </row>
    <row r="2257" spans="37:44" ht="30" hidden="1" customHeight="1">
      <c r="AK2257" s="313"/>
      <c r="AL2257" s="313"/>
      <c r="AM2257" s="313"/>
      <c r="AN2257" s="313"/>
      <c r="AO2257" s="313"/>
      <c r="AP2257" s="313"/>
      <c r="AQ2257" s="314"/>
      <c r="AR2257" s="315" t="str">
        <f t="shared" si="109"/>
        <v/>
      </c>
    </row>
    <row r="2258" spans="37:44" ht="30" hidden="1" customHeight="1">
      <c r="AK2258" s="313"/>
      <c r="AL2258" s="313"/>
      <c r="AM2258" s="313"/>
      <c r="AN2258" s="313"/>
      <c r="AO2258" s="313"/>
      <c r="AP2258" s="313"/>
      <c r="AQ2258" s="314"/>
      <c r="AR2258" s="315" t="str">
        <f t="shared" si="109"/>
        <v/>
      </c>
    </row>
    <row r="2259" spans="37:44" ht="30" hidden="1" customHeight="1">
      <c r="AK2259" s="313"/>
      <c r="AL2259" s="313"/>
      <c r="AM2259" s="313"/>
      <c r="AN2259" s="313"/>
      <c r="AO2259" s="313"/>
      <c r="AP2259" s="313"/>
      <c r="AQ2259" s="314"/>
      <c r="AR2259" s="315" t="str">
        <f t="shared" si="109"/>
        <v/>
      </c>
    </row>
    <row r="2260" spans="37:44" ht="30" hidden="1" customHeight="1">
      <c r="AK2260" s="313"/>
      <c r="AL2260" s="313"/>
      <c r="AM2260" s="313"/>
      <c r="AN2260" s="313"/>
      <c r="AO2260" s="313"/>
      <c r="AP2260" s="313"/>
      <c r="AQ2260" s="314"/>
      <c r="AR2260" s="315" t="str">
        <f t="shared" si="109"/>
        <v/>
      </c>
    </row>
    <row r="2261" spans="37:44" ht="30" hidden="1" customHeight="1">
      <c r="AK2261" s="313"/>
      <c r="AL2261" s="313"/>
      <c r="AM2261" s="313"/>
      <c r="AN2261" s="313"/>
      <c r="AO2261" s="313"/>
      <c r="AP2261" s="313"/>
      <c r="AQ2261" s="314"/>
      <c r="AR2261" s="315" t="str">
        <f t="shared" si="109"/>
        <v/>
      </c>
    </row>
    <row r="2262" spans="37:44" ht="30" hidden="1" customHeight="1">
      <c r="AK2262" s="313"/>
      <c r="AL2262" s="313"/>
      <c r="AM2262" s="313"/>
      <c r="AN2262" s="313"/>
      <c r="AO2262" s="313"/>
      <c r="AP2262" s="313"/>
      <c r="AQ2262" s="314"/>
      <c r="AR2262" s="315" t="str">
        <f t="shared" si="109"/>
        <v/>
      </c>
    </row>
    <row r="2263" spans="37:44" ht="30" hidden="1" customHeight="1">
      <c r="AK2263" s="313"/>
      <c r="AL2263" s="313"/>
      <c r="AM2263" s="313"/>
      <c r="AN2263" s="313"/>
      <c r="AO2263" s="313"/>
      <c r="AP2263" s="313"/>
      <c r="AQ2263" s="314"/>
      <c r="AR2263" s="315" t="str">
        <f t="shared" si="109"/>
        <v/>
      </c>
    </row>
    <row r="2264" spans="37:44" ht="30" hidden="1" customHeight="1">
      <c r="AK2264" s="313"/>
      <c r="AL2264" s="313"/>
      <c r="AM2264" s="313"/>
      <c r="AN2264" s="313"/>
      <c r="AO2264" s="313"/>
      <c r="AP2264" s="313"/>
      <c r="AQ2264" s="314"/>
      <c r="AR2264" s="315" t="str">
        <f t="shared" si="109"/>
        <v/>
      </c>
    </row>
    <row r="2265" spans="37:44" ht="30" hidden="1" customHeight="1">
      <c r="AK2265" s="313"/>
      <c r="AL2265" s="313"/>
      <c r="AM2265" s="313"/>
      <c r="AN2265" s="313"/>
      <c r="AO2265" s="313"/>
      <c r="AP2265" s="313"/>
      <c r="AQ2265" s="314"/>
      <c r="AR2265" s="315" t="str">
        <f t="shared" si="109"/>
        <v/>
      </c>
    </row>
    <row r="2266" spans="37:44" ht="30" hidden="1" customHeight="1">
      <c r="AK2266" s="313"/>
      <c r="AL2266" s="313"/>
      <c r="AM2266" s="313"/>
      <c r="AN2266" s="313"/>
      <c r="AO2266" s="313"/>
      <c r="AP2266" s="313"/>
      <c r="AQ2266" s="314"/>
      <c r="AR2266" s="315" t="str">
        <f t="shared" si="109"/>
        <v/>
      </c>
    </row>
    <row r="2267" spans="37:44" ht="30" hidden="1" customHeight="1">
      <c r="AK2267" s="313"/>
      <c r="AL2267" s="313"/>
      <c r="AM2267" s="313"/>
      <c r="AN2267" s="313"/>
      <c r="AO2267" s="313"/>
      <c r="AP2267" s="313"/>
      <c r="AQ2267" s="314"/>
      <c r="AR2267" s="315" t="str">
        <f t="shared" si="109"/>
        <v/>
      </c>
    </row>
    <row r="2268" spans="37:44" ht="30" hidden="1" customHeight="1">
      <c r="AK2268" s="313"/>
      <c r="AL2268" s="313"/>
      <c r="AM2268" s="313"/>
      <c r="AN2268" s="313"/>
      <c r="AO2268" s="313"/>
      <c r="AP2268" s="313"/>
      <c r="AQ2268" s="314"/>
      <c r="AR2268" s="315" t="str">
        <f t="shared" si="109"/>
        <v/>
      </c>
    </row>
    <row r="2269" spans="37:44" ht="30" hidden="1" customHeight="1">
      <c r="AK2269" s="313"/>
      <c r="AL2269" s="313"/>
      <c r="AM2269" s="313"/>
      <c r="AN2269" s="313"/>
      <c r="AO2269" s="313"/>
      <c r="AP2269" s="313"/>
      <c r="AQ2269" s="314"/>
      <c r="AR2269" s="315" t="str">
        <f t="shared" si="109"/>
        <v/>
      </c>
    </row>
    <row r="2270" spans="37:44" ht="30" hidden="1" customHeight="1">
      <c r="AK2270" s="313"/>
      <c r="AL2270" s="313"/>
      <c r="AM2270" s="313"/>
      <c r="AN2270" s="313"/>
      <c r="AO2270" s="313"/>
      <c r="AP2270" s="313"/>
      <c r="AQ2270" s="314"/>
      <c r="AR2270" s="315" t="str">
        <f t="shared" si="109"/>
        <v/>
      </c>
    </row>
    <row r="2271" spans="37:44" ht="30" hidden="1" customHeight="1">
      <c r="AK2271" s="313"/>
      <c r="AL2271" s="313"/>
      <c r="AM2271" s="313"/>
      <c r="AN2271" s="313"/>
      <c r="AO2271" s="313"/>
      <c r="AP2271" s="313"/>
      <c r="AQ2271" s="314"/>
      <c r="AR2271" s="315" t="str">
        <f t="shared" si="109"/>
        <v/>
      </c>
    </row>
    <row r="2272" spans="37:44" ht="30" hidden="1" customHeight="1">
      <c r="AK2272" s="313"/>
      <c r="AL2272" s="313"/>
      <c r="AM2272" s="313"/>
      <c r="AN2272" s="313"/>
      <c r="AO2272" s="313"/>
      <c r="AP2272" s="313"/>
      <c r="AQ2272" s="314"/>
      <c r="AR2272" s="315" t="str">
        <f t="shared" si="109"/>
        <v/>
      </c>
    </row>
    <row r="2273" spans="37:44" ht="30" hidden="1" customHeight="1">
      <c r="AK2273" s="313"/>
      <c r="AL2273" s="313"/>
      <c r="AM2273" s="313"/>
      <c r="AN2273" s="313"/>
      <c r="AO2273" s="313"/>
      <c r="AP2273" s="313"/>
      <c r="AQ2273" s="314"/>
      <c r="AR2273" s="315" t="str">
        <f t="shared" si="109"/>
        <v/>
      </c>
    </row>
    <row r="2274" spans="37:44" ht="30" hidden="1" customHeight="1">
      <c r="AK2274" s="313"/>
      <c r="AL2274" s="313"/>
      <c r="AM2274" s="313"/>
      <c r="AN2274" s="313"/>
      <c r="AO2274" s="313"/>
      <c r="AP2274" s="313"/>
      <c r="AQ2274" s="314"/>
      <c r="AR2274" s="315" t="str">
        <f t="shared" si="109"/>
        <v/>
      </c>
    </row>
    <row r="2275" spans="37:44" ht="30" hidden="1" customHeight="1">
      <c r="AK2275" s="313"/>
      <c r="AL2275" s="313"/>
      <c r="AM2275" s="313"/>
      <c r="AN2275" s="313"/>
      <c r="AO2275" s="313"/>
      <c r="AP2275" s="313"/>
      <c r="AQ2275" s="314"/>
      <c r="AR2275" s="315" t="str">
        <f t="shared" si="109"/>
        <v/>
      </c>
    </row>
    <row r="2276" spans="37:44" ht="30" hidden="1" customHeight="1">
      <c r="AK2276" s="313"/>
      <c r="AL2276" s="313"/>
      <c r="AM2276" s="313"/>
      <c r="AN2276" s="313"/>
      <c r="AO2276" s="313"/>
      <c r="AP2276" s="313"/>
      <c r="AQ2276" s="314"/>
      <c r="AR2276" s="315" t="str">
        <f t="shared" si="109"/>
        <v/>
      </c>
    </row>
    <row r="2277" spans="37:44" ht="30" hidden="1" customHeight="1">
      <c r="AK2277" s="313"/>
      <c r="AL2277" s="313"/>
      <c r="AM2277" s="313"/>
      <c r="AN2277" s="313"/>
      <c r="AO2277" s="313"/>
      <c r="AP2277" s="313"/>
      <c r="AQ2277" s="314"/>
      <c r="AR2277" s="315" t="str">
        <f t="shared" si="109"/>
        <v/>
      </c>
    </row>
    <row r="2278" spans="37:44" ht="30" hidden="1" customHeight="1">
      <c r="AK2278" s="313"/>
      <c r="AL2278" s="313"/>
      <c r="AM2278" s="313"/>
      <c r="AN2278" s="313"/>
      <c r="AO2278" s="313"/>
      <c r="AP2278" s="313"/>
      <c r="AQ2278" s="314"/>
      <c r="AR2278" s="315" t="str">
        <f t="shared" si="109"/>
        <v/>
      </c>
    </row>
    <row r="2279" spans="37:44" ht="30" hidden="1" customHeight="1">
      <c r="AK2279" s="313"/>
      <c r="AL2279" s="313"/>
      <c r="AM2279" s="313"/>
      <c r="AN2279" s="313"/>
      <c r="AO2279" s="313"/>
      <c r="AP2279" s="313"/>
      <c r="AQ2279" s="314"/>
      <c r="AR2279" s="315" t="str">
        <f t="shared" si="109"/>
        <v/>
      </c>
    </row>
    <row r="2280" spans="37:44" ht="30" hidden="1" customHeight="1">
      <c r="AK2280" s="313"/>
      <c r="AL2280" s="313"/>
      <c r="AM2280" s="313"/>
      <c r="AN2280" s="313"/>
      <c r="AO2280" s="313"/>
      <c r="AP2280" s="313"/>
      <c r="AQ2280" s="314"/>
      <c r="AR2280" s="315" t="str">
        <f t="shared" si="109"/>
        <v/>
      </c>
    </row>
    <row r="2281" spans="37:44" ht="30" hidden="1" customHeight="1">
      <c r="AK2281" s="313"/>
      <c r="AL2281" s="313"/>
      <c r="AM2281" s="313"/>
      <c r="AN2281" s="313"/>
      <c r="AO2281" s="313"/>
      <c r="AP2281" s="313"/>
      <c r="AQ2281" s="314"/>
      <c r="AR2281" s="315" t="str">
        <f t="shared" si="109"/>
        <v/>
      </c>
    </row>
    <row r="2282" spans="37:44" ht="30" hidden="1" customHeight="1">
      <c r="AK2282" s="313"/>
      <c r="AL2282" s="313"/>
      <c r="AM2282" s="313"/>
      <c r="AN2282" s="313"/>
      <c r="AO2282" s="313"/>
      <c r="AP2282" s="313"/>
      <c r="AQ2282" s="314"/>
      <c r="AR2282" s="315" t="str">
        <f t="shared" si="109"/>
        <v/>
      </c>
    </row>
    <row r="2283" spans="37:44" ht="30" hidden="1" customHeight="1">
      <c r="AK2283" s="313"/>
      <c r="AL2283" s="313"/>
      <c r="AM2283" s="313"/>
      <c r="AN2283" s="313"/>
      <c r="AO2283" s="313"/>
      <c r="AP2283" s="313"/>
      <c r="AQ2283" s="314"/>
      <c r="AR2283" s="315" t="str">
        <f t="shared" si="109"/>
        <v/>
      </c>
    </row>
    <row r="2284" spans="37:44" ht="30" hidden="1" customHeight="1">
      <c r="AK2284" s="313"/>
      <c r="AL2284" s="313"/>
      <c r="AM2284" s="313"/>
      <c r="AN2284" s="313"/>
      <c r="AO2284" s="313"/>
      <c r="AP2284" s="313"/>
      <c r="AQ2284" s="314"/>
      <c r="AR2284" s="315" t="str">
        <f t="shared" si="109"/>
        <v/>
      </c>
    </row>
    <row r="2285" spans="37:44" ht="30" hidden="1" customHeight="1">
      <c r="AK2285" s="313"/>
      <c r="AL2285" s="313"/>
      <c r="AM2285" s="313"/>
      <c r="AN2285" s="313"/>
      <c r="AO2285" s="313"/>
      <c r="AP2285" s="313"/>
      <c r="AQ2285" s="314"/>
      <c r="AR2285" s="315" t="str">
        <f t="shared" si="109"/>
        <v/>
      </c>
    </row>
    <row r="2286" spans="37:44" ht="30" hidden="1" customHeight="1">
      <c r="AK2286" s="313"/>
      <c r="AL2286" s="313"/>
      <c r="AM2286" s="313"/>
      <c r="AN2286" s="313"/>
      <c r="AO2286" s="313"/>
      <c r="AP2286" s="313"/>
      <c r="AQ2286" s="314"/>
      <c r="AR2286" s="315" t="str">
        <f t="shared" si="109"/>
        <v/>
      </c>
    </row>
    <row r="2287" spans="37:44" ht="30" hidden="1" customHeight="1">
      <c r="AK2287" s="313"/>
      <c r="AL2287" s="313"/>
      <c r="AM2287" s="313"/>
      <c r="AN2287" s="313"/>
      <c r="AO2287" s="313"/>
      <c r="AP2287" s="313"/>
      <c r="AQ2287" s="314"/>
      <c r="AR2287" s="315" t="str">
        <f t="shared" si="109"/>
        <v/>
      </c>
    </row>
    <row r="2288" spans="37:44" ht="30" hidden="1" customHeight="1">
      <c r="AK2288" s="313"/>
      <c r="AL2288" s="313"/>
      <c r="AM2288" s="313"/>
      <c r="AN2288" s="313"/>
      <c r="AO2288" s="313"/>
      <c r="AP2288" s="313"/>
      <c r="AQ2288" s="314"/>
      <c r="AR2288" s="315" t="str">
        <f t="shared" si="109"/>
        <v/>
      </c>
    </row>
    <row r="2289" spans="37:44" ht="30" hidden="1" customHeight="1">
      <c r="AK2289" s="313"/>
      <c r="AL2289" s="313"/>
      <c r="AM2289" s="313"/>
      <c r="AN2289" s="313"/>
      <c r="AO2289" s="313"/>
      <c r="AP2289" s="313"/>
      <c r="AQ2289" s="314"/>
      <c r="AR2289" s="315" t="str">
        <f t="shared" si="109"/>
        <v/>
      </c>
    </row>
    <row r="2290" spans="37:44" ht="30" hidden="1" customHeight="1">
      <c r="AK2290" s="313"/>
      <c r="AL2290" s="313"/>
      <c r="AM2290" s="313"/>
      <c r="AN2290" s="313"/>
      <c r="AO2290" s="313"/>
      <c r="AP2290" s="313"/>
      <c r="AQ2290" s="314"/>
      <c r="AR2290" s="315" t="str">
        <f t="shared" si="109"/>
        <v/>
      </c>
    </row>
    <row r="2291" spans="37:44" ht="30" hidden="1" customHeight="1">
      <c r="AK2291" s="313"/>
      <c r="AL2291" s="313"/>
      <c r="AM2291" s="313"/>
      <c r="AN2291" s="313"/>
      <c r="AO2291" s="313"/>
      <c r="AP2291" s="313"/>
      <c r="AQ2291" s="314"/>
      <c r="AR2291" s="315" t="str">
        <f t="shared" si="109"/>
        <v/>
      </c>
    </row>
    <row r="2292" spans="37:44" ht="30" hidden="1" customHeight="1">
      <c r="AK2292" s="313"/>
      <c r="AL2292" s="313"/>
      <c r="AM2292" s="313"/>
      <c r="AN2292" s="313"/>
      <c r="AO2292" s="313"/>
      <c r="AP2292" s="313"/>
      <c r="AQ2292" s="314"/>
      <c r="AR2292" s="315" t="str">
        <f t="shared" si="109"/>
        <v/>
      </c>
    </row>
    <row r="2293" spans="37:44" ht="30" hidden="1" customHeight="1">
      <c r="AK2293" s="313"/>
      <c r="AL2293" s="313"/>
      <c r="AM2293" s="313"/>
      <c r="AN2293" s="313"/>
      <c r="AO2293" s="313"/>
      <c r="AP2293" s="313"/>
      <c r="AQ2293" s="314"/>
      <c r="AR2293" s="315" t="str">
        <f t="shared" si="109"/>
        <v/>
      </c>
    </row>
    <row r="2294" spans="37:44" ht="30" hidden="1" customHeight="1">
      <c r="AK2294" s="313"/>
      <c r="AL2294" s="313"/>
      <c r="AM2294" s="313"/>
      <c r="AN2294" s="313"/>
      <c r="AO2294" s="313"/>
      <c r="AP2294" s="313"/>
      <c r="AQ2294" s="314"/>
      <c r="AR2294" s="315" t="str">
        <f t="shared" si="109"/>
        <v/>
      </c>
    </row>
    <row r="2295" spans="37:44" ht="30" hidden="1" customHeight="1">
      <c r="AK2295" s="313"/>
      <c r="AL2295" s="313"/>
      <c r="AM2295" s="313"/>
      <c r="AN2295" s="313"/>
      <c r="AO2295" s="313"/>
      <c r="AP2295" s="313"/>
      <c r="AQ2295" s="314"/>
      <c r="AR2295" s="315" t="str">
        <f t="shared" si="109"/>
        <v/>
      </c>
    </row>
    <row r="2296" spans="37:44" ht="30" hidden="1" customHeight="1">
      <c r="AK2296" s="313"/>
      <c r="AL2296" s="313"/>
      <c r="AM2296" s="313"/>
      <c r="AN2296" s="313"/>
      <c r="AO2296" s="313"/>
      <c r="AP2296" s="313"/>
      <c r="AQ2296" s="314"/>
      <c r="AR2296" s="315" t="str">
        <f t="shared" si="109"/>
        <v/>
      </c>
    </row>
    <row r="2297" spans="37:44" ht="30" hidden="1" customHeight="1">
      <c r="AK2297" s="313"/>
      <c r="AL2297" s="313"/>
      <c r="AM2297" s="313"/>
      <c r="AN2297" s="313"/>
      <c r="AO2297" s="313"/>
      <c r="AP2297" s="313"/>
      <c r="AQ2297" s="314"/>
      <c r="AR2297" s="315" t="str">
        <f t="shared" si="109"/>
        <v/>
      </c>
    </row>
    <row r="2298" spans="37:44" ht="30" hidden="1" customHeight="1">
      <c r="AK2298" s="313"/>
      <c r="AL2298" s="313"/>
      <c r="AM2298" s="313"/>
      <c r="AN2298" s="313"/>
      <c r="AO2298" s="313"/>
      <c r="AP2298" s="313"/>
      <c r="AQ2298" s="314"/>
      <c r="AR2298" s="315" t="str">
        <f t="shared" si="109"/>
        <v/>
      </c>
    </row>
    <row r="2299" spans="37:44" ht="30" hidden="1" customHeight="1">
      <c r="AK2299" s="313"/>
      <c r="AL2299" s="313"/>
      <c r="AM2299" s="313"/>
      <c r="AN2299" s="313"/>
      <c r="AO2299" s="313"/>
      <c r="AP2299" s="313"/>
      <c r="AQ2299" s="314"/>
      <c r="AR2299" s="315" t="str">
        <f t="shared" si="109"/>
        <v/>
      </c>
    </row>
    <row r="2300" spans="37:44" ht="30" hidden="1" customHeight="1">
      <c r="AK2300" s="313"/>
      <c r="AL2300" s="313"/>
      <c r="AM2300" s="313"/>
      <c r="AN2300" s="313"/>
      <c r="AO2300" s="313"/>
      <c r="AP2300" s="313"/>
      <c r="AQ2300" s="314"/>
      <c r="AR2300" s="315" t="str">
        <f t="shared" si="109"/>
        <v/>
      </c>
    </row>
    <row r="2301" spans="37:44" ht="30" hidden="1" customHeight="1">
      <c r="AK2301" s="313"/>
      <c r="AL2301" s="313"/>
      <c r="AM2301" s="313"/>
      <c r="AN2301" s="313"/>
      <c r="AO2301" s="313"/>
      <c r="AP2301" s="313"/>
      <c r="AQ2301" s="314"/>
      <c r="AR2301" s="315" t="str">
        <f t="shared" si="109"/>
        <v/>
      </c>
    </row>
    <row r="2302" spans="37:44" ht="30" hidden="1" customHeight="1">
      <c r="AK2302" s="313"/>
      <c r="AL2302" s="313"/>
      <c r="AM2302" s="313"/>
      <c r="AN2302" s="313"/>
      <c r="AO2302" s="313"/>
      <c r="AP2302" s="313"/>
      <c r="AQ2302" s="314"/>
      <c r="AR2302" s="315" t="str">
        <f t="shared" si="109"/>
        <v/>
      </c>
    </row>
    <row r="2303" spans="37:44" ht="30" hidden="1" customHeight="1">
      <c r="AK2303" s="313"/>
      <c r="AL2303" s="313"/>
      <c r="AM2303" s="313"/>
      <c r="AN2303" s="313"/>
      <c r="AO2303" s="313"/>
      <c r="AP2303" s="313"/>
      <c r="AQ2303" s="314"/>
      <c r="AR2303" s="315" t="str">
        <f t="shared" ref="AR2303:AR2366" si="110">IF(AQ2303="SIM","AGUARDANDO CORREÇÃO",IF(AP2303&lt;&gt;"","FINALIZADO",IF(AO2303&lt;&gt;"","AGUARDANDO ENVIO DTS",IF(AN2303&lt;&gt;"","AGUARDANDO ASSINATURA GAB",IF(AM2303&lt;&gt;"","AGUARDANDO ASSINATURA CTS",IF(AL2303&lt;&gt;"","AGUARDANDO ENVIO ASSINATURA CTS",IF(AK2303&lt;&gt;"","AGUARDANDO CONFERÊNCIA","")))))))</f>
        <v/>
      </c>
    </row>
    <row r="2304" spans="37:44" ht="30" hidden="1" customHeight="1">
      <c r="AK2304" s="313"/>
      <c r="AL2304" s="313"/>
      <c r="AM2304" s="313"/>
      <c r="AN2304" s="313"/>
      <c r="AO2304" s="313"/>
      <c r="AP2304" s="313"/>
      <c r="AQ2304" s="314"/>
      <c r="AR2304" s="315" t="str">
        <f t="shared" si="110"/>
        <v/>
      </c>
    </row>
    <row r="2305" spans="37:44" ht="30" hidden="1" customHeight="1">
      <c r="AK2305" s="313"/>
      <c r="AL2305" s="313"/>
      <c r="AM2305" s="313"/>
      <c r="AN2305" s="313"/>
      <c r="AO2305" s="313"/>
      <c r="AP2305" s="313"/>
      <c r="AQ2305" s="314"/>
      <c r="AR2305" s="315" t="str">
        <f t="shared" si="110"/>
        <v/>
      </c>
    </row>
    <row r="2306" spans="37:44" ht="30" hidden="1" customHeight="1">
      <c r="AK2306" s="313"/>
      <c r="AL2306" s="313"/>
      <c r="AM2306" s="313"/>
      <c r="AN2306" s="313"/>
      <c r="AO2306" s="313"/>
      <c r="AP2306" s="313"/>
      <c r="AQ2306" s="314"/>
      <c r="AR2306" s="315" t="str">
        <f t="shared" si="110"/>
        <v/>
      </c>
    </row>
    <row r="2307" spans="37:44" ht="30" hidden="1" customHeight="1">
      <c r="AK2307" s="313"/>
      <c r="AL2307" s="313"/>
      <c r="AM2307" s="313"/>
      <c r="AN2307" s="313"/>
      <c r="AO2307" s="313"/>
      <c r="AP2307" s="313"/>
      <c r="AQ2307" s="314"/>
      <c r="AR2307" s="315" t="str">
        <f t="shared" si="110"/>
        <v/>
      </c>
    </row>
    <row r="2308" spans="37:44" ht="30" hidden="1" customHeight="1">
      <c r="AK2308" s="313"/>
      <c r="AL2308" s="313"/>
      <c r="AM2308" s="313"/>
      <c r="AN2308" s="313"/>
      <c r="AO2308" s="313"/>
      <c r="AP2308" s="313"/>
      <c r="AQ2308" s="314"/>
      <c r="AR2308" s="315" t="str">
        <f t="shared" si="110"/>
        <v/>
      </c>
    </row>
    <row r="2309" spans="37:44" ht="30" hidden="1" customHeight="1">
      <c r="AK2309" s="313"/>
      <c r="AL2309" s="313"/>
      <c r="AM2309" s="313"/>
      <c r="AN2309" s="313"/>
      <c r="AO2309" s="313"/>
      <c r="AP2309" s="313"/>
      <c r="AQ2309" s="314"/>
      <c r="AR2309" s="315" t="str">
        <f t="shared" si="110"/>
        <v/>
      </c>
    </row>
    <row r="2310" spans="37:44" ht="30" hidden="1" customHeight="1">
      <c r="AK2310" s="313"/>
      <c r="AL2310" s="313"/>
      <c r="AM2310" s="313"/>
      <c r="AN2310" s="313"/>
      <c r="AO2310" s="313"/>
      <c r="AP2310" s="313"/>
      <c r="AQ2310" s="314"/>
      <c r="AR2310" s="315" t="str">
        <f t="shared" si="110"/>
        <v/>
      </c>
    </row>
    <row r="2311" spans="37:44" ht="30" hidden="1" customHeight="1">
      <c r="AK2311" s="313"/>
      <c r="AL2311" s="313"/>
      <c r="AM2311" s="313"/>
      <c r="AN2311" s="313"/>
      <c r="AO2311" s="313"/>
      <c r="AP2311" s="313"/>
      <c r="AQ2311" s="314"/>
      <c r="AR2311" s="315" t="str">
        <f t="shared" si="110"/>
        <v/>
      </c>
    </row>
    <row r="2312" spans="37:44" ht="30" hidden="1" customHeight="1">
      <c r="AK2312" s="313"/>
      <c r="AL2312" s="313"/>
      <c r="AM2312" s="313"/>
      <c r="AN2312" s="313"/>
      <c r="AO2312" s="313"/>
      <c r="AP2312" s="313"/>
      <c r="AQ2312" s="314"/>
      <c r="AR2312" s="315" t="str">
        <f t="shared" si="110"/>
        <v/>
      </c>
    </row>
    <row r="2313" spans="37:44" ht="30" hidden="1" customHeight="1">
      <c r="AK2313" s="313"/>
      <c r="AL2313" s="313"/>
      <c r="AM2313" s="313"/>
      <c r="AN2313" s="313"/>
      <c r="AO2313" s="313"/>
      <c r="AP2313" s="313"/>
      <c r="AQ2313" s="314"/>
      <c r="AR2313" s="315" t="str">
        <f t="shared" si="110"/>
        <v/>
      </c>
    </row>
    <row r="2314" spans="37:44" ht="30" hidden="1" customHeight="1">
      <c r="AK2314" s="313"/>
      <c r="AL2314" s="313"/>
      <c r="AM2314" s="313"/>
      <c r="AN2314" s="313"/>
      <c r="AO2314" s="313"/>
      <c r="AP2314" s="313"/>
      <c r="AQ2314" s="314"/>
      <c r="AR2314" s="315" t="str">
        <f t="shared" si="110"/>
        <v/>
      </c>
    </row>
    <row r="2315" spans="37:44" ht="30" hidden="1" customHeight="1">
      <c r="AK2315" s="313"/>
      <c r="AL2315" s="313"/>
      <c r="AM2315" s="313"/>
      <c r="AN2315" s="313"/>
      <c r="AO2315" s="313"/>
      <c r="AP2315" s="313"/>
      <c r="AQ2315" s="314"/>
      <c r="AR2315" s="315" t="str">
        <f t="shared" si="110"/>
        <v/>
      </c>
    </row>
    <row r="2316" spans="37:44" ht="30" hidden="1" customHeight="1">
      <c r="AK2316" s="313"/>
      <c r="AL2316" s="313"/>
      <c r="AM2316" s="313"/>
      <c r="AN2316" s="313"/>
      <c r="AO2316" s="313"/>
      <c r="AP2316" s="313"/>
      <c r="AQ2316" s="314"/>
      <c r="AR2316" s="315" t="str">
        <f t="shared" si="110"/>
        <v/>
      </c>
    </row>
    <row r="2317" spans="37:44" ht="30" hidden="1" customHeight="1">
      <c r="AK2317" s="313"/>
      <c r="AL2317" s="313"/>
      <c r="AM2317" s="313"/>
      <c r="AN2317" s="313"/>
      <c r="AO2317" s="313"/>
      <c r="AP2317" s="313"/>
      <c r="AQ2317" s="314"/>
      <c r="AR2317" s="315" t="str">
        <f t="shared" si="110"/>
        <v/>
      </c>
    </row>
    <row r="2318" spans="37:44" ht="30" hidden="1" customHeight="1">
      <c r="AK2318" s="313"/>
      <c r="AL2318" s="313"/>
      <c r="AM2318" s="313"/>
      <c r="AN2318" s="313"/>
      <c r="AO2318" s="313"/>
      <c r="AP2318" s="313"/>
      <c r="AQ2318" s="314"/>
      <c r="AR2318" s="315" t="str">
        <f t="shared" si="110"/>
        <v/>
      </c>
    </row>
    <row r="2319" spans="37:44" ht="30" hidden="1" customHeight="1">
      <c r="AK2319" s="313"/>
      <c r="AL2319" s="313"/>
      <c r="AM2319" s="313"/>
      <c r="AN2319" s="313"/>
      <c r="AO2319" s="313"/>
      <c r="AP2319" s="313"/>
      <c r="AQ2319" s="314"/>
      <c r="AR2319" s="315" t="str">
        <f t="shared" si="110"/>
        <v/>
      </c>
    </row>
    <row r="2320" spans="37:44" ht="30" hidden="1" customHeight="1">
      <c r="AK2320" s="313"/>
      <c r="AL2320" s="313"/>
      <c r="AM2320" s="313"/>
      <c r="AN2320" s="313"/>
      <c r="AO2320" s="313"/>
      <c r="AP2320" s="313"/>
      <c r="AQ2320" s="314"/>
      <c r="AR2320" s="315" t="str">
        <f t="shared" si="110"/>
        <v/>
      </c>
    </row>
    <row r="2321" spans="37:44" ht="30" hidden="1" customHeight="1">
      <c r="AK2321" s="313"/>
      <c r="AL2321" s="313"/>
      <c r="AM2321" s="313"/>
      <c r="AN2321" s="313"/>
      <c r="AO2321" s="313"/>
      <c r="AP2321" s="313"/>
      <c r="AQ2321" s="314"/>
      <c r="AR2321" s="315" t="str">
        <f t="shared" si="110"/>
        <v/>
      </c>
    </row>
    <row r="2322" spans="37:44" ht="30" hidden="1" customHeight="1">
      <c r="AK2322" s="313"/>
      <c r="AL2322" s="313"/>
      <c r="AM2322" s="313"/>
      <c r="AN2322" s="313"/>
      <c r="AO2322" s="313"/>
      <c r="AP2322" s="313"/>
      <c r="AQ2322" s="314"/>
      <c r="AR2322" s="315" t="str">
        <f t="shared" si="110"/>
        <v/>
      </c>
    </row>
    <row r="2323" spans="37:44" ht="30" hidden="1" customHeight="1">
      <c r="AK2323" s="313"/>
      <c r="AL2323" s="313"/>
      <c r="AM2323" s="313"/>
      <c r="AN2323" s="313"/>
      <c r="AO2323" s="313"/>
      <c r="AP2323" s="313"/>
      <c r="AQ2323" s="314"/>
      <c r="AR2323" s="315" t="str">
        <f t="shared" si="110"/>
        <v/>
      </c>
    </row>
    <row r="2324" spans="37:44" ht="30" hidden="1" customHeight="1">
      <c r="AK2324" s="313"/>
      <c r="AL2324" s="313"/>
      <c r="AM2324" s="313"/>
      <c r="AN2324" s="313"/>
      <c r="AO2324" s="313"/>
      <c r="AP2324" s="313"/>
      <c r="AQ2324" s="314"/>
      <c r="AR2324" s="315" t="str">
        <f t="shared" si="110"/>
        <v/>
      </c>
    </row>
    <row r="2325" spans="37:44" ht="30" hidden="1" customHeight="1">
      <c r="AK2325" s="313"/>
      <c r="AL2325" s="313"/>
      <c r="AM2325" s="313"/>
      <c r="AN2325" s="313"/>
      <c r="AO2325" s="313"/>
      <c r="AP2325" s="313"/>
      <c r="AQ2325" s="314"/>
      <c r="AR2325" s="315" t="str">
        <f t="shared" si="110"/>
        <v/>
      </c>
    </row>
    <row r="2326" spans="37:44" ht="30" hidden="1" customHeight="1">
      <c r="AK2326" s="313"/>
      <c r="AL2326" s="313"/>
      <c r="AM2326" s="313"/>
      <c r="AN2326" s="313"/>
      <c r="AO2326" s="313"/>
      <c r="AP2326" s="313"/>
      <c r="AQ2326" s="314"/>
      <c r="AR2326" s="315" t="str">
        <f t="shared" si="110"/>
        <v/>
      </c>
    </row>
    <row r="2327" spans="37:44" ht="30" hidden="1" customHeight="1">
      <c r="AK2327" s="313"/>
      <c r="AL2327" s="313"/>
      <c r="AM2327" s="313"/>
      <c r="AN2327" s="313"/>
      <c r="AO2327" s="313"/>
      <c r="AP2327" s="313"/>
      <c r="AQ2327" s="314"/>
      <c r="AR2327" s="315" t="str">
        <f t="shared" si="110"/>
        <v/>
      </c>
    </row>
    <row r="2328" spans="37:44" ht="30" hidden="1" customHeight="1">
      <c r="AK2328" s="313"/>
      <c r="AL2328" s="313"/>
      <c r="AM2328" s="313"/>
      <c r="AN2328" s="313"/>
      <c r="AO2328" s="313"/>
      <c r="AP2328" s="313"/>
      <c r="AQ2328" s="314"/>
      <c r="AR2328" s="315" t="str">
        <f t="shared" si="110"/>
        <v/>
      </c>
    </row>
    <row r="2329" spans="37:44" ht="30" hidden="1" customHeight="1">
      <c r="AK2329" s="313"/>
      <c r="AL2329" s="313"/>
      <c r="AM2329" s="313"/>
      <c r="AN2329" s="313"/>
      <c r="AO2329" s="313"/>
      <c r="AP2329" s="313"/>
      <c r="AQ2329" s="314"/>
      <c r="AR2329" s="315" t="str">
        <f t="shared" si="110"/>
        <v/>
      </c>
    </row>
    <row r="2330" spans="37:44" ht="30" hidden="1" customHeight="1">
      <c r="AK2330" s="313"/>
      <c r="AL2330" s="313"/>
      <c r="AM2330" s="313"/>
      <c r="AN2330" s="313"/>
      <c r="AO2330" s="313"/>
      <c r="AP2330" s="313"/>
      <c r="AQ2330" s="314"/>
      <c r="AR2330" s="315" t="str">
        <f t="shared" si="110"/>
        <v/>
      </c>
    </row>
    <row r="2331" spans="37:44" ht="30" hidden="1" customHeight="1">
      <c r="AK2331" s="313"/>
      <c r="AL2331" s="313"/>
      <c r="AM2331" s="313"/>
      <c r="AN2331" s="313"/>
      <c r="AO2331" s="313"/>
      <c r="AP2331" s="313"/>
      <c r="AQ2331" s="314"/>
      <c r="AR2331" s="315" t="str">
        <f t="shared" si="110"/>
        <v/>
      </c>
    </row>
    <row r="2332" spans="37:44" ht="30" hidden="1" customHeight="1">
      <c r="AK2332" s="313"/>
      <c r="AL2332" s="313"/>
      <c r="AM2332" s="313"/>
      <c r="AN2332" s="313"/>
      <c r="AO2332" s="313"/>
      <c r="AP2332" s="313"/>
      <c r="AQ2332" s="314"/>
      <c r="AR2332" s="315" t="str">
        <f t="shared" si="110"/>
        <v/>
      </c>
    </row>
    <row r="2333" spans="37:44" ht="30" hidden="1" customHeight="1">
      <c r="AK2333" s="313"/>
      <c r="AL2333" s="313"/>
      <c r="AM2333" s="313"/>
      <c r="AN2333" s="313"/>
      <c r="AO2333" s="313"/>
      <c r="AP2333" s="313"/>
      <c r="AQ2333" s="314"/>
      <c r="AR2333" s="315" t="str">
        <f t="shared" si="110"/>
        <v/>
      </c>
    </row>
    <row r="2334" spans="37:44" ht="30" hidden="1" customHeight="1">
      <c r="AK2334" s="313"/>
      <c r="AL2334" s="313"/>
      <c r="AM2334" s="313"/>
      <c r="AN2334" s="313"/>
      <c r="AO2334" s="313"/>
      <c r="AP2334" s="313"/>
      <c r="AQ2334" s="314"/>
      <c r="AR2334" s="315" t="str">
        <f t="shared" si="110"/>
        <v/>
      </c>
    </row>
    <row r="2335" spans="37:44" ht="30" hidden="1" customHeight="1">
      <c r="AK2335" s="313"/>
      <c r="AL2335" s="313"/>
      <c r="AM2335" s="313"/>
      <c r="AN2335" s="313"/>
      <c r="AO2335" s="313"/>
      <c r="AP2335" s="313"/>
      <c r="AQ2335" s="314"/>
      <c r="AR2335" s="315" t="str">
        <f t="shared" si="110"/>
        <v/>
      </c>
    </row>
    <row r="2336" spans="37:44" ht="30" hidden="1" customHeight="1">
      <c r="AK2336" s="313"/>
      <c r="AL2336" s="313"/>
      <c r="AM2336" s="313"/>
      <c r="AN2336" s="313"/>
      <c r="AO2336" s="313"/>
      <c r="AP2336" s="313"/>
      <c r="AQ2336" s="314"/>
      <c r="AR2336" s="315" t="str">
        <f t="shared" si="110"/>
        <v/>
      </c>
    </row>
    <row r="2337" spans="37:44" ht="30" hidden="1" customHeight="1">
      <c r="AK2337" s="313"/>
      <c r="AL2337" s="313"/>
      <c r="AM2337" s="313"/>
      <c r="AN2337" s="313"/>
      <c r="AO2337" s="313"/>
      <c r="AP2337" s="313"/>
      <c r="AQ2337" s="314"/>
      <c r="AR2337" s="315" t="str">
        <f t="shared" si="110"/>
        <v/>
      </c>
    </row>
    <row r="2338" spans="37:44" ht="30" hidden="1" customHeight="1">
      <c r="AK2338" s="313"/>
      <c r="AL2338" s="313"/>
      <c r="AM2338" s="313"/>
      <c r="AN2338" s="313"/>
      <c r="AO2338" s="313"/>
      <c r="AP2338" s="313"/>
      <c r="AQ2338" s="314"/>
      <c r="AR2338" s="315" t="str">
        <f t="shared" si="110"/>
        <v/>
      </c>
    </row>
    <row r="2339" spans="37:44" ht="30" hidden="1" customHeight="1">
      <c r="AK2339" s="313"/>
      <c r="AL2339" s="313"/>
      <c r="AM2339" s="313"/>
      <c r="AN2339" s="313"/>
      <c r="AO2339" s="313"/>
      <c r="AP2339" s="313"/>
      <c r="AQ2339" s="314"/>
      <c r="AR2339" s="315" t="str">
        <f t="shared" si="110"/>
        <v/>
      </c>
    </row>
    <row r="2340" spans="37:44" ht="30" hidden="1" customHeight="1">
      <c r="AK2340" s="313"/>
      <c r="AL2340" s="313"/>
      <c r="AM2340" s="313"/>
      <c r="AN2340" s="313"/>
      <c r="AO2340" s="313"/>
      <c r="AP2340" s="313"/>
      <c r="AQ2340" s="314"/>
      <c r="AR2340" s="315" t="str">
        <f t="shared" si="110"/>
        <v/>
      </c>
    </row>
    <row r="2341" spans="37:44" ht="30" hidden="1" customHeight="1">
      <c r="AK2341" s="313"/>
      <c r="AL2341" s="313"/>
      <c r="AM2341" s="313"/>
      <c r="AN2341" s="313"/>
      <c r="AO2341" s="313"/>
      <c r="AP2341" s="313"/>
      <c r="AQ2341" s="314"/>
      <c r="AR2341" s="315" t="str">
        <f t="shared" si="110"/>
        <v/>
      </c>
    </row>
    <row r="2342" spans="37:44" ht="30" hidden="1" customHeight="1">
      <c r="AK2342" s="313"/>
      <c r="AL2342" s="313"/>
      <c r="AM2342" s="313"/>
      <c r="AN2342" s="313"/>
      <c r="AO2342" s="313"/>
      <c r="AP2342" s="313"/>
      <c r="AQ2342" s="314"/>
      <c r="AR2342" s="315" t="str">
        <f t="shared" si="110"/>
        <v/>
      </c>
    </row>
    <row r="2343" spans="37:44" ht="30" hidden="1" customHeight="1">
      <c r="AK2343" s="313"/>
      <c r="AL2343" s="313"/>
      <c r="AM2343" s="313"/>
      <c r="AN2343" s="313"/>
      <c r="AO2343" s="313"/>
      <c r="AP2343" s="313"/>
      <c r="AQ2343" s="314"/>
      <c r="AR2343" s="315" t="str">
        <f t="shared" si="110"/>
        <v/>
      </c>
    </row>
    <row r="2344" spans="37:44" ht="30" hidden="1" customHeight="1">
      <c r="AK2344" s="313"/>
      <c r="AL2344" s="313"/>
      <c r="AM2344" s="313"/>
      <c r="AN2344" s="313"/>
      <c r="AO2344" s="313"/>
      <c r="AP2344" s="313"/>
      <c r="AQ2344" s="314"/>
      <c r="AR2344" s="315" t="str">
        <f t="shared" si="110"/>
        <v/>
      </c>
    </row>
    <row r="2345" spans="37:44" ht="30" hidden="1" customHeight="1">
      <c r="AK2345" s="313"/>
      <c r="AL2345" s="313"/>
      <c r="AM2345" s="313"/>
      <c r="AN2345" s="313"/>
      <c r="AO2345" s="313"/>
      <c r="AP2345" s="313"/>
      <c r="AQ2345" s="314"/>
      <c r="AR2345" s="315" t="str">
        <f t="shared" si="110"/>
        <v/>
      </c>
    </row>
    <row r="2346" spans="37:44" ht="30" hidden="1" customHeight="1">
      <c r="AK2346" s="313"/>
      <c r="AL2346" s="313"/>
      <c r="AM2346" s="313"/>
      <c r="AN2346" s="313"/>
      <c r="AO2346" s="313"/>
      <c r="AP2346" s="313"/>
      <c r="AQ2346" s="314"/>
      <c r="AR2346" s="315" t="str">
        <f t="shared" si="110"/>
        <v/>
      </c>
    </row>
    <row r="2347" spans="37:44" ht="30" hidden="1" customHeight="1">
      <c r="AK2347" s="313"/>
      <c r="AL2347" s="313"/>
      <c r="AM2347" s="313"/>
      <c r="AN2347" s="313"/>
      <c r="AO2347" s="313"/>
      <c r="AP2347" s="313"/>
      <c r="AQ2347" s="314"/>
      <c r="AR2347" s="315" t="str">
        <f t="shared" si="110"/>
        <v/>
      </c>
    </row>
    <row r="2348" spans="37:44" ht="30" hidden="1" customHeight="1">
      <c r="AK2348" s="313"/>
      <c r="AL2348" s="313"/>
      <c r="AM2348" s="313"/>
      <c r="AN2348" s="313"/>
      <c r="AO2348" s="313"/>
      <c r="AP2348" s="313"/>
      <c r="AQ2348" s="314"/>
      <c r="AR2348" s="315" t="str">
        <f t="shared" si="110"/>
        <v/>
      </c>
    </row>
    <row r="2349" spans="37:44" ht="30" hidden="1" customHeight="1">
      <c r="AK2349" s="313"/>
      <c r="AL2349" s="313"/>
      <c r="AM2349" s="313"/>
      <c r="AN2349" s="313"/>
      <c r="AO2349" s="313"/>
      <c r="AP2349" s="313"/>
      <c r="AQ2349" s="314"/>
      <c r="AR2349" s="315" t="str">
        <f t="shared" si="110"/>
        <v/>
      </c>
    </row>
    <row r="2350" spans="37:44" ht="30" hidden="1" customHeight="1">
      <c r="AK2350" s="313"/>
      <c r="AL2350" s="313"/>
      <c r="AM2350" s="313"/>
      <c r="AN2350" s="313"/>
      <c r="AO2350" s="313"/>
      <c r="AP2350" s="313"/>
      <c r="AQ2350" s="314"/>
      <c r="AR2350" s="315" t="str">
        <f t="shared" si="110"/>
        <v/>
      </c>
    </row>
    <row r="2351" spans="37:44" ht="30" hidden="1" customHeight="1">
      <c r="AK2351" s="313"/>
      <c r="AL2351" s="313"/>
      <c r="AM2351" s="313"/>
      <c r="AN2351" s="313"/>
      <c r="AO2351" s="313"/>
      <c r="AP2351" s="313"/>
      <c r="AQ2351" s="314"/>
      <c r="AR2351" s="315" t="str">
        <f t="shared" si="110"/>
        <v/>
      </c>
    </row>
    <row r="2352" spans="37:44" ht="30" hidden="1" customHeight="1">
      <c r="AK2352" s="313"/>
      <c r="AL2352" s="313"/>
      <c r="AM2352" s="313"/>
      <c r="AN2352" s="313"/>
      <c r="AO2352" s="313"/>
      <c r="AP2352" s="313"/>
      <c r="AQ2352" s="314"/>
      <c r="AR2352" s="315" t="str">
        <f t="shared" si="110"/>
        <v/>
      </c>
    </row>
    <row r="2353" spans="37:44" ht="30" hidden="1" customHeight="1">
      <c r="AK2353" s="313"/>
      <c r="AL2353" s="313"/>
      <c r="AM2353" s="313"/>
      <c r="AN2353" s="313"/>
      <c r="AO2353" s="313"/>
      <c r="AP2353" s="313"/>
      <c r="AQ2353" s="314"/>
      <c r="AR2353" s="315" t="str">
        <f t="shared" si="110"/>
        <v/>
      </c>
    </row>
    <row r="2354" spans="37:44" ht="30" hidden="1" customHeight="1">
      <c r="AK2354" s="313"/>
      <c r="AL2354" s="313"/>
      <c r="AM2354" s="313"/>
      <c r="AN2354" s="313"/>
      <c r="AO2354" s="313"/>
      <c r="AP2354" s="313"/>
      <c r="AQ2354" s="314"/>
      <c r="AR2354" s="315" t="str">
        <f t="shared" si="110"/>
        <v/>
      </c>
    </row>
    <row r="2355" spans="37:44" ht="30" hidden="1" customHeight="1">
      <c r="AK2355" s="313"/>
      <c r="AL2355" s="313"/>
      <c r="AM2355" s="313"/>
      <c r="AN2355" s="313"/>
      <c r="AO2355" s="313"/>
      <c r="AP2355" s="313"/>
      <c r="AQ2355" s="314"/>
      <c r="AR2355" s="315" t="str">
        <f t="shared" si="110"/>
        <v/>
      </c>
    </row>
    <row r="2356" spans="37:44" ht="30" hidden="1" customHeight="1">
      <c r="AK2356" s="313"/>
      <c r="AL2356" s="313"/>
      <c r="AM2356" s="313"/>
      <c r="AN2356" s="313"/>
      <c r="AO2356" s="313"/>
      <c r="AP2356" s="313"/>
      <c r="AQ2356" s="314"/>
      <c r="AR2356" s="315" t="str">
        <f t="shared" si="110"/>
        <v/>
      </c>
    </row>
    <row r="2357" spans="37:44" ht="30" hidden="1" customHeight="1">
      <c r="AK2357" s="313"/>
      <c r="AL2357" s="313"/>
      <c r="AM2357" s="313"/>
      <c r="AN2357" s="313"/>
      <c r="AO2357" s="313"/>
      <c r="AP2357" s="313"/>
      <c r="AQ2357" s="314"/>
      <c r="AR2357" s="315" t="str">
        <f t="shared" si="110"/>
        <v/>
      </c>
    </row>
    <row r="2358" spans="37:44" ht="30" hidden="1" customHeight="1">
      <c r="AK2358" s="313"/>
      <c r="AL2358" s="313"/>
      <c r="AM2358" s="313"/>
      <c r="AN2358" s="313"/>
      <c r="AO2358" s="313"/>
      <c r="AP2358" s="313"/>
      <c r="AQ2358" s="314"/>
      <c r="AR2358" s="315" t="str">
        <f t="shared" si="110"/>
        <v/>
      </c>
    </row>
    <row r="2359" spans="37:44" ht="30" hidden="1" customHeight="1">
      <c r="AK2359" s="313"/>
      <c r="AL2359" s="313"/>
      <c r="AM2359" s="313"/>
      <c r="AN2359" s="313"/>
      <c r="AO2359" s="313"/>
      <c r="AP2359" s="313"/>
      <c r="AQ2359" s="314"/>
      <c r="AR2359" s="315" t="str">
        <f t="shared" si="110"/>
        <v/>
      </c>
    </row>
    <row r="2360" spans="37:44" ht="30" hidden="1" customHeight="1">
      <c r="AK2360" s="313"/>
      <c r="AL2360" s="313"/>
      <c r="AM2360" s="313"/>
      <c r="AN2360" s="313"/>
      <c r="AO2360" s="313"/>
      <c r="AP2360" s="313"/>
      <c r="AQ2360" s="314"/>
      <c r="AR2360" s="315" t="str">
        <f t="shared" si="110"/>
        <v/>
      </c>
    </row>
    <row r="2361" spans="37:44" ht="30" hidden="1" customHeight="1">
      <c r="AK2361" s="313"/>
      <c r="AL2361" s="313"/>
      <c r="AM2361" s="313"/>
      <c r="AN2361" s="313"/>
      <c r="AO2361" s="313"/>
      <c r="AP2361" s="313"/>
      <c r="AQ2361" s="314"/>
      <c r="AR2361" s="315" t="str">
        <f t="shared" si="110"/>
        <v/>
      </c>
    </row>
    <row r="2362" spans="37:44" ht="30" hidden="1" customHeight="1">
      <c r="AK2362" s="313"/>
      <c r="AL2362" s="313"/>
      <c r="AM2362" s="313"/>
      <c r="AN2362" s="313"/>
      <c r="AO2362" s="313"/>
      <c r="AP2362" s="313"/>
      <c r="AQ2362" s="314"/>
      <c r="AR2362" s="315" t="str">
        <f t="shared" si="110"/>
        <v/>
      </c>
    </row>
    <row r="2363" spans="37:44" ht="30" hidden="1" customHeight="1">
      <c r="AK2363" s="313"/>
      <c r="AL2363" s="313"/>
      <c r="AM2363" s="313"/>
      <c r="AN2363" s="313"/>
      <c r="AO2363" s="313"/>
      <c r="AP2363" s="313"/>
      <c r="AQ2363" s="314"/>
      <c r="AR2363" s="315" t="str">
        <f t="shared" si="110"/>
        <v/>
      </c>
    </row>
    <row r="2364" spans="37:44" ht="30" hidden="1" customHeight="1">
      <c r="AK2364" s="313"/>
      <c r="AL2364" s="313"/>
      <c r="AM2364" s="313"/>
      <c r="AN2364" s="313"/>
      <c r="AO2364" s="313"/>
      <c r="AP2364" s="313"/>
      <c r="AQ2364" s="314"/>
      <c r="AR2364" s="315" t="str">
        <f t="shared" si="110"/>
        <v/>
      </c>
    </row>
    <row r="2365" spans="37:44" ht="30" hidden="1" customHeight="1">
      <c r="AK2365" s="313"/>
      <c r="AL2365" s="313"/>
      <c r="AM2365" s="313"/>
      <c r="AN2365" s="313"/>
      <c r="AO2365" s="313"/>
      <c r="AP2365" s="313"/>
      <c r="AQ2365" s="314"/>
      <c r="AR2365" s="315" t="str">
        <f t="shared" si="110"/>
        <v/>
      </c>
    </row>
    <row r="2366" spans="37:44" ht="30" hidden="1" customHeight="1">
      <c r="AK2366" s="313"/>
      <c r="AL2366" s="313"/>
      <c r="AM2366" s="313"/>
      <c r="AN2366" s="313"/>
      <c r="AO2366" s="313"/>
      <c r="AP2366" s="313"/>
      <c r="AQ2366" s="314"/>
      <c r="AR2366" s="315" t="str">
        <f t="shared" si="110"/>
        <v/>
      </c>
    </row>
    <row r="2367" spans="37:44" ht="30" hidden="1" customHeight="1">
      <c r="AK2367" s="313"/>
      <c r="AL2367" s="313"/>
      <c r="AM2367" s="313"/>
      <c r="AN2367" s="313"/>
      <c r="AO2367" s="313"/>
      <c r="AP2367" s="313"/>
      <c r="AQ2367" s="314"/>
      <c r="AR2367" s="315" t="str">
        <f t="shared" ref="AR2367:AR2430" si="111">IF(AQ2367="SIM","AGUARDANDO CORREÇÃO",IF(AP2367&lt;&gt;"","FINALIZADO",IF(AO2367&lt;&gt;"","AGUARDANDO ENVIO DTS",IF(AN2367&lt;&gt;"","AGUARDANDO ASSINATURA GAB",IF(AM2367&lt;&gt;"","AGUARDANDO ASSINATURA CTS",IF(AL2367&lt;&gt;"","AGUARDANDO ENVIO ASSINATURA CTS",IF(AK2367&lt;&gt;"","AGUARDANDO CONFERÊNCIA","")))))))</f>
        <v/>
      </c>
    </row>
    <row r="2368" spans="37:44" ht="30" hidden="1" customHeight="1">
      <c r="AK2368" s="313"/>
      <c r="AL2368" s="313"/>
      <c r="AM2368" s="313"/>
      <c r="AN2368" s="313"/>
      <c r="AO2368" s="313"/>
      <c r="AP2368" s="313"/>
      <c r="AQ2368" s="314"/>
      <c r="AR2368" s="315" t="str">
        <f t="shared" si="111"/>
        <v/>
      </c>
    </row>
    <row r="2369" spans="37:44" ht="30" hidden="1" customHeight="1">
      <c r="AK2369" s="313"/>
      <c r="AL2369" s="313"/>
      <c r="AM2369" s="313"/>
      <c r="AN2369" s="313"/>
      <c r="AO2369" s="313"/>
      <c r="AP2369" s="313"/>
      <c r="AQ2369" s="314"/>
      <c r="AR2369" s="315" t="str">
        <f t="shared" si="111"/>
        <v/>
      </c>
    </row>
    <row r="2370" spans="37:44" ht="30" hidden="1" customHeight="1">
      <c r="AK2370" s="313"/>
      <c r="AL2370" s="313"/>
      <c r="AM2370" s="313"/>
      <c r="AN2370" s="313"/>
      <c r="AO2370" s="313"/>
      <c r="AP2370" s="313"/>
      <c r="AQ2370" s="314"/>
      <c r="AR2370" s="315" t="str">
        <f t="shared" si="111"/>
        <v/>
      </c>
    </row>
    <row r="2371" spans="37:44" ht="30" hidden="1" customHeight="1">
      <c r="AK2371" s="313"/>
      <c r="AL2371" s="313"/>
      <c r="AM2371" s="313"/>
      <c r="AN2371" s="313"/>
      <c r="AO2371" s="313"/>
      <c r="AP2371" s="313"/>
      <c r="AQ2371" s="314"/>
      <c r="AR2371" s="315" t="str">
        <f t="shared" si="111"/>
        <v/>
      </c>
    </row>
    <row r="2372" spans="37:44" ht="30" hidden="1" customHeight="1">
      <c r="AK2372" s="313"/>
      <c r="AL2372" s="313"/>
      <c r="AM2372" s="313"/>
      <c r="AN2372" s="313"/>
      <c r="AO2372" s="313"/>
      <c r="AP2372" s="313"/>
      <c r="AQ2372" s="314"/>
      <c r="AR2372" s="315" t="str">
        <f t="shared" si="111"/>
        <v/>
      </c>
    </row>
    <row r="2373" spans="37:44" ht="30" hidden="1" customHeight="1">
      <c r="AK2373" s="313"/>
      <c r="AL2373" s="313"/>
      <c r="AM2373" s="313"/>
      <c r="AN2373" s="313"/>
      <c r="AO2373" s="313"/>
      <c r="AP2373" s="313"/>
      <c r="AQ2373" s="314"/>
      <c r="AR2373" s="315" t="str">
        <f t="shared" si="111"/>
        <v/>
      </c>
    </row>
    <row r="2374" spans="37:44" ht="30" hidden="1" customHeight="1">
      <c r="AK2374" s="313"/>
      <c r="AL2374" s="313"/>
      <c r="AM2374" s="313"/>
      <c r="AN2374" s="313"/>
      <c r="AO2374" s="313"/>
      <c r="AP2374" s="313"/>
      <c r="AQ2374" s="314"/>
      <c r="AR2374" s="315" t="str">
        <f t="shared" si="111"/>
        <v/>
      </c>
    </row>
    <row r="2375" spans="37:44" ht="30" hidden="1" customHeight="1">
      <c r="AK2375" s="313"/>
      <c r="AL2375" s="313"/>
      <c r="AM2375" s="313"/>
      <c r="AN2375" s="313"/>
      <c r="AO2375" s="313"/>
      <c r="AP2375" s="313"/>
      <c r="AQ2375" s="314"/>
      <c r="AR2375" s="315" t="str">
        <f t="shared" si="111"/>
        <v/>
      </c>
    </row>
    <row r="2376" spans="37:44" ht="30" hidden="1" customHeight="1">
      <c r="AK2376" s="313"/>
      <c r="AL2376" s="313"/>
      <c r="AM2376" s="313"/>
      <c r="AN2376" s="313"/>
      <c r="AO2376" s="313"/>
      <c r="AP2376" s="313"/>
      <c r="AQ2376" s="314"/>
      <c r="AR2376" s="315" t="str">
        <f t="shared" si="111"/>
        <v/>
      </c>
    </row>
    <row r="2377" spans="37:44" ht="30" hidden="1" customHeight="1">
      <c r="AK2377" s="313"/>
      <c r="AL2377" s="313"/>
      <c r="AM2377" s="313"/>
      <c r="AN2377" s="313"/>
      <c r="AO2377" s="313"/>
      <c r="AP2377" s="313"/>
      <c r="AQ2377" s="314"/>
      <c r="AR2377" s="315" t="str">
        <f t="shared" si="111"/>
        <v/>
      </c>
    </row>
    <row r="2378" spans="37:44" ht="30" hidden="1" customHeight="1">
      <c r="AK2378" s="313"/>
      <c r="AL2378" s="313"/>
      <c r="AM2378" s="313"/>
      <c r="AN2378" s="313"/>
      <c r="AO2378" s="313"/>
      <c r="AP2378" s="313"/>
      <c r="AQ2378" s="314"/>
      <c r="AR2378" s="315" t="str">
        <f t="shared" si="111"/>
        <v/>
      </c>
    </row>
    <row r="2379" spans="37:44" ht="30" hidden="1" customHeight="1">
      <c r="AK2379" s="313"/>
      <c r="AL2379" s="313"/>
      <c r="AM2379" s="313"/>
      <c r="AN2379" s="313"/>
      <c r="AO2379" s="313"/>
      <c r="AP2379" s="313"/>
      <c r="AQ2379" s="314"/>
      <c r="AR2379" s="315" t="str">
        <f t="shared" si="111"/>
        <v/>
      </c>
    </row>
    <row r="2380" spans="37:44" ht="30" hidden="1" customHeight="1">
      <c r="AK2380" s="313"/>
      <c r="AL2380" s="313"/>
      <c r="AM2380" s="313"/>
      <c r="AN2380" s="313"/>
      <c r="AO2380" s="313"/>
      <c r="AP2380" s="313"/>
      <c r="AQ2380" s="314"/>
      <c r="AR2380" s="315" t="str">
        <f t="shared" si="111"/>
        <v/>
      </c>
    </row>
    <row r="2381" spans="37:44" ht="30" hidden="1" customHeight="1">
      <c r="AK2381" s="313"/>
      <c r="AL2381" s="313"/>
      <c r="AM2381" s="313"/>
      <c r="AN2381" s="313"/>
      <c r="AO2381" s="313"/>
      <c r="AP2381" s="313"/>
      <c r="AQ2381" s="314"/>
      <c r="AR2381" s="315" t="str">
        <f t="shared" si="111"/>
        <v/>
      </c>
    </row>
    <row r="2382" spans="37:44" ht="30" hidden="1" customHeight="1">
      <c r="AK2382" s="313"/>
      <c r="AL2382" s="313"/>
      <c r="AM2382" s="313"/>
      <c r="AN2382" s="313"/>
      <c r="AO2382" s="313"/>
      <c r="AP2382" s="313"/>
      <c r="AQ2382" s="314"/>
      <c r="AR2382" s="315" t="str">
        <f t="shared" si="111"/>
        <v/>
      </c>
    </row>
    <row r="2383" spans="37:44" ht="30" hidden="1" customHeight="1">
      <c r="AK2383" s="313"/>
      <c r="AL2383" s="313"/>
      <c r="AM2383" s="313"/>
      <c r="AN2383" s="313"/>
      <c r="AO2383" s="313"/>
      <c r="AP2383" s="313"/>
      <c r="AQ2383" s="314"/>
      <c r="AR2383" s="315" t="str">
        <f t="shared" si="111"/>
        <v/>
      </c>
    </row>
    <row r="2384" spans="37:44" ht="30" hidden="1" customHeight="1">
      <c r="AK2384" s="313"/>
      <c r="AL2384" s="313"/>
      <c r="AM2384" s="313"/>
      <c r="AN2384" s="313"/>
      <c r="AO2384" s="313"/>
      <c r="AP2384" s="313"/>
      <c r="AQ2384" s="314"/>
      <c r="AR2384" s="315" t="str">
        <f t="shared" si="111"/>
        <v/>
      </c>
    </row>
    <row r="2385" spans="37:44" ht="30" hidden="1" customHeight="1">
      <c r="AK2385" s="313"/>
      <c r="AL2385" s="313"/>
      <c r="AM2385" s="313"/>
      <c r="AN2385" s="313"/>
      <c r="AO2385" s="313"/>
      <c r="AP2385" s="313"/>
      <c r="AQ2385" s="314"/>
      <c r="AR2385" s="315" t="str">
        <f t="shared" si="111"/>
        <v/>
      </c>
    </row>
    <row r="2386" spans="37:44" ht="30" hidden="1" customHeight="1">
      <c r="AK2386" s="313"/>
      <c r="AL2386" s="313"/>
      <c r="AM2386" s="313"/>
      <c r="AN2386" s="313"/>
      <c r="AO2386" s="313"/>
      <c r="AP2386" s="313"/>
      <c r="AQ2386" s="314"/>
      <c r="AR2386" s="315" t="str">
        <f t="shared" si="111"/>
        <v/>
      </c>
    </row>
    <row r="2387" spans="37:44" ht="30" hidden="1" customHeight="1">
      <c r="AK2387" s="313"/>
      <c r="AL2387" s="313"/>
      <c r="AM2387" s="313"/>
      <c r="AN2387" s="313"/>
      <c r="AO2387" s="313"/>
      <c r="AP2387" s="313"/>
      <c r="AQ2387" s="314"/>
      <c r="AR2387" s="315" t="str">
        <f t="shared" si="111"/>
        <v/>
      </c>
    </row>
    <row r="2388" spans="37:44" ht="30" hidden="1" customHeight="1">
      <c r="AK2388" s="313"/>
      <c r="AL2388" s="313"/>
      <c r="AM2388" s="313"/>
      <c r="AN2388" s="313"/>
      <c r="AO2388" s="313"/>
      <c r="AP2388" s="313"/>
      <c r="AQ2388" s="314"/>
      <c r="AR2388" s="315" t="str">
        <f t="shared" si="111"/>
        <v/>
      </c>
    </row>
    <row r="2389" spans="37:44" ht="30" hidden="1" customHeight="1">
      <c r="AK2389" s="313"/>
      <c r="AL2389" s="313"/>
      <c r="AM2389" s="313"/>
      <c r="AN2389" s="313"/>
      <c r="AO2389" s="313"/>
      <c r="AP2389" s="313"/>
      <c r="AQ2389" s="314"/>
      <c r="AR2389" s="315" t="str">
        <f t="shared" si="111"/>
        <v/>
      </c>
    </row>
    <row r="2390" spans="37:44" ht="30" hidden="1" customHeight="1">
      <c r="AK2390" s="313"/>
      <c r="AL2390" s="313"/>
      <c r="AM2390" s="313"/>
      <c r="AN2390" s="313"/>
      <c r="AO2390" s="313"/>
      <c r="AP2390" s="313"/>
      <c r="AQ2390" s="314"/>
      <c r="AR2390" s="315" t="str">
        <f t="shared" si="111"/>
        <v/>
      </c>
    </row>
    <row r="2391" spans="37:44" ht="30" hidden="1" customHeight="1">
      <c r="AK2391" s="313"/>
      <c r="AL2391" s="313"/>
      <c r="AM2391" s="313"/>
      <c r="AN2391" s="313"/>
      <c r="AO2391" s="313"/>
      <c r="AP2391" s="313"/>
      <c r="AQ2391" s="314"/>
      <c r="AR2391" s="315" t="str">
        <f t="shared" si="111"/>
        <v/>
      </c>
    </row>
    <row r="2392" spans="37:44" ht="30" hidden="1" customHeight="1">
      <c r="AK2392" s="313"/>
      <c r="AL2392" s="313"/>
      <c r="AM2392" s="313"/>
      <c r="AN2392" s="313"/>
      <c r="AO2392" s="313"/>
      <c r="AP2392" s="313"/>
      <c r="AQ2392" s="314"/>
      <c r="AR2392" s="315" t="str">
        <f t="shared" si="111"/>
        <v/>
      </c>
    </row>
    <row r="2393" spans="37:44" ht="30" hidden="1" customHeight="1">
      <c r="AK2393" s="313"/>
      <c r="AL2393" s="313"/>
      <c r="AM2393" s="313"/>
      <c r="AN2393" s="313"/>
      <c r="AO2393" s="313"/>
      <c r="AP2393" s="313"/>
      <c r="AQ2393" s="314"/>
      <c r="AR2393" s="315" t="str">
        <f t="shared" si="111"/>
        <v/>
      </c>
    </row>
    <row r="2394" spans="37:44" ht="30" hidden="1" customHeight="1">
      <c r="AK2394" s="313"/>
      <c r="AL2394" s="313"/>
      <c r="AM2394" s="313"/>
      <c r="AN2394" s="313"/>
      <c r="AO2394" s="313"/>
      <c r="AP2394" s="313"/>
      <c r="AQ2394" s="314"/>
      <c r="AR2394" s="315" t="str">
        <f t="shared" si="111"/>
        <v/>
      </c>
    </row>
    <row r="2395" spans="37:44" ht="30" hidden="1" customHeight="1">
      <c r="AK2395" s="313"/>
      <c r="AL2395" s="313"/>
      <c r="AM2395" s="313"/>
      <c r="AN2395" s="313"/>
      <c r="AO2395" s="313"/>
      <c r="AP2395" s="313"/>
      <c r="AQ2395" s="314"/>
      <c r="AR2395" s="315" t="str">
        <f t="shared" si="111"/>
        <v/>
      </c>
    </row>
    <row r="2396" spans="37:44" ht="30" hidden="1" customHeight="1">
      <c r="AK2396" s="313"/>
      <c r="AL2396" s="313"/>
      <c r="AM2396" s="313"/>
      <c r="AN2396" s="313"/>
      <c r="AO2396" s="313"/>
      <c r="AP2396" s="313"/>
      <c r="AQ2396" s="314"/>
      <c r="AR2396" s="315" t="str">
        <f t="shared" si="111"/>
        <v/>
      </c>
    </row>
    <row r="2397" spans="37:44" ht="30" hidden="1" customHeight="1">
      <c r="AK2397" s="313"/>
      <c r="AL2397" s="313"/>
      <c r="AM2397" s="313"/>
      <c r="AN2397" s="313"/>
      <c r="AO2397" s="313"/>
      <c r="AP2397" s="313"/>
      <c r="AQ2397" s="314"/>
      <c r="AR2397" s="315" t="str">
        <f t="shared" si="111"/>
        <v/>
      </c>
    </row>
    <row r="2398" spans="37:44" ht="30" hidden="1" customHeight="1">
      <c r="AK2398" s="313"/>
      <c r="AL2398" s="313"/>
      <c r="AM2398" s="313"/>
      <c r="AN2398" s="313"/>
      <c r="AO2398" s="313"/>
      <c r="AP2398" s="313"/>
      <c r="AQ2398" s="314"/>
      <c r="AR2398" s="315" t="str">
        <f t="shared" si="111"/>
        <v/>
      </c>
    </row>
    <row r="2399" spans="37:44" ht="30" hidden="1" customHeight="1">
      <c r="AK2399" s="313"/>
      <c r="AL2399" s="313"/>
      <c r="AM2399" s="313"/>
      <c r="AN2399" s="313"/>
      <c r="AO2399" s="313"/>
      <c r="AP2399" s="313"/>
      <c r="AQ2399" s="314"/>
      <c r="AR2399" s="315" t="str">
        <f t="shared" si="111"/>
        <v/>
      </c>
    </row>
    <row r="2400" spans="37:44" ht="30" hidden="1" customHeight="1">
      <c r="AK2400" s="313"/>
      <c r="AL2400" s="313"/>
      <c r="AM2400" s="313"/>
      <c r="AN2400" s="313"/>
      <c r="AO2400" s="313"/>
      <c r="AP2400" s="313"/>
      <c r="AQ2400" s="314"/>
      <c r="AR2400" s="315" t="str">
        <f t="shared" si="111"/>
        <v/>
      </c>
    </row>
    <row r="2401" spans="37:44" ht="30" hidden="1" customHeight="1">
      <c r="AK2401" s="313"/>
      <c r="AL2401" s="313"/>
      <c r="AM2401" s="313"/>
      <c r="AN2401" s="313"/>
      <c r="AO2401" s="313"/>
      <c r="AP2401" s="313"/>
      <c r="AQ2401" s="314"/>
      <c r="AR2401" s="315" t="str">
        <f t="shared" si="111"/>
        <v/>
      </c>
    </row>
    <row r="2402" spans="37:44" ht="30" hidden="1" customHeight="1">
      <c r="AK2402" s="313"/>
      <c r="AL2402" s="313"/>
      <c r="AM2402" s="313"/>
      <c r="AN2402" s="313"/>
      <c r="AO2402" s="313"/>
      <c r="AP2402" s="313"/>
      <c r="AQ2402" s="314"/>
      <c r="AR2402" s="315" t="str">
        <f t="shared" si="111"/>
        <v/>
      </c>
    </row>
    <row r="2403" spans="37:44" ht="30" hidden="1" customHeight="1">
      <c r="AK2403" s="313"/>
      <c r="AL2403" s="313"/>
      <c r="AM2403" s="313"/>
      <c r="AN2403" s="313"/>
      <c r="AO2403" s="313"/>
      <c r="AP2403" s="313"/>
      <c r="AQ2403" s="314"/>
      <c r="AR2403" s="315" t="str">
        <f t="shared" si="111"/>
        <v/>
      </c>
    </row>
    <row r="2404" spans="37:44" ht="30" hidden="1" customHeight="1">
      <c r="AK2404" s="313"/>
      <c r="AL2404" s="313"/>
      <c r="AM2404" s="313"/>
      <c r="AN2404" s="313"/>
      <c r="AO2404" s="313"/>
      <c r="AP2404" s="313"/>
      <c r="AQ2404" s="314"/>
      <c r="AR2404" s="315" t="str">
        <f t="shared" si="111"/>
        <v/>
      </c>
    </row>
    <row r="2405" spans="37:44" ht="30" hidden="1" customHeight="1">
      <c r="AK2405" s="313"/>
      <c r="AL2405" s="313"/>
      <c r="AM2405" s="313"/>
      <c r="AN2405" s="313"/>
      <c r="AO2405" s="313"/>
      <c r="AP2405" s="313"/>
      <c r="AQ2405" s="314"/>
      <c r="AR2405" s="315" t="str">
        <f t="shared" si="111"/>
        <v/>
      </c>
    </row>
    <row r="2406" spans="37:44" ht="30" hidden="1" customHeight="1">
      <c r="AK2406" s="313"/>
      <c r="AL2406" s="313"/>
      <c r="AM2406" s="313"/>
      <c r="AN2406" s="313"/>
      <c r="AO2406" s="313"/>
      <c r="AP2406" s="313"/>
      <c r="AQ2406" s="314"/>
      <c r="AR2406" s="315" t="str">
        <f t="shared" si="111"/>
        <v/>
      </c>
    </row>
    <row r="2407" spans="37:44" ht="30" hidden="1" customHeight="1">
      <c r="AK2407" s="313"/>
      <c r="AL2407" s="313"/>
      <c r="AM2407" s="313"/>
      <c r="AN2407" s="313"/>
      <c r="AO2407" s="313"/>
      <c r="AP2407" s="313"/>
      <c r="AQ2407" s="314"/>
      <c r="AR2407" s="315" t="str">
        <f t="shared" si="111"/>
        <v/>
      </c>
    </row>
    <row r="2408" spans="37:44" ht="30" hidden="1" customHeight="1">
      <c r="AK2408" s="313"/>
      <c r="AL2408" s="313"/>
      <c r="AM2408" s="313"/>
      <c r="AN2408" s="313"/>
      <c r="AO2408" s="313"/>
      <c r="AP2408" s="313"/>
      <c r="AQ2408" s="314"/>
      <c r="AR2408" s="315" t="str">
        <f t="shared" si="111"/>
        <v/>
      </c>
    </row>
    <row r="2409" spans="37:44" ht="30" hidden="1" customHeight="1">
      <c r="AK2409" s="313"/>
      <c r="AL2409" s="313"/>
      <c r="AM2409" s="313"/>
      <c r="AN2409" s="313"/>
      <c r="AO2409" s="313"/>
      <c r="AP2409" s="313"/>
      <c r="AQ2409" s="314"/>
      <c r="AR2409" s="315" t="str">
        <f t="shared" si="111"/>
        <v/>
      </c>
    </row>
    <row r="2410" spans="37:44" ht="30" hidden="1" customHeight="1">
      <c r="AK2410" s="313"/>
      <c r="AL2410" s="313"/>
      <c r="AM2410" s="313"/>
      <c r="AN2410" s="313"/>
      <c r="AO2410" s="313"/>
      <c r="AP2410" s="313"/>
      <c r="AQ2410" s="314"/>
      <c r="AR2410" s="315" t="str">
        <f t="shared" si="111"/>
        <v/>
      </c>
    </row>
    <row r="2411" spans="37:44" ht="30" hidden="1" customHeight="1">
      <c r="AK2411" s="313"/>
      <c r="AL2411" s="313"/>
      <c r="AM2411" s="313"/>
      <c r="AN2411" s="313"/>
      <c r="AO2411" s="313"/>
      <c r="AP2411" s="313"/>
      <c r="AQ2411" s="314"/>
      <c r="AR2411" s="315" t="str">
        <f t="shared" si="111"/>
        <v/>
      </c>
    </row>
    <row r="2412" spans="37:44" ht="30" hidden="1" customHeight="1">
      <c r="AK2412" s="313"/>
      <c r="AL2412" s="313"/>
      <c r="AM2412" s="313"/>
      <c r="AN2412" s="313"/>
      <c r="AO2412" s="313"/>
      <c r="AP2412" s="313"/>
      <c r="AQ2412" s="314"/>
      <c r="AR2412" s="315" t="str">
        <f t="shared" si="111"/>
        <v/>
      </c>
    </row>
    <row r="2413" spans="37:44" ht="30" hidden="1" customHeight="1">
      <c r="AK2413" s="313"/>
      <c r="AL2413" s="313"/>
      <c r="AM2413" s="313"/>
      <c r="AN2413" s="313"/>
      <c r="AO2413" s="313"/>
      <c r="AP2413" s="313"/>
      <c r="AQ2413" s="314"/>
      <c r="AR2413" s="315" t="str">
        <f t="shared" si="111"/>
        <v/>
      </c>
    </row>
    <row r="2414" spans="37:44" ht="30" hidden="1" customHeight="1">
      <c r="AK2414" s="313"/>
      <c r="AL2414" s="313"/>
      <c r="AM2414" s="313"/>
      <c r="AN2414" s="313"/>
      <c r="AO2414" s="313"/>
      <c r="AP2414" s="313"/>
      <c r="AQ2414" s="314"/>
      <c r="AR2414" s="315" t="str">
        <f t="shared" si="111"/>
        <v/>
      </c>
    </row>
    <row r="2415" spans="37:44" ht="30" hidden="1" customHeight="1">
      <c r="AK2415" s="313"/>
      <c r="AL2415" s="313"/>
      <c r="AM2415" s="313"/>
      <c r="AN2415" s="313"/>
      <c r="AO2415" s="313"/>
      <c r="AP2415" s="313"/>
      <c r="AQ2415" s="314"/>
      <c r="AR2415" s="315" t="str">
        <f t="shared" si="111"/>
        <v/>
      </c>
    </row>
    <row r="2416" spans="37:44" ht="30" hidden="1" customHeight="1">
      <c r="AK2416" s="313"/>
      <c r="AL2416" s="313"/>
      <c r="AM2416" s="313"/>
      <c r="AN2416" s="313"/>
      <c r="AO2416" s="313"/>
      <c r="AP2416" s="313"/>
      <c r="AQ2416" s="314"/>
      <c r="AR2416" s="315" t="str">
        <f t="shared" si="111"/>
        <v/>
      </c>
    </row>
    <row r="2417" spans="37:44" ht="30" hidden="1" customHeight="1">
      <c r="AK2417" s="313"/>
      <c r="AL2417" s="313"/>
      <c r="AM2417" s="313"/>
      <c r="AN2417" s="313"/>
      <c r="AO2417" s="313"/>
      <c r="AP2417" s="313"/>
      <c r="AQ2417" s="314"/>
      <c r="AR2417" s="315" t="str">
        <f t="shared" si="111"/>
        <v/>
      </c>
    </row>
    <row r="2418" spans="37:44" ht="30" hidden="1" customHeight="1">
      <c r="AK2418" s="313"/>
      <c r="AL2418" s="313"/>
      <c r="AM2418" s="313"/>
      <c r="AN2418" s="313"/>
      <c r="AO2418" s="313"/>
      <c r="AP2418" s="313"/>
      <c r="AQ2418" s="314"/>
      <c r="AR2418" s="315" t="str">
        <f t="shared" si="111"/>
        <v/>
      </c>
    </row>
    <row r="2419" spans="37:44" ht="30" hidden="1" customHeight="1">
      <c r="AK2419" s="313"/>
      <c r="AL2419" s="313"/>
      <c r="AM2419" s="313"/>
      <c r="AN2419" s="313"/>
      <c r="AO2419" s="313"/>
      <c r="AP2419" s="313"/>
      <c r="AQ2419" s="314"/>
      <c r="AR2419" s="315" t="str">
        <f t="shared" si="111"/>
        <v/>
      </c>
    </row>
    <row r="2420" spans="37:44" ht="30" hidden="1" customHeight="1">
      <c r="AK2420" s="313"/>
      <c r="AL2420" s="313"/>
      <c r="AM2420" s="313"/>
      <c r="AN2420" s="313"/>
      <c r="AO2420" s="313"/>
      <c r="AP2420" s="313"/>
      <c r="AQ2420" s="314"/>
      <c r="AR2420" s="315" t="str">
        <f t="shared" si="111"/>
        <v/>
      </c>
    </row>
    <row r="2421" spans="37:44" ht="30" hidden="1" customHeight="1">
      <c r="AK2421" s="313"/>
      <c r="AL2421" s="313"/>
      <c r="AM2421" s="313"/>
      <c r="AN2421" s="313"/>
      <c r="AO2421" s="313"/>
      <c r="AP2421" s="313"/>
      <c r="AQ2421" s="314"/>
      <c r="AR2421" s="315" t="str">
        <f t="shared" si="111"/>
        <v/>
      </c>
    </row>
    <row r="2422" spans="37:44" ht="30" hidden="1" customHeight="1">
      <c r="AK2422" s="313"/>
      <c r="AL2422" s="313"/>
      <c r="AM2422" s="313"/>
      <c r="AN2422" s="313"/>
      <c r="AO2422" s="313"/>
      <c r="AP2422" s="313"/>
      <c r="AQ2422" s="314"/>
      <c r="AR2422" s="315" t="str">
        <f t="shared" si="111"/>
        <v/>
      </c>
    </row>
    <row r="2423" spans="37:44" ht="30" hidden="1" customHeight="1">
      <c r="AK2423" s="313"/>
      <c r="AL2423" s="313"/>
      <c r="AM2423" s="313"/>
      <c r="AN2423" s="313"/>
      <c r="AO2423" s="313"/>
      <c r="AP2423" s="313"/>
      <c r="AQ2423" s="314"/>
      <c r="AR2423" s="315" t="str">
        <f t="shared" si="111"/>
        <v/>
      </c>
    </row>
    <row r="2424" spans="37:44" ht="30" hidden="1" customHeight="1">
      <c r="AK2424" s="313"/>
      <c r="AL2424" s="313"/>
      <c r="AM2424" s="313"/>
      <c r="AN2424" s="313"/>
      <c r="AO2424" s="313"/>
      <c r="AP2424" s="313"/>
      <c r="AQ2424" s="314"/>
      <c r="AR2424" s="315" t="str">
        <f t="shared" si="111"/>
        <v/>
      </c>
    </row>
    <row r="2425" spans="37:44" ht="30" hidden="1" customHeight="1">
      <c r="AK2425" s="313"/>
      <c r="AL2425" s="313"/>
      <c r="AM2425" s="313"/>
      <c r="AN2425" s="313"/>
      <c r="AO2425" s="313"/>
      <c r="AP2425" s="313"/>
      <c r="AQ2425" s="314"/>
      <c r="AR2425" s="315" t="str">
        <f t="shared" si="111"/>
        <v/>
      </c>
    </row>
    <row r="2426" spans="37:44" ht="30" hidden="1" customHeight="1">
      <c r="AK2426" s="313"/>
      <c r="AL2426" s="313"/>
      <c r="AM2426" s="313"/>
      <c r="AN2426" s="313"/>
      <c r="AO2426" s="313"/>
      <c r="AP2426" s="313"/>
      <c r="AQ2426" s="314"/>
      <c r="AR2426" s="315" t="str">
        <f t="shared" si="111"/>
        <v/>
      </c>
    </row>
    <row r="2427" spans="37:44" ht="30" hidden="1" customHeight="1">
      <c r="AK2427" s="313"/>
      <c r="AL2427" s="313"/>
      <c r="AM2427" s="313"/>
      <c r="AN2427" s="313"/>
      <c r="AO2427" s="313"/>
      <c r="AP2427" s="313"/>
      <c r="AQ2427" s="314"/>
      <c r="AR2427" s="315" t="str">
        <f t="shared" si="111"/>
        <v/>
      </c>
    </row>
    <row r="2428" spans="37:44" ht="30" hidden="1" customHeight="1">
      <c r="AK2428" s="313"/>
      <c r="AL2428" s="313"/>
      <c r="AM2428" s="313"/>
      <c r="AN2428" s="313"/>
      <c r="AO2428" s="313"/>
      <c r="AP2428" s="313"/>
      <c r="AQ2428" s="314"/>
      <c r="AR2428" s="315" t="str">
        <f t="shared" si="111"/>
        <v/>
      </c>
    </row>
    <row r="2429" spans="37:44" ht="30" hidden="1" customHeight="1">
      <c r="AK2429" s="313"/>
      <c r="AL2429" s="313"/>
      <c r="AM2429" s="313"/>
      <c r="AN2429" s="313"/>
      <c r="AO2429" s="313"/>
      <c r="AP2429" s="313"/>
      <c r="AQ2429" s="314"/>
      <c r="AR2429" s="315" t="str">
        <f t="shared" si="111"/>
        <v/>
      </c>
    </row>
    <row r="2430" spans="37:44" ht="30" hidden="1" customHeight="1">
      <c r="AK2430" s="313"/>
      <c r="AL2430" s="313"/>
      <c r="AM2430" s="313"/>
      <c r="AN2430" s="313"/>
      <c r="AO2430" s="313"/>
      <c r="AP2430" s="313"/>
      <c r="AQ2430" s="314"/>
      <c r="AR2430" s="315" t="str">
        <f t="shared" si="111"/>
        <v/>
      </c>
    </row>
    <row r="2431" spans="37:44" ht="30" hidden="1" customHeight="1">
      <c r="AK2431" s="313"/>
      <c r="AL2431" s="313"/>
      <c r="AM2431" s="313"/>
      <c r="AN2431" s="313"/>
      <c r="AO2431" s="313"/>
      <c r="AP2431" s="313"/>
      <c r="AQ2431" s="314"/>
      <c r="AR2431" s="315" t="str">
        <f t="shared" ref="AR2431:AR2494" si="112">IF(AQ2431="SIM","AGUARDANDO CORREÇÃO",IF(AP2431&lt;&gt;"","FINALIZADO",IF(AO2431&lt;&gt;"","AGUARDANDO ENVIO DTS",IF(AN2431&lt;&gt;"","AGUARDANDO ASSINATURA GAB",IF(AM2431&lt;&gt;"","AGUARDANDO ASSINATURA CTS",IF(AL2431&lt;&gt;"","AGUARDANDO ENVIO ASSINATURA CTS",IF(AK2431&lt;&gt;"","AGUARDANDO CONFERÊNCIA","")))))))</f>
        <v/>
      </c>
    </row>
    <row r="2432" spans="37:44" ht="30" hidden="1" customHeight="1">
      <c r="AK2432" s="313"/>
      <c r="AL2432" s="313"/>
      <c r="AM2432" s="313"/>
      <c r="AN2432" s="313"/>
      <c r="AO2432" s="313"/>
      <c r="AP2432" s="313"/>
      <c r="AQ2432" s="314"/>
      <c r="AR2432" s="315" t="str">
        <f t="shared" si="112"/>
        <v/>
      </c>
    </row>
    <row r="2433" spans="37:44" ht="30" hidden="1" customHeight="1">
      <c r="AK2433" s="313"/>
      <c r="AL2433" s="313"/>
      <c r="AM2433" s="313"/>
      <c r="AN2433" s="313"/>
      <c r="AO2433" s="313"/>
      <c r="AP2433" s="313"/>
      <c r="AQ2433" s="314"/>
      <c r="AR2433" s="315" t="str">
        <f t="shared" si="112"/>
        <v/>
      </c>
    </row>
    <row r="2434" spans="37:44" ht="30" hidden="1" customHeight="1">
      <c r="AK2434" s="313"/>
      <c r="AL2434" s="313"/>
      <c r="AM2434" s="313"/>
      <c r="AN2434" s="313"/>
      <c r="AO2434" s="313"/>
      <c r="AP2434" s="313"/>
      <c r="AQ2434" s="314"/>
      <c r="AR2434" s="315" t="str">
        <f t="shared" si="112"/>
        <v/>
      </c>
    </row>
    <row r="2435" spans="37:44" ht="30" hidden="1" customHeight="1">
      <c r="AK2435" s="313"/>
      <c r="AL2435" s="313"/>
      <c r="AM2435" s="313"/>
      <c r="AN2435" s="313"/>
      <c r="AO2435" s="313"/>
      <c r="AP2435" s="313"/>
      <c r="AQ2435" s="314"/>
      <c r="AR2435" s="315" t="str">
        <f t="shared" si="112"/>
        <v/>
      </c>
    </row>
    <row r="2436" spans="37:44" ht="30" hidden="1" customHeight="1">
      <c r="AK2436" s="313"/>
      <c r="AL2436" s="313"/>
      <c r="AM2436" s="313"/>
      <c r="AN2436" s="313"/>
      <c r="AO2436" s="313"/>
      <c r="AP2436" s="313"/>
      <c r="AQ2436" s="314"/>
      <c r="AR2436" s="315" t="str">
        <f t="shared" si="112"/>
        <v/>
      </c>
    </row>
    <row r="2437" spans="37:44" ht="30" hidden="1" customHeight="1">
      <c r="AK2437" s="313"/>
      <c r="AL2437" s="313"/>
      <c r="AM2437" s="313"/>
      <c r="AN2437" s="313"/>
      <c r="AO2437" s="313"/>
      <c r="AP2437" s="313"/>
      <c r="AQ2437" s="314"/>
      <c r="AR2437" s="315" t="str">
        <f t="shared" si="112"/>
        <v/>
      </c>
    </row>
    <row r="2438" spans="37:44" ht="30" hidden="1" customHeight="1">
      <c r="AK2438" s="313"/>
      <c r="AL2438" s="313"/>
      <c r="AM2438" s="313"/>
      <c r="AN2438" s="313"/>
      <c r="AO2438" s="313"/>
      <c r="AP2438" s="313"/>
      <c r="AQ2438" s="314"/>
      <c r="AR2438" s="315" t="str">
        <f t="shared" si="112"/>
        <v/>
      </c>
    </row>
    <row r="2439" spans="37:44" ht="30" hidden="1" customHeight="1">
      <c r="AK2439" s="313"/>
      <c r="AL2439" s="313"/>
      <c r="AM2439" s="313"/>
      <c r="AN2439" s="313"/>
      <c r="AO2439" s="313"/>
      <c r="AP2439" s="313"/>
      <c r="AQ2439" s="314"/>
      <c r="AR2439" s="315" t="str">
        <f t="shared" si="112"/>
        <v/>
      </c>
    </row>
    <row r="2440" spans="37:44" ht="30" hidden="1" customHeight="1">
      <c r="AK2440" s="313"/>
      <c r="AL2440" s="313"/>
      <c r="AM2440" s="313"/>
      <c r="AN2440" s="313"/>
      <c r="AO2440" s="313"/>
      <c r="AP2440" s="313"/>
      <c r="AQ2440" s="314"/>
      <c r="AR2440" s="315" t="str">
        <f t="shared" si="112"/>
        <v/>
      </c>
    </row>
    <row r="2441" spans="37:44" ht="30" hidden="1" customHeight="1">
      <c r="AK2441" s="313"/>
      <c r="AL2441" s="313"/>
      <c r="AM2441" s="313"/>
      <c r="AN2441" s="313"/>
      <c r="AO2441" s="313"/>
      <c r="AP2441" s="313"/>
      <c r="AQ2441" s="314"/>
      <c r="AR2441" s="315" t="str">
        <f t="shared" si="112"/>
        <v/>
      </c>
    </row>
    <row r="2442" spans="37:44" ht="30" hidden="1" customHeight="1">
      <c r="AK2442" s="313"/>
      <c r="AL2442" s="313"/>
      <c r="AM2442" s="313"/>
      <c r="AN2442" s="313"/>
      <c r="AO2442" s="313"/>
      <c r="AP2442" s="313"/>
      <c r="AQ2442" s="314"/>
      <c r="AR2442" s="315" t="str">
        <f t="shared" si="112"/>
        <v/>
      </c>
    </row>
    <row r="2443" spans="37:44" ht="30" hidden="1" customHeight="1">
      <c r="AK2443" s="313"/>
      <c r="AL2443" s="313"/>
      <c r="AM2443" s="313"/>
      <c r="AN2443" s="313"/>
      <c r="AO2443" s="313"/>
      <c r="AP2443" s="313"/>
      <c r="AQ2443" s="314"/>
      <c r="AR2443" s="315" t="str">
        <f t="shared" si="112"/>
        <v/>
      </c>
    </row>
    <row r="2444" spans="37:44" ht="30" hidden="1" customHeight="1">
      <c r="AK2444" s="313"/>
      <c r="AL2444" s="313"/>
      <c r="AM2444" s="313"/>
      <c r="AN2444" s="313"/>
      <c r="AO2444" s="313"/>
      <c r="AP2444" s="313"/>
      <c r="AQ2444" s="314"/>
      <c r="AR2444" s="315" t="str">
        <f t="shared" si="112"/>
        <v/>
      </c>
    </row>
    <row r="2445" spans="37:44" ht="30" hidden="1" customHeight="1">
      <c r="AK2445" s="313"/>
      <c r="AL2445" s="313"/>
      <c r="AM2445" s="313"/>
      <c r="AN2445" s="313"/>
      <c r="AO2445" s="313"/>
      <c r="AP2445" s="313"/>
      <c r="AQ2445" s="314"/>
      <c r="AR2445" s="315" t="str">
        <f t="shared" si="112"/>
        <v/>
      </c>
    </row>
    <row r="2446" spans="37:44" ht="30" hidden="1" customHeight="1">
      <c r="AK2446" s="313"/>
      <c r="AL2446" s="313"/>
      <c r="AM2446" s="313"/>
      <c r="AN2446" s="313"/>
      <c r="AO2446" s="313"/>
      <c r="AP2446" s="313"/>
      <c r="AQ2446" s="314"/>
      <c r="AR2446" s="315" t="str">
        <f t="shared" si="112"/>
        <v/>
      </c>
    </row>
    <row r="2447" spans="37:44" ht="30" hidden="1" customHeight="1">
      <c r="AK2447" s="313"/>
      <c r="AL2447" s="313"/>
      <c r="AM2447" s="313"/>
      <c r="AN2447" s="313"/>
      <c r="AO2447" s="313"/>
      <c r="AP2447" s="313"/>
      <c r="AQ2447" s="314"/>
      <c r="AR2447" s="315" t="str">
        <f t="shared" si="112"/>
        <v/>
      </c>
    </row>
    <row r="2448" spans="37:44" ht="30" hidden="1" customHeight="1">
      <c r="AK2448" s="313"/>
      <c r="AL2448" s="313"/>
      <c r="AM2448" s="313"/>
      <c r="AN2448" s="313"/>
      <c r="AO2448" s="313"/>
      <c r="AP2448" s="313"/>
      <c r="AQ2448" s="314"/>
      <c r="AR2448" s="315" t="str">
        <f t="shared" si="112"/>
        <v/>
      </c>
    </row>
    <row r="2449" spans="37:44" ht="30" hidden="1" customHeight="1">
      <c r="AK2449" s="313"/>
      <c r="AL2449" s="313"/>
      <c r="AM2449" s="313"/>
      <c r="AN2449" s="313"/>
      <c r="AO2449" s="313"/>
      <c r="AP2449" s="313"/>
      <c r="AQ2449" s="314"/>
      <c r="AR2449" s="315" t="str">
        <f t="shared" si="112"/>
        <v/>
      </c>
    </row>
    <row r="2450" spans="37:44" ht="30" hidden="1" customHeight="1">
      <c r="AK2450" s="313"/>
      <c r="AL2450" s="313"/>
      <c r="AM2450" s="313"/>
      <c r="AN2450" s="313"/>
      <c r="AO2450" s="313"/>
      <c r="AP2450" s="313"/>
      <c r="AQ2450" s="314"/>
      <c r="AR2450" s="315" t="str">
        <f t="shared" si="112"/>
        <v/>
      </c>
    </row>
    <row r="2451" spans="37:44" ht="30" hidden="1" customHeight="1">
      <c r="AK2451" s="313"/>
      <c r="AL2451" s="313"/>
      <c r="AM2451" s="313"/>
      <c r="AN2451" s="313"/>
      <c r="AO2451" s="313"/>
      <c r="AP2451" s="313"/>
      <c r="AQ2451" s="314"/>
      <c r="AR2451" s="315" t="str">
        <f t="shared" si="112"/>
        <v/>
      </c>
    </row>
    <row r="2452" spans="37:44" ht="30" hidden="1" customHeight="1">
      <c r="AK2452" s="313"/>
      <c r="AL2452" s="313"/>
      <c r="AM2452" s="313"/>
      <c r="AN2452" s="313"/>
      <c r="AO2452" s="313"/>
      <c r="AP2452" s="313"/>
      <c r="AQ2452" s="314"/>
      <c r="AR2452" s="315" t="str">
        <f t="shared" si="112"/>
        <v/>
      </c>
    </row>
    <row r="2453" spans="37:44" ht="30" hidden="1" customHeight="1">
      <c r="AK2453" s="313"/>
      <c r="AL2453" s="313"/>
      <c r="AM2453" s="313"/>
      <c r="AN2453" s="313"/>
      <c r="AO2453" s="313"/>
      <c r="AP2453" s="313"/>
      <c r="AQ2453" s="314"/>
      <c r="AR2453" s="315" t="str">
        <f t="shared" si="112"/>
        <v/>
      </c>
    </row>
    <row r="2454" spans="37:44" ht="30" hidden="1" customHeight="1">
      <c r="AK2454" s="313"/>
      <c r="AL2454" s="313"/>
      <c r="AM2454" s="313"/>
      <c r="AN2454" s="313"/>
      <c r="AO2454" s="313"/>
      <c r="AP2454" s="313"/>
      <c r="AQ2454" s="314"/>
      <c r="AR2454" s="315" t="str">
        <f t="shared" si="112"/>
        <v/>
      </c>
    </row>
    <row r="2455" spans="37:44" ht="30" hidden="1" customHeight="1">
      <c r="AK2455" s="313"/>
      <c r="AL2455" s="313"/>
      <c r="AM2455" s="313"/>
      <c r="AN2455" s="313"/>
      <c r="AO2455" s="313"/>
      <c r="AP2455" s="313"/>
      <c r="AQ2455" s="314"/>
      <c r="AR2455" s="315" t="str">
        <f t="shared" si="112"/>
        <v/>
      </c>
    </row>
    <row r="2456" spans="37:44" ht="30" hidden="1" customHeight="1">
      <c r="AK2456" s="313"/>
      <c r="AL2456" s="313"/>
      <c r="AM2456" s="313"/>
      <c r="AN2456" s="313"/>
      <c r="AO2456" s="313"/>
      <c r="AP2456" s="313"/>
      <c r="AQ2456" s="314"/>
      <c r="AR2456" s="315" t="str">
        <f t="shared" si="112"/>
        <v/>
      </c>
    </row>
    <row r="2457" spans="37:44" ht="30" hidden="1" customHeight="1">
      <c r="AK2457" s="313"/>
      <c r="AL2457" s="313"/>
      <c r="AM2457" s="313"/>
      <c r="AN2457" s="313"/>
      <c r="AO2457" s="313"/>
      <c r="AP2457" s="313"/>
      <c r="AQ2457" s="314"/>
      <c r="AR2457" s="315" t="str">
        <f t="shared" si="112"/>
        <v/>
      </c>
    </row>
    <row r="2458" spans="37:44" ht="30" hidden="1" customHeight="1">
      <c r="AK2458" s="313"/>
      <c r="AL2458" s="313"/>
      <c r="AM2458" s="313"/>
      <c r="AN2458" s="313"/>
      <c r="AO2458" s="313"/>
      <c r="AP2458" s="313"/>
      <c r="AQ2458" s="314"/>
      <c r="AR2458" s="315" t="str">
        <f t="shared" si="112"/>
        <v/>
      </c>
    </row>
    <row r="2459" spans="37:44" ht="30" hidden="1" customHeight="1">
      <c r="AK2459" s="313"/>
      <c r="AL2459" s="313"/>
      <c r="AM2459" s="313"/>
      <c r="AN2459" s="313"/>
      <c r="AO2459" s="313"/>
      <c r="AP2459" s="313"/>
      <c r="AQ2459" s="314"/>
      <c r="AR2459" s="315" t="str">
        <f t="shared" si="112"/>
        <v/>
      </c>
    </row>
    <row r="2460" spans="37:44" ht="30" hidden="1" customHeight="1">
      <c r="AK2460" s="313"/>
      <c r="AL2460" s="313"/>
      <c r="AM2460" s="313"/>
      <c r="AN2460" s="313"/>
      <c r="AO2460" s="313"/>
      <c r="AP2460" s="313"/>
      <c r="AQ2460" s="314"/>
      <c r="AR2460" s="315" t="str">
        <f t="shared" si="112"/>
        <v/>
      </c>
    </row>
    <row r="2461" spans="37:44" ht="30" hidden="1" customHeight="1">
      <c r="AK2461" s="313"/>
      <c r="AL2461" s="313"/>
      <c r="AM2461" s="313"/>
      <c r="AN2461" s="313"/>
      <c r="AO2461" s="313"/>
      <c r="AP2461" s="313"/>
      <c r="AQ2461" s="314"/>
      <c r="AR2461" s="315" t="str">
        <f t="shared" si="112"/>
        <v/>
      </c>
    </row>
    <row r="2462" spans="37:44" ht="30" hidden="1" customHeight="1">
      <c r="AK2462" s="313"/>
      <c r="AL2462" s="313"/>
      <c r="AM2462" s="313"/>
      <c r="AN2462" s="313"/>
      <c r="AO2462" s="313"/>
      <c r="AP2462" s="313"/>
      <c r="AQ2462" s="314"/>
      <c r="AR2462" s="315" t="str">
        <f t="shared" si="112"/>
        <v/>
      </c>
    </row>
    <row r="2463" spans="37:44" ht="30" hidden="1" customHeight="1">
      <c r="AK2463" s="313"/>
      <c r="AL2463" s="313"/>
      <c r="AM2463" s="313"/>
      <c r="AN2463" s="313"/>
      <c r="AO2463" s="313"/>
      <c r="AP2463" s="313"/>
      <c r="AQ2463" s="314"/>
      <c r="AR2463" s="315" t="str">
        <f t="shared" si="112"/>
        <v/>
      </c>
    </row>
    <row r="2464" spans="37:44" ht="30" hidden="1" customHeight="1">
      <c r="AK2464" s="313"/>
      <c r="AL2464" s="313"/>
      <c r="AM2464" s="313"/>
      <c r="AN2464" s="313"/>
      <c r="AO2464" s="313"/>
      <c r="AP2464" s="313"/>
      <c r="AQ2464" s="314"/>
      <c r="AR2464" s="315" t="str">
        <f t="shared" si="112"/>
        <v/>
      </c>
    </row>
    <row r="2465" spans="37:44" ht="30" hidden="1" customHeight="1">
      <c r="AK2465" s="313"/>
      <c r="AL2465" s="313"/>
      <c r="AM2465" s="313"/>
      <c r="AN2465" s="313"/>
      <c r="AO2465" s="313"/>
      <c r="AP2465" s="313"/>
      <c r="AQ2465" s="314"/>
      <c r="AR2465" s="315" t="str">
        <f t="shared" si="112"/>
        <v/>
      </c>
    </row>
    <row r="2466" spans="37:44" ht="30" hidden="1" customHeight="1">
      <c r="AK2466" s="313"/>
      <c r="AL2466" s="313"/>
      <c r="AM2466" s="313"/>
      <c r="AN2466" s="313"/>
      <c r="AO2466" s="313"/>
      <c r="AP2466" s="313"/>
      <c r="AQ2466" s="314"/>
      <c r="AR2466" s="315" t="str">
        <f t="shared" si="112"/>
        <v/>
      </c>
    </row>
    <row r="2467" spans="37:44" ht="30" hidden="1" customHeight="1">
      <c r="AK2467" s="313"/>
      <c r="AL2467" s="313"/>
      <c r="AM2467" s="313"/>
      <c r="AN2467" s="313"/>
      <c r="AO2467" s="313"/>
      <c r="AP2467" s="313"/>
      <c r="AQ2467" s="314"/>
      <c r="AR2467" s="315" t="str">
        <f t="shared" si="112"/>
        <v/>
      </c>
    </row>
    <row r="2468" spans="37:44" ht="30" hidden="1" customHeight="1">
      <c r="AK2468" s="313"/>
      <c r="AL2468" s="313"/>
      <c r="AM2468" s="313"/>
      <c r="AN2468" s="313"/>
      <c r="AO2468" s="313"/>
      <c r="AP2468" s="313"/>
      <c r="AQ2468" s="314"/>
      <c r="AR2468" s="315" t="str">
        <f t="shared" si="112"/>
        <v/>
      </c>
    </row>
    <row r="2469" spans="37:44" ht="30" hidden="1" customHeight="1">
      <c r="AK2469" s="313"/>
      <c r="AL2469" s="313"/>
      <c r="AM2469" s="313"/>
      <c r="AN2469" s="313"/>
      <c r="AO2469" s="313"/>
      <c r="AP2469" s="313"/>
      <c r="AQ2469" s="314"/>
      <c r="AR2469" s="315" t="str">
        <f t="shared" si="112"/>
        <v/>
      </c>
    </row>
    <row r="2470" spans="37:44" ht="30" hidden="1" customHeight="1">
      <c r="AK2470" s="313"/>
      <c r="AL2470" s="313"/>
      <c r="AM2470" s="313"/>
      <c r="AN2470" s="313"/>
      <c r="AO2470" s="313"/>
      <c r="AP2470" s="313"/>
      <c r="AQ2470" s="314"/>
      <c r="AR2470" s="315" t="str">
        <f t="shared" si="112"/>
        <v/>
      </c>
    </row>
    <row r="2471" spans="37:44" ht="30" hidden="1" customHeight="1">
      <c r="AK2471" s="313"/>
      <c r="AL2471" s="313"/>
      <c r="AM2471" s="313"/>
      <c r="AN2471" s="313"/>
      <c r="AO2471" s="313"/>
      <c r="AP2471" s="313"/>
      <c r="AQ2471" s="314"/>
      <c r="AR2471" s="315" t="str">
        <f t="shared" si="112"/>
        <v/>
      </c>
    </row>
    <row r="2472" spans="37:44" ht="30" hidden="1" customHeight="1">
      <c r="AK2472" s="313"/>
      <c r="AL2472" s="313"/>
      <c r="AM2472" s="313"/>
      <c r="AN2472" s="313"/>
      <c r="AO2472" s="313"/>
      <c r="AP2472" s="313"/>
      <c r="AQ2472" s="314"/>
      <c r="AR2472" s="315" t="str">
        <f t="shared" si="112"/>
        <v/>
      </c>
    </row>
    <row r="2473" spans="37:44" ht="30" hidden="1" customHeight="1">
      <c r="AK2473" s="313"/>
      <c r="AL2473" s="313"/>
      <c r="AM2473" s="313"/>
      <c r="AN2473" s="313"/>
      <c r="AO2473" s="313"/>
      <c r="AP2473" s="313"/>
      <c r="AQ2473" s="314"/>
      <c r="AR2473" s="315" t="str">
        <f t="shared" si="112"/>
        <v/>
      </c>
    </row>
    <row r="2474" spans="37:44" ht="30" hidden="1" customHeight="1">
      <c r="AK2474" s="313"/>
      <c r="AL2474" s="313"/>
      <c r="AM2474" s="313"/>
      <c r="AN2474" s="313"/>
      <c r="AO2474" s="313"/>
      <c r="AP2474" s="313"/>
      <c r="AQ2474" s="314"/>
      <c r="AR2474" s="315" t="str">
        <f t="shared" si="112"/>
        <v/>
      </c>
    </row>
    <row r="2475" spans="37:44" ht="30" hidden="1" customHeight="1">
      <c r="AK2475" s="313"/>
      <c r="AL2475" s="313"/>
      <c r="AM2475" s="313"/>
      <c r="AN2475" s="313"/>
      <c r="AO2475" s="313"/>
      <c r="AP2475" s="313"/>
      <c r="AQ2475" s="314"/>
      <c r="AR2475" s="315" t="str">
        <f t="shared" si="112"/>
        <v/>
      </c>
    </row>
    <row r="2476" spans="37:44" ht="30" hidden="1" customHeight="1">
      <c r="AK2476" s="313"/>
      <c r="AL2476" s="313"/>
      <c r="AM2476" s="313"/>
      <c r="AN2476" s="313"/>
      <c r="AO2476" s="313"/>
      <c r="AP2476" s="313"/>
      <c r="AQ2476" s="314"/>
      <c r="AR2476" s="315" t="str">
        <f t="shared" si="112"/>
        <v/>
      </c>
    </row>
    <row r="2477" spans="37:44" ht="30" hidden="1" customHeight="1">
      <c r="AK2477" s="313"/>
      <c r="AL2477" s="313"/>
      <c r="AM2477" s="313"/>
      <c r="AN2477" s="313"/>
      <c r="AO2477" s="313"/>
      <c r="AP2477" s="313"/>
      <c r="AQ2477" s="314"/>
      <c r="AR2477" s="315" t="str">
        <f t="shared" si="112"/>
        <v/>
      </c>
    </row>
    <row r="2478" spans="37:44" ht="30" hidden="1" customHeight="1">
      <c r="AK2478" s="313"/>
      <c r="AL2478" s="313"/>
      <c r="AM2478" s="313"/>
      <c r="AN2478" s="313"/>
      <c r="AO2478" s="313"/>
      <c r="AP2478" s="313"/>
      <c r="AQ2478" s="314"/>
      <c r="AR2478" s="315" t="str">
        <f t="shared" si="112"/>
        <v/>
      </c>
    </row>
    <row r="2479" spans="37:44" ht="30" hidden="1" customHeight="1">
      <c r="AK2479" s="313"/>
      <c r="AL2479" s="313"/>
      <c r="AM2479" s="313"/>
      <c r="AN2479" s="313"/>
      <c r="AO2479" s="313"/>
      <c r="AP2479" s="313"/>
      <c r="AQ2479" s="314"/>
      <c r="AR2479" s="315" t="str">
        <f t="shared" si="112"/>
        <v/>
      </c>
    </row>
    <row r="2480" spans="37:44" ht="30" hidden="1" customHeight="1">
      <c r="AK2480" s="313"/>
      <c r="AL2480" s="313"/>
      <c r="AM2480" s="313"/>
      <c r="AN2480" s="313"/>
      <c r="AO2480" s="313"/>
      <c r="AP2480" s="313"/>
      <c r="AQ2480" s="314"/>
      <c r="AR2480" s="315" t="str">
        <f t="shared" si="112"/>
        <v/>
      </c>
    </row>
    <row r="2481" spans="37:44" ht="30" hidden="1" customHeight="1">
      <c r="AK2481" s="313"/>
      <c r="AL2481" s="313"/>
      <c r="AM2481" s="313"/>
      <c r="AN2481" s="313"/>
      <c r="AO2481" s="313"/>
      <c r="AP2481" s="313"/>
      <c r="AQ2481" s="314"/>
      <c r="AR2481" s="315" t="str">
        <f t="shared" si="112"/>
        <v/>
      </c>
    </row>
    <row r="2482" spans="37:44" ht="30" hidden="1" customHeight="1">
      <c r="AK2482" s="313"/>
      <c r="AL2482" s="313"/>
      <c r="AM2482" s="313"/>
      <c r="AN2482" s="313"/>
      <c r="AO2482" s="313"/>
      <c r="AP2482" s="313"/>
      <c r="AQ2482" s="314"/>
      <c r="AR2482" s="315" t="str">
        <f t="shared" si="112"/>
        <v/>
      </c>
    </row>
    <row r="2483" spans="37:44" ht="30" hidden="1" customHeight="1">
      <c r="AK2483" s="313"/>
      <c r="AL2483" s="313"/>
      <c r="AM2483" s="313"/>
      <c r="AN2483" s="313"/>
      <c r="AO2483" s="313"/>
      <c r="AP2483" s="313"/>
      <c r="AQ2483" s="314"/>
      <c r="AR2483" s="315" t="str">
        <f t="shared" si="112"/>
        <v/>
      </c>
    </row>
    <row r="2484" spans="37:44" ht="30" hidden="1" customHeight="1">
      <c r="AK2484" s="313"/>
      <c r="AL2484" s="313"/>
      <c r="AM2484" s="313"/>
      <c r="AN2484" s="313"/>
      <c r="AO2484" s="313"/>
      <c r="AP2484" s="313"/>
      <c r="AQ2484" s="314"/>
      <c r="AR2484" s="315" t="str">
        <f t="shared" si="112"/>
        <v/>
      </c>
    </row>
    <row r="2485" spans="37:44" ht="30" hidden="1" customHeight="1">
      <c r="AK2485" s="313"/>
      <c r="AL2485" s="313"/>
      <c r="AM2485" s="313"/>
      <c r="AN2485" s="313"/>
      <c r="AO2485" s="313"/>
      <c r="AP2485" s="313"/>
      <c r="AQ2485" s="314"/>
      <c r="AR2485" s="315" t="str">
        <f t="shared" si="112"/>
        <v/>
      </c>
    </row>
    <row r="2486" spans="37:44" ht="30" hidden="1" customHeight="1">
      <c r="AK2486" s="313"/>
      <c r="AL2486" s="313"/>
      <c r="AM2486" s="313"/>
      <c r="AN2486" s="313"/>
      <c r="AO2486" s="313"/>
      <c r="AP2486" s="313"/>
      <c r="AQ2486" s="314"/>
      <c r="AR2486" s="315" t="str">
        <f t="shared" si="112"/>
        <v/>
      </c>
    </row>
    <row r="2487" spans="37:44" ht="30" hidden="1" customHeight="1">
      <c r="AK2487" s="313"/>
      <c r="AL2487" s="313"/>
      <c r="AM2487" s="313"/>
      <c r="AN2487" s="313"/>
      <c r="AO2487" s="313"/>
      <c r="AP2487" s="313"/>
      <c r="AQ2487" s="314"/>
      <c r="AR2487" s="315" t="str">
        <f t="shared" si="112"/>
        <v/>
      </c>
    </row>
    <row r="2488" spans="37:44" ht="30" hidden="1" customHeight="1">
      <c r="AK2488" s="313"/>
      <c r="AL2488" s="313"/>
      <c r="AM2488" s="313"/>
      <c r="AN2488" s="313"/>
      <c r="AO2488" s="313"/>
      <c r="AP2488" s="313"/>
      <c r="AQ2488" s="314"/>
      <c r="AR2488" s="315" t="str">
        <f t="shared" si="112"/>
        <v/>
      </c>
    </row>
    <row r="2489" spans="37:44" ht="30" hidden="1" customHeight="1">
      <c r="AK2489" s="313"/>
      <c r="AL2489" s="313"/>
      <c r="AM2489" s="313"/>
      <c r="AN2489" s="313"/>
      <c r="AO2489" s="313"/>
      <c r="AP2489" s="313"/>
      <c r="AQ2489" s="314"/>
      <c r="AR2489" s="315" t="str">
        <f t="shared" si="112"/>
        <v/>
      </c>
    </row>
    <row r="2490" spans="37:44" ht="30" hidden="1" customHeight="1">
      <c r="AK2490" s="313"/>
      <c r="AL2490" s="313"/>
      <c r="AM2490" s="313"/>
      <c r="AN2490" s="313"/>
      <c r="AO2490" s="313"/>
      <c r="AP2490" s="313"/>
      <c r="AQ2490" s="314"/>
      <c r="AR2490" s="315" t="str">
        <f t="shared" si="112"/>
        <v/>
      </c>
    </row>
    <row r="2491" spans="37:44" ht="30" hidden="1" customHeight="1">
      <c r="AK2491" s="313"/>
      <c r="AL2491" s="313"/>
      <c r="AM2491" s="313"/>
      <c r="AN2491" s="313"/>
      <c r="AO2491" s="313"/>
      <c r="AP2491" s="313"/>
      <c r="AQ2491" s="314"/>
      <c r="AR2491" s="315" t="str">
        <f t="shared" si="112"/>
        <v/>
      </c>
    </row>
    <row r="2492" spans="37:44" ht="30" hidden="1" customHeight="1">
      <c r="AK2492" s="313"/>
      <c r="AL2492" s="313"/>
      <c r="AM2492" s="313"/>
      <c r="AN2492" s="313"/>
      <c r="AO2492" s="313"/>
      <c r="AP2492" s="313"/>
      <c r="AQ2492" s="314"/>
      <c r="AR2492" s="315" t="str">
        <f t="shared" si="112"/>
        <v/>
      </c>
    </row>
    <row r="2493" spans="37:44" ht="30" hidden="1" customHeight="1">
      <c r="AK2493" s="313"/>
      <c r="AL2493" s="313"/>
      <c r="AM2493" s="313"/>
      <c r="AN2493" s="313"/>
      <c r="AO2493" s="313"/>
      <c r="AP2493" s="313"/>
      <c r="AQ2493" s="314"/>
      <c r="AR2493" s="315" t="str">
        <f t="shared" si="112"/>
        <v/>
      </c>
    </row>
    <row r="2494" spans="37:44" ht="30" hidden="1" customHeight="1">
      <c r="AK2494" s="313"/>
      <c r="AL2494" s="313"/>
      <c r="AM2494" s="313"/>
      <c r="AN2494" s="313"/>
      <c r="AO2494" s="313"/>
      <c r="AP2494" s="313"/>
      <c r="AQ2494" s="314"/>
      <c r="AR2494" s="315" t="str">
        <f t="shared" si="112"/>
        <v/>
      </c>
    </row>
    <row r="2495" spans="37:44" ht="30" hidden="1" customHeight="1">
      <c r="AK2495" s="313"/>
      <c r="AL2495" s="313"/>
      <c r="AM2495" s="313"/>
      <c r="AN2495" s="313"/>
      <c r="AO2495" s="313"/>
      <c r="AP2495" s="313"/>
      <c r="AQ2495" s="314"/>
      <c r="AR2495" s="315" t="str">
        <f t="shared" ref="AR2495:AR2558" si="113">IF(AQ2495="SIM","AGUARDANDO CORREÇÃO",IF(AP2495&lt;&gt;"","FINALIZADO",IF(AO2495&lt;&gt;"","AGUARDANDO ENVIO DTS",IF(AN2495&lt;&gt;"","AGUARDANDO ASSINATURA GAB",IF(AM2495&lt;&gt;"","AGUARDANDO ASSINATURA CTS",IF(AL2495&lt;&gt;"","AGUARDANDO ENVIO ASSINATURA CTS",IF(AK2495&lt;&gt;"","AGUARDANDO CONFERÊNCIA","")))))))</f>
        <v/>
      </c>
    </row>
    <row r="2496" spans="37:44" ht="30" hidden="1" customHeight="1">
      <c r="AK2496" s="313"/>
      <c r="AL2496" s="313"/>
      <c r="AM2496" s="313"/>
      <c r="AN2496" s="313"/>
      <c r="AO2496" s="313"/>
      <c r="AP2496" s="313"/>
      <c r="AQ2496" s="314"/>
      <c r="AR2496" s="315" t="str">
        <f t="shared" si="113"/>
        <v/>
      </c>
    </row>
    <row r="2497" spans="37:44" ht="30" hidden="1" customHeight="1">
      <c r="AK2497" s="313"/>
      <c r="AL2497" s="313"/>
      <c r="AM2497" s="313"/>
      <c r="AN2497" s="313"/>
      <c r="AO2497" s="313"/>
      <c r="AP2497" s="313"/>
      <c r="AQ2497" s="314"/>
      <c r="AR2497" s="315" t="str">
        <f t="shared" si="113"/>
        <v/>
      </c>
    </row>
    <row r="2498" spans="37:44" ht="30" hidden="1" customHeight="1">
      <c r="AK2498" s="313"/>
      <c r="AL2498" s="313"/>
      <c r="AM2498" s="313"/>
      <c r="AN2498" s="313"/>
      <c r="AO2498" s="313"/>
      <c r="AP2498" s="313"/>
      <c r="AQ2498" s="314"/>
      <c r="AR2498" s="315" t="str">
        <f t="shared" si="113"/>
        <v/>
      </c>
    </row>
    <row r="2499" spans="37:44" ht="30" hidden="1" customHeight="1">
      <c r="AK2499" s="313"/>
      <c r="AL2499" s="313"/>
      <c r="AM2499" s="313"/>
      <c r="AN2499" s="313"/>
      <c r="AO2499" s="313"/>
      <c r="AP2499" s="313"/>
      <c r="AQ2499" s="314"/>
      <c r="AR2499" s="315" t="str">
        <f t="shared" si="113"/>
        <v/>
      </c>
    </row>
    <row r="2500" spans="37:44" ht="30" hidden="1" customHeight="1">
      <c r="AK2500" s="313"/>
      <c r="AL2500" s="313"/>
      <c r="AM2500" s="313"/>
      <c r="AN2500" s="313"/>
      <c r="AO2500" s="313"/>
      <c r="AP2500" s="313"/>
      <c r="AQ2500" s="314"/>
      <c r="AR2500" s="315" t="str">
        <f t="shared" si="113"/>
        <v/>
      </c>
    </row>
    <row r="2501" spans="37:44" ht="30" hidden="1" customHeight="1">
      <c r="AK2501" s="313"/>
      <c r="AL2501" s="313"/>
      <c r="AM2501" s="313"/>
      <c r="AN2501" s="313"/>
      <c r="AO2501" s="313"/>
      <c r="AP2501" s="313"/>
      <c r="AQ2501" s="314"/>
      <c r="AR2501" s="315" t="str">
        <f t="shared" si="113"/>
        <v/>
      </c>
    </row>
    <row r="2502" spans="37:44" ht="30" hidden="1" customHeight="1">
      <c r="AK2502" s="313"/>
      <c r="AL2502" s="313"/>
      <c r="AM2502" s="313"/>
      <c r="AN2502" s="313"/>
      <c r="AO2502" s="313"/>
      <c r="AP2502" s="313"/>
      <c r="AQ2502" s="314"/>
      <c r="AR2502" s="315" t="str">
        <f t="shared" si="113"/>
        <v/>
      </c>
    </row>
    <row r="2503" spans="37:44" ht="30" hidden="1" customHeight="1">
      <c r="AK2503" s="313"/>
      <c r="AL2503" s="313"/>
      <c r="AM2503" s="313"/>
      <c r="AN2503" s="313"/>
      <c r="AO2503" s="313"/>
      <c r="AP2503" s="313"/>
      <c r="AQ2503" s="314"/>
      <c r="AR2503" s="315" t="str">
        <f t="shared" si="113"/>
        <v/>
      </c>
    </row>
    <row r="2504" spans="37:44" ht="30" hidden="1" customHeight="1">
      <c r="AK2504" s="313"/>
      <c r="AL2504" s="313"/>
      <c r="AM2504" s="313"/>
      <c r="AN2504" s="313"/>
      <c r="AO2504" s="313"/>
      <c r="AP2504" s="313"/>
      <c r="AQ2504" s="314"/>
      <c r="AR2504" s="315" t="str">
        <f t="shared" si="113"/>
        <v/>
      </c>
    </row>
    <row r="2505" spans="37:44" ht="30" hidden="1" customHeight="1">
      <c r="AK2505" s="313"/>
      <c r="AL2505" s="313"/>
      <c r="AM2505" s="313"/>
      <c r="AN2505" s="313"/>
      <c r="AO2505" s="313"/>
      <c r="AP2505" s="313"/>
      <c r="AQ2505" s="314"/>
      <c r="AR2505" s="315" t="str">
        <f t="shared" si="113"/>
        <v/>
      </c>
    </row>
    <row r="2506" spans="37:44" ht="30" hidden="1" customHeight="1">
      <c r="AK2506" s="313"/>
      <c r="AL2506" s="313"/>
      <c r="AM2506" s="313"/>
      <c r="AN2506" s="313"/>
      <c r="AO2506" s="313"/>
      <c r="AP2506" s="313"/>
      <c r="AQ2506" s="314"/>
      <c r="AR2506" s="315" t="str">
        <f t="shared" si="113"/>
        <v/>
      </c>
    </row>
    <row r="2507" spans="37:44" ht="30" hidden="1" customHeight="1">
      <c r="AK2507" s="313"/>
      <c r="AL2507" s="313"/>
      <c r="AM2507" s="313"/>
      <c r="AN2507" s="313"/>
      <c r="AO2507" s="313"/>
      <c r="AP2507" s="313"/>
      <c r="AQ2507" s="314"/>
      <c r="AR2507" s="315" t="str">
        <f t="shared" si="113"/>
        <v/>
      </c>
    </row>
    <row r="2508" spans="37:44" ht="30" hidden="1" customHeight="1">
      <c r="AK2508" s="313"/>
      <c r="AL2508" s="313"/>
      <c r="AM2508" s="313"/>
      <c r="AN2508" s="313"/>
      <c r="AO2508" s="313"/>
      <c r="AP2508" s="313"/>
      <c r="AQ2508" s="314"/>
      <c r="AR2508" s="315" t="str">
        <f t="shared" si="113"/>
        <v/>
      </c>
    </row>
    <row r="2509" spans="37:44" ht="30" hidden="1" customHeight="1">
      <c r="AK2509" s="313"/>
      <c r="AL2509" s="313"/>
      <c r="AM2509" s="313"/>
      <c r="AN2509" s="313"/>
      <c r="AO2509" s="313"/>
      <c r="AP2509" s="313"/>
      <c r="AQ2509" s="314"/>
      <c r="AR2509" s="315" t="str">
        <f t="shared" si="113"/>
        <v/>
      </c>
    </row>
    <row r="2510" spans="37:44" ht="30" hidden="1" customHeight="1">
      <c r="AK2510" s="313"/>
      <c r="AL2510" s="313"/>
      <c r="AM2510" s="313"/>
      <c r="AN2510" s="313"/>
      <c r="AO2510" s="313"/>
      <c r="AP2510" s="313"/>
      <c r="AQ2510" s="314"/>
      <c r="AR2510" s="315" t="str">
        <f t="shared" si="113"/>
        <v/>
      </c>
    </row>
    <row r="2511" spans="37:44" ht="30" hidden="1" customHeight="1">
      <c r="AK2511" s="313"/>
      <c r="AL2511" s="313"/>
      <c r="AM2511" s="313"/>
      <c r="AN2511" s="313"/>
      <c r="AO2511" s="313"/>
      <c r="AP2511" s="313"/>
      <c r="AQ2511" s="314"/>
      <c r="AR2511" s="315" t="str">
        <f t="shared" si="113"/>
        <v/>
      </c>
    </row>
    <row r="2512" spans="37:44" ht="30" hidden="1" customHeight="1">
      <c r="AK2512" s="313"/>
      <c r="AL2512" s="313"/>
      <c r="AM2512" s="313"/>
      <c r="AN2512" s="313"/>
      <c r="AO2512" s="313"/>
      <c r="AP2512" s="313"/>
      <c r="AQ2512" s="314"/>
      <c r="AR2512" s="315" t="str">
        <f t="shared" si="113"/>
        <v/>
      </c>
    </row>
    <row r="2513" spans="37:44" ht="30" hidden="1" customHeight="1">
      <c r="AK2513" s="313"/>
      <c r="AL2513" s="313"/>
      <c r="AM2513" s="313"/>
      <c r="AN2513" s="313"/>
      <c r="AO2513" s="313"/>
      <c r="AP2513" s="313"/>
      <c r="AQ2513" s="314"/>
      <c r="AR2513" s="315" t="str">
        <f t="shared" si="113"/>
        <v/>
      </c>
    </row>
    <row r="2514" spans="37:44" ht="30" hidden="1" customHeight="1">
      <c r="AK2514" s="313"/>
      <c r="AL2514" s="313"/>
      <c r="AM2514" s="313"/>
      <c r="AN2514" s="313"/>
      <c r="AO2514" s="313"/>
      <c r="AP2514" s="313"/>
      <c r="AQ2514" s="314"/>
      <c r="AR2514" s="315" t="str">
        <f t="shared" si="113"/>
        <v/>
      </c>
    </row>
    <row r="2515" spans="37:44" ht="30" hidden="1" customHeight="1">
      <c r="AK2515" s="313"/>
      <c r="AL2515" s="313"/>
      <c r="AM2515" s="313"/>
      <c r="AN2515" s="313"/>
      <c r="AO2515" s="313"/>
      <c r="AP2515" s="313"/>
      <c r="AQ2515" s="314"/>
      <c r="AR2515" s="315" t="str">
        <f t="shared" si="113"/>
        <v/>
      </c>
    </row>
    <row r="2516" spans="37:44" ht="30" hidden="1" customHeight="1">
      <c r="AK2516" s="313"/>
      <c r="AL2516" s="313"/>
      <c r="AM2516" s="313"/>
      <c r="AN2516" s="313"/>
      <c r="AO2516" s="313"/>
      <c r="AP2516" s="313"/>
      <c r="AQ2516" s="314"/>
      <c r="AR2516" s="315" t="str">
        <f t="shared" si="113"/>
        <v/>
      </c>
    </row>
    <row r="2517" spans="37:44" ht="30" hidden="1" customHeight="1">
      <c r="AK2517" s="313"/>
      <c r="AL2517" s="313"/>
      <c r="AM2517" s="313"/>
      <c r="AN2517" s="313"/>
      <c r="AO2517" s="313"/>
      <c r="AP2517" s="313"/>
      <c r="AQ2517" s="314"/>
      <c r="AR2517" s="315" t="str">
        <f t="shared" si="113"/>
        <v/>
      </c>
    </row>
    <row r="2518" spans="37:44" ht="30" hidden="1" customHeight="1">
      <c r="AK2518" s="313"/>
      <c r="AL2518" s="313"/>
      <c r="AM2518" s="313"/>
      <c r="AN2518" s="313"/>
      <c r="AO2518" s="313"/>
      <c r="AP2518" s="313"/>
      <c r="AQ2518" s="314"/>
      <c r="AR2518" s="315" t="str">
        <f t="shared" si="113"/>
        <v/>
      </c>
    </row>
    <row r="2519" spans="37:44" ht="30" hidden="1" customHeight="1">
      <c r="AK2519" s="313"/>
      <c r="AL2519" s="313"/>
      <c r="AM2519" s="313"/>
      <c r="AN2519" s="313"/>
      <c r="AO2519" s="313"/>
      <c r="AP2519" s="313"/>
      <c r="AQ2519" s="314"/>
      <c r="AR2519" s="315" t="str">
        <f t="shared" si="113"/>
        <v/>
      </c>
    </row>
    <row r="2520" spans="37:44" ht="30" hidden="1" customHeight="1">
      <c r="AK2520" s="313"/>
      <c r="AL2520" s="313"/>
      <c r="AM2520" s="313"/>
      <c r="AN2520" s="313"/>
      <c r="AO2520" s="313"/>
      <c r="AP2520" s="313"/>
      <c r="AQ2520" s="314"/>
      <c r="AR2520" s="315" t="str">
        <f t="shared" si="113"/>
        <v/>
      </c>
    </row>
    <row r="2521" spans="37:44" ht="30" hidden="1" customHeight="1">
      <c r="AK2521" s="313"/>
      <c r="AL2521" s="313"/>
      <c r="AM2521" s="313"/>
      <c r="AN2521" s="313"/>
      <c r="AO2521" s="313"/>
      <c r="AP2521" s="313"/>
      <c r="AQ2521" s="314"/>
      <c r="AR2521" s="315" t="str">
        <f t="shared" si="113"/>
        <v/>
      </c>
    </row>
    <row r="2522" spans="37:44" ht="30" hidden="1" customHeight="1">
      <c r="AK2522" s="313"/>
      <c r="AL2522" s="313"/>
      <c r="AM2522" s="313"/>
      <c r="AN2522" s="313"/>
      <c r="AO2522" s="313"/>
      <c r="AP2522" s="313"/>
      <c r="AQ2522" s="314"/>
      <c r="AR2522" s="315" t="str">
        <f t="shared" si="113"/>
        <v/>
      </c>
    </row>
    <row r="2523" spans="37:44" ht="30" hidden="1" customHeight="1">
      <c r="AK2523" s="313"/>
      <c r="AL2523" s="313"/>
      <c r="AM2523" s="313"/>
      <c r="AN2523" s="313"/>
      <c r="AO2523" s="313"/>
      <c r="AP2523" s="313"/>
      <c r="AQ2523" s="314"/>
      <c r="AR2523" s="315" t="str">
        <f t="shared" si="113"/>
        <v/>
      </c>
    </row>
    <row r="2524" spans="37:44" ht="30" hidden="1" customHeight="1">
      <c r="AK2524" s="313"/>
      <c r="AL2524" s="313"/>
      <c r="AM2524" s="313"/>
      <c r="AN2524" s="313"/>
      <c r="AO2524" s="313"/>
      <c r="AP2524" s="313"/>
      <c r="AQ2524" s="314"/>
      <c r="AR2524" s="315" t="str">
        <f t="shared" si="113"/>
        <v/>
      </c>
    </row>
    <row r="2525" spans="37:44" ht="30" hidden="1" customHeight="1">
      <c r="AK2525" s="313"/>
      <c r="AL2525" s="313"/>
      <c r="AM2525" s="313"/>
      <c r="AN2525" s="313"/>
      <c r="AO2525" s="313"/>
      <c r="AP2525" s="313"/>
      <c r="AQ2525" s="314"/>
      <c r="AR2525" s="315" t="str">
        <f t="shared" si="113"/>
        <v/>
      </c>
    </row>
    <row r="2526" spans="37:44" ht="30" hidden="1" customHeight="1">
      <c r="AK2526" s="313"/>
      <c r="AL2526" s="313"/>
      <c r="AM2526" s="313"/>
      <c r="AN2526" s="313"/>
      <c r="AO2526" s="313"/>
      <c r="AP2526" s="313"/>
      <c r="AQ2526" s="314"/>
      <c r="AR2526" s="315" t="str">
        <f t="shared" si="113"/>
        <v/>
      </c>
    </row>
    <row r="2527" spans="37:44" ht="30" hidden="1" customHeight="1">
      <c r="AK2527" s="313"/>
      <c r="AL2527" s="313"/>
      <c r="AM2527" s="313"/>
      <c r="AN2527" s="313"/>
      <c r="AO2527" s="313"/>
      <c r="AP2527" s="313"/>
      <c r="AQ2527" s="314"/>
      <c r="AR2527" s="315" t="str">
        <f t="shared" si="113"/>
        <v/>
      </c>
    </row>
    <row r="2528" spans="37:44" ht="30" hidden="1" customHeight="1">
      <c r="AK2528" s="313"/>
      <c r="AL2528" s="313"/>
      <c r="AM2528" s="313"/>
      <c r="AN2528" s="313"/>
      <c r="AO2528" s="313"/>
      <c r="AP2528" s="313"/>
      <c r="AQ2528" s="314"/>
      <c r="AR2528" s="315" t="str">
        <f t="shared" si="113"/>
        <v/>
      </c>
    </row>
    <row r="2529" spans="37:44" ht="30" hidden="1" customHeight="1">
      <c r="AK2529" s="313"/>
      <c r="AL2529" s="313"/>
      <c r="AM2529" s="313"/>
      <c r="AN2529" s="313"/>
      <c r="AO2529" s="313"/>
      <c r="AP2529" s="313"/>
      <c r="AQ2529" s="314"/>
      <c r="AR2529" s="315" t="str">
        <f t="shared" si="113"/>
        <v/>
      </c>
    </row>
    <row r="2530" spans="37:44" ht="30" hidden="1" customHeight="1">
      <c r="AK2530" s="313"/>
      <c r="AL2530" s="313"/>
      <c r="AM2530" s="313"/>
      <c r="AN2530" s="313"/>
      <c r="AO2530" s="313"/>
      <c r="AP2530" s="313"/>
      <c r="AQ2530" s="314"/>
      <c r="AR2530" s="315" t="str">
        <f t="shared" si="113"/>
        <v/>
      </c>
    </row>
    <row r="2531" spans="37:44" ht="30" hidden="1" customHeight="1">
      <c r="AK2531" s="313"/>
      <c r="AL2531" s="313"/>
      <c r="AM2531" s="313"/>
      <c r="AN2531" s="313"/>
      <c r="AO2531" s="313"/>
      <c r="AP2531" s="313"/>
      <c r="AQ2531" s="314"/>
      <c r="AR2531" s="315" t="str">
        <f t="shared" si="113"/>
        <v/>
      </c>
    </row>
    <row r="2532" spans="37:44" ht="30" hidden="1" customHeight="1">
      <c r="AK2532" s="313"/>
      <c r="AL2532" s="313"/>
      <c r="AM2532" s="313"/>
      <c r="AN2532" s="313"/>
      <c r="AO2532" s="313"/>
      <c r="AP2532" s="313"/>
      <c r="AQ2532" s="314"/>
      <c r="AR2532" s="315" t="str">
        <f t="shared" si="113"/>
        <v/>
      </c>
    </row>
    <row r="2533" spans="37:44" ht="30" hidden="1" customHeight="1">
      <c r="AK2533" s="313"/>
      <c r="AL2533" s="313"/>
      <c r="AM2533" s="313"/>
      <c r="AN2533" s="313"/>
      <c r="AO2533" s="313"/>
      <c r="AP2533" s="313"/>
      <c r="AQ2533" s="314"/>
      <c r="AR2533" s="315" t="str">
        <f t="shared" si="113"/>
        <v/>
      </c>
    </row>
    <row r="2534" spans="37:44" ht="30" hidden="1" customHeight="1">
      <c r="AK2534" s="313"/>
      <c r="AL2534" s="313"/>
      <c r="AM2534" s="313"/>
      <c r="AN2534" s="313"/>
      <c r="AO2534" s="313"/>
      <c r="AP2534" s="313"/>
      <c r="AQ2534" s="314"/>
      <c r="AR2534" s="315" t="str">
        <f t="shared" si="113"/>
        <v/>
      </c>
    </row>
    <row r="2535" spans="37:44" ht="30" hidden="1" customHeight="1">
      <c r="AK2535" s="313"/>
      <c r="AL2535" s="313"/>
      <c r="AM2535" s="313"/>
      <c r="AN2535" s="313"/>
      <c r="AO2535" s="313"/>
      <c r="AP2535" s="313"/>
      <c r="AQ2535" s="314"/>
      <c r="AR2535" s="315" t="str">
        <f t="shared" si="113"/>
        <v/>
      </c>
    </row>
    <row r="2536" spans="37:44" ht="30" hidden="1" customHeight="1">
      <c r="AK2536" s="313"/>
      <c r="AL2536" s="313"/>
      <c r="AM2536" s="313"/>
      <c r="AN2536" s="313"/>
      <c r="AO2536" s="313"/>
      <c r="AP2536" s="313"/>
      <c r="AQ2536" s="314"/>
      <c r="AR2536" s="315" t="str">
        <f t="shared" si="113"/>
        <v/>
      </c>
    </row>
    <row r="2537" spans="37:44" ht="30" hidden="1" customHeight="1">
      <c r="AK2537" s="313"/>
      <c r="AL2537" s="313"/>
      <c r="AM2537" s="313"/>
      <c r="AN2537" s="313"/>
      <c r="AO2537" s="313"/>
      <c r="AP2537" s="313"/>
      <c r="AQ2537" s="314"/>
      <c r="AR2537" s="315" t="str">
        <f t="shared" si="113"/>
        <v/>
      </c>
    </row>
    <row r="2538" spans="37:44" ht="30" hidden="1" customHeight="1">
      <c r="AK2538" s="313"/>
      <c r="AL2538" s="313"/>
      <c r="AM2538" s="313"/>
      <c r="AN2538" s="313"/>
      <c r="AO2538" s="313"/>
      <c r="AP2538" s="313"/>
      <c r="AQ2538" s="314"/>
      <c r="AR2538" s="315" t="str">
        <f t="shared" si="113"/>
        <v/>
      </c>
    </row>
    <row r="2539" spans="37:44" ht="30" hidden="1" customHeight="1">
      <c r="AK2539" s="313"/>
      <c r="AL2539" s="313"/>
      <c r="AM2539" s="313"/>
      <c r="AN2539" s="313"/>
      <c r="AO2539" s="313"/>
      <c r="AP2539" s="313"/>
      <c r="AQ2539" s="314"/>
      <c r="AR2539" s="315" t="str">
        <f t="shared" si="113"/>
        <v/>
      </c>
    </row>
    <row r="2540" spans="37:44" ht="30" hidden="1" customHeight="1">
      <c r="AK2540" s="313"/>
      <c r="AL2540" s="313"/>
      <c r="AM2540" s="313"/>
      <c r="AN2540" s="313"/>
      <c r="AO2540" s="313"/>
      <c r="AP2540" s="313"/>
      <c r="AQ2540" s="314"/>
      <c r="AR2540" s="315" t="str">
        <f t="shared" si="113"/>
        <v/>
      </c>
    </row>
    <row r="2541" spans="37:44" ht="30" hidden="1" customHeight="1">
      <c r="AK2541" s="313"/>
      <c r="AL2541" s="313"/>
      <c r="AM2541" s="313"/>
      <c r="AN2541" s="313"/>
      <c r="AO2541" s="313"/>
      <c r="AP2541" s="313"/>
      <c r="AQ2541" s="314"/>
      <c r="AR2541" s="315" t="str">
        <f t="shared" si="113"/>
        <v/>
      </c>
    </row>
    <row r="2542" spans="37:44" ht="30" hidden="1" customHeight="1">
      <c r="AK2542" s="313"/>
      <c r="AL2542" s="313"/>
      <c r="AM2542" s="313"/>
      <c r="AN2542" s="313"/>
      <c r="AO2542" s="313"/>
      <c r="AP2542" s="313"/>
      <c r="AQ2542" s="314"/>
      <c r="AR2542" s="315" t="str">
        <f t="shared" si="113"/>
        <v/>
      </c>
    </row>
    <row r="2543" spans="37:44" ht="30" hidden="1" customHeight="1">
      <c r="AK2543" s="313"/>
      <c r="AL2543" s="313"/>
      <c r="AM2543" s="313"/>
      <c r="AN2543" s="313"/>
      <c r="AO2543" s="313"/>
      <c r="AP2543" s="313"/>
      <c r="AQ2543" s="314"/>
      <c r="AR2543" s="315" t="str">
        <f t="shared" si="113"/>
        <v/>
      </c>
    </row>
    <row r="2544" spans="37:44" ht="30" hidden="1" customHeight="1">
      <c r="AK2544" s="313"/>
      <c r="AL2544" s="313"/>
      <c r="AM2544" s="313"/>
      <c r="AN2544" s="313"/>
      <c r="AO2544" s="313"/>
      <c r="AP2544" s="313"/>
      <c r="AQ2544" s="314"/>
      <c r="AR2544" s="315" t="str">
        <f t="shared" si="113"/>
        <v/>
      </c>
    </row>
    <row r="2545" spans="37:44" ht="30" hidden="1" customHeight="1">
      <c r="AK2545" s="313"/>
      <c r="AL2545" s="313"/>
      <c r="AM2545" s="313"/>
      <c r="AN2545" s="313"/>
      <c r="AO2545" s="313"/>
      <c r="AP2545" s="313"/>
      <c r="AQ2545" s="314"/>
      <c r="AR2545" s="315" t="str">
        <f t="shared" si="113"/>
        <v/>
      </c>
    </row>
    <row r="2546" spans="37:44" ht="30" hidden="1" customHeight="1">
      <c r="AK2546" s="313"/>
      <c r="AL2546" s="313"/>
      <c r="AM2546" s="313"/>
      <c r="AN2546" s="313"/>
      <c r="AO2546" s="313"/>
      <c r="AP2546" s="313"/>
      <c r="AQ2546" s="314"/>
      <c r="AR2546" s="315" t="str">
        <f t="shared" si="113"/>
        <v/>
      </c>
    </row>
    <row r="2547" spans="37:44" ht="30" hidden="1" customHeight="1">
      <c r="AK2547" s="313"/>
      <c r="AL2547" s="313"/>
      <c r="AM2547" s="313"/>
      <c r="AN2547" s="313"/>
      <c r="AO2547" s="313"/>
      <c r="AP2547" s="313"/>
      <c r="AQ2547" s="314"/>
      <c r="AR2547" s="315" t="str">
        <f t="shared" si="113"/>
        <v/>
      </c>
    </row>
    <row r="2548" spans="37:44" ht="30" hidden="1" customHeight="1">
      <c r="AK2548" s="313"/>
      <c r="AL2548" s="313"/>
      <c r="AM2548" s="313"/>
      <c r="AN2548" s="313"/>
      <c r="AO2548" s="313"/>
      <c r="AP2548" s="313"/>
      <c r="AQ2548" s="314"/>
      <c r="AR2548" s="315" t="str">
        <f t="shared" si="113"/>
        <v/>
      </c>
    </row>
    <row r="2549" spans="37:44" ht="30" hidden="1" customHeight="1">
      <c r="AK2549" s="313"/>
      <c r="AL2549" s="313"/>
      <c r="AM2549" s="313"/>
      <c r="AN2549" s="313"/>
      <c r="AO2549" s="313"/>
      <c r="AP2549" s="313"/>
      <c r="AQ2549" s="314"/>
      <c r="AR2549" s="315" t="str">
        <f t="shared" si="113"/>
        <v/>
      </c>
    </row>
    <row r="2550" spans="37:44" ht="30" hidden="1" customHeight="1">
      <c r="AK2550" s="313"/>
      <c r="AL2550" s="313"/>
      <c r="AM2550" s="313"/>
      <c r="AN2550" s="313"/>
      <c r="AO2550" s="313"/>
      <c r="AP2550" s="313"/>
      <c r="AQ2550" s="314"/>
      <c r="AR2550" s="315" t="str">
        <f t="shared" si="113"/>
        <v/>
      </c>
    </row>
    <row r="2551" spans="37:44" ht="30" hidden="1" customHeight="1">
      <c r="AK2551" s="313"/>
      <c r="AL2551" s="313"/>
      <c r="AM2551" s="313"/>
      <c r="AN2551" s="313"/>
      <c r="AO2551" s="313"/>
      <c r="AP2551" s="313"/>
      <c r="AQ2551" s="314"/>
      <c r="AR2551" s="315" t="str">
        <f t="shared" si="113"/>
        <v/>
      </c>
    </row>
    <row r="2552" spans="37:44" ht="30" hidden="1" customHeight="1">
      <c r="AK2552" s="313"/>
      <c r="AL2552" s="313"/>
      <c r="AM2552" s="313"/>
      <c r="AN2552" s="313"/>
      <c r="AO2552" s="313"/>
      <c r="AP2552" s="313"/>
      <c r="AQ2552" s="314"/>
      <c r="AR2552" s="315" t="str">
        <f t="shared" si="113"/>
        <v/>
      </c>
    </row>
    <row r="2553" spans="37:44" ht="30" hidden="1" customHeight="1">
      <c r="AK2553" s="313"/>
      <c r="AL2553" s="313"/>
      <c r="AM2553" s="313"/>
      <c r="AN2553" s="313"/>
      <c r="AO2553" s="313"/>
      <c r="AP2553" s="313"/>
      <c r="AQ2553" s="314"/>
      <c r="AR2553" s="315" t="str">
        <f t="shared" si="113"/>
        <v/>
      </c>
    </row>
    <row r="2554" spans="37:44" ht="30" hidden="1" customHeight="1">
      <c r="AK2554" s="313"/>
      <c r="AL2554" s="313"/>
      <c r="AM2554" s="313"/>
      <c r="AN2554" s="313"/>
      <c r="AO2554" s="313"/>
      <c r="AP2554" s="313"/>
      <c r="AQ2554" s="314"/>
      <c r="AR2554" s="315" t="str">
        <f t="shared" si="113"/>
        <v/>
      </c>
    </row>
    <row r="2555" spans="37:44" ht="30" hidden="1" customHeight="1">
      <c r="AK2555" s="313"/>
      <c r="AL2555" s="313"/>
      <c r="AM2555" s="313"/>
      <c r="AN2555" s="313"/>
      <c r="AO2555" s="313"/>
      <c r="AP2555" s="313"/>
      <c r="AQ2555" s="314"/>
      <c r="AR2555" s="315" t="str">
        <f t="shared" si="113"/>
        <v/>
      </c>
    </row>
    <row r="2556" spans="37:44" ht="30" hidden="1" customHeight="1">
      <c r="AK2556" s="313"/>
      <c r="AL2556" s="313"/>
      <c r="AM2556" s="313"/>
      <c r="AN2556" s="313"/>
      <c r="AO2556" s="313"/>
      <c r="AP2556" s="313"/>
      <c r="AQ2556" s="314"/>
      <c r="AR2556" s="315" t="str">
        <f t="shared" si="113"/>
        <v/>
      </c>
    </row>
    <row r="2557" spans="37:44" ht="30" hidden="1" customHeight="1">
      <c r="AK2557" s="313"/>
      <c r="AL2557" s="313"/>
      <c r="AM2557" s="313"/>
      <c r="AN2557" s="313"/>
      <c r="AO2557" s="313"/>
      <c r="AP2557" s="313"/>
      <c r="AQ2557" s="314"/>
      <c r="AR2557" s="315" t="str">
        <f t="shared" si="113"/>
        <v/>
      </c>
    </row>
    <row r="2558" spans="37:44" ht="30" hidden="1" customHeight="1">
      <c r="AK2558" s="313"/>
      <c r="AL2558" s="313"/>
      <c r="AM2558" s="313"/>
      <c r="AN2558" s="313"/>
      <c r="AO2558" s="313"/>
      <c r="AP2558" s="313"/>
      <c r="AQ2558" s="314"/>
      <c r="AR2558" s="315" t="str">
        <f t="shared" si="113"/>
        <v/>
      </c>
    </row>
    <row r="2559" spans="37:44" ht="30" hidden="1" customHeight="1">
      <c r="AK2559" s="313"/>
      <c r="AL2559" s="313"/>
      <c r="AM2559" s="313"/>
      <c r="AN2559" s="313"/>
      <c r="AO2559" s="313"/>
      <c r="AP2559" s="313"/>
      <c r="AQ2559" s="314"/>
      <c r="AR2559" s="315" t="str">
        <f t="shared" ref="AR2559:AR2622" si="114">IF(AQ2559="SIM","AGUARDANDO CORREÇÃO",IF(AP2559&lt;&gt;"","FINALIZADO",IF(AO2559&lt;&gt;"","AGUARDANDO ENVIO DTS",IF(AN2559&lt;&gt;"","AGUARDANDO ASSINATURA GAB",IF(AM2559&lt;&gt;"","AGUARDANDO ASSINATURA CTS",IF(AL2559&lt;&gt;"","AGUARDANDO ENVIO ASSINATURA CTS",IF(AK2559&lt;&gt;"","AGUARDANDO CONFERÊNCIA","")))))))</f>
        <v/>
      </c>
    </row>
    <row r="2560" spans="37:44" ht="30" hidden="1" customHeight="1">
      <c r="AK2560" s="313"/>
      <c r="AL2560" s="313"/>
      <c r="AM2560" s="313"/>
      <c r="AN2560" s="313"/>
      <c r="AO2560" s="313"/>
      <c r="AP2560" s="313"/>
      <c r="AQ2560" s="314"/>
      <c r="AR2560" s="315" t="str">
        <f t="shared" si="114"/>
        <v/>
      </c>
    </row>
    <row r="2561" spans="37:44" ht="30" hidden="1" customHeight="1">
      <c r="AK2561" s="313"/>
      <c r="AL2561" s="313"/>
      <c r="AM2561" s="313"/>
      <c r="AN2561" s="313"/>
      <c r="AO2561" s="313"/>
      <c r="AP2561" s="313"/>
      <c r="AQ2561" s="314"/>
      <c r="AR2561" s="315" t="str">
        <f t="shared" si="114"/>
        <v/>
      </c>
    </row>
    <row r="2562" spans="37:44" ht="30" hidden="1" customHeight="1">
      <c r="AK2562" s="313"/>
      <c r="AL2562" s="313"/>
      <c r="AM2562" s="313"/>
      <c r="AN2562" s="313"/>
      <c r="AO2562" s="313"/>
      <c r="AP2562" s="313"/>
      <c r="AQ2562" s="314"/>
      <c r="AR2562" s="315" t="str">
        <f t="shared" si="114"/>
        <v/>
      </c>
    </row>
    <row r="2563" spans="37:44" ht="30" hidden="1" customHeight="1">
      <c r="AK2563" s="313"/>
      <c r="AL2563" s="313"/>
      <c r="AM2563" s="313"/>
      <c r="AN2563" s="313"/>
      <c r="AO2563" s="313"/>
      <c r="AP2563" s="313"/>
      <c r="AQ2563" s="314"/>
      <c r="AR2563" s="315" t="str">
        <f t="shared" si="114"/>
        <v/>
      </c>
    </row>
    <row r="2564" spans="37:44" ht="30" hidden="1" customHeight="1">
      <c r="AK2564" s="313"/>
      <c r="AL2564" s="313"/>
      <c r="AM2564" s="313"/>
      <c r="AN2564" s="313"/>
      <c r="AO2564" s="313"/>
      <c r="AP2564" s="313"/>
      <c r="AQ2564" s="314"/>
      <c r="AR2564" s="315" t="str">
        <f t="shared" si="114"/>
        <v/>
      </c>
    </row>
    <row r="2565" spans="37:44" ht="30" hidden="1" customHeight="1">
      <c r="AK2565" s="313"/>
      <c r="AL2565" s="313"/>
      <c r="AM2565" s="313"/>
      <c r="AN2565" s="313"/>
      <c r="AO2565" s="313"/>
      <c r="AP2565" s="313"/>
      <c r="AQ2565" s="314"/>
      <c r="AR2565" s="315" t="str">
        <f t="shared" si="114"/>
        <v/>
      </c>
    </row>
    <row r="2566" spans="37:44" ht="30" hidden="1" customHeight="1">
      <c r="AK2566" s="313"/>
      <c r="AL2566" s="313"/>
      <c r="AM2566" s="313"/>
      <c r="AN2566" s="313"/>
      <c r="AO2566" s="313"/>
      <c r="AP2566" s="313"/>
      <c r="AQ2566" s="314"/>
      <c r="AR2566" s="315" t="str">
        <f t="shared" si="114"/>
        <v/>
      </c>
    </row>
    <row r="2567" spans="37:44" ht="30" hidden="1" customHeight="1">
      <c r="AK2567" s="313"/>
      <c r="AL2567" s="313"/>
      <c r="AM2567" s="313"/>
      <c r="AN2567" s="313"/>
      <c r="AO2567" s="313"/>
      <c r="AP2567" s="313"/>
      <c r="AQ2567" s="314"/>
      <c r="AR2567" s="315" t="str">
        <f t="shared" si="114"/>
        <v/>
      </c>
    </row>
    <row r="2568" spans="37:44" ht="30" hidden="1" customHeight="1">
      <c r="AK2568" s="313"/>
      <c r="AL2568" s="313"/>
      <c r="AM2568" s="313"/>
      <c r="AN2568" s="313"/>
      <c r="AO2568" s="313"/>
      <c r="AP2568" s="313"/>
      <c r="AQ2568" s="314"/>
      <c r="AR2568" s="315" t="str">
        <f t="shared" si="114"/>
        <v/>
      </c>
    </row>
    <row r="2569" spans="37:44" ht="30" hidden="1" customHeight="1">
      <c r="AK2569" s="313"/>
      <c r="AL2569" s="313"/>
      <c r="AM2569" s="313"/>
      <c r="AN2569" s="313"/>
      <c r="AO2569" s="313"/>
      <c r="AP2569" s="313"/>
      <c r="AQ2569" s="314"/>
      <c r="AR2569" s="315" t="str">
        <f t="shared" si="114"/>
        <v/>
      </c>
    </row>
    <row r="2570" spans="37:44" ht="30" hidden="1" customHeight="1">
      <c r="AK2570" s="313"/>
      <c r="AL2570" s="313"/>
      <c r="AM2570" s="313"/>
      <c r="AN2570" s="313"/>
      <c r="AO2570" s="313"/>
      <c r="AP2570" s="313"/>
      <c r="AQ2570" s="314"/>
      <c r="AR2570" s="315" t="str">
        <f t="shared" si="114"/>
        <v/>
      </c>
    </row>
    <row r="2571" spans="37:44" ht="30" hidden="1" customHeight="1">
      <c r="AK2571" s="313"/>
      <c r="AL2571" s="313"/>
      <c r="AM2571" s="313"/>
      <c r="AN2571" s="313"/>
      <c r="AO2571" s="313"/>
      <c r="AP2571" s="313"/>
      <c r="AQ2571" s="314"/>
      <c r="AR2571" s="315" t="str">
        <f t="shared" si="114"/>
        <v/>
      </c>
    </row>
    <row r="2572" spans="37:44" ht="30" hidden="1" customHeight="1">
      <c r="AK2572" s="313"/>
      <c r="AL2572" s="313"/>
      <c r="AM2572" s="313"/>
      <c r="AN2572" s="313"/>
      <c r="AO2572" s="313"/>
      <c r="AP2572" s="313"/>
      <c r="AQ2572" s="314"/>
      <c r="AR2572" s="315" t="str">
        <f t="shared" si="114"/>
        <v/>
      </c>
    </row>
    <row r="2573" spans="37:44" ht="30" hidden="1" customHeight="1">
      <c r="AK2573" s="313"/>
      <c r="AL2573" s="313"/>
      <c r="AM2573" s="313"/>
      <c r="AN2573" s="313"/>
      <c r="AO2573" s="313"/>
      <c r="AP2573" s="313"/>
      <c r="AQ2573" s="314"/>
      <c r="AR2573" s="315" t="str">
        <f t="shared" si="114"/>
        <v/>
      </c>
    </row>
    <row r="2574" spans="37:44" ht="30" hidden="1" customHeight="1">
      <c r="AK2574" s="313"/>
      <c r="AL2574" s="313"/>
      <c r="AM2574" s="313"/>
      <c r="AN2574" s="313"/>
      <c r="AO2574" s="313"/>
      <c r="AP2574" s="313"/>
      <c r="AQ2574" s="314"/>
      <c r="AR2574" s="315" t="str">
        <f t="shared" si="114"/>
        <v/>
      </c>
    </row>
    <row r="2575" spans="37:44" ht="30" hidden="1" customHeight="1">
      <c r="AK2575" s="313"/>
      <c r="AL2575" s="313"/>
      <c r="AM2575" s="313"/>
      <c r="AN2575" s="313"/>
      <c r="AO2575" s="313"/>
      <c r="AP2575" s="313"/>
      <c r="AQ2575" s="314"/>
      <c r="AR2575" s="315" t="str">
        <f t="shared" si="114"/>
        <v/>
      </c>
    </row>
    <row r="2576" spans="37:44" ht="30" hidden="1" customHeight="1">
      <c r="AK2576" s="313"/>
      <c r="AL2576" s="313"/>
      <c r="AM2576" s="313"/>
      <c r="AN2576" s="313"/>
      <c r="AO2576" s="313"/>
      <c r="AP2576" s="313"/>
      <c r="AQ2576" s="314"/>
      <c r="AR2576" s="315" t="str">
        <f t="shared" si="114"/>
        <v/>
      </c>
    </row>
    <row r="2577" spans="37:44" ht="30" hidden="1" customHeight="1">
      <c r="AK2577" s="313"/>
      <c r="AL2577" s="313"/>
      <c r="AM2577" s="313"/>
      <c r="AN2577" s="313"/>
      <c r="AO2577" s="313"/>
      <c r="AP2577" s="313"/>
      <c r="AQ2577" s="314"/>
      <c r="AR2577" s="315" t="str">
        <f t="shared" si="114"/>
        <v/>
      </c>
    </row>
    <row r="2578" spans="37:44" ht="30" hidden="1" customHeight="1">
      <c r="AK2578" s="313"/>
      <c r="AL2578" s="313"/>
      <c r="AM2578" s="313"/>
      <c r="AN2578" s="313"/>
      <c r="AO2578" s="313"/>
      <c r="AP2578" s="313"/>
      <c r="AQ2578" s="314"/>
      <c r="AR2578" s="315" t="str">
        <f t="shared" si="114"/>
        <v/>
      </c>
    </row>
    <row r="2579" spans="37:44" ht="30" hidden="1" customHeight="1">
      <c r="AK2579" s="313"/>
      <c r="AL2579" s="313"/>
      <c r="AM2579" s="313"/>
      <c r="AN2579" s="313"/>
      <c r="AO2579" s="313"/>
      <c r="AP2579" s="313"/>
      <c r="AQ2579" s="314"/>
      <c r="AR2579" s="315" t="str">
        <f t="shared" si="114"/>
        <v/>
      </c>
    </row>
    <row r="2580" spans="37:44" ht="30" hidden="1" customHeight="1">
      <c r="AK2580" s="313"/>
      <c r="AL2580" s="313"/>
      <c r="AM2580" s="313"/>
      <c r="AN2580" s="313"/>
      <c r="AO2580" s="313"/>
      <c r="AP2580" s="313"/>
      <c r="AQ2580" s="314"/>
      <c r="AR2580" s="315" t="str">
        <f t="shared" si="114"/>
        <v/>
      </c>
    </row>
    <row r="2581" spans="37:44" ht="30" hidden="1" customHeight="1">
      <c r="AK2581" s="313"/>
      <c r="AL2581" s="313"/>
      <c r="AM2581" s="313"/>
      <c r="AN2581" s="313"/>
      <c r="AO2581" s="313"/>
      <c r="AP2581" s="313"/>
      <c r="AQ2581" s="314"/>
      <c r="AR2581" s="315" t="str">
        <f t="shared" si="114"/>
        <v/>
      </c>
    </row>
    <row r="2582" spans="37:44" ht="30" hidden="1" customHeight="1">
      <c r="AK2582" s="313"/>
      <c r="AL2582" s="313"/>
      <c r="AM2582" s="313"/>
      <c r="AN2582" s="313"/>
      <c r="AO2582" s="313"/>
      <c r="AP2582" s="313"/>
      <c r="AQ2582" s="314"/>
      <c r="AR2582" s="315" t="str">
        <f t="shared" si="114"/>
        <v/>
      </c>
    </row>
    <row r="2583" spans="37:44" ht="30" hidden="1" customHeight="1">
      <c r="AK2583" s="313"/>
      <c r="AL2583" s="313"/>
      <c r="AM2583" s="313"/>
      <c r="AN2583" s="313"/>
      <c r="AO2583" s="313"/>
      <c r="AP2583" s="313"/>
      <c r="AQ2583" s="314"/>
      <c r="AR2583" s="315" t="str">
        <f t="shared" si="114"/>
        <v/>
      </c>
    </row>
    <row r="2584" spans="37:44" ht="30" hidden="1" customHeight="1">
      <c r="AK2584" s="313"/>
      <c r="AL2584" s="313"/>
      <c r="AM2584" s="313"/>
      <c r="AN2584" s="313"/>
      <c r="AO2584" s="313"/>
      <c r="AP2584" s="313"/>
      <c r="AQ2584" s="314"/>
      <c r="AR2584" s="315" t="str">
        <f t="shared" si="114"/>
        <v/>
      </c>
    </row>
    <row r="2585" spans="37:44" ht="30" hidden="1" customHeight="1">
      <c r="AK2585" s="313"/>
      <c r="AL2585" s="313"/>
      <c r="AM2585" s="313"/>
      <c r="AN2585" s="313"/>
      <c r="AO2585" s="313"/>
      <c r="AP2585" s="313"/>
      <c r="AQ2585" s="314"/>
      <c r="AR2585" s="315" t="str">
        <f t="shared" si="114"/>
        <v/>
      </c>
    </row>
    <row r="2586" spans="37:44" ht="30" hidden="1" customHeight="1">
      <c r="AK2586" s="313"/>
      <c r="AL2586" s="313"/>
      <c r="AM2586" s="313"/>
      <c r="AN2586" s="313"/>
      <c r="AO2586" s="313"/>
      <c r="AP2586" s="313"/>
      <c r="AQ2586" s="314"/>
      <c r="AR2586" s="315" t="str">
        <f t="shared" si="114"/>
        <v/>
      </c>
    </row>
    <row r="2587" spans="37:44" ht="30" hidden="1" customHeight="1">
      <c r="AK2587" s="313"/>
      <c r="AL2587" s="313"/>
      <c r="AM2587" s="313"/>
      <c r="AN2587" s="313"/>
      <c r="AO2587" s="313"/>
      <c r="AP2587" s="313"/>
      <c r="AQ2587" s="314"/>
      <c r="AR2587" s="315" t="str">
        <f t="shared" si="114"/>
        <v/>
      </c>
    </row>
    <row r="2588" spans="37:44" ht="30" hidden="1" customHeight="1">
      <c r="AK2588" s="313"/>
      <c r="AL2588" s="313"/>
      <c r="AM2588" s="313"/>
      <c r="AN2588" s="313"/>
      <c r="AO2588" s="313"/>
      <c r="AP2588" s="313"/>
      <c r="AQ2588" s="314"/>
      <c r="AR2588" s="315" t="str">
        <f t="shared" si="114"/>
        <v/>
      </c>
    </row>
    <row r="2589" spans="37:44" ht="30" hidden="1" customHeight="1">
      <c r="AK2589" s="313"/>
      <c r="AL2589" s="313"/>
      <c r="AM2589" s="313"/>
      <c r="AN2589" s="313"/>
      <c r="AO2589" s="313"/>
      <c r="AP2589" s="313"/>
      <c r="AQ2589" s="314"/>
      <c r="AR2589" s="315" t="str">
        <f t="shared" si="114"/>
        <v/>
      </c>
    </row>
    <row r="2590" spans="37:44" ht="30" hidden="1" customHeight="1">
      <c r="AK2590" s="313"/>
      <c r="AL2590" s="313"/>
      <c r="AM2590" s="313"/>
      <c r="AN2590" s="313"/>
      <c r="AO2590" s="313"/>
      <c r="AP2590" s="313"/>
      <c r="AQ2590" s="314"/>
      <c r="AR2590" s="315" t="str">
        <f t="shared" si="114"/>
        <v/>
      </c>
    </row>
    <row r="2591" spans="37:44" ht="30" hidden="1" customHeight="1">
      <c r="AK2591" s="313"/>
      <c r="AL2591" s="313"/>
      <c r="AM2591" s="313"/>
      <c r="AN2591" s="313"/>
      <c r="AO2591" s="313"/>
      <c r="AP2591" s="313"/>
      <c r="AQ2591" s="314"/>
      <c r="AR2591" s="315" t="str">
        <f t="shared" si="114"/>
        <v/>
      </c>
    </row>
    <row r="2592" spans="37:44" ht="30" hidden="1" customHeight="1">
      <c r="AK2592" s="313"/>
      <c r="AL2592" s="313"/>
      <c r="AM2592" s="313"/>
      <c r="AN2592" s="313"/>
      <c r="AO2592" s="313"/>
      <c r="AP2592" s="313"/>
      <c r="AQ2592" s="314"/>
      <c r="AR2592" s="315" t="str">
        <f t="shared" si="114"/>
        <v/>
      </c>
    </row>
    <row r="2593" spans="37:44" ht="30" hidden="1" customHeight="1">
      <c r="AK2593" s="313"/>
      <c r="AL2593" s="313"/>
      <c r="AM2593" s="313"/>
      <c r="AN2593" s="313"/>
      <c r="AO2593" s="313"/>
      <c r="AP2593" s="313"/>
      <c r="AQ2593" s="314"/>
      <c r="AR2593" s="315" t="str">
        <f t="shared" si="114"/>
        <v/>
      </c>
    </row>
    <row r="2594" spans="37:44" ht="30" hidden="1" customHeight="1">
      <c r="AK2594" s="313"/>
      <c r="AL2594" s="313"/>
      <c r="AM2594" s="313"/>
      <c r="AN2594" s="313"/>
      <c r="AO2594" s="313"/>
      <c r="AP2594" s="313"/>
      <c r="AQ2594" s="314"/>
      <c r="AR2594" s="315" t="str">
        <f t="shared" si="114"/>
        <v/>
      </c>
    </row>
    <row r="2595" spans="37:44" ht="30" hidden="1" customHeight="1">
      <c r="AK2595" s="313"/>
      <c r="AL2595" s="313"/>
      <c r="AM2595" s="313"/>
      <c r="AN2595" s="313"/>
      <c r="AO2595" s="313"/>
      <c r="AP2595" s="313"/>
      <c r="AQ2595" s="314"/>
      <c r="AR2595" s="315" t="str">
        <f t="shared" si="114"/>
        <v/>
      </c>
    </row>
    <row r="2596" spans="37:44" ht="30" hidden="1" customHeight="1">
      <c r="AK2596" s="313"/>
      <c r="AL2596" s="313"/>
      <c r="AM2596" s="313"/>
      <c r="AN2596" s="313"/>
      <c r="AO2596" s="313"/>
      <c r="AP2596" s="313"/>
      <c r="AQ2596" s="314"/>
      <c r="AR2596" s="315" t="str">
        <f t="shared" si="114"/>
        <v/>
      </c>
    </row>
    <row r="2597" spans="37:44" ht="30" hidden="1" customHeight="1">
      <c r="AK2597" s="313"/>
      <c r="AL2597" s="313"/>
      <c r="AM2597" s="313"/>
      <c r="AN2597" s="313"/>
      <c r="AO2597" s="313"/>
      <c r="AP2597" s="313"/>
      <c r="AQ2597" s="314"/>
      <c r="AR2597" s="315" t="str">
        <f t="shared" si="114"/>
        <v/>
      </c>
    </row>
    <row r="2598" spans="37:44" ht="30" hidden="1" customHeight="1">
      <c r="AK2598" s="313"/>
      <c r="AL2598" s="313"/>
      <c r="AM2598" s="313"/>
      <c r="AN2598" s="313"/>
      <c r="AO2598" s="313"/>
      <c r="AP2598" s="313"/>
      <c r="AQ2598" s="314"/>
      <c r="AR2598" s="315" t="str">
        <f t="shared" si="114"/>
        <v/>
      </c>
    </row>
    <row r="2599" spans="37:44" ht="30" hidden="1" customHeight="1">
      <c r="AK2599" s="313"/>
      <c r="AL2599" s="313"/>
      <c r="AM2599" s="313"/>
      <c r="AN2599" s="313"/>
      <c r="AO2599" s="313"/>
      <c r="AP2599" s="313"/>
      <c r="AQ2599" s="314"/>
      <c r="AR2599" s="315" t="str">
        <f t="shared" si="114"/>
        <v/>
      </c>
    </row>
    <row r="2600" spans="37:44" ht="30" hidden="1" customHeight="1">
      <c r="AK2600" s="313"/>
      <c r="AL2600" s="313"/>
      <c r="AM2600" s="313"/>
      <c r="AN2600" s="313"/>
      <c r="AO2600" s="313"/>
      <c r="AP2600" s="313"/>
      <c r="AQ2600" s="314"/>
      <c r="AR2600" s="315" t="str">
        <f t="shared" si="114"/>
        <v/>
      </c>
    </row>
    <row r="2601" spans="37:44" ht="30" hidden="1" customHeight="1">
      <c r="AK2601" s="313"/>
      <c r="AL2601" s="313"/>
      <c r="AM2601" s="313"/>
      <c r="AN2601" s="313"/>
      <c r="AO2601" s="313"/>
      <c r="AP2601" s="313"/>
      <c r="AQ2601" s="314"/>
      <c r="AR2601" s="315" t="str">
        <f t="shared" si="114"/>
        <v/>
      </c>
    </row>
    <row r="2602" spans="37:44" ht="30" hidden="1" customHeight="1">
      <c r="AK2602" s="313"/>
      <c r="AL2602" s="313"/>
      <c r="AM2602" s="313"/>
      <c r="AN2602" s="313"/>
      <c r="AO2602" s="313"/>
      <c r="AP2602" s="313"/>
      <c r="AQ2602" s="314"/>
      <c r="AR2602" s="315" t="str">
        <f t="shared" si="114"/>
        <v/>
      </c>
    </row>
    <row r="2603" spans="37:44" ht="30" hidden="1" customHeight="1">
      <c r="AK2603" s="313"/>
      <c r="AL2603" s="313"/>
      <c r="AM2603" s="313"/>
      <c r="AN2603" s="313"/>
      <c r="AO2603" s="313"/>
      <c r="AP2603" s="313"/>
      <c r="AQ2603" s="314"/>
      <c r="AR2603" s="315" t="str">
        <f t="shared" si="114"/>
        <v/>
      </c>
    </row>
    <row r="2604" spans="37:44" ht="30" hidden="1" customHeight="1">
      <c r="AK2604" s="313"/>
      <c r="AL2604" s="313"/>
      <c r="AM2604" s="313"/>
      <c r="AN2604" s="313"/>
      <c r="AO2604" s="313"/>
      <c r="AP2604" s="313"/>
      <c r="AQ2604" s="314"/>
      <c r="AR2604" s="315" t="str">
        <f t="shared" si="114"/>
        <v/>
      </c>
    </row>
    <row r="2605" spans="37:44" ht="30" hidden="1" customHeight="1">
      <c r="AK2605" s="313"/>
      <c r="AL2605" s="313"/>
      <c r="AM2605" s="313"/>
      <c r="AN2605" s="313"/>
      <c r="AO2605" s="313"/>
      <c r="AP2605" s="313"/>
      <c r="AQ2605" s="314"/>
      <c r="AR2605" s="315" t="str">
        <f t="shared" si="114"/>
        <v/>
      </c>
    </row>
    <row r="2606" spans="37:44" ht="30" hidden="1" customHeight="1">
      <c r="AK2606" s="313"/>
      <c r="AL2606" s="313"/>
      <c r="AM2606" s="313"/>
      <c r="AN2606" s="313"/>
      <c r="AO2606" s="313"/>
      <c r="AP2606" s="313"/>
      <c r="AQ2606" s="314"/>
      <c r="AR2606" s="315" t="str">
        <f t="shared" si="114"/>
        <v/>
      </c>
    </row>
    <row r="2607" spans="37:44" ht="30" hidden="1" customHeight="1">
      <c r="AK2607" s="313"/>
      <c r="AL2607" s="313"/>
      <c r="AM2607" s="313"/>
      <c r="AN2607" s="313"/>
      <c r="AO2607" s="313"/>
      <c r="AP2607" s="313"/>
      <c r="AQ2607" s="314"/>
      <c r="AR2607" s="315" t="str">
        <f t="shared" si="114"/>
        <v/>
      </c>
    </row>
    <row r="2608" spans="37:44" ht="30" hidden="1" customHeight="1">
      <c r="AK2608" s="313"/>
      <c r="AL2608" s="313"/>
      <c r="AM2608" s="313"/>
      <c r="AN2608" s="313"/>
      <c r="AO2608" s="313"/>
      <c r="AP2608" s="313"/>
      <c r="AQ2608" s="314"/>
      <c r="AR2608" s="315" t="str">
        <f t="shared" si="114"/>
        <v/>
      </c>
    </row>
    <row r="2609" spans="37:44" ht="30" hidden="1" customHeight="1">
      <c r="AK2609" s="313"/>
      <c r="AL2609" s="313"/>
      <c r="AM2609" s="313"/>
      <c r="AN2609" s="313"/>
      <c r="AO2609" s="313"/>
      <c r="AP2609" s="313"/>
      <c r="AQ2609" s="314"/>
      <c r="AR2609" s="315" t="str">
        <f t="shared" si="114"/>
        <v/>
      </c>
    </row>
    <row r="2610" spans="37:44" ht="30" hidden="1" customHeight="1">
      <c r="AK2610" s="313"/>
      <c r="AL2610" s="313"/>
      <c r="AM2610" s="313"/>
      <c r="AN2610" s="313"/>
      <c r="AO2610" s="313"/>
      <c r="AP2610" s="313"/>
      <c r="AQ2610" s="314"/>
      <c r="AR2610" s="315" t="str">
        <f t="shared" si="114"/>
        <v/>
      </c>
    </row>
    <row r="2611" spans="37:44" ht="30" hidden="1" customHeight="1">
      <c r="AK2611" s="313"/>
      <c r="AL2611" s="313"/>
      <c r="AM2611" s="313"/>
      <c r="AN2611" s="313"/>
      <c r="AO2611" s="313"/>
      <c r="AP2611" s="313"/>
      <c r="AQ2611" s="314"/>
      <c r="AR2611" s="315" t="str">
        <f t="shared" si="114"/>
        <v/>
      </c>
    </row>
    <row r="2612" spans="37:44" ht="30" hidden="1" customHeight="1">
      <c r="AK2612" s="313"/>
      <c r="AL2612" s="313"/>
      <c r="AM2612" s="313"/>
      <c r="AN2612" s="313"/>
      <c r="AO2612" s="313"/>
      <c r="AP2612" s="313"/>
      <c r="AQ2612" s="314"/>
      <c r="AR2612" s="315" t="str">
        <f t="shared" si="114"/>
        <v/>
      </c>
    </row>
    <row r="2613" spans="37:44" ht="30" hidden="1" customHeight="1">
      <c r="AK2613" s="313"/>
      <c r="AL2613" s="313"/>
      <c r="AM2613" s="313"/>
      <c r="AN2613" s="313"/>
      <c r="AO2613" s="313"/>
      <c r="AP2613" s="313"/>
      <c r="AQ2613" s="314"/>
      <c r="AR2613" s="315" t="str">
        <f t="shared" si="114"/>
        <v/>
      </c>
    </row>
    <row r="2614" spans="37:44" ht="30" hidden="1" customHeight="1">
      <c r="AK2614" s="313"/>
      <c r="AL2614" s="313"/>
      <c r="AM2614" s="313"/>
      <c r="AN2614" s="313"/>
      <c r="AO2614" s="313"/>
      <c r="AP2614" s="313"/>
      <c r="AQ2614" s="314"/>
      <c r="AR2614" s="315" t="str">
        <f t="shared" si="114"/>
        <v/>
      </c>
    </row>
    <row r="2615" spans="37:44" ht="30" hidden="1" customHeight="1">
      <c r="AK2615" s="313"/>
      <c r="AL2615" s="313"/>
      <c r="AM2615" s="313"/>
      <c r="AN2615" s="313"/>
      <c r="AO2615" s="313"/>
      <c r="AP2615" s="313"/>
      <c r="AQ2615" s="314"/>
      <c r="AR2615" s="315" t="str">
        <f t="shared" si="114"/>
        <v/>
      </c>
    </row>
    <row r="2616" spans="37:44" ht="30" hidden="1" customHeight="1">
      <c r="AK2616" s="313"/>
      <c r="AL2616" s="313"/>
      <c r="AM2616" s="313"/>
      <c r="AN2616" s="313"/>
      <c r="AO2616" s="313"/>
      <c r="AP2616" s="313"/>
      <c r="AQ2616" s="314"/>
      <c r="AR2616" s="315" t="str">
        <f t="shared" si="114"/>
        <v/>
      </c>
    </row>
    <row r="2617" spans="37:44" ht="30" hidden="1" customHeight="1">
      <c r="AK2617" s="313"/>
      <c r="AL2617" s="313"/>
      <c r="AM2617" s="313"/>
      <c r="AN2617" s="313"/>
      <c r="AO2617" s="313"/>
      <c r="AP2617" s="313"/>
      <c r="AQ2617" s="314"/>
      <c r="AR2617" s="315" t="str">
        <f t="shared" si="114"/>
        <v/>
      </c>
    </row>
    <row r="2618" spans="37:44" ht="30" hidden="1" customHeight="1">
      <c r="AK2618" s="313"/>
      <c r="AL2618" s="313"/>
      <c r="AM2618" s="313"/>
      <c r="AN2618" s="313"/>
      <c r="AO2618" s="313"/>
      <c r="AP2618" s="313"/>
      <c r="AQ2618" s="314"/>
      <c r="AR2618" s="315" t="str">
        <f t="shared" si="114"/>
        <v/>
      </c>
    </row>
    <row r="2619" spans="37:44" ht="30" hidden="1" customHeight="1">
      <c r="AK2619" s="313"/>
      <c r="AL2619" s="313"/>
      <c r="AM2619" s="313"/>
      <c r="AN2619" s="313"/>
      <c r="AO2619" s="313"/>
      <c r="AP2619" s="313"/>
      <c r="AQ2619" s="314"/>
      <c r="AR2619" s="315" t="str">
        <f t="shared" si="114"/>
        <v/>
      </c>
    </row>
    <row r="2620" spans="37:44" ht="30" hidden="1" customHeight="1">
      <c r="AK2620" s="313"/>
      <c r="AL2620" s="313"/>
      <c r="AM2620" s="313"/>
      <c r="AN2620" s="313"/>
      <c r="AO2620" s="313"/>
      <c r="AP2620" s="313"/>
      <c r="AQ2620" s="314"/>
      <c r="AR2620" s="315" t="str">
        <f t="shared" si="114"/>
        <v/>
      </c>
    </row>
    <row r="2621" spans="37:44" ht="30" hidden="1" customHeight="1">
      <c r="AK2621" s="313"/>
      <c r="AL2621" s="313"/>
      <c r="AM2621" s="313"/>
      <c r="AN2621" s="313"/>
      <c r="AO2621" s="313"/>
      <c r="AP2621" s="313"/>
      <c r="AQ2621" s="314"/>
      <c r="AR2621" s="315" t="str">
        <f t="shared" si="114"/>
        <v/>
      </c>
    </row>
    <row r="2622" spans="37:44" ht="30" hidden="1" customHeight="1">
      <c r="AK2622" s="313"/>
      <c r="AL2622" s="313"/>
      <c r="AM2622" s="313"/>
      <c r="AN2622" s="313"/>
      <c r="AO2622" s="313"/>
      <c r="AP2622" s="313"/>
      <c r="AQ2622" s="314"/>
      <c r="AR2622" s="315" t="str">
        <f t="shared" si="114"/>
        <v/>
      </c>
    </row>
    <row r="2623" spans="37:44" ht="30" hidden="1" customHeight="1">
      <c r="AK2623" s="313"/>
      <c r="AL2623" s="313"/>
      <c r="AM2623" s="313"/>
      <c r="AN2623" s="313"/>
      <c r="AO2623" s="313"/>
      <c r="AP2623" s="313"/>
      <c r="AQ2623" s="314"/>
      <c r="AR2623" s="315" t="str">
        <f t="shared" ref="AR2623:AR2686" si="115">IF(AQ2623="SIM","AGUARDANDO CORREÇÃO",IF(AP2623&lt;&gt;"","FINALIZADO",IF(AO2623&lt;&gt;"","AGUARDANDO ENVIO DTS",IF(AN2623&lt;&gt;"","AGUARDANDO ASSINATURA GAB",IF(AM2623&lt;&gt;"","AGUARDANDO ASSINATURA CTS",IF(AL2623&lt;&gt;"","AGUARDANDO ENVIO ASSINATURA CTS",IF(AK2623&lt;&gt;"","AGUARDANDO CONFERÊNCIA","")))))))</f>
        <v/>
      </c>
    </row>
    <row r="2624" spans="37:44" ht="30" hidden="1" customHeight="1">
      <c r="AK2624" s="313"/>
      <c r="AL2624" s="313"/>
      <c r="AM2624" s="313"/>
      <c r="AN2624" s="313"/>
      <c r="AO2624" s="313"/>
      <c r="AP2624" s="313"/>
      <c r="AQ2624" s="314"/>
      <c r="AR2624" s="315" t="str">
        <f t="shared" si="115"/>
        <v/>
      </c>
    </row>
    <row r="2625" spans="37:44" ht="30" hidden="1" customHeight="1">
      <c r="AK2625" s="313"/>
      <c r="AL2625" s="313"/>
      <c r="AM2625" s="313"/>
      <c r="AN2625" s="313"/>
      <c r="AO2625" s="313"/>
      <c r="AP2625" s="313"/>
      <c r="AQ2625" s="314"/>
      <c r="AR2625" s="315" t="str">
        <f t="shared" si="115"/>
        <v/>
      </c>
    </row>
    <row r="2626" spans="37:44" ht="30" hidden="1" customHeight="1">
      <c r="AK2626" s="313"/>
      <c r="AL2626" s="313"/>
      <c r="AM2626" s="313"/>
      <c r="AN2626" s="313"/>
      <c r="AO2626" s="313"/>
      <c r="AP2626" s="313"/>
      <c r="AQ2626" s="314"/>
      <c r="AR2626" s="315" t="str">
        <f t="shared" si="115"/>
        <v/>
      </c>
    </row>
    <row r="2627" spans="37:44" ht="30" hidden="1" customHeight="1">
      <c r="AK2627" s="313"/>
      <c r="AL2627" s="313"/>
      <c r="AM2627" s="313"/>
      <c r="AN2627" s="313"/>
      <c r="AO2627" s="313"/>
      <c r="AP2627" s="313"/>
      <c r="AQ2627" s="314"/>
      <c r="AR2627" s="315" t="str">
        <f t="shared" si="115"/>
        <v/>
      </c>
    </row>
    <row r="2628" spans="37:44" ht="30" hidden="1" customHeight="1">
      <c r="AK2628" s="313"/>
      <c r="AL2628" s="313"/>
      <c r="AM2628" s="313"/>
      <c r="AN2628" s="313"/>
      <c r="AO2628" s="313"/>
      <c r="AP2628" s="313"/>
      <c r="AQ2628" s="314"/>
      <c r="AR2628" s="315" t="str">
        <f t="shared" si="115"/>
        <v/>
      </c>
    </row>
    <row r="2629" spans="37:44" ht="30" hidden="1" customHeight="1">
      <c r="AK2629" s="313"/>
      <c r="AL2629" s="313"/>
      <c r="AM2629" s="313"/>
      <c r="AN2629" s="313"/>
      <c r="AO2629" s="313"/>
      <c r="AP2629" s="313"/>
      <c r="AQ2629" s="314"/>
      <c r="AR2629" s="315" t="str">
        <f t="shared" si="115"/>
        <v/>
      </c>
    </row>
    <row r="2630" spans="37:44" ht="30" hidden="1" customHeight="1">
      <c r="AK2630" s="313"/>
      <c r="AL2630" s="313"/>
      <c r="AM2630" s="313"/>
      <c r="AN2630" s="313"/>
      <c r="AO2630" s="313"/>
      <c r="AP2630" s="313"/>
      <c r="AQ2630" s="314"/>
      <c r="AR2630" s="315" t="str">
        <f t="shared" si="115"/>
        <v/>
      </c>
    </row>
    <row r="2631" spans="37:44" ht="30" hidden="1" customHeight="1">
      <c r="AK2631" s="313"/>
      <c r="AL2631" s="313"/>
      <c r="AM2631" s="313"/>
      <c r="AN2631" s="313"/>
      <c r="AO2631" s="313"/>
      <c r="AP2631" s="313"/>
      <c r="AQ2631" s="314"/>
      <c r="AR2631" s="315" t="str">
        <f t="shared" si="115"/>
        <v/>
      </c>
    </row>
    <row r="2632" spans="37:44" ht="30" hidden="1" customHeight="1">
      <c r="AK2632" s="313"/>
      <c r="AL2632" s="313"/>
      <c r="AM2632" s="313"/>
      <c r="AN2632" s="313"/>
      <c r="AO2632" s="313"/>
      <c r="AP2632" s="313"/>
      <c r="AQ2632" s="314"/>
      <c r="AR2632" s="315" t="str">
        <f t="shared" si="115"/>
        <v/>
      </c>
    </row>
    <row r="2633" spans="37:44" ht="30" hidden="1" customHeight="1">
      <c r="AK2633" s="313"/>
      <c r="AL2633" s="313"/>
      <c r="AM2633" s="313"/>
      <c r="AN2633" s="313"/>
      <c r="AO2633" s="313"/>
      <c r="AP2633" s="313"/>
      <c r="AQ2633" s="314"/>
      <c r="AR2633" s="315" t="str">
        <f t="shared" si="115"/>
        <v/>
      </c>
    </row>
    <row r="2634" spans="37:44" ht="30" hidden="1" customHeight="1">
      <c r="AK2634" s="313"/>
      <c r="AL2634" s="313"/>
      <c r="AM2634" s="313"/>
      <c r="AN2634" s="313"/>
      <c r="AO2634" s="313"/>
      <c r="AP2634" s="313"/>
      <c r="AQ2634" s="314"/>
      <c r="AR2634" s="315" t="str">
        <f t="shared" si="115"/>
        <v/>
      </c>
    </row>
    <row r="2635" spans="37:44" ht="30" hidden="1" customHeight="1">
      <c r="AK2635" s="313"/>
      <c r="AL2635" s="313"/>
      <c r="AM2635" s="313"/>
      <c r="AN2635" s="313"/>
      <c r="AO2635" s="313"/>
      <c r="AP2635" s="313"/>
      <c r="AQ2635" s="314"/>
      <c r="AR2635" s="315" t="str">
        <f t="shared" si="115"/>
        <v/>
      </c>
    </row>
    <row r="2636" spans="37:44" ht="30" hidden="1" customHeight="1">
      <c r="AK2636" s="313"/>
      <c r="AL2636" s="313"/>
      <c r="AM2636" s="313"/>
      <c r="AN2636" s="313"/>
      <c r="AO2636" s="313"/>
      <c r="AP2636" s="313"/>
      <c r="AQ2636" s="314"/>
      <c r="AR2636" s="315" t="str">
        <f t="shared" si="115"/>
        <v/>
      </c>
    </row>
    <row r="2637" spans="37:44" ht="30" hidden="1" customHeight="1">
      <c r="AK2637" s="313"/>
      <c r="AL2637" s="313"/>
      <c r="AM2637" s="313"/>
      <c r="AN2637" s="313"/>
      <c r="AO2637" s="313"/>
      <c r="AP2637" s="313"/>
      <c r="AQ2637" s="314"/>
      <c r="AR2637" s="315" t="str">
        <f t="shared" si="115"/>
        <v/>
      </c>
    </row>
    <row r="2638" spans="37:44" ht="30" hidden="1" customHeight="1">
      <c r="AK2638" s="313"/>
      <c r="AL2638" s="313"/>
      <c r="AM2638" s="313"/>
      <c r="AN2638" s="313"/>
      <c r="AO2638" s="313"/>
      <c r="AP2638" s="313"/>
      <c r="AQ2638" s="314"/>
      <c r="AR2638" s="315" t="str">
        <f t="shared" si="115"/>
        <v/>
      </c>
    </row>
    <row r="2639" spans="37:44" ht="30" hidden="1" customHeight="1">
      <c r="AK2639" s="313"/>
      <c r="AL2639" s="313"/>
      <c r="AM2639" s="313"/>
      <c r="AN2639" s="313"/>
      <c r="AO2639" s="313"/>
      <c r="AP2639" s="313"/>
      <c r="AQ2639" s="314"/>
      <c r="AR2639" s="315" t="str">
        <f t="shared" si="115"/>
        <v/>
      </c>
    </row>
    <row r="2640" spans="37:44" ht="30" hidden="1" customHeight="1">
      <c r="AK2640" s="313"/>
      <c r="AL2640" s="313"/>
      <c r="AM2640" s="313"/>
      <c r="AN2640" s="313"/>
      <c r="AO2640" s="313"/>
      <c r="AP2640" s="313"/>
      <c r="AQ2640" s="314"/>
      <c r="AR2640" s="315" t="str">
        <f t="shared" si="115"/>
        <v/>
      </c>
    </row>
    <row r="2641" spans="37:44" ht="30" hidden="1" customHeight="1">
      <c r="AK2641" s="313"/>
      <c r="AL2641" s="313"/>
      <c r="AM2641" s="313"/>
      <c r="AN2641" s="313"/>
      <c r="AO2641" s="313"/>
      <c r="AP2641" s="313"/>
      <c r="AQ2641" s="314"/>
      <c r="AR2641" s="315" t="str">
        <f t="shared" si="115"/>
        <v/>
      </c>
    </row>
    <row r="2642" spans="37:44" ht="30" hidden="1" customHeight="1">
      <c r="AK2642" s="313"/>
      <c r="AL2642" s="313"/>
      <c r="AM2642" s="313"/>
      <c r="AN2642" s="313"/>
      <c r="AO2642" s="313"/>
      <c r="AP2642" s="313"/>
      <c r="AQ2642" s="314"/>
      <c r="AR2642" s="315" t="str">
        <f t="shared" si="115"/>
        <v/>
      </c>
    </row>
    <row r="2643" spans="37:44" ht="30" hidden="1" customHeight="1">
      <c r="AK2643" s="313"/>
      <c r="AL2643" s="313"/>
      <c r="AM2643" s="313"/>
      <c r="AN2643" s="313"/>
      <c r="AO2643" s="313"/>
      <c r="AP2643" s="313"/>
      <c r="AQ2643" s="314"/>
      <c r="AR2643" s="315" t="str">
        <f t="shared" si="115"/>
        <v/>
      </c>
    </row>
    <row r="2644" spans="37:44" ht="30" hidden="1" customHeight="1">
      <c r="AK2644" s="313"/>
      <c r="AL2644" s="313"/>
      <c r="AM2644" s="313"/>
      <c r="AN2644" s="313"/>
      <c r="AO2644" s="313"/>
      <c r="AP2644" s="313"/>
      <c r="AQ2644" s="314"/>
      <c r="AR2644" s="315" t="str">
        <f t="shared" si="115"/>
        <v/>
      </c>
    </row>
    <row r="2645" spans="37:44" ht="30" hidden="1" customHeight="1">
      <c r="AK2645" s="313"/>
      <c r="AL2645" s="313"/>
      <c r="AM2645" s="313"/>
      <c r="AN2645" s="313"/>
      <c r="AO2645" s="313"/>
      <c r="AP2645" s="313"/>
      <c r="AQ2645" s="314"/>
      <c r="AR2645" s="315" t="str">
        <f t="shared" si="115"/>
        <v/>
      </c>
    </row>
    <row r="2646" spans="37:44" ht="30" hidden="1" customHeight="1">
      <c r="AK2646" s="313"/>
      <c r="AL2646" s="313"/>
      <c r="AM2646" s="313"/>
      <c r="AN2646" s="313"/>
      <c r="AO2646" s="313"/>
      <c r="AP2646" s="313"/>
      <c r="AQ2646" s="314"/>
      <c r="AR2646" s="315" t="str">
        <f t="shared" si="115"/>
        <v/>
      </c>
    </row>
    <row r="2647" spans="37:44" ht="30" hidden="1" customHeight="1">
      <c r="AK2647" s="313"/>
      <c r="AL2647" s="313"/>
      <c r="AM2647" s="313"/>
      <c r="AN2647" s="313"/>
      <c r="AO2647" s="313"/>
      <c r="AP2647" s="313"/>
      <c r="AQ2647" s="314"/>
      <c r="AR2647" s="315" t="str">
        <f t="shared" si="115"/>
        <v/>
      </c>
    </row>
    <row r="2648" spans="37:44" ht="30" hidden="1" customHeight="1">
      <c r="AK2648" s="313"/>
      <c r="AL2648" s="313"/>
      <c r="AM2648" s="313"/>
      <c r="AN2648" s="313"/>
      <c r="AO2648" s="313"/>
      <c r="AP2648" s="313"/>
      <c r="AQ2648" s="314"/>
      <c r="AR2648" s="315" t="str">
        <f t="shared" si="115"/>
        <v/>
      </c>
    </row>
    <row r="2649" spans="37:44" ht="30" hidden="1" customHeight="1">
      <c r="AK2649" s="313"/>
      <c r="AL2649" s="313"/>
      <c r="AM2649" s="313"/>
      <c r="AN2649" s="313"/>
      <c r="AO2649" s="313"/>
      <c r="AP2649" s="313"/>
      <c r="AQ2649" s="314"/>
      <c r="AR2649" s="315" t="str">
        <f t="shared" si="115"/>
        <v/>
      </c>
    </row>
    <row r="2650" spans="37:44" ht="30" hidden="1" customHeight="1">
      <c r="AK2650" s="313"/>
      <c r="AL2650" s="313"/>
      <c r="AM2650" s="313"/>
      <c r="AN2650" s="313"/>
      <c r="AO2650" s="313"/>
      <c r="AP2650" s="313"/>
      <c r="AQ2650" s="314"/>
      <c r="AR2650" s="315" t="str">
        <f t="shared" si="115"/>
        <v/>
      </c>
    </row>
    <row r="2651" spans="37:44" ht="30" hidden="1" customHeight="1">
      <c r="AK2651" s="313"/>
      <c r="AL2651" s="313"/>
      <c r="AM2651" s="313"/>
      <c r="AN2651" s="313"/>
      <c r="AO2651" s="313"/>
      <c r="AP2651" s="313"/>
      <c r="AQ2651" s="314"/>
      <c r="AR2651" s="315" t="str">
        <f t="shared" si="115"/>
        <v/>
      </c>
    </row>
    <row r="2652" spans="37:44" ht="30" hidden="1" customHeight="1">
      <c r="AK2652" s="313"/>
      <c r="AL2652" s="313"/>
      <c r="AM2652" s="313"/>
      <c r="AN2652" s="313"/>
      <c r="AO2652" s="313"/>
      <c r="AP2652" s="313"/>
      <c r="AQ2652" s="314"/>
      <c r="AR2652" s="315" t="str">
        <f t="shared" si="115"/>
        <v/>
      </c>
    </row>
    <row r="2653" spans="37:44" ht="30" hidden="1" customHeight="1">
      <c r="AK2653" s="313"/>
      <c r="AL2653" s="313"/>
      <c r="AM2653" s="313"/>
      <c r="AN2653" s="313"/>
      <c r="AO2653" s="313"/>
      <c r="AP2653" s="313"/>
      <c r="AQ2653" s="314"/>
      <c r="AR2653" s="315" t="str">
        <f t="shared" si="115"/>
        <v/>
      </c>
    </row>
    <row r="2654" spans="37:44" ht="30" hidden="1" customHeight="1">
      <c r="AK2654" s="313"/>
      <c r="AL2654" s="313"/>
      <c r="AM2654" s="313"/>
      <c r="AN2654" s="313"/>
      <c r="AO2654" s="313"/>
      <c r="AP2654" s="313"/>
      <c r="AQ2654" s="314"/>
      <c r="AR2654" s="315" t="str">
        <f t="shared" si="115"/>
        <v/>
      </c>
    </row>
    <row r="2655" spans="37:44" ht="30" hidden="1" customHeight="1">
      <c r="AK2655" s="313"/>
      <c r="AL2655" s="313"/>
      <c r="AM2655" s="313"/>
      <c r="AN2655" s="313"/>
      <c r="AO2655" s="313"/>
      <c r="AP2655" s="313"/>
      <c r="AQ2655" s="314"/>
      <c r="AR2655" s="315" t="str">
        <f t="shared" si="115"/>
        <v/>
      </c>
    </row>
    <row r="2656" spans="37:44" ht="30" hidden="1" customHeight="1">
      <c r="AK2656" s="313"/>
      <c r="AL2656" s="313"/>
      <c r="AM2656" s="313"/>
      <c r="AN2656" s="313"/>
      <c r="AO2656" s="313"/>
      <c r="AP2656" s="313"/>
      <c r="AQ2656" s="314"/>
      <c r="AR2656" s="315" t="str">
        <f t="shared" si="115"/>
        <v/>
      </c>
    </row>
    <row r="2657" spans="37:44" ht="30" hidden="1" customHeight="1">
      <c r="AK2657" s="313"/>
      <c r="AL2657" s="313"/>
      <c r="AM2657" s="313"/>
      <c r="AN2657" s="313"/>
      <c r="AO2657" s="313"/>
      <c r="AP2657" s="313"/>
      <c r="AQ2657" s="314"/>
      <c r="AR2657" s="315" t="str">
        <f t="shared" si="115"/>
        <v/>
      </c>
    </row>
    <row r="2658" spans="37:44" ht="30" hidden="1" customHeight="1">
      <c r="AK2658" s="313"/>
      <c r="AL2658" s="313"/>
      <c r="AM2658" s="313"/>
      <c r="AN2658" s="313"/>
      <c r="AO2658" s="313"/>
      <c r="AP2658" s="313"/>
      <c r="AQ2658" s="314"/>
      <c r="AR2658" s="315" t="str">
        <f t="shared" si="115"/>
        <v/>
      </c>
    </row>
    <row r="2659" spans="37:44" ht="30" hidden="1" customHeight="1">
      <c r="AK2659" s="313"/>
      <c r="AL2659" s="313"/>
      <c r="AM2659" s="313"/>
      <c r="AN2659" s="313"/>
      <c r="AO2659" s="313"/>
      <c r="AP2659" s="313"/>
      <c r="AQ2659" s="314"/>
      <c r="AR2659" s="315" t="str">
        <f t="shared" si="115"/>
        <v/>
      </c>
    </row>
    <row r="2660" spans="37:44" ht="30" hidden="1" customHeight="1">
      <c r="AK2660" s="313"/>
      <c r="AL2660" s="313"/>
      <c r="AM2660" s="313"/>
      <c r="AN2660" s="313"/>
      <c r="AO2660" s="313"/>
      <c r="AP2660" s="313"/>
      <c r="AQ2660" s="314"/>
      <c r="AR2660" s="315" t="str">
        <f t="shared" si="115"/>
        <v/>
      </c>
    </row>
    <row r="2661" spans="37:44" ht="30" hidden="1" customHeight="1">
      <c r="AK2661" s="313"/>
      <c r="AL2661" s="313"/>
      <c r="AM2661" s="313"/>
      <c r="AN2661" s="313"/>
      <c r="AO2661" s="313"/>
      <c r="AP2661" s="313"/>
      <c r="AQ2661" s="314"/>
      <c r="AR2661" s="315" t="str">
        <f t="shared" si="115"/>
        <v/>
      </c>
    </row>
    <row r="2662" spans="37:44" ht="30" hidden="1" customHeight="1">
      <c r="AK2662" s="313"/>
      <c r="AL2662" s="313"/>
      <c r="AM2662" s="313"/>
      <c r="AN2662" s="313"/>
      <c r="AO2662" s="313"/>
      <c r="AP2662" s="313"/>
      <c r="AQ2662" s="314"/>
      <c r="AR2662" s="315" t="str">
        <f t="shared" si="115"/>
        <v/>
      </c>
    </row>
    <row r="2663" spans="37:44" ht="30" hidden="1" customHeight="1">
      <c r="AK2663" s="313"/>
      <c r="AL2663" s="313"/>
      <c r="AM2663" s="313"/>
      <c r="AN2663" s="313"/>
      <c r="AO2663" s="313"/>
      <c r="AP2663" s="313"/>
      <c r="AQ2663" s="314"/>
      <c r="AR2663" s="315" t="str">
        <f t="shared" si="115"/>
        <v/>
      </c>
    </row>
    <row r="2664" spans="37:44" ht="30" hidden="1" customHeight="1">
      <c r="AK2664" s="313"/>
      <c r="AL2664" s="313"/>
      <c r="AM2664" s="313"/>
      <c r="AN2664" s="313"/>
      <c r="AO2664" s="313"/>
      <c r="AP2664" s="313"/>
      <c r="AQ2664" s="314"/>
      <c r="AR2664" s="315" t="str">
        <f t="shared" si="115"/>
        <v/>
      </c>
    </row>
    <row r="2665" spans="37:44" ht="30" hidden="1" customHeight="1">
      <c r="AK2665" s="313"/>
      <c r="AL2665" s="313"/>
      <c r="AM2665" s="313"/>
      <c r="AN2665" s="313"/>
      <c r="AO2665" s="313"/>
      <c r="AP2665" s="313"/>
      <c r="AQ2665" s="314"/>
      <c r="AR2665" s="315" t="str">
        <f t="shared" si="115"/>
        <v/>
      </c>
    </row>
    <row r="2666" spans="37:44" ht="30" hidden="1" customHeight="1">
      <c r="AK2666" s="313"/>
      <c r="AL2666" s="313"/>
      <c r="AM2666" s="313"/>
      <c r="AN2666" s="313"/>
      <c r="AO2666" s="313"/>
      <c r="AP2666" s="313"/>
      <c r="AQ2666" s="314"/>
      <c r="AR2666" s="315" t="str">
        <f t="shared" si="115"/>
        <v/>
      </c>
    </row>
    <row r="2667" spans="37:44" ht="30" hidden="1" customHeight="1">
      <c r="AK2667" s="313"/>
      <c r="AL2667" s="313"/>
      <c r="AM2667" s="313"/>
      <c r="AN2667" s="313"/>
      <c r="AO2667" s="313"/>
      <c r="AP2667" s="313"/>
      <c r="AQ2667" s="314"/>
      <c r="AR2667" s="315" t="str">
        <f t="shared" si="115"/>
        <v/>
      </c>
    </row>
    <row r="2668" spans="37:44" ht="30" hidden="1" customHeight="1">
      <c r="AK2668" s="313"/>
      <c r="AL2668" s="313"/>
      <c r="AM2668" s="313"/>
      <c r="AN2668" s="313"/>
      <c r="AO2668" s="313"/>
      <c r="AP2668" s="313"/>
      <c r="AQ2668" s="314"/>
      <c r="AR2668" s="315" t="str">
        <f t="shared" si="115"/>
        <v/>
      </c>
    </row>
    <row r="2669" spans="37:44" ht="30" hidden="1" customHeight="1">
      <c r="AK2669" s="313"/>
      <c r="AL2669" s="313"/>
      <c r="AM2669" s="313"/>
      <c r="AN2669" s="313"/>
      <c r="AO2669" s="313"/>
      <c r="AP2669" s="313"/>
      <c r="AQ2669" s="314"/>
      <c r="AR2669" s="315" t="str">
        <f t="shared" si="115"/>
        <v/>
      </c>
    </row>
    <row r="2670" spans="37:44" ht="30" hidden="1" customHeight="1">
      <c r="AK2670" s="313"/>
      <c r="AL2670" s="313"/>
      <c r="AM2670" s="313"/>
      <c r="AN2670" s="313"/>
      <c r="AO2670" s="313"/>
      <c r="AP2670" s="313"/>
      <c r="AQ2670" s="314"/>
      <c r="AR2670" s="315" t="str">
        <f t="shared" si="115"/>
        <v/>
      </c>
    </row>
    <row r="2671" spans="37:44" ht="30" hidden="1" customHeight="1">
      <c r="AK2671" s="313"/>
      <c r="AL2671" s="313"/>
      <c r="AM2671" s="313"/>
      <c r="AN2671" s="313"/>
      <c r="AO2671" s="313"/>
      <c r="AP2671" s="313"/>
      <c r="AQ2671" s="314"/>
      <c r="AR2671" s="315" t="str">
        <f t="shared" si="115"/>
        <v/>
      </c>
    </row>
    <row r="2672" spans="37:44" ht="30" hidden="1" customHeight="1">
      <c r="AK2672" s="313"/>
      <c r="AL2672" s="313"/>
      <c r="AM2672" s="313"/>
      <c r="AN2672" s="313"/>
      <c r="AO2672" s="313"/>
      <c r="AP2672" s="313"/>
      <c r="AQ2672" s="314"/>
      <c r="AR2672" s="315" t="str">
        <f t="shared" si="115"/>
        <v/>
      </c>
    </row>
    <row r="2673" spans="37:44" ht="30" hidden="1" customHeight="1">
      <c r="AK2673" s="313"/>
      <c r="AL2673" s="313"/>
      <c r="AM2673" s="313"/>
      <c r="AN2673" s="313"/>
      <c r="AO2673" s="313"/>
      <c r="AP2673" s="313"/>
      <c r="AQ2673" s="314"/>
      <c r="AR2673" s="315" t="str">
        <f t="shared" si="115"/>
        <v/>
      </c>
    </row>
    <row r="2674" spans="37:44" ht="30" hidden="1" customHeight="1">
      <c r="AK2674" s="313"/>
      <c r="AL2674" s="313"/>
      <c r="AM2674" s="313"/>
      <c r="AN2674" s="313"/>
      <c r="AO2674" s="313"/>
      <c r="AP2674" s="313"/>
      <c r="AQ2674" s="314"/>
      <c r="AR2674" s="315" t="str">
        <f t="shared" si="115"/>
        <v/>
      </c>
    </row>
    <row r="2675" spans="37:44" ht="30" hidden="1" customHeight="1">
      <c r="AK2675" s="313"/>
      <c r="AL2675" s="313"/>
      <c r="AM2675" s="313"/>
      <c r="AN2675" s="313"/>
      <c r="AO2675" s="313"/>
      <c r="AP2675" s="313"/>
      <c r="AQ2675" s="314"/>
      <c r="AR2675" s="315" t="str">
        <f t="shared" si="115"/>
        <v/>
      </c>
    </row>
    <row r="2676" spans="37:44" ht="30" hidden="1" customHeight="1">
      <c r="AK2676" s="313"/>
      <c r="AL2676" s="313"/>
      <c r="AM2676" s="313"/>
      <c r="AN2676" s="313"/>
      <c r="AO2676" s="313"/>
      <c r="AP2676" s="313"/>
      <c r="AQ2676" s="314"/>
      <c r="AR2676" s="315" t="str">
        <f t="shared" si="115"/>
        <v/>
      </c>
    </row>
    <row r="2677" spans="37:44" ht="30" hidden="1" customHeight="1">
      <c r="AK2677" s="313"/>
      <c r="AL2677" s="313"/>
      <c r="AM2677" s="313"/>
      <c r="AN2677" s="313"/>
      <c r="AO2677" s="313"/>
      <c r="AP2677" s="313"/>
      <c r="AQ2677" s="314"/>
      <c r="AR2677" s="315" t="str">
        <f t="shared" si="115"/>
        <v/>
      </c>
    </row>
    <row r="2678" spans="37:44" ht="30" hidden="1" customHeight="1">
      <c r="AK2678" s="313"/>
      <c r="AL2678" s="313"/>
      <c r="AM2678" s="313"/>
      <c r="AN2678" s="313"/>
      <c r="AO2678" s="313"/>
      <c r="AP2678" s="313"/>
      <c r="AQ2678" s="314"/>
      <c r="AR2678" s="315" t="str">
        <f t="shared" si="115"/>
        <v/>
      </c>
    </row>
    <row r="2679" spans="37:44" ht="30" hidden="1" customHeight="1">
      <c r="AK2679" s="313"/>
      <c r="AL2679" s="313"/>
      <c r="AM2679" s="313"/>
      <c r="AN2679" s="313"/>
      <c r="AO2679" s="313"/>
      <c r="AP2679" s="313"/>
      <c r="AQ2679" s="314"/>
      <c r="AR2679" s="315" t="str">
        <f t="shared" si="115"/>
        <v/>
      </c>
    </row>
    <row r="2680" spans="37:44" ht="30" hidden="1" customHeight="1">
      <c r="AK2680" s="313"/>
      <c r="AL2680" s="313"/>
      <c r="AM2680" s="313"/>
      <c r="AN2680" s="313"/>
      <c r="AO2680" s="313"/>
      <c r="AP2680" s="313"/>
      <c r="AQ2680" s="314"/>
      <c r="AR2680" s="315" t="str">
        <f t="shared" si="115"/>
        <v/>
      </c>
    </row>
    <row r="2681" spans="37:44" ht="30" hidden="1" customHeight="1">
      <c r="AK2681" s="313"/>
      <c r="AL2681" s="313"/>
      <c r="AM2681" s="313"/>
      <c r="AN2681" s="313"/>
      <c r="AO2681" s="313"/>
      <c r="AP2681" s="313"/>
      <c r="AQ2681" s="314"/>
      <c r="AR2681" s="315" t="str">
        <f t="shared" si="115"/>
        <v/>
      </c>
    </row>
    <row r="2682" spans="37:44" ht="30" hidden="1" customHeight="1">
      <c r="AK2682" s="313"/>
      <c r="AL2682" s="313"/>
      <c r="AM2682" s="313"/>
      <c r="AN2682" s="313"/>
      <c r="AO2682" s="313"/>
      <c r="AP2682" s="313"/>
      <c r="AQ2682" s="314"/>
      <c r="AR2682" s="315" t="str">
        <f t="shared" si="115"/>
        <v/>
      </c>
    </row>
    <row r="2683" spans="37:44" ht="30" hidden="1" customHeight="1">
      <c r="AK2683" s="313"/>
      <c r="AL2683" s="313"/>
      <c r="AM2683" s="313"/>
      <c r="AN2683" s="313"/>
      <c r="AO2683" s="313"/>
      <c r="AP2683" s="313"/>
      <c r="AQ2683" s="314"/>
      <c r="AR2683" s="315" t="str">
        <f t="shared" si="115"/>
        <v/>
      </c>
    </row>
    <row r="2684" spans="37:44" ht="30" hidden="1" customHeight="1">
      <c r="AK2684" s="313"/>
      <c r="AL2684" s="313"/>
      <c r="AM2684" s="313"/>
      <c r="AN2684" s="313"/>
      <c r="AO2684" s="313"/>
      <c r="AP2684" s="313"/>
      <c r="AQ2684" s="314"/>
      <c r="AR2684" s="315" t="str">
        <f t="shared" si="115"/>
        <v/>
      </c>
    </row>
    <row r="2685" spans="37:44" ht="30" hidden="1" customHeight="1">
      <c r="AK2685" s="313"/>
      <c r="AL2685" s="313"/>
      <c r="AM2685" s="313"/>
      <c r="AN2685" s="313"/>
      <c r="AO2685" s="313"/>
      <c r="AP2685" s="313"/>
      <c r="AQ2685" s="314"/>
      <c r="AR2685" s="315" t="str">
        <f t="shared" si="115"/>
        <v/>
      </c>
    </row>
    <row r="2686" spans="37:44" ht="30" hidden="1" customHeight="1">
      <c r="AK2686" s="313"/>
      <c r="AL2686" s="313"/>
      <c r="AM2686" s="313"/>
      <c r="AN2686" s="313"/>
      <c r="AO2686" s="313"/>
      <c r="AP2686" s="313"/>
      <c r="AQ2686" s="314"/>
      <c r="AR2686" s="315" t="str">
        <f t="shared" si="115"/>
        <v/>
      </c>
    </row>
    <row r="2687" spans="37:44" ht="30" hidden="1" customHeight="1">
      <c r="AK2687" s="313"/>
      <c r="AL2687" s="313"/>
      <c r="AM2687" s="313"/>
      <c r="AN2687" s="313"/>
      <c r="AO2687" s="313"/>
      <c r="AP2687" s="313"/>
      <c r="AQ2687" s="314"/>
      <c r="AR2687" s="315" t="str">
        <f t="shared" ref="AR2687:AR2750" si="116">IF(AQ2687="SIM","AGUARDANDO CORREÇÃO",IF(AP2687&lt;&gt;"","FINALIZADO",IF(AO2687&lt;&gt;"","AGUARDANDO ENVIO DTS",IF(AN2687&lt;&gt;"","AGUARDANDO ASSINATURA GAB",IF(AM2687&lt;&gt;"","AGUARDANDO ASSINATURA CTS",IF(AL2687&lt;&gt;"","AGUARDANDO ENVIO ASSINATURA CTS",IF(AK2687&lt;&gt;"","AGUARDANDO CONFERÊNCIA","")))))))</f>
        <v/>
      </c>
    </row>
    <row r="2688" spans="37:44" ht="30" hidden="1" customHeight="1">
      <c r="AK2688" s="313"/>
      <c r="AL2688" s="313"/>
      <c r="AM2688" s="313"/>
      <c r="AN2688" s="313"/>
      <c r="AO2688" s="313"/>
      <c r="AP2688" s="313"/>
      <c r="AQ2688" s="314"/>
      <c r="AR2688" s="315" t="str">
        <f t="shared" si="116"/>
        <v/>
      </c>
    </row>
    <row r="2689" spans="37:44" ht="30" hidden="1" customHeight="1">
      <c r="AK2689" s="313"/>
      <c r="AL2689" s="313"/>
      <c r="AM2689" s="313"/>
      <c r="AN2689" s="313"/>
      <c r="AO2689" s="313"/>
      <c r="AP2689" s="313"/>
      <c r="AQ2689" s="314"/>
      <c r="AR2689" s="315" t="str">
        <f t="shared" si="116"/>
        <v/>
      </c>
    </row>
    <row r="2690" spans="37:44" ht="30" hidden="1" customHeight="1">
      <c r="AK2690" s="313"/>
      <c r="AL2690" s="313"/>
      <c r="AM2690" s="313"/>
      <c r="AN2690" s="313"/>
      <c r="AO2690" s="313"/>
      <c r="AP2690" s="313"/>
      <c r="AQ2690" s="314"/>
      <c r="AR2690" s="315" t="str">
        <f t="shared" si="116"/>
        <v/>
      </c>
    </row>
    <row r="2691" spans="37:44" ht="30" hidden="1" customHeight="1">
      <c r="AK2691" s="313"/>
      <c r="AL2691" s="313"/>
      <c r="AM2691" s="313"/>
      <c r="AN2691" s="313"/>
      <c r="AO2691" s="313"/>
      <c r="AP2691" s="313"/>
      <c r="AQ2691" s="314"/>
      <c r="AR2691" s="315" t="str">
        <f t="shared" si="116"/>
        <v/>
      </c>
    </row>
    <row r="2692" spans="37:44" ht="30" hidden="1" customHeight="1">
      <c r="AK2692" s="313"/>
      <c r="AL2692" s="313"/>
      <c r="AM2692" s="313"/>
      <c r="AN2692" s="313"/>
      <c r="AO2692" s="313"/>
      <c r="AP2692" s="313"/>
      <c r="AQ2692" s="314"/>
      <c r="AR2692" s="315" t="str">
        <f t="shared" si="116"/>
        <v/>
      </c>
    </row>
    <row r="2693" spans="37:44" ht="30" hidden="1" customHeight="1">
      <c r="AK2693" s="313"/>
      <c r="AL2693" s="313"/>
      <c r="AM2693" s="313"/>
      <c r="AN2693" s="313"/>
      <c r="AO2693" s="313"/>
      <c r="AP2693" s="313"/>
      <c r="AQ2693" s="314"/>
      <c r="AR2693" s="315" t="str">
        <f t="shared" si="116"/>
        <v/>
      </c>
    </row>
    <row r="2694" spans="37:44" ht="30" hidden="1" customHeight="1">
      <c r="AK2694" s="313"/>
      <c r="AL2694" s="313"/>
      <c r="AM2694" s="313"/>
      <c r="AN2694" s="313"/>
      <c r="AO2694" s="313"/>
      <c r="AP2694" s="313"/>
      <c r="AQ2694" s="314"/>
      <c r="AR2694" s="315" t="str">
        <f t="shared" si="116"/>
        <v/>
      </c>
    </row>
    <row r="2695" spans="37:44" ht="30" hidden="1" customHeight="1">
      <c r="AK2695" s="313"/>
      <c r="AL2695" s="313"/>
      <c r="AM2695" s="313"/>
      <c r="AN2695" s="313"/>
      <c r="AO2695" s="313"/>
      <c r="AP2695" s="313"/>
      <c r="AQ2695" s="314"/>
      <c r="AR2695" s="315" t="str">
        <f t="shared" si="116"/>
        <v/>
      </c>
    </row>
    <row r="2696" spans="37:44" ht="30" hidden="1" customHeight="1">
      <c r="AK2696" s="313"/>
      <c r="AL2696" s="313"/>
      <c r="AM2696" s="313"/>
      <c r="AN2696" s="313"/>
      <c r="AO2696" s="313"/>
      <c r="AP2696" s="313"/>
      <c r="AQ2696" s="314"/>
      <c r="AR2696" s="315" t="str">
        <f t="shared" si="116"/>
        <v/>
      </c>
    </row>
    <row r="2697" spans="37:44" ht="30" hidden="1" customHeight="1">
      <c r="AK2697" s="313"/>
      <c r="AL2697" s="313"/>
      <c r="AM2697" s="313"/>
      <c r="AN2697" s="313"/>
      <c r="AO2697" s="313"/>
      <c r="AP2697" s="313"/>
      <c r="AQ2697" s="314"/>
      <c r="AR2697" s="315" t="str">
        <f t="shared" si="116"/>
        <v/>
      </c>
    </row>
    <row r="2698" spans="37:44" ht="30" hidden="1" customHeight="1">
      <c r="AK2698" s="313"/>
      <c r="AL2698" s="313"/>
      <c r="AM2698" s="313"/>
      <c r="AN2698" s="313"/>
      <c r="AO2698" s="313"/>
      <c r="AP2698" s="313"/>
      <c r="AQ2698" s="314"/>
      <c r="AR2698" s="315" t="str">
        <f t="shared" si="116"/>
        <v/>
      </c>
    </row>
    <row r="2699" spans="37:44" ht="30" hidden="1" customHeight="1">
      <c r="AK2699" s="313"/>
      <c r="AL2699" s="313"/>
      <c r="AM2699" s="313"/>
      <c r="AN2699" s="313"/>
      <c r="AO2699" s="313"/>
      <c r="AP2699" s="313"/>
      <c r="AQ2699" s="314"/>
      <c r="AR2699" s="315" t="str">
        <f t="shared" si="116"/>
        <v/>
      </c>
    </row>
    <row r="2700" spans="37:44" ht="30" hidden="1" customHeight="1">
      <c r="AK2700" s="313"/>
      <c r="AL2700" s="313"/>
      <c r="AM2700" s="313"/>
      <c r="AN2700" s="313"/>
      <c r="AO2700" s="313"/>
      <c r="AP2700" s="313"/>
      <c r="AQ2700" s="314"/>
      <c r="AR2700" s="315" t="str">
        <f t="shared" si="116"/>
        <v/>
      </c>
    </row>
    <row r="2701" spans="37:44" ht="30" hidden="1" customHeight="1">
      <c r="AK2701" s="313"/>
      <c r="AL2701" s="313"/>
      <c r="AM2701" s="313"/>
      <c r="AN2701" s="313"/>
      <c r="AO2701" s="313"/>
      <c r="AP2701" s="313"/>
      <c r="AQ2701" s="314"/>
      <c r="AR2701" s="315" t="str">
        <f t="shared" si="116"/>
        <v/>
      </c>
    </row>
    <row r="2702" spans="37:44" ht="30" hidden="1" customHeight="1">
      <c r="AK2702" s="313"/>
      <c r="AL2702" s="313"/>
      <c r="AM2702" s="313"/>
      <c r="AN2702" s="313"/>
      <c r="AO2702" s="313"/>
      <c r="AP2702" s="313"/>
      <c r="AQ2702" s="314"/>
      <c r="AR2702" s="315" t="str">
        <f t="shared" si="116"/>
        <v/>
      </c>
    </row>
    <row r="2703" spans="37:44" ht="30" hidden="1" customHeight="1">
      <c r="AK2703" s="313"/>
      <c r="AL2703" s="313"/>
      <c r="AM2703" s="313"/>
      <c r="AN2703" s="313"/>
      <c r="AO2703" s="313"/>
      <c r="AP2703" s="313"/>
      <c r="AQ2703" s="314"/>
      <c r="AR2703" s="315" t="str">
        <f t="shared" si="116"/>
        <v/>
      </c>
    </row>
    <row r="2704" spans="37:44" ht="30" hidden="1" customHeight="1">
      <c r="AK2704" s="313"/>
      <c r="AL2704" s="313"/>
      <c r="AM2704" s="313"/>
      <c r="AN2704" s="313"/>
      <c r="AO2704" s="313"/>
      <c r="AP2704" s="313"/>
      <c r="AQ2704" s="314"/>
      <c r="AR2704" s="315" t="str">
        <f t="shared" si="116"/>
        <v/>
      </c>
    </row>
    <row r="2705" spans="37:44" ht="30" hidden="1" customHeight="1">
      <c r="AK2705" s="313"/>
      <c r="AL2705" s="313"/>
      <c r="AM2705" s="313"/>
      <c r="AN2705" s="313"/>
      <c r="AO2705" s="313"/>
      <c r="AP2705" s="313"/>
      <c r="AQ2705" s="314"/>
      <c r="AR2705" s="315" t="str">
        <f t="shared" si="116"/>
        <v/>
      </c>
    </row>
    <row r="2706" spans="37:44" ht="30" hidden="1" customHeight="1">
      <c r="AK2706" s="313"/>
      <c r="AL2706" s="313"/>
      <c r="AM2706" s="313"/>
      <c r="AN2706" s="313"/>
      <c r="AO2706" s="313"/>
      <c r="AP2706" s="313"/>
      <c r="AQ2706" s="314"/>
      <c r="AR2706" s="315" t="str">
        <f t="shared" si="116"/>
        <v/>
      </c>
    </row>
    <row r="2707" spans="37:44" ht="30" hidden="1" customHeight="1">
      <c r="AK2707" s="313"/>
      <c r="AL2707" s="313"/>
      <c r="AM2707" s="313"/>
      <c r="AN2707" s="313"/>
      <c r="AO2707" s="313"/>
      <c r="AP2707" s="313"/>
      <c r="AQ2707" s="314"/>
      <c r="AR2707" s="315" t="str">
        <f t="shared" si="116"/>
        <v/>
      </c>
    </row>
    <row r="2708" spans="37:44" ht="30" hidden="1" customHeight="1">
      <c r="AK2708" s="313"/>
      <c r="AL2708" s="313"/>
      <c r="AM2708" s="313"/>
      <c r="AN2708" s="313"/>
      <c r="AO2708" s="313"/>
      <c r="AP2708" s="313"/>
      <c r="AQ2708" s="314"/>
      <c r="AR2708" s="315" t="str">
        <f t="shared" si="116"/>
        <v/>
      </c>
    </row>
    <row r="2709" spans="37:44" ht="30" hidden="1" customHeight="1">
      <c r="AK2709" s="313"/>
      <c r="AL2709" s="313"/>
      <c r="AM2709" s="313"/>
      <c r="AN2709" s="313"/>
      <c r="AO2709" s="313"/>
      <c r="AP2709" s="313"/>
      <c r="AQ2709" s="314"/>
      <c r="AR2709" s="315" t="str">
        <f t="shared" si="116"/>
        <v/>
      </c>
    </row>
    <row r="2710" spans="37:44" ht="30" hidden="1" customHeight="1">
      <c r="AK2710" s="313"/>
      <c r="AL2710" s="313"/>
      <c r="AM2710" s="313"/>
      <c r="AN2710" s="313"/>
      <c r="AO2710" s="313"/>
      <c r="AP2710" s="313"/>
      <c r="AQ2710" s="314"/>
      <c r="AR2710" s="315" t="str">
        <f t="shared" si="116"/>
        <v/>
      </c>
    </row>
    <row r="2711" spans="37:44" ht="30" hidden="1" customHeight="1">
      <c r="AK2711" s="313"/>
      <c r="AL2711" s="313"/>
      <c r="AM2711" s="313"/>
      <c r="AN2711" s="313"/>
      <c r="AO2711" s="313"/>
      <c r="AP2711" s="313"/>
      <c r="AQ2711" s="314"/>
      <c r="AR2711" s="315" t="str">
        <f t="shared" si="116"/>
        <v/>
      </c>
    </row>
    <row r="2712" spans="37:44" ht="30" hidden="1" customHeight="1">
      <c r="AK2712" s="313"/>
      <c r="AL2712" s="313"/>
      <c r="AM2712" s="313"/>
      <c r="AN2712" s="313"/>
      <c r="AO2712" s="313"/>
      <c r="AP2712" s="313"/>
      <c r="AQ2712" s="314"/>
      <c r="AR2712" s="315" t="str">
        <f t="shared" si="116"/>
        <v/>
      </c>
    </row>
    <row r="2713" spans="37:44" ht="30" hidden="1" customHeight="1">
      <c r="AK2713" s="313"/>
      <c r="AL2713" s="313"/>
      <c r="AM2713" s="313"/>
      <c r="AN2713" s="313"/>
      <c r="AO2713" s="313"/>
      <c r="AP2713" s="313"/>
      <c r="AQ2713" s="314"/>
      <c r="AR2713" s="315" t="str">
        <f t="shared" si="116"/>
        <v/>
      </c>
    </row>
    <row r="2714" spans="37:44" ht="30" hidden="1" customHeight="1">
      <c r="AK2714" s="313"/>
      <c r="AL2714" s="313"/>
      <c r="AM2714" s="313"/>
      <c r="AN2714" s="313"/>
      <c r="AO2714" s="313"/>
      <c r="AP2714" s="313"/>
      <c r="AQ2714" s="314"/>
      <c r="AR2714" s="315" t="str">
        <f t="shared" si="116"/>
        <v/>
      </c>
    </row>
    <row r="2715" spans="37:44" ht="30" hidden="1" customHeight="1">
      <c r="AK2715" s="313"/>
      <c r="AL2715" s="313"/>
      <c r="AM2715" s="313"/>
      <c r="AN2715" s="313"/>
      <c r="AO2715" s="313"/>
      <c r="AP2715" s="313"/>
      <c r="AQ2715" s="314"/>
      <c r="AR2715" s="315" t="str">
        <f t="shared" si="116"/>
        <v/>
      </c>
    </row>
    <row r="2716" spans="37:44" ht="30" hidden="1" customHeight="1">
      <c r="AK2716" s="313"/>
      <c r="AL2716" s="313"/>
      <c r="AM2716" s="313"/>
      <c r="AN2716" s="313"/>
      <c r="AO2716" s="313"/>
      <c r="AP2716" s="313"/>
      <c r="AQ2716" s="314"/>
      <c r="AR2716" s="315" t="str">
        <f t="shared" si="116"/>
        <v/>
      </c>
    </row>
    <row r="2717" spans="37:44" ht="30" hidden="1" customHeight="1">
      <c r="AK2717" s="313"/>
      <c r="AL2717" s="313"/>
      <c r="AM2717" s="313"/>
      <c r="AN2717" s="313"/>
      <c r="AO2717" s="313"/>
      <c r="AP2717" s="313"/>
      <c r="AQ2717" s="314"/>
      <c r="AR2717" s="315" t="str">
        <f t="shared" si="116"/>
        <v/>
      </c>
    </row>
    <row r="2718" spans="37:44" ht="30" hidden="1" customHeight="1">
      <c r="AK2718" s="313"/>
      <c r="AL2718" s="313"/>
      <c r="AM2718" s="313"/>
      <c r="AN2718" s="313"/>
      <c r="AO2718" s="313"/>
      <c r="AP2718" s="313"/>
      <c r="AQ2718" s="314"/>
      <c r="AR2718" s="315" t="str">
        <f t="shared" si="116"/>
        <v/>
      </c>
    </row>
    <row r="2719" spans="37:44" ht="30" hidden="1" customHeight="1">
      <c r="AK2719" s="313"/>
      <c r="AL2719" s="313"/>
      <c r="AM2719" s="313"/>
      <c r="AN2719" s="313"/>
      <c r="AO2719" s="313"/>
      <c r="AP2719" s="313"/>
      <c r="AQ2719" s="314"/>
      <c r="AR2719" s="315" t="str">
        <f t="shared" si="116"/>
        <v/>
      </c>
    </row>
    <row r="2720" spans="37:44" ht="30" hidden="1" customHeight="1">
      <c r="AK2720" s="313"/>
      <c r="AL2720" s="313"/>
      <c r="AM2720" s="313"/>
      <c r="AN2720" s="313"/>
      <c r="AO2720" s="313"/>
      <c r="AP2720" s="313"/>
      <c r="AQ2720" s="314"/>
      <c r="AR2720" s="315" t="str">
        <f t="shared" si="116"/>
        <v/>
      </c>
    </row>
    <row r="2721" spans="37:44" ht="30" hidden="1" customHeight="1">
      <c r="AK2721" s="313"/>
      <c r="AL2721" s="313"/>
      <c r="AM2721" s="313"/>
      <c r="AN2721" s="313"/>
      <c r="AO2721" s="313"/>
      <c r="AP2721" s="313"/>
      <c r="AQ2721" s="314"/>
      <c r="AR2721" s="315" t="str">
        <f t="shared" si="116"/>
        <v/>
      </c>
    </row>
    <row r="2722" spans="37:44" ht="30" hidden="1" customHeight="1">
      <c r="AK2722" s="313"/>
      <c r="AL2722" s="313"/>
      <c r="AM2722" s="313"/>
      <c r="AN2722" s="313"/>
      <c r="AO2722" s="313"/>
      <c r="AP2722" s="313"/>
      <c r="AQ2722" s="314"/>
      <c r="AR2722" s="315" t="str">
        <f t="shared" si="116"/>
        <v/>
      </c>
    </row>
    <row r="2723" spans="37:44" ht="30" hidden="1" customHeight="1">
      <c r="AK2723" s="313"/>
      <c r="AL2723" s="313"/>
      <c r="AM2723" s="313"/>
      <c r="AN2723" s="313"/>
      <c r="AO2723" s="313"/>
      <c r="AP2723" s="313"/>
      <c r="AQ2723" s="314"/>
      <c r="AR2723" s="315" t="str">
        <f t="shared" si="116"/>
        <v/>
      </c>
    </row>
    <row r="2724" spans="37:44" ht="30" hidden="1" customHeight="1">
      <c r="AK2724" s="313"/>
      <c r="AL2724" s="313"/>
      <c r="AM2724" s="313"/>
      <c r="AN2724" s="313"/>
      <c r="AO2724" s="313"/>
      <c r="AP2724" s="313"/>
      <c r="AQ2724" s="314"/>
      <c r="AR2724" s="315" t="str">
        <f t="shared" si="116"/>
        <v/>
      </c>
    </row>
    <row r="2725" spans="37:44" ht="30" hidden="1" customHeight="1">
      <c r="AK2725" s="313"/>
      <c r="AL2725" s="313"/>
      <c r="AM2725" s="313"/>
      <c r="AN2725" s="313"/>
      <c r="AO2725" s="313"/>
      <c r="AP2725" s="313"/>
      <c r="AQ2725" s="314"/>
      <c r="AR2725" s="315" t="str">
        <f t="shared" si="116"/>
        <v/>
      </c>
    </row>
    <row r="2726" spans="37:44" ht="30" hidden="1" customHeight="1">
      <c r="AK2726" s="313"/>
      <c r="AL2726" s="313"/>
      <c r="AM2726" s="313"/>
      <c r="AN2726" s="313"/>
      <c r="AO2726" s="313"/>
      <c r="AP2726" s="313"/>
      <c r="AQ2726" s="314"/>
      <c r="AR2726" s="315" t="str">
        <f t="shared" si="116"/>
        <v/>
      </c>
    </row>
    <row r="2727" spans="37:44" ht="30" hidden="1" customHeight="1">
      <c r="AK2727" s="313"/>
      <c r="AL2727" s="313"/>
      <c r="AM2727" s="313"/>
      <c r="AN2727" s="313"/>
      <c r="AO2727" s="313"/>
      <c r="AP2727" s="313"/>
      <c r="AQ2727" s="314"/>
      <c r="AR2727" s="315" t="str">
        <f t="shared" si="116"/>
        <v/>
      </c>
    </row>
    <row r="2728" spans="37:44" ht="30" hidden="1" customHeight="1">
      <c r="AK2728" s="313"/>
      <c r="AL2728" s="313"/>
      <c r="AM2728" s="313"/>
      <c r="AN2728" s="313"/>
      <c r="AO2728" s="313"/>
      <c r="AP2728" s="313"/>
      <c r="AQ2728" s="314"/>
      <c r="AR2728" s="315" t="str">
        <f t="shared" si="116"/>
        <v/>
      </c>
    </row>
    <row r="2729" spans="37:44" ht="30" hidden="1" customHeight="1">
      <c r="AK2729" s="313"/>
      <c r="AL2729" s="313"/>
      <c r="AM2729" s="313"/>
      <c r="AN2729" s="313"/>
      <c r="AO2729" s="313"/>
      <c r="AP2729" s="313"/>
      <c r="AQ2729" s="314"/>
      <c r="AR2729" s="315" t="str">
        <f t="shared" si="116"/>
        <v/>
      </c>
    </row>
    <row r="2730" spans="37:44" ht="30" hidden="1" customHeight="1">
      <c r="AK2730" s="313"/>
      <c r="AL2730" s="313"/>
      <c r="AM2730" s="313"/>
      <c r="AN2730" s="313"/>
      <c r="AO2730" s="313"/>
      <c r="AP2730" s="313"/>
      <c r="AQ2730" s="314"/>
      <c r="AR2730" s="315" t="str">
        <f t="shared" si="116"/>
        <v/>
      </c>
    </row>
    <row r="2731" spans="37:44" ht="30" hidden="1" customHeight="1">
      <c r="AK2731" s="313"/>
      <c r="AL2731" s="313"/>
      <c r="AM2731" s="313"/>
      <c r="AN2731" s="313"/>
      <c r="AO2731" s="313"/>
      <c r="AP2731" s="313"/>
      <c r="AQ2731" s="314"/>
      <c r="AR2731" s="315" t="str">
        <f t="shared" si="116"/>
        <v/>
      </c>
    </row>
    <row r="2732" spans="37:44" ht="30" hidden="1" customHeight="1">
      <c r="AK2732" s="313"/>
      <c r="AL2732" s="313"/>
      <c r="AM2732" s="313"/>
      <c r="AN2732" s="313"/>
      <c r="AO2732" s="313"/>
      <c r="AP2732" s="313"/>
      <c r="AQ2732" s="314"/>
      <c r="AR2732" s="315" t="str">
        <f t="shared" si="116"/>
        <v/>
      </c>
    </row>
    <row r="2733" spans="37:44" ht="30" hidden="1" customHeight="1">
      <c r="AK2733" s="313"/>
      <c r="AL2733" s="313"/>
      <c r="AM2733" s="313"/>
      <c r="AN2733" s="313"/>
      <c r="AO2733" s="313"/>
      <c r="AP2733" s="313"/>
      <c r="AQ2733" s="314"/>
      <c r="AR2733" s="315" t="str">
        <f t="shared" si="116"/>
        <v/>
      </c>
    </row>
    <row r="2734" spans="37:44" ht="30" hidden="1" customHeight="1">
      <c r="AK2734" s="313"/>
      <c r="AL2734" s="313"/>
      <c r="AM2734" s="313"/>
      <c r="AN2734" s="313"/>
      <c r="AO2734" s="313"/>
      <c r="AP2734" s="313"/>
      <c r="AQ2734" s="314"/>
      <c r="AR2734" s="315" t="str">
        <f t="shared" si="116"/>
        <v/>
      </c>
    </row>
    <row r="2735" spans="37:44" ht="30" hidden="1" customHeight="1">
      <c r="AK2735" s="313"/>
      <c r="AL2735" s="313"/>
      <c r="AM2735" s="313"/>
      <c r="AN2735" s="313"/>
      <c r="AO2735" s="313"/>
      <c r="AP2735" s="313"/>
      <c r="AQ2735" s="314"/>
      <c r="AR2735" s="315" t="str">
        <f t="shared" si="116"/>
        <v/>
      </c>
    </row>
    <row r="2736" spans="37:44" ht="30" hidden="1" customHeight="1">
      <c r="AK2736" s="313"/>
      <c r="AL2736" s="313"/>
      <c r="AM2736" s="313"/>
      <c r="AN2736" s="313"/>
      <c r="AO2736" s="313"/>
      <c r="AP2736" s="313"/>
      <c r="AQ2736" s="314"/>
      <c r="AR2736" s="315" t="str">
        <f t="shared" si="116"/>
        <v/>
      </c>
    </row>
    <row r="2737" spans="37:44" ht="30" hidden="1" customHeight="1">
      <c r="AK2737" s="313"/>
      <c r="AL2737" s="313"/>
      <c r="AM2737" s="313"/>
      <c r="AN2737" s="313"/>
      <c r="AO2737" s="313"/>
      <c r="AP2737" s="313"/>
      <c r="AQ2737" s="314"/>
      <c r="AR2737" s="315" t="str">
        <f t="shared" si="116"/>
        <v/>
      </c>
    </row>
    <row r="2738" spans="37:44" ht="30" hidden="1" customHeight="1">
      <c r="AK2738" s="313"/>
      <c r="AL2738" s="313"/>
      <c r="AM2738" s="313"/>
      <c r="AN2738" s="313"/>
      <c r="AO2738" s="313"/>
      <c r="AP2738" s="313"/>
      <c r="AQ2738" s="314"/>
      <c r="AR2738" s="315" t="str">
        <f t="shared" si="116"/>
        <v/>
      </c>
    </row>
    <row r="2739" spans="37:44" ht="30" hidden="1" customHeight="1">
      <c r="AK2739" s="313"/>
      <c r="AL2739" s="313"/>
      <c r="AM2739" s="313"/>
      <c r="AN2739" s="313"/>
      <c r="AO2739" s="313"/>
      <c r="AP2739" s="313"/>
      <c r="AQ2739" s="314"/>
      <c r="AR2739" s="315" t="str">
        <f t="shared" si="116"/>
        <v/>
      </c>
    </row>
    <row r="2740" spans="37:44" ht="30" hidden="1" customHeight="1">
      <c r="AK2740" s="313"/>
      <c r="AL2740" s="313"/>
      <c r="AM2740" s="313"/>
      <c r="AN2740" s="313"/>
      <c r="AO2740" s="313"/>
      <c r="AP2740" s="313"/>
      <c r="AQ2740" s="314"/>
      <c r="AR2740" s="315" t="str">
        <f t="shared" si="116"/>
        <v/>
      </c>
    </row>
    <row r="2741" spans="37:44" ht="30" hidden="1" customHeight="1">
      <c r="AK2741" s="313"/>
      <c r="AL2741" s="313"/>
      <c r="AM2741" s="313"/>
      <c r="AN2741" s="313"/>
      <c r="AO2741" s="313"/>
      <c r="AP2741" s="313"/>
      <c r="AQ2741" s="314"/>
      <c r="AR2741" s="315" t="str">
        <f t="shared" si="116"/>
        <v/>
      </c>
    </row>
    <row r="2742" spans="37:44" ht="30" hidden="1" customHeight="1">
      <c r="AK2742" s="313"/>
      <c r="AL2742" s="313"/>
      <c r="AM2742" s="313"/>
      <c r="AN2742" s="313"/>
      <c r="AO2742" s="313"/>
      <c r="AP2742" s="313"/>
      <c r="AQ2742" s="314"/>
      <c r="AR2742" s="315" t="str">
        <f t="shared" si="116"/>
        <v/>
      </c>
    </row>
    <row r="2743" spans="37:44" ht="30" hidden="1" customHeight="1">
      <c r="AK2743" s="313"/>
      <c r="AL2743" s="313"/>
      <c r="AM2743" s="313"/>
      <c r="AN2743" s="313"/>
      <c r="AO2743" s="313"/>
      <c r="AP2743" s="313"/>
      <c r="AQ2743" s="314"/>
      <c r="AR2743" s="315" t="str">
        <f t="shared" si="116"/>
        <v/>
      </c>
    </row>
    <row r="2744" spans="37:44" ht="30" hidden="1" customHeight="1">
      <c r="AK2744" s="313"/>
      <c r="AL2744" s="313"/>
      <c r="AM2744" s="313"/>
      <c r="AN2744" s="313"/>
      <c r="AO2744" s="313"/>
      <c r="AP2744" s="313"/>
      <c r="AQ2744" s="314"/>
      <c r="AR2744" s="315" t="str">
        <f t="shared" si="116"/>
        <v/>
      </c>
    </row>
    <row r="2745" spans="37:44" ht="30" hidden="1" customHeight="1">
      <c r="AK2745" s="313"/>
      <c r="AL2745" s="313"/>
      <c r="AM2745" s="313"/>
      <c r="AN2745" s="313"/>
      <c r="AO2745" s="313"/>
      <c r="AP2745" s="313"/>
      <c r="AQ2745" s="314"/>
      <c r="AR2745" s="315" t="str">
        <f t="shared" si="116"/>
        <v/>
      </c>
    </row>
    <row r="2746" spans="37:44" ht="30" hidden="1" customHeight="1">
      <c r="AK2746" s="313"/>
      <c r="AL2746" s="313"/>
      <c r="AM2746" s="313"/>
      <c r="AN2746" s="313"/>
      <c r="AO2746" s="313"/>
      <c r="AP2746" s="313"/>
      <c r="AQ2746" s="314"/>
      <c r="AR2746" s="315" t="str">
        <f t="shared" si="116"/>
        <v/>
      </c>
    </row>
    <row r="2747" spans="37:44" ht="30" hidden="1" customHeight="1">
      <c r="AK2747" s="313"/>
      <c r="AL2747" s="313"/>
      <c r="AM2747" s="313"/>
      <c r="AN2747" s="313"/>
      <c r="AO2747" s="313"/>
      <c r="AP2747" s="313"/>
      <c r="AQ2747" s="314"/>
      <c r="AR2747" s="315" t="str">
        <f t="shared" si="116"/>
        <v/>
      </c>
    </row>
    <row r="2748" spans="37:44" ht="30" hidden="1" customHeight="1">
      <c r="AK2748" s="313"/>
      <c r="AL2748" s="313"/>
      <c r="AM2748" s="313"/>
      <c r="AN2748" s="313"/>
      <c r="AO2748" s="313"/>
      <c r="AP2748" s="313"/>
      <c r="AQ2748" s="314"/>
      <c r="AR2748" s="315" t="str">
        <f t="shared" si="116"/>
        <v/>
      </c>
    </row>
    <row r="2749" spans="37:44" ht="30" hidden="1" customHeight="1">
      <c r="AK2749" s="313"/>
      <c r="AL2749" s="313"/>
      <c r="AM2749" s="313"/>
      <c r="AN2749" s="313"/>
      <c r="AO2749" s="313"/>
      <c r="AP2749" s="313"/>
      <c r="AQ2749" s="314"/>
      <c r="AR2749" s="315" t="str">
        <f t="shared" si="116"/>
        <v/>
      </c>
    </row>
    <row r="2750" spans="37:44" ht="30" hidden="1" customHeight="1">
      <c r="AK2750" s="313"/>
      <c r="AL2750" s="313"/>
      <c r="AM2750" s="313"/>
      <c r="AN2750" s="313"/>
      <c r="AO2750" s="313"/>
      <c r="AP2750" s="313"/>
      <c r="AQ2750" s="314"/>
      <c r="AR2750" s="315" t="str">
        <f t="shared" si="116"/>
        <v/>
      </c>
    </row>
    <row r="2751" spans="37:44" ht="30" hidden="1" customHeight="1">
      <c r="AK2751" s="313"/>
      <c r="AL2751" s="313"/>
      <c r="AM2751" s="313"/>
      <c r="AN2751" s="313"/>
      <c r="AO2751" s="313"/>
      <c r="AP2751" s="313"/>
      <c r="AQ2751" s="314"/>
      <c r="AR2751" s="315" t="str">
        <f t="shared" ref="AR2751:AR2814" si="117">IF(AQ2751="SIM","AGUARDANDO CORREÇÃO",IF(AP2751&lt;&gt;"","FINALIZADO",IF(AO2751&lt;&gt;"","AGUARDANDO ENVIO DTS",IF(AN2751&lt;&gt;"","AGUARDANDO ASSINATURA GAB",IF(AM2751&lt;&gt;"","AGUARDANDO ASSINATURA CTS",IF(AL2751&lt;&gt;"","AGUARDANDO ENVIO ASSINATURA CTS",IF(AK2751&lt;&gt;"","AGUARDANDO CONFERÊNCIA","")))))))</f>
        <v/>
      </c>
    </row>
    <row r="2752" spans="37:44" ht="30" hidden="1" customHeight="1">
      <c r="AK2752" s="313"/>
      <c r="AL2752" s="313"/>
      <c r="AM2752" s="313"/>
      <c r="AN2752" s="313"/>
      <c r="AO2752" s="313"/>
      <c r="AP2752" s="313"/>
      <c r="AQ2752" s="314"/>
      <c r="AR2752" s="315" t="str">
        <f t="shared" si="117"/>
        <v/>
      </c>
    </row>
    <row r="2753" spans="37:44" ht="30" hidden="1" customHeight="1">
      <c r="AK2753" s="313"/>
      <c r="AL2753" s="313"/>
      <c r="AM2753" s="313"/>
      <c r="AN2753" s="313"/>
      <c r="AO2753" s="313"/>
      <c r="AP2753" s="313"/>
      <c r="AQ2753" s="314"/>
      <c r="AR2753" s="315" t="str">
        <f t="shared" si="117"/>
        <v/>
      </c>
    </row>
    <row r="2754" spans="37:44" ht="30" hidden="1" customHeight="1">
      <c r="AK2754" s="313"/>
      <c r="AL2754" s="313"/>
      <c r="AM2754" s="313"/>
      <c r="AN2754" s="313"/>
      <c r="AO2754" s="313"/>
      <c r="AP2754" s="313"/>
      <c r="AQ2754" s="314"/>
      <c r="AR2754" s="315" t="str">
        <f t="shared" si="117"/>
        <v/>
      </c>
    </row>
    <row r="2755" spans="37:44" ht="30" hidden="1" customHeight="1">
      <c r="AK2755" s="313"/>
      <c r="AL2755" s="313"/>
      <c r="AM2755" s="313"/>
      <c r="AN2755" s="313"/>
      <c r="AO2755" s="313"/>
      <c r="AP2755" s="313"/>
      <c r="AQ2755" s="314"/>
      <c r="AR2755" s="315" t="str">
        <f t="shared" si="117"/>
        <v/>
      </c>
    </row>
    <row r="2756" spans="37:44" ht="30" hidden="1" customHeight="1">
      <c r="AK2756" s="313"/>
      <c r="AL2756" s="313"/>
      <c r="AM2756" s="313"/>
      <c r="AN2756" s="313"/>
      <c r="AO2756" s="313"/>
      <c r="AP2756" s="313"/>
      <c r="AQ2756" s="314"/>
      <c r="AR2756" s="315" t="str">
        <f t="shared" si="117"/>
        <v/>
      </c>
    </row>
    <row r="2757" spans="37:44" ht="30" hidden="1" customHeight="1">
      <c r="AK2757" s="313"/>
      <c r="AL2757" s="313"/>
      <c r="AM2757" s="313"/>
      <c r="AN2757" s="313"/>
      <c r="AO2757" s="313"/>
      <c r="AP2757" s="313"/>
      <c r="AQ2757" s="314"/>
      <c r="AR2757" s="315" t="str">
        <f t="shared" si="117"/>
        <v/>
      </c>
    </row>
    <row r="2758" spans="37:44" ht="30" hidden="1" customHeight="1">
      <c r="AK2758" s="313"/>
      <c r="AL2758" s="313"/>
      <c r="AM2758" s="313"/>
      <c r="AN2758" s="313"/>
      <c r="AO2758" s="313"/>
      <c r="AP2758" s="313"/>
      <c r="AQ2758" s="314"/>
      <c r="AR2758" s="315" t="str">
        <f t="shared" si="117"/>
        <v/>
      </c>
    </row>
    <row r="2759" spans="37:44" ht="30" hidden="1" customHeight="1">
      <c r="AK2759" s="313"/>
      <c r="AL2759" s="313"/>
      <c r="AM2759" s="313"/>
      <c r="AN2759" s="313"/>
      <c r="AO2759" s="313"/>
      <c r="AP2759" s="313"/>
      <c r="AQ2759" s="314"/>
      <c r="AR2759" s="315" t="str">
        <f t="shared" si="117"/>
        <v/>
      </c>
    </row>
    <row r="2760" spans="37:44" ht="30" hidden="1" customHeight="1">
      <c r="AK2760" s="313"/>
      <c r="AL2760" s="313"/>
      <c r="AM2760" s="313"/>
      <c r="AN2760" s="313"/>
      <c r="AO2760" s="313"/>
      <c r="AP2760" s="313"/>
      <c r="AQ2760" s="314"/>
      <c r="AR2760" s="315" t="str">
        <f t="shared" si="117"/>
        <v/>
      </c>
    </row>
    <row r="2761" spans="37:44" ht="30" hidden="1" customHeight="1">
      <c r="AK2761" s="313"/>
      <c r="AL2761" s="313"/>
      <c r="AM2761" s="313"/>
      <c r="AN2761" s="313"/>
      <c r="AO2761" s="313"/>
      <c r="AP2761" s="313"/>
      <c r="AQ2761" s="314"/>
      <c r="AR2761" s="315" t="str">
        <f t="shared" si="117"/>
        <v/>
      </c>
    </row>
    <row r="2762" spans="37:44" ht="30" hidden="1" customHeight="1">
      <c r="AK2762" s="313"/>
      <c r="AL2762" s="313"/>
      <c r="AM2762" s="313"/>
      <c r="AN2762" s="313"/>
      <c r="AO2762" s="313"/>
      <c r="AP2762" s="313"/>
      <c r="AQ2762" s="314"/>
      <c r="AR2762" s="315" t="str">
        <f t="shared" si="117"/>
        <v/>
      </c>
    </row>
    <row r="2763" spans="37:44" ht="30" hidden="1" customHeight="1">
      <c r="AK2763" s="313"/>
      <c r="AL2763" s="313"/>
      <c r="AM2763" s="313"/>
      <c r="AN2763" s="313"/>
      <c r="AO2763" s="313"/>
      <c r="AP2763" s="313"/>
      <c r="AQ2763" s="314"/>
      <c r="AR2763" s="315" t="str">
        <f t="shared" si="117"/>
        <v/>
      </c>
    </row>
    <row r="2764" spans="37:44" ht="30" hidden="1" customHeight="1">
      <c r="AK2764" s="313"/>
      <c r="AL2764" s="313"/>
      <c r="AM2764" s="313"/>
      <c r="AN2764" s="313"/>
      <c r="AO2764" s="313"/>
      <c r="AP2764" s="313"/>
      <c r="AQ2764" s="314"/>
      <c r="AR2764" s="315" t="str">
        <f t="shared" si="117"/>
        <v/>
      </c>
    </row>
    <row r="2765" spans="37:44" ht="30" hidden="1" customHeight="1">
      <c r="AK2765" s="313"/>
      <c r="AL2765" s="313"/>
      <c r="AM2765" s="313"/>
      <c r="AN2765" s="313"/>
      <c r="AO2765" s="313"/>
      <c r="AP2765" s="313"/>
      <c r="AQ2765" s="314"/>
      <c r="AR2765" s="315" t="str">
        <f t="shared" si="117"/>
        <v/>
      </c>
    </row>
    <row r="2766" spans="37:44" ht="30" hidden="1" customHeight="1">
      <c r="AK2766" s="313"/>
      <c r="AL2766" s="313"/>
      <c r="AM2766" s="313"/>
      <c r="AN2766" s="313"/>
      <c r="AO2766" s="313"/>
      <c r="AP2766" s="313"/>
      <c r="AQ2766" s="314"/>
      <c r="AR2766" s="315" t="str">
        <f t="shared" si="117"/>
        <v/>
      </c>
    </row>
    <row r="2767" spans="37:44" ht="30" hidden="1" customHeight="1">
      <c r="AK2767" s="313"/>
      <c r="AL2767" s="313"/>
      <c r="AM2767" s="313"/>
      <c r="AN2767" s="313"/>
      <c r="AO2767" s="313"/>
      <c r="AP2767" s="313"/>
      <c r="AQ2767" s="314"/>
      <c r="AR2767" s="315" t="str">
        <f t="shared" si="117"/>
        <v/>
      </c>
    </row>
    <row r="2768" spans="37:44" ht="30" hidden="1" customHeight="1">
      <c r="AK2768" s="313"/>
      <c r="AL2768" s="313"/>
      <c r="AM2768" s="313"/>
      <c r="AN2768" s="313"/>
      <c r="AO2768" s="313"/>
      <c r="AP2768" s="313"/>
      <c r="AQ2768" s="314"/>
      <c r="AR2768" s="315" t="str">
        <f t="shared" si="117"/>
        <v/>
      </c>
    </row>
    <row r="2769" spans="37:44" ht="30" hidden="1" customHeight="1">
      <c r="AK2769" s="313"/>
      <c r="AL2769" s="313"/>
      <c r="AM2769" s="313"/>
      <c r="AN2769" s="313"/>
      <c r="AO2769" s="313"/>
      <c r="AP2769" s="313"/>
      <c r="AQ2769" s="314"/>
      <c r="AR2769" s="315" t="str">
        <f t="shared" si="117"/>
        <v/>
      </c>
    </row>
    <row r="2770" spans="37:44" ht="30" hidden="1" customHeight="1">
      <c r="AK2770" s="313"/>
      <c r="AL2770" s="313"/>
      <c r="AM2770" s="313"/>
      <c r="AN2770" s="313"/>
      <c r="AO2770" s="313"/>
      <c r="AP2770" s="313"/>
      <c r="AQ2770" s="314"/>
      <c r="AR2770" s="315" t="str">
        <f t="shared" si="117"/>
        <v/>
      </c>
    </row>
    <row r="2771" spans="37:44" ht="30" hidden="1" customHeight="1">
      <c r="AK2771" s="313"/>
      <c r="AL2771" s="313"/>
      <c r="AM2771" s="313"/>
      <c r="AN2771" s="313"/>
      <c r="AO2771" s="313"/>
      <c r="AP2771" s="313"/>
      <c r="AQ2771" s="314"/>
      <c r="AR2771" s="315" t="str">
        <f t="shared" si="117"/>
        <v/>
      </c>
    </row>
    <row r="2772" spans="37:44" ht="30" hidden="1" customHeight="1">
      <c r="AK2772" s="313"/>
      <c r="AL2772" s="313"/>
      <c r="AM2772" s="313"/>
      <c r="AN2772" s="313"/>
      <c r="AO2772" s="313"/>
      <c r="AP2772" s="313"/>
      <c r="AQ2772" s="314"/>
      <c r="AR2772" s="315" t="str">
        <f t="shared" si="117"/>
        <v/>
      </c>
    </row>
    <row r="2773" spans="37:44" ht="30" hidden="1" customHeight="1">
      <c r="AK2773" s="313"/>
      <c r="AL2773" s="313"/>
      <c r="AM2773" s="313"/>
      <c r="AN2773" s="313"/>
      <c r="AO2773" s="313"/>
      <c r="AP2773" s="313"/>
      <c r="AQ2773" s="314"/>
      <c r="AR2773" s="315" t="str">
        <f t="shared" si="117"/>
        <v/>
      </c>
    </row>
    <row r="2774" spans="37:44" ht="30" hidden="1" customHeight="1">
      <c r="AK2774" s="313"/>
      <c r="AL2774" s="313"/>
      <c r="AM2774" s="313"/>
      <c r="AN2774" s="313"/>
      <c r="AO2774" s="313"/>
      <c r="AP2774" s="313"/>
      <c r="AQ2774" s="314"/>
      <c r="AR2774" s="315" t="str">
        <f t="shared" si="117"/>
        <v/>
      </c>
    </row>
    <row r="2775" spans="37:44" ht="30" hidden="1" customHeight="1">
      <c r="AK2775" s="313"/>
      <c r="AL2775" s="313"/>
      <c r="AM2775" s="313"/>
      <c r="AN2775" s="313"/>
      <c r="AO2775" s="313"/>
      <c r="AP2775" s="313"/>
      <c r="AQ2775" s="314"/>
      <c r="AR2775" s="315" t="str">
        <f t="shared" si="117"/>
        <v/>
      </c>
    </row>
    <row r="2776" spans="37:44" ht="30" hidden="1" customHeight="1">
      <c r="AK2776" s="313"/>
      <c r="AL2776" s="313"/>
      <c r="AM2776" s="313"/>
      <c r="AN2776" s="313"/>
      <c r="AO2776" s="313"/>
      <c r="AP2776" s="313"/>
      <c r="AQ2776" s="314"/>
      <c r="AR2776" s="315" t="str">
        <f t="shared" si="117"/>
        <v/>
      </c>
    </row>
    <row r="2777" spans="37:44" ht="30" hidden="1" customHeight="1">
      <c r="AK2777" s="313"/>
      <c r="AL2777" s="313"/>
      <c r="AM2777" s="313"/>
      <c r="AN2777" s="313"/>
      <c r="AO2777" s="313"/>
      <c r="AP2777" s="313"/>
      <c r="AQ2777" s="314"/>
      <c r="AR2777" s="315" t="str">
        <f t="shared" si="117"/>
        <v/>
      </c>
    </row>
    <row r="2778" spans="37:44" ht="30" hidden="1" customHeight="1">
      <c r="AK2778" s="313"/>
      <c r="AL2778" s="313"/>
      <c r="AM2778" s="313"/>
      <c r="AN2778" s="313"/>
      <c r="AO2778" s="313"/>
      <c r="AP2778" s="313"/>
      <c r="AQ2778" s="314"/>
      <c r="AR2778" s="315" t="str">
        <f t="shared" si="117"/>
        <v/>
      </c>
    </row>
    <row r="2779" spans="37:44" ht="30" hidden="1" customHeight="1">
      <c r="AK2779" s="313"/>
      <c r="AL2779" s="313"/>
      <c r="AM2779" s="313"/>
      <c r="AN2779" s="313"/>
      <c r="AO2779" s="313"/>
      <c r="AP2779" s="313"/>
      <c r="AQ2779" s="314"/>
      <c r="AR2779" s="315" t="str">
        <f t="shared" si="117"/>
        <v/>
      </c>
    </row>
    <row r="2780" spans="37:44" ht="30" hidden="1" customHeight="1">
      <c r="AK2780" s="313"/>
      <c r="AL2780" s="313"/>
      <c r="AM2780" s="313"/>
      <c r="AN2780" s="313"/>
      <c r="AO2780" s="313"/>
      <c r="AP2780" s="313"/>
      <c r="AQ2780" s="314"/>
      <c r="AR2780" s="315" t="str">
        <f t="shared" si="117"/>
        <v/>
      </c>
    </row>
    <row r="2781" spans="37:44" ht="30" hidden="1" customHeight="1">
      <c r="AK2781" s="313"/>
      <c r="AL2781" s="313"/>
      <c r="AM2781" s="313"/>
      <c r="AN2781" s="313"/>
      <c r="AO2781" s="313"/>
      <c r="AP2781" s="313"/>
      <c r="AQ2781" s="314"/>
      <c r="AR2781" s="315" t="str">
        <f t="shared" si="117"/>
        <v/>
      </c>
    </row>
    <row r="2782" spans="37:44" ht="30" hidden="1" customHeight="1">
      <c r="AK2782" s="313"/>
      <c r="AL2782" s="313"/>
      <c r="AM2782" s="313"/>
      <c r="AN2782" s="313"/>
      <c r="AO2782" s="313"/>
      <c r="AP2782" s="313"/>
      <c r="AQ2782" s="314"/>
      <c r="AR2782" s="315" t="str">
        <f t="shared" si="117"/>
        <v/>
      </c>
    </row>
    <row r="2783" spans="37:44" ht="30" hidden="1" customHeight="1">
      <c r="AK2783" s="313"/>
      <c r="AL2783" s="313"/>
      <c r="AM2783" s="313"/>
      <c r="AN2783" s="313"/>
      <c r="AO2783" s="313"/>
      <c r="AP2783" s="313"/>
      <c r="AQ2783" s="314"/>
      <c r="AR2783" s="315" t="str">
        <f t="shared" si="117"/>
        <v/>
      </c>
    </row>
    <row r="2784" spans="37:44" ht="30" hidden="1" customHeight="1">
      <c r="AK2784" s="313"/>
      <c r="AL2784" s="313"/>
      <c r="AM2784" s="313"/>
      <c r="AN2784" s="313"/>
      <c r="AO2784" s="313"/>
      <c r="AP2784" s="313"/>
      <c r="AQ2784" s="314"/>
      <c r="AR2784" s="315" t="str">
        <f t="shared" si="117"/>
        <v/>
      </c>
    </row>
    <row r="2785" spans="37:44" ht="30" hidden="1" customHeight="1">
      <c r="AK2785" s="313"/>
      <c r="AL2785" s="313"/>
      <c r="AM2785" s="313"/>
      <c r="AN2785" s="313"/>
      <c r="AO2785" s="313"/>
      <c r="AP2785" s="313"/>
      <c r="AQ2785" s="314"/>
      <c r="AR2785" s="315" t="str">
        <f t="shared" si="117"/>
        <v/>
      </c>
    </row>
    <row r="2786" spans="37:44" ht="30" hidden="1" customHeight="1">
      <c r="AK2786" s="313"/>
      <c r="AL2786" s="313"/>
      <c r="AM2786" s="313"/>
      <c r="AN2786" s="313"/>
      <c r="AO2786" s="313"/>
      <c r="AP2786" s="313"/>
      <c r="AQ2786" s="314"/>
      <c r="AR2786" s="315" t="str">
        <f t="shared" si="117"/>
        <v/>
      </c>
    </row>
    <row r="2787" spans="37:44" ht="30" hidden="1" customHeight="1">
      <c r="AK2787" s="313"/>
      <c r="AL2787" s="313"/>
      <c r="AM2787" s="313"/>
      <c r="AN2787" s="313"/>
      <c r="AO2787" s="313"/>
      <c r="AP2787" s="313"/>
      <c r="AQ2787" s="314"/>
      <c r="AR2787" s="315" t="str">
        <f t="shared" si="117"/>
        <v/>
      </c>
    </row>
    <row r="2788" spans="37:44" ht="30" hidden="1" customHeight="1">
      <c r="AK2788" s="313"/>
      <c r="AL2788" s="313"/>
      <c r="AM2788" s="313"/>
      <c r="AN2788" s="313"/>
      <c r="AO2788" s="313"/>
      <c r="AP2788" s="313"/>
      <c r="AQ2788" s="314"/>
      <c r="AR2788" s="315" t="str">
        <f t="shared" si="117"/>
        <v/>
      </c>
    </row>
    <row r="2789" spans="37:44" ht="30" hidden="1" customHeight="1">
      <c r="AK2789" s="313"/>
      <c r="AL2789" s="313"/>
      <c r="AM2789" s="313"/>
      <c r="AN2789" s="313"/>
      <c r="AO2789" s="313"/>
      <c r="AP2789" s="313"/>
      <c r="AQ2789" s="314"/>
      <c r="AR2789" s="315" t="str">
        <f t="shared" si="117"/>
        <v/>
      </c>
    </row>
    <row r="2790" spans="37:44" ht="30" hidden="1" customHeight="1">
      <c r="AK2790" s="313"/>
      <c r="AL2790" s="313"/>
      <c r="AM2790" s="313"/>
      <c r="AN2790" s="313"/>
      <c r="AO2790" s="313"/>
      <c r="AP2790" s="313"/>
      <c r="AQ2790" s="314"/>
      <c r="AR2790" s="315" t="str">
        <f t="shared" si="117"/>
        <v/>
      </c>
    </row>
    <row r="2791" spans="37:44" ht="30" hidden="1" customHeight="1">
      <c r="AK2791" s="313"/>
      <c r="AL2791" s="313"/>
      <c r="AM2791" s="313"/>
      <c r="AN2791" s="313"/>
      <c r="AO2791" s="313"/>
      <c r="AP2791" s="313"/>
      <c r="AQ2791" s="314"/>
      <c r="AR2791" s="315" t="str">
        <f t="shared" si="117"/>
        <v/>
      </c>
    </row>
    <row r="2792" spans="37:44" ht="30" hidden="1" customHeight="1">
      <c r="AK2792" s="313"/>
      <c r="AL2792" s="313"/>
      <c r="AM2792" s="313"/>
      <c r="AN2792" s="313"/>
      <c r="AO2792" s="313"/>
      <c r="AP2792" s="313"/>
      <c r="AQ2792" s="314"/>
      <c r="AR2792" s="315" t="str">
        <f t="shared" si="117"/>
        <v/>
      </c>
    </row>
    <row r="2793" spans="37:44" ht="30" hidden="1" customHeight="1">
      <c r="AK2793" s="313"/>
      <c r="AL2793" s="313"/>
      <c r="AM2793" s="313"/>
      <c r="AN2793" s="313"/>
      <c r="AO2793" s="313"/>
      <c r="AP2793" s="313"/>
      <c r="AQ2793" s="314"/>
      <c r="AR2793" s="315" t="str">
        <f t="shared" si="117"/>
        <v/>
      </c>
    </row>
    <row r="2794" spans="37:44" ht="30" hidden="1" customHeight="1">
      <c r="AK2794" s="313"/>
      <c r="AL2794" s="313"/>
      <c r="AM2794" s="313"/>
      <c r="AN2794" s="313"/>
      <c r="AO2794" s="313"/>
      <c r="AP2794" s="313"/>
      <c r="AQ2794" s="314"/>
      <c r="AR2794" s="315" t="str">
        <f t="shared" si="117"/>
        <v/>
      </c>
    </row>
    <row r="2795" spans="37:44" ht="30" hidden="1" customHeight="1">
      <c r="AK2795" s="313"/>
      <c r="AL2795" s="313"/>
      <c r="AM2795" s="313"/>
      <c r="AN2795" s="313"/>
      <c r="AO2795" s="313"/>
      <c r="AP2795" s="313"/>
      <c r="AQ2795" s="314"/>
      <c r="AR2795" s="315" t="str">
        <f t="shared" si="117"/>
        <v/>
      </c>
    </row>
    <row r="2796" spans="37:44" ht="30" hidden="1" customHeight="1">
      <c r="AK2796" s="313"/>
      <c r="AL2796" s="313"/>
      <c r="AM2796" s="313"/>
      <c r="AN2796" s="313"/>
      <c r="AO2796" s="313"/>
      <c r="AP2796" s="313"/>
      <c r="AQ2796" s="314"/>
      <c r="AR2796" s="315" t="str">
        <f t="shared" si="117"/>
        <v/>
      </c>
    </row>
    <row r="2797" spans="37:44" ht="30" hidden="1" customHeight="1">
      <c r="AK2797" s="313"/>
      <c r="AL2797" s="313"/>
      <c r="AM2797" s="313"/>
      <c r="AN2797" s="313"/>
      <c r="AO2797" s="313"/>
      <c r="AP2797" s="313"/>
      <c r="AQ2797" s="314"/>
      <c r="AR2797" s="315" t="str">
        <f t="shared" si="117"/>
        <v/>
      </c>
    </row>
    <row r="2798" spans="37:44" ht="30" hidden="1" customHeight="1">
      <c r="AK2798" s="313"/>
      <c r="AL2798" s="313"/>
      <c r="AM2798" s="313"/>
      <c r="AN2798" s="313"/>
      <c r="AO2798" s="313"/>
      <c r="AP2798" s="313"/>
      <c r="AQ2798" s="314"/>
      <c r="AR2798" s="315" t="str">
        <f t="shared" si="117"/>
        <v/>
      </c>
    </row>
    <row r="2799" spans="37:44" ht="30" hidden="1" customHeight="1">
      <c r="AK2799" s="313"/>
      <c r="AL2799" s="313"/>
      <c r="AM2799" s="313"/>
      <c r="AN2799" s="313"/>
      <c r="AO2799" s="313"/>
      <c r="AP2799" s="313"/>
      <c r="AQ2799" s="314"/>
      <c r="AR2799" s="315" t="str">
        <f t="shared" si="117"/>
        <v/>
      </c>
    </row>
    <row r="2800" spans="37:44" ht="30" hidden="1" customHeight="1">
      <c r="AK2800" s="313"/>
      <c r="AL2800" s="313"/>
      <c r="AM2800" s="313"/>
      <c r="AN2800" s="313"/>
      <c r="AO2800" s="313"/>
      <c r="AP2800" s="313"/>
      <c r="AQ2800" s="314"/>
      <c r="AR2800" s="315" t="str">
        <f t="shared" si="117"/>
        <v/>
      </c>
    </row>
    <row r="2801" spans="37:44" ht="30" hidden="1" customHeight="1">
      <c r="AK2801" s="313"/>
      <c r="AL2801" s="313"/>
      <c r="AM2801" s="313"/>
      <c r="AN2801" s="313"/>
      <c r="AO2801" s="313"/>
      <c r="AP2801" s="313"/>
      <c r="AQ2801" s="314"/>
      <c r="AR2801" s="315" t="str">
        <f t="shared" si="117"/>
        <v/>
      </c>
    </row>
    <row r="2802" spans="37:44" ht="30" hidden="1" customHeight="1">
      <c r="AK2802" s="313"/>
      <c r="AL2802" s="313"/>
      <c r="AM2802" s="313"/>
      <c r="AN2802" s="313"/>
      <c r="AO2802" s="313"/>
      <c r="AP2802" s="313"/>
      <c r="AQ2802" s="314"/>
      <c r="AR2802" s="315" t="str">
        <f t="shared" si="117"/>
        <v/>
      </c>
    </row>
    <row r="2803" spans="37:44" ht="30" hidden="1" customHeight="1">
      <c r="AK2803" s="313"/>
      <c r="AL2803" s="313"/>
      <c r="AM2803" s="313"/>
      <c r="AN2803" s="313"/>
      <c r="AO2803" s="313"/>
      <c r="AP2803" s="313"/>
      <c r="AQ2803" s="314"/>
      <c r="AR2803" s="315" t="str">
        <f t="shared" si="117"/>
        <v/>
      </c>
    </row>
    <row r="2804" spans="37:44" ht="30" hidden="1" customHeight="1">
      <c r="AK2804" s="313"/>
      <c r="AL2804" s="313"/>
      <c r="AM2804" s="313"/>
      <c r="AN2804" s="313"/>
      <c r="AO2804" s="313"/>
      <c r="AP2804" s="313"/>
      <c r="AQ2804" s="314"/>
      <c r="AR2804" s="315" t="str">
        <f t="shared" si="117"/>
        <v/>
      </c>
    </row>
    <row r="2805" spans="37:44" ht="30" hidden="1" customHeight="1">
      <c r="AK2805" s="313"/>
      <c r="AL2805" s="313"/>
      <c r="AM2805" s="313"/>
      <c r="AN2805" s="313"/>
      <c r="AO2805" s="313"/>
      <c r="AP2805" s="313"/>
      <c r="AQ2805" s="314"/>
      <c r="AR2805" s="315" t="str">
        <f t="shared" si="117"/>
        <v/>
      </c>
    </row>
    <row r="2806" spans="37:44" ht="30" hidden="1" customHeight="1">
      <c r="AK2806" s="313"/>
      <c r="AL2806" s="313"/>
      <c r="AM2806" s="313"/>
      <c r="AN2806" s="313"/>
      <c r="AO2806" s="313"/>
      <c r="AP2806" s="313"/>
      <c r="AQ2806" s="314"/>
      <c r="AR2806" s="315" t="str">
        <f t="shared" si="117"/>
        <v/>
      </c>
    </row>
    <row r="2807" spans="37:44" ht="30" hidden="1" customHeight="1">
      <c r="AK2807" s="313"/>
      <c r="AL2807" s="313"/>
      <c r="AM2807" s="313"/>
      <c r="AN2807" s="313"/>
      <c r="AO2807" s="313"/>
      <c r="AP2807" s="313"/>
      <c r="AQ2807" s="314"/>
      <c r="AR2807" s="315" t="str">
        <f t="shared" si="117"/>
        <v/>
      </c>
    </row>
    <row r="2808" spans="37:44" ht="30" hidden="1" customHeight="1">
      <c r="AK2808" s="313"/>
      <c r="AL2808" s="313"/>
      <c r="AM2808" s="313"/>
      <c r="AN2808" s="313"/>
      <c r="AO2808" s="313"/>
      <c r="AP2808" s="313"/>
      <c r="AQ2808" s="314"/>
      <c r="AR2808" s="315" t="str">
        <f t="shared" si="117"/>
        <v/>
      </c>
    </row>
    <row r="2809" spans="37:44" ht="30" hidden="1" customHeight="1">
      <c r="AK2809" s="313"/>
      <c r="AL2809" s="313"/>
      <c r="AM2809" s="313"/>
      <c r="AN2809" s="313"/>
      <c r="AO2809" s="313"/>
      <c r="AP2809" s="313"/>
      <c r="AQ2809" s="314"/>
      <c r="AR2809" s="315" t="str">
        <f t="shared" si="117"/>
        <v/>
      </c>
    </row>
    <row r="2810" spans="37:44" ht="30" hidden="1" customHeight="1">
      <c r="AK2810" s="313"/>
      <c r="AL2810" s="313"/>
      <c r="AM2810" s="313"/>
      <c r="AN2810" s="313"/>
      <c r="AO2810" s="313"/>
      <c r="AP2810" s="313"/>
      <c r="AQ2810" s="314"/>
      <c r="AR2810" s="315" t="str">
        <f t="shared" si="117"/>
        <v/>
      </c>
    </row>
    <row r="2811" spans="37:44" ht="30" hidden="1" customHeight="1">
      <c r="AK2811" s="313"/>
      <c r="AL2811" s="313"/>
      <c r="AM2811" s="313"/>
      <c r="AN2811" s="313"/>
      <c r="AO2811" s="313"/>
      <c r="AP2811" s="313"/>
      <c r="AQ2811" s="314"/>
      <c r="AR2811" s="315" t="str">
        <f t="shared" si="117"/>
        <v/>
      </c>
    </row>
    <row r="2812" spans="37:44" ht="30" hidden="1" customHeight="1">
      <c r="AK2812" s="313"/>
      <c r="AL2812" s="313"/>
      <c r="AM2812" s="313"/>
      <c r="AN2812" s="313"/>
      <c r="AO2812" s="313"/>
      <c r="AP2812" s="313"/>
      <c r="AQ2812" s="314"/>
      <c r="AR2812" s="315" t="str">
        <f t="shared" si="117"/>
        <v/>
      </c>
    </row>
    <row r="2813" spans="37:44" ht="30" hidden="1" customHeight="1">
      <c r="AK2813" s="313"/>
      <c r="AL2813" s="313"/>
      <c r="AM2813" s="313"/>
      <c r="AN2813" s="313"/>
      <c r="AO2813" s="313"/>
      <c r="AP2813" s="313"/>
      <c r="AQ2813" s="314"/>
      <c r="AR2813" s="315" t="str">
        <f t="shared" si="117"/>
        <v/>
      </c>
    </row>
    <row r="2814" spans="37:44" ht="30" hidden="1" customHeight="1">
      <c r="AK2814" s="313"/>
      <c r="AL2814" s="313"/>
      <c r="AM2814" s="313"/>
      <c r="AN2814" s="313"/>
      <c r="AO2814" s="313"/>
      <c r="AP2814" s="313"/>
      <c r="AQ2814" s="314"/>
      <c r="AR2814" s="315" t="str">
        <f t="shared" si="117"/>
        <v/>
      </c>
    </row>
    <row r="2815" spans="37:44" ht="30" hidden="1" customHeight="1">
      <c r="AK2815" s="313"/>
      <c r="AL2815" s="313"/>
      <c r="AM2815" s="313"/>
      <c r="AN2815" s="313"/>
      <c r="AO2815" s="313"/>
      <c r="AP2815" s="313"/>
      <c r="AQ2815" s="314"/>
      <c r="AR2815" s="315" t="str">
        <f t="shared" ref="AR2815:AR2878" si="118">IF(AQ2815="SIM","AGUARDANDO CORREÇÃO",IF(AP2815&lt;&gt;"","FINALIZADO",IF(AO2815&lt;&gt;"","AGUARDANDO ENVIO DTS",IF(AN2815&lt;&gt;"","AGUARDANDO ASSINATURA GAB",IF(AM2815&lt;&gt;"","AGUARDANDO ASSINATURA CTS",IF(AL2815&lt;&gt;"","AGUARDANDO ENVIO ASSINATURA CTS",IF(AK2815&lt;&gt;"","AGUARDANDO CONFERÊNCIA","")))))))</f>
        <v/>
      </c>
    </row>
    <row r="2816" spans="37:44" ht="30" hidden="1" customHeight="1">
      <c r="AK2816" s="313"/>
      <c r="AL2816" s="313"/>
      <c r="AM2816" s="313"/>
      <c r="AN2816" s="313"/>
      <c r="AO2816" s="313"/>
      <c r="AP2816" s="313"/>
      <c r="AQ2816" s="314"/>
      <c r="AR2816" s="315" t="str">
        <f t="shared" si="118"/>
        <v/>
      </c>
    </row>
    <row r="2817" spans="37:44" ht="30" hidden="1" customHeight="1">
      <c r="AK2817" s="313"/>
      <c r="AL2817" s="313"/>
      <c r="AM2817" s="313"/>
      <c r="AN2817" s="313"/>
      <c r="AO2817" s="313"/>
      <c r="AP2817" s="313"/>
      <c r="AQ2817" s="314"/>
      <c r="AR2817" s="315" t="str">
        <f t="shared" si="118"/>
        <v/>
      </c>
    </row>
    <row r="2818" spans="37:44" ht="30" hidden="1" customHeight="1">
      <c r="AK2818" s="313"/>
      <c r="AL2818" s="313"/>
      <c r="AM2818" s="313"/>
      <c r="AN2818" s="313"/>
      <c r="AO2818" s="313"/>
      <c r="AP2818" s="313"/>
      <c r="AQ2818" s="314"/>
      <c r="AR2818" s="315" t="str">
        <f t="shared" si="118"/>
        <v/>
      </c>
    </row>
    <row r="2819" spans="37:44" ht="30" hidden="1" customHeight="1">
      <c r="AK2819" s="313"/>
      <c r="AL2819" s="313"/>
      <c r="AM2819" s="313"/>
      <c r="AN2819" s="313"/>
      <c r="AO2819" s="313"/>
      <c r="AP2819" s="313"/>
      <c r="AQ2819" s="314"/>
      <c r="AR2819" s="315" t="str">
        <f t="shared" si="118"/>
        <v/>
      </c>
    </row>
    <row r="2820" spans="37:44" ht="30" hidden="1" customHeight="1">
      <c r="AK2820" s="313"/>
      <c r="AL2820" s="313"/>
      <c r="AM2820" s="313"/>
      <c r="AN2820" s="313"/>
      <c r="AO2820" s="313"/>
      <c r="AP2820" s="313"/>
      <c r="AQ2820" s="314"/>
      <c r="AR2820" s="315" t="str">
        <f t="shared" si="118"/>
        <v/>
      </c>
    </row>
    <row r="2821" spans="37:44" ht="30" hidden="1" customHeight="1">
      <c r="AK2821" s="313"/>
      <c r="AL2821" s="313"/>
      <c r="AM2821" s="313"/>
      <c r="AN2821" s="313"/>
      <c r="AO2821" s="313"/>
      <c r="AP2821" s="313"/>
      <c r="AQ2821" s="314"/>
      <c r="AR2821" s="315" t="str">
        <f t="shared" si="118"/>
        <v/>
      </c>
    </row>
    <row r="2822" spans="37:44" ht="30" hidden="1" customHeight="1">
      <c r="AK2822" s="313"/>
      <c r="AL2822" s="313"/>
      <c r="AM2822" s="313"/>
      <c r="AN2822" s="313"/>
      <c r="AO2822" s="313"/>
      <c r="AP2822" s="313"/>
      <c r="AQ2822" s="314"/>
      <c r="AR2822" s="315" t="str">
        <f t="shared" si="118"/>
        <v/>
      </c>
    </row>
    <row r="2823" spans="37:44" ht="30" hidden="1" customHeight="1">
      <c r="AK2823" s="313"/>
      <c r="AL2823" s="313"/>
      <c r="AM2823" s="313"/>
      <c r="AN2823" s="313"/>
      <c r="AO2823" s="313"/>
      <c r="AP2823" s="313"/>
      <c r="AQ2823" s="314"/>
      <c r="AR2823" s="315" t="str">
        <f t="shared" si="118"/>
        <v/>
      </c>
    </row>
    <row r="2824" spans="37:44" ht="30" hidden="1" customHeight="1">
      <c r="AK2824" s="313"/>
      <c r="AL2824" s="313"/>
      <c r="AM2824" s="313"/>
      <c r="AN2824" s="313"/>
      <c r="AO2824" s="313"/>
      <c r="AP2824" s="313"/>
      <c r="AQ2824" s="314"/>
      <c r="AR2824" s="315" t="str">
        <f t="shared" si="118"/>
        <v/>
      </c>
    </row>
    <row r="2825" spans="37:44" ht="30" hidden="1" customHeight="1">
      <c r="AK2825" s="313"/>
      <c r="AL2825" s="313"/>
      <c r="AM2825" s="313"/>
      <c r="AN2825" s="313"/>
      <c r="AO2825" s="313"/>
      <c r="AP2825" s="313"/>
      <c r="AQ2825" s="314"/>
      <c r="AR2825" s="315" t="str">
        <f t="shared" si="118"/>
        <v/>
      </c>
    </row>
    <row r="2826" spans="37:44" ht="30" hidden="1" customHeight="1">
      <c r="AK2826" s="313"/>
      <c r="AL2826" s="313"/>
      <c r="AM2826" s="313"/>
      <c r="AN2826" s="313"/>
      <c r="AO2826" s="313"/>
      <c r="AP2826" s="313"/>
      <c r="AQ2826" s="314"/>
      <c r="AR2826" s="315" t="str">
        <f t="shared" si="118"/>
        <v/>
      </c>
    </row>
    <row r="2827" spans="37:44" ht="30" hidden="1" customHeight="1">
      <c r="AK2827" s="313"/>
      <c r="AL2827" s="313"/>
      <c r="AM2827" s="313"/>
      <c r="AN2827" s="313"/>
      <c r="AO2827" s="313"/>
      <c r="AP2827" s="313"/>
      <c r="AQ2827" s="314"/>
      <c r="AR2827" s="315" t="str">
        <f t="shared" si="118"/>
        <v/>
      </c>
    </row>
    <row r="2828" spans="37:44" ht="30" hidden="1" customHeight="1">
      <c r="AK2828" s="313"/>
      <c r="AL2828" s="313"/>
      <c r="AM2828" s="313"/>
      <c r="AN2828" s="313"/>
      <c r="AO2828" s="313"/>
      <c r="AP2828" s="313"/>
      <c r="AQ2828" s="314"/>
      <c r="AR2828" s="315" t="str">
        <f t="shared" si="118"/>
        <v/>
      </c>
    </row>
    <row r="2829" spans="37:44" ht="30" hidden="1" customHeight="1">
      <c r="AK2829" s="313"/>
      <c r="AL2829" s="313"/>
      <c r="AM2829" s="313"/>
      <c r="AN2829" s="313"/>
      <c r="AO2829" s="313"/>
      <c r="AP2829" s="313"/>
      <c r="AQ2829" s="314"/>
      <c r="AR2829" s="315" t="str">
        <f t="shared" si="118"/>
        <v/>
      </c>
    </row>
    <row r="2830" spans="37:44" ht="30" hidden="1" customHeight="1">
      <c r="AK2830" s="313"/>
      <c r="AL2830" s="313"/>
      <c r="AM2830" s="313"/>
      <c r="AN2830" s="313"/>
      <c r="AO2830" s="313"/>
      <c r="AP2830" s="313"/>
      <c r="AQ2830" s="314"/>
      <c r="AR2830" s="315" t="str">
        <f t="shared" si="118"/>
        <v/>
      </c>
    </row>
    <row r="2831" spans="37:44" ht="30" hidden="1" customHeight="1">
      <c r="AK2831" s="313"/>
      <c r="AL2831" s="313"/>
      <c r="AM2831" s="313"/>
      <c r="AN2831" s="313"/>
      <c r="AO2831" s="313"/>
      <c r="AP2831" s="313"/>
      <c r="AQ2831" s="314"/>
      <c r="AR2831" s="315" t="str">
        <f t="shared" si="118"/>
        <v/>
      </c>
    </row>
    <row r="2832" spans="37:44" ht="30" hidden="1" customHeight="1">
      <c r="AK2832" s="313"/>
      <c r="AL2832" s="313"/>
      <c r="AM2832" s="313"/>
      <c r="AN2832" s="313"/>
      <c r="AO2832" s="313"/>
      <c r="AP2832" s="313"/>
      <c r="AQ2832" s="314"/>
      <c r="AR2832" s="315" t="str">
        <f t="shared" si="118"/>
        <v/>
      </c>
    </row>
    <row r="2833" spans="37:44" ht="30" hidden="1" customHeight="1">
      <c r="AK2833" s="313"/>
      <c r="AL2833" s="313"/>
      <c r="AM2833" s="313"/>
      <c r="AN2833" s="313"/>
      <c r="AO2833" s="313"/>
      <c r="AP2833" s="313"/>
      <c r="AQ2833" s="314"/>
      <c r="AR2833" s="315" t="str">
        <f t="shared" si="118"/>
        <v/>
      </c>
    </row>
    <row r="2834" spans="37:44" ht="30" hidden="1" customHeight="1">
      <c r="AK2834" s="313"/>
      <c r="AL2834" s="313"/>
      <c r="AM2834" s="313"/>
      <c r="AN2834" s="313"/>
      <c r="AO2834" s="313"/>
      <c r="AP2834" s="313"/>
      <c r="AQ2834" s="314"/>
      <c r="AR2834" s="315" t="str">
        <f t="shared" si="118"/>
        <v/>
      </c>
    </row>
    <row r="2835" spans="37:44" ht="30" hidden="1" customHeight="1">
      <c r="AK2835" s="313"/>
      <c r="AL2835" s="313"/>
      <c r="AM2835" s="313"/>
      <c r="AN2835" s="313"/>
      <c r="AO2835" s="313"/>
      <c r="AP2835" s="313"/>
      <c r="AQ2835" s="314"/>
      <c r="AR2835" s="315" t="str">
        <f t="shared" si="118"/>
        <v/>
      </c>
    </row>
    <row r="2836" spans="37:44" ht="30" hidden="1" customHeight="1">
      <c r="AK2836" s="313"/>
      <c r="AL2836" s="313"/>
      <c r="AM2836" s="313"/>
      <c r="AN2836" s="313"/>
      <c r="AO2836" s="313"/>
      <c r="AP2836" s="313"/>
      <c r="AQ2836" s="314"/>
      <c r="AR2836" s="315" t="str">
        <f t="shared" si="118"/>
        <v/>
      </c>
    </row>
    <row r="2837" spans="37:44" ht="30" hidden="1" customHeight="1">
      <c r="AK2837" s="313"/>
      <c r="AL2837" s="313"/>
      <c r="AM2837" s="313"/>
      <c r="AN2837" s="313"/>
      <c r="AO2837" s="313"/>
      <c r="AP2837" s="313"/>
      <c r="AQ2837" s="314"/>
      <c r="AR2837" s="315" t="str">
        <f t="shared" si="118"/>
        <v/>
      </c>
    </row>
    <row r="2838" spans="37:44" ht="30" hidden="1" customHeight="1">
      <c r="AK2838" s="313"/>
      <c r="AL2838" s="313"/>
      <c r="AM2838" s="313"/>
      <c r="AN2838" s="313"/>
      <c r="AO2838" s="313"/>
      <c r="AP2838" s="313"/>
      <c r="AQ2838" s="314"/>
      <c r="AR2838" s="315" t="str">
        <f t="shared" si="118"/>
        <v/>
      </c>
    </row>
    <row r="2839" spans="37:44" ht="30" hidden="1" customHeight="1">
      <c r="AK2839" s="313"/>
      <c r="AL2839" s="313"/>
      <c r="AM2839" s="313"/>
      <c r="AN2839" s="313"/>
      <c r="AO2839" s="313"/>
      <c r="AP2839" s="313"/>
      <c r="AQ2839" s="314"/>
      <c r="AR2839" s="315" t="str">
        <f t="shared" si="118"/>
        <v/>
      </c>
    </row>
    <row r="2840" spans="37:44" ht="30" hidden="1" customHeight="1">
      <c r="AK2840" s="313"/>
      <c r="AL2840" s="313"/>
      <c r="AM2840" s="313"/>
      <c r="AN2840" s="313"/>
      <c r="AO2840" s="313"/>
      <c r="AP2840" s="313"/>
      <c r="AQ2840" s="314"/>
      <c r="AR2840" s="315" t="str">
        <f t="shared" si="118"/>
        <v/>
      </c>
    </row>
    <row r="2841" spans="37:44" ht="30" hidden="1" customHeight="1">
      <c r="AK2841" s="313"/>
      <c r="AL2841" s="313"/>
      <c r="AM2841" s="313"/>
      <c r="AN2841" s="313"/>
      <c r="AO2841" s="313"/>
      <c r="AP2841" s="313"/>
      <c r="AQ2841" s="314"/>
      <c r="AR2841" s="315" t="str">
        <f t="shared" si="118"/>
        <v/>
      </c>
    </row>
    <row r="2842" spans="37:44" ht="30" hidden="1" customHeight="1">
      <c r="AK2842" s="313"/>
      <c r="AL2842" s="313"/>
      <c r="AM2842" s="313"/>
      <c r="AN2842" s="313"/>
      <c r="AO2842" s="313"/>
      <c r="AP2842" s="313"/>
      <c r="AQ2842" s="314"/>
      <c r="AR2842" s="315" t="str">
        <f t="shared" si="118"/>
        <v/>
      </c>
    </row>
    <row r="2843" spans="37:44" ht="30" hidden="1" customHeight="1">
      <c r="AK2843" s="313"/>
      <c r="AL2843" s="313"/>
      <c r="AM2843" s="313"/>
      <c r="AN2843" s="313"/>
      <c r="AO2843" s="313"/>
      <c r="AP2843" s="313"/>
      <c r="AQ2843" s="314"/>
      <c r="AR2843" s="315" t="str">
        <f t="shared" si="118"/>
        <v/>
      </c>
    </row>
    <row r="2844" spans="37:44" ht="30" hidden="1" customHeight="1">
      <c r="AK2844" s="313"/>
      <c r="AL2844" s="313"/>
      <c r="AM2844" s="313"/>
      <c r="AN2844" s="313"/>
      <c r="AO2844" s="313"/>
      <c r="AP2844" s="313"/>
      <c r="AQ2844" s="314"/>
      <c r="AR2844" s="315" t="str">
        <f t="shared" si="118"/>
        <v/>
      </c>
    </row>
    <row r="2845" spans="37:44" ht="30" hidden="1" customHeight="1">
      <c r="AK2845" s="313"/>
      <c r="AL2845" s="313"/>
      <c r="AM2845" s="313"/>
      <c r="AN2845" s="313"/>
      <c r="AO2845" s="313"/>
      <c r="AP2845" s="313"/>
      <c r="AQ2845" s="314"/>
      <c r="AR2845" s="315" t="str">
        <f t="shared" si="118"/>
        <v/>
      </c>
    </row>
    <row r="2846" spans="37:44" ht="30" hidden="1" customHeight="1">
      <c r="AK2846" s="313"/>
      <c r="AL2846" s="313"/>
      <c r="AM2846" s="313"/>
      <c r="AN2846" s="313"/>
      <c r="AO2846" s="313"/>
      <c r="AP2846" s="313"/>
      <c r="AQ2846" s="314"/>
      <c r="AR2846" s="315" t="str">
        <f t="shared" si="118"/>
        <v/>
      </c>
    </row>
    <row r="2847" spans="37:44" ht="30" hidden="1" customHeight="1">
      <c r="AK2847" s="313"/>
      <c r="AL2847" s="313"/>
      <c r="AM2847" s="313"/>
      <c r="AN2847" s="313"/>
      <c r="AO2847" s="313"/>
      <c r="AP2847" s="313"/>
      <c r="AQ2847" s="314"/>
      <c r="AR2847" s="315" t="str">
        <f t="shared" si="118"/>
        <v/>
      </c>
    </row>
    <row r="2848" spans="37:44" ht="30" hidden="1" customHeight="1">
      <c r="AK2848" s="313"/>
      <c r="AL2848" s="313"/>
      <c r="AM2848" s="313"/>
      <c r="AN2848" s="313"/>
      <c r="AO2848" s="313"/>
      <c r="AP2848" s="313"/>
      <c r="AQ2848" s="314"/>
      <c r="AR2848" s="315" t="str">
        <f t="shared" si="118"/>
        <v/>
      </c>
    </row>
    <row r="2849" spans="37:44" ht="30" hidden="1" customHeight="1">
      <c r="AK2849" s="313"/>
      <c r="AL2849" s="313"/>
      <c r="AM2849" s="313"/>
      <c r="AN2849" s="313"/>
      <c r="AO2849" s="313"/>
      <c r="AP2849" s="313"/>
      <c r="AQ2849" s="314"/>
      <c r="AR2849" s="315" t="str">
        <f t="shared" si="118"/>
        <v/>
      </c>
    </row>
    <row r="2850" spans="37:44" ht="30" hidden="1" customHeight="1">
      <c r="AK2850" s="313"/>
      <c r="AL2850" s="313"/>
      <c r="AM2850" s="313"/>
      <c r="AN2850" s="313"/>
      <c r="AO2850" s="313"/>
      <c r="AP2850" s="313"/>
      <c r="AQ2850" s="314"/>
      <c r="AR2850" s="315" t="str">
        <f t="shared" si="118"/>
        <v/>
      </c>
    </row>
    <row r="2851" spans="37:44" ht="30" hidden="1" customHeight="1">
      <c r="AK2851" s="313"/>
      <c r="AL2851" s="313"/>
      <c r="AM2851" s="313"/>
      <c r="AN2851" s="313"/>
      <c r="AO2851" s="313"/>
      <c r="AP2851" s="313"/>
      <c r="AQ2851" s="314"/>
      <c r="AR2851" s="315" t="str">
        <f t="shared" si="118"/>
        <v/>
      </c>
    </row>
    <row r="2852" spans="37:44" ht="30" hidden="1" customHeight="1">
      <c r="AK2852" s="313"/>
      <c r="AL2852" s="313"/>
      <c r="AM2852" s="313"/>
      <c r="AN2852" s="313"/>
      <c r="AO2852" s="313"/>
      <c r="AP2852" s="313"/>
      <c r="AQ2852" s="314"/>
      <c r="AR2852" s="315" t="str">
        <f t="shared" si="118"/>
        <v/>
      </c>
    </row>
    <row r="2853" spans="37:44" ht="30" hidden="1" customHeight="1">
      <c r="AK2853" s="313"/>
      <c r="AL2853" s="313"/>
      <c r="AM2853" s="313"/>
      <c r="AN2853" s="313"/>
      <c r="AO2853" s="313"/>
      <c r="AP2853" s="313"/>
      <c r="AQ2853" s="314"/>
      <c r="AR2853" s="315" t="str">
        <f t="shared" si="118"/>
        <v/>
      </c>
    </row>
    <row r="2854" spans="37:44" ht="30" hidden="1" customHeight="1">
      <c r="AK2854" s="313"/>
      <c r="AL2854" s="313"/>
      <c r="AM2854" s="313"/>
      <c r="AN2854" s="313"/>
      <c r="AO2854" s="313"/>
      <c r="AP2854" s="313"/>
      <c r="AQ2854" s="314"/>
      <c r="AR2854" s="315" t="str">
        <f t="shared" si="118"/>
        <v/>
      </c>
    </row>
    <row r="2855" spans="37:44" ht="30" hidden="1" customHeight="1">
      <c r="AK2855" s="313"/>
      <c r="AL2855" s="313"/>
      <c r="AM2855" s="313"/>
      <c r="AN2855" s="313"/>
      <c r="AO2855" s="313"/>
      <c r="AP2855" s="313"/>
      <c r="AQ2855" s="314"/>
      <c r="AR2855" s="315" t="str">
        <f t="shared" si="118"/>
        <v/>
      </c>
    </row>
    <row r="2856" spans="37:44" ht="30" hidden="1" customHeight="1">
      <c r="AK2856" s="313"/>
      <c r="AL2856" s="313"/>
      <c r="AM2856" s="313"/>
      <c r="AN2856" s="313"/>
      <c r="AO2856" s="313"/>
      <c r="AP2856" s="313"/>
      <c r="AQ2856" s="314"/>
      <c r="AR2856" s="315" t="str">
        <f t="shared" si="118"/>
        <v/>
      </c>
    </row>
    <row r="2857" spans="37:44" ht="30" hidden="1" customHeight="1">
      <c r="AK2857" s="313"/>
      <c r="AL2857" s="313"/>
      <c r="AM2857" s="313"/>
      <c r="AN2857" s="313"/>
      <c r="AO2857" s="313"/>
      <c r="AP2857" s="313"/>
      <c r="AQ2857" s="314"/>
      <c r="AR2857" s="315" t="str">
        <f t="shared" si="118"/>
        <v/>
      </c>
    </row>
    <row r="2858" spans="37:44" ht="30" hidden="1" customHeight="1">
      <c r="AK2858" s="313"/>
      <c r="AL2858" s="313"/>
      <c r="AM2858" s="313"/>
      <c r="AN2858" s="313"/>
      <c r="AO2858" s="313"/>
      <c r="AP2858" s="313"/>
      <c r="AQ2858" s="314"/>
      <c r="AR2858" s="315" t="str">
        <f t="shared" si="118"/>
        <v/>
      </c>
    </row>
    <row r="2859" spans="37:44" ht="30" hidden="1" customHeight="1">
      <c r="AK2859" s="313"/>
      <c r="AL2859" s="313"/>
      <c r="AM2859" s="313"/>
      <c r="AN2859" s="313"/>
      <c r="AO2859" s="313"/>
      <c r="AP2859" s="313"/>
      <c r="AQ2859" s="314"/>
      <c r="AR2859" s="315" t="str">
        <f t="shared" si="118"/>
        <v/>
      </c>
    </row>
    <row r="2860" spans="37:44" ht="30" hidden="1" customHeight="1">
      <c r="AK2860" s="313"/>
      <c r="AL2860" s="313"/>
      <c r="AM2860" s="313"/>
      <c r="AN2860" s="313"/>
      <c r="AO2860" s="313"/>
      <c r="AP2860" s="313"/>
      <c r="AQ2860" s="314"/>
      <c r="AR2860" s="315" t="str">
        <f t="shared" si="118"/>
        <v/>
      </c>
    </row>
    <row r="2861" spans="37:44" ht="30" hidden="1" customHeight="1">
      <c r="AK2861" s="313"/>
      <c r="AL2861" s="313"/>
      <c r="AM2861" s="313"/>
      <c r="AN2861" s="313"/>
      <c r="AO2861" s="313"/>
      <c r="AP2861" s="313"/>
      <c r="AQ2861" s="314"/>
      <c r="AR2861" s="315" t="str">
        <f t="shared" si="118"/>
        <v/>
      </c>
    </row>
    <row r="2862" spans="37:44" ht="30" hidden="1" customHeight="1">
      <c r="AK2862" s="313"/>
      <c r="AL2862" s="313"/>
      <c r="AM2862" s="313"/>
      <c r="AN2862" s="313"/>
      <c r="AO2862" s="313"/>
      <c r="AP2862" s="313"/>
      <c r="AQ2862" s="314"/>
      <c r="AR2862" s="315" t="str">
        <f t="shared" si="118"/>
        <v/>
      </c>
    </row>
    <row r="2863" spans="37:44" ht="30" hidden="1" customHeight="1">
      <c r="AK2863" s="313"/>
      <c r="AL2863" s="313"/>
      <c r="AM2863" s="313"/>
      <c r="AN2863" s="313"/>
      <c r="AO2863" s="313"/>
      <c r="AP2863" s="313"/>
      <c r="AQ2863" s="314"/>
      <c r="AR2863" s="315" t="str">
        <f t="shared" si="118"/>
        <v/>
      </c>
    </row>
    <row r="2864" spans="37:44" ht="30" hidden="1" customHeight="1">
      <c r="AK2864" s="313"/>
      <c r="AL2864" s="313"/>
      <c r="AM2864" s="313"/>
      <c r="AN2864" s="313"/>
      <c r="AO2864" s="313"/>
      <c r="AP2864" s="313"/>
      <c r="AQ2864" s="314"/>
      <c r="AR2864" s="315" t="str">
        <f t="shared" si="118"/>
        <v/>
      </c>
    </row>
    <row r="2865" spans="37:44" ht="30" hidden="1" customHeight="1">
      <c r="AK2865" s="313"/>
      <c r="AL2865" s="313"/>
      <c r="AM2865" s="313"/>
      <c r="AN2865" s="313"/>
      <c r="AO2865" s="313"/>
      <c r="AP2865" s="313"/>
      <c r="AQ2865" s="314"/>
      <c r="AR2865" s="315" t="str">
        <f t="shared" si="118"/>
        <v/>
      </c>
    </row>
    <row r="2866" spans="37:44" ht="30" hidden="1" customHeight="1">
      <c r="AK2866" s="313"/>
      <c r="AL2866" s="313"/>
      <c r="AM2866" s="313"/>
      <c r="AN2866" s="313"/>
      <c r="AO2866" s="313"/>
      <c r="AP2866" s="313"/>
      <c r="AQ2866" s="314"/>
      <c r="AR2866" s="315" t="str">
        <f t="shared" si="118"/>
        <v/>
      </c>
    </row>
    <row r="2867" spans="37:44" ht="30" hidden="1" customHeight="1">
      <c r="AK2867" s="313"/>
      <c r="AL2867" s="313"/>
      <c r="AM2867" s="313"/>
      <c r="AN2867" s="313"/>
      <c r="AO2867" s="313"/>
      <c r="AP2867" s="313"/>
      <c r="AQ2867" s="314"/>
      <c r="AR2867" s="315" t="str">
        <f t="shared" si="118"/>
        <v/>
      </c>
    </row>
    <row r="2868" spans="37:44" ht="30" hidden="1" customHeight="1">
      <c r="AK2868" s="313"/>
      <c r="AL2868" s="313"/>
      <c r="AM2868" s="313"/>
      <c r="AN2868" s="313"/>
      <c r="AO2868" s="313"/>
      <c r="AP2868" s="313"/>
      <c r="AQ2868" s="314"/>
      <c r="AR2868" s="315" t="str">
        <f t="shared" si="118"/>
        <v/>
      </c>
    </row>
    <row r="2869" spans="37:44" ht="30" hidden="1" customHeight="1">
      <c r="AK2869" s="313"/>
      <c r="AL2869" s="313"/>
      <c r="AM2869" s="313"/>
      <c r="AN2869" s="313"/>
      <c r="AO2869" s="313"/>
      <c r="AP2869" s="313"/>
      <c r="AQ2869" s="314"/>
      <c r="AR2869" s="315" t="str">
        <f t="shared" si="118"/>
        <v/>
      </c>
    </row>
    <row r="2870" spans="37:44" ht="30" hidden="1" customHeight="1">
      <c r="AK2870" s="313"/>
      <c r="AL2870" s="313"/>
      <c r="AM2870" s="313"/>
      <c r="AN2870" s="313"/>
      <c r="AO2870" s="313"/>
      <c r="AP2870" s="313"/>
      <c r="AQ2870" s="314"/>
      <c r="AR2870" s="315" t="str">
        <f t="shared" si="118"/>
        <v/>
      </c>
    </row>
    <row r="2871" spans="37:44" ht="30" hidden="1" customHeight="1">
      <c r="AK2871" s="313"/>
      <c r="AL2871" s="313"/>
      <c r="AM2871" s="313"/>
      <c r="AN2871" s="313"/>
      <c r="AO2871" s="313"/>
      <c r="AP2871" s="313"/>
      <c r="AQ2871" s="314"/>
      <c r="AR2871" s="315" t="str">
        <f t="shared" si="118"/>
        <v/>
      </c>
    </row>
    <row r="2872" spans="37:44" ht="30" hidden="1" customHeight="1">
      <c r="AK2872" s="313"/>
      <c r="AL2872" s="313"/>
      <c r="AM2872" s="313"/>
      <c r="AN2872" s="313"/>
      <c r="AO2872" s="313"/>
      <c r="AP2872" s="313"/>
      <c r="AQ2872" s="314"/>
      <c r="AR2872" s="315" t="str">
        <f t="shared" si="118"/>
        <v/>
      </c>
    </row>
    <row r="2873" spans="37:44" ht="30" hidden="1" customHeight="1">
      <c r="AK2873" s="313"/>
      <c r="AL2873" s="313"/>
      <c r="AM2873" s="313"/>
      <c r="AN2873" s="313"/>
      <c r="AO2873" s="313"/>
      <c r="AP2873" s="313"/>
      <c r="AQ2873" s="314"/>
      <c r="AR2873" s="315" t="str">
        <f t="shared" si="118"/>
        <v/>
      </c>
    </row>
    <row r="2874" spans="37:44" ht="30" hidden="1" customHeight="1">
      <c r="AK2874" s="313"/>
      <c r="AL2874" s="313"/>
      <c r="AM2874" s="313"/>
      <c r="AN2874" s="313"/>
      <c r="AO2874" s="313"/>
      <c r="AP2874" s="313"/>
      <c r="AQ2874" s="314"/>
      <c r="AR2874" s="315" t="str">
        <f t="shared" si="118"/>
        <v/>
      </c>
    </row>
    <row r="2875" spans="37:44" ht="30" hidden="1" customHeight="1">
      <c r="AK2875" s="313"/>
      <c r="AL2875" s="313"/>
      <c r="AM2875" s="313"/>
      <c r="AN2875" s="313"/>
      <c r="AO2875" s="313"/>
      <c r="AP2875" s="313"/>
      <c r="AQ2875" s="314"/>
      <c r="AR2875" s="315" t="str">
        <f t="shared" si="118"/>
        <v/>
      </c>
    </row>
    <row r="2876" spans="37:44" ht="30" hidden="1" customHeight="1">
      <c r="AK2876" s="313"/>
      <c r="AL2876" s="313"/>
      <c r="AM2876" s="313"/>
      <c r="AN2876" s="313"/>
      <c r="AO2876" s="313"/>
      <c r="AP2876" s="313"/>
      <c r="AQ2876" s="314"/>
      <c r="AR2876" s="315" t="str">
        <f t="shared" si="118"/>
        <v/>
      </c>
    </row>
    <row r="2877" spans="37:44" ht="30" hidden="1" customHeight="1">
      <c r="AK2877" s="313"/>
      <c r="AL2877" s="313"/>
      <c r="AM2877" s="313"/>
      <c r="AN2877" s="313"/>
      <c r="AO2877" s="313"/>
      <c r="AP2877" s="313"/>
      <c r="AQ2877" s="314"/>
      <c r="AR2877" s="315" t="str">
        <f t="shared" si="118"/>
        <v/>
      </c>
    </row>
    <row r="2878" spans="37:44" ht="30" hidden="1" customHeight="1">
      <c r="AK2878" s="313"/>
      <c r="AL2878" s="313"/>
      <c r="AM2878" s="313"/>
      <c r="AN2878" s="313"/>
      <c r="AO2878" s="313"/>
      <c r="AP2878" s="313"/>
      <c r="AQ2878" s="314"/>
      <c r="AR2878" s="315" t="str">
        <f t="shared" si="118"/>
        <v/>
      </c>
    </row>
    <row r="2879" spans="37:44" ht="30" hidden="1" customHeight="1">
      <c r="AK2879" s="313"/>
      <c r="AL2879" s="313"/>
      <c r="AM2879" s="313"/>
      <c r="AN2879" s="313"/>
      <c r="AO2879" s="313"/>
      <c r="AP2879" s="313"/>
      <c r="AQ2879" s="314"/>
      <c r="AR2879" s="315" t="str">
        <f t="shared" ref="AR2879:AR2942" si="119">IF(AQ2879="SIM","AGUARDANDO CORREÇÃO",IF(AP2879&lt;&gt;"","FINALIZADO",IF(AO2879&lt;&gt;"","AGUARDANDO ENVIO DTS",IF(AN2879&lt;&gt;"","AGUARDANDO ASSINATURA GAB",IF(AM2879&lt;&gt;"","AGUARDANDO ASSINATURA CTS",IF(AL2879&lt;&gt;"","AGUARDANDO ENVIO ASSINATURA CTS",IF(AK2879&lt;&gt;"","AGUARDANDO CONFERÊNCIA","")))))))</f>
        <v/>
      </c>
    </row>
    <row r="2880" spans="37:44" ht="30" hidden="1" customHeight="1">
      <c r="AK2880" s="313"/>
      <c r="AL2880" s="313"/>
      <c r="AM2880" s="313"/>
      <c r="AN2880" s="313"/>
      <c r="AO2880" s="313"/>
      <c r="AP2880" s="313"/>
      <c r="AQ2880" s="314"/>
      <c r="AR2880" s="315" t="str">
        <f t="shared" si="119"/>
        <v/>
      </c>
    </row>
    <row r="2881" spans="37:44" ht="30" hidden="1" customHeight="1">
      <c r="AK2881" s="313"/>
      <c r="AL2881" s="313"/>
      <c r="AM2881" s="313"/>
      <c r="AN2881" s="313"/>
      <c r="AO2881" s="313"/>
      <c r="AP2881" s="313"/>
      <c r="AQ2881" s="314"/>
      <c r="AR2881" s="315" t="str">
        <f t="shared" si="119"/>
        <v/>
      </c>
    </row>
    <row r="2882" spans="37:44" ht="30" hidden="1" customHeight="1">
      <c r="AK2882" s="313"/>
      <c r="AL2882" s="313"/>
      <c r="AM2882" s="313"/>
      <c r="AN2882" s="313"/>
      <c r="AO2882" s="313"/>
      <c r="AP2882" s="313"/>
      <c r="AQ2882" s="314"/>
      <c r="AR2882" s="315" t="str">
        <f t="shared" si="119"/>
        <v/>
      </c>
    </row>
    <row r="2883" spans="37:44" ht="30" hidden="1" customHeight="1">
      <c r="AK2883" s="313"/>
      <c r="AL2883" s="313"/>
      <c r="AM2883" s="313"/>
      <c r="AN2883" s="313"/>
      <c r="AO2883" s="313"/>
      <c r="AP2883" s="313"/>
      <c r="AQ2883" s="314"/>
      <c r="AR2883" s="315" t="str">
        <f t="shared" si="119"/>
        <v/>
      </c>
    </row>
    <row r="2884" spans="37:44" ht="30" hidden="1" customHeight="1">
      <c r="AK2884" s="313"/>
      <c r="AL2884" s="313"/>
      <c r="AM2884" s="313"/>
      <c r="AN2884" s="313"/>
      <c r="AO2884" s="313"/>
      <c r="AP2884" s="313"/>
      <c r="AQ2884" s="314"/>
      <c r="AR2884" s="315" t="str">
        <f t="shared" si="119"/>
        <v/>
      </c>
    </row>
    <row r="2885" spans="37:44" ht="30" hidden="1" customHeight="1">
      <c r="AK2885" s="313"/>
      <c r="AL2885" s="313"/>
      <c r="AM2885" s="313"/>
      <c r="AN2885" s="313"/>
      <c r="AO2885" s="313"/>
      <c r="AP2885" s="313"/>
      <c r="AQ2885" s="314"/>
      <c r="AR2885" s="315" t="str">
        <f t="shared" si="119"/>
        <v/>
      </c>
    </row>
    <row r="2886" spans="37:44" ht="30" hidden="1" customHeight="1">
      <c r="AK2886" s="313"/>
      <c r="AL2886" s="313"/>
      <c r="AM2886" s="313"/>
      <c r="AN2886" s="313"/>
      <c r="AO2886" s="313"/>
      <c r="AP2886" s="313"/>
      <c r="AQ2886" s="314"/>
      <c r="AR2886" s="315" t="str">
        <f t="shared" si="119"/>
        <v/>
      </c>
    </row>
    <row r="2887" spans="37:44" ht="30" hidden="1" customHeight="1">
      <c r="AK2887" s="313"/>
      <c r="AL2887" s="313"/>
      <c r="AM2887" s="313"/>
      <c r="AN2887" s="313"/>
      <c r="AO2887" s="313"/>
      <c r="AP2887" s="313"/>
      <c r="AQ2887" s="314"/>
      <c r="AR2887" s="315" t="str">
        <f t="shared" si="119"/>
        <v/>
      </c>
    </row>
    <row r="2888" spans="37:44" ht="30" hidden="1" customHeight="1">
      <c r="AK2888" s="313"/>
      <c r="AL2888" s="313"/>
      <c r="AM2888" s="313"/>
      <c r="AN2888" s="313"/>
      <c r="AO2888" s="313"/>
      <c r="AP2888" s="313"/>
      <c r="AQ2888" s="314"/>
      <c r="AR2888" s="315" t="str">
        <f t="shared" si="119"/>
        <v/>
      </c>
    </row>
    <row r="2889" spans="37:44" ht="30" hidden="1" customHeight="1">
      <c r="AK2889" s="313"/>
      <c r="AL2889" s="313"/>
      <c r="AM2889" s="313"/>
      <c r="AN2889" s="313"/>
      <c r="AO2889" s="313"/>
      <c r="AP2889" s="313"/>
      <c r="AQ2889" s="314"/>
      <c r="AR2889" s="315" t="str">
        <f t="shared" si="119"/>
        <v/>
      </c>
    </row>
    <row r="2890" spans="37:44" ht="30" hidden="1" customHeight="1">
      <c r="AK2890" s="313"/>
      <c r="AL2890" s="313"/>
      <c r="AM2890" s="313"/>
      <c r="AN2890" s="313"/>
      <c r="AO2890" s="313"/>
      <c r="AP2890" s="313"/>
      <c r="AQ2890" s="314"/>
      <c r="AR2890" s="315" t="str">
        <f t="shared" si="119"/>
        <v/>
      </c>
    </row>
    <row r="2891" spans="37:44" ht="30" hidden="1" customHeight="1">
      <c r="AK2891" s="313"/>
      <c r="AL2891" s="313"/>
      <c r="AM2891" s="313"/>
      <c r="AN2891" s="313"/>
      <c r="AO2891" s="313"/>
      <c r="AP2891" s="313"/>
      <c r="AQ2891" s="314"/>
      <c r="AR2891" s="315" t="str">
        <f t="shared" si="119"/>
        <v/>
      </c>
    </row>
    <row r="2892" spans="37:44" ht="30" hidden="1" customHeight="1">
      <c r="AK2892" s="313"/>
      <c r="AL2892" s="313"/>
      <c r="AM2892" s="313"/>
      <c r="AN2892" s="313"/>
      <c r="AO2892" s="313"/>
      <c r="AP2892" s="313"/>
      <c r="AQ2892" s="314"/>
      <c r="AR2892" s="315" t="str">
        <f t="shared" si="119"/>
        <v/>
      </c>
    </row>
    <row r="2893" spans="37:44" ht="30" hidden="1" customHeight="1">
      <c r="AK2893" s="313"/>
      <c r="AL2893" s="313"/>
      <c r="AM2893" s="313"/>
      <c r="AN2893" s="313"/>
      <c r="AO2893" s="313"/>
      <c r="AP2893" s="313"/>
      <c r="AQ2893" s="314"/>
      <c r="AR2893" s="315" t="str">
        <f t="shared" si="119"/>
        <v/>
      </c>
    </row>
    <row r="2894" spans="37:44" ht="30" hidden="1" customHeight="1">
      <c r="AK2894" s="313"/>
      <c r="AL2894" s="313"/>
      <c r="AM2894" s="313"/>
      <c r="AN2894" s="313"/>
      <c r="AO2894" s="313"/>
      <c r="AP2894" s="313"/>
      <c r="AQ2894" s="314"/>
      <c r="AR2894" s="315" t="str">
        <f t="shared" si="119"/>
        <v/>
      </c>
    </row>
    <row r="2895" spans="37:44" ht="30" hidden="1" customHeight="1">
      <c r="AK2895" s="313"/>
      <c r="AL2895" s="313"/>
      <c r="AM2895" s="313"/>
      <c r="AN2895" s="313"/>
      <c r="AO2895" s="313"/>
      <c r="AP2895" s="313"/>
      <c r="AQ2895" s="314"/>
      <c r="AR2895" s="315" t="str">
        <f t="shared" si="119"/>
        <v/>
      </c>
    </row>
    <row r="2896" spans="37:44" ht="30" hidden="1" customHeight="1">
      <c r="AK2896" s="313"/>
      <c r="AL2896" s="313"/>
      <c r="AM2896" s="313"/>
      <c r="AN2896" s="313"/>
      <c r="AO2896" s="313"/>
      <c r="AP2896" s="313"/>
      <c r="AQ2896" s="314"/>
      <c r="AR2896" s="315" t="str">
        <f t="shared" si="119"/>
        <v/>
      </c>
    </row>
    <row r="2897" spans="37:44" ht="30" hidden="1" customHeight="1">
      <c r="AK2897" s="313"/>
      <c r="AL2897" s="313"/>
      <c r="AM2897" s="313"/>
      <c r="AN2897" s="313"/>
      <c r="AO2897" s="313"/>
      <c r="AP2897" s="313"/>
      <c r="AQ2897" s="314"/>
      <c r="AR2897" s="315" t="str">
        <f t="shared" si="119"/>
        <v/>
      </c>
    </row>
    <row r="2898" spans="37:44" ht="30" hidden="1" customHeight="1">
      <c r="AK2898" s="313"/>
      <c r="AL2898" s="313"/>
      <c r="AM2898" s="313"/>
      <c r="AN2898" s="313"/>
      <c r="AO2898" s="313"/>
      <c r="AP2898" s="313"/>
      <c r="AQ2898" s="314"/>
      <c r="AR2898" s="315" t="str">
        <f t="shared" si="119"/>
        <v/>
      </c>
    </row>
    <row r="2899" spans="37:44" ht="30" hidden="1" customHeight="1">
      <c r="AK2899" s="313"/>
      <c r="AL2899" s="313"/>
      <c r="AM2899" s="313"/>
      <c r="AN2899" s="313"/>
      <c r="AO2899" s="313"/>
      <c r="AP2899" s="313"/>
      <c r="AQ2899" s="314"/>
      <c r="AR2899" s="315" t="str">
        <f t="shared" si="119"/>
        <v/>
      </c>
    </row>
    <row r="2900" spans="37:44" ht="30" hidden="1" customHeight="1">
      <c r="AK2900" s="313"/>
      <c r="AL2900" s="313"/>
      <c r="AM2900" s="313"/>
      <c r="AN2900" s="313"/>
      <c r="AO2900" s="313"/>
      <c r="AP2900" s="313"/>
      <c r="AQ2900" s="314"/>
      <c r="AR2900" s="315" t="str">
        <f t="shared" si="119"/>
        <v/>
      </c>
    </row>
    <row r="2901" spans="37:44" ht="30" hidden="1" customHeight="1">
      <c r="AK2901" s="313"/>
      <c r="AL2901" s="313"/>
      <c r="AM2901" s="313"/>
      <c r="AN2901" s="313"/>
      <c r="AO2901" s="313"/>
      <c r="AP2901" s="313"/>
      <c r="AQ2901" s="314"/>
      <c r="AR2901" s="315" t="str">
        <f t="shared" si="119"/>
        <v/>
      </c>
    </row>
    <row r="2902" spans="37:44" ht="30" hidden="1" customHeight="1">
      <c r="AK2902" s="313"/>
      <c r="AL2902" s="313"/>
      <c r="AM2902" s="313"/>
      <c r="AN2902" s="313"/>
      <c r="AO2902" s="313"/>
      <c r="AP2902" s="313"/>
      <c r="AQ2902" s="314"/>
      <c r="AR2902" s="315" t="str">
        <f t="shared" si="119"/>
        <v/>
      </c>
    </row>
    <row r="2903" spans="37:44" ht="30" hidden="1" customHeight="1">
      <c r="AK2903" s="313"/>
      <c r="AL2903" s="313"/>
      <c r="AM2903" s="313"/>
      <c r="AN2903" s="313"/>
      <c r="AO2903" s="313"/>
      <c r="AP2903" s="313"/>
      <c r="AQ2903" s="314"/>
      <c r="AR2903" s="315" t="str">
        <f t="shared" si="119"/>
        <v/>
      </c>
    </row>
    <row r="2904" spans="37:44" ht="30" hidden="1" customHeight="1">
      <c r="AK2904" s="313"/>
      <c r="AL2904" s="313"/>
      <c r="AM2904" s="313"/>
      <c r="AN2904" s="313"/>
      <c r="AO2904" s="313"/>
      <c r="AP2904" s="313"/>
      <c r="AQ2904" s="314"/>
      <c r="AR2904" s="315" t="str">
        <f t="shared" si="119"/>
        <v/>
      </c>
    </row>
    <row r="2905" spans="37:44" ht="30" hidden="1" customHeight="1">
      <c r="AK2905" s="313"/>
      <c r="AL2905" s="313"/>
      <c r="AM2905" s="313"/>
      <c r="AN2905" s="313"/>
      <c r="AO2905" s="313"/>
      <c r="AP2905" s="313"/>
      <c r="AQ2905" s="314"/>
      <c r="AR2905" s="315" t="str">
        <f t="shared" si="119"/>
        <v/>
      </c>
    </row>
    <row r="2906" spans="37:44" ht="30" hidden="1" customHeight="1">
      <c r="AK2906" s="313"/>
      <c r="AL2906" s="313"/>
      <c r="AM2906" s="313"/>
      <c r="AN2906" s="313"/>
      <c r="AO2906" s="313"/>
      <c r="AP2906" s="313"/>
      <c r="AQ2906" s="314"/>
      <c r="AR2906" s="315" t="str">
        <f t="shared" si="119"/>
        <v/>
      </c>
    </row>
    <row r="2907" spans="37:44" ht="30" hidden="1" customHeight="1">
      <c r="AK2907" s="313"/>
      <c r="AL2907" s="313"/>
      <c r="AM2907" s="313"/>
      <c r="AN2907" s="313"/>
      <c r="AO2907" s="313"/>
      <c r="AP2907" s="313"/>
      <c r="AQ2907" s="314"/>
      <c r="AR2907" s="315" t="str">
        <f t="shared" si="119"/>
        <v/>
      </c>
    </row>
    <row r="2908" spans="37:44" ht="30" hidden="1" customHeight="1">
      <c r="AK2908" s="313"/>
      <c r="AL2908" s="313"/>
      <c r="AM2908" s="313"/>
      <c r="AN2908" s="313"/>
      <c r="AO2908" s="313"/>
      <c r="AP2908" s="313"/>
      <c r="AQ2908" s="314"/>
      <c r="AR2908" s="315" t="str">
        <f t="shared" si="119"/>
        <v/>
      </c>
    </row>
    <row r="2909" spans="37:44" ht="30" hidden="1" customHeight="1">
      <c r="AK2909" s="313"/>
      <c r="AL2909" s="313"/>
      <c r="AM2909" s="313"/>
      <c r="AN2909" s="313"/>
      <c r="AO2909" s="313"/>
      <c r="AP2909" s="313"/>
      <c r="AQ2909" s="314"/>
      <c r="AR2909" s="315" t="str">
        <f t="shared" si="119"/>
        <v/>
      </c>
    </row>
    <row r="2910" spans="37:44" ht="30" hidden="1" customHeight="1">
      <c r="AK2910" s="313"/>
      <c r="AL2910" s="313"/>
      <c r="AM2910" s="313"/>
      <c r="AN2910" s="313"/>
      <c r="AO2910" s="313"/>
      <c r="AP2910" s="313"/>
      <c r="AQ2910" s="314"/>
      <c r="AR2910" s="315" t="str">
        <f t="shared" si="119"/>
        <v/>
      </c>
    </row>
    <row r="2911" spans="37:44" ht="30" hidden="1" customHeight="1">
      <c r="AK2911" s="313"/>
      <c r="AL2911" s="313"/>
      <c r="AM2911" s="313"/>
      <c r="AN2911" s="313"/>
      <c r="AO2911" s="313"/>
      <c r="AP2911" s="313"/>
      <c r="AQ2911" s="314"/>
      <c r="AR2911" s="315" t="str">
        <f t="shared" si="119"/>
        <v/>
      </c>
    </row>
    <row r="2912" spans="37:44" ht="30" hidden="1" customHeight="1">
      <c r="AK2912" s="313"/>
      <c r="AL2912" s="313"/>
      <c r="AM2912" s="313"/>
      <c r="AN2912" s="313"/>
      <c r="AO2912" s="313"/>
      <c r="AP2912" s="313"/>
      <c r="AQ2912" s="314"/>
      <c r="AR2912" s="315" t="str">
        <f t="shared" si="119"/>
        <v/>
      </c>
    </row>
    <row r="2913" spans="37:44" ht="30" hidden="1" customHeight="1">
      <c r="AK2913" s="313"/>
      <c r="AL2913" s="313"/>
      <c r="AM2913" s="313"/>
      <c r="AN2913" s="313"/>
      <c r="AO2913" s="313"/>
      <c r="AP2913" s="313"/>
      <c r="AQ2913" s="314"/>
      <c r="AR2913" s="315" t="str">
        <f t="shared" si="119"/>
        <v/>
      </c>
    </row>
    <row r="2914" spans="37:44" ht="30" hidden="1" customHeight="1">
      <c r="AK2914" s="313"/>
      <c r="AL2914" s="313"/>
      <c r="AM2914" s="313"/>
      <c r="AN2914" s="313"/>
      <c r="AO2914" s="313"/>
      <c r="AP2914" s="313"/>
      <c r="AQ2914" s="314"/>
      <c r="AR2914" s="315" t="str">
        <f t="shared" si="119"/>
        <v/>
      </c>
    </row>
    <row r="2915" spans="37:44" ht="30" hidden="1" customHeight="1">
      <c r="AK2915" s="313"/>
      <c r="AL2915" s="313"/>
      <c r="AM2915" s="313"/>
      <c r="AN2915" s="313"/>
      <c r="AO2915" s="313"/>
      <c r="AP2915" s="313"/>
      <c r="AQ2915" s="314"/>
      <c r="AR2915" s="315" t="str">
        <f t="shared" si="119"/>
        <v/>
      </c>
    </row>
    <row r="2916" spans="37:44" ht="30" hidden="1" customHeight="1">
      <c r="AK2916" s="313"/>
      <c r="AL2916" s="313"/>
      <c r="AM2916" s="313"/>
      <c r="AN2916" s="313"/>
      <c r="AO2916" s="313"/>
      <c r="AP2916" s="313"/>
      <c r="AQ2916" s="314"/>
      <c r="AR2916" s="315" t="str">
        <f t="shared" si="119"/>
        <v/>
      </c>
    </row>
    <row r="2917" spans="37:44" ht="30" hidden="1" customHeight="1">
      <c r="AK2917" s="313"/>
      <c r="AL2917" s="313"/>
      <c r="AM2917" s="313"/>
      <c r="AN2917" s="313"/>
      <c r="AO2917" s="313"/>
      <c r="AP2917" s="313"/>
      <c r="AQ2917" s="314"/>
      <c r="AR2917" s="315" t="str">
        <f t="shared" si="119"/>
        <v/>
      </c>
    </row>
    <row r="2918" spans="37:44" ht="30" hidden="1" customHeight="1">
      <c r="AK2918" s="313"/>
      <c r="AL2918" s="313"/>
      <c r="AM2918" s="313"/>
      <c r="AN2918" s="313"/>
      <c r="AO2918" s="313"/>
      <c r="AP2918" s="313"/>
      <c r="AQ2918" s="314"/>
      <c r="AR2918" s="315" t="str">
        <f t="shared" si="119"/>
        <v/>
      </c>
    </row>
    <row r="2919" spans="37:44" ht="30" hidden="1" customHeight="1">
      <c r="AK2919" s="313"/>
      <c r="AL2919" s="313"/>
      <c r="AM2919" s="313"/>
      <c r="AN2919" s="313"/>
      <c r="AO2919" s="313"/>
      <c r="AP2919" s="313"/>
      <c r="AQ2919" s="314"/>
      <c r="AR2919" s="315" t="str">
        <f t="shared" si="119"/>
        <v/>
      </c>
    </row>
    <row r="2920" spans="37:44" ht="30" hidden="1" customHeight="1">
      <c r="AK2920" s="313"/>
      <c r="AL2920" s="313"/>
      <c r="AM2920" s="313"/>
      <c r="AN2920" s="313"/>
      <c r="AO2920" s="313"/>
      <c r="AP2920" s="313"/>
      <c r="AQ2920" s="314"/>
      <c r="AR2920" s="315" t="str">
        <f t="shared" si="119"/>
        <v/>
      </c>
    </row>
    <row r="2921" spans="37:44" ht="30" hidden="1" customHeight="1">
      <c r="AK2921" s="313"/>
      <c r="AL2921" s="313"/>
      <c r="AM2921" s="313"/>
      <c r="AN2921" s="313"/>
      <c r="AO2921" s="313"/>
      <c r="AP2921" s="313"/>
      <c r="AQ2921" s="314"/>
      <c r="AR2921" s="315" t="str">
        <f t="shared" si="119"/>
        <v/>
      </c>
    </row>
    <row r="2922" spans="37:44" ht="30" hidden="1" customHeight="1">
      <c r="AK2922" s="313"/>
      <c r="AL2922" s="313"/>
      <c r="AM2922" s="313"/>
      <c r="AN2922" s="313"/>
      <c r="AO2922" s="313"/>
      <c r="AP2922" s="313"/>
      <c r="AQ2922" s="314"/>
      <c r="AR2922" s="315" t="str">
        <f t="shared" si="119"/>
        <v/>
      </c>
    </row>
    <row r="2923" spans="37:44" ht="30" hidden="1" customHeight="1">
      <c r="AK2923" s="313"/>
      <c r="AL2923" s="313"/>
      <c r="AM2923" s="313"/>
      <c r="AN2923" s="313"/>
      <c r="AO2923" s="313"/>
      <c r="AP2923" s="313"/>
      <c r="AQ2923" s="314"/>
      <c r="AR2923" s="315" t="str">
        <f t="shared" si="119"/>
        <v/>
      </c>
    </row>
    <row r="2924" spans="37:44" ht="30" hidden="1" customHeight="1">
      <c r="AK2924" s="313"/>
      <c r="AL2924" s="313"/>
      <c r="AM2924" s="313"/>
      <c r="AN2924" s="313"/>
      <c r="AO2924" s="313"/>
      <c r="AP2924" s="313"/>
      <c r="AQ2924" s="314"/>
      <c r="AR2924" s="315" t="str">
        <f t="shared" si="119"/>
        <v/>
      </c>
    </row>
    <row r="2925" spans="37:44" ht="30" hidden="1" customHeight="1">
      <c r="AK2925" s="313"/>
      <c r="AL2925" s="313"/>
      <c r="AM2925" s="313"/>
      <c r="AN2925" s="313"/>
      <c r="AO2925" s="313"/>
      <c r="AP2925" s="313"/>
      <c r="AQ2925" s="314"/>
      <c r="AR2925" s="315" t="str">
        <f t="shared" si="119"/>
        <v/>
      </c>
    </row>
    <row r="2926" spans="37:44" ht="30" hidden="1" customHeight="1">
      <c r="AK2926" s="313"/>
      <c r="AL2926" s="313"/>
      <c r="AM2926" s="313"/>
      <c r="AN2926" s="313"/>
      <c r="AO2926" s="313"/>
      <c r="AP2926" s="313"/>
      <c r="AQ2926" s="314"/>
      <c r="AR2926" s="315" t="str">
        <f t="shared" si="119"/>
        <v/>
      </c>
    </row>
    <row r="2927" spans="37:44" ht="30" hidden="1" customHeight="1">
      <c r="AK2927" s="313"/>
      <c r="AL2927" s="313"/>
      <c r="AM2927" s="313"/>
      <c r="AN2927" s="313"/>
      <c r="AO2927" s="313"/>
      <c r="AP2927" s="313"/>
      <c r="AQ2927" s="314"/>
      <c r="AR2927" s="315" t="str">
        <f t="shared" si="119"/>
        <v/>
      </c>
    </row>
    <row r="2928" spans="37:44" ht="30" hidden="1" customHeight="1">
      <c r="AK2928" s="313"/>
      <c r="AL2928" s="313"/>
      <c r="AM2928" s="313"/>
      <c r="AN2928" s="313"/>
      <c r="AO2928" s="313"/>
      <c r="AP2928" s="313"/>
      <c r="AQ2928" s="314"/>
      <c r="AR2928" s="315" t="str">
        <f t="shared" si="119"/>
        <v/>
      </c>
    </row>
    <row r="2929" spans="37:44" ht="30" hidden="1" customHeight="1">
      <c r="AK2929" s="313"/>
      <c r="AL2929" s="313"/>
      <c r="AM2929" s="313"/>
      <c r="AN2929" s="313"/>
      <c r="AO2929" s="313"/>
      <c r="AP2929" s="313"/>
      <c r="AQ2929" s="314"/>
      <c r="AR2929" s="315" t="str">
        <f t="shared" si="119"/>
        <v/>
      </c>
    </row>
    <row r="2930" spans="37:44" ht="30" hidden="1" customHeight="1">
      <c r="AK2930" s="313"/>
      <c r="AL2930" s="313"/>
      <c r="AM2930" s="313"/>
      <c r="AN2930" s="313"/>
      <c r="AO2930" s="313"/>
      <c r="AP2930" s="313"/>
      <c r="AQ2930" s="314"/>
      <c r="AR2930" s="315" t="str">
        <f t="shared" si="119"/>
        <v/>
      </c>
    </row>
    <row r="2931" spans="37:44" ht="30" hidden="1" customHeight="1">
      <c r="AK2931" s="313"/>
      <c r="AL2931" s="313"/>
      <c r="AM2931" s="313"/>
      <c r="AN2931" s="313"/>
      <c r="AO2931" s="313"/>
      <c r="AP2931" s="313"/>
      <c r="AQ2931" s="314"/>
      <c r="AR2931" s="315" t="str">
        <f t="shared" si="119"/>
        <v/>
      </c>
    </row>
    <row r="2932" spans="37:44" ht="30" hidden="1" customHeight="1">
      <c r="AK2932" s="313"/>
      <c r="AL2932" s="313"/>
      <c r="AM2932" s="313"/>
      <c r="AN2932" s="313"/>
      <c r="AO2932" s="313"/>
      <c r="AP2932" s="313"/>
      <c r="AQ2932" s="314"/>
      <c r="AR2932" s="315" t="str">
        <f t="shared" si="119"/>
        <v/>
      </c>
    </row>
    <row r="2933" spans="37:44" ht="30" hidden="1" customHeight="1">
      <c r="AK2933" s="313"/>
      <c r="AL2933" s="313"/>
      <c r="AM2933" s="313"/>
      <c r="AN2933" s="313"/>
      <c r="AO2933" s="313"/>
      <c r="AP2933" s="313"/>
      <c r="AQ2933" s="314"/>
      <c r="AR2933" s="315" t="str">
        <f t="shared" si="119"/>
        <v/>
      </c>
    </row>
    <row r="2934" spans="37:44" ht="30" hidden="1" customHeight="1">
      <c r="AK2934" s="313"/>
      <c r="AL2934" s="313"/>
      <c r="AM2934" s="313"/>
      <c r="AN2934" s="313"/>
      <c r="AO2934" s="313"/>
      <c r="AP2934" s="313"/>
      <c r="AQ2934" s="314"/>
      <c r="AR2934" s="315" t="str">
        <f t="shared" si="119"/>
        <v/>
      </c>
    </row>
    <row r="2935" spans="37:44" ht="30" hidden="1" customHeight="1">
      <c r="AK2935" s="313"/>
      <c r="AL2935" s="313"/>
      <c r="AM2935" s="313"/>
      <c r="AN2935" s="313"/>
      <c r="AO2935" s="313"/>
      <c r="AP2935" s="313"/>
      <c r="AQ2935" s="314"/>
      <c r="AR2935" s="315" t="str">
        <f t="shared" si="119"/>
        <v/>
      </c>
    </row>
    <row r="2936" spans="37:44" ht="30" hidden="1" customHeight="1">
      <c r="AK2936" s="313"/>
      <c r="AL2936" s="313"/>
      <c r="AM2936" s="313"/>
      <c r="AN2936" s="313"/>
      <c r="AO2936" s="313"/>
      <c r="AP2936" s="313"/>
      <c r="AQ2936" s="314"/>
      <c r="AR2936" s="315" t="str">
        <f t="shared" si="119"/>
        <v/>
      </c>
    </row>
    <row r="2937" spans="37:44" ht="30" hidden="1" customHeight="1">
      <c r="AK2937" s="313"/>
      <c r="AL2937" s="313"/>
      <c r="AM2937" s="313"/>
      <c r="AN2937" s="313"/>
      <c r="AO2937" s="313"/>
      <c r="AP2937" s="313"/>
      <c r="AQ2937" s="314"/>
      <c r="AR2937" s="315" t="str">
        <f t="shared" si="119"/>
        <v/>
      </c>
    </row>
    <row r="2938" spans="37:44" ht="30" hidden="1" customHeight="1">
      <c r="AK2938" s="313"/>
      <c r="AL2938" s="313"/>
      <c r="AM2938" s="313"/>
      <c r="AN2938" s="313"/>
      <c r="AO2938" s="313"/>
      <c r="AP2938" s="313"/>
      <c r="AQ2938" s="314"/>
      <c r="AR2938" s="315" t="str">
        <f t="shared" si="119"/>
        <v/>
      </c>
    </row>
    <row r="2939" spans="37:44" ht="30" hidden="1" customHeight="1">
      <c r="AK2939" s="313"/>
      <c r="AL2939" s="313"/>
      <c r="AM2939" s="313"/>
      <c r="AN2939" s="313"/>
      <c r="AO2939" s="313"/>
      <c r="AP2939" s="313"/>
      <c r="AQ2939" s="314"/>
      <c r="AR2939" s="315" t="str">
        <f t="shared" si="119"/>
        <v/>
      </c>
    </row>
    <row r="2940" spans="37:44" ht="30" hidden="1" customHeight="1">
      <c r="AK2940" s="313"/>
      <c r="AL2940" s="313"/>
      <c r="AM2940" s="313"/>
      <c r="AN2940" s="313"/>
      <c r="AO2940" s="313"/>
      <c r="AP2940" s="313"/>
      <c r="AQ2940" s="314"/>
      <c r="AR2940" s="315" t="str">
        <f t="shared" si="119"/>
        <v/>
      </c>
    </row>
    <row r="2941" spans="37:44" ht="30" hidden="1" customHeight="1">
      <c r="AK2941" s="313"/>
      <c r="AL2941" s="313"/>
      <c r="AM2941" s="313"/>
      <c r="AN2941" s="313"/>
      <c r="AO2941" s="313"/>
      <c r="AP2941" s="313"/>
      <c r="AQ2941" s="314"/>
      <c r="AR2941" s="315" t="str">
        <f t="shared" si="119"/>
        <v/>
      </c>
    </row>
    <row r="2942" spans="37:44" ht="30" hidden="1" customHeight="1">
      <c r="AK2942" s="313"/>
      <c r="AL2942" s="313"/>
      <c r="AM2942" s="313"/>
      <c r="AN2942" s="313"/>
      <c r="AO2942" s="313"/>
      <c r="AP2942" s="313"/>
      <c r="AQ2942" s="314"/>
      <c r="AR2942" s="315" t="str">
        <f t="shared" si="119"/>
        <v/>
      </c>
    </row>
    <row r="2943" spans="37:44" ht="30" hidden="1" customHeight="1">
      <c r="AK2943" s="313"/>
      <c r="AL2943" s="313"/>
      <c r="AM2943" s="313"/>
      <c r="AN2943" s="313"/>
      <c r="AO2943" s="313"/>
      <c r="AP2943" s="313"/>
      <c r="AQ2943" s="314"/>
      <c r="AR2943" s="315" t="str">
        <f t="shared" ref="AR2943:AR3006" si="120">IF(AQ2943="SIM","AGUARDANDO CORREÇÃO",IF(AP2943&lt;&gt;"","FINALIZADO",IF(AO2943&lt;&gt;"","AGUARDANDO ENVIO DTS",IF(AN2943&lt;&gt;"","AGUARDANDO ASSINATURA GAB",IF(AM2943&lt;&gt;"","AGUARDANDO ASSINATURA CTS",IF(AL2943&lt;&gt;"","AGUARDANDO ENVIO ASSINATURA CTS",IF(AK2943&lt;&gt;"","AGUARDANDO CONFERÊNCIA","")))))))</f>
        <v/>
      </c>
    </row>
    <row r="2944" spans="37:44" ht="30" hidden="1" customHeight="1">
      <c r="AK2944" s="313"/>
      <c r="AL2944" s="313"/>
      <c r="AM2944" s="313"/>
      <c r="AN2944" s="313"/>
      <c r="AO2944" s="313"/>
      <c r="AP2944" s="313"/>
      <c r="AQ2944" s="314"/>
      <c r="AR2944" s="315" t="str">
        <f t="shared" si="120"/>
        <v/>
      </c>
    </row>
    <row r="2945" spans="37:44" ht="30" hidden="1" customHeight="1">
      <c r="AK2945" s="313"/>
      <c r="AL2945" s="313"/>
      <c r="AM2945" s="313"/>
      <c r="AN2945" s="313"/>
      <c r="AO2945" s="313"/>
      <c r="AP2945" s="313"/>
      <c r="AQ2945" s="314"/>
      <c r="AR2945" s="315" t="str">
        <f t="shared" si="120"/>
        <v/>
      </c>
    </row>
    <row r="2946" spans="37:44" ht="30" hidden="1" customHeight="1">
      <c r="AK2946" s="313"/>
      <c r="AL2946" s="313"/>
      <c r="AM2946" s="313"/>
      <c r="AN2946" s="313"/>
      <c r="AO2946" s="313"/>
      <c r="AP2946" s="313"/>
      <c r="AQ2946" s="314"/>
      <c r="AR2946" s="315" t="str">
        <f t="shared" si="120"/>
        <v/>
      </c>
    </row>
    <row r="2947" spans="37:44" ht="30" hidden="1" customHeight="1">
      <c r="AK2947" s="313"/>
      <c r="AL2947" s="313"/>
      <c r="AM2947" s="313"/>
      <c r="AN2947" s="313"/>
      <c r="AO2947" s="313"/>
      <c r="AP2947" s="313"/>
      <c r="AQ2947" s="314"/>
      <c r="AR2947" s="315" t="str">
        <f t="shared" si="120"/>
        <v/>
      </c>
    </row>
    <row r="2948" spans="37:44" ht="30" hidden="1" customHeight="1">
      <c r="AK2948" s="313"/>
      <c r="AL2948" s="313"/>
      <c r="AM2948" s="313"/>
      <c r="AN2948" s="313"/>
      <c r="AO2948" s="313"/>
      <c r="AP2948" s="313"/>
      <c r="AQ2948" s="314"/>
      <c r="AR2948" s="315" t="str">
        <f t="shared" si="120"/>
        <v/>
      </c>
    </row>
    <row r="2949" spans="37:44" ht="30" hidden="1" customHeight="1">
      <c r="AK2949" s="313"/>
      <c r="AL2949" s="313"/>
      <c r="AM2949" s="313"/>
      <c r="AN2949" s="313"/>
      <c r="AO2949" s="313"/>
      <c r="AP2949" s="313"/>
      <c r="AQ2949" s="314"/>
      <c r="AR2949" s="315" t="str">
        <f t="shared" si="120"/>
        <v/>
      </c>
    </row>
    <row r="2950" spans="37:44" ht="30" hidden="1" customHeight="1">
      <c r="AK2950" s="313"/>
      <c r="AL2950" s="313"/>
      <c r="AM2950" s="313"/>
      <c r="AN2950" s="313"/>
      <c r="AO2950" s="313"/>
      <c r="AP2950" s="313"/>
      <c r="AQ2950" s="314"/>
      <c r="AR2950" s="315" t="str">
        <f t="shared" si="120"/>
        <v/>
      </c>
    </row>
    <row r="2951" spans="37:44" ht="30" hidden="1" customHeight="1">
      <c r="AK2951" s="313"/>
      <c r="AL2951" s="313"/>
      <c r="AM2951" s="313"/>
      <c r="AN2951" s="313"/>
      <c r="AO2951" s="313"/>
      <c r="AP2951" s="313"/>
      <c r="AQ2951" s="314"/>
      <c r="AR2951" s="315" t="str">
        <f t="shared" si="120"/>
        <v/>
      </c>
    </row>
    <row r="2952" spans="37:44" ht="30" hidden="1" customHeight="1">
      <c r="AK2952" s="313"/>
      <c r="AL2952" s="313"/>
      <c r="AM2952" s="313"/>
      <c r="AN2952" s="313"/>
      <c r="AO2952" s="313"/>
      <c r="AP2952" s="313"/>
      <c r="AQ2952" s="314"/>
      <c r="AR2952" s="315" t="str">
        <f t="shared" si="120"/>
        <v/>
      </c>
    </row>
    <row r="2953" spans="37:44" ht="30" hidden="1" customHeight="1">
      <c r="AK2953" s="313"/>
      <c r="AL2953" s="313"/>
      <c r="AM2953" s="313"/>
      <c r="AN2953" s="313"/>
      <c r="AO2953" s="313"/>
      <c r="AP2953" s="313"/>
      <c r="AQ2953" s="314"/>
      <c r="AR2953" s="315" t="str">
        <f t="shared" si="120"/>
        <v/>
      </c>
    </row>
    <row r="2954" spans="37:44" ht="30" hidden="1" customHeight="1">
      <c r="AK2954" s="313"/>
      <c r="AL2954" s="313"/>
      <c r="AM2954" s="313"/>
      <c r="AN2954" s="313"/>
      <c r="AO2954" s="313"/>
      <c r="AP2954" s="313"/>
      <c r="AQ2954" s="314"/>
      <c r="AR2954" s="315" t="str">
        <f t="shared" si="120"/>
        <v/>
      </c>
    </row>
    <row r="2955" spans="37:44" ht="30" hidden="1" customHeight="1">
      <c r="AK2955" s="313"/>
      <c r="AL2955" s="313"/>
      <c r="AM2955" s="313"/>
      <c r="AN2955" s="313"/>
      <c r="AO2955" s="313"/>
      <c r="AP2955" s="313"/>
      <c r="AQ2955" s="314"/>
      <c r="AR2955" s="315" t="str">
        <f t="shared" si="120"/>
        <v/>
      </c>
    </row>
    <row r="2956" spans="37:44" ht="30" hidden="1" customHeight="1">
      <c r="AK2956" s="313"/>
      <c r="AL2956" s="313"/>
      <c r="AM2956" s="313"/>
      <c r="AN2956" s="313"/>
      <c r="AO2956" s="313"/>
      <c r="AP2956" s="313"/>
      <c r="AQ2956" s="314"/>
      <c r="AR2956" s="315" t="str">
        <f t="shared" si="120"/>
        <v/>
      </c>
    </row>
    <row r="2957" spans="37:44" ht="30" hidden="1" customHeight="1">
      <c r="AK2957" s="313"/>
      <c r="AL2957" s="313"/>
      <c r="AM2957" s="313"/>
      <c r="AN2957" s="313"/>
      <c r="AO2957" s="313"/>
      <c r="AP2957" s="313"/>
      <c r="AQ2957" s="314"/>
      <c r="AR2957" s="315" t="str">
        <f t="shared" si="120"/>
        <v/>
      </c>
    </row>
    <row r="2958" spans="37:44" ht="30" hidden="1" customHeight="1">
      <c r="AK2958" s="313"/>
      <c r="AL2958" s="313"/>
      <c r="AM2958" s="313"/>
      <c r="AN2958" s="313"/>
      <c r="AO2958" s="313"/>
      <c r="AP2958" s="313"/>
      <c r="AQ2958" s="314"/>
      <c r="AR2958" s="315" t="str">
        <f t="shared" si="120"/>
        <v/>
      </c>
    </row>
    <row r="2959" spans="37:44" ht="30" hidden="1" customHeight="1">
      <c r="AK2959" s="313"/>
      <c r="AL2959" s="313"/>
      <c r="AM2959" s="313"/>
      <c r="AN2959" s="313"/>
      <c r="AO2959" s="313"/>
      <c r="AP2959" s="313"/>
      <c r="AQ2959" s="314"/>
      <c r="AR2959" s="315" t="str">
        <f t="shared" si="120"/>
        <v/>
      </c>
    </row>
    <row r="2960" spans="37:44" ht="30" hidden="1" customHeight="1">
      <c r="AK2960" s="313"/>
      <c r="AL2960" s="313"/>
      <c r="AM2960" s="313"/>
      <c r="AN2960" s="313"/>
      <c r="AO2960" s="313"/>
      <c r="AP2960" s="313"/>
      <c r="AQ2960" s="314"/>
      <c r="AR2960" s="315" t="str">
        <f t="shared" si="120"/>
        <v/>
      </c>
    </row>
    <row r="2961" spans="37:44" ht="30" hidden="1" customHeight="1">
      <c r="AK2961" s="313"/>
      <c r="AL2961" s="313"/>
      <c r="AM2961" s="313"/>
      <c r="AN2961" s="313"/>
      <c r="AO2961" s="313"/>
      <c r="AP2961" s="313"/>
      <c r="AQ2961" s="314"/>
      <c r="AR2961" s="315" t="str">
        <f t="shared" si="120"/>
        <v/>
      </c>
    </row>
    <row r="2962" spans="37:44" ht="30" hidden="1" customHeight="1">
      <c r="AK2962" s="313"/>
      <c r="AL2962" s="313"/>
      <c r="AM2962" s="313"/>
      <c r="AN2962" s="313"/>
      <c r="AO2962" s="313"/>
      <c r="AP2962" s="313"/>
      <c r="AQ2962" s="314"/>
      <c r="AR2962" s="315" t="str">
        <f t="shared" si="120"/>
        <v/>
      </c>
    </row>
    <row r="2963" spans="37:44" ht="30" hidden="1" customHeight="1">
      <c r="AK2963" s="313"/>
      <c r="AL2963" s="313"/>
      <c r="AM2963" s="313"/>
      <c r="AN2963" s="313"/>
      <c r="AO2963" s="313"/>
      <c r="AP2963" s="313"/>
      <c r="AQ2963" s="314"/>
      <c r="AR2963" s="315" t="str">
        <f t="shared" si="120"/>
        <v/>
      </c>
    </row>
    <row r="2964" spans="37:44" ht="30" hidden="1" customHeight="1">
      <c r="AK2964" s="313"/>
      <c r="AL2964" s="313"/>
      <c r="AM2964" s="313"/>
      <c r="AN2964" s="313"/>
      <c r="AO2964" s="313"/>
      <c r="AP2964" s="313"/>
      <c r="AQ2964" s="314"/>
      <c r="AR2964" s="315" t="str">
        <f t="shared" si="120"/>
        <v/>
      </c>
    </row>
    <row r="2965" spans="37:44" ht="30" hidden="1" customHeight="1">
      <c r="AK2965" s="313"/>
      <c r="AL2965" s="313"/>
      <c r="AM2965" s="313"/>
      <c r="AN2965" s="313"/>
      <c r="AO2965" s="313"/>
      <c r="AP2965" s="313"/>
      <c r="AQ2965" s="314"/>
      <c r="AR2965" s="315" t="str">
        <f t="shared" si="120"/>
        <v/>
      </c>
    </row>
    <row r="2966" spans="37:44" ht="30" hidden="1" customHeight="1">
      <c r="AK2966" s="313"/>
      <c r="AL2966" s="313"/>
      <c r="AM2966" s="313"/>
      <c r="AN2966" s="313"/>
      <c r="AO2966" s="313"/>
      <c r="AP2966" s="313"/>
      <c r="AQ2966" s="314"/>
      <c r="AR2966" s="315" t="str">
        <f t="shared" si="120"/>
        <v/>
      </c>
    </row>
    <row r="2967" spans="37:44" ht="30" hidden="1" customHeight="1">
      <c r="AK2967" s="313"/>
      <c r="AL2967" s="313"/>
      <c r="AM2967" s="313"/>
      <c r="AN2967" s="313"/>
      <c r="AO2967" s="313"/>
      <c r="AP2967" s="313"/>
      <c r="AQ2967" s="314"/>
      <c r="AR2967" s="315" t="str">
        <f t="shared" si="120"/>
        <v/>
      </c>
    </row>
    <row r="2968" spans="37:44" ht="30" hidden="1" customHeight="1">
      <c r="AK2968" s="313"/>
      <c r="AL2968" s="313"/>
      <c r="AM2968" s="313"/>
      <c r="AN2968" s="313"/>
      <c r="AO2968" s="313"/>
      <c r="AP2968" s="313"/>
      <c r="AQ2968" s="314"/>
      <c r="AR2968" s="315" t="str">
        <f t="shared" si="120"/>
        <v/>
      </c>
    </row>
    <row r="2969" spans="37:44" ht="30" hidden="1" customHeight="1">
      <c r="AK2969" s="313"/>
      <c r="AL2969" s="313"/>
      <c r="AM2969" s="313"/>
      <c r="AN2969" s="313"/>
      <c r="AO2969" s="313"/>
      <c r="AP2969" s="313"/>
      <c r="AQ2969" s="314"/>
      <c r="AR2969" s="315" t="str">
        <f t="shared" si="120"/>
        <v/>
      </c>
    </row>
    <row r="2970" spans="37:44" ht="30" hidden="1" customHeight="1">
      <c r="AK2970" s="313"/>
      <c r="AL2970" s="313"/>
      <c r="AM2970" s="313"/>
      <c r="AN2970" s="313"/>
      <c r="AO2970" s="313"/>
      <c r="AP2970" s="313"/>
      <c r="AQ2970" s="314"/>
      <c r="AR2970" s="315" t="str">
        <f t="shared" si="120"/>
        <v/>
      </c>
    </row>
    <row r="2971" spans="37:44" ht="30" hidden="1" customHeight="1">
      <c r="AK2971" s="313"/>
      <c r="AL2971" s="313"/>
      <c r="AM2971" s="313"/>
      <c r="AN2971" s="313"/>
      <c r="AO2971" s="313"/>
      <c r="AP2971" s="313"/>
      <c r="AQ2971" s="314"/>
      <c r="AR2971" s="315" t="str">
        <f t="shared" si="120"/>
        <v/>
      </c>
    </row>
    <row r="2972" spans="37:44" ht="30" hidden="1" customHeight="1">
      <c r="AK2972" s="313"/>
      <c r="AL2972" s="313"/>
      <c r="AM2972" s="313"/>
      <c r="AN2972" s="313"/>
      <c r="AO2972" s="313"/>
      <c r="AP2972" s="313"/>
      <c r="AQ2972" s="314"/>
      <c r="AR2972" s="315" t="str">
        <f t="shared" si="120"/>
        <v/>
      </c>
    </row>
    <row r="2973" spans="37:44" ht="30" hidden="1" customHeight="1">
      <c r="AK2973" s="313"/>
      <c r="AL2973" s="313"/>
      <c r="AM2973" s="313"/>
      <c r="AN2973" s="313"/>
      <c r="AO2973" s="313"/>
      <c r="AP2973" s="313"/>
      <c r="AQ2973" s="314"/>
      <c r="AR2973" s="315" t="str">
        <f t="shared" si="120"/>
        <v/>
      </c>
    </row>
    <row r="2974" spans="37:44" ht="30" hidden="1" customHeight="1">
      <c r="AK2974" s="313"/>
      <c r="AL2974" s="313"/>
      <c r="AM2974" s="313"/>
      <c r="AN2974" s="313"/>
      <c r="AO2974" s="313"/>
      <c r="AP2974" s="313"/>
      <c r="AQ2974" s="314"/>
      <c r="AR2974" s="315" t="str">
        <f t="shared" si="120"/>
        <v/>
      </c>
    </row>
    <row r="2975" spans="37:44" ht="30" hidden="1" customHeight="1">
      <c r="AK2975" s="313"/>
      <c r="AL2975" s="313"/>
      <c r="AM2975" s="313"/>
      <c r="AN2975" s="313"/>
      <c r="AO2975" s="313"/>
      <c r="AP2975" s="313"/>
      <c r="AQ2975" s="314"/>
      <c r="AR2975" s="315" t="str">
        <f t="shared" si="120"/>
        <v/>
      </c>
    </row>
    <row r="2976" spans="37:44" ht="30" hidden="1" customHeight="1">
      <c r="AK2976" s="313"/>
      <c r="AL2976" s="313"/>
      <c r="AM2976" s="313"/>
      <c r="AN2976" s="313"/>
      <c r="AO2976" s="313"/>
      <c r="AP2976" s="313"/>
      <c r="AQ2976" s="314"/>
      <c r="AR2976" s="315" t="str">
        <f t="shared" si="120"/>
        <v/>
      </c>
    </row>
    <row r="2977" spans="37:44" ht="30" hidden="1" customHeight="1">
      <c r="AK2977" s="313"/>
      <c r="AL2977" s="313"/>
      <c r="AM2977" s="313"/>
      <c r="AN2977" s="313"/>
      <c r="AO2977" s="313"/>
      <c r="AP2977" s="313"/>
      <c r="AQ2977" s="314"/>
      <c r="AR2977" s="315" t="str">
        <f t="shared" si="120"/>
        <v/>
      </c>
    </row>
    <row r="2978" spans="37:44" ht="30" hidden="1" customHeight="1">
      <c r="AK2978" s="313"/>
      <c r="AL2978" s="313"/>
      <c r="AM2978" s="313"/>
      <c r="AN2978" s="313"/>
      <c r="AO2978" s="313"/>
      <c r="AP2978" s="313"/>
      <c r="AQ2978" s="314"/>
      <c r="AR2978" s="315" t="str">
        <f t="shared" si="120"/>
        <v/>
      </c>
    </row>
    <row r="2979" spans="37:44" ht="30" hidden="1" customHeight="1">
      <c r="AK2979" s="313"/>
      <c r="AL2979" s="313"/>
      <c r="AM2979" s="313"/>
      <c r="AN2979" s="313"/>
      <c r="AO2979" s="313"/>
      <c r="AP2979" s="313"/>
      <c r="AQ2979" s="314"/>
      <c r="AR2979" s="315" t="str">
        <f t="shared" si="120"/>
        <v/>
      </c>
    </row>
    <row r="2980" spans="37:44" ht="30" hidden="1" customHeight="1">
      <c r="AK2980" s="313"/>
      <c r="AL2980" s="313"/>
      <c r="AM2980" s="313"/>
      <c r="AN2980" s="313"/>
      <c r="AO2980" s="313"/>
      <c r="AP2980" s="313"/>
      <c r="AQ2980" s="314"/>
      <c r="AR2980" s="315" t="str">
        <f t="shared" si="120"/>
        <v/>
      </c>
    </row>
    <row r="2981" spans="37:44" ht="30" hidden="1" customHeight="1">
      <c r="AK2981" s="313"/>
      <c r="AL2981" s="313"/>
      <c r="AM2981" s="313"/>
      <c r="AN2981" s="313"/>
      <c r="AO2981" s="313"/>
      <c r="AP2981" s="313"/>
      <c r="AQ2981" s="314"/>
      <c r="AR2981" s="315" t="str">
        <f t="shared" si="120"/>
        <v/>
      </c>
    </row>
    <row r="2982" spans="37:44" ht="30" hidden="1" customHeight="1">
      <c r="AK2982" s="313"/>
      <c r="AL2982" s="313"/>
      <c r="AM2982" s="313"/>
      <c r="AN2982" s="313"/>
      <c r="AO2982" s="313"/>
      <c r="AP2982" s="313"/>
      <c r="AQ2982" s="314"/>
      <c r="AR2982" s="315" t="str">
        <f t="shared" si="120"/>
        <v/>
      </c>
    </row>
    <row r="2983" spans="37:44" ht="30" hidden="1" customHeight="1">
      <c r="AK2983" s="313"/>
      <c r="AL2983" s="313"/>
      <c r="AM2983" s="313"/>
      <c r="AN2983" s="313"/>
      <c r="AO2983" s="313"/>
      <c r="AP2983" s="313"/>
      <c r="AQ2983" s="314"/>
      <c r="AR2983" s="315" t="str">
        <f t="shared" si="120"/>
        <v/>
      </c>
    </row>
    <row r="2984" spans="37:44" ht="30" hidden="1" customHeight="1">
      <c r="AK2984" s="313"/>
      <c r="AL2984" s="313"/>
      <c r="AM2984" s="313"/>
      <c r="AN2984" s="313"/>
      <c r="AO2984" s="313"/>
      <c r="AP2984" s="313"/>
      <c r="AQ2984" s="314"/>
      <c r="AR2984" s="315" t="str">
        <f t="shared" si="120"/>
        <v/>
      </c>
    </row>
    <row r="2985" spans="37:44" ht="30" hidden="1" customHeight="1">
      <c r="AK2985" s="313"/>
      <c r="AL2985" s="313"/>
      <c r="AM2985" s="313"/>
      <c r="AN2985" s="313"/>
      <c r="AO2985" s="313"/>
      <c r="AP2985" s="313"/>
      <c r="AQ2985" s="314"/>
      <c r="AR2985" s="315" t="str">
        <f t="shared" si="120"/>
        <v/>
      </c>
    </row>
    <row r="2986" spans="37:44" ht="30" hidden="1" customHeight="1">
      <c r="AK2986" s="313"/>
      <c r="AL2986" s="313"/>
      <c r="AM2986" s="313"/>
      <c r="AN2986" s="313"/>
      <c r="AO2986" s="313"/>
      <c r="AP2986" s="313"/>
      <c r="AQ2986" s="314"/>
      <c r="AR2986" s="315" t="str">
        <f t="shared" si="120"/>
        <v/>
      </c>
    </row>
    <row r="2987" spans="37:44" ht="30" hidden="1" customHeight="1">
      <c r="AK2987" s="313"/>
      <c r="AL2987" s="313"/>
      <c r="AM2987" s="313"/>
      <c r="AN2987" s="313"/>
      <c r="AO2987" s="313"/>
      <c r="AP2987" s="313"/>
      <c r="AQ2987" s="314"/>
      <c r="AR2987" s="315" t="str">
        <f t="shared" si="120"/>
        <v/>
      </c>
    </row>
    <row r="2988" spans="37:44" ht="30" hidden="1" customHeight="1">
      <c r="AK2988" s="313"/>
      <c r="AL2988" s="313"/>
      <c r="AM2988" s="313"/>
      <c r="AN2988" s="313"/>
      <c r="AO2988" s="313"/>
      <c r="AP2988" s="313"/>
      <c r="AQ2988" s="314"/>
      <c r="AR2988" s="315" t="str">
        <f t="shared" si="120"/>
        <v/>
      </c>
    </row>
    <row r="2989" spans="37:44" ht="30" hidden="1" customHeight="1">
      <c r="AK2989" s="313"/>
      <c r="AL2989" s="313"/>
      <c r="AM2989" s="313"/>
      <c r="AN2989" s="313"/>
      <c r="AO2989" s="313"/>
      <c r="AP2989" s="313"/>
      <c r="AQ2989" s="314"/>
      <c r="AR2989" s="315" t="str">
        <f t="shared" si="120"/>
        <v/>
      </c>
    </row>
    <row r="2990" spans="37:44" ht="30" hidden="1" customHeight="1">
      <c r="AK2990" s="313"/>
      <c r="AL2990" s="313"/>
      <c r="AM2990" s="313"/>
      <c r="AN2990" s="313"/>
      <c r="AO2990" s="313"/>
      <c r="AP2990" s="313"/>
      <c r="AQ2990" s="314"/>
      <c r="AR2990" s="315" t="str">
        <f t="shared" si="120"/>
        <v/>
      </c>
    </row>
    <row r="2991" spans="37:44" ht="30" hidden="1" customHeight="1">
      <c r="AK2991" s="313"/>
      <c r="AL2991" s="313"/>
      <c r="AM2991" s="313"/>
      <c r="AN2991" s="313"/>
      <c r="AO2991" s="313"/>
      <c r="AP2991" s="313"/>
      <c r="AQ2991" s="314"/>
      <c r="AR2991" s="315" t="str">
        <f t="shared" si="120"/>
        <v/>
      </c>
    </row>
    <row r="2992" spans="37:44" ht="30" hidden="1" customHeight="1">
      <c r="AK2992" s="313"/>
      <c r="AL2992" s="313"/>
      <c r="AM2992" s="313"/>
      <c r="AN2992" s="313"/>
      <c r="AO2992" s="313"/>
      <c r="AP2992" s="313"/>
      <c r="AQ2992" s="314"/>
      <c r="AR2992" s="315" t="str">
        <f t="shared" si="120"/>
        <v/>
      </c>
    </row>
    <row r="2993" spans="37:44" ht="30" hidden="1" customHeight="1">
      <c r="AK2993" s="313"/>
      <c r="AL2993" s="313"/>
      <c r="AM2993" s="313"/>
      <c r="AN2993" s="313"/>
      <c r="AO2993" s="313"/>
      <c r="AP2993" s="313"/>
      <c r="AQ2993" s="314"/>
      <c r="AR2993" s="315" t="str">
        <f t="shared" si="120"/>
        <v/>
      </c>
    </row>
    <row r="2994" spans="37:44" ht="30" hidden="1" customHeight="1">
      <c r="AK2994" s="313"/>
      <c r="AL2994" s="313"/>
      <c r="AM2994" s="313"/>
      <c r="AN2994" s="313"/>
      <c r="AO2994" s="313"/>
      <c r="AP2994" s="313"/>
      <c r="AQ2994" s="314"/>
      <c r="AR2994" s="315" t="str">
        <f t="shared" si="120"/>
        <v/>
      </c>
    </row>
    <row r="2995" spans="37:44" ht="30" hidden="1" customHeight="1">
      <c r="AK2995" s="313"/>
      <c r="AL2995" s="313"/>
      <c r="AM2995" s="313"/>
      <c r="AN2995" s="313"/>
      <c r="AO2995" s="313"/>
      <c r="AP2995" s="313"/>
      <c r="AQ2995" s="314"/>
      <c r="AR2995" s="315" t="str">
        <f t="shared" si="120"/>
        <v/>
      </c>
    </row>
    <row r="2996" spans="37:44" ht="30" hidden="1" customHeight="1">
      <c r="AK2996" s="313"/>
      <c r="AL2996" s="313"/>
      <c r="AM2996" s="313"/>
      <c r="AN2996" s="313"/>
      <c r="AO2996" s="313"/>
      <c r="AP2996" s="313"/>
      <c r="AQ2996" s="314"/>
      <c r="AR2996" s="315" t="str">
        <f t="shared" si="120"/>
        <v/>
      </c>
    </row>
    <row r="2997" spans="37:44" ht="30" hidden="1" customHeight="1">
      <c r="AK2997" s="313"/>
      <c r="AL2997" s="313"/>
      <c r="AM2997" s="313"/>
      <c r="AN2997" s="313"/>
      <c r="AO2997" s="313"/>
      <c r="AP2997" s="313"/>
      <c r="AQ2997" s="314"/>
      <c r="AR2997" s="315" t="str">
        <f t="shared" si="120"/>
        <v/>
      </c>
    </row>
    <row r="2998" spans="37:44" ht="30" hidden="1" customHeight="1">
      <c r="AK2998" s="313"/>
      <c r="AL2998" s="313"/>
      <c r="AM2998" s="313"/>
      <c r="AN2998" s="313"/>
      <c r="AO2998" s="313"/>
      <c r="AP2998" s="313"/>
      <c r="AQ2998" s="314"/>
      <c r="AR2998" s="315" t="str">
        <f t="shared" si="120"/>
        <v/>
      </c>
    </row>
    <row r="2999" spans="37:44" ht="30" hidden="1" customHeight="1">
      <c r="AK2999" s="313"/>
      <c r="AL2999" s="313"/>
      <c r="AM2999" s="313"/>
      <c r="AN2999" s="313"/>
      <c r="AO2999" s="313"/>
      <c r="AP2999" s="313"/>
      <c r="AQ2999" s="314"/>
      <c r="AR2999" s="315" t="str">
        <f t="shared" si="120"/>
        <v/>
      </c>
    </row>
    <row r="3000" spans="37:44" ht="30" hidden="1" customHeight="1">
      <c r="AK3000" s="313"/>
      <c r="AL3000" s="313"/>
      <c r="AM3000" s="313"/>
      <c r="AN3000" s="313"/>
      <c r="AO3000" s="313"/>
      <c r="AP3000" s="313"/>
      <c r="AQ3000" s="314"/>
      <c r="AR3000" s="315" t="str">
        <f t="shared" si="120"/>
        <v/>
      </c>
    </row>
    <row r="3001" spans="37:44" ht="30" hidden="1" customHeight="1">
      <c r="AK3001" s="313"/>
      <c r="AL3001" s="313"/>
      <c r="AM3001" s="313"/>
      <c r="AN3001" s="313"/>
      <c r="AO3001" s="313"/>
      <c r="AP3001" s="313"/>
      <c r="AQ3001" s="314"/>
      <c r="AR3001" s="315" t="str">
        <f t="shared" si="120"/>
        <v/>
      </c>
    </row>
    <row r="3002" spans="37:44" ht="30" hidden="1" customHeight="1">
      <c r="AK3002" s="313"/>
      <c r="AL3002" s="313"/>
      <c r="AM3002" s="313"/>
      <c r="AN3002" s="313"/>
      <c r="AO3002" s="313"/>
      <c r="AP3002" s="313"/>
      <c r="AQ3002" s="314"/>
      <c r="AR3002" s="315" t="str">
        <f t="shared" si="120"/>
        <v/>
      </c>
    </row>
    <row r="3003" spans="37:44" ht="30" hidden="1" customHeight="1">
      <c r="AK3003" s="313"/>
      <c r="AL3003" s="313"/>
      <c r="AM3003" s="313"/>
      <c r="AN3003" s="313"/>
      <c r="AO3003" s="313"/>
      <c r="AP3003" s="313"/>
      <c r="AQ3003" s="314"/>
      <c r="AR3003" s="315" t="str">
        <f t="shared" si="120"/>
        <v/>
      </c>
    </row>
    <row r="3004" spans="37:44" ht="30" hidden="1" customHeight="1">
      <c r="AK3004" s="313"/>
      <c r="AL3004" s="313"/>
      <c r="AM3004" s="313"/>
      <c r="AN3004" s="313"/>
      <c r="AO3004" s="313"/>
      <c r="AP3004" s="313"/>
      <c r="AQ3004" s="314"/>
      <c r="AR3004" s="315" t="str">
        <f t="shared" si="120"/>
        <v/>
      </c>
    </row>
    <row r="3005" spans="37:44" ht="30" hidden="1" customHeight="1">
      <c r="AK3005" s="313"/>
      <c r="AL3005" s="313"/>
      <c r="AM3005" s="313"/>
      <c r="AN3005" s="313"/>
      <c r="AO3005" s="313"/>
      <c r="AP3005" s="313"/>
      <c r="AQ3005" s="314"/>
      <c r="AR3005" s="315" t="str">
        <f t="shared" si="120"/>
        <v/>
      </c>
    </row>
    <row r="3006" spans="37:44" ht="30" hidden="1" customHeight="1">
      <c r="AK3006" s="313"/>
      <c r="AL3006" s="313"/>
      <c r="AM3006" s="313"/>
      <c r="AN3006" s="313"/>
      <c r="AO3006" s="313"/>
      <c r="AP3006" s="313"/>
      <c r="AQ3006" s="314"/>
      <c r="AR3006" s="315" t="str">
        <f t="shared" si="120"/>
        <v/>
      </c>
    </row>
    <row r="3007" spans="37:44" ht="30" hidden="1" customHeight="1">
      <c r="AK3007" s="313"/>
      <c r="AL3007" s="313"/>
      <c r="AM3007" s="313"/>
      <c r="AN3007" s="313"/>
      <c r="AO3007" s="313"/>
      <c r="AP3007" s="313"/>
      <c r="AQ3007" s="314"/>
      <c r="AR3007" s="315" t="str">
        <f t="shared" ref="AR3007:AR3070" si="121">IF(AQ3007="SIM","AGUARDANDO CORREÇÃO",IF(AP3007&lt;&gt;"","FINALIZADO",IF(AO3007&lt;&gt;"","AGUARDANDO ENVIO DTS",IF(AN3007&lt;&gt;"","AGUARDANDO ASSINATURA GAB",IF(AM3007&lt;&gt;"","AGUARDANDO ASSINATURA CTS",IF(AL3007&lt;&gt;"","AGUARDANDO ENVIO ASSINATURA CTS",IF(AK3007&lt;&gt;"","AGUARDANDO CONFERÊNCIA","")))))))</f>
        <v/>
      </c>
    </row>
    <row r="3008" spans="37:44" ht="30" hidden="1" customHeight="1">
      <c r="AK3008" s="313"/>
      <c r="AL3008" s="313"/>
      <c r="AM3008" s="313"/>
      <c r="AN3008" s="313"/>
      <c r="AO3008" s="313"/>
      <c r="AP3008" s="313"/>
      <c r="AQ3008" s="314"/>
      <c r="AR3008" s="315" t="str">
        <f t="shared" si="121"/>
        <v/>
      </c>
    </row>
    <row r="3009" spans="37:44" ht="30" hidden="1" customHeight="1">
      <c r="AK3009" s="313"/>
      <c r="AL3009" s="313"/>
      <c r="AM3009" s="313"/>
      <c r="AN3009" s="313"/>
      <c r="AO3009" s="313"/>
      <c r="AP3009" s="313"/>
      <c r="AQ3009" s="314"/>
      <c r="AR3009" s="315" t="str">
        <f t="shared" si="121"/>
        <v/>
      </c>
    </row>
    <row r="3010" spans="37:44" ht="30" hidden="1" customHeight="1">
      <c r="AK3010" s="313"/>
      <c r="AL3010" s="313"/>
      <c r="AM3010" s="313"/>
      <c r="AN3010" s="313"/>
      <c r="AO3010" s="313"/>
      <c r="AP3010" s="313"/>
      <c r="AQ3010" s="314"/>
      <c r="AR3010" s="315" t="str">
        <f t="shared" si="121"/>
        <v/>
      </c>
    </row>
    <row r="3011" spans="37:44" ht="30" hidden="1" customHeight="1">
      <c r="AK3011" s="313"/>
      <c r="AL3011" s="313"/>
      <c r="AM3011" s="313"/>
      <c r="AN3011" s="313"/>
      <c r="AO3011" s="313"/>
      <c r="AP3011" s="313"/>
      <c r="AQ3011" s="314"/>
      <c r="AR3011" s="315" t="str">
        <f t="shared" si="121"/>
        <v/>
      </c>
    </row>
    <row r="3012" spans="37:44" ht="30" hidden="1" customHeight="1">
      <c r="AK3012" s="313"/>
      <c r="AL3012" s="313"/>
      <c r="AM3012" s="313"/>
      <c r="AN3012" s="313"/>
      <c r="AO3012" s="313"/>
      <c r="AP3012" s="313"/>
      <c r="AQ3012" s="314"/>
      <c r="AR3012" s="315" t="str">
        <f t="shared" si="121"/>
        <v/>
      </c>
    </row>
    <row r="3013" spans="37:44" ht="30" hidden="1" customHeight="1">
      <c r="AK3013" s="313"/>
      <c r="AL3013" s="313"/>
      <c r="AM3013" s="313"/>
      <c r="AN3013" s="313"/>
      <c r="AO3013" s="313"/>
      <c r="AP3013" s="313"/>
      <c r="AQ3013" s="314"/>
      <c r="AR3013" s="315" t="str">
        <f t="shared" si="121"/>
        <v/>
      </c>
    </row>
    <row r="3014" spans="37:44" ht="30" hidden="1" customHeight="1">
      <c r="AK3014" s="313"/>
      <c r="AL3014" s="313"/>
      <c r="AM3014" s="313"/>
      <c r="AN3014" s="313"/>
      <c r="AO3014" s="313"/>
      <c r="AP3014" s="313"/>
      <c r="AQ3014" s="314"/>
      <c r="AR3014" s="315" t="str">
        <f t="shared" si="121"/>
        <v/>
      </c>
    </row>
    <row r="3015" spans="37:44" ht="30" hidden="1" customHeight="1">
      <c r="AK3015" s="313"/>
      <c r="AL3015" s="313"/>
      <c r="AM3015" s="313"/>
      <c r="AN3015" s="313"/>
      <c r="AO3015" s="313"/>
      <c r="AP3015" s="313"/>
      <c r="AQ3015" s="314"/>
      <c r="AR3015" s="315" t="str">
        <f t="shared" si="121"/>
        <v/>
      </c>
    </row>
    <row r="3016" spans="37:44" ht="30" hidden="1" customHeight="1">
      <c r="AK3016" s="313"/>
      <c r="AL3016" s="313"/>
      <c r="AM3016" s="313"/>
      <c r="AN3016" s="313"/>
      <c r="AO3016" s="313"/>
      <c r="AP3016" s="313"/>
      <c r="AQ3016" s="314"/>
      <c r="AR3016" s="315" t="str">
        <f t="shared" si="121"/>
        <v/>
      </c>
    </row>
    <row r="3017" spans="37:44" ht="30" hidden="1" customHeight="1">
      <c r="AK3017" s="313"/>
      <c r="AL3017" s="313"/>
      <c r="AM3017" s="313"/>
      <c r="AN3017" s="313"/>
      <c r="AO3017" s="313"/>
      <c r="AP3017" s="313"/>
      <c r="AQ3017" s="314"/>
      <c r="AR3017" s="315" t="str">
        <f t="shared" si="121"/>
        <v/>
      </c>
    </row>
    <row r="3018" spans="37:44" ht="30" hidden="1" customHeight="1">
      <c r="AK3018" s="313"/>
      <c r="AL3018" s="313"/>
      <c r="AM3018" s="313"/>
      <c r="AN3018" s="313"/>
      <c r="AO3018" s="313"/>
      <c r="AP3018" s="313"/>
      <c r="AQ3018" s="314"/>
      <c r="AR3018" s="315" t="str">
        <f t="shared" si="121"/>
        <v/>
      </c>
    </row>
    <row r="3019" spans="37:44" ht="30" hidden="1" customHeight="1">
      <c r="AK3019" s="313"/>
      <c r="AL3019" s="313"/>
      <c r="AM3019" s="313"/>
      <c r="AN3019" s="313"/>
      <c r="AO3019" s="313"/>
      <c r="AP3019" s="313"/>
      <c r="AQ3019" s="314"/>
      <c r="AR3019" s="315" t="str">
        <f t="shared" si="121"/>
        <v/>
      </c>
    </row>
    <row r="3020" spans="37:44" ht="30" hidden="1" customHeight="1">
      <c r="AK3020" s="313"/>
      <c r="AL3020" s="313"/>
      <c r="AM3020" s="313"/>
      <c r="AN3020" s="313"/>
      <c r="AO3020" s="313"/>
      <c r="AP3020" s="313"/>
      <c r="AQ3020" s="314"/>
      <c r="AR3020" s="315" t="str">
        <f t="shared" si="121"/>
        <v/>
      </c>
    </row>
    <row r="3021" spans="37:44" ht="30" hidden="1" customHeight="1">
      <c r="AK3021" s="313"/>
      <c r="AL3021" s="313"/>
      <c r="AM3021" s="313"/>
      <c r="AN3021" s="313"/>
      <c r="AO3021" s="313"/>
      <c r="AP3021" s="313"/>
      <c r="AQ3021" s="314"/>
      <c r="AR3021" s="315" t="str">
        <f t="shared" si="121"/>
        <v/>
      </c>
    </row>
    <row r="3022" spans="37:44" ht="30" hidden="1" customHeight="1">
      <c r="AK3022" s="313"/>
      <c r="AL3022" s="313"/>
      <c r="AM3022" s="313"/>
      <c r="AN3022" s="313"/>
      <c r="AO3022" s="313"/>
      <c r="AP3022" s="313"/>
      <c r="AQ3022" s="314"/>
      <c r="AR3022" s="315" t="str">
        <f t="shared" si="121"/>
        <v/>
      </c>
    </row>
    <row r="3023" spans="37:44" ht="30" hidden="1" customHeight="1">
      <c r="AK3023" s="313"/>
      <c r="AL3023" s="313"/>
      <c r="AM3023" s="313"/>
      <c r="AN3023" s="313"/>
      <c r="AO3023" s="313"/>
      <c r="AP3023" s="313"/>
      <c r="AQ3023" s="314"/>
      <c r="AR3023" s="315" t="str">
        <f t="shared" si="121"/>
        <v/>
      </c>
    </row>
    <row r="3024" spans="37:44" ht="30" hidden="1" customHeight="1">
      <c r="AK3024" s="313"/>
      <c r="AL3024" s="313"/>
      <c r="AM3024" s="313"/>
      <c r="AN3024" s="313"/>
      <c r="AO3024" s="313"/>
      <c r="AP3024" s="313"/>
      <c r="AQ3024" s="314"/>
      <c r="AR3024" s="315" t="str">
        <f t="shared" si="121"/>
        <v/>
      </c>
    </row>
    <row r="3025" spans="37:44" ht="30" hidden="1" customHeight="1">
      <c r="AK3025" s="313"/>
      <c r="AL3025" s="313"/>
      <c r="AM3025" s="313"/>
      <c r="AN3025" s="313"/>
      <c r="AO3025" s="313"/>
      <c r="AP3025" s="313"/>
      <c r="AQ3025" s="314"/>
      <c r="AR3025" s="315" t="str">
        <f t="shared" si="121"/>
        <v/>
      </c>
    </row>
    <row r="3026" spans="37:44" ht="30" hidden="1" customHeight="1">
      <c r="AK3026" s="313"/>
      <c r="AL3026" s="313"/>
      <c r="AM3026" s="313"/>
      <c r="AN3026" s="313"/>
      <c r="AO3026" s="313"/>
      <c r="AP3026" s="313"/>
      <c r="AQ3026" s="314"/>
      <c r="AR3026" s="315" t="str">
        <f t="shared" si="121"/>
        <v/>
      </c>
    </row>
    <row r="3027" spans="37:44" ht="30" hidden="1" customHeight="1">
      <c r="AK3027" s="313"/>
      <c r="AL3027" s="313"/>
      <c r="AM3027" s="313"/>
      <c r="AN3027" s="313"/>
      <c r="AO3027" s="313"/>
      <c r="AP3027" s="313"/>
      <c r="AQ3027" s="314"/>
      <c r="AR3027" s="315" t="str">
        <f t="shared" si="121"/>
        <v/>
      </c>
    </row>
    <row r="3028" spans="37:44" ht="30" hidden="1" customHeight="1">
      <c r="AK3028" s="313"/>
      <c r="AL3028" s="313"/>
      <c r="AM3028" s="313"/>
      <c r="AN3028" s="313"/>
      <c r="AO3028" s="313"/>
      <c r="AP3028" s="313"/>
      <c r="AQ3028" s="314"/>
      <c r="AR3028" s="315" t="str">
        <f t="shared" si="121"/>
        <v/>
      </c>
    </row>
    <row r="3029" spans="37:44" ht="30" hidden="1" customHeight="1">
      <c r="AK3029" s="313"/>
      <c r="AL3029" s="313"/>
      <c r="AM3029" s="313"/>
      <c r="AN3029" s="313"/>
      <c r="AO3029" s="313"/>
      <c r="AP3029" s="313"/>
      <c r="AQ3029" s="314"/>
      <c r="AR3029" s="315" t="str">
        <f t="shared" si="121"/>
        <v/>
      </c>
    </row>
    <row r="3030" spans="37:44" ht="30" hidden="1" customHeight="1">
      <c r="AK3030" s="313"/>
      <c r="AL3030" s="313"/>
      <c r="AM3030" s="313"/>
      <c r="AN3030" s="313"/>
      <c r="AO3030" s="313"/>
      <c r="AP3030" s="313"/>
      <c r="AQ3030" s="314"/>
      <c r="AR3030" s="315" t="str">
        <f t="shared" si="121"/>
        <v/>
      </c>
    </row>
    <row r="3031" spans="37:44" ht="30" hidden="1" customHeight="1">
      <c r="AK3031" s="313"/>
      <c r="AL3031" s="313"/>
      <c r="AM3031" s="313"/>
      <c r="AN3031" s="313"/>
      <c r="AO3031" s="313"/>
      <c r="AP3031" s="313"/>
      <c r="AQ3031" s="314"/>
      <c r="AR3031" s="315" t="str">
        <f t="shared" si="121"/>
        <v/>
      </c>
    </row>
    <row r="3032" spans="37:44" ht="30" hidden="1" customHeight="1">
      <c r="AK3032" s="313"/>
      <c r="AL3032" s="313"/>
      <c r="AM3032" s="313"/>
      <c r="AN3032" s="313"/>
      <c r="AO3032" s="313"/>
      <c r="AP3032" s="313"/>
      <c r="AQ3032" s="314"/>
      <c r="AR3032" s="315" t="str">
        <f t="shared" si="121"/>
        <v/>
      </c>
    </row>
    <row r="3033" spans="37:44" ht="30" hidden="1" customHeight="1">
      <c r="AK3033" s="313"/>
      <c r="AL3033" s="313"/>
      <c r="AM3033" s="313"/>
      <c r="AN3033" s="313"/>
      <c r="AO3033" s="313"/>
      <c r="AP3033" s="313"/>
      <c r="AQ3033" s="314"/>
      <c r="AR3033" s="315" t="str">
        <f t="shared" si="121"/>
        <v/>
      </c>
    </row>
    <row r="3034" spans="37:44" ht="30" hidden="1" customHeight="1">
      <c r="AK3034" s="313"/>
      <c r="AL3034" s="313"/>
      <c r="AM3034" s="313"/>
      <c r="AN3034" s="313"/>
      <c r="AO3034" s="313"/>
      <c r="AP3034" s="313"/>
      <c r="AQ3034" s="314"/>
      <c r="AR3034" s="315" t="str">
        <f t="shared" si="121"/>
        <v/>
      </c>
    </row>
    <row r="3035" spans="37:44" ht="30" hidden="1" customHeight="1">
      <c r="AK3035" s="313"/>
      <c r="AL3035" s="313"/>
      <c r="AM3035" s="313"/>
      <c r="AN3035" s="313"/>
      <c r="AO3035" s="313"/>
      <c r="AP3035" s="313"/>
      <c r="AQ3035" s="314"/>
      <c r="AR3035" s="315" t="str">
        <f t="shared" si="121"/>
        <v/>
      </c>
    </row>
    <row r="3036" spans="37:44" ht="30" hidden="1" customHeight="1">
      <c r="AK3036" s="313"/>
      <c r="AL3036" s="313"/>
      <c r="AM3036" s="313"/>
      <c r="AN3036" s="313"/>
      <c r="AO3036" s="313"/>
      <c r="AP3036" s="313"/>
      <c r="AQ3036" s="314"/>
      <c r="AR3036" s="315" t="str">
        <f t="shared" si="121"/>
        <v/>
      </c>
    </row>
    <row r="3037" spans="37:44" ht="30" hidden="1" customHeight="1">
      <c r="AK3037" s="313"/>
      <c r="AL3037" s="313"/>
      <c r="AM3037" s="313"/>
      <c r="AN3037" s="313"/>
      <c r="AO3037" s="313"/>
      <c r="AP3037" s="313"/>
      <c r="AQ3037" s="314"/>
      <c r="AR3037" s="315" t="str">
        <f t="shared" si="121"/>
        <v/>
      </c>
    </row>
    <row r="3038" spans="37:44" ht="30" hidden="1" customHeight="1">
      <c r="AK3038" s="313"/>
      <c r="AL3038" s="313"/>
      <c r="AM3038" s="313"/>
      <c r="AN3038" s="313"/>
      <c r="AO3038" s="313"/>
      <c r="AP3038" s="313"/>
      <c r="AQ3038" s="314"/>
      <c r="AR3038" s="315" t="str">
        <f t="shared" si="121"/>
        <v/>
      </c>
    </row>
    <row r="3039" spans="37:44" ht="30" hidden="1" customHeight="1">
      <c r="AK3039" s="313"/>
      <c r="AL3039" s="313"/>
      <c r="AM3039" s="313"/>
      <c r="AN3039" s="313"/>
      <c r="AO3039" s="313"/>
      <c r="AP3039" s="313"/>
      <c r="AQ3039" s="314"/>
      <c r="AR3039" s="315" t="str">
        <f t="shared" si="121"/>
        <v/>
      </c>
    </row>
    <row r="3040" spans="37:44" ht="30" hidden="1" customHeight="1">
      <c r="AK3040" s="313"/>
      <c r="AL3040" s="313"/>
      <c r="AM3040" s="313"/>
      <c r="AN3040" s="313"/>
      <c r="AO3040" s="313"/>
      <c r="AP3040" s="313"/>
      <c r="AQ3040" s="314"/>
      <c r="AR3040" s="315" t="str">
        <f t="shared" si="121"/>
        <v/>
      </c>
    </row>
    <row r="3041" spans="37:44" ht="30" hidden="1" customHeight="1">
      <c r="AK3041" s="313"/>
      <c r="AL3041" s="313"/>
      <c r="AM3041" s="313"/>
      <c r="AN3041" s="313"/>
      <c r="AO3041" s="313"/>
      <c r="AP3041" s="313"/>
      <c r="AQ3041" s="314"/>
      <c r="AR3041" s="315" t="str">
        <f t="shared" si="121"/>
        <v/>
      </c>
    </row>
    <row r="3042" spans="37:44" ht="30" hidden="1" customHeight="1">
      <c r="AK3042" s="313"/>
      <c r="AL3042" s="313"/>
      <c r="AM3042" s="313"/>
      <c r="AN3042" s="313"/>
      <c r="AO3042" s="313"/>
      <c r="AP3042" s="313"/>
      <c r="AQ3042" s="314"/>
      <c r="AR3042" s="315" t="str">
        <f t="shared" si="121"/>
        <v/>
      </c>
    </row>
    <row r="3043" spans="37:44" ht="30" hidden="1" customHeight="1">
      <c r="AK3043" s="313"/>
      <c r="AL3043" s="313"/>
      <c r="AM3043" s="313"/>
      <c r="AN3043" s="313"/>
      <c r="AO3043" s="313"/>
      <c r="AP3043" s="313"/>
      <c r="AQ3043" s="314"/>
      <c r="AR3043" s="315" t="str">
        <f t="shared" si="121"/>
        <v/>
      </c>
    </row>
    <row r="3044" spans="37:44" ht="30" hidden="1" customHeight="1">
      <c r="AK3044" s="313"/>
      <c r="AL3044" s="313"/>
      <c r="AM3044" s="313"/>
      <c r="AN3044" s="313"/>
      <c r="AO3044" s="313"/>
      <c r="AP3044" s="313"/>
      <c r="AQ3044" s="314"/>
      <c r="AR3044" s="315" t="str">
        <f t="shared" si="121"/>
        <v/>
      </c>
    </row>
    <row r="3045" spans="37:44" ht="30" hidden="1" customHeight="1">
      <c r="AK3045" s="313"/>
      <c r="AL3045" s="313"/>
      <c r="AM3045" s="313"/>
      <c r="AN3045" s="313"/>
      <c r="AO3045" s="313"/>
      <c r="AP3045" s="313"/>
      <c r="AQ3045" s="314"/>
      <c r="AR3045" s="315" t="str">
        <f t="shared" si="121"/>
        <v/>
      </c>
    </row>
    <row r="3046" spans="37:44" ht="30" hidden="1" customHeight="1">
      <c r="AK3046" s="313"/>
      <c r="AL3046" s="313"/>
      <c r="AM3046" s="313"/>
      <c r="AN3046" s="313"/>
      <c r="AO3046" s="313"/>
      <c r="AP3046" s="313"/>
      <c r="AQ3046" s="314"/>
      <c r="AR3046" s="315" t="str">
        <f t="shared" si="121"/>
        <v/>
      </c>
    </row>
    <row r="3047" spans="37:44" ht="30" hidden="1" customHeight="1">
      <c r="AK3047" s="313"/>
      <c r="AL3047" s="313"/>
      <c r="AM3047" s="313"/>
      <c r="AN3047" s="313"/>
      <c r="AO3047" s="313"/>
      <c r="AP3047" s="313"/>
      <c r="AQ3047" s="314"/>
      <c r="AR3047" s="315" t="str">
        <f t="shared" si="121"/>
        <v/>
      </c>
    </row>
    <row r="3048" spans="37:44" ht="30" hidden="1" customHeight="1">
      <c r="AK3048" s="313"/>
      <c r="AL3048" s="313"/>
      <c r="AM3048" s="313"/>
      <c r="AN3048" s="313"/>
      <c r="AO3048" s="313"/>
      <c r="AP3048" s="313"/>
      <c r="AQ3048" s="314"/>
      <c r="AR3048" s="315" t="str">
        <f t="shared" si="121"/>
        <v/>
      </c>
    </row>
    <row r="3049" spans="37:44" ht="30" hidden="1" customHeight="1">
      <c r="AK3049" s="313"/>
      <c r="AL3049" s="313"/>
      <c r="AM3049" s="313"/>
      <c r="AN3049" s="313"/>
      <c r="AO3049" s="313"/>
      <c r="AP3049" s="313"/>
      <c r="AQ3049" s="314"/>
      <c r="AR3049" s="315" t="str">
        <f t="shared" si="121"/>
        <v/>
      </c>
    </row>
    <row r="3050" spans="37:44" ht="30" hidden="1" customHeight="1">
      <c r="AK3050" s="313"/>
      <c r="AL3050" s="313"/>
      <c r="AM3050" s="313"/>
      <c r="AN3050" s="313"/>
      <c r="AO3050" s="313"/>
      <c r="AP3050" s="313"/>
      <c r="AQ3050" s="314"/>
      <c r="AR3050" s="315" t="str">
        <f t="shared" si="121"/>
        <v/>
      </c>
    </row>
    <row r="3051" spans="37:44" ht="30" hidden="1" customHeight="1">
      <c r="AK3051" s="313"/>
      <c r="AL3051" s="313"/>
      <c r="AM3051" s="313"/>
      <c r="AN3051" s="313"/>
      <c r="AO3051" s="313"/>
      <c r="AP3051" s="313"/>
      <c r="AQ3051" s="314"/>
      <c r="AR3051" s="315" t="str">
        <f t="shared" si="121"/>
        <v/>
      </c>
    </row>
    <row r="3052" spans="37:44" ht="30" hidden="1" customHeight="1">
      <c r="AK3052" s="313"/>
      <c r="AL3052" s="313"/>
      <c r="AM3052" s="313"/>
      <c r="AN3052" s="313"/>
      <c r="AO3052" s="313"/>
      <c r="AP3052" s="313"/>
      <c r="AQ3052" s="314"/>
      <c r="AR3052" s="315" t="str">
        <f t="shared" si="121"/>
        <v/>
      </c>
    </row>
    <row r="3053" spans="37:44" ht="30" hidden="1" customHeight="1">
      <c r="AK3053" s="313"/>
      <c r="AL3053" s="313"/>
      <c r="AM3053" s="313"/>
      <c r="AN3053" s="313"/>
      <c r="AO3053" s="313"/>
      <c r="AP3053" s="313"/>
      <c r="AQ3053" s="314"/>
      <c r="AR3053" s="315" t="str">
        <f t="shared" si="121"/>
        <v/>
      </c>
    </row>
    <row r="3054" spans="37:44" ht="30" hidden="1" customHeight="1">
      <c r="AK3054" s="313"/>
      <c r="AL3054" s="313"/>
      <c r="AM3054" s="313"/>
      <c r="AN3054" s="313"/>
      <c r="AO3054" s="313"/>
      <c r="AP3054" s="313"/>
      <c r="AQ3054" s="314"/>
      <c r="AR3054" s="315" t="str">
        <f t="shared" si="121"/>
        <v/>
      </c>
    </row>
    <row r="3055" spans="37:44" ht="30" hidden="1" customHeight="1">
      <c r="AK3055" s="313"/>
      <c r="AL3055" s="313"/>
      <c r="AM3055" s="313"/>
      <c r="AN3055" s="313"/>
      <c r="AO3055" s="313"/>
      <c r="AP3055" s="313"/>
      <c r="AQ3055" s="314"/>
      <c r="AR3055" s="315" t="str">
        <f t="shared" si="121"/>
        <v/>
      </c>
    </row>
    <row r="3056" spans="37:44" ht="30" hidden="1" customHeight="1">
      <c r="AK3056" s="313"/>
      <c r="AL3056" s="313"/>
      <c r="AM3056" s="313"/>
      <c r="AN3056" s="313"/>
      <c r="AO3056" s="313"/>
      <c r="AP3056" s="313"/>
      <c r="AQ3056" s="314"/>
      <c r="AR3056" s="315" t="str">
        <f t="shared" si="121"/>
        <v/>
      </c>
    </row>
    <row r="3057" spans="37:44" ht="30" hidden="1" customHeight="1">
      <c r="AK3057" s="313"/>
      <c r="AL3057" s="313"/>
      <c r="AM3057" s="313"/>
      <c r="AN3057" s="313"/>
      <c r="AO3057" s="313"/>
      <c r="AP3057" s="313"/>
      <c r="AQ3057" s="314"/>
      <c r="AR3057" s="315" t="str">
        <f t="shared" si="121"/>
        <v/>
      </c>
    </row>
    <row r="3058" spans="37:44" ht="30" hidden="1" customHeight="1">
      <c r="AK3058" s="313"/>
      <c r="AL3058" s="313"/>
      <c r="AM3058" s="313"/>
      <c r="AN3058" s="313"/>
      <c r="AO3058" s="313"/>
      <c r="AP3058" s="313"/>
      <c r="AQ3058" s="314"/>
      <c r="AR3058" s="315" t="str">
        <f t="shared" si="121"/>
        <v/>
      </c>
    </row>
    <row r="3059" spans="37:44" ht="30" hidden="1" customHeight="1">
      <c r="AK3059" s="313"/>
      <c r="AL3059" s="313"/>
      <c r="AM3059" s="313"/>
      <c r="AN3059" s="313"/>
      <c r="AO3059" s="313"/>
      <c r="AP3059" s="313"/>
      <c r="AQ3059" s="314"/>
      <c r="AR3059" s="315" t="str">
        <f t="shared" si="121"/>
        <v/>
      </c>
    </row>
    <row r="3060" spans="37:44" ht="30" hidden="1" customHeight="1">
      <c r="AK3060" s="313"/>
      <c r="AL3060" s="313"/>
      <c r="AM3060" s="313"/>
      <c r="AN3060" s="313"/>
      <c r="AO3060" s="313"/>
      <c r="AP3060" s="313"/>
      <c r="AQ3060" s="314"/>
      <c r="AR3060" s="315" t="str">
        <f t="shared" si="121"/>
        <v/>
      </c>
    </row>
    <row r="3061" spans="37:44" ht="30" hidden="1" customHeight="1">
      <c r="AK3061" s="313"/>
      <c r="AL3061" s="313"/>
      <c r="AM3061" s="313"/>
      <c r="AN3061" s="313"/>
      <c r="AO3061" s="313"/>
      <c r="AP3061" s="313"/>
      <c r="AQ3061" s="314"/>
      <c r="AR3061" s="315" t="str">
        <f t="shared" si="121"/>
        <v/>
      </c>
    </row>
    <row r="3062" spans="37:44" ht="30" hidden="1" customHeight="1">
      <c r="AK3062" s="313"/>
      <c r="AL3062" s="313"/>
      <c r="AM3062" s="313"/>
      <c r="AN3062" s="313"/>
      <c r="AO3062" s="313"/>
      <c r="AP3062" s="313"/>
      <c r="AQ3062" s="314"/>
      <c r="AR3062" s="315" t="str">
        <f t="shared" si="121"/>
        <v/>
      </c>
    </row>
    <row r="3063" spans="37:44" ht="30" hidden="1" customHeight="1">
      <c r="AK3063" s="313"/>
      <c r="AL3063" s="313"/>
      <c r="AM3063" s="313"/>
      <c r="AN3063" s="313"/>
      <c r="AO3063" s="313"/>
      <c r="AP3063" s="313"/>
      <c r="AQ3063" s="314"/>
      <c r="AR3063" s="315" t="str">
        <f t="shared" si="121"/>
        <v/>
      </c>
    </row>
    <row r="3064" spans="37:44" ht="30" hidden="1" customHeight="1">
      <c r="AK3064" s="313"/>
      <c r="AL3064" s="313"/>
      <c r="AM3064" s="313"/>
      <c r="AN3064" s="313"/>
      <c r="AO3064" s="313"/>
      <c r="AP3064" s="313"/>
      <c r="AQ3064" s="314"/>
      <c r="AR3064" s="315" t="str">
        <f t="shared" si="121"/>
        <v/>
      </c>
    </row>
    <row r="3065" spans="37:44" ht="30" hidden="1" customHeight="1">
      <c r="AK3065" s="313"/>
      <c r="AL3065" s="313"/>
      <c r="AM3065" s="313"/>
      <c r="AN3065" s="313"/>
      <c r="AO3065" s="313"/>
      <c r="AP3065" s="313"/>
      <c r="AQ3065" s="314"/>
      <c r="AR3065" s="315" t="str">
        <f t="shared" si="121"/>
        <v/>
      </c>
    </row>
    <row r="3066" spans="37:44" ht="30" hidden="1" customHeight="1">
      <c r="AK3066" s="313"/>
      <c r="AL3066" s="313"/>
      <c r="AM3066" s="313"/>
      <c r="AN3066" s="313"/>
      <c r="AO3066" s="313"/>
      <c r="AP3066" s="313"/>
      <c r="AQ3066" s="314"/>
      <c r="AR3066" s="315" t="str">
        <f t="shared" si="121"/>
        <v/>
      </c>
    </row>
    <row r="3067" spans="37:44" ht="30" hidden="1" customHeight="1">
      <c r="AK3067" s="313"/>
      <c r="AL3067" s="313"/>
      <c r="AM3067" s="313"/>
      <c r="AN3067" s="313"/>
      <c r="AO3067" s="313"/>
      <c r="AP3067" s="313"/>
      <c r="AQ3067" s="314"/>
      <c r="AR3067" s="315" t="str">
        <f t="shared" si="121"/>
        <v/>
      </c>
    </row>
    <row r="3068" spans="37:44" ht="30" hidden="1" customHeight="1">
      <c r="AK3068" s="313"/>
      <c r="AL3068" s="313"/>
      <c r="AM3068" s="313"/>
      <c r="AN3068" s="313"/>
      <c r="AO3068" s="313"/>
      <c r="AP3068" s="313"/>
      <c r="AQ3068" s="314"/>
      <c r="AR3068" s="315" t="str">
        <f t="shared" si="121"/>
        <v/>
      </c>
    </row>
    <row r="3069" spans="37:44" ht="30" hidden="1" customHeight="1">
      <c r="AK3069" s="313"/>
      <c r="AL3069" s="313"/>
      <c r="AM3069" s="313"/>
      <c r="AN3069" s="313"/>
      <c r="AO3069" s="313"/>
      <c r="AP3069" s="313"/>
      <c r="AQ3069" s="314"/>
      <c r="AR3069" s="315" t="str">
        <f t="shared" si="121"/>
        <v/>
      </c>
    </row>
    <row r="3070" spans="37:44" ht="30" hidden="1" customHeight="1">
      <c r="AK3070" s="313"/>
      <c r="AL3070" s="313"/>
      <c r="AM3070" s="313"/>
      <c r="AN3070" s="313"/>
      <c r="AO3070" s="313"/>
      <c r="AP3070" s="313"/>
      <c r="AQ3070" s="314"/>
      <c r="AR3070" s="315" t="str">
        <f t="shared" si="121"/>
        <v/>
      </c>
    </row>
    <row r="3071" spans="37:44" ht="30" hidden="1" customHeight="1">
      <c r="AK3071" s="313"/>
      <c r="AL3071" s="313"/>
      <c r="AM3071" s="313"/>
      <c r="AN3071" s="313"/>
      <c r="AO3071" s="313"/>
      <c r="AP3071" s="313"/>
      <c r="AQ3071" s="314"/>
      <c r="AR3071" s="315" t="str">
        <f t="shared" ref="AR3071:AR3134" si="122">IF(AQ3071="SIM","AGUARDANDO CORREÇÃO",IF(AP3071&lt;&gt;"","FINALIZADO",IF(AO3071&lt;&gt;"","AGUARDANDO ENVIO DTS",IF(AN3071&lt;&gt;"","AGUARDANDO ASSINATURA GAB",IF(AM3071&lt;&gt;"","AGUARDANDO ASSINATURA CTS",IF(AL3071&lt;&gt;"","AGUARDANDO ENVIO ASSINATURA CTS",IF(AK3071&lt;&gt;"","AGUARDANDO CONFERÊNCIA","")))))))</f>
        <v/>
      </c>
    </row>
    <row r="3072" spans="37:44" ht="30" hidden="1" customHeight="1">
      <c r="AK3072" s="313"/>
      <c r="AL3072" s="313"/>
      <c r="AM3072" s="313"/>
      <c r="AN3072" s="313"/>
      <c r="AO3072" s="313"/>
      <c r="AP3072" s="313"/>
      <c r="AQ3072" s="314"/>
      <c r="AR3072" s="315" t="str">
        <f t="shared" si="122"/>
        <v/>
      </c>
    </row>
    <row r="3073" spans="37:44" ht="30" hidden="1" customHeight="1">
      <c r="AK3073" s="313"/>
      <c r="AL3073" s="313"/>
      <c r="AM3073" s="313"/>
      <c r="AN3073" s="313"/>
      <c r="AO3073" s="313"/>
      <c r="AP3073" s="313"/>
      <c r="AQ3073" s="314"/>
      <c r="AR3073" s="315" t="str">
        <f t="shared" si="122"/>
        <v/>
      </c>
    </row>
    <row r="3074" spans="37:44" ht="30" hidden="1" customHeight="1">
      <c r="AK3074" s="313"/>
      <c r="AL3074" s="313"/>
      <c r="AM3074" s="313"/>
      <c r="AN3074" s="313"/>
      <c r="AO3074" s="313"/>
      <c r="AP3074" s="313"/>
      <c r="AQ3074" s="314"/>
      <c r="AR3074" s="315" t="str">
        <f t="shared" si="122"/>
        <v/>
      </c>
    </row>
    <row r="3075" spans="37:44" ht="30" hidden="1" customHeight="1">
      <c r="AK3075" s="313"/>
      <c r="AL3075" s="313"/>
      <c r="AM3075" s="313"/>
      <c r="AN3075" s="313"/>
      <c r="AO3075" s="313"/>
      <c r="AP3075" s="313"/>
      <c r="AQ3075" s="314"/>
      <c r="AR3075" s="315" t="str">
        <f t="shared" si="122"/>
        <v/>
      </c>
    </row>
    <row r="3076" spans="37:44" ht="30" hidden="1" customHeight="1">
      <c r="AK3076" s="313"/>
      <c r="AL3076" s="313"/>
      <c r="AM3076" s="313"/>
      <c r="AN3076" s="313"/>
      <c r="AO3076" s="313"/>
      <c r="AP3076" s="313"/>
      <c r="AQ3076" s="314"/>
      <c r="AR3076" s="315" t="str">
        <f t="shared" si="122"/>
        <v/>
      </c>
    </row>
    <row r="3077" spans="37:44" ht="30" hidden="1" customHeight="1">
      <c r="AK3077" s="313"/>
      <c r="AL3077" s="313"/>
      <c r="AM3077" s="313"/>
      <c r="AN3077" s="313"/>
      <c r="AO3077" s="313"/>
      <c r="AP3077" s="313"/>
      <c r="AQ3077" s="314"/>
      <c r="AR3077" s="315" t="str">
        <f t="shared" si="122"/>
        <v/>
      </c>
    </row>
    <row r="3078" spans="37:44" ht="30" hidden="1" customHeight="1">
      <c r="AK3078" s="313"/>
      <c r="AL3078" s="313"/>
      <c r="AM3078" s="313"/>
      <c r="AN3078" s="313"/>
      <c r="AO3078" s="313"/>
      <c r="AP3078" s="313"/>
      <c r="AQ3078" s="314"/>
      <c r="AR3078" s="315" t="str">
        <f t="shared" si="122"/>
        <v/>
      </c>
    </row>
    <row r="3079" spans="37:44" ht="30" hidden="1" customHeight="1">
      <c r="AK3079" s="313"/>
      <c r="AL3079" s="313"/>
      <c r="AM3079" s="313"/>
      <c r="AN3079" s="313"/>
      <c r="AO3079" s="313"/>
      <c r="AP3079" s="313"/>
      <c r="AQ3079" s="314"/>
      <c r="AR3079" s="315" t="str">
        <f t="shared" si="122"/>
        <v/>
      </c>
    </row>
    <row r="3080" spans="37:44" ht="30" hidden="1" customHeight="1">
      <c r="AK3080" s="313"/>
      <c r="AL3080" s="313"/>
      <c r="AM3080" s="313"/>
      <c r="AN3080" s="313"/>
      <c r="AO3080" s="313"/>
      <c r="AP3080" s="313"/>
      <c r="AQ3080" s="314"/>
      <c r="AR3080" s="315" t="str">
        <f t="shared" si="122"/>
        <v/>
      </c>
    </row>
    <row r="3081" spans="37:44" ht="30" hidden="1" customHeight="1">
      <c r="AK3081" s="313"/>
      <c r="AL3081" s="313"/>
      <c r="AM3081" s="313"/>
      <c r="AN3081" s="313"/>
      <c r="AO3081" s="313"/>
      <c r="AP3081" s="313"/>
      <c r="AQ3081" s="314"/>
      <c r="AR3081" s="315" t="str">
        <f t="shared" si="122"/>
        <v/>
      </c>
    </row>
    <row r="3082" spans="37:44" ht="30" hidden="1" customHeight="1">
      <c r="AK3082" s="313"/>
      <c r="AL3082" s="313"/>
      <c r="AM3082" s="313"/>
      <c r="AN3082" s="313"/>
      <c r="AO3082" s="313"/>
      <c r="AP3082" s="313"/>
      <c r="AQ3082" s="314"/>
      <c r="AR3082" s="315" t="str">
        <f t="shared" si="122"/>
        <v/>
      </c>
    </row>
    <row r="3083" spans="37:44" ht="30" hidden="1" customHeight="1">
      <c r="AK3083" s="313"/>
      <c r="AL3083" s="313"/>
      <c r="AM3083" s="313"/>
      <c r="AN3083" s="313"/>
      <c r="AO3083" s="313"/>
      <c r="AP3083" s="313"/>
      <c r="AQ3083" s="314"/>
      <c r="AR3083" s="315" t="str">
        <f t="shared" si="122"/>
        <v/>
      </c>
    </row>
    <row r="3084" spans="37:44" ht="30" hidden="1" customHeight="1">
      <c r="AK3084" s="313"/>
      <c r="AL3084" s="313"/>
      <c r="AM3084" s="313"/>
      <c r="AN3084" s="313"/>
      <c r="AO3084" s="313"/>
      <c r="AP3084" s="313"/>
      <c r="AQ3084" s="314"/>
      <c r="AR3084" s="315" t="str">
        <f t="shared" si="122"/>
        <v/>
      </c>
    </row>
    <row r="3085" spans="37:44" ht="30" hidden="1" customHeight="1">
      <c r="AK3085" s="313"/>
      <c r="AL3085" s="313"/>
      <c r="AM3085" s="313"/>
      <c r="AN3085" s="313"/>
      <c r="AO3085" s="313"/>
      <c r="AP3085" s="313"/>
      <c r="AQ3085" s="314"/>
      <c r="AR3085" s="315" t="str">
        <f t="shared" si="122"/>
        <v/>
      </c>
    </row>
    <row r="3086" spans="37:44" ht="30" hidden="1" customHeight="1">
      <c r="AK3086" s="313"/>
      <c r="AL3086" s="313"/>
      <c r="AM3086" s="313"/>
      <c r="AN3086" s="313"/>
      <c r="AO3086" s="313"/>
      <c r="AP3086" s="313"/>
      <c r="AQ3086" s="314"/>
      <c r="AR3086" s="315" t="str">
        <f t="shared" si="122"/>
        <v/>
      </c>
    </row>
    <row r="3087" spans="37:44" ht="30" hidden="1" customHeight="1">
      <c r="AK3087" s="313"/>
      <c r="AL3087" s="313"/>
      <c r="AM3087" s="313"/>
      <c r="AN3087" s="313"/>
      <c r="AO3087" s="313"/>
      <c r="AP3087" s="313"/>
      <c r="AQ3087" s="314"/>
      <c r="AR3087" s="315" t="str">
        <f t="shared" si="122"/>
        <v/>
      </c>
    </row>
    <row r="3088" spans="37:44" ht="30" hidden="1" customHeight="1">
      <c r="AK3088" s="313"/>
      <c r="AL3088" s="313"/>
      <c r="AM3088" s="313"/>
      <c r="AN3088" s="313"/>
      <c r="AO3088" s="313"/>
      <c r="AP3088" s="313"/>
      <c r="AQ3088" s="314"/>
      <c r="AR3088" s="315" t="str">
        <f t="shared" si="122"/>
        <v/>
      </c>
    </row>
    <row r="3089" spans="37:44" ht="30" hidden="1" customHeight="1">
      <c r="AK3089" s="313"/>
      <c r="AL3089" s="313"/>
      <c r="AM3089" s="313"/>
      <c r="AN3089" s="313"/>
      <c r="AO3089" s="313"/>
      <c r="AP3089" s="313"/>
      <c r="AQ3089" s="314"/>
      <c r="AR3089" s="315" t="str">
        <f t="shared" si="122"/>
        <v/>
      </c>
    </row>
    <row r="3090" spans="37:44" ht="30" hidden="1" customHeight="1">
      <c r="AK3090" s="313"/>
      <c r="AL3090" s="313"/>
      <c r="AM3090" s="313"/>
      <c r="AN3090" s="313"/>
      <c r="AO3090" s="313"/>
      <c r="AP3090" s="313"/>
      <c r="AQ3090" s="314"/>
      <c r="AR3090" s="315" t="str">
        <f t="shared" si="122"/>
        <v/>
      </c>
    </row>
    <row r="3091" spans="37:44" ht="30" hidden="1" customHeight="1">
      <c r="AK3091" s="313"/>
      <c r="AL3091" s="313"/>
      <c r="AM3091" s="313"/>
      <c r="AN3091" s="313"/>
      <c r="AO3091" s="313"/>
      <c r="AP3091" s="313"/>
      <c r="AQ3091" s="314"/>
      <c r="AR3091" s="315" t="str">
        <f t="shared" si="122"/>
        <v/>
      </c>
    </row>
    <row r="3092" spans="37:44" ht="30" hidden="1" customHeight="1">
      <c r="AK3092" s="313"/>
      <c r="AL3092" s="313"/>
      <c r="AM3092" s="313"/>
      <c r="AN3092" s="313"/>
      <c r="AO3092" s="313"/>
      <c r="AP3092" s="313"/>
      <c r="AQ3092" s="314"/>
      <c r="AR3092" s="315" t="str">
        <f t="shared" si="122"/>
        <v/>
      </c>
    </row>
    <row r="3093" spans="37:44" ht="30" hidden="1" customHeight="1">
      <c r="AK3093" s="313"/>
      <c r="AL3093" s="313"/>
      <c r="AM3093" s="313"/>
      <c r="AN3093" s="313"/>
      <c r="AO3093" s="313"/>
      <c r="AP3093" s="313"/>
      <c r="AQ3093" s="314"/>
      <c r="AR3093" s="315" t="str">
        <f t="shared" si="122"/>
        <v/>
      </c>
    </row>
    <row r="3094" spans="37:44" ht="30" hidden="1" customHeight="1">
      <c r="AK3094" s="313"/>
      <c r="AL3094" s="313"/>
      <c r="AM3094" s="313"/>
      <c r="AN3094" s="313"/>
      <c r="AO3094" s="313"/>
      <c r="AP3094" s="313"/>
      <c r="AQ3094" s="314"/>
      <c r="AR3094" s="315" t="str">
        <f t="shared" si="122"/>
        <v/>
      </c>
    </row>
    <row r="3095" spans="37:44" ht="30" hidden="1" customHeight="1">
      <c r="AK3095" s="313"/>
      <c r="AL3095" s="313"/>
      <c r="AM3095" s="313"/>
      <c r="AN3095" s="313"/>
      <c r="AO3095" s="313"/>
      <c r="AP3095" s="313"/>
      <c r="AQ3095" s="314"/>
      <c r="AR3095" s="315" t="str">
        <f t="shared" si="122"/>
        <v/>
      </c>
    </row>
    <row r="3096" spans="37:44" ht="30" hidden="1" customHeight="1">
      <c r="AK3096" s="313"/>
      <c r="AL3096" s="313"/>
      <c r="AM3096" s="313"/>
      <c r="AN3096" s="313"/>
      <c r="AO3096" s="313"/>
      <c r="AP3096" s="313"/>
      <c r="AQ3096" s="314"/>
      <c r="AR3096" s="315" t="str">
        <f t="shared" si="122"/>
        <v/>
      </c>
    </row>
    <row r="3097" spans="37:44" ht="30" hidden="1" customHeight="1">
      <c r="AK3097" s="313"/>
      <c r="AL3097" s="313"/>
      <c r="AM3097" s="313"/>
      <c r="AN3097" s="313"/>
      <c r="AO3097" s="313"/>
      <c r="AP3097" s="313"/>
      <c r="AQ3097" s="314"/>
      <c r="AR3097" s="315" t="str">
        <f t="shared" si="122"/>
        <v/>
      </c>
    </row>
    <row r="3098" spans="37:44" ht="30" hidden="1" customHeight="1">
      <c r="AK3098" s="313"/>
      <c r="AL3098" s="313"/>
      <c r="AM3098" s="313"/>
      <c r="AN3098" s="313"/>
      <c r="AO3098" s="313"/>
      <c r="AP3098" s="313"/>
      <c r="AQ3098" s="314"/>
      <c r="AR3098" s="315" t="str">
        <f t="shared" si="122"/>
        <v/>
      </c>
    </row>
    <row r="3099" spans="37:44" ht="30" hidden="1" customHeight="1">
      <c r="AK3099" s="313"/>
      <c r="AL3099" s="313"/>
      <c r="AM3099" s="313"/>
      <c r="AN3099" s="313"/>
      <c r="AO3099" s="313"/>
      <c r="AP3099" s="313"/>
      <c r="AQ3099" s="314"/>
      <c r="AR3099" s="315" t="str">
        <f t="shared" si="122"/>
        <v/>
      </c>
    </row>
    <row r="3100" spans="37:44" ht="30" hidden="1" customHeight="1">
      <c r="AK3100" s="313"/>
      <c r="AL3100" s="313"/>
      <c r="AM3100" s="313"/>
      <c r="AN3100" s="313"/>
      <c r="AO3100" s="313"/>
      <c r="AP3100" s="313"/>
      <c r="AQ3100" s="314"/>
      <c r="AR3100" s="315" t="str">
        <f t="shared" si="122"/>
        <v/>
      </c>
    </row>
    <row r="3101" spans="37:44" ht="30" hidden="1" customHeight="1">
      <c r="AK3101" s="313"/>
      <c r="AL3101" s="313"/>
      <c r="AM3101" s="313"/>
      <c r="AN3101" s="313"/>
      <c r="AO3101" s="313"/>
      <c r="AP3101" s="313"/>
      <c r="AQ3101" s="314"/>
      <c r="AR3101" s="315" t="str">
        <f t="shared" si="122"/>
        <v/>
      </c>
    </row>
    <row r="3102" spans="37:44" ht="30" hidden="1" customHeight="1">
      <c r="AK3102" s="313"/>
      <c r="AL3102" s="313"/>
      <c r="AM3102" s="313"/>
      <c r="AN3102" s="313"/>
      <c r="AO3102" s="313"/>
      <c r="AP3102" s="313"/>
      <c r="AQ3102" s="314"/>
      <c r="AR3102" s="315" t="str">
        <f t="shared" si="122"/>
        <v/>
      </c>
    </row>
    <row r="3103" spans="37:44" ht="30" hidden="1" customHeight="1">
      <c r="AK3103" s="313"/>
      <c r="AL3103" s="313"/>
      <c r="AM3103" s="313"/>
      <c r="AN3103" s="313"/>
      <c r="AO3103" s="313"/>
      <c r="AP3103" s="313"/>
      <c r="AQ3103" s="314"/>
      <c r="AR3103" s="315" t="str">
        <f t="shared" si="122"/>
        <v/>
      </c>
    </row>
    <row r="3104" spans="37:44" ht="30" hidden="1" customHeight="1">
      <c r="AK3104" s="313"/>
      <c r="AL3104" s="313"/>
      <c r="AM3104" s="313"/>
      <c r="AN3104" s="313"/>
      <c r="AO3104" s="313"/>
      <c r="AP3104" s="313"/>
      <c r="AQ3104" s="314"/>
      <c r="AR3104" s="315" t="str">
        <f t="shared" si="122"/>
        <v/>
      </c>
    </row>
    <row r="3105" spans="37:44" ht="30" hidden="1" customHeight="1">
      <c r="AK3105" s="313"/>
      <c r="AL3105" s="313"/>
      <c r="AM3105" s="313"/>
      <c r="AN3105" s="313"/>
      <c r="AO3105" s="313"/>
      <c r="AP3105" s="313"/>
      <c r="AQ3105" s="314"/>
      <c r="AR3105" s="315" t="str">
        <f t="shared" si="122"/>
        <v/>
      </c>
    </row>
    <row r="3106" spans="37:44" ht="30" hidden="1" customHeight="1">
      <c r="AK3106" s="313"/>
      <c r="AL3106" s="313"/>
      <c r="AM3106" s="313"/>
      <c r="AN3106" s="313"/>
      <c r="AO3106" s="313"/>
      <c r="AP3106" s="313"/>
      <c r="AQ3106" s="314"/>
      <c r="AR3106" s="315" t="str">
        <f t="shared" si="122"/>
        <v/>
      </c>
    </row>
    <row r="3107" spans="37:44" ht="30" hidden="1" customHeight="1">
      <c r="AK3107" s="313"/>
      <c r="AL3107" s="313"/>
      <c r="AM3107" s="313"/>
      <c r="AN3107" s="313"/>
      <c r="AO3107" s="313"/>
      <c r="AP3107" s="313"/>
      <c r="AQ3107" s="314"/>
      <c r="AR3107" s="315" t="str">
        <f t="shared" si="122"/>
        <v/>
      </c>
    </row>
    <row r="3108" spans="37:44" ht="30" hidden="1" customHeight="1">
      <c r="AK3108" s="313"/>
      <c r="AL3108" s="313"/>
      <c r="AM3108" s="313"/>
      <c r="AN3108" s="313"/>
      <c r="AO3108" s="313"/>
      <c r="AP3108" s="313"/>
      <c r="AQ3108" s="314"/>
      <c r="AR3108" s="315" t="str">
        <f t="shared" si="122"/>
        <v/>
      </c>
    </row>
    <row r="3109" spans="37:44" ht="30" hidden="1" customHeight="1">
      <c r="AK3109" s="313"/>
      <c r="AL3109" s="313"/>
      <c r="AM3109" s="313"/>
      <c r="AN3109" s="313"/>
      <c r="AO3109" s="313"/>
      <c r="AP3109" s="313"/>
      <c r="AQ3109" s="314"/>
      <c r="AR3109" s="315" t="str">
        <f t="shared" si="122"/>
        <v/>
      </c>
    </row>
    <row r="3110" spans="37:44" ht="30" hidden="1" customHeight="1">
      <c r="AK3110" s="313"/>
      <c r="AL3110" s="313"/>
      <c r="AM3110" s="313"/>
      <c r="AN3110" s="313"/>
      <c r="AO3110" s="313"/>
      <c r="AP3110" s="313"/>
      <c r="AQ3110" s="314"/>
      <c r="AR3110" s="315" t="str">
        <f t="shared" si="122"/>
        <v/>
      </c>
    </row>
    <row r="3111" spans="37:44" ht="30" hidden="1" customHeight="1">
      <c r="AK3111" s="313"/>
      <c r="AL3111" s="313"/>
      <c r="AM3111" s="313"/>
      <c r="AN3111" s="313"/>
      <c r="AO3111" s="313"/>
      <c r="AP3111" s="313"/>
      <c r="AQ3111" s="314"/>
      <c r="AR3111" s="315" t="str">
        <f t="shared" si="122"/>
        <v/>
      </c>
    </row>
    <row r="3112" spans="37:44" ht="30" hidden="1" customHeight="1">
      <c r="AK3112" s="313"/>
      <c r="AL3112" s="313"/>
      <c r="AM3112" s="313"/>
      <c r="AN3112" s="313"/>
      <c r="AO3112" s="313"/>
      <c r="AP3112" s="313"/>
      <c r="AQ3112" s="314"/>
      <c r="AR3112" s="315" t="str">
        <f t="shared" si="122"/>
        <v/>
      </c>
    </row>
    <row r="3113" spans="37:44" ht="30" hidden="1" customHeight="1">
      <c r="AK3113" s="313"/>
      <c r="AL3113" s="313"/>
      <c r="AM3113" s="313"/>
      <c r="AN3113" s="313"/>
      <c r="AO3113" s="313"/>
      <c r="AP3113" s="313"/>
      <c r="AQ3113" s="314"/>
      <c r="AR3113" s="315" t="str">
        <f t="shared" si="122"/>
        <v/>
      </c>
    </row>
    <row r="3114" spans="37:44" ht="30" hidden="1" customHeight="1">
      <c r="AK3114" s="313"/>
      <c r="AL3114" s="313"/>
      <c r="AM3114" s="313"/>
      <c r="AN3114" s="313"/>
      <c r="AO3114" s="313"/>
      <c r="AP3114" s="313"/>
      <c r="AQ3114" s="314"/>
      <c r="AR3114" s="315" t="str">
        <f t="shared" si="122"/>
        <v/>
      </c>
    </row>
    <row r="3115" spans="37:44" ht="30" hidden="1" customHeight="1">
      <c r="AK3115" s="313"/>
      <c r="AL3115" s="313"/>
      <c r="AM3115" s="313"/>
      <c r="AN3115" s="313"/>
      <c r="AO3115" s="313"/>
      <c r="AP3115" s="313"/>
      <c r="AQ3115" s="314"/>
      <c r="AR3115" s="315" t="str">
        <f t="shared" si="122"/>
        <v/>
      </c>
    </row>
    <row r="3116" spans="37:44" ht="30" hidden="1" customHeight="1">
      <c r="AK3116" s="313"/>
      <c r="AL3116" s="313"/>
      <c r="AM3116" s="313"/>
      <c r="AN3116" s="313"/>
      <c r="AO3116" s="313"/>
      <c r="AP3116" s="313"/>
      <c r="AQ3116" s="314"/>
      <c r="AR3116" s="315" t="str">
        <f t="shared" si="122"/>
        <v/>
      </c>
    </row>
    <row r="3117" spans="37:44" ht="30" hidden="1" customHeight="1">
      <c r="AK3117" s="313"/>
      <c r="AL3117" s="313"/>
      <c r="AM3117" s="313"/>
      <c r="AN3117" s="313"/>
      <c r="AO3117" s="313"/>
      <c r="AP3117" s="313"/>
      <c r="AQ3117" s="314"/>
      <c r="AR3117" s="315" t="str">
        <f t="shared" si="122"/>
        <v/>
      </c>
    </row>
    <row r="3118" spans="37:44" ht="30" hidden="1" customHeight="1">
      <c r="AK3118" s="313"/>
      <c r="AL3118" s="313"/>
      <c r="AM3118" s="313"/>
      <c r="AN3118" s="313"/>
      <c r="AO3118" s="313"/>
      <c r="AP3118" s="313"/>
      <c r="AQ3118" s="314"/>
      <c r="AR3118" s="315" t="str">
        <f t="shared" si="122"/>
        <v/>
      </c>
    </row>
    <row r="3119" spans="37:44" ht="30" hidden="1" customHeight="1">
      <c r="AK3119" s="313"/>
      <c r="AL3119" s="313"/>
      <c r="AM3119" s="313"/>
      <c r="AN3119" s="313"/>
      <c r="AO3119" s="313"/>
      <c r="AP3119" s="313"/>
      <c r="AQ3119" s="314"/>
      <c r="AR3119" s="315" t="str">
        <f t="shared" si="122"/>
        <v/>
      </c>
    </row>
    <row r="3120" spans="37:44" ht="30" hidden="1" customHeight="1">
      <c r="AK3120" s="313"/>
      <c r="AL3120" s="313"/>
      <c r="AM3120" s="313"/>
      <c r="AN3120" s="313"/>
      <c r="AO3120" s="313"/>
      <c r="AP3120" s="313"/>
      <c r="AQ3120" s="314"/>
      <c r="AR3120" s="315" t="str">
        <f t="shared" si="122"/>
        <v/>
      </c>
    </row>
    <row r="3121" spans="37:44" ht="30" hidden="1" customHeight="1">
      <c r="AK3121" s="313"/>
      <c r="AL3121" s="313"/>
      <c r="AM3121" s="313"/>
      <c r="AN3121" s="313"/>
      <c r="AO3121" s="313"/>
      <c r="AP3121" s="313"/>
      <c r="AQ3121" s="314"/>
      <c r="AR3121" s="315" t="str">
        <f t="shared" si="122"/>
        <v/>
      </c>
    </row>
    <row r="3122" spans="37:44" ht="30" hidden="1" customHeight="1">
      <c r="AK3122" s="313"/>
      <c r="AL3122" s="313"/>
      <c r="AM3122" s="313"/>
      <c r="AN3122" s="313"/>
      <c r="AO3122" s="313"/>
      <c r="AP3122" s="313"/>
      <c r="AQ3122" s="314"/>
      <c r="AR3122" s="315" t="str">
        <f t="shared" si="122"/>
        <v/>
      </c>
    </row>
    <row r="3123" spans="37:44" ht="30" hidden="1" customHeight="1">
      <c r="AK3123" s="313"/>
      <c r="AL3123" s="313"/>
      <c r="AM3123" s="313"/>
      <c r="AN3123" s="313"/>
      <c r="AO3123" s="313"/>
      <c r="AP3123" s="313"/>
      <c r="AQ3123" s="314"/>
      <c r="AR3123" s="315" t="str">
        <f t="shared" si="122"/>
        <v/>
      </c>
    </row>
    <row r="3124" spans="37:44" ht="30" hidden="1" customHeight="1">
      <c r="AK3124" s="313"/>
      <c r="AL3124" s="313"/>
      <c r="AM3124" s="313"/>
      <c r="AN3124" s="313"/>
      <c r="AO3124" s="313"/>
      <c r="AP3124" s="313"/>
      <c r="AQ3124" s="314"/>
      <c r="AR3124" s="315" t="str">
        <f t="shared" si="122"/>
        <v/>
      </c>
    </row>
    <row r="3125" spans="37:44" ht="30" hidden="1" customHeight="1">
      <c r="AK3125" s="313"/>
      <c r="AL3125" s="313"/>
      <c r="AM3125" s="313"/>
      <c r="AN3125" s="313"/>
      <c r="AO3125" s="313"/>
      <c r="AP3125" s="313"/>
      <c r="AQ3125" s="314"/>
      <c r="AR3125" s="315" t="str">
        <f t="shared" si="122"/>
        <v/>
      </c>
    </row>
    <row r="3126" spans="37:44" ht="30" hidden="1" customHeight="1">
      <c r="AK3126" s="313"/>
      <c r="AL3126" s="313"/>
      <c r="AM3126" s="313"/>
      <c r="AN3126" s="313"/>
      <c r="AO3126" s="313"/>
      <c r="AP3126" s="313"/>
      <c r="AQ3126" s="314"/>
      <c r="AR3126" s="315" t="str">
        <f t="shared" si="122"/>
        <v/>
      </c>
    </row>
    <row r="3127" spans="37:44" ht="30" hidden="1" customHeight="1">
      <c r="AK3127" s="313"/>
      <c r="AL3127" s="313"/>
      <c r="AM3127" s="313"/>
      <c r="AN3127" s="313"/>
      <c r="AO3127" s="313"/>
      <c r="AP3127" s="313"/>
      <c r="AQ3127" s="314"/>
      <c r="AR3127" s="315" t="str">
        <f t="shared" si="122"/>
        <v/>
      </c>
    </row>
    <row r="3128" spans="37:44" ht="30" hidden="1" customHeight="1">
      <c r="AK3128" s="313"/>
      <c r="AL3128" s="313"/>
      <c r="AM3128" s="313"/>
      <c r="AN3128" s="313"/>
      <c r="AO3128" s="313"/>
      <c r="AP3128" s="313"/>
      <c r="AQ3128" s="314"/>
      <c r="AR3128" s="315" t="str">
        <f t="shared" si="122"/>
        <v/>
      </c>
    </row>
    <row r="3129" spans="37:44" ht="30" hidden="1" customHeight="1">
      <c r="AK3129" s="313"/>
      <c r="AL3129" s="313"/>
      <c r="AM3129" s="313"/>
      <c r="AN3129" s="313"/>
      <c r="AO3129" s="313"/>
      <c r="AP3129" s="313"/>
      <c r="AQ3129" s="314"/>
      <c r="AR3129" s="315" t="str">
        <f t="shared" si="122"/>
        <v/>
      </c>
    </row>
    <row r="3130" spans="37:44" ht="30" hidden="1" customHeight="1">
      <c r="AK3130" s="313"/>
      <c r="AL3130" s="313"/>
      <c r="AM3130" s="313"/>
      <c r="AN3130" s="313"/>
      <c r="AO3130" s="313"/>
      <c r="AP3130" s="313"/>
      <c r="AQ3130" s="314"/>
      <c r="AR3130" s="315" t="str">
        <f t="shared" si="122"/>
        <v/>
      </c>
    </row>
    <row r="3131" spans="37:44" ht="30" hidden="1" customHeight="1">
      <c r="AK3131" s="313"/>
      <c r="AL3131" s="313"/>
      <c r="AM3131" s="313"/>
      <c r="AN3131" s="313"/>
      <c r="AO3131" s="313"/>
      <c r="AP3131" s="313"/>
      <c r="AQ3131" s="314"/>
      <c r="AR3131" s="315" t="str">
        <f t="shared" si="122"/>
        <v/>
      </c>
    </row>
    <row r="3132" spans="37:44" ht="30" hidden="1" customHeight="1">
      <c r="AK3132" s="313"/>
      <c r="AL3132" s="313"/>
      <c r="AM3132" s="313"/>
      <c r="AN3132" s="313"/>
      <c r="AO3132" s="313"/>
      <c r="AP3132" s="313"/>
      <c r="AQ3132" s="314"/>
      <c r="AR3132" s="315" t="str">
        <f t="shared" si="122"/>
        <v/>
      </c>
    </row>
    <row r="3133" spans="37:44" ht="30" hidden="1" customHeight="1">
      <c r="AK3133" s="313"/>
      <c r="AL3133" s="313"/>
      <c r="AM3133" s="313"/>
      <c r="AN3133" s="313"/>
      <c r="AO3133" s="313"/>
      <c r="AP3133" s="313"/>
      <c r="AQ3133" s="314"/>
      <c r="AR3133" s="315" t="str">
        <f t="shared" si="122"/>
        <v/>
      </c>
    </row>
    <row r="3134" spans="37:44" ht="30" hidden="1" customHeight="1">
      <c r="AK3134" s="313"/>
      <c r="AL3134" s="313"/>
      <c r="AM3134" s="313"/>
      <c r="AN3134" s="313"/>
      <c r="AO3134" s="313"/>
      <c r="AP3134" s="313"/>
      <c r="AQ3134" s="314"/>
      <c r="AR3134" s="315" t="str">
        <f t="shared" si="122"/>
        <v/>
      </c>
    </row>
    <row r="3135" spans="37:44" ht="30" hidden="1" customHeight="1">
      <c r="AK3135" s="313"/>
      <c r="AL3135" s="313"/>
      <c r="AM3135" s="313"/>
      <c r="AN3135" s="313"/>
      <c r="AO3135" s="313"/>
      <c r="AP3135" s="313"/>
      <c r="AQ3135" s="314"/>
      <c r="AR3135" s="315" t="str">
        <f t="shared" ref="AR3135:AR3198" si="123">IF(AQ3135="SIM","AGUARDANDO CORREÇÃO",IF(AP3135&lt;&gt;"","FINALIZADO",IF(AO3135&lt;&gt;"","AGUARDANDO ENVIO DTS",IF(AN3135&lt;&gt;"","AGUARDANDO ASSINATURA GAB",IF(AM3135&lt;&gt;"","AGUARDANDO ASSINATURA CTS",IF(AL3135&lt;&gt;"","AGUARDANDO ENVIO ASSINATURA CTS",IF(AK3135&lt;&gt;"","AGUARDANDO CONFERÊNCIA","")))))))</f>
        <v/>
      </c>
    </row>
    <row r="3136" spans="37:44" ht="30" hidden="1" customHeight="1">
      <c r="AK3136" s="313"/>
      <c r="AL3136" s="313"/>
      <c r="AM3136" s="313"/>
      <c r="AN3136" s="313"/>
      <c r="AO3136" s="313"/>
      <c r="AP3136" s="313"/>
      <c r="AQ3136" s="314"/>
      <c r="AR3136" s="315" t="str">
        <f t="shared" si="123"/>
        <v/>
      </c>
    </row>
    <row r="3137" spans="37:44" ht="30" hidden="1" customHeight="1">
      <c r="AK3137" s="313"/>
      <c r="AL3137" s="313"/>
      <c r="AM3137" s="313"/>
      <c r="AN3137" s="313"/>
      <c r="AO3137" s="313"/>
      <c r="AP3137" s="313"/>
      <c r="AQ3137" s="314"/>
      <c r="AR3137" s="315" t="str">
        <f t="shared" si="123"/>
        <v/>
      </c>
    </row>
    <row r="3138" spans="37:44" ht="30" hidden="1" customHeight="1">
      <c r="AK3138" s="313"/>
      <c r="AL3138" s="313"/>
      <c r="AM3138" s="313"/>
      <c r="AN3138" s="313"/>
      <c r="AO3138" s="313"/>
      <c r="AP3138" s="313"/>
      <c r="AQ3138" s="314"/>
      <c r="AR3138" s="315" t="str">
        <f t="shared" si="123"/>
        <v/>
      </c>
    </row>
    <row r="3139" spans="37:44" ht="30" hidden="1" customHeight="1">
      <c r="AK3139" s="313"/>
      <c r="AL3139" s="313"/>
      <c r="AM3139" s="313"/>
      <c r="AN3139" s="313"/>
      <c r="AO3139" s="313"/>
      <c r="AP3139" s="313"/>
      <c r="AQ3139" s="314"/>
      <c r="AR3139" s="315" t="str">
        <f t="shared" si="123"/>
        <v/>
      </c>
    </row>
    <row r="3140" spans="37:44" ht="30" hidden="1" customHeight="1">
      <c r="AK3140" s="313"/>
      <c r="AL3140" s="313"/>
      <c r="AM3140" s="313"/>
      <c r="AN3140" s="313"/>
      <c r="AO3140" s="313"/>
      <c r="AP3140" s="313"/>
      <c r="AQ3140" s="314"/>
      <c r="AR3140" s="315" t="str">
        <f t="shared" si="123"/>
        <v/>
      </c>
    </row>
    <row r="3141" spans="37:44" ht="30" hidden="1" customHeight="1">
      <c r="AK3141" s="313"/>
      <c r="AL3141" s="313"/>
      <c r="AM3141" s="313"/>
      <c r="AN3141" s="313"/>
      <c r="AO3141" s="313"/>
      <c r="AP3141" s="313"/>
      <c r="AQ3141" s="314"/>
      <c r="AR3141" s="315" t="str">
        <f t="shared" si="123"/>
        <v/>
      </c>
    </row>
    <row r="3142" spans="37:44" ht="30" hidden="1" customHeight="1">
      <c r="AK3142" s="313"/>
      <c r="AL3142" s="313"/>
      <c r="AM3142" s="313"/>
      <c r="AN3142" s="313"/>
      <c r="AO3142" s="313"/>
      <c r="AP3142" s="313"/>
      <c r="AQ3142" s="314"/>
      <c r="AR3142" s="315" t="str">
        <f t="shared" si="123"/>
        <v/>
      </c>
    </row>
    <row r="3143" spans="37:44" ht="30" hidden="1" customHeight="1">
      <c r="AK3143" s="313"/>
      <c r="AL3143" s="313"/>
      <c r="AM3143" s="313"/>
      <c r="AN3143" s="313"/>
      <c r="AO3143" s="313"/>
      <c r="AP3143" s="313"/>
      <c r="AQ3143" s="314"/>
      <c r="AR3143" s="315" t="str">
        <f t="shared" si="123"/>
        <v/>
      </c>
    </row>
    <row r="3144" spans="37:44" ht="30" hidden="1" customHeight="1">
      <c r="AK3144" s="313"/>
      <c r="AL3144" s="313"/>
      <c r="AM3144" s="313"/>
      <c r="AN3144" s="313"/>
      <c r="AO3144" s="313"/>
      <c r="AP3144" s="313"/>
      <c r="AQ3144" s="314"/>
      <c r="AR3144" s="315" t="str">
        <f t="shared" si="123"/>
        <v/>
      </c>
    </row>
    <row r="3145" spans="37:44" ht="30" hidden="1" customHeight="1">
      <c r="AK3145" s="313"/>
      <c r="AL3145" s="313"/>
      <c r="AM3145" s="313"/>
      <c r="AN3145" s="313"/>
      <c r="AO3145" s="313"/>
      <c r="AP3145" s="313"/>
      <c r="AQ3145" s="314"/>
      <c r="AR3145" s="315" t="str">
        <f t="shared" si="123"/>
        <v/>
      </c>
    </row>
    <row r="3146" spans="37:44" ht="30" hidden="1" customHeight="1">
      <c r="AK3146" s="313"/>
      <c r="AL3146" s="313"/>
      <c r="AM3146" s="313"/>
      <c r="AN3146" s="313"/>
      <c r="AO3146" s="313"/>
      <c r="AP3146" s="313"/>
      <c r="AQ3146" s="314"/>
      <c r="AR3146" s="315" t="str">
        <f t="shared" si="123"/>
        <v/>
      </c>
    </row>
    <row r="3147" spans="37:44" ht="30" hidden="1" customHeight="1">
      <c r="AK3147" s="313"/>
      <c r="AL3147" s="313"/>
      <c r="AM3147" s="313"/>
      <c r="AN3147" s="313"/>
      <c r="AO3147" s="313"/>
      <c r="AP3147" s="313"/>
      <c r="AQ3147" s="314"/>
      <c r="AR3147" s="315" t="str">
        <f t="shared" si="123"/>
        <v/>
      </c>
    </row>
    <row r="3148" spans="37:44" ht="30" hidden="1" customHeight="1">
      <c r="AK3148" s="313"/>
      <c r="AL3148" s="313"/>
      <c r="AM3148" s="313"/>
      <c r="AN3148" s="313"/>
      <c r="AO3148" s="313"/>
      <c r="AP3148" s="313"/>
      <c r="AQ3148" s="314"/>
      <c r="AR3148" s="315" t="str">
        <f t="shared" si="123"/>
        <v/>
      </c>
    </row>
    <row r="3149" spans="37:44" ht="30" hidden="1" customHeight="1">
      <c r="AK3149" s="313"/>
      <c r="AL3149" s="313"/>
      <c r="AM3149" s="313"/>
      <c r="AN3149" s="313"/>
      <c r="AO3149" s="313"/>
      <c r="AP3149" s="313"/>
      <c r="AQ3149" s="314"/>
      <c r="AR3149" s="315" t="str">
        <f t="shared" si="123"/>
        <v/>
      </c>
    </row>
    <row r="3150" spans="37:44" ht="30" hidden="1" customHeight="1">
      <c r="AK3150" s="313"/>
      <c r="AL3150" s="313"/>
      <c r="AM3150" s="313"/>
      <c r="AN3150" s="313"/>
      <c r="AO3150" s="313"/>
      <c r="AP3150" s="313"/>
      <c r="AQ3150" s="314"/>
      <c r="AR3150" s="315" t="str">
        <f t="shared" si="123"/>
        <v/>
      </c>
    </row>
    <row r="3151" spans="37:44" ht="30" hidden="1" customHeight="1">
      <c r="AK3151" s="313"/>
      <c r="AL3151" s="313"/>
      <c r="AM3151" s="313"/>
      <c r="AN3151" s="313"/>
      <c r="AO3151" s="313"/>
      <c r="AP3151" s="313"/>
      <c r="AQ3151" s="314"/>
      <c r="AR3151" s="315" t="str">
        <f t="shared" si="123"/>
        <v/>
      </c>
    </row>
    <row r="3152" spans="37:44" ht="30" hidden="1" customHeight="1">
      <c r="AK3152" s="313"/>
      <c r="AL3152" s="313"/>
      <c r="AM3152" s="313"/>
      <c r="AN3152" s="313"/>
      <c r="AO3152" s="313"/>
      <c r="AP3152" s="313"/>
      <c r="AQ3152" s="314"/>
      <c r="AR3152" s="315" t="str">
        <f t="shared" si="123"/>
        <v/>
      </c>
    </row>
    <row r="3153" spans="37:44" ht="30" hidden="1" customHeight="1">
      <c r="AK3153" s="313"/>
      <c r="AL3153" s="313"/>
      <c r="AM3153" s="313"/>
      <c r="AN3153" s="313"/>
      <c r="AO3153" s="313"/>
      <c r="AP3153" s="313"/>
      <c r="AQ3153" s="314"/>
      <c r="AR3153" s="315" t="str">
        <f t="shared" si="123"/>
        <v/>
      </c>
    </row>
    <row r="3154" spans="37:44" ht="30" hidden="1" customHeight="1">
      <c r="AK3154" s="313"/>
      <c r="AL3154" s="313"/>
      <c r="AM3154" s="313"/>
      <c r="AN3154" s="313"/>
      <c r="AO3154" s="313"/>
      <c r="AP3154" s="313"/>
      <c r="AQ3154" s="314"/>
      <c r="AR3154" s="315" t="str">
        <f t="shared" si="123"/>
        <v/>
      </c>
    </row>
    <row r="3155" spans="37:44" ht="30" hidden="1" customHeight="1">
      <c r="AK3155" s="313"/>
      <c r="AL3155" s="313"/>
      <c r="AM3155" s="313"/>
      <c r="AN3155" s="313"/>
      <c r="AO3155" s="313"/>
      <c r="AP3155" s="313"/>
      <c r="AQ3155" s="314"/>
      <c r="AR3155" s="315" t="str">
        <f t="shared" si="123"/>
        <v/>
      </c>
    </row>
    <row r="3156" spans="37:44" ht="30" hidden="1" customHeight="1">
      <c r="AK3156" s="313"/>
      <c r="AL3156" s="313"/>
      <c r="AM3156" s="313"/>
      <c r="AN3156" s="313"/>
      <c r="AO3156" s="313"/>
      <c r="AP3156" s="313"/>
      <c r="AQ3156" s="314"/>
      <c r="AR3156" s="315" t="str">
        <f t="shared" si="123"/>
        <v/>
      </c>
    </row>
    <row r="3157" spans="37:44" ht="30" hidden="1" customHeight="1">
      <c r="AK3157" s="313"/>
      <c r="AL3157" s="313"/>
      <c r="AM3157" s="313"/>
      <c r="AN3157" s="313"/>
      <c r="AO3157" s="313"/>
      <c r="AP3157" s="313"/>
      <c r="AQ3157" s="314"/>
      <c r="AR3157" s="315" t="str">
        <f t="shared" si="123"/>
        <v/>
      </c>
    </row>
    <row r="3158" spans="37:44" ht="30" hidden="1" customHeight="1">
      <c r="AK3158" s="313"/>
      <c r="AL3158" s="313"/>
      <c r="AM3158" s="313"/>
      <c r="AN3158" s="313"/>
      <c r="AO3158" s="313"/>
      <c r="AP3158" s="313"/>
      <c r="AQ3158" s="314"/>
      <c r="AR3158" s="315" t="str">
        <f t="shared" si="123"/>
        <v/>
      </c>
    </row>
    <row r="3159" spans="37:44" ht="30" hidden="1" customHeight="1">
      <c r="AK3159" s="313"/>
      <c r="AL3159" s="313"/>
      <c r="AM3159" s="313"/>
      <c r="AN3159" s="313"/>
      <c r="AO3159" s="313"/>
      <c r="AP3159" s="313"/>
      <c r="AQ3159" s="314"/>
      <c r="AR3159" s="315" t="str">
        <f t="shared" si="123"/>
        <v/>
      </c>
    </row>
    <row r="3160" spans="37:44" ht="30" hidden="1" customHeight="1">
      <c r="AK3160" s="313"/>
      <c r="AL3160" s="313"/>
      <c r="AM3160" s="313"/>
      <c r="AN3160" s="313"/>
      <c r="AO3160" s="313"/>
      <c r="AP3160" s="313"/>
      <c r="AQ3160" s="314"/>
      <c r="AR3160" s="315" t="str">
        <f t="shared" si="123"/>
        <v/>
      </c>
    </row>
    <row r="3161" spans="37:44" ht="30" hidden="1" customHeight="1">
      <c r="AK3161" s="313"/>
      <c r="AL3161" s="313"/>
      <c r="AM3161" s="313"/>
      <c r="AN3161" s="313"/>
      <c r="AO3161" s="313"/>
      <c r="AP3161" s="313"/>
      <c r="AQ3161" s="314"/>
      <c r="AR3161" s="315" t="str">
        <f t="shared" si="123"/>
        <v/>
      </c>
    </row>
    <row r="3162" spans="37:44" ht="30" hidden="1" customHeight="1">
      <c r="AK3162" s="313"/>
      <c r="AL3162" s="313"/>
      <c r="AM3162" s="313"/>
      <c r="AN3162" s="313"/>
      <c r="AO3162" s="313"/>
      <c r="AP3162" s="313"/>
      <c r="AQ3162" s="314"/>
      <c r="AR3162" s="315" t="str">
        <f t="shared" si="123"/>
        <v/>
      </c>
    </row>
    <row r="3163" spans="37:44" ht="30" hidden="1" customHeight="1">
      <c r="AK3163" s="313"/>
      <c r="AL3163" s="313"/>
      <c r="AM3163" s="313"/>
      <c r="AN3163" s="313"/>
      <c r="AO3163" s="313"/>
      <c r="AP3163" s="313"/>
      <c r="AQ3163" s="314"/>
      <c r="AR3163" s="315" t="str">
        <f t="shared" si="123"/>
        <v/>
      </c>
    </row>
    <row r="3164" spans="37:44" ht="30" hidden="1" customHeight="1">
      <c r="AK3164" s="313"/>
      <c r="AL3164" s="313"/>
      <c r="AM3164" s="313"/>
      <c r="AN3164" s="313"/>
      <c r="AO3164" s="313"/>
      <c r="AP3164" s="313"/>
      <c r="AQ3164" s="314"/>
      <c r="AR3164" s="315" t="str">
        <f t="shared" si="123"/>
        <v/>
      </c>
    </row>
    <row r="3165" spans="37:44" ht="30" hidden="1" customHeight="1">
      <c r="AK3165" s="313"/>
      <c r="AL3165" s="313"/>
      <c r="AM3165" s="313"/>
      <c r="AN3165" s="313"/>
      <c r="AO3165" s="313"/>
      <c r="AP3165" s="313"/>
      <c r="AQ3165" s="314"/>
      <c r="AR3165" s="315" t="str">
        <f t="shared" si="123"/>
        <v/>
      </c>
    </row>
    <row r="3166" spans="37:44" ht="30" hidden="1" customHeight="1">
      <c r="AK3166" s="313"/>
      <c r="AL3166" s="313"/>
      <c r="AM3166" s="313"/>
      <c r="AN3166" s="313"/>
      <c r="AO3166" s="313"/>
      <c r="AP3166" s="313"/>
      <c r="AQ3166" s="314"/>
      <c r="AR3166" s="315" t="str">
        <f t="shared" si="123"/>
        <v/>
      </c>
    </row>
    <row r="3167" spans="37:44" ht="30" hidden="1" customHeight="1">
      <c r="AK3167" s="313"/>
      <c r="AL3167" s="313"/>
      <c r="AM3167" s="313"/>
      <c r="AN3167" s="313"/>
      <c r="AO3167" s="313"/>
      <c r="AP3167" s="313"/>
      <c r="AQ3167" s="314"/>
      <c r="AR3167" s="315" t="str">
        <f t="shared" si="123"/>
        <v/>
      </c>
    </row>
    <row r="3168" spans="37:44" ht="30" hidden="1" customHeight="1">
      <c r="AK3168" s="313"/>
      <c r="AL3168" s="313"/>
      <c r="AM3168" s="313"/>
      <c r="AN3168" s="313"/>
      <c r="AO3168" s="313"/>
      <c r="AP3168" s="313"/>
      <c r="AQ3168" s="314"/>
      <c r="AR3168" s="315" t="str">
        <f t="shared" si="123"/>
        <v/>
      </c>
    </row>
    <row r="3169" spans="37:44" ht="30" hidden="1" customHeight="1">
      <c r="AK3169" s="313"/>
      <c r="AL3169" s="313"/>
      <c r="AM3169" s="313"/>
      <c r="AN3169" s="313"/>
      <c r="AO3169" s="313"/>
      <c r="AP3169" s="313"/>
      <c r="AQ3169" s="314"/>
      <c r="AR3169" s="315" t="str">
        <f t="shared" si="123"/>
        <v/>
      </c>
    </row>
    <row r="3170" spans="37:44" ht="30" hidden="1" customHeight="1">
      <c r="AK3170" s="313"/>
      <c r="AL3170" s="313"/>
      <c r="AM3170" s="313"/>
      <c r="AN3170" s="313"/>
      <c r="AO3170" s="313"/>
      <c r="AP3170" s="313"/>
      <c r="AQ3170" s="314"/>
      <c r="AR3170" s="315" t="str">
        <f t="shared" si="123"/>
        <v/>
      </c>
    </row>
    <row r="3171" spans="37:44" ht="30" hidden="1" customHeight="1">
      <c r="AK3171" s="313"/>
      <c r="AL3171" s="313"/>
      <c r="AM3171" s="313"/>
      <c r="AN3171" s="313"/>
      <c r="AO3171" s="313"/>
      <c r="AP3171" s="313"/>
      <c r="AQ3171" s="314"/>
      <c r="AR3171" s="315" t="str">
        <f t="shared" si="123"/>
        <v/>
      </c>
    </row>
    <row r="3172" spans="37:44" ht="30" hidden="1" customHeight="1">
      <c r="AK3172" s="313"/>
      <c r="AL3172" s="313"/>
      <c r="AM3172" s="313"/>
      <c r="AN3172" s="313"/>
      <c r="AO3172" s="313"/>
      <c r="AP3172" s="313"/>
      <c r="AQ3172" s="314"/>
      <c r="AR3172" s="315" t="str">
        <f t="shared" si="123"/>
        <v/>
      </c>
    </row>
    <row r="3173" spans="37:44" ht="30" hidden="1" customHeight="1">
      <c r="AK3173" s="313"/>
      <c r="AL3173" s="313"/>
      <c r="AM3173" s="313"/>
      <c r="AN3173" s="313"/>
      <c r="AO3173" s="313"/>
      <c r="AP3173" s="313"/>
      <c r="AQ3173" s="314"/>
      <c r="AR3173" s="315" t="str">
        <f t="shared" si="123"/>
        <v/>
      </c>
    </row>
    <row r="3174" spans="37:44" ht="30" hidden="1" customHeight="1">
      <c r="AK3174" s="313"/>
      <c r="AL3174" s="313"/>
      <c r="AM3174" s="313"/>
      <c r="AN3174" s="313"/>
      <c r="AO3174" s="313"/>
      <c r="AP3174" s="313"/>
      <c r="AQ3174" s="314"/>
      <c r="AR3174" s="315" t="str">
        <f t="shared" si="123"/>
        <v/>
      </c>
    </row>
    <row r="3175" spans="37:44" ht="30" hidden="1" customHeight="1">
      <c r="AK3175" s="313"/>
      <c r="AL3175" s="313"/>
      <c r="AM3175" s="313"/>
      <c r="AN3175" s="313"/>
      <c r="AO3175" s="313"/>
      <c r="AP3175" s="313"/>
      <c r="AQ3175" s="314"/>
      <c r="AR3175" s="315" t="str">
        <f t="shared" si="123"/>
        <v/>
      </c>
    </row>
    <row r="3176" spans="37:44" ht="30" hidden="1" customHeight="1">
      <c r="AK3176" s="313"/>
      <c r="AL3176" s="313"/>
      <c r="AM3176" s="313"/>
      <c r="AN3176" s="313"/>
      <c r="AO3176" s="313"/>
      <c r="AP3176" s="313"/>
      <c r="AQ3176" s="314"/>
      <c r="AR3176" s="315" t="str">
        <f t="shared" si="123"/>
        <v/>
      </c>
    </row>
    <row r="3177" spans="37:44" ht="30" hidden="1" customHeight="1">
      <c r="AK3177" s="313"/>
      <c r="AL3177" s="313"/>
      <c r="AM3177" s="313"/>
      <c r="AN3177" s="313"/>
      <c r="AO3177" s="313"/>
      <c r="AP3177" s="313"/>
      <c r="AQ3177" s="314"/>
      <c r="AR3177" s="315" t="str">
        <f t="shared" si="123"/>
        <v/>
      </c>
    </row>
    <row r="3178" spans="37:44" ht="30" hidden="1" customHeight="1">
      <c r="AK3178" s="313"/>
      <c r="AL3178" s="313"/>
      <c r="AM3178" s="313"/>
      <c r="AN3178" s="313"/>
      <c r="AO3178" s="313"/>
      <c r="AP3178" s="313"/>
      <c r="AQ3178" s="314"/>
      <c r="AR3178" s="315" t="str">
        <f t="shared" si="123"/>
        <v/>
      </c>
    </row>
    <row r="3179" spans="37:44" ht="30" hidden="1" customHeight="1">
      <c r="AK3179" s="313"/>
      <c r="AL3179" s="313"/>
      <c r="AM3179" s="313"/>
      <c r="AN3179" s="313"/>
      <c r="AO3179" s="313"/>
      <c r="AP3179" s="313"/>
      <c r="AQ3179" s="314"/>
      <c r="AR3179" s="315" t="str">
        <f t="shared" si="123"/>
        <v/>
      </c>
    </row>
    <row r="3180" spans="37:44" ht="30" hidden="1" customHeight="1">
      <c r="AK3180" s="313"/>
      <c r="AL3180" s="313"/>
      <c r="AM3180" s="313"/>
      <c r="AN3180" s="313"/>
      <c r="AO3180" s="313"/>
      <c r="AP3180" s="313"/>
      <c r="AQ3180" s="314"/>
      <c r="AR3180" s="315" t="str">
        <f t="shared" si="123"/>
        <v/>
      </c>
    </row>
    <row r="3181" spans="37:44" ht="30" hidden="1" customHeight="1">
      <c r="AK3181" s="313"/>
      <c r="AL3181" s="313"/>
      <c r="AM3181" s="313"/>
      <c r="AN3181" s="313"/>
      <c r="AO3181" s="313"/>
      <c r="AP3181" s="313"/>
      <c r="AQ3181" s="314"/>
      <c r="AR3181" s="315" t="str">
        <f t="shared" si="123"/>
        <v/>
      </c>
    </row>
    <row r="3182" spans="37:44" ht="30" hidden="1" customHeight="1">
      <c r="AK3182" s="313"/>
      <c r="AL3182" s="313"/>
      <c r="AM3182" s="313"/>
      <c r="AN3182" s="313"/>
      <c r="AO3182" s="313"/>
      <c r="AP3182" s="313"/>
      <c r="AQ3182" s="314"/>
      <c r="AR3182" s="315" t="str">
        <f t="shared" si="123"/>
        <v/>
      </c>
    </row>
    <row r="3183" spans="37:44" ht="30" hidden="1" customHeight="1">
      <c r="AK3183" s="313"/>
      <c r="AL3183" s="313"/>
      <c r="AM3183" s="313"/>
      <c r="AN3183" s="313"/>
      <c r="AO3183" s="313"/>
      <c r="AP3183" s="313"/>
      <c r="AQ3183" s="314"/>
      <c r="AR3183" s="315" t="str">
        <f t="shared" si="123"/>
        <v/>
      </c>
    </row>
    <row r="3184" spans="37:44" ht="30" hidden="1" customHeight="1">
      <c r="AK3184" s="313"/>
      <c r="AL3184" s="313"/>
      <c r="AM3184" s="313"/>
      <c r="AN3184" s="313"/>
      <c r="AO3184" s="313"/>
      <c r="AP3184" s="313"/>
      <c r="AQ3184" s="314"/>
      <c r="AR3184" s="315" t="str">
        <f t="shared" si="123"/>
        <v/>
      </c>
    </row>
    <row r="3185" spans="37:44" ht="30" hidden="1" customHeight="1">
      <c r="AK3185" s="313"/>
      <c r="AL3185" s="313"/>
      <c r="AM3185" s="313"/>
      <c r="AN3185" s="313"/>
      <c r="AO3185" s="313"/>
      <c r="AP3185" s="313"/>
      <c r="AQ3185" s="314"/>
      <c r="AR3185" s="315" t="str">
        <f t="shared" si="123"/>
        <v/>
      </c>
    </row>
    <row r="3186" spans="37:44" ht="30" hidden="1" customHeight="1">
      <c r="AK3186" s="313"/>
      <c r="AL3186" s="313"/>
      <c r="AM3186" s="313"/>
      <c r="AN3186" s="313"/>
      <c r="AO3186" s="313"/>
      <c r="AP3186" s="313"/>
      <c r="AQ3186" s="314"/>
      <c r="AR3186" s="315" t="str">
        <f t="shared" si="123"/>
        <v/>
      </c>
    </row>
    <row r="3187" spans="37:44" ht="30" hidden="1" customHeight="1">
      <c r="AK3187" s="313"/>
      <c r="AL3187" s="313"/>
      <c r="AM3187" s="313"/>
      <c r="AN3187" s="313"/>
      <c r="AO3187" s="313"/>
      <c r="AP3187" s="313"/>
      <c r="AQ3187" s="314"/>
      <c r="AR3187" s="315" t="str">
        <f t="shared" si="123"/>
        <v/>
      </c>
    </row>
    <row r="3188" spans="37:44" ht="30" hidden="1" customHeight="1">
      <c r="AK3188" s="313"/>
      <c r="AL3188" s="313"/>
      <c r="AM3188" s="313"/>
      <c r="AN3188" s="313"/>
      <c r="AO3188" s="313"/>
      <c r="AP3188" s="313"/>
      <c r="AQ3188" s="314"/>
      <c r="AR3188" s="315" t="str">
        <f t="shared" si="123"/>
        <v/>
      </c>
    </row>
    <row r="3189" spans="37:44" ht="30" hidden="1" customHeight="1">
      <c r="AK3189" s="313"/>
      <c r="AL3189" s="313"/>
      <c r="AM3189" s="313"/>
      <c r="AN3189" s="313"/>
      <c r="AO3189" s="313"/>
      <c r="AP3189" s="313"/>
      <c r="AQ3189" s="314"/>
      <c r="AR3189" s="315" t="str">
        <f t="shared" si="123"/>
        <v/>
      </c>
    </row>
    <row r="3190" spans="37:44" ht="30" hidden="1" customHeight="1">
      <c r="AK3190" s="313"/>
      <c r="AL3190" s="313"/>
      <c r="AM3190" s="313"/>
      <c r="AN3190" s="313"/>
      <c r="AO3190" s="313"/>
      <c r="AP3190" s="313"/>
      <c r="AQ3190" s="314"/>
      <c r="AR3190" s="315" t="str">
        <f t="shared" si="123"/>
        <v/>
      </c>
    </row>
    <row r="3191" spans="37:44" ht="30" hidden="1" customHeight="1">
      <c r="AK3191" s="313"/>
      <c r="AL3191" s="313"/>
      <c r="AM3191" s="313"/>
      <c r="AN3191" s="313"/>
      <c r="AO3191" s="313"/>
      <c r="AP3191" s="313"/>
      <c r="AQ3191" s="314"/>
      <c r="AR3191" s="315" t="str">
        <f t="shared" si="123"/>
        <v/>
      </c>
    </row>
    <row r="3192" spans="37:44" ht="30" hidden="1" customHeight="1">
      <c r="AK3192" s="313"/>
      <c r="AL3192" s="313"/>
      <c r="AM3192" s="313"/>
      <c r="AN3192" s="313"/>
      <c r="AO3192" s="313"/>
      <c r="AP3192" s="313"/>
      <c r="AQ3192" s="314"/>
      <c r="AR3192" s="315" t="str">
        <f t="shared" si="123"/>
        <v/>
      </c>
    </row>
    <row r="3193" spans="37:44" ht="30" hidden="1" customHeight="1">
      <c r="AK3193" s="313"/>
      <c r="AL3193" s="313"/>
      <c r="AM3193" s="313"/>
      <c r="AN3193" s="313"/>
      <c r="AO3193" s="313"/>
      <c r="AP3193" s="313"/>
      <c r="AQ3193" s="314"/>
      <c r="AR3193" s="315" t="str">
        <f t="shared" si="123"/>
        <v/>
      </c>
    </row>
    <row r="3194" spans="37:44" ht="30" hidden="1" customHeight="1">
      <c r="AK3194" s="313"/>
      <c r="AL3194" s="313"/>
      <c r="AM3194" s="313"/>
      <c r="AN3194" s="313"/>
      <c r="AO3194" s="313"/>
      <c r="AP3194" s="313"/>
      <c r="AQ3194" s="314"/>
      <c r="AR3194" s="315" t="str">
        <f t="shared" si="123"/>
        <v/>
      </c>
    </row>
    <row r="3195" spans="37:44" ht="30" hidden="1" customHeight="1">
      <c r="AK3195" s="313"/>
      <c r="AL3195" s="313"/>
      <c r="AM3195" s="313"/>
      <c r="AN3195" s="313"/>
      <c r="AO3195" s="313"/>
      <c r="AP3195" s="313"/>
      <c r="AQ3195" s="314"/>
      <c r="AR3195" s="315" t="str">
        <f t="shared" si="123"/>
        <v/>
      </c>
    </row>
    <row r="3196" spans="37:44" ht="30" hidden="1" customHeight="1">
      <c r="AK3196" s="313"/>
      <c r="AL3196" s="313"/>
      <c r="AM3196" s="313"/>
      <c r="AN3196" s="313"/>
      <c r="AO3196" s="313"/>
      <c r="AP3196" s="313"/>
      <c r="AQ3196" s="314"/>
      <c r="AR3196" s="315" t="str">
        <f t="shared" si="123"/>
        <v/>
      </c>
    </row>
    <row r="3197" spans="37:44" ht="30" hidden="1" customHeight="1">
      <c r="AK3197" s="313"/>
      <c r="AL3197" s="313"/>
      <c r="AM3197" s="313"/>
      <c r="AN3197" s="313"/>
      <c r="AO3197" s="313"/>
      <c r="AP3197" s="313"/>
      <c r="AQ3197" s="314"/>
      <c r="AR3197" s="315" t="str">
        <f t="shared" si="123"/>
        <v/>
      </c>
    </row>
    <row r="3198" spans="37:44" ht="30" hidden="1" customHeight="1">
      <c r="AK3198" s="313"/>
      <c r="AL3198" s="313"/>
      <c r="AM3198" s="313"/>
      <c r="AN3198" s="313"/>
      <c r="AO3198" s="313"/>
      <c r="AP3198" s="313"/>
      <c r="AQ3198" s="314"/>
      <c r="AR3198" s="315" t="str">
        <f t="shared" si="123"/>
        <v/>
      </c>
    </row>
    <row r="3199" spans="37:44" ht="30" hidden="1" customHeight="1">
      <c r="AK3199" s="313"/>
      <c r="AL3199" s="313"/>
      <c r="AM3199" s="313"/>
      <c r="AN3199" s="313"/>
      <c r="AO3199" s="313"/>
      <c r="AP3199" s="313"/>
      <c r="AQ3199" s="314"/>
      <c r="AR3199" s="315" t="str">
        <f t="shared" ref="AR3199:AR3262" si="124">IF(AQ3199="SIM","AGUARDANDO CORREÇÃO",IF(AP3199&lt;&gt;"","FINALIZADO",IF(AO3199&lt;&gt;"","AGUARDANDO ENVIO DTS",IF(AN3199&lt;&gt;"","AGUARDANDO ASSINATURA GAB",IF(AM3199&lt;&gt;"","AGUARDANDO ASSINATURA CTS",IF(AL3199&lt;&gt;"","AGUARDANDO ENVIO ASSINATURA CTS",IF(AK3199&lt;&gt;"","AGUARDANDO CONFERÊNCIA","")))))))</f>
        <v/>
      </c>
    </row>
    <row r="3200" spans="37:44" ht="30" hidden="1" customHeight="1">
      <c r="AK3200" s="313"/>
      <c r="AL3200" s="313"/>
      <c r="AM3200" s="313"/>
      <c r="AN3200" s="313"/>
      <c r="AO3200" s="313"/>
      <c r="AP3200" s="313"/>
      <c r="AQ3200" s="314"/>
      <c r="AR3200" s="315" t="str">
        <f t="shared" si="124"/>
        <v/>
      </c>
    </row>
    <row r="3201" spans="37:44" ht="30" hidden="1" customHeight="1">
      <c r="AK3201" s="313"/>
      <c r="AL3201" s="313"/>
      <c r="AM3201" s="313"/>
      <c r="AN3201" s="313"/>
      <c r="AO3201" s="313"/>
      <c r="AP3201" s="313"/>
      <c r="AQ3201" s="314"/>
      <c r="AR3201" s="315" t="str">
        <f t="shared" si="124"/>
        <v/>
      </c>
    </row>
    <row r="3202" spans="37:44" ht="30" hidden="1" customHeight="1">
      <c r="AK3202" s="313"/>
      <c r="AL3202" s="313"/>
      <c r="AM3202" s="313"/>
      <c r="AN3202" s="313"/>
      <c r="AO3202" s="313"/>
      <c r="AP3202" s="313"/>
      <c r="AQ3202" s="314"/>
      <c r="AR3202" s="315" t="str">
        <f t="shared" si="124"/>
        <v/>
      </c>
    </row>
    <row r="3203" spans="37:44" ht="30" hidden="1" customHeight="1">
      <c r="AK3203" s="313"/>
      <c r="AL3203" s="313"/>
      <c r="AM3203" s="313"/>
      <c r="AN3203" s="313"/>
      <c r="AO3203" s="313"/>
      <c r="AP3203" s="313"/>
      <c r="AQ3203" s="314"/>
      <c r="AR3203" s="315" t="str">
        <f t="shared" si="124"/>
        <v/>
      </c>
    </row>
    <row r="3204" spans="37:44" ht="30" hidden="1" customHeight="1">
      <c r="AK3204" s="313"/>
      <c r="AL3204" s="313"/>
      <c r="AM3204" s="313"/>
      <c r="AN3204" s="313"/>
      <c r="AO3204" s="313"/>
      <c r="AP3204" s="313"/>
      <c r="AQ3204" s="314"/>
      <c r="AR3204" s="315" t="str">
        <f t="shared" si="124"/>
        <v/>
      </c>
    </row>
    <row r="3205" spans="37:44" ht="30" hidden="1" customHeight="1">
      <c r="AK3205" s="313"/>
      <c r="AL3205" s="313"/>
      <c r="AM3205" s="313"/>
      <c r="AN3205" s="313"/>
      <c r="AO3205" s="313"/>
      <c r="AP3205" s="313"/>
      <c r="AQ3205" s="314"/>
      <c r="AR3205" s="315" t="str">
        <f t="shared" si="124"/>
        <v/>
      </c>
    </row>
    <row r="3206" spans="37:44" ht="30" hidden="1" customHeight="1">
      <c r="AK3206" s="313"/>
      <c r="AL3206" s="313"/>
      <c r="AM3206" s="313"/>
      <c r="AN3206" s="313"/>
      <c r="AO3206" s="313"/>
      <c r="AP3206" s="313"/>
      <c r="AQ3206" s="314"/>
      <c r="AR3206" s="315" t="str">
        <f t="shared" si="124"/>
        <v/>
      </c>
    </row>
    <row r="3207" spans="37:44" ht="30" hidden="1" customHeight="1">
      <c r="AK3207" s="313"/>
      <c r="AL3207" s="313"/>
      <c r="AM3207" s="313"/>
      <c r="AN3207" s="313"/>
      <c r="AO3207" s="313"/>
      <c r="AP3207" s="313"/>
      <c r="AQ3207" s="314"/>
      <c r="AR3207" s="315" t="str">
        <f t="shared" si="124"/>
        <v/>
      </c>
    </row>
    <row r="3208" spans="37:44" ht="30" hidden="1" customHeight="1">
      <c r="AK3208" s="313"/>
      <c r="AL3208" s="313"/>
      <c r="AM3208" s="313"/>
      <c r="AN3208" s="313"/>
      <c r="AO3208" s="313"/>
      <c r="AP3208" s="313"/>
      <c r="AQ3208" s="314"/>
      <c r="AR3208" s="315" t="str">
        <f t="shared" si="124"/>
        <v/>
      </c>
    </row>
    <row r="3209" spans="37:44" ht="30" hidden="1" customHeight="1">
      <c r="AK3209" s="313"/>
      <c r="AL3209" s="313"/>
      <c r="AM3209" s="313"/>
      <c r="AN3209" s="313"/>
      <c r="AO3209" s="313"/>
      <c r="AP3209" s="313"/>
      <c r="AQ3209" s="314"/>
      <c r="AR3209" s="315" t="str">
        <f t="shared" si="124"/>
        <v/>
      </c>
    </row>
    <row r="3210" spans="37:44" ht="30" hidden="1" customHeight="1">
      <c r="AK3210" s="313"/>
      <c r="AL3210" s="313"/>
      <c r="AM3210" s="313"/>
      <c r="AN3210" s="313"/>
      <c r="AO3210" s="313"/>
      <c r="AP3210" s="313"/>
      <c r="AQ3210" s="314"/>
      <c r="AR3210" s="315" t="str">
        <f t="shared" si="124"/>
        <v/>
      </c>
    </row>
    <row r="3211" spans="37:44" ht="30" hidden="1" customHeight="1">
      <c r="AK3211" s="313"/>
      <c r="AL3211" s="313"/>
      <c r="AM3211" s="313"/>
      <c r="AN3211" s="313"/>
      <c r="AO3211" s="313"/>
      <c r="AP3211" s="313"/>
      <c r="AQ3211" s="314"/>
      <c r="AR3211" s="315" t="str">
        <f t="shared" si="124"/>
        <v/>
      </c>
    </row>
    <row r="3212" spans="37:44" ht="30" hidden="1" customHeight="1">
      <c r="AK3212" s="313"/>
      <c r="AL3212" s="313"/>
      <c r="AM3212" s="313"/>
      <c r="AN3212" s="313"/>
      <c r="AO3212" s="313"/>
      <c r="AP3212" s="313"/>
      <c r="AQ3212" s="314"/>
      <c r="AR3212" s="315" t="str">
        <f t="shared" si="124"/>
        <v/>
      </c>
    </row>
    <row r="3213" spans="37:44" ht="30" hidden="1" customHeight="1">
      <c r="AK3213" s="313"/>
      <c r="AL3213" s="313"/>
      <c r="AM3213" s="313"/>
      <c r="AN3213" s="313"/>
      <c r="AO3213" s="313"/>
      <c r="AP3213" s="313"/>
      <c r="AQ3213" s="314"/>
      <c r="AR3213" s="315" t="str">
        <f t="shared" si="124"/>
        <v/>
      </c>
    </row>
    <row r="3214" spans="37:44" ht="30" hidden="1" customHeight="1">
      <c r="AK3214" s="313"/>
      <c r="AL3214" s="313"/>
      <c r="AM3214" s="313"/>
      <c r="AN3214" s="313"/>
      <c r="AO3214" s="313"/>
      <c r="AP3214" s="313"/>
      <c r="AQ3214" s="314"/>
      <c r="AR3214" s="315" t="str">
        <f t="shared" si="124"/>
        <v/>
      </c>
    </row>
    <row r="3215" spans="37:44" ht="30" hidden="1" customHeight="1">
      <c r="AK3215" s="313"/>
      <c r="AL3215" s="313"/>
      <c r="AM3215" s="313"/>
      <c r="AN3215" s="313"/>
      <c r="AO3215" s="313"/>
      <c r="AP3215" s="313"/>
      <c r="AQ3215" s="314"/>
      <c r="AR3215" s="315" t="str">
        <f t="shared" si="124"/>
        <v/>
      </c>
    </row>
    <row r="3216" spans="37:44" ht="30" hidden="1" customHeight="1">
      <c r="AK3216" s="313"/>
      <c r="AL3216" s="313"/>
      <c r="AM3216" s="313"/>
      <c r="AN3216" s="313"/>
      <c r="AO3216" s="313"/>
      <c r="AP3216" s="313"/>
      <c r="AQ3216" s="314"/>
      <c r="AR3216" s="315" t="str">
        <f t="shared" si="124"/>
        <v/>
      </c>
    </row>
    <row r="3217" spans="37:44" ht="30" hidden="1" customHeight="1">
      <c r="AK3217" s="313"/>
      <c r="AL3217" s="313"/>
      <c r="AM3217" s="313"/>
      <c r="AN3217" s="313"/>
      <c r="AO3217" s="313"/>
      <c r="AP3217" s="313"/>
      <c r="AQ3217" s="314"/>
      <c r="AR3217" s="315" t="str">
        <f t="shared" si="124"/>
        <v/>
      </c>
    </row>
    <row r="3218" spans="37:44" ht="30" hidden="1" customHeight="1">
      <c r="AK3218" s="313"/>
      <c r="AL3218" s="313"/>
      <c r="AM3218" s="313"/>
      <c r="AN3218" s="313"/>
      <c r="AO3218" s="313"/>
      <c r="AP3218" s="313"/>
      <c r="AQ3218" s="314"/>
      <c r="AR3218" s="315" t="str">
        <f t="shared" si="124"/>
        <v/>
      </c>
    </row>
    <row r="3219" spans="37:44" ht="30" hidden="1" customHeight="1">
      <c r="AK3219" s="313"/>
      <c r="AL3219" s="313"/>
      <c r="AM3219" s="313"/>
      <c r="AN3219" s="313"/>
      <c r="AO3219" s="313"/>
      <c r="AP3219" s="313"/>
      <c r="AQ3219" s="314"/>
      <c r="AR3219" s="315" t="str">
        <f t="shared" si="124"/>
        <v/>
      </c>
    </row>
    <row r="3220" spans="37:44" ht="30" hidden="1" customHeight="1">
      <c r="AK3220" s="313"/>
      <c r="AL3220" s="313"/>
      <c r="AM3220" s="313"/>
      <c r="AN3220" s="313"/>
      <c r="AO3220" s="313"/>
      <c r="AP3220" s="313"/>
      <c r="AQ3220" s="314"/>
      <c r="AR3220" s="315" t="str">
        <f t="shared" si="124"/>
        <v/>
      </c>
    </row>
    <row r="3221" spans="37:44" ht="30" hidden="1" customHeight="1">
      <c r="AK3221" s="313"/>
      <c r="AL3221" s="313"/>
      <c r="AM3221" s="313"/>
      <c r="AN3221" s="313"/>
      <c r="AO3221" s="313"/>
      <c r="AP3221" s="313"/>
      <c r="AQ3221" s="314"/>
      <c r="AR3221" s="315" t="str">
        <f t="shared" si="124"/>
        <v/>
      </c>
    </row>
    <row r="3222" spans="37:44" ht="30" hidden="1" customHeight="1">
      <c r="AK3222" s="313"/>
      <c r="AL3222" s="313"/>
      <c r="AM3222" s="313"/>
      <c r="AN3222" s="313"/>
      <c r="AO3222" s="313"/>
      <c r="AP3222" s="313"/>
      <c r="AQ3222" s="314"/>
      <c r="AR3222" s="315" t="str">
        <f t="shared" si="124"/>
        <v/>
      </c>
    </row>
    <row r="3223" spans="37:44" ht="30" hidden="1" customHeight="1">
      <c r="AK3223" s="313"/>
      <c r="AL3223" s="313"/>
      <c r="AM3223" s="313"/>
      <c r="AN3223" s="313"/>
      <c r="AO3223" s="313"/>
      <c r="AP3223" s="313"/>
      <c r="AQ3223" s="314"/>
      <c r="AR3223" s="315" t="str">
        <f t="shared" si="124"/>
        <v/>
      </c>
    </row>
    <row r="3224" spans="37:44" ht="30" hidden="1" customHeight="1">
      <c r="AK3224" s="313"/>
      <c r="AL3224" s="313"/>
      <c r="AM3224" s="313"/>
      <c r="AN3224" s="313"/>
      <c r="AO3224" s="313"/>
      <c r="AP3224" s="313"/>
      <c r="AQ3224" s="314"/>
      <c r="AR3224" s="315" t="str">
        <f t="shared" si="124"/>
        <v/>
      </c>
    </row>
    <row r="3225" spans="37:44" ht="30" hidden="1" customHeight="1">
      <c r="AK3225" s="313"/>
      <c r="AL3225" s="313"/>
      <c r="AM3225" s="313"/>
      <c r="AN3225" s="313"/>
      <c r="AO3225" s="313"/>
      <c r="AP3225" s="313"/>
      <c r="AQ3225" s="314"/>
      <c r="AR3225" s="315" t="str">
        <f t="shared" si="124"/>
        <v/>
      </c>
    </row>
    <row r="3226" spans="37:44" ht="30" hidden="1" customHeight="1">
      <c r="AK3226" s="313"/>
      <c r="AL3226" s="313"/>
      <c r="AM3226" s="313"/>
      <c r="AN3226" s="313"/>
      <c r="AO3226" s="313"/>
      <c r="AP3226" s="313"/>
      <c r="AQ3226" s="314"/>
      <c r="AR3226" s="315" t="str">
        <f t="shared" si="124"/>
        <v/>
      </c>
    </row>
    <row r="3227" spans="37:44" ht="30" hidden="1" customHeight="1">
      <c r="AK3227" s="313"/>
      <c r="AL3227" s="313"/>
      <c r="AM3227" s="313"/>
      <c r="AN3227" s="313"/>
      <c r="AO3227" s="313"/>
      <c r="AP3227" s="313"/>
      <c r="AQ3227" s="314"/>
      <c r="AR3227" s="315" t="str">
        <f t="shared" si="124"/>
        <v/>
      </c>
    </row>
    <row r="3228" spans="37:44" ht="30" hidden="1" customHeight="1">
      <c r="AK3228" s="313"/>
      <c r="AL3228" s="313"/>
      <c r="AM3228" s="313"/>
      <c r="AN3228" s="313"/>
      <c r="AO3228" s="313"/>
      <c r="AP3228" s="313"/>
      <c r="AQ3228" s="314"/>
      <c r="AR3228" s="315" t="str">
        <f t="shared" si="124"/>
        <v/>
      </c>
    </row>
    <row r="3229" spans="37:44" ht="30" hidden="1" customHeight="1">
      <c r="AK3229" s="313"/>
      <c r="AL3229" s="313"/>
      <c r="AM3229" s="313"/>
      <c r="AN3229" s="313"/>
      <c r="AO3229" s="313"/>
      <c r="AP3229" s="313"/>
      <c r="AQ3229" s="314"/>
      <c r="AR3229" s="315" t="str">
        <f t="shared" si="124"/>
        <v/>
      </c>
    </row>
    <row r="3230" spans="37:44" ht="30" hidden="1" customHeight="1">
      <c r="AK3230" s="313"/>
      <c r="AL3230" s="313"/>
      <c r="AM3230" s="313"/>
      <c r="AN3230" s="313"/>
      <c r="AO3230" s="313"/>
      <c r="AP3230" s="313"/>
      <c r="AQ3230" s="314"/>
      <c r="AR3230" s="315" t="str">
        <f t="shared" si="124"/>
        <v/>
      </c>
    </row>
    <row r="3231" spans="37:44" ht="30" hidden="1" customHeight="1">
      <c r="AK3231" s="313"/>
      <c r="AL3231" s="313"/>
      <c r="AM3231" s="313"/>
      <c r="AN3231" s="313"/>
      <c r="AO3231" s="313"/>
      <c r="AP3231" s="313"/>
      <c r="AQ3231" s="314"/>
      <c r="AR3231" s="315" t="str">
        <f t="shared" si="124"/>
        <v/>
      </c>
    </row>
    <row r="3232" spans="37:44" ht="30" hidden="1" customHeight="1">
      <c r="AK3232" s="313"/>
      <c r="AL3232" s="313"/>
      <c r="AM3232" s="313"/>
      <c r="AN3232" s="313"/>
      <c r="AO3232" s="313"/>
      <c r="AP3232" s="313"/>
      <c r="AQ3232" s="314"/>
      <c r="AR3232" s="315" t="str">
        <f t="shared" si="124"/>
        <v/>
      </c>
    </row>
    <row r="3233" spans="37:44" ht="30" hidden="1" customHeight="1">
      <c r="AK3233" s="313"/>
      <c r="AL3233" s="313"/>
      <c r="AM3233" s="313"/>
      <c r="AN3233" s="313"/>
      <c r="AO3233" s="313"/>
      <c r="AP3233" s="313"/>
      <c r="AQ3233" s="314"/>
      <c r="AR3233" s="315" t="str">
        <f t="shared" si="124"/>
        <v/>
      </c>
    </row>
    <row r="3234" spans="37:44" ht="30" hidden="1" customHeight="1">
      <c r="AK3234" s="313"/>
      <c r="AL3234" s="313"/>
      <c r="AM3234" s="313"/>
      <c r="AN3234" s="313"/>
      <c r="AO3234" s="313"/>
      <c r="AP3234" s="313"/>
      <c r="AQ3234" s="314"/>
      <c r="AR3234" s="315" t="str">
        <f t="shared" si="124"/>
        <v/>
      </c>
    </row>
    <row r="3235" spans="37:44" ht="30" hidden="1" customHeight="1">
      <c r="AK3235" s="313"/>
      <c r="AL3235" s="313"/>
      <c r="AM3235" s="313"/>
      <c r="AN3235" s="313"/>
      <c r="AO3235" s="313"/>
      <c r="AP3235" s="313"/>
      <c r="AQ3235" s="314"/>
      <c r="AR3235" s="315" t="str">
        <f t="shared" si="124"/>
        <v/>
      </c>
    </row>
    <row r="3236" spans="37:44" ht="30" hidden="1" customHeight="1">
      <c r="AK3236" s="313"/>
      <c r="AL3236" s="313"/>
      <c r="AM3236" s="313"/>
      <c r="AN3236" s="313"/>
      <c r="AO3236" s="313"/>
      <c r="AP3236" s="313"/>
      <c r="AQ3236" s="314"/>
      <c r="AR3236" s="315" t="str">
        <f t="shared" si="124"/>
        <v/>
      </c>
    </row>
    <row r="3237" spans="37:44" ht="30" hidden="1" customHeight="1">
      <c r="AK3237" s="313"/>
      <c r="AL3237" s="313"/>
      <c r="AM3237" s="313"/>
      <c r="AN3237" s="313"/>
      <c r="AO3237" s="313"/>
      <c r="AP3237" s="313"/>
      <c r="AQ3237" s="314"/>
      <c r="AR3237" s="315" t="str">
        <f t="shared" si="124"/>
        <v/>
      </c>
    </row>
    <row r="3238" spans="37:44" ht="30" hidden="1" customHeight="1">
      <c r="AK3238" s="313"/>
      <c r="AL3238" s="313"/>
      <c r="AM3238" s="313"/>
      <c r="AN3238" s="313"/>
      <c r="AO3238" s="313"/>
      <c r="AP3238" s="313"/>
      <c r="AQ3238" s="314"/>
      <c r="AR3238" s="315" t="str">
        <f t="shared" si="124"/>
        <v/>
      </c>
    </row>
    <row r="3239" spans="37:44" ht="30" hidden="1" customHeight="1">
      <c r="AK3239" s="313"/>
      <c r="AL3239" s="313"/>
      <c r="AM3239" s="313"/>
      <c r="AN3239" s="313"/>
      <c r="AO3239" s="313"/>
      <c r="AP3239" s="313"/>
      <c r="AQ3239" s="314"/>
      <c r="AR3239" s="315" t="str">
        <f t="shared" si="124"/>
        <v/>
      </c>
    </row>
    <row r="3240" spans="37:44" ht="30" hidden="1" customHeight="1">
      <c r="AK3240" s="313"/>
      <c r="AL3240" s="313"/>
      <c r="AM3240" s="313"/>
      <c r="AN3240" s="313"/>
      <c r="AO3240" s="313"/>
      <c r="AP3240" s="313"/>
      <c r="AQ3240" s="314"/>
      <c r="AR3240" s="315" t="str">
        <f t="shared" si="124"/>
        <v/>
      </c>
    </row>
    <row r="3241" spans="37:44" ht="30" hidden="1" customHeight="1">
      <c r="AK3241" s="313"/>
      <c r="AL3241" s="313"/>
      <c r="AM3241" s="313"/>
      <c r="AN3241" s="313"/>
      <c r="AO3241" s="313"/>
      <c r="AP3241" s="313"/>
      <c r="AQ3241" s="314"/>
      <c r="AR3241" s="315" t="str">
        <f t="shared" si="124"/>
        <v/>
      </c>
    </row>
    <row r="3242" spans="37:44" ht="30" hidden="1" customHeight="1">
      <c r="AK3242" s="313"/>
      <c r="AL3242" s="313"/>
      <c r="AM3242" s="313"/>
      <c r="AN3242" s="313"/>
      <c r="AO3242" s="313"/>
      <c r="AP3242" s="313"/>
      <c r="AQ3242" s="314"/>
      <c r="AR3242" s="315" t="str">
        <f t="shared" si="124"/>
        <v/>
      </c>
    </row>
    <row r="3243" spans="37:44" ht="30" hidden="1" customHeight="1">
      <c r="AK3243" s="313"/>
      <c r="AL3243" s="313"/>
      <c r="AM3243" s="313"/>
      <c r="AN3243" s="313"/>
      <c r="AO3243" s="313"/>
      <c r="AP3243" s="313"/>
      <c r="AQ3243" s="314"/>
      <c r="AR3243" s="315" t="str">
        <f t="shared" si="124"/>
        <v/>
      </c>
    </row>
    <row r="3244" spans="37:44" ht="30" hidden="1" customHeight="1">
      <c r="AK3244" s="313"/>
      <c r="AL3244" s="313"/>
      <c r="AM3244" s="313"/>
      <c r="AN3244" s="313"/>
      <c r="AO3244" s="313"/>
      <c r="AP3244" s="313"/>
      <c r="AQ3244" s="314"/>
      <c r="AR3244" s="315" t="str">
        <f t="shared" si="124"/>
        <v/>
      </c>
    </row>
    <row r="3245" spans="37:44" ht="30" hidden="1" customHeight="1">
      <c r="AK3245" s="313"/>
      <c r="AL3245" s="313"/>
      <c r="AM3245" s="313"/>
      <c r="AN3245" s="313"/>
      <c r="AO3245" s="313"/>
      <c r="AP3245" s="313"/>
      <c r="AQ3245" s="314"/>
      <c r="AR3245" s="315" t="str">
        <f t="shared" si="124"/>
        <v/>
      </c>
    </row>
    <row r="3246" spans="37:44" ht="30" hidden="1" customHeight="1">
      <c r="AK3246" s="313"/>
      <c r="AL3246" s="313"/>
      <c r="AM3246" s="313"/>
      <c r="AN3246" s="313"/>
      <c r="AO3246" s="313"/>
      <c r="AP3246" s="313"/>
      <c r="AQ3246" s="314"/>
      <c r="AR3246" s="315" t="str">
        <f t="shared" si="124"/>
        <v/>
      </c>
    </row>
    <row r="3247" spans="37:44" ht="30" hidden="1" customHeight="1">
      <c r="AK3247" s="313"/>
      <c r="AL3247" s="313"/>
      <c r="AM3247" s="313"/>
      <c r="AN3247" s="313"/>
      <c r="AO3247" s="313"/>
      <c r="AP3247" s="313"/>
      <c r="AQ3247" s="314"/>
      <c r="AR3247" s="315" t="str">
        <f t="shared" si="124"/>
        <v/>
      </c>
    </row>
    <row r="3248" spans="37:44" ht="30" hidden="1" customHeight="1">
      <c r="AK3248" s="313"/>
      <c r="AL3248" s="313"/>
      <c r="AM3248" s="313"/>
      <c r="AN3248" s="313"/>
      <c r="AO3248" s="313"/>
      <c r="AP3248" s="313"/>
      <c r="AQ3248" s="314"/>
      <c r="AR3248" s="315" t="str">
        <f t="shared" si="124"/>
        <v/>
      </c>
    </row>
    <row r="3249" spans="37:44" ht="30" hidden="1" customHeight="1">
      <c r="AK3249" s="313"/>
      <c r="AL3249" s="313"/>
      <c r="AM3249" s="313"/>
      <c r="AN3249" s="313"/>
      <c r="AO3249" s="313"/>
      <c r="AP3249" s="313"/>
      <c r="AQ3249" s="314"/>
      <c r="AR3249" s="315" t="str">
        <f t="shared" si="124"/>
        <v/>
      </c>
    </row>
    <row r="3250" spans="37:44" ht="30" hidden="1" customHeight="1">
      <c r="AK3250" s="313"/>
      <c r="AL3250" s="313"/>
      <c r="AM3250" s="313"/>
      <c r="AN3250" s="313"/>
      <c r="AO3250" s="313"/>
      <c r="AP3250" s="313"/>
      <c r="AQ3250" s="314"/>
      <c r="AR3250" s="315" t="str">
        <f t="shared" si="124"/>
        <v/>
      </c>
    </row>
    <row r="3251" spans="37:44" ht="30" hidden="1" customHeight="1">
      <c r="AK3251" s="313"/>
      <c r="AL3251" s="313"/>
      <c r="AM3251" s="313"/>
      <c r="AN3251" s="313"/>
      <c r="AO3251" s="313"/>
      <c r="AP3251" s="313"/>
      <c r="AQ3251" s="314"/>
      <c r="AR3251" s="315" t="str">
        <f t="shared" si="124"/>
        <v/>
      </c>
    </row>
    <row r="3252" spans="37:44" ht="30" hidden="1" customHeight="1">
      <c r="AK3252" s="313"/>
      <c r="AL3252" s="313"/>
      <c r="AM3252" s="313"/>
      <c r="AN3252" s="313"/>
      <c r="AO3252" s="313"/>
      <c r="AP3252" s="313"/>
      <c r="AQ3252" s="314"/>
      <c r="AR3252" s="315" t="str">
        <f t="shared" si="124"/>
        <v/>
      </c>
    </row>
    <row r="3253" spans="37:44" ht="30" hidden="1" customHeight="1">
      <c r="AK3253" s="313"/>
      <c r="AL3253" s="313"/>
      <c r="AM3253" s="313"/>
      <c r="AN3253" s="313"/>
      <c r="AO3253" s="313"/>
      <c r="AP3253" s="313"/>
      <c r="AQ3253" s="314"/>
      <c r="AR3253" s="315" t="str">
        <f t="shared" si="124"/>
        <v/>
      </c>
    </row>
    <row r="3254" spans="37:44" ht="30" hidden="1" customHeight="1">
      <c r="AK3254" s="313"/>
      <c r="AL3254" s="313"/>
      <c r="AM3254" s="313"/>
      <c r="AN3254" s="313"/>
      <c r="AO3254" s="313"/>
      <c r="AP3254" s="313"/>
      <c r="AQ3254" s="314"/>
      <c r="AR3254" s="315" t="str">
        <f t="shared" si="124"/>
        <v/>
      </c>
    </row>
    <row r="3255" spans="37:44" ht="30" hidden="1" customHeight="1">
      <c r="AK3255" s="313"/>
      <c r="AL3255" s="313"/>
      <c r="AM3255" s="313"/>
      <c r="AN3255" s="313"/>
      <c r="AO3255" s="313"/>
      <c r="AP3255" s="313"/>
      <c r="AQ3255" s="314"/>
      <c r="AR3255" s="315" t="str">
        <f t="shared" si="124"/>
        <v/>
      </c>
    </row>
    <row r="3256" spans="37:44" ht="30" hidden="1" customHeight="1">
      <c r="AK3256" s="313"/>
      <c r="AL3256" s="313"/>
      <c r="AM3256" s="313"/>
      <c r="AN3256" s="313"/>
      <c r="AO3256" s="313"/>
      <c r="AP3256" s="313"/>
      <c r="AQ3256" s="314"/>
      <c r="AR3256" s="315" t="str">
        <f t="shared" si="124"/>
        <v/>
      </c>
    </row>
    <row r="3257" spans="37:44" ht="30" hidden="1" customHeight="1">
      <c r="AK3257" s="313"/>
      <c r="AL3257" s="313"/>
      <c r="AM3257" s="313"/>
      <c r="AN3257" s="313"/>
      <c r="AO3257" s="313"/>
      <c r="AP3257" s="313"/>
      <c r="AQ3257" s="314"/>
      <c r="AR3257" s="315" t="str">
        <f t="shared" si="124"/>
        <v/>
      </c>
    </row>
    <row r="3258" spans="37:44" ht="30" hidden="1" customHeight="1">
      <c r="AK3258" s="313"/>
      <c r="AL3258" s="313"/>
      <c r="AM3258" s="313"/>
      <c r="AN3258" s="313"/>
      <c r="AO3258" s="313"/>
      <c r="AP3258" s="313"/>
      <c r="AQ3258" s="314"/>
      <c r="AR3258" s="315" t="str">
        <f t="shared" si="124"/>
        <v/>
      </c>
    </row>
    <row r="3259" spans="37:44" ht="30" hidden="1" customHeight="1">
      <c r="AK3259" s="313"/>
      <c r="AL3259" s="313"/>
      <c r="AM3259" s="313"/>
      <c r="AN3259" s="313"/>
      <c r="AO3259" s="313"/>
      <c r="AP3259" s="313"/>
      <c r="AQ3259" s="314"/>
      <c r="AR3259" s="315" t="str">
        <f t="shared" si="124"/>
        <v/>
      </c>
    </row>
    <row r="3260" spans="37:44" ht="30" hidden="1" customHeight="1">
      <c r="AK3260" s="313"/>
      <c r="AL3260" s="313"/>
      <c r="AM3260" s="313"/>
      <c r="AN3260" s="313"/>
      <c r="AO3260" s="313"/>
      <c r="AP3260" s="313"/>
      <c r="AQ3260" s="314"/>
      <c r="AR3260" s="315" t="str">
        <f t="shared" si="124"/>
        <v/>
      </c>
    </row>
    <row r="3261" spans="37:44" ht="30" hidden="1" customHeight="1">
      <c r="AK3261" s="313"/>
      <c r="AL3261" s="313"/>
      <c r="AM3261" s="313"/>
      <c r="AN3261" s="313"/>
      <c r="AO3261" s="313"/>
      <c r="AP3261" s="313"/>
      <c r="AQ3261" s="314"/>
      <c r="AR3261" s="315" t="str">
        <f t="shared" si="124"/>
        <v/>
      </c>
    </row>
    <row r="3262" spans="37:44" ht="30" hidden="1" customHeight="1">
      <c r="AK3262" s="313"/>
      <c r="AL3262" s="313"/>
      <c r="AM3262" s="313"/>
      <c r="AN3262" s="313"/>
      <c r="AO3262" s="313"/>
      <c r="AP3262" s="313"/>
      <c r="AQ3262" s="314"/>
      <c r="AR3262" s="315" t="str">
        <f t="shared" si="124"/>
        <v/>
      </c>
    </row>
    <row r="3263" spans="37:44" ht="30" hidden="1" customHeight="1">
      <c r="AK3263" s="313"/>
      <c r="AL3263" s="313"/>
      <c r="AM3263" s="313"/>
      <c r="AN3263" s="313"/>
      <c r="AO3263" s="313"/>
      <c r="AP3263" s="313"/>
      <c r="AQ3263" s="314"/>
      <c r="AR3263" s="315" t="str">
        <f t="shared" ref="AR3263:AR3326" si="125">IF(AQ3263="SIM","AGUARDANDO CORREÇÃO",IF(AP3263&lt;&gt;"","FINALIZADO",IF(AO3263&lt;&gt;"","AGUARDANDO ENVIO DTS",IF(AN3263&lt;&gt;"","AGUARDANDO ASSINATURA GAB",IF(AM3263&lt;&gt;"","AGUARDANDO ASSINATURA CTS",IF(AL3263&lt;&gt;"","AGUARDANDO ENVIO ASSINATURA CTS",IF(AK3263&lt;&gt;"","AGUARDANDO CONFERÊNCIA","")))))))</f>
        <v/>
      </c>
    </row>
    <row r="3264" spans="37:44" ht="30" hidden="1" customHeight="1">
      <c r="AK3264" s="313"/>
      <c r="AL3264" s="313"/>
      <c r="AM3264" s="313"/>
      <c r="AN3264" s="313"/>
      <c r="AO3264" s="313"/>
      <c r="AP3264" s="313"/>
      <c r="AQ3264" s="314"/>
      <c r="AR3264" s="315" t="str">
        <f t="shared" si="125"/>
        <v/>
      </c>
    </row>
    <row r="3265" spans="37:44" ht="30" hidden="1" customHeight="1">
      <c r="AK3265" s="313"/>
      <c r="AL3265" s="313"/>
      <c r="AM3265" s="313"/>
      <c r="AN3265" s="313"/>
      <c r="AO3265" s="313"/>
      <c r="AP3265" s="313"/>
      <c r="AQ3265" s="314"/>
      <c r="AR3265" s="315" t="str">
        <f t="shared" si="125"/>
        <v/>
      </c>
    </row>
    <row r="3266" spans="37:44" ht="30" hidden="1" customHeight="1">
      <c r="AK3266" s="313"/>
      <c r="AL3266" s="313"/>
      <c r="AM3266" s="313"/>
      <c r="AN3266" s="313"/>
      <c r="AO3266" s="313"/>
      <c r="AP3266" s="313"/>
      <c r="AQ3266" s="314"/>
      <c r="AR3266" s="315" t="str">
        <f t="shared" si="125"/>
        <v/>
      </c>
    </row>
    <row r="3267" spans="37:44" ht="30" hidden="1" customHeight="1">
      <c r="AK3267" s="313"/>
      <c r="AL3267" s="313"/>
      <c r="AM3267" s="313"/>
      <c r="AN3267" s="313"/>
      <c r="AO3267" s="313"/>
      <c r="AP3267" s="313"/>
      <c r="AQ3267" s="314"/>
      <c r="AR3267" s="315" t="str">
        <f t="shared" si="125"/>
        <v/>
      </c>
    </row>
    <row r="3268" spans="37:44" ht="30" hidden="1" customHeight="1">
      <c r="AK3268" s="313"/>
      <c r="AL3268" s="313"/>
      <c r="AM3268" s="313"/>
      <c r="AN3268" s="313"/>
      <c r="AO3268" s="313"/>
      <c r="AP3268" s="313"/>
      <c r="AQ3268" s="314"/>
      <c r="AR3268" s="315" t="str">
        <f t="shared" si="125"/>
        <v/>
      </c>
    </row>
    <row r="3269" spans="37:44" ht="30" hidden="1" customHeight="1">
      <c r="AK3269" s="313"/>
      <c r="AL3269" s="313"/>
      <c r="AM3269" s="313"/>
      <c r="AN3269" s="313"/>
      <c r="AO3269" s="313"/>
      <c r="AP3269" s="313"/>
      <c r="AQ3269" s="314"/>
      <c r="AR3269" s="315" t="str">
        <f t="shared" si="125"/>
        <v/>
      </c>
    </row>
    <row r="3270" spans="37:44" ht="30" hidden="1" customHeight="1">
      <c r="AK3270" s="313"/>
      <c r="AL3270" s="313"/>
      <c r="AM3270" s="313"/>
      <c r="AN3270" s="313"/>
      <c r="AO3270" s="313"/>
      <c r="AP3270" s="313"/>
      <c r="AQ3270" s="314"/>
      <c r="AR3270" s="315" t="str">
        <f t="shared" si="125"/>
        <v/>
      </c>
    </row>
    <row r="3271" spans="37:44" ht="30" hidden="1" customHeight="1">
      <c r="AK3271" s="313"/>
      <c r="AL3271" s="313"/>
      <c r="AM3271" s="313"/>
      <c r="AN3271" s="313"/>
      <c r="AO3271" s="313"/>
      <c r="AP3271" s="313"/>
      <c r="AQ3271" s="314"/>
      <c r="AR3271" s="315" t="str">
        <f t="shared" si="125"/>
        <v/>
      </c>
    </row>
    <row r="3272" spans="37:44" ht="30" hidden="1" customHeight="1">
      <c r="AK3272" s="313"/>
      <c r="AL3272" s="313"/>
      <c r="AM3272" s="313"/>
      <c r="AN3272" s="313"/>
      <c r="AO3272" s="313"/>
      <c r="AP3272" s="313"/>
      <c r="AQ3272" s="314"/>
      <c r="AR3272" s="315" t="str">
        <f t="shared" si="125"/>
        <v/>
      </c>
    </row>
    <row r="3273" spans="37:44" ht="30" hidden="1" customHeight="1">
      <c r="AK3273" s="313"/>
      <c r="AL3273" s="313"/>
      <c r="AM3273" s="313"/>
      <c r="AN3273" s="313"/>
      <c r="AO3273" s="313"/>
      <c r="AP3273" s="313"/>
      <c r="AQ3273" s="314"/>
      <c r="AR3273" s="315" t="str">
        <f t="shared" si="125"/>
        <v/>
      </c>
    </row>
    <row r="3274" spans="37:44" ht="30" hidden="1" customHeight="1">
      <c r="AK3274" s="313"/>
      <c r="AL3274" s="313"/>
      <c r="AM3274" s="313"/>
      <c r="AN3274" s="313"/>
      <c r="AO3274" s="313"/>
      <c r="AP3274" s="313"/>
      <c r="AQ3274" s="314"/>
      <c r="AR3274" s="315" t="str">
        <f t="shared" si="125"/>
        <v/>
      </c>
    </row>
    <row r="3275" spans="37:44" ht="30" hidden="1" customHeight="1">
      <c r="AK3275" s="313"/>
      <c r="AL3275" s="313"/>
      <c r="AM3275" s="313"/>
      <c r="AN3275" s="313"/>
      <c r="AO3275" s="313"/>
      <c r="AP3275" s="313"/>
      <c r="AQ3275" s="314"/>
      <c r="AR3275" s="315" t="str">
        <f t="shared" si="125"/>
        <v/>
      </c>
    </row>
    <row r="3276" spans="37:44" ht="30" hidden="1" customHeight="1">
      <c r="AK3276" s="313"/>
      <c r="AL3276" s="313"/>
      <c r="AM3276" s="313"/>
      <c r="AN3276" s="313"/>
      <c r="AO3276" s="313"/>
      <c r="AP3276" s="313"/>
      <c r="AQ3276" s="314"/>
      <c r="AR3276" s="315" t="str">
        <f t="shared" si="125"/>
        <v/>
      </c>
    </row>
    <row r="3277" spans="37:44" ht="30" hidden="1" customHeight="1">
      <c r="AK3277" s="313"/>
      <c r="AL3277" s="313"/>
      <c r="AM3277" s="313"/>
      <c r="AN3277" s="313"/>
      <c r="AO3277" s="313"/>
      <c r="AP3277" s="313"/>
      <c r="AQ3277" s="314"/>
      <c r="AR3277" s="315" t="str">
        <f t="shared" si="125"/>
        <v/>
      </c>
    </row>
    <row r="3278" spans="37:44" ht="30" hidden="1" customHeight="1">
      <c r="AK3278" s="313"/>
      <c r="AL3278" s="313"/>
      <c r="AM3278" s="313"/>
      <c r="AN3278" s="313"/>
      <c r="AO3278" s="313"/>
      <c r="AP3278" s="313"/>
      <c r="AQ3278" s="314"/>
      <c r="AR3278" s="315" t="str">
        <f t="shared" si="125"/>
        <v/>
      </c>
    </row>
    <row r="3279" spans="37:44" ht="30" hidden="1" customHeight="1">
      <c r="AK3279" s="313"/>
      <c r="AL3279" s="313"/>
      <c r="AM3279" s="313"/>
      <c r="AN3279" s="313"/>
      <c r="AO3279" s="313"/>
      <c r="AP3279" s="313"/>
      <c r="AQ3279" s="314"/>
      <c r="AR3279" s="315" t="str">
        <f t="shared" si="125"/>
        <v/>
      </c>
    </row>
    <row r="3280" spans="37:44" ht="30" hidden="1" customHeight="1">
      <c r="AK3280" s="313"/>
      <c r="AL3280" s="313"/>
      <c r="AM3280" s="313"/>
      <c r="AN3280" s="313"/>
      <c r="AO3280" s="313"/>
      <c r="AP3280" s="313"/>
      <c r="AQ3280" s="314"/>
      <c r="AR3280" s="315" t="str">
        <f t="shared" si="125"/>
        <v/>
      </c>
    </row>
    <row r="3281" spans="37:44" ht="30" hidden="1" customHeight="1">
      <c r="AK3281" s="313"/>
      <c r="AL3281" s="313"/>
      <c r="AM3281" s="313"/>
      <c r="AN3281" s="313"/>
      <c r="AO3281" s="313"/>
      <c r="AP3281" s="313"/>
      <c r="AQ3281" s="314"/>
      <c r="AR3281" s="315" t="str">
        <f t="shared" si="125"/>
        <v/>
      </c>
    </row>
    <row r="3282" spans="37:44" ht="30" hidden="1" customHeight="1">
      <c r="AK3282" s="313"/>
      <c r="AL3282" s="313"/>
      <c r="AM3282" s="313"/>
      <c r="AN3282" s="313"/>
      <c r="AO3282" s="313"/>
      <c r="AP3282" s="313"/>
      <c r="AQ3282" s="314"/>
      <c r="AR3282" s="315" t="str">
        <f t="shared" si="125"/>
        <v/>
      </c>
    </row>
    <row r="3283" spans="37:44" ht="30" hidden="1" customHeight="1">
      <c r="AK3283" s="313"/>
      <c r="AL3283" s="313"/>
      <c r="AM3283" s="313"/>
      <c r="AN3283" s="313"/>
      <c r="AO3283" s="313"/>
      <c r="AP3283" s="313"/>
      <c r="AQ3283" s="314"/>
      <c r="AR3283" s="315" t="str">
        <f t="shared" si="125"/>
        <v/>
      </c>
    </row>
    <row r="3284" spans="37:44" ht="30" hidden="1" customHeight="1">
      <c r="AK3284" s="313"/>
      <c r="AL3284" s="313"/>
      <c r="AM3284" s="313"/>
      <c r="AN3284" s="313"/>
      <c r="AO3284" s="313"/>
      <c r="AP3284" s="313"/>
      <c r="AQ3284" s="314"/>
      <c r="AR3284" s="315" t="str">
        <f t="shared" si="125"/>
        <v/>
      </c>
    </row>
    <row r="3285" spans="37:44" ht="30" hidden="1" customHeight="1">
      <c r="AK3285" s="313"/>
      <c r="AL3285" s="313"/>
      <c r="AM3285" s="313"/>
      <c r="AN3285" s="313"/>
      <c r="AO3285" s="313"/>
      <c r="AP3285" s="313"/>
      <c r="AQ3285" s="314"/>
      <c r="AR3285" s="315" t="str">
        <f t="shared" si="125"/>
        <v/>
      </c>
    </row>
    <row r="3286" spans="37:44" ht="30" hidden="1" customHeight="1">
      <c r="AK3286" s="313"/>
      <c r="AL3286" s="313"/>
      <c r="AM3286" s="313"/>
      <c r="AN3286" s="313"/>
      <c r="AO3286" s="313"/>
      <c r="AP3286" s="313"/>
      <c r="AQ3286" s="314"/>
      <c r="AR3286" s="315" t="str">
        <f t="shared" si="125"/>
        <v/>
      </c>
    </row>
    <row r="3287" spans="37:44" ht="30" hidden="1" customHeight="1">
      <c r="AK3287" s="313"/>
      <c r="AL3287" s="313"/>
      <c r="AM3287" s="313"/>
      <c r="AN3287" s="313"/>
      <c r="AO3287" s="313"/>
      <c r="AP3287" s="313"/>
      <c r="AQ3287" s="314"/>
      <c r="AR3287" s="315" t="str">
        <f t="shared" si="125"/>
        <v/>
      </c>
    </row>
    <row r="3288" spans="37:44" ht="30" hidden="1" customHeight="1">
      <c r="AK3288" s="313"/>
      <c r="AL3288" s="313"/>
      <c r="AM3288" s="313"/>
      <c r="AN3288" s="313"/>
      <c r="AO3288" s="313"/>
      <c r="AP3288" s="313"/>
      <c r="AQ3288" s="314"/>
      <c r="AR3288" s="315" t="str">
        <f t="shared" si="125"/>
        <v/>
      </c>
    </row>
    <row r="3289" spans="37:44" ht="30" hidden="1" customHeight="1">
      <c r="AK3289" s="313"/>
      <c r="AL3289" s="313"/>
      <c r="AM3289" s="313"/>
      <c r="AN3289" s="313"/>
      <c r="AO3289" s="313"/>
      <c r="AP3289" s="313"/>
      <c r="AQ3289" s="314"/>
      <c r="AR3289" s="315" t="str">
        <f t="shared" si="125"/>
        <v/>
      </c>
    </row>
    <row r="3290" spans="37:44" ht="30" hidden="1" customHeight="1">
      <c r="AK3290" s="313"/>
      <c r="AL3290" s="313"/>
      <c r="AM3290" s="313"/>
      <c r="AN3290" s="313"/>
      <c r="AO3290" s="313"/>
      <c r="AP3290" s="313"/>
      <c r="AQ3290" s="314"/>
      <c r="AR3290" s="315" t="str">
        <f t="shared" si="125"/>
        <v/>
      </c>
    </row>
    <row r="3291" spans="37:44" ht="30" hidden="1" customHeight="1">
      <c r="AK3291" s="313"/>
      <c r="AL3291" s="313"/>
      <c r="AM3291" s="313"/>
      <c r="AN3291" s="313"/>
      <c r="AO3291" s="313"/>
      <c r="AP3291" s="313"/>
      <c r="AQ3291" s="314"/>
      <c r="AR3291" s="315" t="str">
        <f t="shared" si="125"/>
        <v/>
      </c>
    </row>
    <row r="3292" spans="37:44" ht="30" hidden="1" customHeight="1">
      <c r="AK3292" s="313"/>
      <c r="AL3292" s="313"/>
      <c r="AM3292" s="313"/>
      <c r="AN3292" s="313"/>
      <c r="AO3292" s="313"/>
      <c r="AP3292" s="313"/>
      <c r="AQ3292" s="314"/>
      <c r="AR3292" s="315" t="str">
        <f t="shared" si="125"/>
        <v/>
      </c>
    </row>
    <row r="3293" spans="37:44" ht="30" hidden="1" customHeight="1">
      <c r="AK3293" s="313"/>
      <c r="AL3293" s="313"/>
      <c r="AM3293" s="313"/>
      <c r="AN3293" s="313"/>
      <c r="AO3293" s="313"/>
      <c r="AP3293" s="313"/>
      <c r="AQ3293" s="314"/>
      <c r="AR3293" s="315" t="str">
        <f t="shared" si="125"/>
        <v/>
      </c>
    </row>
    <row r="3294" spans="37:44" ht="30" hidden="1" customHeight="1">
      <c r="AK3294" s="313"/>
      <c r="AL3294" s="313"/>
      <c r="AM3294" s="313"/>
      <c r="AN3294" s="313"/>
      <c r="AO3294" s="313"/>
      <c r="AP3294" s="313"/>
      <c r="AQ3294" s="314"/>
      <c r="AR3294" s="315" t="str">
        <f t="shared" si="125"/>
        <v/>
      </c>
    </row>
    <row r="3295" spans="37:44" ht="30" hidden="1" customHeight="1">
      <c r="AK3295" s="313"/>
      <c r="AL3295" s="313"/>
      <c r="AM3295" s="313"/>
      <c r="AN3295" s="313"/>
      <c r="AO3295" s="313"/>
      <c r="AP3295" s="313"/>
      <c r="AQ3295" s="314"/>
      <c r="AR3295" s="315" t="str">
        <f t="shared" si="125"/>
        <v/>
      </c>
    </row>
    <row r="3296" spans="37:44" ht="30" hidden="1" customHeight="1">
      <c r="AK3296" s="313"/>
      <c r="AL3296" s="313"/>
      <c r="AM3296" s="313"/>
      <c r="AN3296" s="313"/>
      <c r="AO3296" s="313"/>
      <c r="AP3296" s="313"/>
      <c r="AQ3296" s="314"/>
      <c r="AR3296" s="315" t="str">
        <f t="shared" si="125"/>
        <v/>
      </c>
    </row>
    <row r="3297" spans="37:44" ht="30" hidden="1" customHeight="1">
      <c r="AK3297" s="313"/>
      <c r="AL3297" s="313"/>
      <c r="AM3297" s="313"/>
      <c r="AN3297" s="313"/>
      <c r="AO3297" s="313"/>
      <c r="AP3297" s="313"/>
      <c r="AQ3297" s="314"/>
      <c r="AR3297" s="315" t="str">
        <f t="shared" si="125"/>
        <v/>
      </c>
    </row>
    <row r="3298" spans="37:44" ht="30" hidden="1" customHeight="1">
      <c r="AK3298" s="313"/>
      <c r="AL3298" s="313"/>
      <c r="AM3298" s="313"/>
      <c r="AN3298" s="313"/>
      <c r="AO3298" s="313"/>
      <c r="AP3298" s="313"/>
      <c r="AQ3298" s="314"/>
      <c r="AR3298" s="315" t="str">
        <f t="shared" si="125"/>
        <v/>
      </c>
    </row>
    <row r="3299" spans="37:44" ht="30" hidden="1" customHeight="1">
      <c r="AK3299" s="313"/>
      <c r="AL3299" s="313"/>
      <c r="AM3299" s="313"/>
      <c r="AN3299" s="313"/>
      <c r="AO3299" s="313"/>
      <c r="AP3299" s="313"/>
      <c r="AQ3299" s="314"/>
      <c r="AR3299" s="315" t="str">
        <f t="shared" si="125"/>
        <v/>
      </c>
    </row>
    <row r="3300" spans="37:44" ht="30" hidden="1" customHeight="1">
      <c r="AK3300" s="313"/>
      <c r="AL3300" s="313"/>
      <c r="AM3300" s="313"/>
      <c r="AN3300" s="313"/>
      <c r="AO3300" s="313"/>
      <c r="AP3300" s="313"/>
      <c r="AQ3300" s="314"/>
      <c r="AR3300" s="315" t="str">
        <f t="shared" si="125"/>
        <v/>
      </c>
    </row>
    <row r="3301" spans="37:44" ht="30" hidden="1" customHeight="1">
      <c r="AK3301" s="313"/>
      <c r="AL3301" s="313"/>
      <c r="AM3301" s="313"/>
      <c r="AN3301" s="313"/>
      <c r="AO3301" s="313"/>
      <c r="AP3301" s="313"/>
      <c r="AQ3301" s="314"/>
      <c r="AR3301" s="315" t="str">
        <f t="shared" si="125"/>
        <v/>
      </c>
    </row>
    <row r="3302" spans="37:44" ht="30" hidden="1" customHeight="1">
      <c r="AK3302" s="313"/>
      <c r="AL3302" s="313"/>
      <c r="AM3302" s="313"/>
      <c r="AN3302" s="313"/>
      <c r="AO3302" s="313"/>
      <c r="AP3302" s="313"/>
      <c r="AQ3302" s="314"/>
      <c r="AR3302" s="315" t="str">
        <f t="shared" si="125"/>
        <v/>
      </c>
    </row>
    <row r="3303" spans="37:44" ht="30" hidden="1" customHeight="1">
      <c r="AK3303" s="313"/>
      <c r="AL3303" s="313"/>
      <c r="AM3303" s="313"/>
      <c r="AN3303" s="313"/>
      <c r="AO3303" s="313"/>
      <c r="AP3303" s="313"/>
      <c r="AQ3303" s="314"/>
      <c r="AR3303" s="315" t="str">
        <f t="shared" si="125"/>
        <v/>
      </c>
    </row>
    <row r="3304" spans="37:44" ht="30" hidden="1" customHeight="1">
      <c r="AK3304" s="313"/>
      <c r="AL3304" s="313"/>
      <c r="AM3304" s="313"/>
      <c r="AN3304" s="313"/>
      <c r="AO3304" s="313"/>
      <c r="AP3304" s="313"/>
      <c r="AQ3304" s="314"/>
      <c r="AR3304" s="315" t="str">
        <f t="shared" si="125"/>
        <v/>
      </c>
    </row>
    <row r="3305" spans="37:44" ht="30" hidden="1" customHeight="1">
      <c r="AK3305" s="313"/>
      <c r="AL3305" s="313"/>
      <c r="AM3305" s="313"/>
      <c r="AN3305" s="313"/>
      <c r="AO3305" s="313"/>
      <c r="AP3305" s="313"/>
      <c r="AQ3305" s="314"/>
      <c r="AR3305" s="315" t="str">
        <f t="shared" si="125"/>
        <v/>
      </c>
    </row>
    <row r="3306" spans="37:44" ht="30" hidden="1" customHeight="1">
      <c r="AK3306" s="313"/>
      <c r="AL3306" s="313"/>
      <c r="AM3306" s="313"/>
      <c r="AN3306" s="313"/>
      <c r="AO3306" s="313"/>
      <c r="AP3306" s="313"/>
      <c r="AQ3306" s="314"/>
      <c r="AR3306" s="315" t="str">
        <f t="shared" si="125"/>
        <v/>
      </c>
    </row>
    <row r="3307" spans="37:44" ht="30" hidden="1" customHeight="1">
      <c r="AK3307" s="313"/>
      <c r="AL3307" s="313"/>
      <c r="AM3307" s="313"/>
      <c r="AN3307" s="313"/>
      <c r="AO3307" s="313"/>
      <c r="AP3307" s="313"/>
      <c r="AQ3307" s="314"/>
      <c r="AR3307" s="315" t="str">
        <f t="shared" si="125"/>
        <v/>
      </c>
    </row>
    <row r="3308" spans="37:44" ht="30" hidden="1" customHeight="1">
      <c r="AK3308" s="313"/>
      <c r="AL3308" s="313"/>
      <c r="AM3308" s="313"/>
      <c r="AN3308" s="313"/>
      <c r="AO3308" s="313"/>
      <c r="AP3308" s="313"/>
      <c r="AQ3308" s="314"/>
      <c r="AR3308" s="315" t="str">
        <f t="shared" si="125"/>
        <v/>
      </c>
    </row>
    <row r="3309" spans="37:44" ht="30" hidden="1" customHeight="1">
      <c r="AK3309" s="313"/>
      <c r="AL3309" s="313"/>
      <c r="AM3309" s="313"/>
      <c r="AN3309" s="313"/>
      <c r="AO3309" s="313"/>
      <c r="AP3309" s="313"/>
      <c r="AQ3309" s="314"/>
      <c r="AR3309" s="315" t="str">
        <f t="shared" si="125"/>
        <v/>
      </c>
    </row>
    <row r="3310" spans="37:44" ht="30" hidden="1" customHeight="1">
      <c r="AK3310" s="313"/>
      <c r="AL3310" s="313"/>
      <c r="AM3310" s="313"/>
      <c r="AN3310" s="313"/>
      <c r="AO3310" s="313"/>
      <c r="AP3310" s="313"/>
      <c r="AQ3310" s="314"/>
      <c r="AR3310" s="315" t="str">
        <f t="shared" si="125"/>
        <v/>
      </c>
    </row>
    <row r="3311" spans="37:44" ht="30" hidden="1" customHeight="1">
      <c r="AK3311" s="313"/>
      <c r="AL3311" s="313"/>
      <c r="AM3311" s="313"/>
      <c r="AN3311" s="313"/>
      <c r="AO3311" s="313"/>
      <c r="AP3311" s="313"/>
      <c r="AQ3311" s="314"/>
      <c r="AR3311" s="315" t="str">
        <f t="shared" si="125"/>
        <v/>
      </c>
    </row>
    <row r="3312" spans="37:44" ht="30" hidden="1" customHeight="1">
      <c r="AK3312" s="313"/>
      <c r="AL3312" s="313"/>
      <c r="AM3312" s="313"/>
      <c r="AN3312" s="313"/>
      <c r="AO3312" s="313"/>
      <c r="AP3312" s="313"/>
      <c r="AQ3312" s="314"/>
      <c r="AR3312" s="315" t="str">
        <f t="shared" si="125"/>
        <v/>
      </c>
    </row>
    <row r="3313" spans="37:44" ht="30" hidden="1" customHeight="1">
      <c r="AK3313" s="313"/>
      <c r="AL3313" s="313"/>
      <c r="AM3313" s="313"/>
      <c r="AN3313" s="313"/>
      <c r="AO3313" s="313"/>
      <c r="AP3313" s="313"/>
      <c r="AQ3313" s="314"/>
      <c r="AR3313" s="315" t="str">
        <f t="shared" si="125"/>
        <v/>
      </c>
    </row>
    <row r="3314" spans="37:44" ht="30" hidden="1" customHeight="1">
      <c r="AK3314" s="313"/>
      <c r="AL3314" s="313"/>
      <c r="AM3314" s="313"/>
      <c r="AN3314" s="313"/>
      <c r="AO3314" s="313"/>
      <c r="AP3314" s="313"/>
      <c r="AQ3314" s="314"/>
      <c r="AR3314" s="315" t="str">
        <f t="shared" si="125"/>
        <v/>
      </c>
    </row>
    <row r="3315" spans="37:44" ht="30" hidden="1" customHeight="1">
      <c r="AK3315" s="313"/>
      <c r="AL3315" s="313"/>
      <c r="AM3315" s="313"/>
      <c r="AN3315" s="313"/>
      <c r="AO3315" s="313"/>
      <c r="AP3315" s="313"/>
      <c r="AQ3315" s="314"/>
      <c r="AR3315" s="315" t="str">
        <f t="shared" si="125"/>
        <v/>
      </c>
    </row>
    <row r="3316" spans="37:44" ht="30" hidden="1" customHeight="1">
      <c r="AK3316" s="313"/>
      <c r="AL3316" s="313"/>
      <c r="AM3316" s="313"/>
      <c r="AN3316" s="313"/>
      <c r="AO3316" s="313"/>
      <c r="AP3316" s="313"/>
      <c r="AQ3316" s="314"/>
      <c r="AR3316" s="315" t="str">
        <f t="shared" si="125"/>
        <v/>
      </c>
    </row>
    <row r="3317" spans="37:44" ht="30" hidden="1" customHeight="1">
      <c r="AK3317" s="313"/>
      <c r="AL3317" s="313"/>
      <c r="AM3317" s="313"/>
      <c r="AN3317" s="313"/>
      <c r="AO3317" s="313"/>
      <c r="AP3317" s="313"/>
      <c r="AQ3317" s="314"/>
      <c r="AR3317" s="315" t="str">
        <f t="shared" si="125"/>
        <v/>
      </c>
    </row>
    <row r="3318" spans="37:44" ht="30" hidden="1" customHeight="1">
      <c r="AK3318" s="313"/>
      <c r="AL3318" s="313"/>
      <c r="AM3318" s="313"/>
      <c r="AN3318" s="313"/>
      <c r="AO3318" s="313"/>
      <c r="AP3318" s="313"/>
      <c r="AQ3318" s="314"/>
      <c r="AR3318" s="315" t="str">
        <f t="shared" si="125"/>
        <v/>
      </c>
    </row>
    <row r="3319" spans="37:44" ht="30" hidden="1" customHeight="1">
      <c r="AK3319" s="313"/>
      <c r="AL3319" s="313"/>
      <c r="AM3319" s="313"/>
      <c r="AN3319" s="313"/>
      <c r="AO3319" s="313"/>
      <c r="AP3319" s="313"/>
      <c r="AQ3319" s="314"/>
      <c r="AR3319" s="315" t="str">
        <f t="shared" si="125"/>
        <v/>
      </c>
    </row>
    <row r="3320" spans="37:44" ht="30" hidden="1" customHeight="1">
      <c r="AK3320" s="313"/>
      <c r="AL3320" s="313"/>
      <c r="AM3320" s="313"/>
      <c r="AN3320" s="313"/>
      <c r="AO3320" s="313"/>
      <c r="AP3320" s="313"/>
      <c r="AQ3320" s="314"/>
      <c r="AR3320" s="315" t="str">
        <f t="shared" si="125"/>
        <v/>
      </c>
    </row>
    <row r="3321" spans="37:44" ht="30" hidden="1" customHeight="1">
      <c r="AK3321" s="313"/>
      <c r="AL3321" s="313"/>
      <c r="AM3321" s="313"/>
      <c r="AN3321" s="313"/>
      <c r="AO3321" s="313"/>
      <c r="AP3321" s="313"/>
      <c r="AQ3321" s="314"/>
      <c r="AR3321" s="315" t="str">
        <f t="shared" si="125"/>
        <v/>
      </c>
    </row>
    <row r="3322" spans="37:44" ht="30" hidden="1" customHeight="1">
      <c r="AK3322" s="313"/>
      <c r="AL3322" s="313"/>
      <c r="AM3322" s="313"/>
      <c r="AN3322" s="313"/>
      <c r="AO3322" s="313"/>
      <c r="AP3322" s="313"/>
      <c r="AQ3322" s="314"/>
      <c r="AR3322" s="315" t="str">
        <f t="shared" si="125"/>
        <v/>
      </c>
    </row>
    <row r="3323" spans="37:44" ht="30" hidden="1" customHeight="1">
      <c r="AK3323" s="313"/>
      <c r="AL3323" s="313"/>
      <c r="AM3323" s="313"/>
      <c r="AN3323" s="313"/>
      <c r="AO3323" s="313"/>
      <c r="AP3323" s="313"/>
      <c r="AQ3323" s="314"/>
      <c r="AR3323" s="315" t="str">
        <f t="shared" si="125"/>
        <v/>
      </c>
    </row>
    <row r="3324" spans="37:44" ht="30" hidden="1" customHeight="1">
      <c r="AK3324" s="313"/>
      <c r="AL3324" s="313"/>
      <c r="AM3324" s="313"/>
      <c r="AN3324" s="313"/>
      <c r="AO3324" s="313"/>
      <c r="AP3324" s="313"/>
      <c r="AQ3324" s="314"/>
      <c r="AR3324" s="315" t="str">
        <f t="shared" si="125"/>
        <v/>
      </c>
    </row>
    <row r="3325" spans="37:44" ht="30" hidden="1" customHeight="1">
      <c r="AK3325" s="313"/>
      <c r="AL3325" s="313"/>
      <c r="AM3325" s="313"/>
      <c r="AN3325" s="313"/>
      <c r="AO3325" s="313"/>
      <c r="AP3325" s="313"/>
      <c r="AQ3325" s="314"/>
      <c r="AR3325" s="315" t="str">
        <f t="shared" si="125"/>
        <v/>
      </c>
    </row>
    <row r="3326" spans="37:44" ht="30" hidden="1" customHeight="1">
      <c r="AK3326" s="313"/>
      <c r="AL3326" s="313"/>
      <c r="AM3326" s="313"/>
      <c r="AN3326" s="313"/>
      <c r="AO3326" s="313"/>
      <c r="AP3326" s="313"/>
      <c r="AQ3326" s="314"/>
      <c r="AR3326" s="315" t="str">
        <f t="shared" si="125"/>
        <v/>
      </c>
    </row>
    <row r="3327" spans="37:44" ht="30" hidden="1" customHeight="1">
      <c r="AK3327" s="313"/>
      <c r="AL3327" s="313"/>
      <c r="AM3327" s="313"/>
      <c r="AN3327" s="313"/>
      <c r="AO3327" s="313"/>
      <c r="AP3327" s="313"/>
      <c r="AQ3327" s="314"/>
      <c r="AR3327" s="315" t="str">
        <f t="shared" ref="AR3327:AR3390" si="126">IF(AQ3327="SIM","AGUARDANDO CORREÇÃO",IF(AP3327&lt;&gt;"","FINALIZADO",IF(AO3327&lt;&gt;"","AGUARDANDO ENVIO DTS",IF(AN3327&lt;&gt;"","AGUARDANDO ASSINATURA GAB",IF(AM3327&lt;&gt;"","AGUARDANDO ASSINATURA CTS",IF(AL3327&lt;&gt;"","AGUARDANDO ENVIO ASSINATURA CTS",IF(AK3327&lt;&gt;"","AGUARDANDO CONFERÊNCIA","")))))))</f>
        <v/>
      </c>
    </row>
    <row r="3328" spans="37:44" ht="30" hidden="1" customHeight="1">
      <c r="AK3328" s="313"/>
      <c r="AL3328" s="313"/>
      <c r="AM3328" s="313"/>
      <c r="AN3328" s="313"/>
      <c r="AO3328" s="313"/>
      <c r="AP3328" s="313"/>
      <c r="AQ3328" s="314"/>
      <c r="AR3328" s="315" t="str">
        <f t="shared" si="126"/>
        <v/>
      </c>
    </row>
    <row r="3329" spans="37:44" ht="30" hidden="1" customHeight="1">
      <c r="AK3329" s="313"/>
      <c r="AL3329" s="313"/>
      <c r="AM3329" s="313"/>
      <c r="AN3329" s="313"/>
      <c r="AO3329" s="313"/>
      <c r="AP3329" s="313"/>
      <c r="AQ3329" s="314"/>
      <c r="AR3329" s="315" t="str">
        <f t="shared" si="126"/>
        <v/>
      </c>
    </row>
    <row r="3330" spans="37:44" ht="30" hidden="1" customHeight="1">
      <c r="AK3330" s="313"/>
      <c r="AL3330" s="313"/>
      <c r="AM3330" s="313"/>
      <c r="AN3330" s="313"/>
      <c r="AO3330" s="313"/>
      <c r="AP3330" s="313"/>
      <c r="AQ3330" s="314"/>
      <c r="AR3330" s="315" t="str">
        <f t="shared" si="126"/>
        <v/>
      </c>
    </row>
    <row r="3331" spans="37:44" ht="30" hidden="1" customHeight="1">
      <c r="AK3331" s="313"/>
      <c r="AL3331" s="313"/>
      <c r="AM3331" s="313"/>
      <c r="AN3331" s="313"/>
      <c r="AO3331" s="313"/>
      <c r="AP3331" s="313"/>
      <c r="AQ3331" s="314"/>
      <c r="AR3331" s="315" t="str">
        <f t="shared" si="126"/>
        <v/>
      </c>
    </row>
    <row r="3332" spans="37:44" ht="30" hidden="1" customHeight="1">
      <c r="AK3332" s="313"/>
      <c r="AL3332" s="313"/>
      <c r="AM3332" s="313"/>
      <c r="AN3332" s="313"/>
      <c r="AO3332" s="313"/>
      <c r="AP3332" s="313"/>
      <c r="AQ3332" s="314"/>
      <c r="AR3332" s="315" t="str">
        <f t="shared" si="126"/>
        <v/>
      </c>
    </row>
    <row r="3333" spans="37:44" ht="30" hidden="1" customHeight="1">
      <c r="AK3333" s="313"/>
      <c r="AL3333" s="313"/>
      <c r="AM3333" s="313"/>
      <c r="AN3333" s="313"/>
      <c r="AO3333" s="313"/>
      <c r="AP3333" s="313"/>
      <c r="AQ3333" s="314"/>
      <c r="AR3333" s="315" t="str">
        <f t="shared" si="126"/>
        <v/>
      </c>
    </row>
    <row r="3334" spans="37:44" ht="30" hidden="1" customHeight="1">
      <c r="AK3334" s="313"/>
      <c r="AL3334" s="313"/>
      <c r="AM3334" s="313"/>
      <c r="AN3334" s="313"/>
      <c r="AO3334" s="313"/>
      <c r="AP3334" s="313"/>
      <c r="AQ3334" s="314"/>
      <c r="AR3334" s="315" t="str">
        <f t="shared" si="126"/>
        <v/>
      </c>
    </row>
    <row r="3335" spans="37:44" ht="30" hidden="1" customHeight="1">
      <c r="AK3335" s="313"/>
      <c r="AL3335" s="313"/>
      <c r="AM3335" s="313"/>
      <c r="AN3335" s="313"/>
      <c r="AO3335" s="313"/>
      <c r="AP3335" s="313"/>
      <c r="AQ3335" s="314"/>
      <c r="AR3335" s="315" t="str">
        <f t="shared" si="126"/>
        <v/>
      </c>
    </row>
    <row r="3336" spans="37:44" ht="30" hidden="1" customHeight="1">
      <c r="AK3336" s="313"/>
      <c r="AL3336" s="313"/>
      <c r="AM3336" s="313"/>
      <c r="AN3336" s="313"/>
      <c r="AO3336" s="313"/>
      <c r="AP3336" s="313"/>
      <c r="AQ3336" s="314"/>
      <c r="AR3336" s="315" t="str">
        <f t="shared" si="126"/>
        <v/>
      </c>
    </row>
    <row r="3337" spans="37:44" ht="30" hidden="1" customHeight="1">
      <c r="AK3337" s="313"/>
      <c r="AL3337" s="313"/>
      <c r="AM3337" s="313"/>
      <c r="AN3337" s="313"/>
      <c r="AO3337" s="313"/>
      <c r="AP3337" s="313"/>
      <c r="AQ3337" s="314"/>
      <c r="AR3337" s="315" t="str">
        <f t="shared" si="126"/>
        <v/>
      </c>
    </row>
    <row r="3338" spans="37:44" ht="30" hidden="1" customHeight="1">
      <c r="AK3338" s="313"/>
      <c r="AL3338" s="313"/>
      <c r="AM3338" s="313"/>
      <c r="AN3338" s="313"/>
      <c r="AO3338" s="313"/>
      <c r="AP3338" s="313"/>
      <c r="AQ3338" s="314"/>
      <c r="AR3338" s="315" t="str">
        <f t="shared" si="126"/>
        <v/>
      </c>
    </row>
    <row r="3339" spans="37:44" ht="30" hidden="1" customHeight="1">
      <c r="AK3339" s="313"/>
      <c r="AL3339" s="313"/>
      <c r="AM3339" s="313"/>
      <c r="AN3339" s="313"/>
      <c r="AO3339" s="313"/>
      <c r="AP3339" s="313"/>
      <c r="AQ3339" s="314"/>
      <c r="AR3339" s="315" t="str">
        <f t="shared" si="126"/>
        <v/>
      </c>
    </row>
    <row r="3340" spans="37:44" ht="30" hidden="1" customHeight="1">
      <c r="AK3340" s="313"/>
      <c r="AL3340" s="313"/>
      <c r="AM3340" s="313"/>
      <c r="AN3340" s="313"/>
      <c r="AO3340" s="313"/>
      <c r="AP3340" s="313"/>
      <c r="AQ3340" s="314"/>
      <c r="AR3340" s="315" t="str">
        <f t="shared" si="126"/>
        <v/>
      </c>
    </row>
    <row r="3341" spans="37:44" ht="30" hidden="1" customHeight="1">
      <c r="AK3341" s="313"/>
      <c r="AL3341" s="313"/>
      <c r="AM3341" s="313"/>
      <c r="AN3341" s="313"/>
      <c r="AO3341" s="313"/>
      <c r="AP3341" s="313"/>
      <c r="AQ3341" s="314"/>
      <c r="AR3341" s="315" t="str">
        <f t="shared" si="126"/>
        <v/>
      </c>
    </row>
    <row r="3342" spans="37:44" ht="30" hidden="1" customHeight="1">
      <c r="AK3342" s="313"/>
      <c r="AL3342" s="313"/>
      <c r="AM3342" s="313"/>
      <c r="AN3342" s="313"/>
      <c r="AO3342" s="313"/>
      <c r="AP3342" s="313"/>
      <c r="AQ3342" s="314"/>
      <c r="AR3342" s="315" t="str">
        <f t="shared" si="126"/>
        <v/>
      </c>
    </row>
    <row r="3343" spans="37:44" ht="30" hidden="1" customHeight="1">
      <c r="AK3343" s="313"/>
      <c r="AL3343" s="313"/>
      <c r="AM3343" s="313"/>
      <c r="AN3343" s="313"/>
      <c r="AO3343" s="313"/>
      <c r="AP3343" s="313"/>
      <c r="AQ3343" s="314"/>
      <c r="AR3343" s="315" t="str">
        <f t="shared" si="126"/>
        <v/>
      </c>
    </row>
    <row r="3344" spans="37:44" ht="30" hidden="1" customHeight="1">
      <c r="AK3344" s="313"/>
      <c r="AL3344" s="313"/>
      <c r="AM3344" s="313"/>
      <c r="AN3344" s="313"/>
      <c r="AO3344" s="313"/>
      <c r="AP3344" s="313"/>
      <c r="AQ3344" s="314"/>
      <c r="AR3344" s="315" t="str">
        <f t="shared" si="126"/>
        <v/>
      </c>
    </row>
    <row r="3345" spans="37:44" ht="30" hidden="1" customHeight="1">
      <c r="AK3345" s="313"/>
      <c r="AL3345" s="313"/>
      <c r="AM3345" s="313"/>
      <c r="AN3345" s="313"/>
      <c r="AO3345" s="313"/>
      <c r="AP3345" s="313"/>
      <c r="AQ3345" s="314"/>
      <c r="AR3345" s="315" t="str">
        <f t="shared" si="126"/>
        <v/>
      </c>
    </row>
    <row r="3346" spans="37:44" ht="30" hidden="1" customHeight="1">
      <c r="AK3346" s="313"/>
      <c r="AL3346" s="313"/>
      <c r="AM3346" s="313"/>
      <c r="AN3346" s="313"/>
      <c r="AO3346" s="313"/>
      <c r="AP3346" s="313"/>
      <c r="AQ3346" s="314"/>
      <c r="AR3346" s="315" t="str">
        <f t="shared" si="126"/>
        <v/>
      </c>
    </row>
    <row r="3347" spans="37:44" ht="30" hidden="1" customHeight="1">
      <c r="AK3347" s="313"/>
      <c r="AL3347" s="313"/>
      <c r="AM3347" s="313"/>
      <c r="AN3347" s="313"/>
      <c r="AO3347" s="313"/>
      <c r="AP3347" s="313"/>
      <c r="AQ3347" s="314"/>
      <c r="AR3347" s="315" t="str">
        <f t="shared" si="126"/>
        <v/>
      </c>
    </row>
    <row r="3348" spans="37:44" ht="30" hidden="1" customHeight="1">
      <c r="AK3348" s="313"/>
      <c r="AL3348" s="313"/>
      <c r="AM3348" s="313"/>
      <c r="AN3348" s="313"/>
      <c r="AO3348" s="313"/>
      <c r="AP3348" s="313"/>
      <c r="AQ3348" s="314"/>
      <c r="AR3348" s="315" t="str">
        <f t="shared" si="126"/>
        <v/>
      </c>
    </row>
    <row r="3349" spans="37:44" ht="30" hidden="1" customHeight="1">
      <c r="AK3349" s="313"/>
      <c r="AL3349" s="313"/>
      <c r="AM3349" s="313"/>
      <c r="AN3349" s="313"/>
      <c r="AO3349" s="313"/>
      <c r="AP3349" s="313"/>
      <c r="AQ3349" s="314"/>
      <c r="AR3349" s="315" t="str">
        <f t="shared" si="126"/>
        <v/>
      </c>
    </row>
    <row r="3350" spans="37:44" ht="30" hidden="1" customHeight="1">
      <c r="AK3350" s="313"/>
      <c r="AL3350" s="313"/>
      <c r="AM3350" s="313"/>
      <c r="AN3350" s="313"/>
      <c r="AO3350" s="313"/>
      <c r="AP3350" s="313"/>
      <c r="AQ3350" s="314"/>
      <c r="AR3350" s="315" t="str">
        <f t="shared" si="126"/>
        <v/>
      </c>
    </row>
    <row r="3351" spans="37:44" ht="30" hidden="1" customHeight="1">
      <c r="AK3351" s="313"/>
      <c r="AL3351" s="313"/>
      <c r="AM3351" s="313"/>
      <c r="AN3351" s="313"/>
      <c r="AO3351" s="313"/>
      <c r="AP3351" s="313"/>
      <c r="AQ3351" s="314"/>
      <c r="AR3351" s="315" t="str">
        <f t="shared" si="126"/>
        <v/>
      </c>
    </row>
    <row r="3352" spans="37:44" ht="30" hidden="1" customHeight="1">
      <c r="AK3352" s="313"/>
      <c r="AL3352" s="313"/>
      <c r="AM3352" s="313"/>
      <c r="AN3352" s="313"/>
      <c r="AO3352" s="313"/>
      <c r="AP3352" s="313"/>
      <c r="AQ3352" s="314"/>
      <c r="AR3352" s="315" t="str">
        <f t="shared" si="126"/>
        <v/>
      </c>
    </row>
    <row r="3353" spans="37:44" ht="30" hidden="1" customHeight="1">
      <c r="AK3353" s="313"/>
      <c r="AL3353" s="313"/>
      <c r="AM3353" s="313"/>
      <c r="AN3353" s="313"/>
      <c r="AO3353" s="313"/>
      <c r="AP3353" s="313"/>
      <c r="AQ3353" s="314"/>
      <c r="AR3353" s="315" t="str">
        <f t="shared" si="126"/>
        <v/>
      </c>
    </row>
    <row r="3354" spans="37:44" ht="30" hidden="1" customHeight="1">
      <c r="AK3354" s="313"/>
      <c r="AL3354" s="313"/>
      <c r="AM3354" s="313"/>
      <c r="AN3354" s="313"/>
      <c r="AO3354" s="313"/>
      <c r="AP3354" s="313"/>
      <c r="AQ3354" s="314"/>
      <c r="AR3354" s="315" t="str">
        <f t="shared" si="126"/>
        <v/>
      </c>
    </row>
    <row r="3355" spans="37:44" ht="30" hidden="1" customHeight="1">
      <c r="AK3355" s="313"/>
      <c r="AL3355" s="313"/>
      <c r="AM3355" s="313"/>
      <c r="AN3355" s="313"/>
      <c r="AO3355" s="313"/>
      <c r="AP3355" s="313"/>
      <c r="AQ3355" s="314"/>
      <c r="AR3355" s="315" t="str">
        <f t="shared" si="126"/>
        <v/>
      </c>
    </row>
    <row r="3356" spans="37:44" ht="30" hidden="1" customHeight="1">
      <c r="AK3356" s="313"/>
      <c r="AL3356" s="313"/>
      <c r="AM3356" s="313"/>
      <c r="AN3356" s="313"/>
      <c r="AO3356" s="313"/>
      <c r="AP3356" s="313"/>
      <c r="AQ3356" s="314"/>
      <c r="AR3356" s="315" t="str">
        <f t="shared" si="126"/>
        <v/>
      </c>
    </row>
    <row r="3357" spans="37:44" ht="30" hidden="1" customHeight="1">
      <c r="AK3357" s="313"/>
      <c r="AL3357" s="313"/>
      <c r="AM3357" s="313"/>
      <c r="AN3357" s="313"/>
      <c r="AO3357" s="313"/>
      <c r="AP3357" s="313"/>
      <c r="AQ3357" s="314"/>
      <c r="AR3357" s="315" t="str">
        <f t="shared" si="126"/>
        <v/>
      </c>
    </row>
    <row r="3358" spans="37:44" ht="30" hidden="1" customHeight="1">
      <c r="AK3358" s="313"/>
      <c r="AL3358" s="313"/>
      <c r="AM3358" s="313"/>
      <c r="AN3358" s="313"/>
      <c r="AO3358" s="313"/>
      <c r="AP3358" s="313"/>
      <c r="AQ3358" s="314"/>
      <c r="AR3358" s="315" t="str">
        <f t="shared" si="126"/>
        <v/>
      </c>
    </row>
    <row r="3359" spans="37:44" ht="30" hidden="1" customHeight="1">
      <c r="AK3359" s="313"/>
      <c r="AL3359" s="313"/>
      <c r="AM3359" s="313"/>
      <c r="AN3359" s="313"/>
      <c r="AO3359" s="313"/>
      <c r="AP3359" s="313"/>
      <c r="AQ3359" s="314"/>
      <c r="AR3359" s="315" t="str">
        <f t="shared" si="126"/>
        <v/>
      </c>
    </row>
    <row r="3360" spans="37:44" ht="30" hidden="1" customHeight="1">
      <c r="AK3360" s="313"/>
      <c r="AL3360" s="313"/>
      <c r="AM3360" s="313"/>
      <c r="AN3360" s="313"/>
      <c r="AO3360" s="313"/>
      <c r="AP3360" s="313"/>
      <c r="AQ3360" s="314"/>
      <c r="AR3360" s="315" t="str">
        <f t="shared" si="126"/>
        <v/>
      </c>
    </row>
    <row r="3361" spans="37:44" ht="30" hidden="1" customHeight="1">
      <c r="AK3361" s="313"/>
      <c r="AL3361" s="313"/>
      <c r="AM3361" s="313"/>
      <c r="AN3361" s="313"/>
      <c r="AO3361" s="313"/>
      <c r="AP3361" s="313"/>
      <c r="AQ3361" s="314"/>
      <c r="AR3361" s="315" t="str">
        <f t="shared" si="126"/>
        <v/>
      </c>
    </row>
    <row r="3362" spans="37:44" ht="30" hidden="1" customHeight="1">
      <c r="AK3362" s="313"/>
      <c r="AL3362" s="313"/>
      <c r="AM3362" s="313"/>
      <c r="AN3362" s="313"/>
      <c r="AO3362" s="313"/>
      <c r="AP3362" s="313"/>
      <c r="AQ3362" s="314"/>
      <c r="AR3362" s="315" t="str">
        <f t="shared" si="126"/>
        <v/>
      </c>
    </row>
    <row r="3363" spans="37:44" ht="30" hidden="1" customHeight="1">
      <c r="AK3363" s="313"/>
      <c r="AL3363" s="313"/>
      <c r="AM3363" s="313"/>
      <c r="AN3363" s="313"/>
      <c r="AO3363" s="313"/>
      <c r="AP3363" s="313"/>
      <c r="AQ3363" s="314"/>
      <c r="AR3363" s="315" t="str">
        <f t="shared" si="126"/>
        <v/>
      </c>
    </row>
    <row r="3364" spans="37:44" ht="30" hidden="1" customHeight="1">
      <c r="AK3364" s="313"/>
      <c r="AL3364" s="313"/>
      <c r="AM3364" s="313"/>
      <c r="AN3364" s="313"/>
      <c r="AO3364" s="313"/>
      <c r="AP3364" s="313"/>
      <c r="AQ3364" s="314"/>
      <c r="AR3364" s="315" t="str">
        <f t="shared" si="126"/>
        <v/>
      </c>
    </row>
    <row r="3365" spans="37:44" ht="30" hidden="1" customHeight="1">
      <c r="AK3365" s="313"/>
      <c r="AL3365" s="313"/>
      <c r="AM3365" s="313"/>
      <c r="AN3365" s="313"/>
      <c r="AO3365" s="313"/>
      <c r="AP3365" s="313"/>
      <c r="AQ3365" s="314"/>
      <c r="AR3365" s="315" t="str">
        <f t="shared" si="126"/>
        <v/>
      </c>
    </row>
    <row r="3366" spans="37:44" ht="30" hidden="1" customHeight="1">
      <c r="AK3366" s="313"/>
      <c r="AL3366" s="313"/>
      <c r="AM3366" s="313"/>
      <c r="AN3366" s="313"/>
      <c r="AO3366" s="313"/>
      <c r="AP3366" s="313"/>
      <c r="AQ3366" s="314"/>
      <c r="AR3366" s="315" t="str">
        <f t="shared" si="126"/>
        <v/>
      </c>
    </row>
    <row r="3367" spans="37:44" ht="30" hidden="1" customHeight="1">
      <c r="AK3367" s="313"/>
      <c r="AL3367" s="313"/>
      <c r="AM3367" s="313"/>
      <c r="AN3367" s="313"/>
      <c r="AO3367" s="313"/>
      <c r="AP3367" s="313"/>
      <c r="AQ3367" s="314"/>
      <c r="AR3367" s="315" t="str">
        <f t="shared" si="126"/>
        <v/>
      </c>
    </row>
    <row r="3368" spans="37:44" ht="30" hidden="1" customHeight="1">
      <c r="AK3368" s="313"/>
      <c r="AL3368" s="313"/>
      <c r="AM3368" s="313"/>
      <c r="AN3368" s="313"/>
      <c r="AO3368" s="313"/>
      <c r="AP3368" s="313"/>
      <c r="AQ3368" s="314"/>
      <c r="AR3368" s="315" t="str">
        <f t="shared" si="126"/>
        <v/>
      </c>
    </row>
    <row r="3369" spans="37:44" ht="30" hidden="1" customHeight="1">
      <c r="AK3369" s="313"/>
      <c r="AL3369" s="313"/>
      <c r="AM3369" s="313"/>
      <c r="AN3369" s="313"/>
      <c r="AO3369" s="313"/>
      <c r="AP3369" s="313"/>
      <c r="AQ3369" s="314"/>
      <c r="AR3369" s="315" t="str">
        <f t="shared" si="126"/>
        <v/>
      </c>
    </row>
    <row r="3370" spans="37:44" ht="30" hidden="1" customHeight="1">
      <c r="AK3370" s="313"/>
      <c r="AL3370" s="313"/>
      <c r="AM3370" s="313"/>
      <c r="AN3370" s="313"/>
      <c r="AO3370" s="313"/>
      <c r="AP3370" s="313"/>
      <c r="AQ3370" s="314"/>
      <c r="AR3370" s="315" t="str">
        <f t="shared" si="126"/>
        <v/>
      </c>
    </row>
    <row r="3371" spans="37:44" ht="30" hidden="1" customHeight="1">
      <c r="AK3371" s="313"/>
      <c r="AL3371" s="313"/>
      <c r="AM3371" s="313"/>
      <c r="AN3371" s="313"/>
      <c r="AO3371" s="313"/>
      <c r="AP3371" s="313"/>
      <c r="AQ3371" s="314"/>
      <c r="AR3371" s="315" t="str">
        <f t="shared" si="126"/>
        <v/>
      </c>
    </row>
    <row r="3372" spans="37:44" ht="30" hidden="1" customHeight="1">
      <c r="AK3372" s="313"/>
      <c r="AL3372" s="313"/>
      <c r="AM3372" s="313"/>
      <c r="AN3372" s="313"/>
      <c r="AO3372" s="313"/>
      <c r="AP3372" s="313"/>
      <c r="AQ3372" s="314"/>
      <c r="AR3372" s="315" t="str">
        <f t="shared" si="126"/>
        <v/>
      </c>
    </row>
    <row r="3373" spans="37:44" ht="30" hidden="1" customHeight="1">
      <c r="AK3373" s="313"/>
      <c r="AL3373" s="313"/>
      <c r="AM3373" s="313"/>
      <c r="AN3373" s="313"/>
      <c r="AO3373" s="313"/>
      <c r="AP3373" s="313"/>
      <c r="AQ3373" s="314"/>
      <c r="AR3373" s="315" t="str">
        <f t="shared" si="126"/>
        <v/>
      </c>
    </row>
    <row r="3374" spans="37:44" ht="30" hidden="1" customHeight="1">
      <c r="AK3374" s="313"/>
      <c r="AL3374" s="313"/>
      <c r="AM3374" s="313"/>
      <c r="AN3374" s="313"/>
      <c r="AO3374" s="313"/>
      <c r="AP3374" s="313"/>
      <c r="AQ3374" s="314"/>
      <c r="AR3374" s="315" t="str">
        <f t="shared" si="126"/>
        <v/>
      </c>
    </row>
    <row r="3375" spans="37:44" ht="30" hidden="1" customHeight="1">
      <c r="AK3375" s="313"/>
      <c r="AL3375" s="313"/>
      <c r="AM3375" s="313"/>
      <c r="AN3375" s="313"/>
      <c r="AO3375" s="313"/>
      <c r="AP3375" s="313"/>
      <c r="AQ3375" s="314"/>
      <c r="AR3375" s="315" t="str">
        <f t="shared" si="126"/>
        <v/>
      </c>
    </row>
    <row r="3376" spans="37:44" ht="30" hidden="1" customHeight="1">
      <c r="AK3376" s="313"/>
      <c r="AL3376" s="313"/>
      <c r="AM3376" s="313"/>
      <c r="AN3376" s="313"/>
      <c r="AO3376" s="313"/>
      <c r="AP3376" s="313"/>
      <c r="AQ3376" s="314"/>
      <c r="AR3376" s="315" t="str">
        <f t="shared" si="126"/>
        <v/>
      </c>
    </row>
    <row r="3377" spans="37:44" ht="30" hidden="1" customHeight="1">
      <c r="AK3377" s="313"/>
      <c r="AL3377" s="313"/>
      <c r="AM3377" s="313"/>
      <c r="AN3377" s="313"/>
      <c r="AO3377" s="313"/>
      <c r="AP3377" s="313"/>
      <c r="AQ3377" s="314"/>
      <c r="AR3377" s="315" t="str">
        <f t="shared" si="126"/>
        <v/>
      </c>
    </row>
    <row r="3378" spans="37:44" ht="30" hidden="1" customHeight="1">
      <c r="AK3378" s="313"/>
      <c r="AL3378" s="313"/>
      <c r="AM3378" s="313"/>
      <c r="AN3378" s="313"/>
      <c r="AO3378" s="313"/>
      <c r="AP3378" s="313"/>
      <c r="AQ3378" s="314"/>
      <c r="AR3378" s="315" t="str">
        <f t="shared" si="126"/>
        <v/>
      </c>
    </row>
    <row r="3379" spans="37:44" ht="30" hidden="1" customHeight="1">
      <c r="AK3379" s="313"/>
      <c r="AL3379" s="313"/>
      <c r="AM3379" s="313"/>
      <c r="AN3379" s="313"/>
      <c r="AO3379" s="313"/>
      <c r="AP3379" s="313"/>
      <c r="AQ3379" s="314"/>
      <c r="AR3379" s="315" t="str">
        <f t="shared" si="126"/>
        <v/>
      </c>
    </row>
    <row r="3380" spans="37:44" ht="30" hidden="1" customHeight="1">
      <c r="AK3380" s="313"/>
      <c r="AL3380" s="313"/>
      <c r="AM3380" s="313"/>
      <c r="AN3380" s="313"/>
      <c r="AO3380" s="313"/>
      <c r="AP3380" s="313"/>
      <c r="AQ3380" s="314"/>
      <c r="AR3380" s="315" t="str">
        <f t="shared" si="126"/>
        <v/>
      </c>
    </row>
    <row r="3381" spans="37:44" ht="30" hidden="1" customHeight="1">
      <c r="AK3381" s="313"/>
      <c r="AL3381" s="313"/>
      <c r="AM3381" s="313"/>
      <c r="AN3381" s="313"/>
      <c r="AO3381" s="313"/>
      <c r="AP3381" s="313"/>
      <c r="AQ3381" s="314"/>
      <c r="AR3381" s="315" t="str">
        <f t="shared" si="126"/>
        <v/>
      </c>
    </row>
    <row r="3382" spans="37:44" ht="30" hidden="1" customHeight="1">
      <c r="AK3382" s="313"/>
      <c r="AL3382" s="313"/>
      <c r="AM3382" s="313"/>
      <c r="AN3382" s="313"/>
      <c r="AO3382" s="313"/>
      <c r="AP3382" s="313"/>
      <c r="AQ3382" s="314"/>
      <c r="AR3382" s="315" t="str">
        <f t="shared" si="126"/>
        <v/>
      </c>
    </row>
    <row r="3383" spans="37:44" ht="30" hidden="1" customHeight="1">
      <c r="AK3383" s="313"/>
      <c r="AL3383" s="313"/>
      <c r="AM3383" s="313"/>
      <c r="AN3383" s="313"/>
      <c r="AO3383" s="313"/>
      <c r="AP3383" s="313"/>
      <c r="AQ3383" s="314"/>
      <c r="AR3383" s="315" t="str">
        <f t="shared" si="126"/>
        <v/>
      </c>
    </row>
    <row r="3384" spans="37:44" ht="30" hidden="1" customHeight="1">
      <c r="AK3384" s="313"/>
      <c r="AL3384" s="313"/>
      <c r="AM3384" s="313"/>
      <c r="AN3384" s="313"/>
      <c r="AO3384" s="313"/>
      <c r="AP3384" s="313"/>
      <c r="AQ3384" s="314"/>
      <c r="AR3384" s="315" t="str">
        <f t="shared" si="126"/>
        <v/>
      </c>
    </row>
    <row r="3385" spans="37:44" ht="30" hidden="1" customHeight="1">
      <c r="AK3385" s="313"/>
      <c r="AL3385" s="313"/>
      <c r="AM3385" s="313"/>
      <c r="AN3385" s="313"/>
      <c r="AO3385" s="313"/>
      <c r="AP3385" s="313"/>
      <c r="AQ3385" s="314"/>
      <c r="AR3385" s="315" t="str">
        <f t="shared" si="126"/>
        <v/>
      </c>
    </row>
    <row r="3386" spans="37:44" ht="30" hidden="1" customHeight="1">
      <c r="AK3386" s="313"/>
      <c r="AL3386" s="313"/>
      <c r="AM3386" s="313"/>
      <c r="AN3386" s="313"/>
      <c r="AO3386" s="313"/>
      <c r="AP3386" s="313"/>
      <c r="AQ3386" s="314"/>
      <c r="AR3386" s="315" t="str">
        <f t="shared" si="126"/>
        <v/>
      </c>
    </row>
    <row r="3387" spans="37:44" ht="30" hidden="1" customHeight="1">
      <c r="AK3387" s="313"/>
      <c r="AL3387" s="313"/>
      <c r="AM3387" s="313"/>
      <c r="AN3387" s="313"/>
      <c r="AO3387" s="313"/>
      <c r="AP3387" s="313"/>
      <c r="AQ3387" s="314"/>
      <c r="AR3387" s="315" t="str">
        <f t="shared" si="126"/>
        <v/>
      </c>
    </row>
    <row r="3388" spans="37:44" ht="30" hidden="1" customHeight="1">
      <c r="AK3388" s="313"/>
      <c r="AL3388" s="313"/>
      <c r="AM3388" s="313"/>
      <c r="AN3388" s="313"/>
      <c r="AO3388" s="313"/>
      <c r="AP3388" s="313"/>
      <c r="AQ3388" s="314"/>
      <c r="AR3388" s="315" t="str">
        <f t="shared" si="126"/>
        <v/>
      </c>
    </row>
    <row r="3389" spans="37:44" ht="30" hidden="1" customHeight="1">
      <c r="AK3389" s="313"/>
      <c r="AL3389" s="313"/>
      <c r="AM3389" s="313"/>
      <c r="AN3389" s="313"/>
      <c r="AO3389" s="313"/>
      <c r="AP3389" s="313"/>
      <c r="AQ3389" s="314"/>
      <c r="AR3389" s="315" t="str">
        <f t="shared" si="126"/>
        <v/>
      </c>
    </row>
    <row r="3390" spans="37:44" ht="30" hidden="1" customHeight="1">
      <c r="AK3390" s="313"/>
      <c r="AL3390" s="313"/>
      <c r="AM3390" s="313"/>
      <c r="AN3390" s="313"/>
      <c r="AO3390" s="313"/>
      <c r="AP3390" s="313"/>
      <c r="AQ3390" s="314"/>
      <c r="AR3390" s="315" t="str">
        <f t="shared" si="126"/>
        <v/>
      </c>
    </row>
    <row r="3391" spans="37:44" ht="30" hidden="1" customHeight="1">
      <c r="AK3391" s="313"/>
      <c r="AL3391" s="313"/>
      <c r="AM3391" s="313"/>
      <c r="AN3391" s="313"/>
      <c r="AO3391" s="313"/>
      <c r="AP3391" s="313"/>
      <c r="AQ3391" s="314"/>
      <c r="AR3391" s="315" t="str">
        <f t="shared" ref="AR3391:AR3454" si="127">IF(AQ3391="SIM","AGUARDANDO CORREÇÃO",IF(AP3391&lt;&gt;"","FINALIZADO",IF(AO3391&lt;&gt;"","AGUARDANDO ENVIO DTS",IF(AN3391&lt;&gt;"","AGUARDANDO ASSINATURA GAB",IF(AM3391&lt;&gt;"","AGUARDANDO ASSINATURA CTS",IF(AL3391&lt;&gt;"","AGUARDANDO ENVIO ASSINATURA CTS",IF(AK3391&lt;&gt;"","AGUARDANDO CONFERÊNCIA","")))))))</f>
        <v/>
      </c>
    </row>
    <row r="3392" spans="37:44" ht="30" hidden="1" customHeight="1">
      <c r="AK3392" s="313"/>
      <c r="AL3392" s="313"/>
      <c r="AM3392" s="313"/>
      <c r="AN3392" s="313"/>
      <c r="AO3392" s="313"/>
      <c r="AP3392" s="313"/>
      <c r="AQ3392" s="314"/>
      <c r="AR3392" s="315" t="str">
        <f t="shared" si="127"/>
        <v/>
      </c>
    </row>
    <row r="3393" spans="37:44" ht="30" hidden="1" customHeight="1">
      <c r="AK3393" s="313"/>
      <c r="AL3393" s="313"/>
      <c r="AM3393" s="313"/>
      <c r="AN3393" s="313"/>
      <c r="AO3393" s="313"/>
      <c r="AP3393" s="313"/>
      <c r="AQ3393" s="314"/>
      <c r="AR3393" s="315" t="str">
        <f t="shared" si="127"/>
        <v/>
      </c>
    </row>
    <row r="3394" spans="37:44" ht="30" hidden="1" customHeight="1">
      <c r="AK3394" s="313"/>
      <c r="AL3394" s="313"/>
      <c r="AM3394" s="313"/>
      <c r="AN3394" s="313"/>
      <c r="AO3394" s="313"/>
      <c r="AP3394" s="313"/>
      <c r="AQ3394" s="314"/>
      <c r="AR3394" s="315" t="str">
        <f t="shared" si="127"/>
        <v/>
      </c>
    </row>
    <row r="3395" spans="37:44" ht="30" hidden="1" customHeight="1">
      <c r="AK3395" s="313"/>
      <c r="AL3395" s="313"/>
      <c r="AM3395" s="313"/>
      <c r="AN3395" s="313"/>
      <c r="AO3395" s="313"/>
      <c r="AP3395" s="313"/>
      <c r="AQ3395" s="314"/>
      <c r="AR3395" s="315" t="str">
        <f t="shared" si="127"/>
        <v/>
      </c>
    </row>
    <row r="3396" spans="37:44" ht="30" hidden="1" customHeight="1">
      <c r="AK3396" s="313"/>
      <c r="AL3396" s="313"/>
      <c r="AM3396" s="313"/>
      <c r="AN3396" s="313"/>
      <c r="AO3396" s="313"/>
      <c r="AP3396" s="313"/>
      <c r="AQ3396" s="314"/>
      <c r="AR3396" s="315" t="str">
        <f t="shared" si="127"/>
        <v/>
      </c>
    </row>
    <row r="3397" spans="37:44" ht="30" hidden="1" customHeight="1">
      <c r="AK3397" s="313"/>
      <c r="AL3397" s="313"/>
      <c r="AM3397" s="313"/>
      <c r="AN3397" s="313"/>
      <c r="AO3397" s="313"/>
      <c r="AP3397" s="313"/>
      <c r="AQ3397" s="314"/>
      <c r="AR3397" s="315" t="str">
        <f t="shared" si="127"/>
        <v/>
      </c>
    </row>
    <row r="3398" spans="37:44" ht="30" hidden="1" customHeight="1">
      <c r="AK3398" s="313"/>
      <c r="AL3398" s="313"/>
      <c r="AM3398" s="313"/>
      <c r="AN3398" s="313"/>
      <c r="AO3398" s="313"/>
      <c r="AP3398" s="313"/>
      <c r="AQ3398" s="314"/>
      <c r="AR3398" s="315" t="str">
        <f t="shared" si="127"/>
        <v/>
      </c>
    </row>
    <row r="3399" spans="37:44" ht="30" hidden="1" customHeight="1">
      <c r="AK3399" s="313"/>
      <c r="AL3399" s="313"/>
      <c r="AM3399" s="313"/>
      <c r="AN3399" s="313"/>
      <c r="AO3399" s="313"/>
      <c r="AP3399" s="313"/>
      <c r="AQ3399" s="314"/>
      <c r="AR3399" s="315" t="str">
        <f t="shared" si="127"/>
        <v/>
      </c>
    </row>
    <row r="3400" spans="37:44" ht="30" hidden="1" customHeight="1">
      <c r="AK3400" s="313"/>
      <c r="AL3400" s="313"/>
      <c r="AM3400" s="313"/>
      <c r="AN3400" s="313"/>
      <c r="AO3400" s="313"/>
      <c r="AP3400" s="313"/>
      <c r="AQ3400" s="314"/>
      <c r="AR3400" s="315" t="str">
        <f t="shared" si="127"/>
        <v/>
      </c>
    </row>
    <row r="3401" spans="37:44" ht="30" hidden="1" customHeight="1">
      <c r="AK3401" s="313"/>
      <c r="AL3401" s="313"/>
      <c r="AM3401" s="313"/>
      <c r="AN3401" s="313"/>
      <c r="AO3401" s="313"/>
      <c r="AP3401" s="313"/>
      <c r="AQ3401" s="314"/>
      <c r="AR3401" s="315" t="str">
        <f t="shared" si="127"/>
        <v/>
      </c>
    </row>
    <row r="3402" spans="37:44" ht="30" hidden="1" customHeight="1">
      <c r="AK3402" s="313"/>
      <c r="AL3402" s="313"/>
      <c r="AM3402" s="313"/>
      <c r="AN3402" s="313"/>
      <c r="AO3402" s="313"/>
      <c r="AP3402" s="313"/>
      <c r="AQ3402" s="314"/>
      <c r="AR3402" s="315" t="str">
        <f t="shared" si="127"/>
        <v/>
      </c>
    </row>
    <row r="3403" spans="37:44" ht="30" hidden="1" customHeight="1">
      <c r="AK3403" s="313"/>
      <c r="AL3403" s="313"/>
      <c r="AM3403" s="313"/>
      <c r="AN3403" s="313"/>
      <c r="AO3403" s="313"/>
      <c r="AP3403" s="313"/>
      <c r="AQ3403" s="314"/>
      <c r="AR3403" s="315" t="str">
        <f t="shared" si="127"/>
        <v/>
      </c>
    </row>
    <row r="3404" spans="37:44" ht="30" hidden="1" customHeight="1">
      <c r="AK3404" s="313"/>
      <c r="AL3404" s="313"/>
      <c r="AM3404" s="313"/>
      <c r="AN3404" s="313"/>
      <c r="AO3404" s="313"/>
      <c r="AP3404" s="313"/>
      <c r="AQ3404" s="314"/>
      <c r="AR3404" s="315" t="str">
        <f t="shared" si="127"/>
        <v/>
      </c>
    </row>
    <row r="3405" spans="37:44" ht="30" hidden="1" customHeight="1">
      <c r="AK3405" s="313"/>
      <c r="AL3405" s="313"/>
      <c r="AM3405" s="313"/>
      <c r="AN3405" s="313"/>
      <c r="AO3405" s="313"/>
      <c r="AP3405" s="313"/>
      <c r="AQ3405" s="314"/>
      <c r="AR3405" s="315" t="str">
        <f t="shared" si="127"/>
        <v/>
      </c>
    </row>
    <row r="3406" spans="37:44" ht="30" hidden="1" customHeight="1">
      <c r="AK3406" s="313"/>
      <c r="AL3406" s="313"/>
      <c r="AM3406" s="313"/>
      <c r="AN3406" s="313"/>
      <c r="AO3406" s="313"/>
      <c r="AP3406" s="313"/>
      <c r="AQ3406" s="314"/>
      <c r="AR3406" s="315" t="str">
        <f t="shared" si="127"/>
        <v/>
      </c>
    </row>
    <row r="3407" spans="37:44" ht="30" hidden="1" customHeight="1">
      <c r="AK3407" s="313"/>
      <c r="AL3407" s="313"/>
      <c r="AM3407" s="313"/>
      <c r="AN3407" s="313"/>
      <c r="AO3407" s="313"/>
      <c r="AP3407" s="313"/>
      <c r="AQ3407" s="314"/>
      <c r="AR3407" s="315" t="str">
        <f t="shared" si="127"/>
        <v/>
      </c>
    </row>
    <row r="3408" spans="37:44" ht="30" hidden="1" customHeight="1">
      <c r="AK3408" s="313"/>
      <c r="AL3408" s="313"/>
      <c r="AM3408" s="313"/>
      <c r="AN3408" s="313"/>
      <c r="AO3408" s="313"/>
      <c r="AP3408" s="313"/>
      <c r="AQ3408" s="314"/>
      <c r="AR3408" s="315" t="str">
        <f t="shared" si="127"/>
        <v/>
      </c>
    </row>
    <row r="3409" spans="37:44" ht="30" hidden="1" customHeight="1">
      <c r="AK3409" s="313"/>
      <c r="AL3409" s="313"/>
      <c r="AM3409" s="313"/>
      <c r="AN3409" s="313"/>
      <c r="AO3409" s="313"/>
      <c r="AP3409" s="313"/>
      <c r="AQ3409" s="314"/>
      <c r="AR3409" s="315" t="str">
        <f t="shared" si="127"/>
        <v/>
      </c>
    </row>
    <row r="3410" spans="37:44" ht="30" hidden="1" customHeight="1">
      <c r="AK3410" s="313"/>
      <c r="AL3410" s="313"/>
      <c r="AM3410" s="313"/>
      <c r="AN3410" s="313"/>
      <c r="AO3410" s="313"/>
      <c r="AP3410" s="313"/>
      <c r="AQ3410" s="314"/>
      <c r="AR3410" s="315" t="str">
        <f t="shared" si="127"/>
        <v/>
      </c>
    </row>
    <row r="3411" spans="37:44" ht="30" hidden="1" customHeight="1">
      <c r="AK3411" s="313"/>
      <c r="AL3411" s="313"/>
      <c r="AM3411" s="313"/>
      <c r="AN3411" s="313"/>
      <c r="AO3411" s="313"/>
      <c r="AP3411" s="313"/>
      <c r="AQ3411" s="314"/>
      <c r="AR3411" s="315" t="str">
        <f t="shared" si="127"/>
        <v/>
      </c>
    </row>
    <row r="3412" spans="37:44" ht="30" hidden="1" customHeight="1">
      <c r="AK3412" s="313"/>
      <c r="AL3412" s="313"/>
      <c r="AM3412" s="313"/>
      <c r="AN3412" s="313"/>
      <c r="AO3412" s="313"/>
      <c r="AP3412" s="313"/>
      <c r="AQ3412" s="314"/>
      <c r="AR3412" s="315" t="str">
        <f t="shared" si="127"/>
        <v/>
      </c>
    </row>
    <row r="3413" spans="37:44" ht="30" hidden="1" customHeight="1">
      <c r="AK3413" s="313"/>
      <c r="AL3413" s="313"/>
      <c r="AM3413" s="313"/>
      <c r="AN3413" s="313"/>
      <c r="AO3413" s="313"/>
      <c r="AP3413" s="313"/>
      <c r="AQ3413" s="314"/>
      <c r="AR3413" s="315" t="str">
        <f t="shared" si="127"/>
        <v/>
      </c>
    </row>
    <row r="3414" spans="37:44" ht="30" hidden="1" customHeight="1">
      <c r="AK3414" s="313"/>
      <c r="AL3414" s="313"/>
      <c r="AM3414" s="313"/>
      <c r="AN3414" s="313"/>
      <c r="AO3414" s="313"/>
      <c r="AP3414" s="313"/>
      <c r="AQ3414" s="314"/>
      <c r="AR3414" s="315" t="str">
        <f t="shared" si="127"/>
        <v/>
      </c>
    </row>
    <row r="3415" spans="37:44" ht="30" hidden="1" customHeight="1">
      <c r="AK3415" s="313"/>
      <c r="AL3415" s="313"/>
      <c r="AM3415" s="313"/>
      <c r="AN3415" s="313"/>
      <c r="AO3415" s="313"/>
      <c r="AP3415" s="313"/>
      <c r="AQ3415" s="314"/>
      <c r="AR3415" s="315" t="str">
        <f t="shared" si="127"/>
        <v/>
      </c>
    </row>
    <row r="3416" spans="37:44" ht="30" hidden="1" customHeight="1">
      <c r="AK3416" s="313"/>
      <c r="AL3416" s="313"/>
      <c r="AM3416" s="313"/>
      <c r="AN3416" s="313"/>
      <c r="AO3416" s="313"/>
      <c r="AP3416" s="313"/>
      <c r="AQ3416" s="314"/>
      <c r="AR3416" s="315" t="str">
        <f t="shared" si="127"/>
        <v/>
      </c>
    </row>
    <row r="3417" spans="37:44" ht="30" hidden="1" customHeight="1">
      <c r="AK3417" s="313"/>
      <c r="AL3417" s="313"/>
      <c r="AM3417" s="313"/>
      <c r="AN3417" s="313"/>
      <c r="AO3417" s="313"/>
      <c r="AP3417" s="313"/>
      <c r="AQ3417" s="314"/>
      <c r="AR3417" s="315" t="str">
        <f t="shared" si="127"/>
        <v/>
      </c>
    </row>
    <row r="3418" spans="37:44" ht="30" hidden="1" customHeight="1">
      <c r="AK3418" s="313"/>
      <c r="AL3418" s="313"/>
      <c r="AM3418" s="313"/>
      <c r="AN3418" s="313"/>
      <c r="AO3418" s="313"/>
      <c r="AP3418" s="313"/>
      <c r="AQ3418" s="314"/>
      <c r="AR3418" s="315" t="str">
        <f t="shared" si="127"/>
        <v/>
      </c>
    </row>
    <row r="3419" spans="37:44" ht="30" hidden="1" customHeight="1">
      <c r="AK3419" s="313"/>
      <c r="AL3419" s="313"/>
      <c r="AM3419" s="313"/>
      <c r="AN3419" s="313"/>
      <c r="AO3419" s="313"/>
      <c r="AP3419" s="313"/>
      <c r="AQ3419" s="314"/>
      <c r="AR3419" s="315" t="str">
        <f t="shared" si="127"/>
        <v/>
      </c>
    </row>
    <row r="3420" spans="37:44" ht="30" hidden="1" customHeight="1">
      <c r="AK3420" s="313"/>
      <c r="AL3420" s="313"/>
      <c r="AM3420" s="313"/>
      <c r="AN3420" s="313"/>
      <c r="AO3420" s="313"/>
      <c r="AP3420" s="313"/>
      <c r="AQ3420" s="314"/>
      <c r="AR3420" s="315" t="str">
        <f t="shared" si="127"/>
        <v/>
      </c>
    </row>
    <row r="3421" spans="37:44" ht="30" hidden="1" customHeight="1">
      <c r="AK3421" s="313"/>
      <c r="AL3421" s="313"/>
      <c r="AM3421" s="313"/>
      <c r="AN3421" s="313"/>
      <c r="AO3421" s="313"/>
      <c r="AP3421" s="313"/>
      <c r="AQ3421" s="314"/>
      <c r="AR3421" s="315" t="str">
        <f t="shared" si="127"/>
        <v/>
      </c>
    </row>
    <row r="3422" spans="37:44" ht="30" hidden="1" customHeight="1">
      <c r="AK3422" s="313"/>
      <c r="AL3422" s="313"/>
      <c r="AM3422" s="313"/>
      <c r="AN3422" s="313"/>
      <c r="AO3422" s="313"/>
      <c r="AP3422" s="313"/>
      <c r="AQ3422" s="314"/>
      <c r="AR3422" s="315" t="str">
        <f t="shared" si="127"/>
        <v/>
      </c>
    </row>
    <row r="3423" spans="37:44" ht="30" hidden="1" customHeight="1">
      <c r="AK3423" s="313"/>
      <c r="AL3423" s="313"/>
      <c r="AM3423" s="313"/>
      <c r="AN3423" s="313"/>
      <c r="AO3423" s="313"/>
      <c r="AP3423" s="313"/>
      <c r="AQ3423" s="314"/>
      <c r="AR3423" s="315" t="str">
        <f t="shared" si="127"/>
        <v/>
      </c>
    </row>
    <row r="3424" spans="37:44" ht="30" hidden="1" customHeight="1">
      <c r="AK3424" s="313"/>
      <c r="AL3424" s="313"/>
      <c r="AM3424" s="313"/>
      <c r="AN3424" s="313"/>
      <c r="AO3424" s="313"/>
      <c r="AP3424" s="313"/>
      <c r="AQ3424" s="314"/>
      <c r="AR3424" s="315" t="str">
        <f t="shared" si="127"/>
        <v/>
      </c>
    </row>
    <row r="3425" spans="37:44" ht="30" hidden="1" customHeight="1">
      <c r="AK3425" s="313"/>
      <c r="AL3425" s="313"/>
      <c r="AM3425" s="313"/>
      <c r="AN3425" s="313"/>
      <c r="AO3425" s="313"/>
      <c r="AP3425" s="313"/>
      <c r="AQ3425" s="314"/>
      <c r="AR3425" s="315" t="str">
        <f t="shared" si="127"/>
        <v/>
      </c>
    </row>
    <row r="3426" spans="37:44" ht="30" hidden="1" customHeight="1">
      <c r="AK3426" s="313"/>
      <c r="AL3426" s="313"/>
      <c r="AM3426" s="313"/>
      <c r="AN3426" s="313"/>
      <c r="AO3426" s="313"/>
      <c r="AP3426" s="313"/>
      <c r="AQ3426" s="314"/>
      <c r="AR3426" s="315" t="str">
        <f t="shared" si="127"/>
        <v/>
      </c>
    </row>
    <row r="3427" spans="37:44" ht="30" hidden="1" customHeight="1">
      <c r="AK3427" s="313"/>
      <c r="AL3427" s="313"/>
      <c r="AM3427" s="313"/>
      <c r="AN3427" s="313"/>
      <c r="AO3427" s="313"/>
      <c r="AP3427" s="313"/>
      <c r="AQ3427" s="314"/>
      <c r="AR3427" s="315" t="str">
        <f t="shared" si="127"/>
        <v/>
      </c>
    </row>
    <row r="3428" spans="37:44" ht="30" hidden="1" customHeight="1">
      <c r="AK3428" s="313"/>
      <c r="AL3428" s="313"/>
      <c r="AM3428" s="313"/>
      <c r="AN3428" s="313"/>
      <c r="AO3428" s="313"/>
      <c r="AP3428" s="313"/>
      <c r="AQ3428" s="314"/>
      <c r="AR3428" s="315" t="str">
        <f t="shared" si="127"/>
        <v/>
      </c>
    </row>
    <row r="3429" spans="37:44" ht="30" hidden="1" customHeight="1">
      <c r="AK3429" s="313"/>
      <c r="AL3429" s="313"/>
      <c r="AM3429" s="313"/>
      <c r="AN3429" s="313"/>
      <c r="AO3429" s="313"/>
      <c r="AP3429" s="313"/>
      <c r="AQ3429" s="314"/>
      <c r="AR3429" s="315" t="str">
        <f t="shared" si="127"/>
        <v/>
      </c>
    </row>
    <row r="3430" spans="37:44" ht="30" hidden="1" customHeight="1">
      <c r="AK3430" s="313"/>
      <c r="AL3430" s="313"/>
      <c r="AM3430" s="313"/>
      <c r="AN3430" s="313"/>
      <c r="AO3430" s="313"/>
      <c r="AP3430" s="313"/>
      <c r="AQ3430" s="314"/>
      <c r="AR3430" s="315" t="str">
        <f t="shared" si="127"/>
        <v/>
      </c>
    </row>
    <row r="3431" spans="37:44" ht="30" hidden="1" customHeight="1">
      <c r="AK3431" s="313"/>
      <c r="AL3431" s="313"/>
      <c r="AM3431" s="313"/>
      <c r="AN3431" s="313"/>
      <c r="AO3431" s="313"/>
      <c r="AP3431" s="313"/>
      <c r="AQ3431" s="314"/>
      <c r="AR3431" s="315" t="str">
        <f t="shared" si="127"/>
        <v/>
      </c>
    </row>
    <row r="3432" spans="37:44" ht="30" hidden="1" customHeight="1">
      <c r="AK3432" s="313"/>
      <c r="AL3432" s="313"/>
      <c r="AM3432" s="313"/>
      <c r="AN3432" s="313"/>
      <c r="AO3432" s="313"/>
      <c r="AP3432" s="313"/>
      <c r="AQ3432" s="314"/>
      <c r="AR3432" s="315" t="str">
        <f t="shared" si="127"/>
        <v/>
      </c>
    </row>
    <row r="3433" spans="37:44" ht="30" hidden="1" customHeight="1">
      <c r="AK3433" s="313"/>
      <c r="AL3433" s="313"/>
      <c r="AM3433" s="313"/>
      <c r="AN3433" s="313"/>
      <c r="AO3433" s="313"/>
      <c r="AP3433" s="313"/>
      <c r="AQ3433" s="314"/>
      <c r="AR3433" s="315" t="str">
        <f t="shared" si="127"/>
        <v/>
      </c>
    </row>
    <row r="3434" spans="37:44" ht="30" hidden="1" customHeight="1">
      <c r="AK3434" s="313"/>
      <c r="AL3434" s="313"/>
      <c r="AM3434" s="313"/>
      <c r="AN3434" s="313"/>
      <c r="AO3434" s="313"/>
      <c r="AP3434" s="313"/>
      <c r="AQ3434" s="314"/>
      <c r="AR3434" s="315" t="str">
        <f t="shared" si="127"/>
        <v/>
      </c>
    </row>
    <row r="3435" spans="37:44" ht="30" hidden="1" customHeight="1">
      <c r="AK3435" s="313"/>
      <c r="AL3435" s="313"/>
      <c r="AM3435" s="313"/>
      <c r="AN3435" s="313"/>
      <c r="AO3435" s="313"/>
      <c r="AP3435" s="313"/>
      <c r="AQ3435" s="314"/>
      <c r="AR3435" s="315" t="str">
        <f t="shared" si="127"/>
        <v/>
      </c>
    </row>
    <row r="3436" spans="37:44" ht="30" hidden="1" customHeight="1">
      <c r="AK3436" s="313"/>
      <c r="AL3436" s="313"/>
      <c r="AM3436" s="313"/>
      <c r="AN3436" s="313"/>
      <c r="AO3436" s="313"/>
      <c r="AP3436" s="313"/>
      <c r="AQ3436" s="314"/>
      <c r="AR3436" s="315" t="str">
        <f t="shared" si="127"/>
        <v/>
      </c>
    </row>
    <row r="3437" spans="37:44" ht="30" hidden="1" customHeight="1">
      <c r="AK3437" s="313"/>
      <c r="AL3437" s="313"/>
      <c r="AM3437" s="313"/>
      <c r="AN3437" s="313"/>
      <c r="AO3437" s="313"/>
      <c r="AP3437" s="313"/>
      <c r="AQ3437" s="314"/>
      <c r="AR3437" s="315" t="str">
        <f t="shared" si="127"/>
        <v/>
      </c>
    </row>
    <row r="3438" spans="37:44" ht="30" hidden="1" customHeight="1">
      <c r="AK3438" s="313"/>
      <c r="AL3438" s="313"/>
      <c r="AM3438" s="313"/>
      <c r="AN3438" s="313"/>
      <c r="AO3438" s="313"/>
      <c r="AP3438" s="313"/>
      <c r="AQ3438" s="314"/>
      <c r="AR3438" s="315" t="str">
        <f t="shared" si="127"/>
        <v/>
      </c>
    </row>
    <row r="3439" spans="37:44" ht="30" hidden="1" customHeight="1">
      <c r="AK3439" s="313"/>
      <c r="AL3439" s="313"/>
      <c r="AM3439" s="313"/>
      <c r="AN3439" s="313"/>
      <c r="AO3439" s="313"/>
      <c r="AP3439" s="313"/>
      <c r="AQ3439" s="314"/>
      <c r="AR3439" s="315" t="str">
        <f t="shared" si="127"/>
        <v/>
      </c>
    </row>
    <row r="3440" spans="37:44" ht="30" hidden="1" customHeight="1">
      <c r="AK3440" s="313"/>
      <c r="AL3440" s="313"/>
      <c r="AM3440" s="313"/>
      <c r="AN3440" s="313"/>
      <c r="AO3440" s="313"/>
      <c r="AP3440" s="313"/>
      <c r="AQ3440" s="314"/>
      <c r="AR3440" s="315" t="str">
        <f t="shared" si="127"/>
        <v/>
      </c>
    </row>
    <row r="3441" spans="37:44" ht="30" hidden="1" customHeight="1">
      <c r="AK3441" s="313"/>
      <c r="AL3441" s="313"/>
      <c r="AM3441" s="313"/>
      <c r="AN3441" s="313"/>
      <c r="AO3441" s="313"/>
      <c r="AP3441" s="313"/>
      <c r="AQ3441" s="314"/>
      <c r="AR3441" s="315" t="str">
        <f t="shared" si="127"/>
        <v/>
      </c>
    </row>
    <row r="3442" spans="37:44" ht="30" hidden="1" customHeight="1">
      <c r="AK3442" s="313"/>
      <c r="AL3442" s="313"/>
      <c r="AM3442" s="313"/>
      <c r="AN3442" s="313"/>
      <c r="AO3442" s="313"/>
      <c r="AP3442" s="313"/>
      <c r="AQ3442" s="314"/>
      <c r="AR3442" s="315" t="str">
        <f t="shared" si="127"/>
        <v/>
      </c>
    </row>
    <row r="3443" spans="37:44" ht="30" hidden="1" customHeight="1">
      <c r="AK3443" s="313"/>
      <c r="AL3443" s="313"/>
      <c r="AM3443" s="313"/>
      <c r="AN3443" s="313"/>
      <c r="AO3443" s="313"/>
      <c r="AP3443" s="313"/>
      <c r="AQ3443" s="314"/>
      <c r="AR3443" s="315" t="str">
        <f t="shared" si="127"/>
        <v/>
      </c>
    </row>
    <row r="3444" spans="37:44" ht="30" hidden="1" customHeight="1">
      <c r="AK3444" s="313"/>
      <c r="AL3444" s="313"/>
      <c r="AM3444" s="313"/>
      <c r="AN3444" s="313"/>
      <c r="AO3444" s="313"/>
      <c r="AP3444" s="313"/>
      <c r="AQ3444" s="314"/>
      <c r="AR3444" s="315" t="str">
        <f t="shared" si="127"/>
        <v/>
      </c>
    </row>
    <row r="3445" spans="37:44" ht="30" hidden="1" customHeight="1">
      <c r="AK3445" s="313"/>
      <c r="AL3445" s="313"/>
      <c r="AM3445" s="313"/>
      <c r="AN3445" s="313"/>
      <c r="AO3445" s="313"/>
      <c r="AP3445" s="313"/>
      <c r="AQ3445" s="314"/>
      <c r="AR3445" s="315" t="str">
        <f t="shared" si="127"/>
        <v/>
      </c>
    </row>
    <row r="3446" spans="37:44" ht="30" hidden="1" customHeight="1">
      <c r="AK3446" s="313"/>
      <c r="AL3446" s="313"/>
      <c r="AM3446" s="313"/>
      <c r="AN3446" s="313"/>
      <c r="AO3446" s="313"/>
      <c r="AP3446" s="313"/>
      <c r="AQ3446" s="314"/>
      <c r="AR3446" s="315" t="str">
        <f t="shared" si="127"/>
        <v/>
      </c>
    </row>
    <row r="3447" spans="37:44" ht="30" hidden="1" customHeight="1">
      <c r="AK3447" s="313"/>
      <c r="AL3447" s="313"/>
      <c r="AM3447" s="313"/>
      <c r="AN3447" s="313"/>
      <c r="AO3447" s="313"/>
      <c r="AP3447" s="313"/>
      <c r="AQ3447" s="314"/>
      <c r="AR3447" s="315" t="str">
        <f t="shared" si="127"/>
        <v/>
      </c>
    </row>
    <row r="3448" spans="37:44" ht="30" hidden="1" customHeight="1">
      <c r="AK3448" s="313"/>
      <c r="AL3448" s="313"/>
      <c r="AM3448" s="313"/>
      <c r="AN3448" s="313"/>
      <c r="AO3448" s="313"/>
      <c r="AP3448" s="313"/>
      <c r="AQ3448" s="314"/>
      <c r="AR3448" s="315" t="str">
        <f t="shared" si="127"/>
        <v/>
      </c>
    </row>
    <row r="3449" spans="37:44" ht="30" hidden="1" customHeight="1">
      <c r="AK3449" s="313"/>
      <c r="AL3449" s="313"/>
      <c r="AM3449" s="313"/>
      <c r="AN3449" s="313"/>
      <c r="AO3449" s="313"/>
      <c r="AP3449" s="313"/>
      <c r="AQ3449" s="314"/>
      <c r="AR3449" s="315" t="str">
        <f t="shared" si="127"/>
        <v/>
      </c>
    </row>
    <row r="3450" spans="37:44" ht="30" hidden="1" customHeight="1">
      <c r="AK3450" s="313"/>
      <c r="AL3450" s="313"/>
      <c r="AM3450" s="313"/>
      <c r="AN3450" s="313"/>
      <c r="AO3450" s="313"/>
      <c r="AP3450" s="313"/>
      <c r="AQ3450" s="314"/>
      <c r="AR3450" s="315" t="str">
        <f t="shared" si="127"/>
        <v/>
      </c>
    </row>
    <row r="3451" spans="37:44" ht="30" hidden="1" customHeight="1">
      <c r="AK3451" s="313"/>
      <c r="AL3451" s="313"/>
      <c r="AM3451" s="313"/>
      <c r="AN3451" s="313"/>
      <c r="AO3451" s="313"/>
      <c r="AP3451" s="313"/>
      <c r="AQ3451" s="314"/>
      <c r="AR3451" s="315" t="str">
        <f t="shared" si="127"/>
        <v/>
      </c>
    </row>
    <row r="3452" spans="37:44" ht="30" hidden="1" customHeight="1">
      <c r="AK3452" s="313"/>
      <c r="AL3452" s="313"/>
      <c r="AM3452" s="313"/>
      <c r="AN3452" s="313"/>
      <c r="AO3452" s="313"/>
      <c r="AP3452" s="313"/>
      <c r="AQ3452" s="314"/>
      <c r="AR3452" s="315" t="str">
        <f t="shared" si="127"/>
        <v/>
      </c>
    </row>
    <row r="3453" spans="37:44" ht="30" hidden="1" customHeight="1">
      <c r="AK3453" s="313"/>
      <c r="AL3453" s="313"/>
      <c r="AM3453" s="313"/>
      <c r="AN3453" s="313"/>
      <c r="AO3453" s="313"/>
      <c r="AP3453" s="313"/>
      <c r="AQ3453" s="314"/>
      <c r="AR3453" s="315" t="str">
        <f t="shared" si="127"/>
        <v/>
      </c>
    </row>
    <row r="3454" spans="37:44" ht="30" hidden="1" customHeight="1">
      <c r="AK3454" s="313"/>
      <c r="AL3454" s="313"/>
      <c r="AM3454" s="313"/>
      <c r="AN3454" s="313"/>
      <c r="AO3454" s="313"/>
      <c r="AP3454" s="313"/>
      <c r="AQ3454" s="314"/>
      <c r="AR3454" s="315" t="str">
        <f t="shared" si="127"/>
        <v/>
      </c>
    </row>
    <row r="3455" spans="37:44" ht="30" hidden="1" customHeight="1">
      <c r="AK3455" s="313"/>
      <c r="AL3455" s="313"/>
      <c r="AM3455" s="313"/>
      <c r="AN3455" s="313"/>
      <c r="AO3455" s="313"/>
      <c r="AP3455" s="313"/>
      <c r="AQ3455" s="314"/>
      <c r="AR3455" s="315" t="str">
        <f t="shared" ref="AR3455:AR3518" si="128">IF(AQ3455="SIM","AGUARDANDO CORREÇÃO",IF(AP3455&lt;&gt;"","FINALIZADO",IF(AO3455&lt;&gt;"","AGUARDANDO ENVIO DTS",IF(AN3455&lt;&gt;"","AGUARDANDO ASSINATURA GAB",IF(AM3455&lt;&gt;"","AGUARDANDO ASSINATURA CTS",IF(AL3455&lt;&gt;"","AGUARDANDO ENVIO ASSINATURA CTS",IF(AK3455&lt;&gt;"","AGUARDANDO CONFERÊNCIA","")))))))</f>
        <v/>
      </c>
    </row>
    <row r="3456" spans="37:44" ht="30" hidden="1" customHeight="1">
      <c r="AK3456" s="313"/>
      <c r="AL3456" s="313"/>
      <c r="AM3456" s="313"/>
      <c r="AN3456" s="313"/>
      <c r="AO3456" s="313"/>
      <c r="AP3456" s="313"/>
      <c r="AQ3456" s="314"/>
      <c r="AR3456" s="315" t="str">
        <f t="shared" si="128"/>
        <v/>
      </c>
    </row>
    <row r="3457" spans="37:44" ht="30" hidden="1" customHeight="1">
      <c r="AK3457" s="313"/>
      <c r="AL3457" s="313"/>
      <c r="AM3457" s="313"/>
      <c r="AN3457" s="313"/>
      <c r="AO3457" s="313"/>
      <c r="AP3457" s="313"/>
      <c r="AQ3457" s="314"/>
      <c r="AR3457" s="315" t="str">
        <f t="shared" si="128"/>
        <v/>
      </c>
    </row>
    <row r="3458" spans="37:44" ht="30" hidden="1" customHeight="1">
      <c r="AK3458" s="313"/>
      <c r="AL3458" s="313"/>
      <c r="AM3458" s="313"/>
      <c r="AN3458" s="313"/>
      <c r="AO3458" s="313"/>
      <c r="AP3458" s="313"/>
      <c r="AQ3458" s="314"/>
      <c r="AR3458" s="315" t="str">
        <f t="shared" si="128"/>
        <v/>
      </c>
    </row>
    <row r="3459" spans="37:44" ht="30" hidden="1" customHeight="1">
      <c r="AK3459" s="313"/>
      <c r="AL3459" s="313"/>
      <c r="AM3459" s="313"/>
      <c r="AN3459" s="313"/>
      <c r="AO3459" s="313"/>
      <c r="AP3459" s="313"/>
      <c r="AQ3459" s="314"/>
      <c r="AR3459" s="315" t="str">
        <f t="shared" si="128"/>
        <v/>
      </c>
    </row>
    <row r="3460" spans="37:44" ht="30" hidden="1" customHeight="1">
      <c r="AK3460" s="313"/>
      <c r="AL3460" s="313"/>
      <c r="AM3460" s="313"/>
      <c r="AN3460" s="313"/>
      <c r="AO3460" s="313"/>
      <c r="AP3460" s="313"/>
      <c r="AQ3460" s="314"/>
      <c r="AR3460" s="315" t="str">
        <f t="shared" si="128"/>
        <v/>
      </c>
    </row>
    <row r="3461" spans="37:44" ht="30" hidden="1" customHeight="1">
      <c r="AK3461" s="313"/>
      <c r="AL3461" s="313"/>
      <c r="AM3461" s="313"/>
      <c r="AN3461" s="313"/>
      <c r="AO3461" s="313"/>
      <c r="AP3461" s="313"/>
      <c r="AQ3461" s="314"/>
      <c r="AR3461" s="315" t="str">
        <f t="shared" si="128"/>
        <v/>
      </c>
    </row>
    <row r="3462" spans="37:44" ht="30" hidden="1" customHeight="1">
      <c r="AK3462" s="313"/>
      <c r="AL3462" s="313"/>
      <c r="AM3462" s="313"/>
      <c r="AN3462" s="313"/>
      <c r="AO3462" s="313"/>
      <c r="AP3462" s="313"/>
      <c r="AQ3462" s="314"/>
      <c r="AR3462" s="315" t="str">
        <f t="shared" si="128"/>
        <v/>
      </c>
    </row>
    <row r="3463" spans="37:44" ht="30" hidden="1" customHeight="1">
      <c r="AK3463" s="313"/>
      <c r="AL3463" s="313"/>
      <c r="AM3463" s="313"/>
      <c r="AN3463" s="313"/>
      <c r="AO3463" s="313"/>
      <c r="AP3463" s="313"/>
      <c r="AQ3463" s="314"/>
      <c r="AR3463" s="315" t="str">
        <f t="shared" si="128"/>
        <v/>
      </c>
    </row>
    <row r="3464" spans="37:44" ht="30" hidden="1" customHeight="1">
      <c r="AK3464" s="313"/>
      <c r="AL3464" s="313"/>
      <c r="AM3464" s="313"/>
      <c r="AN3464" s="313"/>
      <c r="AO3464" s="313"/>
      <c r="AP3464" s="313"/>
      <c r="AQ3464" s="314"/>
      <c r="AR3464" s="315" t="str">
        <f t="shared" si="128"/>
        <v/>
      </c>
    </row>
    <row r="3465" spans="37:44" ht="30" hidden="1" customHeight="1">
      <c r="AK3465" s="313"/>
      <c r="AL3465" s="313"/>
      <c r="AM3465" s="313"/>
      <c r="AN3465" s="313"/>
      <c r="AO3465" s="313"/>
      <c r="AP3465" s="313"/>
      <c r="AQ3465" s="314"/>
      <c r="AR3465" s="315" t="str">
        <f t="shared" si="128"/>
        <v/>
      </c>
    </row>
    <row r="3466" spans="37:44" ht="30" hidden="1" customHeight="1">
      <c r="AK3466" s="313"/>
      <c r="AL3466" s="313"/>
      <c r="AM3466" s="313"/>
      <c r="AN3466" s="313"/>
      <c r="AO3466" s="313"/>
      <c r="AP3466" s="313"/>
      <c r="AQ3466" s="314"/>
      <c r="AR3466" s="315" t="str">
        <f t="shared" si="128"/>
        <v/>
      </c>
    </row>
    <row r="3467" spans="37:44" ht="30" hidden="1" customHeight="1">
      <c r="AK3467" s="313"/>
      <c r="AL3467" s="313"/>
      <c r="AM3467" s="313"/>
      <c r="AN3467" s="313"/>
      <c r="AO3467" s="313"/>
      <c r="AP3467" s="313"/>
      <c r="AQ3467" s="314"/>
      <c r="AR3467" s="315" t="str">
        <f t="shared" si="128"/>
        <v/>
      </c>
    </row>
    <row r="3468" spans="37:44" ht="30" hidden="1" customHeight="1">
      <c r="AK3468" s="313"/>
      <c r="AL3468" s="313"/>
      <c r="AM3468" s="313"/>
      <c r="AN3468" s="313"/>
      <c r="AO3468" s="313"/>
      <c r="AP3468" s="313"/>
      <c r="AQ3468" s="314"/>
      <c r="AR3468" s="315" t="str">
        <f t="shared" si="128"/>
        <v/>
      </c>
    </row>
    <row r="3469" spans="37:44" ht="30" hidden="1" customHeight="1">
      <c r="AK3469" s="313"/>
      <c r="AL3469" s="313"/>
      <c r="AM3469" s="313"/>
      <c r="AN3469" s="313"/>
      <c r="AO3469" s="313"/>
      <c r="AP3469" s="313"/>
      <c r="AQ3469" s="314"/>
      <c r="AR3469" s="315" t="str">
        <f t="shared" si="128"/>
        <v/>
      </c>
    </row>
    <row r="3470" spans="37:44" ht="30" hidden="1" customHeight="1">
      <c r="AK3470" s="313"/>
      <c r="AL3470" s="313"/>
      <c r="AM3470" s="313"/>
      <c r="AN3470" s="313"/>
      <c r="AO3470" s="313"/>
      <c r="AP3470" s="313"/>
      <c r="AQ3470" s="314"/>
      <c r="AR3470" s="315" t="str">
        <f t="shared" si="128"/>
        <v/>
      </c>
    </row>
    <row r="3471" spans="37:44" ht="30" hidden="1" customHeight="1">
      <c r="AK3471" s="313"/>
      <c r="AL3471" s="313"/>
      <c r="AM3471" s="313"/>
      <c r="AN3471" s="313"/>
      <c r="AO3471" s="313"/>
      <c r="AP3471" s="313"/>
      <c r="AQ3471" s="314"/>
      <c r="AR3471" s="315" t="str">
        <f t="shared" si="128"/>
        <v/>
      </c>
    </row>
    <row r="3472" spans="37:44" ht="30" hidden="1" customHeight="1">
      <c r="AK3472" s="313"/>
      <c r="AL3472" s="313"/>
      <c r="AM3472" s="313"/>
      <c r="AN3472" s="313"/>
      <c r="AO3472" s="313"/>
      <c r="AP3472" s="313"/>
      <c r="AQ3472" s="314"/>
      <c r="AR3472" s="315" t="str">
        <f t="shared" si="128"/>
        <v/>
      </c>
    </row>
    <row r="3473" spans="37:44" ht="30" hidden="1" customHeight="1">
      <c r="AK3473" s="313"/>
      <c r="AL3473" s="313"/>
      <c r="AM3473" s="313"/>
      <c r="AN3473" s="313"/>
      <c r="AO3473" s="313"/>
      <c r="AP3473" s="313"/>
      <c r="AQ3473" s="314"/>
      <c r="AR3473" s="315" t="str">
        <f t="shared" si="128"/>
        <v/>
      </c>
    </row>
    <row r="3474" spans="37:44" ht="30" hidden="1" customHeight="1">
      <c r="AK3474" s="313"/>
      <c r="AL3474" s="313"/>
      <c r="AM3474" s="313"/>
      <c r="AN3474" s="313"/>
      <c r="AO3474" s="313"/>
      <c r="AP3474" s="313"/>
      <c r="AQ3474" s="314"/>
      <c r="AR3474" s="315" t="str">
        <f t="shared" si="128"/>
        <v/>
      </c>
    </row>
    <row r="3475" spans="37:44" ht="30" hidden="1" customHeight="1">
      <c r="AK3475" s="313"/>
      <c r="AL3475" s="313"/>
      <c r="AM3475" s="313"/>
      <c r="AN3475" s="313"/>
      <c r="AO3475" s="313"/>
      <c r="AP3475" s="313"/>
      <c r="AQ3475" s="314"/>
      <c r="AR3475" s="315" t="str">
        <f t="shared" si="128"/>
        <v/>
      </c>
    </row>
    <row r="3476" spans="37:44" ht="30" hidden="1" customHeight="1">
      <c r="AK3476" s="313"/>
      <c r="AL3476" s="313"/>
      <c r="AM3476" s="313"/>
      <c r="AN3476" s="313"/>
      <c r="AO3476" s="313"/>
      <c r="AP3476" s="313"/>
      <c r="AQ3476" s="314"/>
      <c r="AR3476" s="315" t="str">
        <f t="shared" si="128"/>
        <v/>
      </c>
    </row>
    <row r="3477" spans="37:44" ht="30" hidden="1" customHeight="1">
      <c r="AK3477" s="313"/>
      <c r="AL3477" s="313"/>
      <c r="AM3477" s="313"/>
      <c r="AN3477" s="313"/>
      <c r="AO3477" s="313"/>
      <c r="AP3477" s="313"/>
      <c r="AQ3477" s="314"/>
      <c r="AR3477" s="315" t="str">
        <f t="shared" si="128"/>
        <v/>
      </c>
    </row>
    <row r="3478" spans="37:44" ht="30" hidden="1" customHeight="1">
      <c r="AK3478" s="313"/>
      <c r="AL3478" s="313"/>
      <c r="AM3478" s="313"/>
      <c r="AN3478" s="313"/>
      <c r="AO3478" s="313"/>
      <c r="AP3478" s="313"/>
      <c r="AQ3478" s="314"/>
      <c r="AR3478" s="315" t="str">
        <f t="shared" si="128"/>
        <v/>
      </c>
    </row>
    <row r="3479" spans="37:44" ht="30" hidden="1" customHeight="1">
      <c r="AK3479" s="313"/>
      <c r="AL3479" s="313"/>
      <c r="AM3479" s="313"/>
      <c r="AN3479" s="313"/>
      <c r="AO3479" s="313"/>
      <c r="AP3479" s="313"/>
      <c r="AQ3479" s="314"/>
      <c r="AR3479" s="315" t="str">
        <f t="shared" si="128"/>
        <v/>
      </c>
    </row>
    <row r="3480" spans="37:44" ht="30" hidden="1" customHeight="1">
      <c r="AK3480" s="313"/>
      <c r="AL3480" s="313"/>
      <c r="AM3480" s="313"/>
      <c r="AN3480" s="313"/>
      <c r="AO3480" s="313"/>
      <c r="AP3480" s="313"/>
      <c r="AQ3480" s="314"/>
      <c r="AR3480" s="315" t="str">
        <f t="shared" si="128"/>
        <v/>
      </c>
    </row>
    <row r="3481" spans="37:44" ht="30" hidden="1" customHeight="1">
      <c r="AK3481" s="313"/>
      <c r="AL3481" s="313"/>
      <c r="AM3481" s="313"/>
      <c r="AN3481" s="313"/>
      <c r="AO3481" s="313"/>
      <c r="AP3481" s="313"/>
      <c r="AQ3481" s="314"/>
      <c r="AR3481" s="315" t="str">
        <f t="shared" si="128"/>
        <v/>
      </c>
    </row>
    <row r="3482" spans="37:44" ht="30" hidden="1" customHeight="1">
      <c r="AK3482" s="313"/>
      <c r="AL3482" s="313"/>
      <c r="AM3482" s="313"/>
      <c r="AN3482" s="313"/>
      <c r="AO3482" s="313"/>
      <c r="AP3482" s="313"/>
      <c r="AQ3482" s="314"/>
      <c r="AR3482" s="315" t="str">
        <f t="shared" si="128"/>
        <v/>
      </c>
    </row>
    <row r="3483" spans="37:44" ht="30" hidden="1" customHeight="1">
      <c r="AK3483" s="313"/>
      <c r="AL3483" s="313"/>
      <c r="AM3483" s="313"/>
      <c r="AN3483" s="313"/>
      <c r="AO3483" s="313"/>
      <c r="AP3483" s="313"/>
      <c r="AQ3483" s="314"/>
      <c r="AR3483" s="315" t="str">
        <f t="shared" si="128"/>
        <v/>
      </c>
    </row>
    <row r="3484" spans="37:44" ht="30" hidden="1" customHeight="1">
      <c r="AK3484" s="313"/>
      <c r="AL3484" s="313"/>
      <c r="AM3484" s="313"/>
      <c r="AN3484" s="313"/>
      <c r="AO3484" s="313"/>
      <c r="AP3484" s="313"/>
      <c r="AQ3484" s="314"/>
      <c r="AR3484" s="315" t="str">
        <f t="shared" si="128"/>
        <v/>
      </c>
    </row>
    <row r="3485" spans="37:44" ht="30" hidden="1" customHeight="1">
      <c r="AK3485" s="313"/>
      <c r="AL3485" s="313"/>
      <c r="AM3485" s="313"/>
      <c r="AN3485" s="313"/>
      <c r="AO3485" s="313"/>
      <c r="AP3485" s="313"/>
      <c r="AQ3485" s="314"/>
      <c r="AR3485" s="315" t="str">
        <f t="shared" si="128"/>
        <v/>
      </c>
    </row>
    <row r="3486" spans="37:44" ht="30" hidden="1" customHeight="1">
      <c r="AK3486" s="313"/>
      <c r="AL3486" s="313"/>
      <c r="AM3486" s="313"/>
      <c r="AN3486" s="313"/>
      <c r="AO3486" s="313"/>
      <c r="AP3486" s="313"/>
      <c r="AQ3486" s="314"/>
      <c r="AR3486" s="315" t="str">
        <f t="shared" si="128"/>
        <v/>
      </c>
    </row>
    <row r="3487" spans="37:44" ht="30" hidden="1" customHeight="1">
      <c r="AK3487" s="313"/>
      <c r="AL3487" s="313"/>
      <c r="AM3487" s="313"/>
      <c r="AN3487" s="313"/>
      <c r="AO3487" s="313"/>
      <c r="AP3487" s="313"/>
      <c r="AQ3487" s="314"/>
      <c r="AR3487" s="315" t="str">
        <f t="shared" si="128"/>
        <v/>
      </c>
    </row>
    <row r="3488" spans="37:44" ht="30" hidden="1" customHeight="1">
      <c r="AK3488" s="313"/>
      <c r="AL3488" s="313"/>
      <c r="AM3488" s="313"/>
      <c r="AN3488" s="313"/>
      <c r="AO3488" s="313"/>
      <c r="AP3488" s="313"/>
      <c r="AQ3488" s="314"/>
      <c r="AR3488" s="315" t="str">
        <f t="shared" si="128"/>
        <v/>
      </c>
    </row>
    <row r="3489" spans="37:44" ht="30" hidden="1" customHeight="1">
      <c r="AK3489" s="313"/>
      <c r="AL3489" s="313"/>
      <c r="AM3489" s="313"/>
      <c r="AN3489" s="313"/>
      <c r="AO3489" s="313"/>
      <c r="AP3489" s="313"/>
      <c r="AQ3489" s="314"/>
      <c r="AR3489" s="315" t="str">
        <f t="shared" si="128"/>
        <v/>
      </c>
    </row>
    <row r="3490" spans="37:44" ht="30" hidden="1" customHeight="1">
      <c r="AK3490" s="313"/>
      <c r="AL3490" s="313"/>
      <c r="AM3490" s="313"/>
      <c r="AN3490" s="313"/>
      <c r="AO3490" s="313"/>
      <c r="AP3490" s="313"/>
      <c r="AQ3490" s="314"/>
      <c r="AR3490" s="315" t="str">
        <f t="shared" si="128"/>
        <v/>
      </c>
    </row>
    <row r="3491" spans="37:44" ht="30" hidden="1" customHeight="1">
      <c r="AK3491" s="313"/>
      <c r="AL3491" s="313"/>
      <c r="AM3491" s="313"/>
      <c r="AN3491" s="313"/>
      <c r="AO3491" s="313"/>
      <c r="AP3491" s="313"/>
      <c r="AQ3491" s="314"/>
      <c r="AR3491" s="315" t="str">
        <f t="shared" si="128"/>
        <v/>
      </c>
    </row>
    <row r="3492" spans="37:44" ht="30" hidden="1" customHeight="1">
      <c r="AK3492" s="313"/>
      <c r="AL3492" s="313"/>
      <c r="AM3492" s="313"/>
      <c r="AN3492" s="313"/>
      <c r="AO3492" s="313"/>
      <c r="AP3492" s="313"/>
      <c r="AQ3492" s="314"/>
      <c r="AR3492" s="315" t="str">
        <f t="shared" si="128"/>
        <v/>
      </c>
    </row>
    <row r="3493" spans="37:44" ht="30" hidden="1" customHeight="1">
      <c r="AK3493" s="313"/>
      <c r="AL3493" s="313"/>
      <c r="AM3493" s="313"/>
      <c r="AN3493" s="313"/>
      <c r="AO3493" s="313"/>
      <c r="AP3493" s="313"/>
      <c r="AQ3493" s="314"/>
      <c r="AR3493" s="315" t="str">
        <f t="shared" si="128"/>
        <v/>
      </c>
    </row>
    <row r="3494" spans="37:44" ht="30" hidden="1" customHeight="1">
      <c r="AK3494" s="313"/>
      <c r="AL3494" s="313"/>
      <c r="AM3494" s="313"/>
      <c r="AN3494" s="313"/>
      <c r="AO3494" s="313"/>
      <c r="AP3494" s="313"/>
      <c r="AQ3494" s="314"/>
      <c r="AR3494" s="315" t="str">
        <f t="shared" si="128"/>
        <v/>
      </c>
    </row>
    <row r="3495" spans="37:44" ht="30" hidden="1" customHeight="1">
      <c r="AK3495" s="313"/>
      <c r="AL3495" s="313"/>
      <c r="AM3495" s="313"/>
      <c r="AN3495" s="313"/>
      <c r="AO3495" s="313"/>
      <c r="AP3495" s="313"/>
      <c r="AQ3495" s="314"/>
      <c r="AR3495" s="315" t="str">
        <f t="shared" si="128"/>
        <v/>
      </c>
    </row>
    <row r="3496" spans="37:44" ht="30" hidden="1" customHeight="1">
      <c r="AK3496" s="313"/>
      <c r="AL3496" s="313"/>
      <c r="AM3496" s="313"/>
      <c r="AN3496" s="313"/>
      <c r="AO3496" s="313"/>
      <c r="AP3496" s="313"/>
      <c r="AQ3496" s="314"/>
      <c r="AR3496" s="315" t="str">
        <f t="shared" si="128"/>
        <v/>
      </c>
    </row>
    <row r="3497" spans="37:44" ht="30" hidden="1" customHeight="1">
      <c r="AK3497" s="313"/>
      <c r="AL3497" s="313"/>
      <c r="AM3497" s="313"/>
      <c r="AN3497" s="313"/>
      <c r="AO3497" s="313"/>
      <c r="AP3497" s="313"/>
      <c r="AQ3497" s="314"/>
      <c r="AR3497" s="315" t="str">
        <f t="shared" si="128"/>
        <v/>
      </c>
    </row>
    <row r="3498" spans="37:44" ht="30" hidden="1" customHeight="1">
      <c r="AK3498" s="313"/>
      <c r="AL3498" s="313"/>
      <c r="AM3498" s="313"/>
      <c r="AN3498" s="313"/>
      <c r="AO3498" s="313"/>
      <c r="AP3498" s="313"/>
      <c r="AQ3498" s="314"/>
      <c r="AR3498" s="315" t="str">
        <f t="shared" si="128"/>
        <v/>
      </c>
    </row>
    <row r="3499" spans="37:44" ht="30" hidden="1" customHeight="1">
      <c r="AK3499" s="313"/>
      <c r="AL3499" s="313"/>
      <c r="AM3499" s="313"/>
      <c r="AN3499" s="313"/>
      <c r="AO3499" s="313"/>
      <c r="AP3499" s="313"/>
      <c r="AQ3499" s="314"/>
      <c r="AR3499" s="315" t="str">
        <f t="shared" si="128"/>
        <v/>
      </c>
    </row>
    <row r="3500" spans="37:44" ht="30" hidden="1" customHeight="1">
      <c r="AK3500" s="313"/>
      <c r="AL3500" s="313"/>
      <c r="AM3500" s="313"/>
      <c r="AN3500" s="313"/>
      <c r="AO3500" s="313"/>
      <c r="AP3500" s="313"/>
      <c r="AQ3500" s="314"/>
      <c r="AR3500" s="315" t="str">
        <f t="shared" si="128"/>
        <v/>
      </c>
    </row>
    <row r="3501" spans="37:44" ht="30" hidden="1" customHeight="1">
      <c r="AK3501" s="313"/>
      <c r="AL3501" s="313"/>
      <c r="AM3501" s="313"/>
      <c r="AN3501" s="313"/>
      <c r="AO3501" s="313"/>
      <c r="AP3501" s="313"/>
      <c r="AQ3501" s="314"/>
      <c r="AR3501" s="315" t="str">
        <f t="shared" si="128"/>
        <v/>
      </c>
    </row>
    <row r="3502" spans="37:44" ht="30" hidden="1" customHeight="1">
      <c r="AK3502" s="313"/>
      <c r="AL3502" s="313"/>
      <c r="AM3502" s="313"/>
      <c r="AN3502" s="313"/>
      <c r="AO3502" s="313"/>
      <c r="AP3502" s="313"/>
      <c r="AQ3502" s="314"/>
      <c r="AR3502" s="315" t="str">
        <f t="shared" si="128"/>
        <v/>
      </c>
    </row>
    <row r="3503" spans="37:44" ht="30" hidden="1" customHeight="1">
      <c r="AK3503" s="313"/>
      <c r="AL3503" s="313"/>
      <c r="AM3503" s="313"/>
      <c r="AN3503" s="313"/>
      <c r="AO3503" s="313"/>
      <c r="AP3503" s="313"/>
      <c r="AQ3503" s="314"/>
      <c r="AR3503" s="315" t="str">
        <f t="shared" si="128"/>
        <v/>
      </c>
    </row>
    <row r="3504" spans="37:44" ht="30" hidden="1" customHeight="1">
      <c r="AK3504" s="313"/>
      <c r="AL3504" s="313"/>
      <c r="AM3504" s="313"/>
      <c r="AN3504" s="313"/>
      <c r="AO3504" s="313"/>
      <c r="AP3504" s="313"/>
      <c r="AQ3504" s="314"/>
      <c r="AR3504" s="315" t="str">
        <f t="shared" si="128"/>
        <v/>
      </c>
    </row>
    <row r="3505" spans="37:44" ht="30" hidden="1" customHeight="1">
      <c r="AK3505" s="313"/>
      <c r="AL3505" s="313"/>
      <c r="AM3505" s="313"/>
      <c r="AN3505" s="313"/>
      <c r="AO3505" s="313"/>
      <c r="AP3505" s="313"/>
      <c r="AQ3505" s="314"/>
      <c r="AR3505" s="315" t="str">
        <f t="shared" si="128"/>
        <v/>
      </c>
    </row>
    <row r="3506" spans="37:44" ht="30" hidden="1" customHeight="1">
      <c r="AK3506" s="313"/>
      <c r="AL3506" s="313"/>
      <c r="AM3506" s="313"/>
      <c r="AN3506" s="313"/>
      <c r="AO3506" s="313"/>
      <c r="AP3506" s="313"/>
      <c r="AQ3506" s="314"/>
      <c r="AR3506" s="315" t="str">
        <f t="shared" si="128"/>
        <v/>
      </c>
    </row>
    <row r="3507" spans="37:44" ht="30" hidden="1" customHeight="1">
      <c r="AK3507" s="313"/>
      <c r="AL3507" s="313"/>
      <c r="AM3507" s="313"/>
      <c r="AN3507" s="313"/>
      <c r="AO3507" s="313"/>
      <c r="AP3507" s="313"/>
      <c r="AQ3507" s="314"/>
      <c r="AR3507" s="315" t="str">
        <f t="shared" si="128"/>
        <v/>
      </c>
    </row>
    <row r="3508" spans="37:44" ht="30" hidden="1" customHeight="1">
      <c r="AK3508" s="313"/>
      <c r="AL3508" s="313"/>
      <c r="AM3508" s="313"/>
      <c r="AN3508" s="313"/>
      <c r="AO3508" s="313"/>
      <c r="AP3508" s="313"/>
      <c r="AQ3508" s="314"/>
      <c r="AR3508" s="315" t="str">
        <f t="shared" si="128"/>
        <v/>
      </c>
    </row>
    <row r="3509" spans="37:44" ht="30" hidden="1" customHeight="1">
      <c r="AK3509" s="313"/>
      <c r="AL3509" s="313"/>
      <c r="AM3509" s="313"/>
      <c r="AN3509" s="313"/>
      <c r="AO3509" s="313"/>
      <c r="AP3509" s="313"/>
      <c r="AQ3509" s="314"/>
      <c r="AR3509" s="315" t="str">
        <f t="shared" si="128"/>
        <v/>
      </c>
    </row>
    <row r="3510" spans="37:44" ht="30" hidden="1" customHeight="1">
      <c r="AK3510" s="313"/>
      <c r="AL3510" s="313"/>
      <c r="AM3510" s="313"/>
      <c r="AN3510" s="313"/>
      <c r="AO3510" s="313"/>
      <c r="AP3510" s="313"/>
      <c r="AQ3510" s="314"/>
      <c r="AR3510" s="315" t="str">
        <f t="shared" si="128"/>
        <v/>
      </c>
    </row>
    <row r="3511" spans="37:44" ht="30" hidden="1" customHeight="1">
      <c r="AK3511" s="313"/>
      <c r="AL3511" s="313"/>
      <c r="AM3511" s="313"/>
      <c r="AN3511" s="313"/>
      <c r="AO3511" s="313"/>
      <c r="AP3511" s="313"/>
      <c r="AQ3511" s="314"/>
      <c r="AR3511" s="315" t="str">
        <f t="shared" si="128"/>
        <v/>
      </c>
    </row>
    <row r="3512" spans="37:44" ht="30" hidden="1" customHeight="1">
      <c r="AK3512" s="313"/>
      <c r="AL3512" s="313"/>
      <c r="AM3512" s="313"/>
      <c r="AN3512" s="313"/>
      <c r="AO3512" s="313"/>
      <c r="AP3512" s="313"/>
      <c r="AQ3512" s="314"/>
      <c r="AR3512" s="315" t="str">
        <f t="shared" si="128"/>
        <v/>
      </c>
    </row>
    <row r="3513" spans="37:44" ht="30" hidden="1" customHeight="1">
      <c r="AK3513" s="313"/>
      <c r="AL3513" s="313"/>
      <c r="AM3513" s="313"/>
      <c r="AN3513" s="313"/>
      <c r="AO3513" s="313"/>
      <c r="AP3513" s="313"/>
      <c r="AQ3513" s="314"/>
      <c r="AR3513" s="315" t="str">
        <f t="shared" si="128"/>
        <v/>
      </c>
    </row>
    <row r="3514" spans="37:44" ht="30" hidden="1" customHeight="1">
      <c r="AK3514" s="313"/>
      <c r="AL3514" s="313"/>
      <c r="AM3514" s="313"/>
      <c r="AN3514" s="313"/>
      <c r="AO3514" s="313"/>
      <c r="AP3514" s="313"/>
      <c r="AQ3514" s="314"/>
      <c r="AR3514" s="315" t="str">
        <f t="shared" si="128"/>
        <v/>
      </c>
    </row>
    <row r="3515" spans="37:44" ht="30" hidden="1" customHeight="1">
      <c r="AK3515" s="313"/>
      <c r="AL3515" s="313"/>
      <c r="AM3515" s="313"/>
      <c r="AN3515" s="313"/>
      <c r="AO3515" s="313"/>
      <c r="AP3515" s="313"/>
      <c r="AQ3515" s="314"/>
      <c r="AR3515" s="315" t="str">
        <f t="shared" si="128"/>
        <v/>
      </c>
    </row>
    <row r="3516" spans="37:44" ht="30" hidden="1" customHeight="1">
      <c r="AK3516" s="313"/>
      <c r="AL3516" s="313"/>
      <c r="AM3516" s="313"/>
      <c r="AN3516" s="313"/>
      <c r="AO3516" s="313"/>
      <c r="AP3516" s="313"/>
      <c r="AQ3516" s="314"/>
      <c r="AR3516" s="315" t="str">
        <f t="shared" si="128"/>
        <v/>
      </c>
    </row>
    <row r="3517" spans="37:44" ht="30" hidden="1" customHeight="1">
      <c r="AK3517" s="313"/>
      <c r="AL3517" s="313"/>
      <c r="AM3517" s="313"/>
      <c r="AN3517" s="313"/>
      <c r="AO3517" s="313"/>
      <c r="AP3517" s="313"/>
      <c r="AQ3517" s="314"/>
      <c r="AR3517" s="315" t="str">
        <f t="shared" si="128"/>
        <v/>
      </c>
    </row>
    <row r="3518" spans="37:44" ht="30" hidden="1" customHeight="1">
      <c r="AK3518" s="313"/>
      <c r="AL3518" s="313"/>
      <c r="AM3518" s="313"/>
      <c r="AN3518" s="313"/>
      <c r="AO3518" s="313"/>
      <c r="AP3518" s="313"/>
      <c r="AQ3518" s="314"/>
      <c r="AR3518" s="315" t="str">
        <f t="shared" si="128"/>
        <v/>
      </c>
    </row>
    <row r="3519" spans="37:44" ht="30" hidden="1" customHeight="1">
      <c r="AK3519" s="313"/>
      <c r="AL3519" s="313"/>
      <c r="AM3519" s="313"/>
      <c r="AN3519" s="313"/>
      <c r="AO3519" s="313"/>
      <c r="AP3519" s="313"/>
      <c r="AQ3519" s="314"/>
      <c r="AR3519" s="315" t="str">
        <f t="shared" ref="AR3519:AR3582" si="129">IF(AQ3519="SIM","AGUARDANDO CORREÇÃO",IF(AP3519&lt;&gt;"","FINALIZADO",IF(AO3519&lt;&gt;"","AGUARDANDO ENVIO DTS",IF(AN3519&lt;&gt;"","AGUARDANDO ASSINATURA GAB",IF(AM3519&lt;&gt;"","AGUARDANDO ASSINATURA CTS",IF(AL3519&lt;&gt;"","AGUARDANDO ENVIO ASSINATURA CTS",IF(AK3519&lt;&gt;"","AGUARDANDO CONFERÊNCIA","")))))))</f>
        <v/>
      </c>
    </row>
    <row r="3520" spans="37:44" ht="30" hidden="1" customHeight="1">
      <c r="AK3520" s="313"/>
      <c r="AL3520" s="313"/>
      <c r="AM3520" s="313"/>
      <c r="AN3520" s="313"/>
      <c r="AO3520" s="313"/>
      <c r="AP3520" s="313"/>
      <c r="AQ3520" s="314"/>
      <c r="AR3520" s="315" t="str">
        <f t="shared" si="129"/>
        <v/>
      </c>
    </row>
    <row r="3521" spans="37:44" ht="30" hidden="1" customHeight="1">
      <c r="AK3521" s="313"/>
      <c r="AL3521" s="313"/>
      <c r="AM3521" s="313"/>
      <c r="AN3521" s="313"/>
      <c r="AO3521" s="313"/>
      <c r="AP3521" s="313"/>
      <c r="AQ3521" s="314"/>
      <c r="AR3521" s="315" t="str">
        <f t="shared" si="129"/>
        <v/>
      </c>
    </row>
    <row r="3522" spans="37:44" ht="30" hidden="1" customHeight="1">
      <c r="AK3522" s="313"/>
      <c r="AL3522" s="313"/>
      <c r="AM3522" s="313"/>
      <c r="AN3522" s="313"/>
      <c r="AO3522" s="313"/>
      <c r="AP3522" s="313"/>
      <c r="AQ3522" s="314"/>
      <c r="AR3522" s="315" t="str">
        <f t="shared" si="129"/>
        <v/>
      </c>
    </row>
    <row r="3523" spans="37:44" ht="30" hidden="1" customHeight="1">
      <c r="AK3523" s="313"/>
      <c r="AL3523" s="313"/>
      <c r="AM3523" s="313"/>
      <c r="AN3523" s="313"/>
      <c r="AO3523" s="313"/>
      <c r="AP3523" s="313"/>
      <c r="AQ3523" s="314"/>
      <c r="AR3523" s="315" t="str">
        <f t="shared" si="129"/>
        <v/>
      </c>
    </row>
    <row r="3524" spans="37:44" ht="30" hidden="1" customHeight="1">
      <c r="AK3524" s="313"/>
      <c r="AL3524" s="313"/>
      <c r="AM3524" s="313"/>
      <c r="AN3524" s="313"/>
      <c r="AO3524" s="313"/>
      <c r="AP3524" s="313"/>
      <c r="AQ3524" s="314"/>
      <c r="AR3524" s="315" t="str">
        <f t="shared" si="129"/>
        <v/>
      </c>
    </row>
    <row r="3525" spans="37:44" ht="30" hidden="1" customHeight="1">
      <c r="AK3525" s="313"/>
      <c r="AL3525" s="313"/>
      <c r="AM3525" s="313"/>
      <c r="AN3525" s="313"/>
      <c r="AO3525" s="313"/>
      <c r="AP3525" s="313"/>
      <c r="AQ3525" s="314"/>
      <c r="AR3525" s="315" t="str">
        <f t="shared" si="129"/>
        <v/>
      </c>
    </row>
    <row r="3526" spans="37:44" ht="30" hidden="1" customHeight="1">
      <c r="AK3526" s="313"/>
      <c r="AL3526" s="313"/>
      <c r="AM3526" s="313"/>
      <c r="AN3526" s="313"/>
      <c r="AO3526" s="313"/>
      <c r="AP3526" s="313"/>
      <c r="AQ3526" s="314"/>
      <c r="AR3526" s="315" t="str">
        <f t="shared" si="129"/>
        <v/>
      </c>
    </row>
    <row r="3527" spans="37:44" ht="30" hidden="1" customHeight="1">
      <c r="AK3527" s="313"/>
      <c r="AL3527" s="313"/>
      <c r="AM3527" s="313"/>
      <c r="AN3527" s="313"/>
      <c r="AO3527" s="313"/>
      <c r="AP3527" s="313"/>
      <c r="AQ3527" s="314"/>
      <c r="AR3527" s="315" t="str">
        <f t="shared" si="129"/>
        <v/>
      </c>
    </row>
    <row r="3528" spans="37:44" ht="30" hidden="1" customHeight="1">
      <c r="AK3528" s="313"/>
      <c r="AL3528" s="313"/>
      <c r="AM3528" s="313"/>
      <c r="AN3528" s="313"/>
      <c r="AO3528" s="313"/>
      <c r="AP3528" s="313"/>
      <c r="AQ3528" s="314"/>
      <c r="AR3528" s="315" t="str">
        <f t="shared" si="129"/>
        <v/>
      </c>
    </row>
    <row r="3529" spans="37:44" ht="30" hidden="1" customHeight="1">
      <c r="AK3529" s="313"/>
      <c r="AL3529" s="313"/>
      <c r="AM3529" s="313"/>
      <c r="AN3529" s="313"/>
      <c r="AO3529" s="313"/>
      <c r="AP3529" s="313"/>
      <c r="AQ3529" s="314"/>
      <c r="AR3529" s="315" t="str">
        <f t="shared" si="129"/>
        <v/>
      </c>
    </row>
    <row r="3530" spans="37:44" ht="30" hidden="1" customHeight="1">
      <c r="AK3530" s="313"/>
      <c r="AL3530" s="313"/>
      <c r="AM3530" s="313"/>
      <c r="AN3530" s="313"/>
      <c r="AO3530" s="313"/>
      <c r="AP3530" s="313"/>
      <c r="AQ3530" s="314"/>
      <c r="AR3530" s="315" t="str">
        <f t="shared" si="129"/>
        <v/>
      </c>
    </row>
    <row r="3531" spans="37:44" ht="30" hidden="1" customHeight="1">
      <c r="AK3531" s="313"/>
      <c r="AL3531" s="313"/>
      <c r="AM3531" s="313"/>
      <c r="AN3531" s="313"/>
      <c r="AO3531" s="313"/>
      <c r="AP3531" s="313"/>
      <c r="AQ3531" s="314"/>
      <c r="AR3531" s="315" t="str">
        <f t="shared" si="129"/>
        <v/>
      </c>
    </row>
    <row r="3532" spans="37:44" ht="30" hidden="1" customHeight="1">
      <c r="AK3532" s="313"/>
      <c r="AL3532" s="313"/>
      <c r="AM3532" s="313"/>
      <c r="AN3532" s="313"/>
      <c r="AO3532" s="313"/>
      <c r="AP3532" s="313"/>
      <c r="AQ3532" s="314"/>
      <c r="AR3532" s="315" t="str">
        <f t="shared" si="129"/>
        <v/>
      </c>
    </row>
    <row r="3533" spans="37:44" ht="30" hidden="1" customHeight="1">
      <c r="AK3533" s="313"/>
      <c r="AL3533" s="313"/>
      <c r="AM3533" s="313"/>
      <c r="AN3533" s="313"/>
      <c r="AO3533" s="313"/>
      <c r="AP3533" s="313"/>
      <c r="AQ3533" s="314"/>
      <c r="AR3533" s="315" t="str">
        <f t="shared" si="129"/>
        <v/>
      </c>
    </row>
    <row r="3534" spans="37:44" ht="30" hidden="1" customHeight="1">
      <c r="AK3534" s="313"/>
      <c r="AL3534" s="313"/>
      <c r="AM3534" s="313"/>
      <c r="AN3534" s="313"/>
      <c r="AO3534" s="313"/>
      <c r="AP3534" s="313"/>
      <c r="AQ3534" s="314"/>
      <c r="AR3534" s="315" t="str">
        <f t="shared" si="129"/>
        <v/>
      </c>
    </row>
    <row r="3535" spans="37:44" ht="30" hidden="1" customHeight="1">
      <c r="AK3535" s="313"/>
      <c r="AL3535" s="313"/>
      <c r="AM3535" s="313"/>
      <c r="AN3535" s="313"/>
      <c r="AO3535" s="313"/>
      <c r="AP3535" s="313"/>
      <c r="AQ3535" s="314"/>
      <c r="AR3535" s="315" t="str">
        <f t="shared" si="129"/>
        <v/>
      </c>
    </row>
    <row r="3536" spans="37:44" ht="30" hidden="1" customHeight="1">
      <c r="AK3536" s="313"/>
      <c r="AL3536" s="313"/>
      <c r="AM3536" s="313"/>
      <c r="AN3536" s="313"/>
      <c r="AO3536" s="313"/>
      <c r="AP3536" s="313"/>
      <c r="AQ3536" s="314"/>
      <c r="AR3536" s="315" t="str">
        <f t="shared" si="129"/>
        <v/>
      </c>
    </row>
    <row r="3537" spans="37:44" ht="30" hidden="1" customHeight="1">
      <c r="AK3537" s="313"/>
      <c r="AL3537" s="313"/>
      <c r="AM3537" s="313"/>
      <c r="AN3537" s="313"/>
      <c r="AO3537" s="313"/>
      <c r="AP3537" s="313"/>
      <c r="AQ3537" s="314"/>
      <c r="AR3537" s="315" t="str">
        <f t="shared" si="129"/>
        <v/>
      </c>
    </row>
    <row r="3538" spans="37:44" ht="30" hidden="1" customHeight="1">
      <c r="AK3538" s="313"/>
      <c r="AL3538" s="313"/>
      <c r="AM3538" s="313"/>
      <c r="AN3538" s="313"/>
      <c r="AO3538" s="313"/>
      <c r="AP3538" s="313"/>
      <c r="AQ3538" s="314"/>
      <c r="AR3538" s="315" t="str">
        <f t="shared" si="129"/>
        <v/>
      </c>
    </row>
    <row r="3539" spans="37:44" ht="30" hidden="1" customHeight="1">
      <c r="AK3539" s="313"/>
      <c r="AL3539" s="313"/>
      <c r="AM3539" s="313"/>
      <c r="AN3539" s="313"/>
      <c r="AO3539" s="313"/>
      <c r="AP3539" s="313"/>
      <c r="AQ3539" s="314"/>
      <c r="AR3539" s="315" t="str">
        <f t="shared" si="129"/>
        <v/>
      </c>
    </row>
    <row r="3540" spans="37:44" ht="30" hidden="1" customHeight="1">
      <c r="AK3540" s="313"/>
      <c r="AL3540" s="313"/>
      <c r="AM3540" s="313"/>
      <c r="AN3540" s="313"/>
      <c r="AO3540" s="313"/>
      <c r="AP3540" s="313"/>
      <c r="AQ3540" s="314"/>
      <c r="AR3540" s="315" t="str">
        <f t="shared" si="129"/>
        <v/>
      </c>
    </row>
    <row r="3541" spans="37:44" ht="30" hidden="1" customHeight="1">
      <c r="AK3541" s="313"/>
      <c r="AL3541" s="313"/>
      <c r="AM3541" s="313"/>
      <c r="AN3541" s="313"/>
      <c r="AO3541" s="313"/>
      <c r="AP3541" s="313"/>
      <c r="AQ3541" s="314"/>
      <c r="AR3541" s="315" t="str">
        <f t="shared" si="129"/>
        <v/>
      </c>
    </row>
    <row r="3542" spans="37:44" ht="30" hidden="1" customHeight="1">
      <c r="AK3542" s="313"/>
      <c r="AL3542" s="313"/>
      <c r="AM3542" s="313"/>
      <c r="AN3542" s="313"/>
      <c r="AO3542" s="313"/>
      <c r="AP3542" s="313"/>
      <c r="AQ3542" s="314"/>
      <c r="AR3542" s="315" t="str">
        <f t="shared" si="129"/>
        <v/>
      </c>
    </row>
    <row r="3543" spans="37:44" ht="30" hidden="1" customHeight="1">
      <c r="AK3543" s="313"/>
      <c r="AL3543" s="313"/>
      <c r="AM3543" s="313"/>
      <c r="AN3543" s="313"/>
      <c r="AO3543" s="313"/>
      <c r="AP3543" s="313"/>
      <c r="AQ3543" s="314"/>
      <c r="AR3543" s="315" t="str">
        <f t="shared" si="129"/>
        <v/>
      </c>
    </row>
    <row r="3544" spans="37:44" ht="30" hidden="1" customHeight="1">
      <c r="AK3544" s="313"/>
      <c r="AL3544" s="313"/>
      <c r="AM3544" s="313"/>
      <c r="AN3544" s="313"/>
      <c r="AO3544" s="313"/>
      <c r="AP3544" s="313"/>
      <c r="AQ3544" s="314"/>
      <c r="AR3544" s="315" t="str">
        <f t="shared" si="129"/>
        <v/>
      </c>
    </row>
    <row r="3545" spans="37:44" ht="30" hidden="1" customHeight="1">
      <c r="AK3545" s="313"/>
      <c r="AL3545" s="313"/>
      <c r="AM3545" s="313"/>
      <c r="AN3545" s="313"/>
      <c r="AO3545" s="313"/>
      <c r="AP3545" s="313"/>
      <c r="AQ3545" s="314"/>
      <c r="AR3545" s="315" t="str">
        <f t="shared" si="129"/>
        <v/>
      </c>
    </row>
    <row r="3546" spans="37:44" ht="30" hidden="1" customHeight="1">
      <c r="AK3546" s="313"/>
      <c r="AL3546" s="313"/>
      <c r="AM3546" s="313"/>
      <c r="AN3546" s="313"/>
      <c r="AO3546" s="313"/>
      <c r="AP3546" s="313"/>
      <c r="AQ3546" s="314"/>
      <c r="AR3546" s="315" t="str">
        <f t="shared" si="129"/>
        <v/>
      </c>
    </row>
    <row r="3547" spans="37:44" ht="30" hidden="1" customHeight="1">
      <c r="AK3547" s="313"/>
      <c r="AL3547" s="313"/>
      <c r="AM3547" s="313"/>
      <c r="AN3547" s="313"/>
      <c r="AO3547" s="313"/>
      <c r="AP3547" s="313"/>
      <c r="AQ3547" s="314"/>
      <c r="AR3547" s="315" t="str">
        <f t="shared" si="129"/>
        <v/>
      </c>
    </row>
    <row r="3548" spans="37:44" ht="30" hidden="1" customHeight="1">
      <c r="AK3548" s="313"/>
      <c r="AL3548" s="313"/>
      <c r="AM3548" s="313"/>
      <c r="AN3548" s="313"/>
      <c r="AO3548" s="313"/>
      <c r="AP3548" s="313"/>
      <c r="AQ3548" s="314"/>
      <c r="AR3548" s="315" t="str">
        <f t="shared" si="129"/>
        <v/>
      </c>
    </row>
    <row r="3549" spans="37:44" ht="30" hidden="1" customHeight="1">
      <c r="AK3549" s="313"/>
      <c r="AL3549" s="313"/>
      <c r="AM3549" s="313"/>
      <c r="AN3549" s="313"/>
      <c r="AO3549" s="313"/>
      <c r="AP3549" s="313"/>
      <c r="AQ3549" s="314"/>
      <c r="AR3549" s="315" t="str">
        <f t="shared" si="129"/>
        <v/>
      </c>
    </row>
    <row r="3550" spans="37:44" ht="30" hidden="1" customHeight="1">
      <c r="AK3550" s="313"/>
      <c r="AL3550" s="313"/>
      <c r="AM3550" s="313"/>
      <c r="AN3550" s="313"/>
      <c r="AO3550" s="313"/>
      <c r="AP3550" s="313"/>
      <c r="AQ3550" s="314"/>
      <c r="AR3550" s="315" t="str">
        <f t="shared" si="129"/>
        <v/>
      </c>
    </row>
    <row r="3551" spans="37:44" ht="30" hidden="1" customHeight="1">
      <c r="AK3551" s="313"/>
      <c r="AL3551" s="313"/>
      <c r="AM3551" s="313"/>
      <c r="AN3551" s="313"/>
      <c r="AO3551" s="313"/>
      <c r="AP3551" s="313"/>
      <c r="AQ3551" s="314"/>
      <c r="AR3551" s="315" t="str">
        <f t="shared" si="129"/>
        <v/>
      </c>
    </row>
    <row r="3552" spans="37:44" ht="30" hidden="1" customHeight="1">
      <c r="AK3552" s="313"/>
      <c r="AL3552" s="313"/>
      <c r="AM3552" s="313"/>
      <c r="AN3552" s="313"/>
      <c r="AO3552" s="313"/>
      <c r="AP3552" s="313"/>
      <c r="AQ3552" s="314"/>
      <c r="AR3552" s="315" t="str">
        <f t="shared" si="129"/>
        <v/>
      </c>
    </row>
    <row r="3553" spans="37:44" ht="30" hidden="1" customHeight="1">
      <c r="AK3553" s="313"/>
      <c r="AL3553" s="313"/>
      <c r="AM3553" s="313"/>
      <c r="AN3553" s="313"/>
      <c r="AO3553" s="313"/>
      <c r="AP3553" s="313"/>
      <c r="AQ3553" s="314"/>
      <c r="AR3553" s="315" t="str">
        <f t="shared" si="129"/>
        <v/>
      </c>
    </row>
    <row r="3554" spans="37:44" ht="30" hidden="1" customHeight="1">
      <c r="AK3554" s="313"/>
      <c r="AL3554" s="313"/>
      <c r="AM3554" s="313"/>
      <c r="AN3554" s="313"/>
      <c r="AO3554" s="313"/>
      <c r="AP3554" s="313"/>
      <c r="AQ3554" s="314"/>
      <c r="AR3554" s="315" t="str">
        <f t="shared" si="129"/>
        <v/>
      </c>
    </row>
    <row r="3555" spans="37:44" ht="30" hidden="1" customHeight="1">
      <c r="AK3555" s="313"/>
      <c r="AL3555" s="313"/>
      <c r="AM3555" s="313"/>
      <c r="AN3555" s="313"/>
      <c r="AO3555" s="313"/>
      <c r="AP3555" s="313"/>
      <c r="AQ3555" s="314"/>
      <c r="AR3555" s="315" t="str">
        <f t="shared" si="129"/>
        <v/>
      </c>
    </row>
    <row r="3556" spans="37:44" ht="30" hidden="1" customHeight="1">
      <c r="AK3556" s="313"/>
      <c r="AL3556" s="313"/>
      <c r="AM3556" s="313"/>
      <c r="AN3556" s="313"/>
      <c r="AO3556" s="313"/>
      <c r="AP3556" s="313"/>
      <c r="AQ3556" s="314"/>
      <c r="AR3556" s="315" t="str">
        <f t="shared" si="129"/>
        <v/>
      </c>
    </row>
    <row r="3557" spans="37:44" ht="30" hidden="1" customHeight="1">
      <c r="AK3557" s="313"/>
      <c r="AL3557" s="313"/>
      <c r="AM3557" s="313"/>
      <c r="AN3557" s="313"/>
      <c r="AO3557" s="313"/>
      <c r="AP3557" s="313"/>
      <c r="AQ3557" s="314"/>
      <c r="AR3557" s="315" t="str">
        <f t="shared" si="129"/>
        <v/>
      </c>
    </row>
    <row r="3558" spans="37:44" ht="30" hidden="1" customHeight="1">
      <c r="AK3558" s="313"/>
      <c r="AL3558" s="313"/>
      <c r="AM3558" s="313"/>
      <c r="AN3558" s="313"/>
      <c r="AO3558" s="313"/>
      <c r="AP3558" s="313"/>
      <c r="AQ3558" s="314"/>
      <c r="AR3558" s="315" t="str">
        <f t="shared" si="129"/>
        <v/>
      </c>
    </row>
    <row r="3559" spans="37:44" ht="30" hidden="1" customHeight="1">
      <c r="AK3559" s="313"/>
      <c r="AL3559" s="313"/>
      <c r="AM3559" s="313"/>
      <c r="AN3559" s="313"/>
      <c r="AO3559" s="313"/>
      <c r="AP3559" s="313"/>
      <c r="AQ3559" s="314"/>
      <c r="AR3559" s="315" t="str">
        <f t="shared" si="129"/>
        <v/>
      </c>
    </row>
    <row r="3560" spans="37:44" ht="30" hidden="1" customHeight="1">
      <c r="AK3560" s="313"/>
      <c r="AL3560" s="313"/>
      <c r="AM3560" s="313"/>
      <c r="AN3560" s="313"/>
      <c r="AO3560" s="313"/>
      <c r="AP3560" s="313"/>
      <c r="AQ3560" s="314"/>
      <c r="AR3560" s="315" t="str">
        <f t="shared" si="129"/>
        <v/>
      </c>
    </row>
    <row r="3561" spans="37:44" ht="30" hidden="1" customHeight="1">
      <c r="AK3561" s="313"/>
      <c r="AL3561" s="313"/>
      <c r="AM3561" s="313"/>
      <c r="AN3561" s="313"/>
      <c r="AO3561" s="313"/>
      <c r="AP3561" s="313"/>
      <c r="AQ3561" s="314"/>
      <c r="AR3561" s="315" t="str">
        <f t="shared" si="129"/>
        <v/>
      </c>
    </row>
    <row r="3562" spans="37:44" ht="30" hidden="1" customHeight="1">
      <c r="AK3562" s="313"/>
      <c r="AL3562" s="313"/>
      <c r="AM3562" s="313"/>
      <c r="AN3562" s="313"/>
      <c r="AO3562" s="313"/>
      <c r="AP3562" s="313"/>
      <c r="AQ3562" s="314"/>
      <c r="AR3562" s="315" t="str">
        <f t="shared" si="129"/>
        <v/>
      </c>
    </row>
    <row r="3563" spans="37:44" ht="30" hidden="1" customHeight="1">
      <c r="AK3563" s="313"/>
      <c r="AL3563" s="313"/>
      <c r="AM3563" s="313"/>
      <c r="AN3563" s="313"/>
      <c r="AO3563" s="313"/>
      <c r="AP3563" s="313"/>
      <c r="AQ3563" s="314"/>
      <c r="AR3563" s="315" t="str">
        <f t="shared" si="129"/>
        <v/>
      </c>
    </row>
    <row r="3564" spans="37:44" ht="30" hidden="1" customHeight="1">
      <c r="AK3564" s="313"/>
      <c r="AL3564" s="313"/>
      <c r="AM3564" s="313"/>
      <c r="AN3564" s="313"/>
      <c r="AO3564" s="313"/>
      <c r="AP3564" s="313"/>
      <c r="AQ3564" s="314"/>
      <c r="AR3564" s="315" t="str">
        <f t="shared" si="129"/>
        <v/>
      </c>
    </row>
    <row r="3565" spans="37:44" ht="30" hidden="1" customHeight="1">
      <c r="AK3565" s="313"/>
      <c r="AL3565" s="313"/>
      <c r="AM3565" s="313"/>
      <c r="AN3565" s="313"/>
      <c r="AO3565" s="313"/>
      <c r="AP3565" s="313"/>
      <c r="AQ3565" s="314"/>
      <c r="AR3565" s="315" t="str">
        <f t="shared" si="129"/>
        <v/>
      </c>
    </row>
    <row r="3566" spans="37:44" ht="30" hidden="1" customHeight="1">
      <c r="AK3566" s="313"/>
      <c r="AL3566" s="313"/>
      <c r="AM3566" s="313"/>
      <c r="AN3566" s="313"/>
      <c r="AO3566" s="313"/>
      <c r="AP3566" s="313"/>
      <c r="AQ3566" s="314"/>
      <c r="AR3566" s="315" t="str">
        <f t="shared" si="129"/>
        <v/>
      </c>
    </row>
    <row r="3567" spans="37:44" ht="30" hidden="1" customHeight="1">
      <c r="AK3567" s="313"/>
      <c r="AL3567" s="313"/>
      <c r="AM3567" s="313"/>
      <c r="AN3567" s="313"/>
      <c r="AO3567" s="313"/>
      <c r="AP3567" s="313"/>
      <c r="AQ3567" s="314"/>
      <c r="AR3567" s="315" t="str">
        <f t="shared" si="129"/>
        <v/>
      </c>
    </row>
    <row r="3568" spans="37:44" ht="30" hidden="1" customHeight="1">
      <c r="AK3568" s="313"/>
      <c r="AL3568" s="313"/>
      <c r="AM3568" s="313"/>
      <c r="AN3568" s="313"/>
      <c r="AO3568" s="313"/>
      <c r="AP3568" s="313"/>
      <c r="AQ3568" s="314"/>
      <c r="AR3568" s="315" t="str">
        <f t="shared" si="129"/>
        <v/>
      </c>
    </row>
    <row r="3569" spans="37:44" ht="30" hidden="1" customHeight="1">
      <c r="AK3569" s="313"/>
      <c r="AL3569" s="313"/>
      <c r="AM3569" s="313"/>
      <c r="AN3569" s="313"/>
      <c r="AO3569" s="313"/>
      <c r="AP3569" s="313"/>
      <c r="AQ3569" s="314"/>
      <c r="AR3569" s="315" t="str">
        <f t="shared" si="129"/>
        <v/>
      </c>
    </row>
    <row r="3570" spans="37:44" ht="30" hidden="1" customHeight="1">
      <c r="AK3570" s="313"/>
      <c r="AL3570" s="313"/>
      <c r="AM3570" s="313"/>
      <c r="AN3570" s="313"/>
      <c r="AO3570" s="313"/>
      <c r="AP3570" s="313"/>
      <c r="AQ3570" s="314"/>
      <c r="AR3570" s="315" t="str">
        <f t="shared" si="129"/>
        <v/>
      </c>
    </row>
    <row r="3571" spans="37:44" ht="30" hidden="1" customHeight="1">
      <c r="AK3571" s="313"/>
      <c r="AL3571" s="313"/>
      <c r="AM3571" s="313"/>
      <c r="AN3571" s="313"/>
      <c r="AO3571" s="313"/>
      <c r="AP3571" s="313"/>
      <c r="AQ3571" s="314"/>
      <c r="AR3571" s="315" t="str">
        <f t="shared" si="129"/>
        <v/>
      </c>
    </row>
    <row r="3572" spans="37:44" ht="30" hidden="1" customHeight="1">
      <c r="AK3572" s="313"/>
      <c r="AL3572" s="313"/>
      <c r="AM3572" s="313"/>
      <c r="AN3572" s="313"/>
      <c r="AO3572" s="313"/>
      <c r="AP3572" s="313"/>
      <c r="AQ3572" s="314"/>
      <c r="AR3572" s="315" t="str">
        <f t="shared" si="129"/>
        <v/>
      </c>
    </row>
    <row r="3573" spans="37:44" ht="30" hidden="1" customHeight="1">
      <c r="AK3573" s="313"/>
      <c r="AL3573" s="313"/>
      <c r="AM3573" s="313"/>
      <c r="AN3573" s="313"/>
      <c r="AO3573" s="313"/>
      <c r="AP3573" s="313"/>
      <c r="AQ3573" s="314"/>
      <c r="AR3573" s="315" t="str">
        <f t="shared" si="129"/>
        <v/>
      </c>
    </row>
    <row r="3574" spans="37:44" ht="30" hidden="1" customHeight="1">
      <c r="AK3574" s="313"/>
      <c r="AL3574" s="313"/>
      <c r="AM3574" s="313"/>
      <c r="AN3574" s="313"/>
      <c r="AO3574" s="313"/>
      <c r="AP3574" s="313"/>
      <c r="AQ3574" s="314"/>
      <c r="AR3574" s="315" t="str">
        <f t="shared" si="129"/>
        <v/>
      </c>
    </row>
    <row r="3575" spans="37:44" ht="30" hidden="1" customHeight="1">
      <c r="AK3575" s="313"/>
      <c r="AL3575" s="313"/>
      <c r="AM3575" s="313"/>
      <c r="AN3575" s="313"/>
      <c r="AO3575" s="313"/>
      <c r="AP3575" s="313"/>
      <c r="AQ3575" s="314"/>
      <c r="AR3575" s="315" t="str">
        <f t="shared" si="129"/>
        <v/>
      </c>
    </row>
    <row r="3576" spans="37:44" ht="30" hidden="1" customHeight="1">
      <c r="AK3576" s="313"/>
      <c r="AL3576" s="313"/>
      <c r="AM3576" s="313"/>
      <c r="AN3576" s="313"/>
      <c r="AO3576" s="313"/>
      <c r="AP3576" s="313"/>
      <c r="AQ3576" s="314"/>
      <c r="AR3576" s="315" t="str">
        <f t="shared" si="129"/>
        <v/>
      </c>
    </row>
    <row r="3577" spans="37:44" ht="30" hidden="1" customHeight="1">
      <c r="AK3577" s="313"/>
      <c r="AL3577" s="313"/>
      <c r="AM3577" s="313"/>
      <c r="AN3577" s="313"/>
      <c r="AO3577" s="313"/>
      <c r="AP3577" s="313"/>
      <c r="AQ3577" s="314"/>
      <c r="AR3577" s="315" t="str">
        <f t="shared" si="129"/>
        <v/>
      </c>
    </row>
    <row r="3578" spans="37:44" ht="30" hidden="1" customHeight="1">
      <c r="AK3578" s="313"/>
      <c r="AL3578" s="313"/>
      <c r="AM3578" s="313"/>
      <c r="AN3578" s="313"/>
      <c r="AO3578" s="313"/>
      <c r="AP3578" s="313"/>
      <c r="AQ3578" s="314"/>
      <c r="AR3578" s="315" t="str">
        <f t="shared" si="129"/>
        <v/>
      </c>
    </row>
    <row r="3579" spans="37:44" ht="30" hidden="1" customHeight="1">
      <c r="AK3579" s="313"/>
      <c r="AL3579" s="313"/>
      <c r="AM3579" s="313"/>
      <c r="AN3579" s="313"/>
      <c r="AO3579" s="313"/>
      <c r="AP3579" s="313"/>
      <c r="AQ3579" s="314"/>
      <c r="AR3579" s="315" t="str">
        <f t="shared" si="129"/>
        <v/>
      </c>
    </row>
    <row r="3580" spans="37:44" ht="30" hidden="1" customHeight="1">
      <c r="AK3580" s="313"/>
      <c r="AL3580" s="313"/>
      <c r="AM3580" s="313"/>
      <c r="AN3580" s="313"/>
      <c r="AO3580" s="313"/>
      <c r="AP3580" s="313"/>
      <c r="AQ3580" s="314"/>
      <c r="AR3580" s="315" t="str">
        <f t="shared" si="129"/>
        <v/>
      </c>
    </row>
    <row r="3581" spans="37:44" ht="30" hidden="1" customHeight="1">
      <c r="AK3581" s="313"/>
      <c r="AL3581" s="313"/>
      <c r="AM3581" s="313"/>
      <c r="AN3581" s="313"/>
      <c r="AO3581" s="313"/>
      <c r="AP3581" s="313"/>
      <c r="AQ3581" s="314"/>
      <c r="AR3581" s="315" t="str">
        <f t="shared" si="129"/>
        <v/>
      </c>
    </row>
    <row r="3582" spans="37:44" ht="30" hidden="1" customHeight="1">
      <c r="AK3582" s="313"/>
      <c r="AL3582" s="313"/>
      <c r="AM3582" s="313"/>
      <c r="AN3582" s="313"/>
      <c r="AO3582" s="313"/>
      <c r="AP3582" s="313"/>
      <c r="AQ3582" s="314"/>
      <c r="AR3582" s="315" t="str">
        <f t="shared" si="129"/>
        <v/>
      </c>
    </row>
    <row r="3583" spans="37:44" ht="30" hidden="1" customHeight="1">
      <c r="AK3583" s="313"/>
      <c r="AL3583" s="313"/>
      <c r="AM3583" s="313"/>
      <c r="AN3583" s="313"/>
      <c r="AO3583" s="313"/>
      <c r="AP3583" s="313"/>
      <c r="AQ3583" s="314"/>
      <c r="AR3583" s="315" t="str">
        <f t="shared" ref="AR3583:AR3646" si="130">IF(AQ3583="SIM","AGUARDANDO CORREÇÃO",IF(AP3583&lt;&gt;"","FINALIZADO",IF(AO3583&lt;&gt;"","AGUARDANDO ENVIO DTS",IF(AN3583&lt;&gt;"","AGUARDANDO ASSINATURA GAB",IF(AM3583&lt;&gt;"","AGUARDANDO ASSINATURA CTS",IF(AL3583&lt;&gt;"","AGUARDANDO ENVIO ASSINATURA CTS",IF(AK3583&lt;&gt;"","AGUARDANDO CONFERÊNCIA","")))))))</f>
        <v/>
      </c>
    </row>
    <row r="3584" spans="37:44" ht="30" hidden="1" customHeight="1">
      <c r="AK3584" s="313"/>
      <c r="AL3584" s="313"/>
      <c r="AM3584" s="313"/>
      <c r="AN3584" s="313"/>
      <c r="AO3584" s="313"/>
      <c r="AP3584" s="313"/>
      <c r="AQ3584" s="314"/>
      <c r="AR3584" s="315" t="str">
        <f t="shared" si="130"/>
        <v/>
      </c>
    </row>
    <row r="3585" spans="37:44" ht="30" hidden="1" customHeight="1">
      <c r="AK3585" s="313"/>
      <c r="AL3585" s="313"/>
      <c r="AM3585" s="313"/>
      <c r="AN3585" s="313"/>
      <c r="AO3585" s="313"/>
      <c r="AP3585" s="313"/>
      <c r="AQ3585" s="314"/>
      <c r="AR3585" s="315" t="str">
        <f t="shared" si="130"/>
        <v/>
      </c>
    </row>
    <row r="3586" spans="37:44" ht="30" hidden="1" customHeight="1">
      <c r="AK3586" s="313"/>
      <c r="AL3586" s="313"/>
      <c r="AM3586" s="313"/>
      <c r="AN3586" s="313"/>
      <c r="AO3586" s="313"/>
      <c r="AP3586" s="313"/>
      <c r="AQ3586" s="314"/>
      <c r="AR3586" s="315" t="str">
        <f t="shared" si="130"/>
        <v/>
      </c>
    </row>
    <row r="3587" spans="37:44" ht="30" hidden="1" customHeight="1">
      <c r="AK3587" s="313"/>
      <c r="AL3587" s="313"/>
      <c r="AM3587" s="313"/>
      <c r="AN3587" s="313"/>
      <c r="AO3587" s="313"/>
      <c r="AP3587" s="313"/>
      <c r="AQ3587" s="314"/>
      <c r="AR3587" s="315" t="str">
        <f t="shared" si="130"/>
        <v/>
      </c>
    </row>
    <row r="3588" spans="37:44" ht="30" hidden="1" customHeight="1">
      <c r="AK3588" s="313"/>
      <c r="AL3588" s="313"/>
      <c r="AM3588" s="313"/>
      <c r="AN3588" s="313"/>
      <c r="AO3588" s="313"/>
      <c r="AP3588" s="313"/>
      <c r="AQ3588" s="314"/>
      <c r="AR3588" s="315" t="str">
        <f t="shared" si="130"/>
        <v/>
      </c>
    </row>
    <row r="3589" spans="37:44" ht="30" hidden="1" customHeight="1">
      <c r="AK3589" s="313"/>
      <c r="AL3589" s="313"/>
      <c r="AM3589" s="313"/>
      <c r="AN3589" s="313"/>
      <c r="AO3589" s="313"/>
      <c r="AP3589" s="313"/>
      <c r="AQ3589" s="314"/>
      <c r="AR3589" s="315" t="str">
        <f t="shared" si="130"/>
        <v/>
      </c>
    </row>
    <row r="3590" spans="37:44" ht="30" hidden="1" customHeight="1">
      <c r="AK3590" s="313"/>
      <c r="AL3590" s="313"/>
      <c r="AM3590" s="313"/>
      <c r="AN3590" s="313"/>
      <c r="AO3590" s="313"/>
      <c r="AP3590" s="313"/>
      <c r="AQ3590" s="314"/>
      <c r="AR3590" s="315" t="str">
        <f t="shared" si="130"/>
        <v/>
      </c>
    </row>
    <row r="3591" spans="37:44" ht="30" hidden="1" customHeight="1">
      <c r="AK3591" s="313"/>
      <c r="AL3591" s="313"/>
      <c r="AM3591" s="313"/>
      <c r="AN3591" s="313"/>
      <c r="AO3591" s="313"/>
      <c r="AP3591" s="313"/>
      <c r="AQ3591" s="314"/>
      <c r="AR3591" s="315" t="str">
        <f t="shared" si="130"/>
        <v/>
      </c>
    </row>
    <row r="3592" spans="37:44" ht="30" hidden="1" customHeight="1">
      <c r="AK3592" s="313"/>
      <c r="AL3592" s="313"/>
      <c r="AM3592" s="313"/>
      <c r="AN3592" s="313"/>
      <c r="AO3592" s="313"/>
      <c r="AP3592" s="313"/>
      <c r="AQ3592" s="314"/>
      <c r="AR3592" s="315" t="str">
        <f t="shared" si="130"/>
        <v/>
      </c>
    </row>
    <row r="3593" spans="37:44" ht="30" hidden="1" customHeight="1">
      <c r="AK3593" s="313"/>
      <c r="AL3593" s="313"/>
      <c r="AM3593" s="313"/>
      <c r="AN3593" s="313"/>
      <c r="AO3593" s="313"/>
      <c r="AP3593" s="313"/>
      <c r="AQ3593" s="314"/>
      <c r="AR3593" s="315" t="str">
        <f t="shared" si="130"/>
        <v/>
      </c>
    </row>
    <row r="3594" spans="37:44" ht="30" hidden="1" customHeight="1">
      <c r="AK3594" s="313"/>
      <c r="AL3594" s="313"/>
      <c r="AM3594" s="313"/>
      <c r="AN3594" s="313"/>
      <c r="AO3594" s="313"/>
      <c r="AP3594" s="313"/>
      <c r="AQ3594" s="314"/>
      <c r="AR3594" s="315" t="str">
        <f t="shared" si="130"/>
        <v/>
      </c>
    </row>
    <row r="3595" spans="37:44" ht="30" hidden="1" customHeight="1">
      <c r="AK3595" s="313"/>
      <c r="AL3595" s="313"/>
      <c r="AM3595" s="313"/>
      <c r="AN3595" s="313"/>
      <c r="AO3595" s="313"/>
      <c r="AP3595" s="313"/>
      <c r="AQ3595" s="314"/>
      <c r="AR3595" s="315" t="str">
        <f t="shared" si="130"/>
        <v/>
      </c>
    </row>
    <row r="3596" spans="37:44" ht="30" hidden="1" customHeight="1">
      <c r="AK3596" s="313"/>
      <c r="AL3596" s="313"/>
      <c r="AM3596" s="313"/>
      <c r="AN3596" s="313"/>
      <c r="AO3596" s="313"/>
      <c r="AP3596" s="313"/>
      <c r="AQ3596" s="314"/>
      <c r="AR3596" s="315" t="str">
        <f t="shared" si="130"/>
        <v/>
      </c>
    </row>
    <row r="3597" spans="37:44" ht="30" hidden="1" customHeight="1">
      <c r="AK3597" s="313"/>
      <c r="AL3597" s="313"/>
      <c r="AM3597" s="313"/>
      <c r="AN3597" s="313"/>
      <c r="AO3597" s="313"/>
      <c r="AP3597" s="313"/>
      <c r="AQ3597" s="314"/>
      <c r="AR3597" s="315" t="str">
        <f t="shared" si="130"/>
        <v/>
      </c>
    </row>
    <row r="3598" spans="37:44" ht="30" hidden="1" customHeight="1">
      <c r="AK3598" s="313"/>
      <c r="AL3598" s="313"/>
      <c r="AM3598" s="313"/>
      <c r="AN3598" s="313"/>
      <c r="AO3598" s="313"/>
      <c r="AP3598" s="313"/>
      <c r="AQ3598" s="314"/>
      <c r="AR3598" s="315" t="str">
        <f t="shared" si="130"/>
        <v/>
      </c>
    </row>
    <row r="3599" spans="37:44" ht="30" hidden="1" customHeight="1">
      <c r="AK3599" s="313"/>
      <c r="AL3599" s="313"/>
      <c r="AM3599" s="313"/>
      <c r="AN3599" s="313"/>
      <c r="AO3599" s="313"/>
      <c r="AP3599" s="313"/>
      <c r="AQ3599" s="314"/>
      <c r="AR3599" s="315" t="str">
        <f t="shared" si="130"/>
        <v/>
      </c>
    </row>
    <row r="3600" spans="37:44" ht="30" hidden="1" customHeight="1">
      <c r="AK3600" s="313"/>
      <c r="AL3600" s="313"/>
      <c r="AM3600" s="313"/>
      <c r="AN3600" s="313"/>
      <c r="AO3600" s="313"/>
      <c r="AP3600" s="313"/>
      <c r="AQ3600" s="314"/>
      <c r="AR3600" s="315" t="str">
        <f t="shared" si="130"/>
        <v/>
      </c>
    </row>
    <row r="3601" spans="37:44" ht="30" hidden="1" customHeight="1">
      <c r="AK3601" s="313"/>
      <c r="AL3601" s="313"/>
      <c r="AM3601" s="313"/>
      <c r="AN3601" s="313"/>
      <c r="AO3601" s="313"/>
      <c r="AP3601" s="313"/>
      <c r="AQ3601" s="314"/>
      <c r="AR3601" s="315" t="str">
        <f t="shared" si="130"/>
        <v/>
      </c>
    </row>
    <row r="3602" spans="37:44" ht="30" hidden="1" customHeight="1">
      <c r="AK3602" s="313"/>
      <c r="AL3602" s="313"/>
      <c r="AM3602" s="313"/>
      <c r="AN3602" s="313"/>
      <c r="AO3602" s="313"/>
      <c r="AP3602" s="313"/>
      <c r="AQ3602" s="314"/>
      <c r="AR3602" s="315" t="str">
        <f t="shared" si="130"/>
        <v/>
      </c>
    </row>
    <row r="3603" spans="37:44" ht="30" hidden="1" customHeight="1">
      <c r="AK3603" s="313"/>
      <c r="AL3603" s="313"/>
      <c r="AM3603" s="313"/>
      <c r="AN3603" s="313"/>
      <c r="AO3603" s="313"/>
      <c r="AP3603" s="313"/>
      <c r="AQ3603" s="314"/>
      <c r="AR3603" s="315" t="str">
        <f t="shared" si="130"/>
        <v/>
      </c>
    </row>
    <row r="3604" spans="37:44" ht="30" hidden="1" customHeight="1">
      <c r="AK3604" s="313"/>
      <c r="AL3604" s="313"/>
      <c r="AM3604" s="313"/>
      <c r="AN3604" s="313"/>
      <c r="AO3604" s="313"/>
      <c r="AP3604" s="313"/>
      <c r="AQ3604" s="314"/>
      <c r="AR3604" s="315" t="str">
        <f t="shared" si="130"/>
        <v/>
      </c>
    </row>
    <row r="3605" spans="37:44" ht="30" hidden="1" customHeight="1">
      <c r="AK3605" s="313"/>
      <c r="AL3605" s="313"/>
      <c r="AM3605" s="313"/>
      <c r="AN3605" s="313"/>
      <c r="AO3605" s="313"/>
      <c r="AP3605" s="313"/>
      <c r="AQ3605" s="314"/>
      <c r="AR3605" s="315" t="str">
        <f t="shared" si="130"/>
        <v/>
      </c>
    </row>
    <row r="3606" spans="37:44" ht="30" hidden="1" customHeight="1">
      <c r="AK3606" s="313"/>
      <c r="AL3606" s="313"/>
      <c r="AM3606" s="313"/>
      <c r="AN3606" s="313"/>
      <c r="AO3606" s="313"/>
      <c r="AP3606" s="313"/>
      <c r="AQ3606" s="314"/>
      <c r="AR3606" s="315" t="str">
        <f t="shared" si="130"/>
        <v/>
      </c>
    </row>
    <row r="3607" spans="37:44" ht="30" hidden="1" customHeight="1">
      <c r="AK3607" s="313"/>
      <c r="AL3607" s="313"/>
      <c r="AM3607" s="313"/>
      <c r="AN3607" s="313"/>
      <c r="AO3607" s="313"/>
      <c r="AP3607" s="313"/>
      <c r="AQ3607" s="314"/>
      <c r="AR3607" s="315" t="str">
        <f t="shared" si="130"/>
        <v/>
      </c>
    </row>
    <row r="3608" spans="37:44" ht="30" hidden="1" customHeight="1">
      <c r="AK3608" s="313"/>
      <c r="AL3608" s="313"/>
      <c r="AM3608" s="313"/>
      <c r="AN3608" s="313"/>
      <c r="AO3608" s="313"/>
      <c r="AP3608" s="313"/>
      <c r="AQ3608" s="314"/>
      <c r="AR3608" s="315" t="str">
        <f t="shared" si="130"/>
        <v/>
      </c>
    </row>
    <row r="3609" spans="37:44" ht="30" hidden="1" customHeight="1">
      <c r="AK3609" s="313"/>
      <c r="AL3609" s="313"/>
      <c r="AM3609" s="313"/>
      <c r="AN3609" s="313"/>
      <c r="AO3609" s="313"/>
      <c r="AP3609" s="313"/>
      <c r="AQ3609" s="314"/>
      <c r="AR3609" s="315" t="str">
        <f t="shared" si="130"/>
        <v/>
      </c>
    </row>
    <row r="3610" spans="37:44" ht="30" hidden="1" customHeight="1">
      <c r="AK3610" s="313"/>
      <c r="AL3610" s="313"/>
      <c r="AM3610" s="313"/>
      <c r="AN3610" s="313"/>
      <c r="AO3610" s="313"/>
      <c r="AP3610" s="313"/>
      <c r="AQ3610" s="314"/>
      <c r="AR3610" s="315" t="str">
        <f t="shared" si="130"/>
        <v/>
      </c>
    </row>
    <row r="3611" spans="37:44" ht="30" hidden="1" customHeight="1">
      <c r="AK3611" s="313"/>
      <c r="AL3611" s="313"/>
      <c r="AM3611" s="313"/>
      <c r="AN3611" s="313"/>
      <c r="AO3611" s="313"/>
      <c r="AP3611" s="313"/>
      <c r="AQ3611" s="314"/>
      <c r="AR3611" s="315" t="str">
        <f t="shared" si="130"/>
        <v/>
      </c>
    </row>
    <row r="3612" spans="37:44" ht="30" hidden="1" customHeight="1">
      <c r="AK3612" s="313"/>
      <c r="AL3612" s="313"/>
      <c r="AM3612" s="313"/>
      <c r="AN3612" s="313"/>
      <c r="AO3612" s="313"/>
      <c r="AP3612" s="313"/>
      <c r="AQ3612" s="314"/>
      <c r="AR3612" s="315" t="str">
        <f t="shared" si="130"/>
        <v/>
      </c>
    </row>
    <row r="3613" spans="37:44" ht="30" hidden="1" customHeight="1">
      <c r="AK3613" s="313"/>
      <c r="AL3613" s="313"/>
      <c r="AM3613" s="313"/>
      <c r="AN3613" s="313"/>
      <c r="AO3613" s="313"/>
      <c r="AP3613" s="313"/>
      <c r="AQ3613" s="314"/>
      <c r="AR3613" s="315" t="str">
        <f t="shared" si="130"/>
        <v/>
      </c>
    </row>
    <row r="3614" spans="37:44" ht="30" hidden="1" customHeight="1">
      <c r="AK3614" s="313"/>
      <c r="AL3614" s="313"/>
      <c r="AM3614" s="313"/>
      <c r="AN3614" s="313"/>
      <c r="AO3614" s="313"/>
      <c r="AP3614" s="313"/>
      <c r="AQ3614" s="314"/>
      <c r="AR3614" s="315" t="str">
        <f t="shared" si="130"/>
        <v/>
      </c>
    </row>
    <row r="3615" spans="37:44" ht="30" hidden="1" customHeight="1">
      <c r="AK3615" s="313"/>
      <c r="AL3615" s="313"/>
      <c r="AM3615" s="313"/>
      <c r="AN3615" s="313"/>
      <c r="AO3615" s="313"/>
      <c r="AP3615" s="313"/>
      <c r="AQ3615" s="314"/>
      <c r="AR3615" s="315" t="str">
        <f t="shared" si="130"/>
        <v/>
      </c>
    </row>
    <row r="3616" spans="37:44" ht="30" hidden="1" customHeight="1">
      <c r="AK3616" s="313"/>
      <c r="AL3616" s="313"/>
      <c r="AM3616" s="313"/>
      <c r="AN3616" s="313"/>
      <c r="AO3616" s="313"/>
      <c r="AP3616" s="313"/>
      <c r="AQ3616" s="314"/>
      <c r="AR3616" s="315" t="str">
        <f t="shared" si="130"/>
        <v/>
      </c>
    </row>
    <row r="3617" spans="37:44" ht="30" hidden="1" customHeight="1">
      <c r="AK3617" s="313"/>
      <c r="AL3617" s="313"/>
      <c r="AM3617" s="313"/>
      <c r="AN3617" s="313"/>
      <c r="AO3617" s="313"/>
      <c r="AP3617" s="313"/>
      <c r="AQ3617" s="314"/>
      <c r="AR3617" s="315" t="str">
        <f t="shared" si="130"/>
        <v/>
      </c>
    </row>
    <row r="3618" spans="37:44" ht="30" hidden="1" customHeight="1">
      <c r="AK3618" s="313"/>
      <c r="AL3618" s="313"/>
      <c r="AM3618" s="313"/>
      <c r="AN3618" s="313"/>
      <c r="AO3618" s="313"/>
      <c r="AP3618" s="313"/>
      <c r="AQ3618" s="314"/>
      <c r="AR3618" s="315" t="str">
        <f t="shared" si="130"/>
        <v/>
      </c>
    </row>
    <row r="3619" spans="37:44" ht="30" hidden="1" customHeight="1">
      <c r="AK3619" s="313"/>
      <c r="AL3619" s="313"/>
      <c r="AM3619" s="313"/>
      <c r="AN3619" s="313"/>
      <c r="AO3619" s="313"/>
      <c r="AP3619" s="313"/>
      <c r="AQ3619" s="314"/>
      <c r="AR3619" s="315" t="str">
        <f t="shared" si="130"/>
        <v/>
      </c>
    </row>
    <row r="3620" spans="37:44" ht="30" hidden="1" customHeight="1">
      <c r="AK3620" s="313"/>
      <c r="AL3620" s="313"/>
      <c r="AM3620" s="313"/>
      <c r="AN3620" s="313"/>
      <c r="AO3620" s="313"/>
      <c r="AP3620" s="313"/>
      <c r="AQ3620" s="314"/>
      <c r="AR3620" s="315" t="str">
        <f t="shared" si="130"/>
        <v/>
      </c>
    </row>
    <row r="3621" spans="37:44" ht="30" hidden="1" customHeight="1">
      <c r="AK3621" s="313"/>
      <c r="AL3621" s="313"/>
      <c r="AM3621" s="313"/>
      <c r="AN3621" s="313"/>
      <c r="AO3621" s="313"/>
      <c r="AP3621" s="313"/>
      <c r="AQ3621" s="314"/>
      <c r="AR3621" s="315" t="str">
        <f t="shared" si="130"/>
        <v/>
      </c>
    </row>
    <row r="3622" spans="37:44" ht="30" hidden="1" customHeight="1">
      <c r="AK3622" s="313"/>
      <c r="AL3622" s="313"/>
      <c r="AM3622" s="313"/>
      <c r="AN3622" s="313"/>
      <c r="AO3622" s="313"/>
      <c r="AP3622" s="313"/>
      <c r="AQ3622" s="314"/>
      <c r="AR3622" s="315" t="str">
        <f t="shared" si="130"/>
        <v/>
      </c>
    </row>
    <row r="3623" spans="37:44" ht="30" hidden="1" customHeight="1">
      <c r="AK3623" s="313"/>
      <c r="AL3623" s="313"/>
      <c r="AM3623" s="313"/>
      <c r="AN3623" s="313"/>
      <c r="AO3623" s="313"/>
      <c r="AP3623" s="313"/>
      <c r="AQ3623" s="314"/>
      <c r="AR3623" s="315" t="str">
        <f t="shared" si="130"/>
        <v/>
      </c>
    </row>
    <row r="3624" spans="37:44" ht="30" hidden="1" customHeight="1">
      <c r="AK3624" s="313"/>
      <c r="AL3624" s="313"/>
      <c r="AM3624" s="313"/>
      <c r="AN3624" s="313"/>
      <c r="AO3624" s="313"/>
      <c r="AP3624" s="313"/>
      <c r="AQ3624" s="314"/>
      <c r="AR3624" s="315" t="str">
        <f t="shared" si="130"/>
        <v/>
      </c>
    </row>
    <row r="3625" spans="37:44" ht="30" hidden="1" customHeight="1">
      <c r="AK3625" s="313"/>
      <c r="AL3625" s="313"/>
      <c r="AM3625" s="313"/>
      <c r="AN3625" s="313"/>
      <c r="AO3625" s="313"/>
      <c r="AP3625" s="313"/>
      <c r="AQ3625" s="314"/>
      <c r="AR3625" s="315" t="str">
        <f t="shared" si="130"/>
        <v/>
      </c>
    </row>
    <row r="3626" spans="37:44" ht="30" hidden="1" customHeight="1">
      <c r="AK3626" s="313"/>
      <c r="AL3626" s="313"/>
      <c r="AM3626" s="313"/>
      <c r="AN3626" s="313"/>
      <c r="AO3626" s="313"/>
      <c r="AP3626" s="313"/>
      <c r="AQ3626" s="314"/>
      <c r="AR3626" s="315" t="str">
        <f t="shared" si="130"/>
        <v/>
      </c>
    </row>
    <row r="3627" spans="37:44" ht="30" hidden="1" customHeight="1">
      <c r="AK3627" s="313"/>
      <c r="AL3627" s="313"/>
      <c r="AM3627" s="313"/>
      <c r="AN3627" s="313"/>
      <c r="AO3627" s="313"/>
      <c r="AP3627" s="313"/>
      <c r="AQ3627" s="314"/>
      <c r="AR3627" s="315" t="str">
        <f t="shared" si="130"/>
        <v/>
      </c>
    </row>
    <row r="3628" spans="37:44" ht="30" hidden="1" customHeight="1">
      <c r="AK3628" s="313"/>
      <c r="AL3628" s="313"/>
      <c r="AM3628" s="313"/>
      <c r="AN3628" s="313"/>
      <c r="AO3628" s="313"/>
      <c r="AP3628" s="313"/>
      <c r="AQ3628" s="314"/>
      <c r="AR3628" s="315" t="str">
        <f t="shared" si="130"/>
        <v/>
      </c>
    </row>
    <row r="3629" spans="37:44" ht="30" hidden="1" customHeight="1">
      <c r="AK3629" s="313"/>
      <c r="AL3629" s="313"/>
      <c r="AM3629" s="313"/>
      <c r="AN3629" s="313"/>
      <c r="AO3629" s="313"/>
      <c r="AP3629" s="313"/>
      <c r="AQ3629" s="314"/>
      <c r="AR3629" s="315" t="str">
        <f t="shared" si="130"/>
        <v/>
      </c>
    </row>
    <row r="3630" spans="37:44" ht="30" hidden="1" customHeight="1">
      <c r="AK3630" s="313"/>
      <c r="AL3630" s="313"/>
      <c r="AM3630" s="313"/>
      <c r="AN3630" s="313"/>
      <c r="AO3630" s="313"/>
      <c r="AP3630" s="313"/>
      <c r="AQ3630" s="314"/>
      <c r="AR3630" s="315" t="str">
        <f t="shared" si="130"/>
        <v/>
      </c>
    </row>
    <row r="3631" spans="37:44" ht="30" hidden="1" customHeight="1">
      <c r="AK3631" s="313"/>
      <c r="AL3631" s="313"/>
      <c r="AM3631" s="313"/>
      <c r="AN3631" s="313"/>
      <c r="AO3631" s="313"/>
      <c r="AP3631" s="313"/>
      <c r="AQ3631" s="314"/>
      <c r="AR3631" s="315" t="str">
        <f t="shared" si="130"/>
        <v/>
      </c>
    </row>
    <row r="3632" spans="37:44" ht="30" hidden="1" customHeight="1">
      <c r="AK3632" s="313"/>
      <c r="AL3632" s="313"/>
      <c r="AM3632" s="313"/>
      <c r="AN3632" s="313"/>
      <c r="AO3632" s="313"/>
      <c r="AP3632" s="313"/>
      <c r="AQ3632" s="314"/>
      <c r="AR3632" s="315" t="str">
        <f t="shared" si="130"/>
        <v/>
      </c>
    </row>
    <row r="3633" spans="37:44" ht="30" hidden="1" customHeight="1">
      <c r="AK3633" s="313"/>
      <c r="AL3633" s="313"/>
      <c r="AM3633" s="313"/>
      <c r="AN3633" s="313"/>
      <c r="AO3633" s="313"/>
      <c r="AP3633" s="313"/>
      <c r="AQ3633" s="314"/>
      <c r="AR3633" s="315" t="str">
        <f t="shared" si="130"/>
        <v/>
      </c>
    </row>
    <row r="3634" spans="37:44" ht="30" hidden="1" customHeight="1">
      <c r="AK3634" s="313"/>
      <c r="AL3634" s="313"/>
      <c r="AM3634" s="313"/>
      <c r="AN3634" s="313"/>
      <c r="AO3634" s="313"/>
      <c r="AP3634" s="313"/>
      <c r="AQ3634" s="314"/>
      <c r="AR3634" s="315" t="str">
        <f t="shared" si="130"/>
        <v/>
      </c>
    </row>
    <row r="3635" spans="37:44" ht="30" hidden="1" customHeight="1">
      <c r="AK3635" s="313"/>
      <c r="AL3635" s="313"/>
      <c r="AM3635" s="313"/>
      <c r="AN3635" s="313"/>
      <c r="AO3635" s="313"/>
      <c r="AP3635" s="313"/>
      <c r="AQ3635" s="314"/>
      <c r="AR3635" s="315" t="str">
        <f t="shared" si="130"/>
        <v/>
      </c>
    </row>
    <row r="3636" spans="37:44" ht="30" hidden="1" customHeight="1">
      <c r="AK3636" s="313"/>
      <c r="AL3636" s="313"/>
      <c r="AM3636" s="313"/>
      <c r="AN3636" s="313"/>
      <c r="AO3636" s="313"/>
      <c r="AP3636" s="313"/>
      <c r="AQ3636" s="314"/>
      <c r="AR3636" s="315" t="str">
        <f t="shared" si="130"/>
        <v/>
      </c>
    </row>
    <row r="3637" spans="37:44" ht="30" hidden="1" customHeight="1">
      <c r="AK3637" s="313"/>
      <c r="AL3637" s="313"/>
      <c r="AM3637" s="313"/>
      <c r="AN3637" s="313"/>
      <c r="AO3637" s="313"/>
      <c r="AP3637" s="313"/>
      <c r="AQ3637" s="314"/>
      <c r="AR3637" s="315" t="str">
        <f t="shared" si="130"/>
        <v/>
      </c>
    </row>
    <row r="3638" spans="37:44" ht="30" hidden="1" customHeight="1">
      <c r="AK3638" s="313"/>
      <c r="AL3638" s="313"/>
      <c r="AM3638" s="313"/>
      <c r="AN3638" s="313"/>
      <c r="AO3638" s="313"/>
      <c r="AP3638" s="313"/>
      <c r="AQ3638" s="314"/>
      <c r="AR3638" s="315" t="str">
        <f t="shared" si="130"/>
        <v/>
      </c>
    </row>
    <row r="3639" spans="37:44" ht="30" hidden="1" customHeight="1">
      <c r="AK3639" s="313"/>
      <c r="AL3639" s="313"/>
      <c r="AM3639" s="313"/>
      <c r="AN3639" s="313"/>
      <c r="AO3639" s="313"/>
      <c r="AP3639" s="313"/>
      <c r="AQ3639" s="314"/>
      <c r="AR3639" s="315" t="str">
        <f t="shared" si="130"/>
        <v/>
      </c>
    </row>
    <row r="3640" spans="37:44" ht="30" hidden="1" customHeight="1">
      <c r="AK3640" s="313"/>
      <c r="AL3640" s="313"/>
      <c r="AM3640" s="313"/>
      <c r="AN3640" s="313"/>
      <c r="AO3640" s="313"/>
      <c r="AP3640" s="313"/>
      <c r="AQ3640" s="314"/>
      <c r="AR3640" s="315" t="str">
        <f t="shared" si="130"/>
        <v/>
      </c>
    </row>
    <row r="3641" spans="37:44" ht="30" hidden="1" customHeight="1">
      <c r="AK3641" s="313"/>
      <c r="AL3641" s="313"/>
      <c r="AM3641" s="313"/>
      <c r="AN3641" s="313"/>
      <c r="AO3641" s="313"/>
      <c r="AP3641" s="313"/>
      <c r="AQ3641" s="314"/>
      <c r="AR3641" s="315" t="str">
        <f t="shared" si="130"/>
        <v/>
      </c>
    </row>
    <row r="3642" spans="37:44" ht="30" hidden="1" customHeight="1">
      <c r="AK3642" s="313"/>
      <c r="AL3642" s="313"/>
      <c r="AM3642" s="313"/>
      <c r="AN3642" s="313"/>
      <c r="AO3642" s="313"/>
      <c r="AP3642" s="313"/>
      <c r="AQ3642" s="314"/>
      <c r="AR3642" s="315" t="str">
        <f t="shared" si="130"/>
        <v/>
      </c>
    </row>
    <row r="3643" spans="37:44" ht="30" hidden="1" customHeight="1">
      <c r="AK3643" s="313"/>
      <c r="AL3643" s="313"/>
      <c r="AM3643" s="313"/>
      <c r="AN3643" s="313"/>
      <c r="AO3643" s="313"/>
      <c r="AP3643" s="313"/>
      <c r="AQ3643" s="314"/>
      <c r="AR3643" s="315" t="str">
        <f t="shared" si="130"/>
        <v/>
      </c>
    </row>
    <row r="3644" spans="37:44" ht="30" hidden="1" customHeight="1">
      <c r="AK3644" s="313"/>
      <c r="AL3644" s="313"/>
      <c r="AM3644" s="313"/>
      <c r="AN3644" s="313"/>
      <c r="AO3644" s="313"/>
      <c r="AP3644" s="313"/>
      <c r="AQ3644" s="314"/>
      <c r="AR3644" s="315" t="str">
        <f t="shared" si="130"/>
        <v/>
      </c>
    </row>
    <row r="3645" spans="37:44" ht="30" hidden="1" customHeight="1">
      <c r="AK3645" s="313"/>
      <c r="AL3645" s="313"/>
      <c r="AM3645" s="313"/>
      <c r="AN3645" s="313"/>
      <c r="AO3645" s="313"/>
      <c r="AP3645" s="313"/>
      <c r="AQ3645" s="314"/>
      <c r="AR3645" s="315" t="str">
        <f t="shared" si="130"/>
        <v/>
      </c>
    </row>
    <row r="3646" spans="37:44" ht="30" hidden="1" customHeight="1">
      <c r="AK3646" s="313"/>
      <c r="AL3646" s="313"/>
      <c r="AM3646" s="313"/>
      <c r="AN3646" s="313"/>
      <c r="AO3646" s="313"/>
      <c r="AP3646" s="313"/>
      <c r="AQ3646" s="314"/>
      <c r="AR3646" s="315" t="str">
        <f t="shared" si="130"/>
        <v/>
      </c>
    </row>
    <row r="3647" spans="37:44" ht="30" hidden="1" customHeight="1">
      <c r="AK3647" s="313"/>
      <c r="AL3647" s="313"/>
      <c r="AM3647" s="313"/>
      <c r="AN3647" s="313"/>
      <c r="AO3647" s="313"/>
      <c r="AP3647" s="313"/>
      <c r="AQ3647" s="314"/>
      <c r="AR3647" s="315" t="str">
        <f t="shared" ref="AR3647:AR3710" si="131">IF(AQ3647="SIM","AGUARDANDO CORREÇÃO",IF(AP3647&lt;&gt;"","FINALIZADO",IF(AO3647&lt;&gt;"","AGUARDANDO ENVIO DTS",IF(AN3647&lt;&gt;"","AGUARDANDO ASSINATURA GAB",IF(AM3647&lt;&gt;"","AGUARDANDO ASSINATURA CTS",IF(AL3647&lt;&gt;"","AGUARDANDO ENVIO ASSINATURA CTS",IF(AK3647&lt;&gt;"","AGUARDANDO CONFERÊNCIA","")))))))</f>
        <v/>
      </c>
    </row>
    <row r="3648" spans="37:44" ht="30" hidden="1" customHeight="1">
      <c r="AK3648" s="313"/>
      <c r="AL3648" s="313"/>
      <c r="AM3648" s="313"/>
      <c r="AN3648" s="313"/>
      <c r="AO3648" s="313"/>
      <c r="AP3648" s="313"/>
      <c r="AQ3648" s="314"/>
      <c r="AR3648" s="315" t="str">
        <f t="shared" si="131"/>
        <v/>
      </c>
    </row>
    <row r="3649" spans="37:44" ht="30" hidden="1" customHeight="1">
      <c r="AK3649" s="313"/>
      <c r="AL3649" s="313"/>
      <c r="AM3649" s="313"/>
      <c r="AN3649" s="313"/>
      <c r="AO3649" s="313"/>
      <c r="AP3649" s="313"/>
      <c r="AQ3649" s="314"/>
      <c r="AR3649" s="315" t="str">
        <f t="shared" si="131"/>
        <v/>
      </c>
    </row>
    <row r="3650" spans="37:44" ht="30" hidden="1" customHeight="1">
      <c r="AK3650" s="313"/>
      <c r="AL3650" s="313"/>
      <c r="AM3650" s="313"/>
      <c r="AN3650" s="313"/>
      <c r="AO3650" s="313"/>
      <c r="AP3650" s="313"/>
      <c r="AQ3650" s="314"/>
      <c r="AR3650" s="315" t="str">
        <f t="shared" si="131"/>
        <v/>
      </c>
    </row>
    <row r="3651" spans="37:44" ht="30" hidden="1" customHeight="1">
      <c r="AK3651" s="313"/>
      <c r="AL3651" s="313"/>
      <c r="AM3651" s="313"/>
      <c r="AN3651" s="313"/>
      <c r="AO3651" s="313"/>
      <c r="AP3651" s="313"/>
      <c r="AQ3651" s="314"/>
      <c r="AR3651" s="315" t="str">
        <f t="shared" si="131"/>
        <v/>
      </c>
    </row>
    <row r="3652" spans="37:44" ht="30" hidden="1" customHeight="1">
      <c r="AK3652" s="313"/>
      <c r="AL3652" s="313"/>
      <c r="AM3652" s="313"/>
      <c r="AN3652" s="313"/>
      <c r="AO3652" s="313"/>
      <c r="AP3652" s="313"/>
      <c r="AQ3652" s="314"/>
      <c r="AR3652" s="315" t="str">
        <f t="shared" si="131"/>
        <v/>
      </c>
    </row>
    <row r="3653" spans="37:44" ht="30" hidden="1" customHeight="1">
      <c r="AK3653" s="313"/>
      <c r="AL3653" s="313"/>
      <c r="AM3653" s="313"/>
      <c r="AN3653" s="313"/>
      <c r="AO3653" s="313"/>
      <c r="AP3653" s="313"/>
      <c r="AQ3653" s="314"/>
      <c r="AR3653" s="315" t="str">
        <f t="shared" si="131"/>
        <v/>
      </c>
    </row>
    <row r="3654" spans="37:44" ht="30" hidden="1" customHeight="1">
      <c r="AK3654" s="313"/>
      <c r="AL3654" s="313"/>
      <c r="AM3654" s="313"/>
      <c r="AN3654" s="313"/>
      <c r="AO3654" s="313"/>
      <c r="AP3654" s="313"/>
      <c r="AQ3654" s="314"/>
      <c r="AR3654" s="315" t="str">
        <f t="shared" si="131"/>
        <v/>
      </c>
    </row>
    <row r="3655" spans="37:44" ht="30" hidden="1" customHeight="1">
      <c r="AK3655" s="313"/>
      <c r="AL3655" s="313"/>
      <c r="AM3655" s="313"/>
      <c r="AN3655" s="313"/>
      <c r="AO3655" s="313"/>
      <c r="AP3655" s="313"/>
      <c r="AQ3655" s="314"/>
      <c r="AR3655" s="315" t="str">
        <f t="shared" si="131"/>
        <v/>
      </c>
    </row>
    <row r="3656" spans="37:44" ht="30" hidden="1" customHeight="1">
      <c r="AK3656" s="313"/>
      <c r="AL3656" s="313"/>
      <c r="AM3656" s="313"/>
      <c r="AN3656" s="313"/>
      <c r="AO3656" s="313"/>
      <c r="AP3656" s="313"/>
      <c r="AQ3656" s="314"/>
      <c r="AR3656" s="315" t="str">
        <f t="shared" si="131"/>
        <v/>
      </c>
    </row>
    <row r="3657" spans="37:44" ht="30" hidden="1" customHeight="1">
      <c r="AK3657" s="313"/>
      <c r="AL3657" s="313"/>
      <c r="AM3657" s="313"/>
      <c r="AN3657" s="313"/>
      <c r="AO3657" s="313"/>
      <c r="AP3657" s="313"/>
      <c r="AQ3657" s="314"/>
      <c r="AR3657" s="315" t="str">
        <f t="shared" si="131"/>
        <v/>
      </c>
    </row>
    <row r="3658" spans="37:44" ht="30" hidden="1" customHeight="1">
      <c r="AK3658" s="313"/>
      <c r="AL3658" s="313"/>
      <c r="AM3658" s="313"/>
      <c r="AN3658" s="313"/>
      <c r="AO3658" s="313"/>
      <c r="AP3658" s="313"/>
      <c r="AQ3658" s="314"/>
      <c r="AR3658" s="315" t="str">
        <f t="shared" si="131"/>
        <v/>
      </c>
    </row>
    <row r="3659" spans="37:44" ht="30" hidden="1" customHeight="1">
      <c r="AK3659" s="313"/>
      <c r="AL3659" s="313"/>
      <c r="AM3659" s="313"/>
      <c r="AN3659" s="313"/>
      <c r="AO3659" s="313"/>
      <c r="AP3659" s="313"/>
      <c r="AQ3659" s="314"/>
      <c r="AR3659" s="315" t="str">
        <f t="shared" si="131"/>
        <v/>
      </c>
    </row>
    <row r="3660" spans="37:44" ht="30" hidden="1" customHeight="1">
      <c r="AK3660" s="313"/>
      <c r="AL3660" s="313"/>
      <c r="AM3660" s="313"/>
      <c r="AN3660" s="313"/>
      <c r="AO3660" s="313"/>
      <c r="AP3660" s="313"/>
      <c r="AQ3660" s="314"/>
      <c r="AR3660" s="315" t="str">
        <f t="shared" si="131"/>
        <v/>
      </c>
    </row>
    <row r="3661" spans="37:44" ht="30" hidden="1" customHeight="1">
      <c r="AK3661" s="313"/>
      <c r="AL3661" s="313"/>
      <c r="AM3661" s="313"/>
      <c r="AN3661" s="313"/>
      <c r="AO3661" s="313"/>
      <c r="AP3661" s="313"/>
      <c r="AQ3661" s="314"/>
      <c r="AR3661" s="315" t="str">
        <f t="shared" si="131"/>
        <v/>
      </c>
    </row>
    <row r="3662" spans="37:44" ht="30" hidden="1" customHeight="1">
      <c r="AK3662" s="313"/>
      <c r="AL3662" s="313"/>
      <c r="AM3662" s="313"/>
      <c r="AN3662" s="313"/>
      <c r="AO3662" s="313"/>
      <c r="AP3662" s="313"/>
      <c r="AQ3662" s="314"/>
      <c r="AR3662" s="315" t="str">
        <f t="shared" si="131"/>
        <v/>
      </c>
    </row>
    <row r="3663" spans="37:44" ht="30" hidden="1" customHeight="1">
      <c r="AK3663" s="313"/>
      <c r="AL3663" s="313"/>
      <c r="AM3663" s="313"/>
      <c r="AN3663" s="313"/>
      <c r="AO3663" s="313"/>
      <c r="AP3663" s="313"/>
      <c r="AQ3663" s="314"/>
      <c r="AR3663" s="315" t="str">
        <f t="shared" si="131"/>
        <v/>
      </c>
    </row>
    <row r="3664" spans="37:44" ht="30" hidden="1" customHeight="1">
      <c r="AK3664" s="313"/>
      <c r="AL3664" s="313"/>
      <c r="AM3664" s="313"/>
      <c r="AN3664" s="313"/>
      <c r="AO3664" s="313"/>
      <c r="AP3664" s="313"/>
      <c r="AQ3664" s="314"/>
      <c r="AR3664" s="315" t="str">
        <f t="shared" si="131"/>
        <v/>
      </c>
    </row>
    <row r="3665" spans="37:44" ht="30" hidden="1" customHeight="1">
      <c r="AK3665" s="313"/>
      <c r="AL3665" s="313"/>
      <c r="AM3665" s="313"/>
      <c r="AN3665" s="313"/>
      <c r="AO3665" s="313"/>
      <c r="AP3665" s="313"/>
      <c r="AQ3665" s="314"/>
      <c r="AR3665" s="315" t="str">
        <f t="shared" si="131"/>
        <v/>
      </c>
    </row>
    <row r="3666" spans="37:44" ht="30" hidden="1" customHeight="1">
      <c r="AK3666" s="313"/>
      <c r="AL3666" s="313"/>
      <c r="AM3666" s="313"/>
      <c r="AN3666" s="313"/>
      <c r="AO3666" s="313"/>
      <c r="AP3666" s="313"/>
      <c r="AQ3666" s="314"/>
      <c r="AR3666" s="315" t="str">
        <f t="shared" si="131"/>
        <v/>
      </c>
    </row>
    <row r="3667" spans="37:44" ht="30" hidden="1" customHeight="1">
      <c r="AK3667" s="313"/>
      <c r="AL3667" s="313"/>
      <c r="AM3667" s="313"/>
      <c r="AN3667" s="313"/>
      <c r="AO3667" s="313"/>
      <c r="AP3667" s="313"/>
      <c r="AQ3667" s="314"/>
      <c r="AR3667" s="315" t="str">
        <f t="shared" si="131"/>
        <v/>
      </c>
    </row>
    <row r="3668" spans="37:44" ht="30" hidden="1" customHeight="1">
      <c r="AK3668" s="313"/>
      <c r="AL3668" s="313"/>
      <c r="AM3668" s="313"/>
      <c r="AN3668" s="313"/>
      <c r="AO3668" s="313"/>
      <c r="AP3668" s="313"/>
      <c r="AQ3668" s="314"/>
      <c r="AR3668" s="315" t="str">
        <f t="shared" si="131"/>
        <v/>
      </c>
    </row>
    <row r="3669" spans="37:44" ht="30" hidden="1" customHeight="1">
      <c r="AK3669" s="313"/>
      <c r="AL3669" s="313"/>
      <c r="AM3669" s="313"/>
      <c r="AN3669" s="313"/>
      <c r="AO3669" s="313"/>
      <c r="AP3669" s="313"/>
      <c r="AQ3669" s="314"/>
      <c r="AR3669" s="315" t="str">
        <f t="shared" si="131"/>
        <v/>
      </c>
    </row>
    <row r="3670" spans="37:44" ht="30" hidden="1" customHeight="1">
      <c r="AK3670" s="313"/>
      <c r="AL3670" s="313"/>
      <c r="AM3670" s="313"/>
      <c r="AN3670" s="313"/>
      <c r="AO3670" s="313"/>
      <c r="AP3670" s="313"/>
      <c r="AQ3670" s="314"/>
      <c r="AR3670" s="315" t="str">
        <f t="shared" si="131"/>
        <v/>
      </c>
    </row>
    <row r="3671" spans="37:44" ht="30" hidden="1" customHeight="1">
      <c r="AK3671" s="313"/>
      <c r="AL3671" s="313"/>
      <c r="AM3671" s="313"/>
      <c r="AN3671" s="313"/>
      <c r="AO3671" s="313"/>
      <c r="AP3671" s="313"/>
      <c r="AQ3671" s="314"/>
      <c r="AR3671" s="315" t="str">
        <f t="shared" si="131"/>
        <v/>
      </c>
    </row>
    <row r="3672" spans="37:44" ht="30" hidden="1" customHeight="1">
      <c r="AK3672" s="313"/>
      <c r="AL3672" s="313"/>
      <c r="AM3672" s="313"/>
      <c r="AN3672" s="313"/>
      <c r="AO3672" s="313"/>
      <c r="AP3672" s="313"/>
      <c r="AQ3672" s="314"/>
      <c r="AR3672" s="315" t="str">
        <f t="shared" si="131"/>
        <v/>
      </c>
    </row>
    <row r="3673" spans="37:44" ht="30" hidden="1" customHeight="1">
      <c r="AK3673" s="313"/>
      <c r="AL3673" s="313"/>
      <c r="AM3673" s="313"/>
      <c r="AN3673" s="313"/>
      <c r="AO3673" s="313"/>
      <c r="AP3673" s="313"/>
      <c r="AQ3673" s="314"/>
      <c r="AR3673" s="315" t="str">
        <f t="shared" si="131"/>
        <v/>
      </c>
    </row>
    <row r="3674" spans="37:44" ht="30" hidden="1" customHeight="1">
      <c r="AK3674" s="313"/>
      <c r="AL3674" s="313"/>
      <c r="AM3674" s="313"/>
      <c r="AN3674" s="313"/>
      <c r="AO3674" s="313"/>
      <c r="AP3674" s="313"/>
      <c r="AQ3674" s="314"/>
      <c r="AR3674" s="315" t="str">
        <f t="shared" si="131"/>
        <v/>
      </c>
    </row>
    <row r="3675" spans="37:44" ht="30" hidden="1" customHeight="1">
      <c r="AK3675" s="313"/>
      <c r="AL3675" s="313"/>
      <c r="AM3675" s="313"/>
      <c r="AN3675" s="313"/>
      <c r="AO3675" s="313"/>
      <c r="AP3675" s="313"/>
      <c r="AQ3675" s="314"/>
      <c r="AR3675" s="315" t="str">
        <f t="shared" si="131"/>
        <v/>
      </c>
    </row>
    <row r="3676" spans="37:44" ht="30" hidden="1" customHeight="1">
      <c r="AK3676" s="313"/>
      <c r="AL3676" s="313"/>
      <c r="AM3676" s="313"/>
      <c r="AN3676" s="313"/>
      <c r="AO3676" s="313"/>
      <c r="AP3676" s="313"/>
      <c r="AQ3676" s="314"/>
      <c r="AR3676" s="315" t="str">
        <f t="shared" si="131"/>
        <v/>
      </c>
    </row>
    <row r="3677" spans="37:44" ht="30" hidden="1" customHeight="1">
      <c r="AK3677" s="313"/>
      <c r="AL3677" s="313"/>
      <c r="AM3677" s="313"/>
      <c r="AN3677" s="313"/>
      <c r="AO3677" s="313"/>
      <c r="AP3677" s="313"/>
      <c r="AQ3677" s="314"/>
      <c r="AR3677" s="315" t="str">
        <f t="shared" si="131"/>
        <v/>
      </c>
    </row>
    <row r="3678" spans="37:44" ht="30" hidden="1" customHeight="1">
      <c r="AK3678" s="313"/>
      <c r="AL3678" s="313"/>
      <c r="AM3678" s="313"/>
      <c r="AN3678" s="313"/>
      <c r="AO3678" s="313"/>
      <c r="AP3678" s="313"/>
      <c r="AQ3678" s="314"/>
      <c r="AR3678" s="315" t="str">
        <f t="shared" si="131"/>
        <v/>
      </c>
    </row>
    <row r="3679" spans="37:44" ht="30" hidden="1" customHeight="1">
      <c r="AK3679" s="313"/>
      <c r="AL3679" s="313"/>
      <c r="AM3679" s="313"/>
      <c r="AN3679" s="313"/>
      <c r="AO3679" s="313"/>
      <c r="AP3679" s="313"/>
      <c r="AQ3679" s="314"/>
      <c r="AR3679" s="315" t="str">
        <f t="shared" si="131"/>
        <v/>
      </c>
    </row>
    <row r="3680" spans="37:44" ht="30" hidden="1" customHeight="1">
      <c r="AK3680" s="313"/>
      <c r="AL3680" s="313"/>
      <c r="AM3680" s="313"/>
      <c r="AN3680" s="313"/>
      <c r="AO3680" s="313"/>
      <c r="AP3680" s="313"/>
      <c r="AQ3680" s="314"/>
      <c r="AR3680" s="315" t="str">
        <f t="shared" si="131"/>
        <v/>
      </c>
    </row>
    <row r="3681" spans="37:44" ht="30" hidden="1" customHeight="1">
      <c r="AK3681" s="313"/>
      <c r="AL3681" s="313"/>
      <c r="AM3681" s="313"/>
      <c r="AN3681" s="313"/>
      <c r="AO3681" s="313"/>
      <c r="AP3681" s="313"/>
      <c r="AQ3681" s="314"/>
      <c r="AR3681" s="315" t="str">
        <f t="shared" si="131"/>
        <v/>
      </c>
    </row>
    <row r="3682" spans="37:44" ht="30" hidden="1" customHeight="1">
      <c r="AK3682" s="313"/>
      <c r="AL3682" s="313"/>
      <c r="AM3682" s="313"/>
      <c r="AN3682" s="313"/>
      <c r="AO3682" s="313"/>
      <c r="AP3682" s="313"/>
      <c r="AQ3682" s="314"/>
      <c r="AR3682" s="315" t="str">
        <f t="shared" si="131"/>
        <v/>
      </c>
    </row>
    <row r="3683" spans="37:44" ht="30" hidden="1" customHeight="1">
      <c r="AK3683" s="313"/>
      <c r="AL3683" s="313"/>
      <c r="AM3683" s="313"/>
      <c r="AN3683" s="313"/>
      <c r="AO3683" s="313"/>
      <c r="AP3683" s="313"/>
      <c r="AQ3683" s="314"/>
      <c r="AR3683" s="315" t="str">
        <f t="shared" si="131"/>
        <v/>
      </c>
    </row>
    <row r="3684" spans="37:44" ht="30" hidden="1" customHeight="1">
      <c r="AK3684" s="313"/>
      <c r="AL3684" s="313"/>
      <c r="AM3684" s="313"/>
      <c r="AN3684" s="313"/>
      <c r="AO3684" s="313"/>
      <c r="AP3684" s="313"/>
      <c r="AQ3684" s="314"/>
      <c r="AR3684" s="315" t="str">
        <f t="shared" si="131"/>
        <v/>
      </c>
    </row>
    <row r="3685" spans="37:44" ht="30" hidden="1" customHeight="1">
      <c r="AK3685" s="313"/>
      <c r="AL3685" s="313"/>
      <c r="AM3685" s="313"/>
      <c r="AN3685" s="313"/>
      <c r="AO3685" s="313"/>
      <c r="AP3685" s="313"/>
      <c r="AQ3685" s="314"/>
      <c r="AR3685" s="315" t="str">
        <f t="shared" si="131"/>
        <v/>
      </c>
    </row>
    <row r="3686" spans="37:44" ht="30" hidden="1" customHeight="1">
      <c r="AK3686" s="313"/>
      <c r="AL3686" s="313"/>
      <c r="AM3686" s="313"/>
      <c r="AN3686" s="313"/>
      <c r="AO3686" s="313"/>
      <c r="AP3686" s="313"/>
      <c r="AQ3686" s="314"/>
      <c r="AR3686" s="315" t="str">
        <f t="shared" si="131"/>
        <v/>
      </c>
    </row>
    <row r="3687" spans="37:44" ht="30" hidden="1" customHeight="1">
      <c r="AK3687" s="313"/>
      <c r="AL3687" s="313"/>
      <c r="AM3687" s="313"/>
      <c r="AN3687" s="313"/>
      <c r="AO3687" s="313"/>
      <c r="AP3687" s="313"/>
      <c r="AQ3687" s="314"/>
      <c r="AR3687" s="315" t="str">
        <f t="shared" si="131"/>
        <v/>
      </c>
    </row>
    <row r="3688" spans="37:44" ht="30" hidden="1" customHeight="1">
      <c r="AK3688" s="313"/>
      <c r="AL3688" s="313"/>
      <c r="AM3688" s="313"/>
      <c r="AN3688" s="313"/>
      <c r="AO3688" s="313"/>
      <c r="AP3688" s="313"/>
      <c r="AQ3688" s="314"/>
      <c r="AR3688" s="315" t="str">
        <f t="shared" si="131"/>
        <v/>
      </c>
    </row>
    <row r="3689" spans="37:44" ht="30" hidden="1" customHeight="1">
      <c r="AK3689" s="313"/>
      <c r="AL3689" s="313"/>
      <c r="AM3689" s="313"/>
      <c r="AN3689" s="313"/>
      <c r="AO3689" s="313"/>
      <c r="AP3689" s="313"/>
      <c r="AQ3689" s="314"/>
      <c r="AR3689" s="315" t="str">
        <f t="shared" si="131"/>
        <v/>
      </c>
    </row>
    <row r="3690" spans="37:44" ht="30" hidden="1" customHeight="1">
      <c r="AK3690" s="313"/>
      <c r="AL3690" s="313"/>
      <c r="AM3690" s="313"/>
      <c r="AN3690" s="313"/>
      <c r="AO3690" s="313"/>
      <c r="AP3690" s="313"/>
      <c r="AQ3690" s="314"/>
      <c r="AR3690" s="315" t="str">
        <f t="shared" si="131"/>
        <v/>
      </c>
    </row>
    <row r="3691" spans="37:44" ht="30" hidden="1" customHeight="1">
      <c r="AK3691" s="313"/>
      <c r="AL3691" s="313"/>
      <c r="AM3691" s="313"/>
      <c r="AN3691" s="313"/>
      <c r="AO3691" s="313"/>
      <c r="AP3691" s="313"/>
      <c r="AQ3691" s="314"/>
      <c r="AR3691" s="315" t="str">
        <f t="shared" si="131"/>
        <v/>
      </c>
    </row>
    <row r="3692" spans="37:44" ht="30" hidden="1" customHeight="1">
      <c r="AK3692" s="313"/>
      <c r="AL3692" s="313"/>
      <c r="AM3692" s="313"/>
      <c r="AN3692" s="313"/>
      <c r="AO3692" s="313"/>
      <c r="AP3692" s="313"/>
      <c r="AQ3692" s="314"/>
      <c r="AR3692" s="315" t="str">
        <f t="shared" si="131"/>
        <v/>
      </c>
    </row>
    <row r="3693" spans="37:44" ht="30" hidden="1" customHeight="1">
      <c r="AK3693" s="313"/>
      <c r="AL3693" s="313"/>
      <c r="AM3693" s="313"/>
      <c r="AN3693" s="313"/>
      <c r="AO3693" s="313"/>
      <c r="AP3693" s="313"/>
      <c r="AQ3693" s="314"/>
      <c r="AR3693" s="315" t="str">
        <f t="shared" si="131"/>
        <v/>
      </c>
    </row>
    <row r="3694" spans="37:44" ht="30" hidden="1" customHeight="1">
      <c r="AK3694" s="313"/>
      <c r="AL3694" s="313"/>
      <c r="AM3694" s="313"/>
      <c r="AN3694" s="313"/>
      <c r="AO3694" s="313"/>
      <c r="AP3694" s="313"/>
      <c r="AQ3694" s="314"/>
      <c r="AR3694" s="315" t="str">
        <f t="shared" si="131"/>
        <v/>
      </c>
    </row>
    <row r="3695" spans="37:44" ht="30" hidden="1" customHeight="1">
      <c r="AK3695" s="313"/>
      <c r="AL3695" s="313"/>
      <c r="AM3695" s="313"/>
      <c r="AN3695" s="313"/>
      <c r="AO3695" s="313"/>
      <c r="AP3695" s="313"/>
      <c r="AQ3695" s="314"/>
      <c r="AR3695" s="315" t="str">
        <f t="shared" si="131"/>
        <v/>
      </c>
    </row>
    <row r="3696" spans="37:44" ht="30" hidden="1" customHeight="1">
      <c r="AK3696" s="313"/>
      <c r="AL3696" s="313"/>
      <c r="AM3696" s="313"/>
      <c r="AN3696" s="313"/>
      <c r="AO3696" s="313"/>
      <c r="AP3696" s="313"/>
      <c r="AQ3696" s="314"/>
      <c r="AR3696" s="315" t="str">
        <f t="shared" si="131"/>
        <v/>
      </c>
    </row>
    <row r="3697" spans="37:44" ht="30" hidden="1" customHeight="1">
      <c r="AK3697" s="313"/>
      <c r="AL3697" s="313"/>
      <c r="AM3697" s="313"/>
      <c r="AN3697" s="313"/>
      <c r="AO3697" s="313"/>
      <c r="AP3697" s="313"/>
      <c r="AQ3697" s="314"/>
      <c r="AR3697" s="315" t="str">
        <f t="shared" si="131"/>
        <v/>
      </c>
    </row>
    <row r="3698" spans="37:44" ht="30" hidden="1" customHeight="1">
      <c r="AK3698" s="313"/>
      <c r="AL3698" s="313"/>
      <c r="AM3698" s="313"/>
      <c r="AN3698" s="313"/>
      <c r="AO3698" s="313"/>
      <c r="AP3698" s="313"/>
      <c r="AQ3698" s="314"/>
      <c r="AR3698" s="315" t="str">
        <f t="shared" si="131"/>
        <v/>
      </c>
    </row>
    <row r="3699" spans="37:44" ht="30" hidden="1" customHeight="1">
      <c r="AK3699" s="313"/>
      <c r="AL3699" s="313"/>
      <c r="AM3699" s="313"/>
      <c r="AN3699" s="313"/>
      <c r="AO3699" s="313"/>
      <c r="AP3699" s="313"/>
      <c r="AQ3699" s="314"/>
      <c r="AR3699" s="315" t="str">
        <f t="shared" si="131"/>
        <v/>
      </c>
    </row>
    <row r="3700" spans="37:44" ht="30" hidden="1" customHeight="1">
      <c r="AK3700" s="313"/>
      <c r="AL3700" s="313"/>
      <c r="AM3700" s="313"/>
      <c r="AN3700" s="313"/>
      <c r="AO3700" s="313"/>
      <c r="AP3700" s="313"/>
      <c r="AQ3700" s="314"/>
      <c r="AR3700" s="315" t="str">
        <f t="shared" si="131"/>
        <v/>
      </c>
    </row>
    <row r="3701" spans="37:44" ht="30" hidden="1" customHeight="1">
      <c r="AK3701" s="313"/>
      <c r="AL3701" s="313"/>
      <c r="AM3701" s="313"/>
      <c r="AN3701" s="313"/>
      <c r="AO3701" s="313"/>
      <c r="AP3701" s="313"/>
      <c r="AQ3701" s="314"/>
      <c r="AR3701" s="315" t="str">
        <f t="shared" si="131"/>
        <v/>
      </c>
    </row>
    <row r="3702" spans="37:44" ht="30" hidden="1" customHeight="1">
      <c r="AK3702" s="313"/>
      <c r="AL3702" s="313"/>
      <c r="AM3702" s="313"/>
      <c r="AN3702" s="313"/>
      <c r="AO3702" s="313"/>
      <c r="AP3702" s="313"/>
      <c r="AQ3702" s="314"/>
      <c r="AR3702" s="315" t="str">
        <f t="shared" si="131"/>
        <v/>
      </c>
    </row>
    <row r="3703" spans="37:44" ht="30" hidden="1" customHeight="1">
      <c r="AK3703" s="313"/>
      <c r="AL3703" s="313"/>
      <c r="AM3703" s="313"/>
      <c r="AN3703" s="313"/>
      <c r="AO3703" s="313"/>
      <c r="AP3703" s="313"/>
      <c r="AQ3703" s="314"/>
      <c r="AR3703" s="315" t="str">
        <f t="shared" si="131"/>
        <v/>
      </c>
    </row>
    <row r="3704" spans="37:44" ht="30" hidden="1" customHeight="1">
      <c r="AK3704" s="313"/>
      <c r="AL3704" s="313"/>
      <c r="AM3704" s="313"/>
      <c r="AN3704" s="313"/>
      <c r="AO3704" s="313"/>
      <c r="AP3704" s="313"/>
      <c r="AQ3704" s="314"/>
      <c r="AR3704" s="315" t="str">
        <f t="shared" si="131"/>
        <v/>
      </c>
    </row>
    <row r="3705" spans="37:44" ht="30" hidden="1" customHeight="1">
      <c r="AK3705" s="313"/>
      <c r="AL3705" s="313"/>
      <c r="AM3705" s="313"/>
      <c r="AN3705" s="313"/>
      <c r="AO3705" s="313"/>
      <c r="AP3705" s="313"/>
      <c r="AQ3705" s="314"/>
      <c r="AR3705" s="315" t="str">
        <f t="shared" si="131"/>
        <v/>
      </c>
    </row>
    <row r="3706" spans="37:44" ht="30" hidden="1" customHeight="1">
      <c r="AK3706" s="313"/>
      <c r="AL3706" s="313"/>
      <c r="AM3706" s="313"/>
      <c r="AN3706" s="313"/>
      <c r="AO3706" s="313"/>
      <c r="AP3706" s="313"/>
      <c r="AQ3706" s="314"/>
      <c r="AR3706" s="315" t="str">
        <f t="shared" si="131"/>
        <v/>
      </c>
    </row>
    <row r="3707" spans="37:44" ht="30" hidden="1" customHeight="1">
      <c r="AK3707" s="313"/>
      <c r="AL3707" s="313"/>
      <c r="AM3707" s="313"/>
      <c r="AN3707" s="313"/>
      <c r="AO3707" s="313"/>
      <c r="AP3707" s="313"/>
      <c r="AQ3707" s="314"/>
      <c r="AR3707" s="315" t="str">
        <f t="shared" si="131"/>
        <v/>
      </c>
    </row>
    <row r="3708" spans="37:44" ht="30" hidden="1" customHeight="1">
      <c r="AK3708" s="313"/>
      <c r="AL3708" s="313"/>
      <c r="AM3708" s="313"/>
      <c r="AN3708" s="313"/>
      <c r="AO3708" s="313"/>
      <c r="AP3708" s="313"/>
      <c r="AQ3708" s="314"/>
      <c r="AR3708" s="315" t="str">
        <f t="shared" si="131"/>
        <v/>
      </c>
    </row>
    <row r="3709" spans="37:44" ht="30" hidden="1" customHeight="1">
      <c r="AK3709" s="313"/>
      <c r="AL3709" s="313"/>
      <c r="AM3709" s="313"/>
      <c r="AN3709" s="313"/>
      <c r="AO3709" s="313"/>
      <c r="AP3709" s="313"/>
      <c r="AQ3709" s="314"/>
      <c r="AR3709" s="315" t="str">
        <f t="shared" si="131"/>
        <v/>
      </c>
    </row>
    <row r="3710" spans="37:44" ht="30" hidden="1" customHeight="1">
      <c r="AK3710" s="313"/>
      <c r="AL3710" s="313"/>
      <c r="AM3710" s="313"/>
      <c r="AN3710" s="313"/>
      <c r="AO3710" s="313"/>
      <c r="AP3710" s="313"/>
      <c r="AQ3710" s="314"/>
      <c r="AR3710" s="315" t="str">
        <f t="shared" si="131"/>
        <v/>
      </c>
    </row>
    <row r="3711" spans="37:44" ht="30" hidden="1" customHeight="1">
      <c r="AK3711" s="313"/>
      <c r="AL3711" s="313"/>
      <c r="AM3711" s="313"/>
      <c r="AN3711" s="313"/>
      <c r="AO3711" s="313"/>
      <c r="AP3711" s="313"/>
      <c r="AQ3711" s="314"/>
      <c r="AR3711" s="315" t="str">
        <f t="shared" ref="AR3711:AR3774" si="132">IF(AQ3711="SIM","AGUARDANDO CORREÇÃO",IF(AP3711&lt;&gt;"","FINALIZADO",IF(AO3711&lt;&gt;"","AGUARDANDO ENVIO DTS",IF(AN3711&lt;&gt;"","AGUARDANDO ASSINATURA GAB",IF(AM3711&lt;&gt;"","AGUARDANDO ASSINATURA CTS",IF(AL3711&lt;&gt;"","AGUARDANDO ENVIO ASSINATURA CTS",IF(AK3711&lt;&gt;"","AGUARDANDO CONFERÊNCIA","")))))))</f>
        <v/>
      </c>
    </row>
    <row r="3712" spans="37:44" ht="30" hidden="1" customHeight="1">
      <c r="AK3712" s="313"/>
      <c r="AL3712" s="313"/>
      <c r="AM3712" s="313"/>
      <c r="AN3712" s="313"/>
      <c r="AO3712" s="313"/>
      <c r="AP3712" s="313"/>
      <c r="AQ3712" s="314"/>
      <c r="AR3712" s="315" t="str">
        <f t="shared" si="132"/>
        <v/>
      </c>
    </row>
    <row r="3713" spans="37:44" ht="30" hidden="1" customHeight="1">
      <c r="AK3713" s="313"/>
      <c r="AL3713" s="313"/>
      <c r="AM3713" s="313"/>
      <c r="AN3713" s="313"/>
      <c r="AO3713" s="313"/>
      <c r="AP3713" s="313"/>
      <c r="AQ3713" s="314"/>
      <c r="AR3713" s="315" t="str">
        <f t="shared" si="132"/>
        <v/>
      </c>
    </row>
    <row r="3714" spans="37:44" ht="30" hidden="1" customHeight="1">
      <c r="AK3714" s="313"/>
      <c r="AL3714" s="313"/>
      <c r="AM3714" s="313"/>
      <c r="AN3714" s="313"/>
      <c r="AO3714" s="313"/>
      <c r="AP3714" s="313"/>
      <c r="AQ3714" s="314"/>
      <c r="AR3714" s="315" t="str">
        <f t="shared" si="132"/>
        <v/>
      </c>
    </row>
    <row r="3715" spans="37:44" ht="30" hidden="1" customHeight="1">
      <c r="AK3715" s="313"/>
      <c r="AL3715" s="313"/>
      <c r="AM3715" s="313"/>
      <c r="AN3715" s="313"/>
      <c r="AO3715" s="313"/>
      <c r="AP3715" s="313"/>
      <c r="AQ3715" s="314"/>
      <c r="AR3715" s="315" t="str">
        <f t="shared" si="132"/>
        <v/>
      </c>
    </row>
    <row r="3716" spans="37:44" ht="30" hidden="1" customHeight="1">
      <c r="AK3716" s="313"/>
      <c r="AL3716" s="313"/>
      <c r="AM3716" s="313"/>
      <c r="AN3716" s="313"/>
      <c r="AO3716" s="313"/>
      <c r="AP3716" s="313"/>
      <c r="AQ3716" s="314"/>
      <c r="AR3716" s="315" t="str">
        <f t="shared" si="132"/>
        <v/>
      </c>
    </row>
    <row r="3717" spans="37:44" ht="30" hidden="1" customHeight="1">
      <c r="AK3717" s="313"/>
      <c r="AL3717" s="313"/>
      <c r="AM3717" s="313"/>
      <c r="AN3717" s="313"/>
      <c r="AO3717" s="313"/>
      <c r="AP3717" s="313"/>
      <c r="AQ3717" s="314"/>
      <c r="AR3717" s="315" t="str">
        <f t="shared" si="132"/>
        <v/>
      </c>
    </row>
    <row r="3718" spans="37:44" ht="30" hidden="1" customHeight="1">
      <c r="AK3718" s="313"/>
      <c r="AL3718" s="313"/>
      <c r="AM3718" s="313"/>
      <c r="AN3718" s="313"/>
      <c r="AO3718" s="313"/>
      <c r="AP3718" s="313"/>
      <c r="AQ3718" s="314"/>
      <c r="AR3718" s="315" t="str">
        <f t="shared" si="132"/>
        <v/>
      </c>
    </row>
    <row r="3719" spans="37:44" ht="30" hidden="1" customHeight="1">
      <c r="AK3719" s="313"/>
      <c r="AL3719" s="313"/>
      <c r="AM3719" s="313"/>
      <c r="AN3719" s="313"/>
      <c r="AO3719" s="313"/>
      <c r="AP3719" s="313"/>
      <c r="AQ3719" s="314"/>
      <c r="AR3719" s="315" t="str">
        <f t="shared" si="132"/>
        <v/>
      </c>
    </row>
    <row r="3720" spans="37:44" ht="30" hidden="1" customHeight="1">
      <c r="AK3720" s="313"/>
      <c r="AL3720" s="313"/>
      <c r="AM3720" s="313"/>
      <c r="AN3720" s="313"/>
      <c r="AO3720" s="313"/>
      <c r="AP3720" s="313"/>
      <c r="AQ3720" s="314"/>
      <c r="AR3720" s="315" t="str">
        <f t="shared" si="132"/>
        <v/>
      </c>
    </row>
    <row r="3721" spans="37:44" ht="30" hidden="1" customHeight="1">
      <c r="AK3721" s="313"/>
      <c r="AL3721" s="313"/>
      <c r="AM3721" s="313"/>
      <c r="AN3721" s="313"/>
      <c r="AO3721" s="313"/>
      <c r="AP3721" s="313"/>
      <c r="AQ3721" s="314"/>
      <c r="AR3721" s="315" t="str">
        <f t="shared" si="132"/>
        <v/>
      </c>
    </row>
    <row r="3722" spans="37:44" ht="30" hidden="1" customHeight="1">
      <c r="AK3722" s="313"/>
      <c r="AL3722" s="313"/>
      <c r="AM3722" s="313"/>
      <c r="AN3722" s="313"/>
      <c r="AO3722" s="313"/>
      <c r="AP3722" s="313"/>
      <c r="AQ3722" s="314"/>
      <c r="AR3722" s="315" t="str">
        <f t="shared" si="132"/>
        <v/>
      </c>
    </row>
    <row r="3723" spans="37:44" ht="30" hidden="1" customHeight="1">
      <c r="AK3723" s="313"/>
      <c r="AL3723" s="313"/>
      <c r="AM3723" s="313"/>
      <c r="AN3723" s="313"/>
      <c r="AO3723" s="313"/>
      <c r="AP3723" s="313"/>
      <c r="AQ3723" s="314"/>
      <c r="AR3723" s="315" t="str">
        <f t="shared" si="132"/>
        <v/>
      </c>
    </row>
    <row r="3724" spans="37:44" ht="30" hidden="1" customHeight="1">
      <c r="AK3724" s="313"/>
      <c r="AL3724" s="313"/>
      <c r="AM3724" s="313"/>
      <c r="AN3724" s="313"/>
      <c r="AO3724" s="313"/>
      <c r="AP3724" s="313"/>
      <c r="AQ3724" s="314"/>
      <c r="AR3724" s="315" t="str">
        <f t="shared" si="132"/>
        <v/>
      </c>
    </row>
    <row r="3725" spans="37:44" ht="30" hidden="1" customHeight="1">
      <c r="AK3725" s="313"/>
      <c r="AL3725" s="313"/>
      <c r="AM3725" s="313"/>
      <c r="AN3725" s="313"/>
      <c r="AO3725" s="313"/>
      <c r="AP3725" s="313"/>
      <c r="AQ3725" s="314"/>
      <c r="AR3725" s="315" t="str">
        <f t="shared" si="132"/>
        <v/>
      </c>
    </row>
    <row r="3726" spans="37:44" ht="30" hidden="1" customHeight="1">
      <c r="AK3726" s="313"/>
      <c r="AL3726" s="313"/>
      <c r="AM3726" s="313"/>
      <c r="AN3726" s="313"/>
      <c r="AO3726" s="313"/>
      <c r="AP3726" s="313"/>
      <c r="AQ3726" s="314"/>
      <c r="AR3726" s="315" t="str">
        <f t="shared" si="132"/>
        <v/>
      </c>
    </row>
    <row r="3727" spans="37:44" ht="30" hidden="1" customHeight="1">
      <c r="AK3727" s="313"/>
      <c r="AL3727" s="313"/>
      <c r="AM3727" s="313"/>
      <c r="AN3727" s="313"/>
      <c r="AO3727" s="313"/>
      <c r="AP3727" s="313"/>
      <c r="AQ3727" s="314"/>
      <c r="AR3727" s="315" t="str">
        <f t="shared" si="132"/>
        <v/>
      </c>
    </row>
    <row r="3728" spans="37:44" ht="30" hidden="1" customHeight="1">
      <c r="AK3728" s="313"/>
      <c r="AL3728" s="313"/>
      <c r="AM3728" s="313"/>
      <c r="AN3728" s="313"/>
      <c r="AO3728" s="313"/>
      <c r="AP3728" s="313"/>
      <c r="AQ3728" s="314"/>
      <c r="AR3728" s="315" t="str">
        <f t="shared" si="132"/>
        <v/>
      </c>
    </row>
    <row r="3729" spans="37:44" ht="30" hidden="1" customHeight="1">
      <c r="AK3729" s="313"/>
      <c r="AL3729" s="313"/>
      <c r="AM3729" s="313"/>
      <c r="AN3729" s="313"/>
      <c r="AO3729" s="313"/>
      <c r="AP3729" s="313"/>
      <c r="AQ3729" s="314"/>
      <c r="AR3729" s="315" t="str">
        <f t="shared" si="132"/>
        <v/>
      </c>
    </row>
    <row r="3730" spans="37:44" ht="30" hidden="1" customHeight="1">
      <c r="AK3730" s="313"/>
      <c r="AL3730" s="313"/>
      <c r="AM3730" s="313"/>
      <c r="AN3730" s="313"/>
      <c r="AO3730" s="313"/>
      <c r="AP3730" s="313"/>
      <c r="AQ3730" s="314"/>
      <c r="AR3730" s="315" t="str">
        <f t="shared" si="132"/>
        <v/>
      </c>
    </row>
    <row r="3731" spans="37:44" ht="30" hidden="1" customHeight="1">
      <c r="AK3731" s="313"/>
      <c r="AL3731" s="313"/>
      <c r="AM3731" s="313"/>
      <c r="AN3731" s="313"/>
      <c r="AO3731" s="313"/>
      <c r="AP3731" s="313"/>
      <c r="AQ3731" s="314"/>
      <c r="AR3731" s="315" t="str">
        <f t="shared" si="132"/>
        <v/>
      </c>
    </row>
    <row r="3732" spans="37:44" ht="30" hidden="1" customHeight="1">
      <c r="AK3732" s="313"/>
      <c r="AL3732" s="313"/>
      <c r="AM3732" s="313"/>
      <c r="AN3732" s="313"/>
      <c r="AO3732" s="313"/>
      <c r="AP3732" s="313"/>
      <c r="AQ3732" s="314"/>
      <c r="AR3732" s="315" t="str">
        <f t="shared" si="132"/>
        <v/>
      </c>
    </row>
    <row r="3733" spans="37:44" ht="30" hidden="1" customHeight="1">
      <c r="AK3733" s="313"/>
      <c r="AL3733" s="313"/>
      <c r="AM3733" s="313"/>
      <c r="AN3733" s="313"/>
      <c r="AO3733" s="313"/>
      <c r="AP3733" s="313"/>
      <c r="AQ3733" s="314"/>
      <c r="AR3733" s="315" t="str">
        <f t="shared" si="132"/>
        <v/>
      </c>
    </row>
    <row r="3734" spans="37:44" ht="30" hidden="1" customHeight="1">
      <c r="AK3734" s="313"/>
      <c r="AL3734" s="313"/>
      <c r="AM3734" s="313"/>
      <c r="AN3734" s="313"/>
      <c r="AO3734" s="313"/>
      <c r="AP3734" s="313"/>
      <c r="AQ3734" s="314"/>
      <c r="AR3734" s="315" t="str">
        <f t="shared" si="132"/>
        <v/>
      </c>
    </row>
    <row r="3735" spans="37:44" ht="30" hidden="1" customHeight="1">
      <c r="AK3735" s="313"/>
      <c r="AL3735" s="313"/>
      <c r="AM3735" s="313"/>
      <c r="AN3735" s="313"/>
      <c r="AO3735" s="313"/>
      <c r="AP3735" s="313"/>
      <c r="AQ3735" s="314"/>
      <c r="AR3735" s="315" t="str">
        <f t="shared" si="132"/>
        <v/>
      </c>
    </row>
    <row r="3736" spans="37:44" ht="30" hidden="1" customHeight="1">
      <c r="AK3736" s="313"/>
      <c r="AL3736" s="313"/>
      <c r="AM3736" s="313"/>
      <c r="AN3736" s="313"/>
      <c r="AO3736" s="313"/>
      <c r="AP3736" s="313"/>
      <c r="AQ3736" s="314"/>
      <c r="AR3736" s="315" t="str">
        <f t="shared" si="132"/>
        <v/>
      </c>
    </row>
    <row r="3737" spans="37:44" ht="30" hidden="1" customHeight="1">
      <c r="AK3737" s="313"/>
      <c r="AL3737" s="313"/>
      <c r="AM3737" s="313"/>
      <c r="AN3737" s="313"/>
      <c r="AO3737" s="313"/>
      <c r="AP3737" s="313"/>
      <c r="AQ3737" s="314"/>
      <c r="AR3737" s="315" t="str">
        <f t="shared" si="132"/>
        <v/>
      </c>
    </row>
    <row r="3738" spans="37:44" ht="30" hidden="1" customHeight="1">
      <c r="AK3738" s="313"/>
      <c r="AL3738" s="313"/>
      <c r="AM3738" s="313"/>
      <c r="AN3738" s="313"/>
      <c r="AO3738" s="313"/>
      <c r="AP3738" s="313"/>
      <c r="AQ3738" s="314"/>
      <c r="AR3738" s="315" t="str">
        <f t="shared" si="132"/>
        <v/>
      </c>
    </row>
    <row r="3739" spans="37:44" ht="30" hidden="1" customHeight="1">
      <c r="AK3739" s="313"/>
      <c r="AL3739" s="313"/>
      <c r="AM3739" s="313"/>
      <c r="AN3739" s="313"/>
      <c r="AO3739" s="313"/>
      <c r="AP3739" s="313"/>
      <c r="AQ3739" s="314"/>
      <c r="AR3739" s="315" t="str">
        <f t="shared" si="132"/>
        <v/>
      </c>
    </row>
    <row r="3740" spans="37:44" ht="30" hidden="1" customHeight="1">
      <c r="AK3740" s="313"/>
      <c r="AL3740" s="313"/>
      <c r="AM3740" s="313"/>
      <c r="AN3740" s="313"/>
      <c r="AO3740" s="313"/>
      <c r="AP3740" s="313"/>
      <c r="AQ3740" s="314"/>
      <c r="AR3740" s="315" t="str">
        <f t="shared" si="132"/>
        <v/>
      </c>
    </row>
    <row r="3741" spans="37:44" ht="30" hidden="1" customHeight="1">
      <c r="AK3741" s="313"/>
      <c r="AL3741" s="313"/>
      <c r="AM3741" s="313"/>
      <c r="AN3741" s="313"/>
      <c r="AO3741" s="313"/>
      <c r="AP3741" s="313"/>
      <c r="AQ3741" s="314"/>
      <c r="AR3741" s="315" t="str">
        <f t="shared" si="132"/>
        <v/>
      </c>
    </row>
    <row r="3742" spans="37:44" ht="30" hidden="1" customHeight="1">
      <c r="AK3742" s="313"/>
      <c r="AL3742" s="313"/>
      <c r="AM3742" s="313"/>
      <c r="AN3742" s="313"/>
      <c r="AO3742" s="313"/>
      <c r="AP3742" s="313"/>
      <c r="AQ3742" s="314"/>
      <c r="AR3742" s="315" t="str">
        <f t="shared" si="132"/>
        <v/>
      </c>
    </row>
    <row r="3743" spans="37:44" ht="30" hidden="1" customHeight="1">
      <c r="AK3743" s="313"/>
      <c r="AL3743" s="313"/>
      <c r="AM3743" s="313"/>
      <c r="AN3743" s="313"/>
      <c r="AO3743" s="313"/>
      <c r="AP3743" s="313"/>
      <c r="AQ3743" s="314"/>
      <c r="AR3743" s="315" t="str">
        <f t="shared" si="132"/>
        <v/>
      </c>
    </row>
    <row r="3744" spans="37:44" ht="30" hidden="1" customHeight="1">
      <c r="AK3744" s="313"/>
      <c r="AL3744" s="313"/>
      <c r="AM3744" s="313"/>
      <c r="AN3744" s="313"/>
      <c r="AO3744" s="313"/>
      <c r="AP3744" s="313"/>
      <c r="AQ3744" s="314"/>
      <c r="AR3744" s="315" t="str">
        <f t="shared" si="132"/>
        <v/>
      </c>
    </row>
    <row r="3745" spans="37:44" ht="30" hidden="1" customHeight="1">
      <c r="AK3745" s="313"/>
      <c r="AL3745" s="313"/>
      <c r="AM3745" s="313"/>
      <c r="AN3745" s="313"/>
      <c r="AO3745" s="313"/>
      <c r="AP3745" s="313"/>
      <c r="AQ3745" s="314"/>
      <c r="AR3745" s="315" t="str">
        <f t="shared" si="132"/>
        <v/>
      </c>
    </row>
    <row r="3746" spans="37:44" ht="30" hidden="1" customHeight="1">
      <c r="AK3746" s="313"/>
      <c r="AL3746" s="313"/>
      <c r="AM3746" s="313"/>
      <c r="AN3746" s="313"/>
      <c r="AO3746" s="313"/>
      <c r="AP3746" s="313"/>
      <c r="AQ3746" s="314"/>
      <c r="AR3746" s="315" t="str">
        <f t="shared" si="132"/>
        <v/>
      </c>
    </row>
    <row r="3747" spans="37:44" ht="30" hidden="1" customHeight="1">
      <c r="AK3747" s="313"/>
      <c r="AL3747" s="313"/>
      <c r="AM3747" s="313"/>
      <c r="AN3747" s="313"/>
      <c r="AO3747" s="313"/>
      <c r="AP3747" s="313"/>
      <c r="AQ3747" s="314"/>
      <c r="AR3747" s="315" t="str">
        <f t="shared" si="132"/>
        <v/>
      </c>
    </row>
    <row r="3748" spans="37:44" ht="30" hidden="1" customHeight="1">
      <c r="AK3748" s="313"/>
      <c r="AL3748" s="313"/>
      <c r="AM3748" s="313"/>
      <c r="AN3748" s="313"/>
      <c r="AO3748" s="313"/>
      <c r="AP3748" s="313"/>
      <c r="AQ3748" s="314"/>
      <c r="AR3748" s="315" t="str">
        <f t="shared" si="132"/>
        <v/>
      </c>
    </row>
    <row r="3749" spans="37:44" ht="30" hidden="1" customHeight="1">
      <c r="AK3749" s="313"/>
      <c r="AL3749" s="313"/>
      <c r="AM3749" s="313"/>
      <c r="AN3749" s="313"/>
      <c r="AO3749" s="313"/>
      <c r="AP3749" s="313"/>
      <c r="AQ3749" s="314"/>
      <c r="AR3749" s="315" t="str">
        <f t="shared" si="132"/>
        <v/>
      </c>
    </row>
    <row r="3750" spans="37:44" ht="30" hidden="1" customHeight="1">
      <c r="AK3750" s="313"/>
      <c r="AL3750" s="313"/>
      <c r="AM3750" s="313"/>
      <c r="AN3750" s="313"/>
      <c r="AO3750" s="313"/>
      <c r="AP3750" s="313"/>
      <c r="AQ3750" s="314"/>
      <c r="AR3750" s="315" t="str">
        <f t="shared" si="132"/>
        <v/>
      </c>
    </row>
    <row r="3751" spans="37:44" ht="30" hidden="1" customHeight="1">
      <c r="AK3751" s="313"/>
      <c r="AL3751" s="313"/>
      <c r="AM3751" s="313"/>
      <c r="AN3751" s="313"/>
      <c r="AO3751" s="313"/>
      <c r="AP3751" s="313"/>
      <c r="AQ3751" s="314"/>
      <c r="AR3751" s="315" t="str">
        <f t="shared" si="132"/>
        <v/>
      </c>
    </row>
    <row r="3752" spans="37:44" ht="30" hidden="1" customHeight="1">
      <c r="AK3752" s="313"/>
      <c r="AL3752" s="313"/>
      <c r="AM3752" s="313"/>
      <c r="AN3752" s="313"/>
      <c r="AO3752" s="313"/>
      <c r="AP3752" s="313"/>
      <c r="AQ3752" s="314"/>
      <c r="AR3752" s="315" t="str">
        <f t="shared" si="132"/>
        <v/>
      </c>
    </row>
    <row r="3753" spans="37:44" ht="30" hidden="1" customHeight="1">
      <c r="AK3753" s="313"/>
      <c r="AL3753" s="313"/>
      <c r="AM3753" s="313"/>
      <c r="AN3753" s="313"/>
      <c r="AO3753" s="313"/>
      <c r="AP3753" s="313"/>
      <c r="AQ3753" s="314"/>
      <c r="AR3753" s="315" t="str">
        <f t="shared" si="132"/>
        <v/>
      </c>
    </row>
    <row r="3754" spans="37:44" ht="30" hidden="1" customHeight="1">
      <c r="AK3754" s="313"/>
      <c r="AL3754" s="313"/>
      <c r="AM3754" s="313"/>
      <c r="AN3754" s="313"/>
      <c r="AO3754" s="313"/>
      <c r="AP3754" s="313"/>
      <c r="AQ3754" s="314"/>
      <c r="AR3754" s="315" t="str">
        <f t="shared" si="132"/>
        <v/>
      </c>
    </row>
    <row r="3755" spans="37:44" ht="30" hidden="1" customHeight="1">
      <c r="AK3755" s="313"/>
      <c r="AL3755" s="313"/>
      <c r="AM3755" s="313"/>
      <c r="AN3755" s="313"/>
      <c r="AO3755" s="313"/>
      <c r="AP3755" s="313"/>
      <c r="AQ3755" s="314"/>
      <c r="AR3755" s="315" t="str">
        <f t="shared" si="132"/>
        <v/>
      </c>
    </row>
    <row r="3756" spans="37:44" ht="30" hidden="1" customHeight="1">
      <c r="AK3756" s="313"/>
      <c r="AL3756" s="313"/>
      <c r="AM3756" s="313"/>
      <c r="AN3756" s="313"/>
      <c r="AO3756" s="313"/>
      <c r="AP3756" s="313"/>
      <c r="AQ3756" s="314"/>
      <c r="AR3756" s="315" t="str">
        <f t="shared" si="132"/>
        <v/>
      </c>
    </row>
    <row r="3757" spans="37:44" ht="30" hidden="1" customHeight="1">
      <c r="AK3757" s="313"/>
      <c r="AL3757" s="313"/>
      <c r="AM3757" s="313"/>
      <c r="AN3757" s="313"/>
      <c r="AO3757" s="313"/>
      <c r="AP3757" s="313"/>
      <c r="AQ3757" s="314"/>
      <c r="AR3757" s="315" t="str">
        <f t="shared" si="132"/>
        <v/>
      </c>
    </row>
    <row r="3758" spans="37:44" ht="30" hidden="1" customHeight="1">
      <c r="AK3758" s="313"/>
      <c r="AL3758" s="313"/>
      <c r="AM3758" s="313"/>
      <c r="AN3758" s="313"/>
      <c r="AO3758" s="313"/>
      <c r="AP3758" s="313"/>
      <c r="AQ3758" s="314"/>
      <c r="AR3758" s="315" t="str">
        <f t="shared" si="132"/>
        <v/>
      </c>
    </row>
    <row r="3759" spans="37:44" ht="30" hidden="1" customHeight="1">
      <c r="AK3759" s="313"/>
      <c r="AL3759" s="313"/>
      <c r="AM3759" s="313"/>
      <c r="AN3759" s="313"/>
      <c r="AO3759" s="313"/>
      <c r="AP3759" s="313"/>
      <c r="AQ3759" s="314"/>
      <c r="AR3759" s="315" t="str">
        <f t="shared" si="132"/>
        <v/>
      </c>
    </row>
    <row r="3760" spans="37:44" ht="30" hidden="1" customHeight="1">
      <c r="AK3760" s="313"/>
      <c r="AL3760" s="313"/>
      <c r="AM3760" s="313"/>
      <c r="AN3760" s="313"/>
      <c r="AO3760" s="313"/>
      <c r="AP3760" s="313"/>
      <c r="AQ3760" s="314"/>
      <c r="AR3760" s="315" t="str">
        <f t="shared" si="132"/>
        <v/>
      </c>
    </row>
    <row r="3761" spans="37:44" ht="30" hidden="1" customHeight="1">
      <c r="AK3761" s="313"/>
      <c r="AL3761" s="313"/>
      <c r="AM3761" s="313"/>
      <c r="AN3761" s="313"/>
      <c r="AO3761" s="313"/>
      <c r="AP3761" s="313"/>
      <c r="AQ3761" s="314"/>
      <c r="AR3761" s="315" t="str">
        <f t="shared" si="132"/>
        <v/>
      </c>
    </row>
    <row r="3762" spans="37:44" ht="30" hidden="1" customHeight="1">
      <c r="AK3762" s="313"/>
      <c r="AL3762" s="313"/>
      <c r="AM3762" s="313"/>
      <c r="AN3762" s="313"/>
      <c r="AO3762" s="313"/>
      <c r="AP3762" s="313"/>
      <c r="AQ3762" s="314"/>
      <c r="AR3762" s="315" t="str">
        <f t="shared" si="132"/>
        <v/>
      </c>
    </row>
    <row r="3763" spans="37:44" ht="30" hidden="1" customHeight="1">
      <c r="AK3763" s="313"/>
      <c r="AL3763" s="313"/>
      <c r="AM3763" s="313"/>
      <c r="AN3763" s="313"/>
      <c r="AO3763" s="313"/>
      <c r="AP3763" s="313"/>
      <c r="AQ3763" s="314"/>
      <c r="AR3763" s="315" t="str">
        <f t="shared" si="132"/>
        <v/>
      </c>
    </row>
    <row r="3764" spans="37:44" ht="30" hidden="1" customHeight="1">
      <c r="AK3764" s="313"/>
      <c r="AL3764" s="313"/>
      <c r="AM3764" s="313"/>
      <c r="AN3764" s="313"/>
      <c r="AO3764" s="313"/>
      <c r="AP3764" s="313"/>
      <c r="AQ3764" s="314"/>
      <c r="AR3764" s="315" t="str">
        <f t="shared" si="132"/>
        <v/>
      </c>
    </row>
    <row r="3765" spans="37:44" ht="30" hidden="1" customHeight="1">
      <c r="AK3765" s="313"/>
      <c r="AL3765" s="313"/>
      <c r="AM3765" s="313"/>
      <c r="AN3765" s="313"/>
      <c r="AO3765" s="313"/>
      <c r="AP3765" s="313"/>
      <c r="AQ3765" s="314"/>
      <c r="AR3765" s="315" t="str">
        <f t="shared" si="132"/>
        <v/>
      </c>
    </row>
    <row r="3766" spans="37:44" ht="30" hidden="1" customHeight="1">
      <c r="AK3766" s="313"/>
      <c r="AL3766" s="313"/>
      <c r="AM3766" s="313"/>
      <c r="AN3766" s="313"/>
      <c r="AO3766" s="313"/>
      <c r="AP3766" s="313"/>
      <c r="AQ3766" s="314"/>
      <c r="AR3766" s="315" t="str">
        <f t="shared" si="132"/>
        <v/>
      </c>
    </row>
    <row r="3767" spans="37:44" ht="30" hidden="1" customHeight="1">
      <c r="AK3767" s="313"/>
      <c r="AL3767" s="313"/>
      <c r="AM3767" s="313"/>
      <c r="AN3767" s="313"/>
      <c r="AO3767" s="313"/>
      <c r="AP3767" s="313"/>
      <c r="AQ3767" s="314"/>
      <c r="AR3767" s="315" t="str">
        <f t="shared" si="132"/>
        <v/>
      </c>
    </row>
    <row r="3768" spans="37:44" ht="30" hidden="1" customHeight="1">
      <c r="AK3768" s="313"/>
      <c r="AL3768" s="313"/>
      <c r="AM3768" s="313"/>
      <c r="AN3768" s="313"/>
      <c r="AO3768" s="313"/>
      <c r="AP3768" s="313"/>
      <c r="AQ3768" s="314"/>
      <c r="AR3768" s="315" t="str">
        <f t="shared" si="132"/>
        <v/>
      </c>
    </row>
    <row r="3769" spans="37:44" ht="30" hidden="1" customHeight="1">
      <c r="AK3769" s="313"/>
      <c r="AL3769" s="313"/>
      <c r="AM3769" s="313"/>
      <c r="AN3769" s="313"/>
      <c r="AO3769" s="313"/>
      <c r="AP3769" s="313"/>
      <c r="AQ3769" s="314"/>
      <c r="AR3769" s="315" t="str">
        <f t="shared" si="132"/>
        <v/>
      </c>
    </row>
    <row r="3770" spans="37:44" ht="30" hidden="1" customHeight="1">
      <c r="AK3770" s="313"/>
      <c r="AL3770" s="313"/>
      <c r="AM3770" s="313"/>
      <c r="AN3770" s="313"/>
      <c r="AO3770" s="313"/>
      <c r="AP3770" s="313"/>
      <c r="AQ3770" s="314"/>
      <c r="AR3770" s="315" t="str">
        <f t="shared" si="132"/>
        <v/>
      </c>
    </row>
    <row r="3771" spans="37:44" ht="30" hidden="1" customHeight="1">
      <c r="AK3771" s="313"/>
      <c r="AL3771" s="313"/>
      <c r="AM3771" s="313"/>
      <c r="AN3771" s="313"/>
      <c r="AO3771" s="313"/>
      <c r="AP3771" s="313"/>
      <c r="AQ3771" s="314"/>
      <c r="AR3771" s="315" t="str">
        <f t="shared" si="132"/>
        <v/>
      </c>
    </row>
    <row r="3772" spans="37:44" ht="30" hidden="1" customHeight="1">
      <c r="AK3772" s="313"/>
      <c r="AL3772" s="313"/>
      <c r="AM3772" s="313"/>
      <c r="AN3772" s="313"/>
      <c r="AO3772" s="313"/>
      <c r="AP3772" s="313"/>
      <c r="AQ3772" s="314"/>
      <c r="AR3772" s="315" t="str">
        <f t="shared" si="132"/>
        <v/>
      </c>
    </row>
    <row r="3773" spans="37:44" ht="30" hidden="1" customHeight="1">
      <c r="AK3773" s="313"/>
      <c r="AL3773" s="313"/>
      <c r="AM3773" s="313"/>
      <c r="AN3773" s="313"/>
      <c r="AO3773" s="313"/>
      <c r="AP3773" s="313"/>
      <c r="AQ3773" s="314"/>
      <c r="AR3773" s="315" t="str">
        <f t="shared" si="132"/>
        <v/>
      </c>
    </row>
    <row r="3774" spans="37:44" ht="30" hidden="1" customHeight="1">
      <c r="AK3774" s="313"/>
      <c r="AL3774" s="313"/>
      <c r="AM3774" s="313"/>
      <c r="AN3774" s="313"/>
      <c r="AO3774" s="313"/>
      <c r="AP3774" s="313"/>
      <c r="AQ3774" s="314"/>
      <c r="AR3774" s="315" t="str">
        <f t="shared" si="132"/>
        <v/>
      </c>
    </row>
    <row r="3775" spans="37:44" ht="30" hidden="1" customHeight="1">
      <c r="AK3775" s="313"/>
      <c r="AL3775" s="313"/>
      <c r="AM3775" s="313"/>
      <c r="AN3775" s="313"/>
      <c r="AO3775" s="313"/>
      <c r="AP3775" s="313"/>
      <c r="AQ3775" s="314"/>
      <c r="AR3775" s="315" t="str">
        <f t="shared" ref="AR3775:AR3838" si="133">IF(AQ3775="SIM","AGUARDANDO CORREÇÃO",IF(AP3775&lt;&gt;"","FINALIZADO",IF(AO3775&lt;&gt;"","AGUARDANDO ENVIO DTS",IF(AN3775&lt;&gt;"","AGUARDANDO ASSINATURA GAB",IF(AM3775&lt;&gt;"","AGUARDANDO ASSINATURA CTS",IF(AL3775&lt;&gt;"","AGUARDANDO ENVIO ASSINATURA CTS",IF(AK3775&lt;&gt;"","AGUARDANDO CONFERÊNCIA","")))))))</f>
        <v/>
      </c>
    </row>
    <row r="3776" spans="37:44" ht="30" hidden="1" customHeight="1">
      <c r="AK3776" s="313"/>
      <c r="AL3776" s="313"/>
      <c r="AM3776" s="313"/>
      <c r="AN3776" s="313"/>
      <c r="AO3776" s="313"/>
      <c r="AP3776" s="313"/>
      <c r="AQ3776" s="314"/>
      <c r="AR3776" s="315" t="str">
        <f t="shared" si="133"/>
        <v/>
      </c>
    </row>
    <row r="3777" spans="37:44" ht="30" hidden="1" customHeight="1">
      <c r="AK3777" s="313"/>
      <c r="AL3777" s="313"/>
      <c r="AM3777" s="313"/>
      <c r="AN3777" s="313"/>
      <c r="AO3777" s="313"/>
      <c r="AP3777" s="313"/>
      <c r="AQ3777" s="314"/>
      <c r="AR3777" s="315" t="str">
        <f t="shared" si="133"/>
        <v/>
      </c>
    </row>
    <row r="3778" spans="37:44" ht="30" hidden="1" customHeight="1">
      <c r="AK3778" s="313"/>
      <c r="AL3778" s="313"/>
      <c r="AM3778" s="313"/>
      <c r="AN3778" s="313"/>
      <c r="AO3778" s="313"/>
      <c r="AP3778" s="313"/>
      <c r="AQ3778" s="314"/>
      <c r="AR3778" s="315" t="str">
        <f t="shared" si="133"/>
        <v/>
      </c>
    </row>
    <row r="3779" spans="37:44" ht="30" hidden="1" customHeight="1">
      <c r="AK3779" s="313"/>
      <c r="AL3779" s="313"/>
      <c r="AM3779" s="313"/>
      <c r="AN3779" s="313"/>
      <c r="AO3779" s="313"/>
      <c r="AP3779" s="313"/>
      <c r="AQ3779" s="314"/>
      <c r="AR3779" s="315" t="str">
        <f t="shared" si="133"/>
        <v/>
      </c>
    </row>
    <row r="3780" spans="37:44" ht="30" hidden="1" customHeight="1">
      <c r="AK3780" s="313"/>
      <c r="AL3780" s="313"/>
      <c r="AM3780" s="313"/>
      <c r="AN3780" s="313"/>
      <c r="AO3780" s="313"/>
      <c r="AP3780" s="313"/>
      <c r="AQ3780" s="314"/>
      <c r="AR3780" s="315" t="str">
        <f t="shared" si="133"/>
        <v/>
      </c>
    </row>
    <row r="3781" spans="37:44" ht="30" hidden="1" customHeight="1">
      <c r="AK3781" s="313"/>
      <c r="AL3781" s="313"/>
      <c r="AM3781" s="313"/>
      <c r="AN3781" s="313"/>
      <c r="AO3781" s="313"/>
      <c r="AP3781" s="313"/>
      <c r="AQ3781" s="314"/>
      <c r="AR3781" s="315" t="str">
        <f t="shared" si="133"/>
        <v/>
      </c>
    </row>
    <row r="3782" spans="37:44" ht="30" hidden="1" customHeight="1">
      <c r="AK3782" s="313"/>
      <c r="AL3782" s="313"/>
      <c r="AM3782" s="313"/>
      <c r="AN3782" s="313"/>
      <c r="AO3782" s="313"/>
      <c r="AP3782" s="313"/>
      <c r="AQ3782" s="314"/>
      <c r="AR3782" s="315" t="str">
        <f t="shared" si="133"/>
        <v/>
      </c>
    </row>
    <row r="3783" spans="37:44" ht="30" hidden="1" customHeight="1">
      <c r="AK3783" s="313"/>
      <c r="AL3783" s="313"/>
      <c r="AM3783" s="313"/>
      <c r="AN3783" s="313"/>
      <c r="AO3783" s="313"/>
      <c r="AP3783" s="313"/>
      <c r="AQ3783" s="314"/>
      <c r="AR3783" s="315" t="str">
        <f t="shared" si="133"/>
        <v/>
      </c>
    </row>
    <row r="3784" spans="37:44" ht="30" hidden="1" customHeight="1">
      <c r="AK3784" s="313"/>
      <c r="AL3784" s="313"/>
      <c r="AM3784" s="313"/>
      <c r="AN3784" s="313"/>
      <c r="AO3784" s="313"/>
      <c r="AP3784" s="313"/>
      <c r="AQ3784" s="314"/>
      <c r="AR3784" s="315" t="str">
        <f t="shared" si="133"/>
        <v/>
      </c>
    </row>
    <row r="3785" spans="37:44" ht="30" hidden="1" customHeight="1">
      <c r="AK3785" s="313"/>
      <c r="AL3785" s="313"/>
      <c r="AM3785" s="313"/>
      <c r="AN3785" s="313"/>
      <c r="AO3785" s="313"/>
      <c r="AP3785" s="313"/>
      <c r="AQ3785" s="314"/>
      <c r="AR3785" s="315" t="str">
        <f t="shared" si="133"/>
        <v/>
      </c>
    </row>
    <row r="3786" spans="37:44" ht="30" hidden="1" customHeight="1">
      <c r="AK3786" s="313"/>
      <c r="AL3786" s="313"/>
      <c r="AM3786" s="313"/>
      <c r="AN3786" s="313"/>
      <c r="AO3786" s="313"/>
      <c r="AP3786" s="313"/>
      <c r="AQ3786" s="314"/>
      <c r="AR3786" s="315" t="str">
        <f t="shared" si="133"/>
        <v/>
      </c>
    </row>
    <row r="3787" spans="37:44" ht="30" hidden="1" customHeight="1">
      <c r="AK3787" s="313"/>
      <c r="AL3787" s="313"/>
      <c r="AM3787" s="313"/>
      <c r="AN3787" s="313"/>
      <c r="AO3787" s="313"/>
      <c r="AP3787" s="313"/>
      <c r="AQ3787" s="314"/>
      <c r="AR3787" s="315" t="str">
        <f t="shared" si="133"/>
        <v/>
      </c>
    </row>
    <row r="3788" spans="37:44" ht="30" hidden="1" customHeight="1">
      <c r="AK3788" s="313"/>
      <c r="AL3788" s="313"/>
      <c r="AM3788" s="313"/>
      <c r="AN3788" s="313"/>
      <c r="AO3788" s="313"/>
      <c r="AP3788" s="313"/>
      <c r="AQ3788" s="314"/>
      <c r="AR3788" s="315" t="str">
        <f t="shared" si="133"/>
        <v/>
      </c>
    </row>
    <row r="3789" spans="37:44" ht="30" hidden="1" customHeight="1">
      <c r="AK3789" s="313"/>
      <c r="AL3789" s="313"/>
      <c r="AM3789" s="313"/>
      <c r="AN3789" s="313"/>
      <c r="AO3789" s="313"/>
      <c r="AP3789" s="313"/>
      <c r="AQ3789" s="314"/>
      <c r="AR3789" s="315" t="str">
        <f t="shared" si="133"/>
        <v/>
      </c>
    </row>
    <row r="3790" spans="37:44" ht="30" hidden="1" customHeight="1">
      <c r="AK3790" s="313"/>
      <c r="AL3790" s="313"/>
      <c r="AM3790" s="313"/>
      <c r="AN3790" s="313"/>
      <c r="AO3790" s="313"/>
      <c r="AP3790" s="313"/>
      <c r="AQ3790" s="314"/>
      <c r="AR3790" s="315" t="str">
        <f t="shared" si="133"/>
        <v/>
      </c>
    </row>
    <row r="3791" spans="37:44" ht="30" hidden="1" customHeight="1">
      <c r="AK3791" s="313"/>
      <c r="AL3791" s="313"/>
      <c r="AM3791" s="313"/>
      <c r="AN3791" s="313"/>
      <c r="AO3791" s="313"/>
      <c r="AP3791" s="313"/>
      <c r="AQ3791" s="314"/>
      <c r="AR3791" s="315" t="str">
        <f t="shared" si="133"/>
        <v/>
      </c>
    </row>
    <row r="3792" spans="37:44" ht="30" hidden="1" customHeight="1">
      <c r="AK3792" s="313"/>
      <c r="AL3792" s="313"/>
      <c r="AM3792" s="313"/>
      <c r="AN3792" s="313"/>
      <c r="AO3792" s="313"/>
      <c r="AP3792" s="313"/>
      <c r="AQ3792" s="314"/>
      <c r="AR3792" s="315" t="str">
        <f t="shared" si="133"/>
        <v/>
      </c>
    </row>
    <row r="3793" spans="37:44" ht="30" hidden="1" customHeight="1">
      <c r="AK3793" s="313"/>
      <c r="AL3793" s="313"/>
      <c r="AM3793" s="313"/>
      <c r="AN3793" s="313"/>
      <c r="AO3793" s="313"/>
      <c r="AP3793" s="313"/>
      <c r="AQ3793" s="314"/>
      <c r="AR3793" s="315" t="str">
        <f t="shared" si="133"/>
        <v/>
      </c>
    </row>
    <row r="3794" spans="37:44" ht="30" hidden="1" customHeight="1">
      <c r="AK3794" s="313"/>
      <c r="AL3794" s="313"/>
      <c r="AM3794" s="313"/>
      <c r="AN3794" s="313"/>
      <c r="AO3794" s="313"/>
      <c r="AP3794" s="313"/>
      <c r="AQ3794" s="314"/>
      <c r="AR3794" s="315" t="str">
        <f t="shared" si="133"/>
        <v/>
      </c>
    </row>
    <row r="3795" spans="37:44" ht="30" hidden="1" customHeight="1">
      <c r="AK3795" s="313"/>
      <c r="AL3795" s="313"/>
      <c r="AM3795" s="313"/>
      <c r="AN3795" s="313"/>
      <c r="AO3795" s="313"/>
      <c r="AP3795" s="313"/>
      <c r="AQ3795" s="314"/>
      <c r="AR3795" s="315" t="str">
        <f t="shared" si="133"/>
        <v/>
      </c>
    </row>
    <row r="3796" spans="37:44" ht="30" hidden="1" customHeight="1">
      <c r="AK3796" s="313"/>
      <c r="AL3796" s="313"/>
      <c r="AM3796" s="313"/>
      <c r="AN3796" s="313"/>
      <c r="AO3796" s="313"/>
      <c r="AP3796" s="313"/>
      <c r="AQ3796" s="314"/>
      <c r="AR3796" s="315" t="str">
        <f t="shared" si="133"/>
        <v/>
      </c>
    </row>
    <row r="3797" spans="37:44" ht="30" hidden="1" customHeight="1">
      <c r="AK3797" s="313"/>
      <c r="AL3797" s="313"/>
      <c r="AM3797" s="313"/>
      <c r="AN3797" s="313"/>
      <c r="AO3797" s="313"/>
      <c r="AP3797" s="313"/>
      <c r="AQ3797" s="314"/>
      <c r="AR3797" s="315" t="str">
        <f t="shared" si="133"/>
        <v/>
      </c>
    </row>
    <row r="3798" spans="37:44" ht="30" hidden="1" customHeight="1">
      <c r="AK3798" s="313"/>
      <c r="AL3798" s="313"/>
      <c r="AM3798" s="313"/>
      <c r="AN3798" s="313"/>
      <c r="AO3798" s="313"/>
      <c r="AP3798" s="313"/>
      <c r="AQ3798" s="314"/>
      <c r="AR3798" s="315" t="str">
        <f t="shared" si="133"/>
        <v/>
      </c>
    </row>
    <row r="3799" spans="37:44" ht="30" hidden="1" customHeight="1">
      <c r="AK3799" s="313"/>
      <c r="AL3799" s="313"/>
      <c r="AM3799" s="313"/>
      <c r="AN3799" s="313"/>
      <c r="AO3799" s="313"/>
      <c r="AP3799" s="313"/>
      <c r="AQ3799" s="314"/>
      <c r="AR3799" s="315" t="str">
        <f t="shared" si="133"/>
        <v/>
      </c>
    </row>
    <row r="3800" spans="37:44" ht="30" hidden="1" customHeight="1">
      <c r="AK3800" s="313"/>
      <c r="AL3800" s="313"/>
      <c r="AM3800" s="313"/>
      <c r="AN3800" s="313"/>
      <c r="AO3800" s="313"/>
      <c r="AP3800" s="313"/>
      <c r="AQ3800" s="314"/>
      <c r="AR3800" s="315" t="str">
        <f t="shared" si="133"/>
        <v/>
      </c>
    </row>
    <row r="3801" spans="37:44" ht="30" hidden="1" customHeight="1">
      <c r="AK3801" s="313"/>
      <c r="AL3801" s="313"/>
      <c r="AM3801" s="313"/>
      <c r="AN3801" s="313"/>
      <c r="AO3801" s="313"/>
      <c r="AP3801" s="313"/>
      <c r="AQ3801" s="314"/>
      <c r="AR3801" s="315" t="str">
        <f t="shared" si="133"/>
        <v/>
      </c>
    </row>
    <row r="3802" spans="37:44" ht="30" hidden="1" customHeight="1">
      <c r="AK3802" s="313"/>
      <c r="AL3802" s="313"/>
      <c r="AM3802" s="313"/>
      <c r="AN3802" s="313"/>
      <c r="AO3802" s="313"/>
      <c r="AP3802" s="313"/>
      <c r="AQ3802" s="314"/>
      <c r="AR3802" s="315" t="str">
        <f t="shared" si="133"/>
        <v/>
      </c>
    </row>
    <row r="3803" spans="37:44" ht="30" hidden="1" customHeight="1">
      <c r="AK3803" s="313"/>
      <c r="AL3803" s="313"/>
      <c r="AM3803" s="313"/>
      <c r="AN3803" s="313"/>
      <c r="AO3803" s="313"/>
      <c r="AP3803" s="313"/>
      <c r="AQ3803" s="314"/>
      <c r="AR3803" s="315" t="str">
        <f t="shared" si="133"/>
        <v/>
      </c>
    </row>
    <row r="3804" spans="37:44" ht="30" hidden="1" customHeight="1">
      <c r="AK3804" s="313"/>
      <c r="AL3804" s="313"/>
      <c r="AM3804" s="313"/>
      <c r="AN3804" s="313"/>
      <c r="AO3804" s="313"/>
      <c r="AP3804" s="313"/>
      <c r="AQ3804" s="314"/>
      <c r="AR3804" s="315" t="str">
        <f t="shared" si="133"/>
        <v/>
      </c>
    </row>
    <row r="3805" spans="37:44" ht="30" hidden="1" customHeight="1">
      <c r="AK3805" s="313"/>
      <c r="AL3805" s="313"/>
      <c r="AM3805" s="313"/>
      <c r="AN3805" s="313"/>
      <c r="AO3805" s="313"/>
      <c r="AP3805" s="313"/>
      <c r="AQ3805" s="314"/>
      <c r="AR3805" s="315" t="str">
        <f t="shared" si="133"/>
        <v/>
      </c>
    </row>
    <row r="3806" spans="37:44" ht="30" hidden="1" customHeight="1">
      <c r="AK3806" s="313"/>
      <c r="AL3806" s="313"/>
      <c r="AM3806" s="313"/>
      <c r="AN3806" s="313"/>
      <c r="AO3806" s="313"/>
      <c r="AP3806" s="313"/>
      <c r="AQ3806" s="314"/>
      <c r="AR3806" s="315" t="str">
        <f t="shared" si="133"/>
        <v/>
      </c>
    </row>
    <row r="3807" spans="37:44" ht="30" hidden="1" customHeight="1">
      <c r="AK3807" s="313"/>
      <c r="AL3807" s="313"/>
      <c r="AM3807" s="313"/>
      <c r="AN3807" s="313"/>
      <c r="AO3807" s="313"/>
      <c r="AP3807" s="313"/>
      <c r="AQ3807" s="314"/>
      <c r="AR3807" s="315" t="str">
        <f t="shared" si="133"/>
        <v/>
      </c>
    </row>
    <row r="3808" spans="37:44" ht="30" hidden="1" customHeight="1">
      <c r="AK3808" s="313"/>
      <c r="AL3808" s="313"/>
      <c r="AM3808" s="313"/>
      <c r="AN3808" s="313"/>
      <c r="AO3808" s="313"/>
      <c r="AP3808" s="313"/>
      <c r="AQ3808" s="314"/>
      <c r="AR3808" s="315" t="str">
        <f t="shared" si="133"/>
        <v/>
      </c>
    </row>
    <row r="3809" spans="37:44" ht="30" hidden="1" customHeight="1">
      <c r="AK3809" s="313"/>
      <c r="AL3809" s="313"/>
      <c r="AM3809" s="313"/>
      <c r="AN3809" s="313"/>
      <c r="AO3809" s="313"/>
      <c r="AP3809" s="313"/>
      <c r="AQ3809" s="314"/>
      <c r="AR3809" s="315" t="str">
        <f t="shared" si="133"/>
        <v/>
      </c>
    </row>
    <row r="3810" spans="37:44" ht="30" hidden="1" customHeight="1">
      <c r="AK3810" s="313"/>
      <c r="AL3810" s="313"/>
      <c r="AM3810" s="313"/>
      <c r="AN3810" s="313"/>
      <c r="AO3810" s="313"/>
      <c r="AP3810" s="313"/>
      <c r="AQ3810" s="314"/>
      <c r="AR3810" s="315" t="str">
        <f t="shared" si="133"/>
        <v/>
      </c>
    </row>
    <row r="3811" spans="37:44" ht="30" hidden="1" customHeight="1">
      <c r="AK3811" s="313"/>
      <c r="AL3811" s="313"/>
      <c r="AM3811" s="313"/>
      <c r="AN3811" s="313"/>
      <c r="AO3811" s="313"/>
      <c r="AP3811" s="313"/>
      <c r="AQ3811" s="314"/>
      <c r="AR3811" s="315" t="str">
        <f t="shared" si="133"/>
        <v/>
      </c>
    </row>
    <row r="3812" spans="37:44" ht="30" hidden="1" customHeight="1">
      <c r="AK3812" s="313"/>
      <c r="AL3812" s="313"/>
      <c r="AM3812" s="313"/>
      <c r="AN3812" s="313"/>
      <c r="AO3812" s="313"/>
      <c r="AP3812" s="313"/>
      <c r="AQ3812" s="314"/>
      <c r="AR3812" s="315" t="str">
        <f t="shared" si="133"/>
        <v/>
      </c>
    </row>
    <row r="3813" spans="37:44" ht="30" hidden="1" customHeight="1">
      <c r="AK3813" s="313"/>
      <c r="AL3813" s="313"/>
      <c r="AM3813" s="313"/>
      <c r="AN3813" s="313"/>
      <c r="AO3813" s="313"/>
      <c r="AP3813" s="313"/>
      <c r="AQ3813" s="314"/>
      <c r="AR3813" s="315" t="str">
        <f t="shared" si="133"/>
        <v/>
      </c>
    </row>
    <row r="3814" spans="37:44" ht="30" hidden="1" customHeight="1">
      <c r="AK3814" s="313"/>
      <c r="AL3814" s="313"/>
      <c r="AM3814" s="313"/>
      <c r="AN3814" s="313"/>
      <c r="AO3814" s="313"/>
      <c r="AP3814" s="313"/>
      <c r="AQ3814" s="314"/>
      <c r="AR3814" s="315" t="str">
        <f t="shared" si="133"/>
        <v/>
      </c>
    </row>
    <row r="3815" spans="37:44" ht="30" hidden="1" customHeight="1">
      <c r="AK3815" s="313"/>
      <c r="AL3815" s="313"/>
      <c r="AM3815" s="313"/>
      <c r="AN3815" s="313"/>
      <c r="AO3815" s="313"/>
      <c r="AP3815" s="313"/>
      <c r="AQ3815" s="314"/>
      <c r="AR3815" s="315" t="str">
        <f t="shared" si="133"/>
        <v/>
      </c>
    </row>
    <row r="3816" spans="37:44" ht="30" hidden="1" customHeight="1">
      <c r="AK3816" s="313"/>
      <c r="AL3816" s="313"/>
      <c r="AM3816" s="313"/>
      <c r="AN3816" s="313"/>
      <c r="AO3816" s="313"/>
      <c r="AP3816" s="313"/>
      <c r="AQ3816" s="314"/>
      <c r="AR3816" s="315" t="str">
        <f t="shared" si="133"/>
        <v/>
      </c>
    </row>
    <row r="3817" spans="37:44" ht="30" hidden="1" customHeight="1">
      <c r="AK3817" s="313"/>
      <c r="AL3817" s="313"/>
      <c r="AM3817" s="313"/>
      <c r="AN3817" s="313"/>
      <c r="AO3817" s="313"/>
      <c r="AP3817" s="313"/>
      <c r="AQ3817" s="314"/>
      <c r="AR3817" s="315" t="str">
        <f t="shared" si="133"/>
        <v/>
      </c>
    </row>
    <row r="3818" spans="37:44" ht="30" hidden="1" customHeight="1">
      <c r="AK3818" s="313"/>
      <c r="AL3818" s="313"/>
      <c r="AM3818" s="313"/>
      <c r="AN3818" s="313"/>
      <c r="AO3818" s="313"/>
      <c r="AP3818" s="313"/>
      <c r="AQ3818" s="314"/>
      <c r="AR3818" s="315" t="str">
        <f t="shared" si="133"/>
        <v/>
      </c>
    </row>
    <row r="3819" spans="37:44" ht="30" hidden="1" customHeight="1">
      <c r="AK3819" s="313"/>
      <c r="AL3819" s="313"/>
      <c r="AM3819" s="313"/>
      <c r="AN3819" s="313"/>
      <c r="AO3819" s="313"/>
      <c r="AP3819" s="313"/>
      <c r="AQ3819" s="314"/>
      <c r="AR3819" s="315" t="str">
        <f t="shared" si="133"/>
        <v/>
      </c>
    </row>
    <row r="3820" spans="37:44" ht="30" hidden="1" customHeight="1">
      <c r="AK3820" s="313"/>
      <c r="AL3820" s="313"/>
      <c r="AM3820" s="313"/>
      <c r="AN3820" s="313"/>
      <c r="AO3820" s="313"/>
      <c r="AP3820" s="313"/>
      <c r="AQ3820" s="314"/>
      <c r="AR3820" s="315" t="str">
        <f t="shared" si="133"/>
        <v/>
      </c>
    </row>
    <row r="3821" spans="37:44" ht="30" hidden="1" customHeight="1">
      <c r="AK3821" s="313"/>
      <c r="AL3821" s="313"/>
      <c r="AM3821" s="313"/>
      <c r="AN3821" s="313"/>
      <c r="AO3821" s="313"/>
      <c r="AP3821" s="313"/>
      <c r="AQ3821" s="314"/>
      <c r="AR3821" s="315" t="str">
        <f t="shared" si="133"/>
        <v/>
      </c>
    </row>
    <row r="3822" spans="37:44" ht="30" hidden="1" customHeight="1">
      <c r="AK3822" s="313"/>
      <c r="AL3822" s="313"/>
      <c r="AM3822" s="313"/>
      <c r="AN3822" s="313"/>
      <c r="AO3822" s="313"/>
      <c r="AP3822" s="313"/>
      <c r="AQ3822" s="314"/>
      <c r="AR3822" s="315" t="str">
        <f t="shared" si="133"/>
        <v/>
      </c>
    </row>
    <row r="3823" spans="37:44" ht="30" hidden="1" customHeight="1">
      <c r="AK3823" s="313"/>
      <c r="AL3823" s="313"/>
      <c r="AM3823" s="313"/>
      <c r="AN3823" s="313"/>
      <c r="AO3823" s="313"/>
      <c r="AP3823" s="313"/>
      <c r="AQ3823" s="314"/>
      <c r="AR3823" s="315" t="str">
        <f t="shared" si="133"/>
        <v/>
      </c>
    </row>
    <row r="3824" spans="37:44" ht="30" hidden="1" customHeight="1">
      <c r="AK3824" s="313"/>
      <c r="AL3824" s="313"/>
      <c r="AM3824" s="313"/>
      <c r="AN3824" s="313"/>
      <c r="AO3824" s="313"/>
      <c r="AP3824" s="313"/>
      <c r="AQ3824" s="314"/>
      <c r="AR3824" s="315" t="str">
        <f t="shared" si="133"/>
        <v/>
      </c>
    </row>
    <row r="3825" spans="37:44" ht="30" hidden="1" customHeight="1">
      <c r="AK3825" s="313"/>
      <c r="AL3825" s="313"/>
      <c r="AM3825" s="313"/>
      <c r="AN3825" s="313"/>
      <c r="AO3825" s="313"/>
      <c r="AP3825" s="313"/>
      <c r="AQ3825" s="314"/>
      <c r="AR3825" s="315" t="str">
        <f t="shared" si="133"/>
        <v/>
      </c>
    </row>
    <row r="3826" spans="37:44" ht="30" hidden="1" customHeight="1">
      <c r="AK3826" s="313"/>
      <c r="AL3826" s="313"/>
      <c r="AM3826" s="313"/>
      <c r="AN3826" s="313"/>
      <c r="AO3826" s="313"/>
      <c r="AP3826" s="313"/>
      <c r="AQ3826" s="314"/>
      <c r="AR3826" s="315" t="str">
        <f t="shared" si="133"/>
        <v/>
      </c>
    </row>
    <row r="3827" spans="37:44" ht="30" hidden="1" customHeight="1">
      <c r="AK3827" s="313"/>
      <c r="AL3827" s="313"/>
      <c r="AM3827" s="313"/>
      <c r="AN3827" s="313"/>
      <c r="AO3827" s="313"/>
      <c r="AP3827" s="313"/>
      <c r="AQ3827" s="314"/>
      <c r="AR3827" s="315" t="str">
        <f t="shared" si="133"/>
        <v/>
      </c>
    </row>
    <row r="3828" spans="37:44" ht="30" hidden="1" customHeight="1">
      <c r="AK3828" s="313"/>
      <c r="AL3828" s="313"/>
      <c r="AM3828" s="313"/>
      <c r="AN3828" s="313"/>
      <c r="AO3828" s="313"/>
      <c r="AP3828" s="313"/>
      <c r="AQ3828" s="314"/>
      <c r="AR3828" s="315" t="str">
        <f t="shared" si="133"/>
        <v/>
      </c>
    </row>
    <row r="3829" spans="37:44" ht="30" hidden="1" customHeight="1">
      <c r="AK3829" s="313"/>
      <c r="AL3829" s="313"/>
      <c r="AM3829" s="313"/>
      <c r="AN3829" s="313"/>
      <c r="AO3829" s="313"/>
      <c r="AP3829" s="313"/>
      <c r="AQ3829" s="314"/>
      <c r="AR3829" s="315" t="str">
        <f t="shared" si="133"/>
        <v/>
      </c>
    </row>
    <row r="3830" spans="37:44" ht="30" hidden="1" customHeight="1">
      <c r="AK3830" s="313"/>
      <c r="AL3830" s="313"/>
      <c r="AM3830" s="313"/>
      <c r="AN3830" s="313"/>
      <c r="AO3830" s="313"/>
      <c r="AP3830" s="313"/>
      <c r="AQ3830" s="314"/>
      <c r="AR3830" s="315" t="str">
        <f t="shared" si="133"/>
        <v/>
      </c>
    </row>
    <row r="3831" spans="37:44" ht="30" hidden="1" customHeight="1">
      <c r="AK3831" s="313"/>
      <c r="AL3831" s="313"/>
      <c r="AM3831" s="313"/>
      <c r="AN3831" s="313"/>
      <c r="AO3831" s="313"/>
      <c r="AP3831" s="313"/>
      <c r="AQ3831" s="314"/>
      <c r="AR3831" s="315" t="str">
        <f t="shared" si="133"/>
        <v/>
      </c>
    </row>
    <row r="3832" spans="37:44" ht="30" hidden="1" customHeight="1">
      <c r="AK3832" s="313"/>
      <c r="AL3832" s="313"/>
      <c r="AM3832" s="313"/>
      <c r="AN3832" s="313"/>
      <c r="AO3832" s="313"/>
      <c r="AP3832" s="313"/>
      <c r="AQ3832" s="314"/>
      <c r="AR3832" s="315" t="str">
        <f t="shared" si="133"/>
        <v/>
      </c>
    </row>
    <row r="3833" spans="37:44" ht="30" hidden="1" customHeight="1">
      <c r="AK3833" s="313"/>
      <c r="AL3833" s="313"/>
      <c r="AM3833" s="313"/>
      <c r="AN3833" s="313"/>
      <c r="AO3833" s="313"/>
      <c r="AP3833" s="313"/>
      <c r="AQ3833" s="314"/>
      <c r="AR3833" s="315" t="str">
        <f t="shared" si="133"/>
        <v/>
      </c>
    </row>
    <row r="3834" spans="37:44" ht="30" hidden="1" customHeight="1">
      <c r="AK3834" s="313"/>
      <c r="AL3834" s="313"/>
      <c r="AM3834" s="313"/>
      <c r="AN3834" s="313"/>
      <c r="AO3834" s="313"/>
      <c r="AP3834" s="313"/>
      <c r="AQ3834" s="314"/>
      <c r="AR3834" s="315" t="str">
        <f t="shared" si="133"/>
        <v/>
      </c>
    </row>
    <row r="3835" spans="37:44" ht="30" hidden="1" customHeight="1">
      <c r="AK3835" s="313"/>
      <c r="AL3835" s="313"/>
      <c r="AM3835" s="313"/>
      <c r="AN3835" s="313"/>
      <c r="AO3835" s="313"/>
      <c r="AP3835" s="313"/>
      <c r="AQ3835" s="314"/>
      <c r="AR3835" s="315" t="str">
        <f t="shared" si="133"/>
        <v/>
      </c>
    </row>
    <row r="3836" spans="37:44" ht="30" hidden="1" customHeight="1">
      <c r="AK3836" s="313"/>
      <c r="AL3836" s="313"/>
      <c r="AM3836" s="313"/>
      <c r="AN3836" s="313"/>
      <c r="AO3836" s="313"/>
      <c r="AP3836" s="313"/>
      <c r="AQ3836" s="314"/>
      <c r="AR3836" s="315" t="str">
        <f t="shared" si="133"/>
        <v/>
      </c>
    </row>
    <row r="3837" spans="37:44" ht="30" hidden="1" customHeight="1">
      <c r="AK3837" s="313"/>
      <c r="AL3837" s="313"/>
      <c r="AM3837" s="313"/>
      <c r="AN3837" s="313"/>
      <c r="AO3837" s="313"/>
      <c r="AP3837" s="313"/>
      <c r="AQ3837" s="314"/>
      <c r="AR3837" s="315" t="str">
        <f t="shared" si="133"/>
        <v/>
      </c>
    </row>
    <row r="3838" spans="37:44" ht="30" hidden="1" customHeight="1">
      <c r="AK3838" s="313"/>
      <c r="AL3838" s="313"/>
      <c r="AM3838" s="313"/>
      <c r="AN3838" s="313"/>
      <c r="AO3838" s="313"/>
      <c r="AP3838" s="313"/>
      <c r="AQ3838" s="314"/>
      <c r="AR3838" s="315" t="str">
        <f t="shared" si="133"/>
        <v/>
      </c>
    </row>
    <row r="3839" spans="37:44" ht="30" hidden="1" customHeight="1">
      <c r="AK3839" s="313"/>
      <c r="AL3839" s="313"/>
      <c r="AM3839" s="313"/>
      <c r="AN3839" s="313"/>
      <c r="AO3839" s="313"/>
      <c r="AP3839" s="313"/>
      <c r="AQ3839" s="314"/>
      <c r="AR3839" s="315" t="str">
        <f t="shared" ref="AR3839:AR3902" si="134">IF(AQ3839="SIM","AGUARDANDO CORREÇÃO",IF(AP3839&lt;&gt;"","FINALIZADO",IF(AO3839&lt;&gt;"","AGUARDANDO ENVIO DTS",IF(AN3839&lt;&gt;"","AGUARDANDO ASSINATURA GAB",IF(AM3839&lt;&gt;"","AGUARDANDO ASSINATURA CTS",IF(AL3839&lt;&gt;"","AGUARDANDO ENVIO ASSINATURA CTS",IF(AK3839&lt;&gt;"","AGUARDANDO CONFERÊNCIA","")))))))</f>
        <v/>
      </c>
    </row>
    <row r="3840" spans="37:44" ht="30" hidden="1" customHeight="1">
      <c r="AK3840" s="313"/>
      <c r="AL3840" s="313"/>
      <c r="AM3840" s="313"/>
      <c r="AN3840" s="313"/>
      <c r="AO3840" s="313"/>
      <c r="AP3840" s="313"/>
      <c r="AQ3840" s="314"/>
      <c r="AR3840" s="315" t="str">
        <f t="shared" si="134"/>
        <v/>
      </c>
    </row>
    <row r="3841" spans="37:44" ht="30" hidden="1" customHeight="1">
      <c r="AK3841" s="313"/>
      <c r="AL3841" s="313"/>
      <c r="AM3841" s="313"/>
      <c r="AN3841" s="313"/>
      <c r="AO3841" s="313"/>
      <c r="AP3841" s="313"/>
      <c r="AQ3841" s="314"/>
      <c r="AR3841" s="315" t="str">
        <f t="shared" si="134"/>
        <v/>
      </c>
    </row>
    <row r="3842" spans="37:44" ht="30" hidden="1" customHeight="1">
      <c r="AK3842" s="313"/>
      <c r="AL3842" s="313"/>
      <c r="AM3842" s="313"/>
      <c r="AN3842" s="313"/>
      <c r="AO3842" s="313"/>
      <c r="AP3842" s="313"/>
      <c r="AQ3842" s="314"/>
      <c r="AR3842" s="315" t="str">
        <f t="shared" si="134"/>
        <v/>
      </c>
    </row>
    <row r="3843" spans="37:44" ht="30" hidden="1" customHeight="1">
      <c r="AK3843" s="313"/>
      <c r="AL3843" s="313"/>
      <c r="AM3843" s="313"/>
      <c r="AN3843" s="313"/>
      <c r="AO3843" s="313"/>
      <c r="AP3843" s="313"/>
      <c r="AQ3843" s="314"/>
      <c r="AR3843" s="315" t="str">
        <f t="shared" si="134"/>
        <v/>
      </c>
    </row>
    <row r="3844" spans="37:44" ht="30" hidden="1" customHeight="1">
      <c r="AK3844" s="313"/>
      <c r="AL3844" s="313"/>
      <c r="AM3844" s="313"/>
      <c r="AN3844" s="313"/>
      <c r="AO3844" s="313"/>
      <c r="AP3844" s="313"/>
      <c r="AQ3844" s="314"/>
      <c r="AR3844" s="315" t="str">
        <f t="shared" si="134"/>
        <v/>
      </c>
    </row>
    <row r="3845" spans="37:44" ht="30" hidden="1" customHeight="1">
      <c r="AK3845" s="313"/>
      <c r="AL3845" s="313"/>
      <c r="AM3845" s="313"/>
      <c r="AN3845" s="313"/>
      <c r="AO3845" s="313"/>
      <c r="AP3845" s="313"/>
      <c r="AQ3845" s="314"/>
      <c r="AR3845" s="315" t="str">
        <f t="shared" si="134"/>
        <v/>
      </c>
    </row>
    <row r="3846" spans="37:44" ht="30" hidden="1" customHeight="1">
      <c r="AK3846" s="313"/>
      <c r="AL3846" s="313"/>
      <c r="AM3846" s="313"/>
      <c r="AN3846" s="313"/>
      <c r="AO3846" s="313"/>
      <c r="AP3846" s="313"/>
      <c r="AQ3846" s="314"/>
      <c r="AR3846" s="315" t="str">
        <f t="shared" si="134"/>
        <v/>
      </c>
    </row>
    <row r="3847" spans="37:44" ht="30" hidden="1" customHeight="1">
      <c r="AK3847" s="313"/>
      <c r="AL3847" s="313"/>
      <c r="AM3847" s="313"/>
      <c r="AN3847" s="313"/>
      <c r="AO3847" s="313"/>
      <c r="AP3847" s="313"/>
      <c r="AQ3847" s="314"/>
      <c r="AR3847" s="315" t="str">
        <f t="shared" si="134"/>
        <v/>
      </c>
    </row>
    <row r="3848" spans="37:44" ht="30" hidden="1" customHeight="1">
      <c r="AK3848" s="313"/>
      <c r="AL3848" s="313"/>
      <c r="AM3848" s="313"/>
      <c r="AN3848" s="313"/>
      <c r="AO3848" s="313"/>
      <c r="AP3848" s="313"/>
      <c r="AQ3848" s="314"/>
      <c r="AR3848" s="315" t="str">
        <f t="shared" si="134"/>
        <v/>
      </c>
    </row>
    <row r="3849" spans="37:44" ht="30" hidden="1" customHeight="1">
      <c r="AK3849" s="313"/>
      <c r="AL3849" s="313"/>
      <c r="AM3849" s="313"/>
      <c r="AN3849" s="313"/>
      <c r="AO3849" s="313"/>
      <c r="AP3849" s="313"/>
      <c r="AQ3849" s="314"/>
      <c r="AR3849" s="315" t="str">
        <f t="shared" si="134"/>
        <v/>
      </c>
    </row>
    <row r="3850" spans="37:44" ht="30" hidden="1" customHeight="1">
      <c r="AK3850" s="313"/>
      <c r="AL3850" s="313"/>
      <c r="AM3850" s="313"/>
      <c r="AN3850" s="313"/>
      <c r="AO3850" s="313"/>
      <c r="AP3850" s="313"/>
      <c r="AQ3850" s="314"/>
      <c r="AR3850" s="315" t="str">
        <f t="shared" si="134"/>
        <v/>
      </c>
    </row>
    <row r="3851" spans="37:44" ht="30" hidden="1" customHeight="1">
      <c r="AK3851" s="313"/>
      <c r="AL3851" s="313"/>
      <c r="AM3851" s="313"/>
      <c r="AN3851" s="313"/>
      <c r="AO3851" s="313"/>
      <c r="AP3851" s="313"/>
      <c r="AQ3851" s="314"/>
      <c r="AR3851" s="315" t="str">
        <f t="shared" si="134"/>
        <v/>
      </c>
    </row>
    <row r="3852" spans="37:44" ht="30" hidden="1" customHeight="1">
      <c r="AK3852" s="313"/>
      <c r="AL3852" s="313"/>
      <c r="AM3852" s="313"/>
      <c r="AN3852" s="313"/>
      <c r="AO3852" s="313"/>
      <c r="AP3852" s="313"/>
      <c r="AQ3852" s="314"/>
      <c r="AR3852" s="315" t="str">
        <f t="shared" si="134"/>
        <v/>
      </c>
    </row>
    <row r="3853" spans="37:44" ht="30" hidden="1" customHeight="1">
      <c r="AK3853" s="313"/>
      <c r="AL3853" s="313"/>
      <c r="AM3853" s="313"/>
      <c r="AN3853" s="313"/>
      <c r="AO3853" s="313"/>
      <c r="AP3853" s="313"/>
      <c r="AQ3853" s="314"/>
      <c r="AR3853" s="315" t="str">
        <f t="shared" si="134"/>
        <v/>
      </c>
    </row>
    <row r="3854" spans="37:44" ht="30" hidden="1" customHeight="1">
      <c r="AK3854" s="313"/>
      <c r="AL3854" s="313"/>
      <c r="AM3854" s="313"/>
      <c r="AN3854" s="313"/>
      <c r="AO3854" s="313"/>
      <c r="AP3854" s="313"/>
      <c r="AQ3854" s="314"/>
      <c r="AR3854" s="315" t="str">
        <f t="shared" si="134"/>
        <v/>
      </c>
    </row>
    <row r="3855" spans="37:44" ht="30" hidden="1" customHeight="1">
      <c r="AK3855" s="313"/>
      <c r="AL3855" s="313"/>
      <c r="AM3855" s="313"/>
      <c r="AN3855" s="313"/>
      <c r="AO3855" s="313"/>
      <c r="AP3855" s="313"/>
      <c r="AQ3855" s="314"/>
      <c r="AR3855" s="315" t="str">
        <f t="shared" si="134"/>
        <v/>
      </c>
    </row>
    <row r="3856" spans="37:44" ht="30" hidden="1" customHeight="1">
      <c r="AK3856" s="313"/>
      <c r="AL3856" s="313"/>
      <c r="AM3856" s="313"/>
      <c r="AN3856" s="313"/>
      <c r="AO3856" s="313"/>
      <c r="AP3856" s="313"/>
      <c r="AQ3856" s="314"/>
      <c r="AR3856" s="315" t="str">
        <f t="shared" si="134"/>
        <v/>
      </c>
    </row>
    <row r="3857" spans="37:44" ht="30" hidden="1" customHeight="1">
      <c r="AK3857" s="313"/>
      <c r="AL3857" s="313"/>
      <c r="AM3857" s="313"/>
      <c r="AN3857" s="313"/>
      <c r="AO3857" s="313"/>
      <c r="AP3857" s="313"/>
      <c r="AQ3857" s="314"/>
      <c r="AR3857" s="315" t="str">
        <f t="shared" si="134"/>
        <v/>
      </c>
    </row>
    <row r="3858" spans="37:44" ht="30" hidden="1" customHeight="1">
      <c r="AK3858" s="313"/>
      <c r="AL3858" s="313"/>
      <c r="AM3858" s="313"/>
      <c r="AN3858" s="313"/>
      <c r="AO3858" s="313"/>
      <c r="AP3858" s="313"/>
      <c r="AQ3858" s="314"/>
      <c r="AR3858" s="315" t="str">
        <f t="shared" si="134"/>
        <v/>
      </c>
    </row>
    <row r="3859" spans="37:44" ht="30" hidden="1" customHeight="1">
      <c r="AK3859" s="313"/>
      <c r="AL3859" s="313"/>
      <c r="AM3859" s="313"/>
      <c r="AN3859" s="313"/>
      <c r="AO3859" s="313"/>
      <c r="AP3859" s="313"/>
      <c r="AQ3859" s="314"/>
      <c r="AR3859" s="315" t="str">
        <f t="shared" si="134"/>
        <v/>
      </c>
    </row>
    <row r="3860" spans="37:44" ht="30" hidden="1" customHeight="1">
      <c r="AK3860" s="313"/>
      <c r="AL3860" s="313"/>
      <c r="AM3860" s="313"/>
      <c r="AN3860" s="313"/>
      <c r="AO3860" s="313"/>
      <c r="AP3860" s="313"/>
      <c r="AQ3860" s="314"/>
      <c r="AR3860" s="315" t="str">
        <f t="shared" si="134"/>
        <v/>
      </c>
    </row>
    <row r="3861" spans="37:44" ht="30" hidden="1" customHeight="1">
      <c r="AK3861" s="313"/>
      <c r="AL3861" s="313"/>
      <c r="AM3861" s="313"/>
      <c r="AN3861" s="313"/>
      <c r="AO3861" s="313"/>
      <c r="AP3861" s="313"/>
      <c r="AQ3861" s="314"/>
      <c r="AR3861" s="315" t="str">
        <f t="shared" si="134"/>
        <v/>
      </c>
    </row>
    <row r="3862" spans="37:44" ht="30" hidden="1" customHeight="1">
      <c r="AK3862" s="313"/>
      <c r="AL3862" s="313"/>
      <c r="AM3862" s="313"/>
      <c r="AN3862" s="313"/>
      <c r="AO3862" s="313"/>
      <c r="AP3862" s="313"/>
      <c r="AQ3862" s="314"/>
      <c r="AR3862" s="315" t="str">
        <f t="shared" si="134"/>
        <v/>
      </c>
    </row>
    <row r="3863" spans="37:44" ht="30" hidden="1" customHeight="1">
      <c r="AK3863" s="313"/>
      <c r="AL3863" s="313"/>
      <c r="AM3863" s="313"/>
      <c r="AN3863" s="313"/>
      <c r="AO3863" s="313"/>
      <c r="AP3863" s="313"/>
      <c r="AQ3863" s="314"/>
      <c r="AR3863" s="315" t="str">
        <f t="shared" si="134"/>
        <v/>
      </c>
    </row>
    <row r="3864" spans="37:44" ht="30" hidden="1" customHeight="1">
      <c r="AK3864" s="313"/>
      <c r="AL3864" s="313"/>
      <c r="AM3864" s="313"/>
      <c r="AN3864" s="313"/>
      <c r="AO3864" s="313"/>
      <c r="AP3864" s="313"/>
      <c r="AQ3864" s="314"/>
      <c r="AR3864" s="315" t="str">
        <f t="shared" si="134"/>
        <v/>
      </c>
    </row>
    <row r="3865" spans="37:44" ht="30" hidden="1" customHeight="1">
      <c r="AK3865" s="313"/>
      <c r="AL3865" s="313"/>
      <c r="AM3865" s="313"/>
      <c r="AN3865" s="313"/>
      <c r="AO3865" s="313"/>
      <c r="AP3865" s="313"/>
      <c r="AQ3865" s="314"/>
      <c r="AR3865" s="315" t="str">
        <f t="shared" si="134"/>
        <v/>
      </c>
    </row>
    <row r="3866" spans="37:44" ht="30" hidden="1" customHeight="1">
      <c r="AK3866" s="313"/>
      <c r="AL3866" s="313"/>
      <c r="AM3866" s="313"/>
      <c r="AN3866" s="313"/>
      <c r="AO3866" s="313"/>
      <c r="AP3866" s="313"/>
      <c r="AQ3866" s="314"/>
      <c r="AR3866" s="315" t="str">
        <f t="shared" si="134"/>
        <v/>
      </c>
    </row>
    <row r="3867" spans="37:44" ht="30" hidden="1" customHeight="1">
      <c r="AK3867" s="313"/>
      <c r="AL3867" s="313"/>
      <c r="AM3867" s="313"/>
      <c r="AN3867" s="313"/>
      <c r="AO3867" s="313"/>
      <c r="AP3867" s="313"/>
      <c r="AQ3867" s="314"/>
      <c r="AR3867" s="315" t="str">
        <f t="shared" si="134"/>
        <v/>
      </c>
    </row>
    <row r="3868" spans="37:44" ht="30" hidden="1" customHeight="1">
      <c r="AK3868" s="313"/>
      <c r="AL3868" s="313"/>
      <c r="AM3868" s="313"/>
      <c r="AN3868" s="313"/>
      <c r="AO3868" s="313"/>
      <c r="AP3868" s="313"/>
      <c r="AQ3868" s="314"/>
      <c r="AR3868" s="315" t="str">
        <f t="shared" si="134"/>
        <v/>
      </c>
    </row>
    <row r="3869" spans="37:44" ht="30" hidden="1" customHeight="1">
      <c r="AK3869" s="313"/>
      <c r="AL3869" s="313"/>
      <c r="AM3869" s="313"/>
      <c r="AN3869" s="313"/>
      <c r="AO3869" s="313"/>
      <c r="AP3869" s="313"/>
      <c r="AQ3869" s="314"/>
      <c r="AR3869" s="315" t="str">
        <f t="shared" si="134"/>
        <v/>
      </c>
    </row>
    <row r="3870" spans="37:44" ht="30" hidden="1" customHeight="1">
      <c r="AK3870" s="313"/>
      <c r="AL3870" s="313"/>
      <c r="AM3870" s="313"/>
      <c r="AN3870" s="313"/>
      <c r="AO3870" s="313"/>
      <c r="AP3870" s="313"/>
      <c r="AQ3870" s="314"/>
      <c r="AR3870" s="315" t="str">
        <f t="shared" si="134"/>
        <v/>
      </c>
    </row>
    <row r="3871" spans="37:44" ht="30" hidden="1" customHeight="1">
      <c r="AK3871" s="313"/>
      <c r="AL3871" s="313"/>
      <c r="AM3871" s="313"/>
      <c r="AN3871" s="313"/>
      <c r="AO3871" s="313"/>
      <c r="AP3871" s="313"/>
      <c r="AQ3871" s="314"/>
      <c r="AR3871" s="315" t="str">
        <f t="shared" si="134"/>
        <v/>
      </c>
    </row>
    <row r="3872" spans="37:44" ht="30" hidden="1" customHeight="1">
      <c r="AK3872" s="313"/>
      <c r="AL3872" s="313"/>
      <c r="AM3872" s="313"/>
      <c r="AN3872" s="313"/>
      <c r="AO3872" s="313"/>
      <c r="AP3872" s="313"/>
      <c r="AQ3872" s="314"/>
      <c r="AR3872" s="315" t="str">
        <f t="shared" si="134"/>
        <v/>
      </c>
    </row>
    <row r="3873" spans="37:44" ht="30" hidden="1" customHeight="1">
      <c r="AK3873" s="313"/>
      <c r="AL3873" s="313"/>
      <c r="AM3873" s="313"/>
      <c r="AN3873" s="313"/>
      <c r="AO3873" s="313"/>
      <c r="AP3873" s="313"/>
      <c r="AQ3873" s="314"/>
      <c r="AR3873" s="315" t="str">
        <f t="shared" si="134"/>
        <v/>
      </c>
    </row>
    <row r="3874" spans="37:44" ht="30" hidden="1" customHeight="1">
      <c r="AK3874" s="313"/>
      <c r="AL3874" s="313"/>
      <c r="AM3874" s="313"/>
      <c r="AN3874" s="313"/>
      <c r="AO3874" s="313"/>
      <c r="AP3874" s="313"/>
      <c r="AQ3874" s="314"/>
      <c r="AR3874" s="315" t="str">
        <f t="shared" si="134"/>
        <v/>
      </c>
    </row>
    <row r="3875" spans="37:44" ht="30" hidden="1" customHeight="1">
      <c r="AK3875" s="313"/>
      <c r="AL3875" s="313"/>
      <c r="AM3875" s="313"/>
      <c r="AN3875" s="313"/>
      <c r="AO3875" s="313"/>
      <c r="AP3875" s="313"/>
      <c r="AQ3875" s="314"/>
      <c r="AR3875" s="315" t="str">
        <f t="shared" si="134"/>
        <v/>
      </c>
    </row>
    <row r="3876" spans="37:44" ht="30" hidden="1" customHeight="1">
      <c r="AK3876" s="313"/>
      <c r="AL3876" s="313"/>
      <c r="AM3876" s="313"/>
      <c r="AN3876" s="313"/>
      <c r="AO3876" s="313"/>
      <c r="AP3876" s="313"/>
      <c r="AQ3876" s="314"/>
      <c r="AR3876" s="315" t="str">
        <f t="shared" si="134"/>
        <v/>
      </c>
    </row>
    <row r="3877" spans="37:44" ht="30" hidden="1" customHeight="1">
      <c r="AK3877" s="313"/>
      <c r="AL3877" s="313"/>
      <c r="AM3877" s="313"/>
      <c r="AN3877" s="313"/>
      <c r="AO3877" s="313"/>
      <c r="AP3877" s="313"/>
      <c r="AQ3877" s="314"/>
      <c r="AR3877" s="315" t="str">
        <f t="shared" si="134"/>
        <v/>
      </c>
    </row>
    <row r="3878" spans="37:44" ht="30" hidden="1" customHeight="1">
      <c r="AK3878" s="313"/>
      <c r="AL3878" s="313"/>
      <c r="AM3878" s="313"/>
      <c r="AN3878" s="313"/>
      <c r="AO3878" s="313"/>
      <c r="AP3878" s="313"/>
      <c r="AQ3878" s="314"/>
      <c r="AR3878" s="315" t="str">
        <f t="shared" si="134"/>
        <v/>
      </c>
    </row>
    <row r="3879" spans="37:44" ht="30" hidden="1" customHeight="1">
      <c r="AK3879" s="313"/>
      <c r="AL3879" s="313"/>
      <c r="AM3879" s="313"/>
      <c r="AN3879" s="313"/>
      <c r="AO3879" s="313"/>
      <c r="AP3879" s="313"/>
      <c r="AQ3879" s="314"/>
      <c r="AR3879" s="315" t="str">
        <f t="shared" si="134"/>
        <v/>
      </c>
    </row>
    <row r="3880" spans="37:44" ht="30" hidden="1" customHeight="1">
      <c r="AK3880" s="313"/>
      <c r="AL3880" s="313"/>
      <c r="AM3880" s="313"/>
      <c r="AN3880" s="313"/>
      <c r="AO3880" s="313"/>
      <c r="AP3880" s="313"/>
      <c r="AQ3880" s="314"/>
      <c r="AR3880" s="315" t="str">
        <f t="shared" si="134"/>
        <v/>
      </c>
    </row>
    <row r="3881" spans="37:44" ht="30" hidden="1" customHeight="1">
      <c r="AK3881" s="313"/>
      <c r="AL3881" s="313"/>
      <c r="AM3881" s="313"/>
      <c r="AN3881" s="313"/>
      <c r="AO3881" s="313"/>
      <c r="AP3881" s="313"/>
      <c r="AQ3881" s="314"/>
      <c r="AR3881" s="315" t="str">
        <f t="shared" si="134"/>
        <v/>
      </c>
    </row>
    <row r="3882" spans="37:44" ht="30" hidden="1" customHeight="1">
      <c r="AK3882" s="313"/>
      <c r="AL3882" s="313"/>
      <c r="AM3882" s="313"/>
      <c r="AN3882" s="313"/>
      <c r="AO3882" s="313"/>
      <c r="AP3882" s="313"/>
      <c r="AQ3882" s="314"/>
      <c r="AR3882" s="315" t="str">
        <f t="shared" si="134"/>
        <v/>
      </c>
    </row>
    <row r="3883" spans="37:44" ht="30" hidden="1" customHeight="1">
      <c r="AK3883" s="313"/>
      <c r="AL3883" s="313"/>
      <c r="AM3883" s="313"/>
      <c r="AN3883" s="313"/>
      <c r="AO3883" s="313"/>
      <c r="AP3883" s="313"/>
      <c r="AQ3883" s="314"/>
      <c r="AR3883" s="315" t="str">
        <f t="shared" si="134"/>
        <v/>
      </c>
    </row>
    <row r="3884" spans="37:44" ht="30" hidden="1" customHeight="1">
      <c r="AK3884" s="313"/>
      <c r="AL3884" s="313"/>
      <c r="AM3884" s="313"/>
      <c r="AN3884" s="313"/>
      <c r="AO3884" s="313"/>
      <c r="AP3884" s="313"/>
      <c r="AQ3884" s="314"/>
      <c r="AR3884" s="315" t="str">
        <f t="shared" si="134"/>
        <v/>
      </c>
    </row>
    <row r="3885" spans="37:44" ht="30" hidden="1" customHeight="1">
      <c r="AK3885" s="313"/>
      <c r="AL3885" s="313"/>
      <c r="AM3885" s="313"/>
      <c r="AN3885" s="313"/>
      <c r="AO3885" s="313"/>
      <c r="AP3885" s="313"/>
      <c r="AQ3885" s="314"/>
      <c r="AR3885" s="315" t="str">
        <f t="shared" si="134"/>
        <v/>
      </c>
    </row>
    <row r="3886" spans="37:44" ht="30" hidden="1" customHeight="1">
      <c r="AK3886" s="313"/>
      <c r="AL3886" s="313"/>
      <c r="AM3886" s="313"/>
      <c r="AN3886" s="313"/>
      <c r="AO3886" s="313"/>
      <c r="AP3886" s="313"/>
      <c r="AQ3886" s="314"/>
      <c r="AR3886" s="315" t="str">
        <f t="shared" si="134"/>
        <v/>
      </c>
    </row>
    <row r="3887" spans="37:44" ht="30" hidden="1" customHeight="1">
      <c r="AK3887" s="313"/>
      <c r="AL3887" s="313"/>
      <c r="AM3887" s="313"/>
      <c r="AN3887" s="313"/>
      <c r="AO3887" s="313"/>
      <c r="AP3887" s="313"/>
      <c r="AQ3887" s="314"/>
      <c r="AR3887" s="315" t="str">
        <f t="shared" si="134"/>
        <v/>
      </c>
    </row>
    <row r="3888" spans="37:44" ht="30" hidden="1" customHeight="1">
      <c r="AK3888" s="313"/>
      <c r="AL3888" s="313"/>
      <c r="AM3888" s="313"/>
      <c r="AN3888" s="313"/>
      <c r="AO3888" s="313"/>
      <c r="AP3888" s="313"/>
      <c r="AQ3888" s="314"/>
      <c r="AR3888" s="315" t="str">
        <f t="shared" si="134"/>
        <v/>
      </c>
    </row>
    <row r="3889" spans="37:44" ht="30" hidden="1" customHeight="1">
      <c r="AK3889" s="313"/>
      <c r="AL3889" s="313"/>
      <c r="AM3889" s="313"/>
      <c r="AN3889" s="313"/>
      <c r="AO3889" s="313"/>
      <c r="AP3889" s="313"/>
      <c r="AQ3889" s="314"/>
      <c r="AR3889" s="315" t="str">
        <f t="shared" si="134"/>
        <v/>
      </c>
    </row>
    <row r="3890" spans="37:44" ht="30" hidden="1" customHeight="1">
      <c r="AK3890" s="313"/>
      <c r="AL3890" s="313"/>
      <c r="AM3890" s="313"/>
      <c r="AN3890" s="313"/>
      <c r="AO3890" s="313"/>
      <c r="AP3890" s="313"/>
      <c r="AQ3890" s="314"/>
      <c r="AR3890" s="315" t="str">
        <f t="shared" si="134"/>
        <v/>
      </c>
    </row>
    <row r="3891" spans="37:44" ht="30" hidden="1" customHeight="1">
      <c r="AK3891" s="313"/>
      <c r="AL3891" s="313"/>
      <c r="AM3891" s="313"/>
      <c r="AN3891" s="313"/>
      <c r="AO3891" s="313"/>
      <c r="AP3891" s="313"/>
      <c r="AQ3891" s="314"/>
      <c r="AR3891" s="315" t="str">
        <f t="shared" si="134"/>
        <v/>
      </c>
    </row>
    <row r="3892" spans="37:44" ht="30" hidden="1" customHeight="1">
      <c r="AK3892" s="313"/>
      <c r="AL3892" s="313"/>
      <c r="AM3892" s="313"/>
      <c r="AN3892" s="313"/>
      <c r="AO3892" s="313"/>
      <c r="AP3892" s="313"/>
      <c r="AQ3892" s="314"/>
      <c r="AR3892" s="315" t="str">
        <f t="shared" si="134"/>
        <v/>
      </c>
    </row>
    <row r="3893" spans="37:44" ht="30" hidden="1" customHeight="1">
      <c r="AK3893" s="313"/>
      <c r="AL3893" s="313"/>
      <c r="AM3893" s="313"/>
      <c r="AN3893" s="313"/>
      <c r="AO3893" s="313"/>
      <c r="AP3893" s="313"/>
      <c r="AQ3893" s="314"/>
      <c r="AR3893" s="315" t="str">
        <f t="shared" si="134"/>
        <v/>
      </c>
    </row>
    <row r="3894" spans="37:44" ht="30" hidden="1" customHeight="1">
      <c r="AK3894" s="313"/>
      <c r="AL3894" s="313"/>
      <c r="AM3894" s="313"/>
      <c r="AN3894" s="313"/>
      <c r="AO3894" s="313"/>
      <c r="AP3894" s="313"/>
      <c r="AQ3894" s="314"/>
      <c r="AR3894" s="315" t="str">
        <f t="shared" si="134"/>
        <v/>
      </c>
    </row>
    <row r="3895" spans="37:44" ht="30" hidden="1" customHeight="1">
      <c r="AK3895" s="313"/>
      <c r="AL3895" s="313"/>
      <c r="AM3895" s="313"/>
      <c r="AN3895" s="313"/>
      <c r="AO3895" s="313"/>
      <c r="AP3895" s="313"/>
      <c r="AQ3895" s="314"/>
      <c r="AR3895" s="315" t="str">
        <f t="shared" si="134"/>
        <v/>
      </c>
    </row>
    <row r="3896" spans="37:44" ht="30" hidden="1" customHeight="1">
      <c r="AK3896" s="313"/>
      <c r="AL3896" s="313"/>
      <c r="AM3896" s="313"/>
      <c r="AN3896" s="313"/>
      <c r="AO3896" s="313"/>
      <c r="AP3896" s="313"/>
      <c r="AQ3896" s="314"/>
      <c r="AR3896" s="315" t="str">
        <f t="shared" si="134"/>
        <v/>
      </c>
    </row>
    <row r="3897" spans="37:44" ht="30" hidden="1" customHeight="1">
      <c r="AK3897" s="313"/>
      <c r="AL3897" s="313"/>
      <c r="AM3897" s="313"/>
      <c r="AN3897" s="313"/>
      <c r="AO3897" s="313"/>
      <c r="AP3897" s="313"/>
      <c r="AQ3897" s="314"/>
      <c r="AR3897" s="315" t="str">
        <f t="shared" si="134"/>
        <v/>
      </c>
    </row>
    <row r="3898" spans="37:44" ht="30" hidden="1" customHeight="1">
      <c r="AK3898" s="313"/>
      <c r="AL3898" s="313"/>
      <c r="AM3898" s="313"/>
      <c r="AN3898" s="313"/>
      <c r="AO3898" s="313"/>
      <c r="AP3898" s="313"/>
      <c r="AQ3898" s="314"/>
      <c r="AR3898" s="315" t="str">
        <f t="shared" si="134"/>
        <v/>
      </c>
    </row>
    <row r="3899" spans="37:44" ht="30" hidden="1" customHeight="1">
      <c r="AK3899" s="313"/>
      <c r="AL3899" s="313"/>
      <c r="AM3899" s="313"/>
      <c r="AN3899" s="313"/>
      <c r="AO3899" s="313"/>
      <c r="AP3899" s="313"/>
      <c r="AQ3899" s="314"/>
      <c r="AR3899" s="315" t="str">
        <f t="shared" si="134"/>
        <v/>
      </c>
    </row>
    <row r="3900" spans="37:44" ht="30" hidden="1" customHeight="1">
      <c r="AK3900" s="313"/>
      <c r="AL3900" s="313"/>
      <c r="AM3900" s="313"/>
      <c r="AN3900" s="313"/>
      <c r="AO3900" s="313"/>
      <c r="AP3900" s="313"/>
      <c r="AQ3900" s="314"/>
      <c r="AR3900" s="315" t="str">
        <f t="shared" si="134"/>
        <v/>
      </c>
    </row>
    <row r="3901" spans="37:44" ht="30" hidden="1" customHeight="1">
      <c r="AK3901" s="313"/>
      <c r="AL3901" s="313"/>
      <c r="AM3901" s="313"/>
      <c r="AN3901" s="313"/>
      <c r="AO3901" s="313"/>
      <c r="AP3901" s="313"/>
      <c r="AQ3901" s="314"/>
      <c r="AR3901" s="315" t="str">
        <f t="shared" si="134"/>
        <v/>
      </c>
    </row>
    <row r="3902" spans="37:44" ht="30" hidden="1" customHeight="1">
      <c r="AK3902" s="313"/>
      <c r="AL3902" s="313"/>
      <c r="AM3902" s="313"/>
      <c r="AN3902" s="313"/>
      <c r="AO3902" s="313"/>
      <c r="AP3902" s="313"/>
      <c r="AQ3902" s="314"/>
      <c r="AR3902" s="315" t="str">
        <f t="shared" si="134"/>
        <v/>
      </c>
    </row>
    <row r="3903" spans="37:44" ht="30" hidden="1" customHeight="1">
      <c r="AK3903" s="313"/>
      <c r="AL3903" s="313"/>
      <c r="AM3903" s="313"/>
      <c r="AN3903" s="313"/>
      <c r="AO3903" s="313"/>
      <c r="AP3903" s="313"/>
      <c r="AQ3903" s="314"/>
      <c r="AR3903" s="315" t="str">
        <f t="shared" ref="AR3903:AR3966" si="135">IF(AQ3903="SIM","AGUARDANDO CORREÇÃO",IF(AP3903&lt;&gt;"","FINALIZADO",IF(AO3903&lt;&gt;"","AGUARDANDO ENVIO DTS",IF(AN3903&lt;&gt;"","AGUARDANDO ASSINATURA GAB",IF(AM3903&lt;&gt;"","AGUARDANDO ASSINATURA CTS",IF(AL3903&lt;&gt;"","AGUARDANDO ENVIO ASSINATURA CTS",IF(AK3903&lt;&gt;"","AGUARDANDO CONFERÊNCIA","")))))))</f>
        <v/>
      </c>
    </row>
    <row r="3904" spans="37:44" ht="30" hidden="1" customHeight="1">
      <c r="AK3904" s="313"/>
      <c r="AL3904" s="313"/>
      <c r="AM3904" s="313"/>
      <c r="AN3904" s="313"/>
      <c r="AO3904" s="313"/>
      <c r="AP3904" s="313"/>
      <c r="AQ3904" s="314"/>
      <c r="AR3904" s="315" t="str">
        <f t="shared" si="135"/>
        <v/>
      </c>
    </row>
    <row r="3905" spans="37:44" ht="30" hidden="1" customHeight="1">
      <c r="AK3905" s="313"/>
      <c r="AL3905" s="313"/>
      <c r="AM3905" s="313"/>
      <c r="AN3905" s="313"/>
      <c r="AO3905" s="313"/>
      <c r="AP3905" s="313"/>
      <c r="AQ3905" s="314"/>
      <c r="AR3905" s="315" t="str">
        <f t="shared" si="135"/>
        <v/>
      </c>
    </row>
    <row r="3906" spans="37:44" ht="30" hidden="1" customHeight="1">
      <c r="AK3906" s="313"/>
      <c r="AL3906" s="313"/>
      <c r="AM3906" s="313"/>
      <c r="AN3906" s="313"/>
      <c r="AO3906" s="313"/>
      <c r="AP3906" s="313"/>
      <c r="AQ3906" s="314"/>
      <c r="AR3906" s="315" t="str">
        <f t="shared" si="135"/>
        <v/>
      </c>
    </row>
    <row r="3907" spans="37:44" ht="30" hidden="1" customHeight="1">
      <c r="AK3907" s="313"/>
      <c r="AL3907" s="313"/>
      <c r="AM3907" s="313"/>
      <c r="AN3907" s="313"/>
      <c r="AO3907" s="313"/>
      <c r="AP3907" s="313"/>
      <c r="AQ3907" s="314"/>
      <c r="AR3907" s="315" t="str">
        <f t="shared" si="135"/>
        <v/>
      </c>
    </row>
    <row r="3908" spans="37:44" ht="30" hidden="1" customHeight="1">
      <c r="AK3908" s="313"/>
      <c r="AL3908" s="313"/>
      <c r="AM3908" s="313"/>
      <c r="AN3908" s="313"/>
      <c r="AO3908" s="313"/>
      <c r="AP3908" s="313"/>
      <c r="AQ3908" s="314"/>
      <c r="AR3908" s="315" t="str">
        <f t="shared" si="135"/>
        <v/>
      </c>
    </row>
    <row r="3909" spans="37:44" ht="30" hidden="1" customHeight="1">
      <c r="AK3909" s="313"/>
      <c r="AL3909" s="313"/>
      <c r="AM3909" s="313"/>
      <c r="AN3909" s="313"/>
      <c r="AO3909" s="313"/>
      <c r="AP3909" s="313"/>
      <c r="AQ3909" s="314"/>
      <c r="AR3909" s="315" t="str">
        <f t="shared" si="135"/>
        <v/>
      </c>
    </row>
    <row r="3910" spans="37:44" ht="30" hidden="1" customHeight="1">
      <c r="AK3910" s="313"/>
      <c r="AL3910" s="313"/>
      <c r="AM3910" s="313"/>
      <c r="AN3910" s="313"/>
      <c r="AO3910" s="313"/>
      <c r="AP3910" s="313"/>
      <c r="AQ3910" s="314"/>
      <c r="AR3910" s="315" t="str">
        <f t="shared" si="135"/>
        <v/>
      </c>
    </row>
    <row r="3911" spans="37:44" ht="30" hidden="1" customHeight="1">
      <c r="AK3911" s="313"/>
      <c r="AL3911" s="313"/>
      <c r="AM3911" s="313"/>
      <c r="AN3911" s="313"/>
      <c r="AO3911" s="313"/>
      <c r="AP3911" s="313"/>
      <c r="AQ3911" s="314"/>
      <c r="AR3911" s="315" t="str">
        <f t="shared" si="135"/>
        <v/>
      </c>
    </row>
    <row r="3912" spans="37:44" ht="30" hidden="1" customHeight="1">
      <c r="AK3912" s="313"/>
      <c r="AL3912" s="313"/>
      <c r="AM3912" s="313"/>
      <c r="AN3912" s="313"/>
      <c r="AO3912" s="313"/>
      <c r="AP3912" s="313"/>
      <c r="AQ3912" s="314"/>
      <c r="AR3912" s="315" t="str">
        <f t="shared" si="135"/>
        <v/>
      </c>
    </row>
    <row r="3913" spans="37:44" ht="30" hidden="1" customHeight="1">
      <c r="AK3913" s="313"/>
      <c r="AL3913" s="313"/>
      <c r="AM3913" s="313"/>
      <c r="AN3913" s="313"/>
      <c r="AO3913" s="313"/>
      <c r="AP3913" s="313"/>
      <c r="AQ3913" s="314"/>
      <c r="AR3913" s="315" t="str">
        <f t="shared" si="135"/>
        <v/>
      </c>
    </row>
    <row r="3914" spans="37:44" ht="30" hidden="1" customHeight="1">
      <c r="AK3914" s="313"/>
      <c r="AL3914" s="313"/>
      <c r="AM3914" s="313"/>
      <c r="AN3914" s="313"/>
      <c r="AO3914" s="313"/>
      <c r="AP3914" s="313"/>
      <c r="AQ3914" s="314"/>
      <c r="AR3914" s="315" t="str">
        <f t="shared" si="135"/>
        <v/>
      </c>
    </row>
    <row r="3915" spans="37:44" ht="30" hidden="1" customHeight="1">
      <c r="AK3915" s="313"/>
      <c r="AL3915" s="313"/>
      <c r="AM3915" s="313"/>
      <c r="AN3915" s="313"/>
      <c r="AO3915" s="313"/>
      <c r="AP3915" s="313"/>
      <c r="AQ3915" s="314"/>
      <c r="AR3915" s="315" t="str">
        <f t="shared" si="135"/>
        <v/>
      </c>
    </row>
    <row r="3916" spans="37:44" ht="30" hidden="1" customHeight="1">
      <c r="AK3916" s="313"/>
      <c r="AL3916" s="313"/>
      <c r="AM3916" s="313"/>
      <c r="AN3916" s="313"/>
      <c r="AO3916" s="313"/>
      <c r="AP3916" s="313"/>
      <c r="AQ3916" s="314"/>
      <c r="AR3916" s="315" t="str">
        <f t="shared" si="135"/>
        <v/>
      </c>
    </row>
    <row r="3917" spans="37:44" ht="30" hidden="1" customHeight="1">
      <c r="AK3917" s="313"/>
      <c r="AL3917" s="313"/>
      <c r="AM3917" s="313"/>
      <c r="AN3917" s="313"/>
      <c r="AO3917" s="313"/>
      <c r="AP3917" s="313"/>
      <c r="AQ3917" s="314"/>
      <c r="AR3917" s="315" t="str">
        <f t="shared" si="135"/>
        <v/>
      </c>
    </row>
    <row r="3918" spans="37:44" ht="30" hidden="1" customHeight="1">
      <c r="AK3918" s="313"/>
      <c r="AL3918" s="313"/>
      <c r="AM3918" s="313"/>
      <c r="AN3918" s="313"/>
      <c r="AO3918" s="313"/>
      <c r="AP3918" s="313"/>
      <c r="AQ3918" s="314"/>
      <c r="AR3918" s="315" t="str">
        <f t="shared" si="135"/>
        <v/>
      </c>
    </row>
    <row r="3919" spans="37:44" ht="30" hidden="1" customHeight="1">
      <c r="AK3919" s="313"/>
      <c r="AL3919" s="313"/>
      <c r="AM3919" s="313"/>
      <c r="AN3919" s="313"/>
      <c r="AO3919" s="313"/>
      <c r="AP3919" s="313"/>
      <c r="AQ3919" s="314"/>
      <c r="AR3919" s="315" t="str">
        <f t="shared" si="135"/>
        <v/>
      </c>
    </row>
    <row r="3920" spans="37:44" ht="30" hidden="1" customHeight="1">
      <c r="AK3920" s="313"/>
      <c r="AL3920" s="313"/>
      <c r="AM3920" s="313"/>
      <c r="AN3920" s="313"/>
      <c r="AO3920" s="313"/>
      <c r="AP3920" s="313"/>
      <c r="AQ3920" s="314"/>
      <c r="AR3920" s="315" t="str">
        <f t="shared" si="135"/>
        <v/>
      </c>
    </row>
    <row r="3921" spans="37:44" ht="30" hidden="1" customHeight="1">
      <c r="AK3921" s="313"/>
      <c r="AL3921" s="313"/>
      <c r="AM3921" s="313"/>
      <c r="AN3921" s="313"/>
      <c r="AO3921" s="313"/>
      <c r="AP3921" s="313"/>
      <c r="AQ3921" s="314"/>
      <c r="AR3921" s="315" t="str">
        <f t="shared" si="135"/>
        <v/>
      </c>
    </row>
    <row r="3922" spans="37:44" ht="30" hidden="1" customHeight="1">
      <c r="AK3922" s="313"/>
      <c r="AL3922" s="313"/>
      <c r="AM3922" s="313"/>
      <c r="AN3922" s="313"/>
      <c r="AO3922" s="313"/>
      <c r="AP3922" s="313"/>
      <c r="AQ3922" s="314"/>
      <c r="AR3922" s="315" t="str">
        <f t="shared" si="135"/>
        <v/>
      </c>
    </row>
    <row r="3923" spans="37:44" ht="30" hidden="1" customHeight="1">
      <c r="AK3923" s="313"/>
      <c r="AL3923" s="313"/>
      <c r="AM3923" s="313"/>
      <c r="AN3923" s="313"/>
      <c r="AO3923" s="313"/>
      <c r="AP3923" s="313"/>
      <c r="AQ3923" s="314"/>
      <c r="AR3923" s="315" t="str">
        <f t="shared" si="135"/>
        <v/>
      </c>
    </row>
    <row r="3924" spans="37:44" ht="30" hidden="1" customHeight="1">
      <c r="AK3924" s="313"/>
      <c r="AL3924" s="313"/>
      <c r="AM3924" s="313"/>
      <c r="AN3924" s="313"/>
      <c r="AO3924" s="313"/>
      <c r="AP3924" s="313"/>
      <c r="AQ3924" s="314"/>
      <c r="AR3924" s="315" t="str">
        <f t="shared" si="135"/>
        <v/>
      </c>
    </row>
    <row r="3925" spans="37:44" ht="30" hidden="1" customHeight="1">
      <c r="AK3925" s="313"/>
      <c r="AL3925" s="313"/>
      <c r="AM3925" s="313"/>
      <c r="AN3925" s="313"/>
      <c r="AO3925" s="313"/>
      <c r="AP3925" s="313"/>
      <c r="AQ3925" s="314"/>
      <c r="AR3925" s="315" t="str">
        <f t="shared" si="135"/>
        <v/>
      </c>
    </row>
    <row r="3926" spans="37:44" ht="30" hidden="1" customHeight="1">
      <c r="AK3926" s="313"/>
      <c r="AL3926" s="313"/>
      <c r="AM3926" s="313"/>
      <c r="AN3926" s="313"/>
      <c r="AO3926" s="313"/>
      <c r="AP3926" s="313"/>
      <c r="AQ3926" s="314"/>
      <c r="AR3926" s="315" t="str">
        <f t="shared" si="135"/>
        <v/>
      </c>
    </row>
    <row r="3927" spans="37:44" ht="30" hidden="1" customHeight="1">
      <c r="AK3927" s="313"/>
      <c r="AL3927" s="313"/>
      <c r="AM3927" s="313"/>
      <c r="AN3927" s="313"/>
      <c r="AO3927" s="313"/>
      <c r="AP3927" s="313"/>
      <c r="AQ3927" s="314"/>
      <c r="AR3927" s="315" t="str">
        <f t="shared" si="135"/>
        <v/>
      </c>
    </row>
    <row r="3928" spans="37:44" ht="30" hidden="1" customHeight="1">
      <c r="AK3928" s="313"/>
      <c r="AL3928" s="313"/>
      <c r="AM3928" s="313"/>
      <c r="AN3928" s="313"/>
      <c r="AO3928" s="313"/>
      <c r="AP3928" s="313"/>
      <c r="AQ3928" s="314"/>
      <c r="AR3928" s="315" t="str">
        <f t="shared" si="135"/>
        <v/>
      </c>
    </row>
    <row r="3929" spans="37:44" ht="30" hidden="1" customHeight="1">
      <c r="AK3929" s="313"/>
      <c r="AL3929" s="313"/>
      <c r="AM3929" s="313"/>
      <c r="AN3929" s="313"/>
      <c r="AO3929" s="313"/>
      <c r="AP3929" s="313"/>
      <c r="AQ3929" s="314"/>
      <c r="AR3929" s="315" t="str">
        <f t="shared" si="135"/>
        <v/>
      </c>
    </row>
    <row r="3930" spans="37:44" ht="30" hidden="1" customHeight="1">
      <c r="AK3930" s="313"/>
      <c r="AL3930" s="313"/>
      <c r="AM3930" s="313"/>
      <c r="AN3930" s="313"/>
      <c r="AO3930" s="313"/>
      <c r="AP3930" s="313"/>
      <c r="AQ3930" s="314"/>
      <c r="AR3930" s="315" t="str">
        <f t="shared" si="135"/>
        <v/>
      </c>
    </row>
    <row r="3931" spans="37:44" ht="30" hidden="1" customHeight="1">
      <c r="AK3931" s="313"/>
      <c r="AL3931" s="313"/>
      <c r="AM3931" s="313"/>
      <c r="AN3931" s="313"/>
      <c r="AO3931" s="313"/>
      <c r="AP3931" s="313"/>
      <c r="AQ3931" s="314"/>
      <c r="AR3931" s="315" t="str">
        <f t="shared" si="135"/>
        <v/>
      </c>
    </row>
    <row r="3932" spans="37:44" ht="30" hidden="1" customHeight="1">
      <c r="AK3932" s="313"/>
      <c r="AL3932" s="313"/>
      <c r="AM3932" s="313"/>
      <c r="AN3932" s="313"/>
      <c r="AO3932" s="313"/>
      <c r="AP3932" s="313"/>
      <c r="AQ3932" s="314"/>
      <c r="AR3932" s="315" t="str">
        <f t="shared" si="135"/>
        <v/>
      </c>
    </row>
    <row r="3933" spans="37:44" ht="30" hidden="1" customHeight="1">
      <c r="AK3933" s="313"/>
      <c r="AL3933" s="313"/>
      <c r="AM3933" s="313"/>
      <c r="AN3933" s="313"/>
      <c r="AO3933" s="313"/>
      <c r="AP3933" s="313"/>
      <c r="AQ3933" s="314"/>
      <c r="AR3933" s="315" t="str">
        <f t="shared" si="135"/>
        <v/>
      </c>
    </row>
    <row r="3934" spans="37:44" ht="30" hidden="1" customHeight="1">
      <c r="AK3934" s="313"/>
      <c r="AL3934" s="313"/>
      <c r="AM3934" s="313"/>
      <c r="AN3934" s="313"/>
      <c r="AO3934" s="313"/>
      <c r="AP3934" s="313"/>
      <c r="AQ3934" s="314"/>
      <c r="AR3934" s="315" t="str">
        <f t="shared" si="135"/>
        <v/>
      </c>
    </row>
    <row r="3935" spans="37:44" ht="30" hidden="1" customHeight="1">
      <c r="AK3935" s="313"/>
      <c r="AL3935" s="313"/>
      <c r="AM3935" s="313"/>
      <c r="AN3935" s="313"/>
      <c r="AO3935" s="313"/>
      <c r="AP3935" s="313"/>
      <c r="AQ3935" s="314"/>
      <c r="AR3935" s="315" t="str">
        <f t="shared" si="135"/>
        <v/>
      </c>
    </row>
    <row r="3936" spans="37:44" ht="30" hidden="1" customHeight="1">
      <c r="AK3936" s="313"/>
      <c r="AL3936" s="313"/>
      <c r="AM3936" s="313"/>
      <c r="AN3936" s="313"/>
      <c r="AO3936" s="313"/>
      <c r="AP3936" s="313"/>
      <c r="AQ3936" s="314"/>
      <c r="AR3936" s="315" t="str">
        <f t="shared" si="135"/>
        <v/>
      </c>
    </row>
    <row r="3937" spans="37:44" ht="30" hidden="1" customHeight="1">
      <c r="AK3937" s="313"/>
      <c r="AL3937" s="313"/>
      <c r="AM3937" s="313"/>
      <c r="AN3937" s="313"/>
      <c r="AO3937" s="313"/>
      <c r="AP3937" s="313"/>
      <c r="AQ3937" s="314"/>
      <c r="AR3937" s="315" t="str">
        <f t="shared" si="135"/>
        <v/>
      </c>
    </row>
    <row r="3938" spans="37:44" ht="30" hidden="1" customHeight="1">
      <c r="AK3938" s="313"/>
      <c r="AL3938" s="313"/>
      <c r="AM3938" s="313"/>
      <c r="AN3938" s="313"/>
      <c r="AO3938" s="313"/>
      <c r="AP3938" s="313"/>
      <c r="AQ3938" s="314"/>
      <c r="AR3938" s="315" t="str">
        <f t="shared" si="135"/>
        <v/>
      </c>
    </row>
    <row r="3939" spans="37:44" ht="30" hidden="1" customHeight="1">
      <c r="AK3939" s="313"/>
      <c r="AL3939" s="313"/>
      <c r="AM3939" s="313"/>
      <c r="AN3939" s="313"/>
      <c r="AO3939" s="313"/>
      <c r="AP3939" s="313"/>
      <c r="AQ3939" s="314"/>
      <c r="AR3939" s="315" t="str">
        <f t="shared" si="135"/>
        <v/>
      </c>
    </row>
    <row r="3940" spans="37:44" ht="30" hidden="1" customHeight="1">
      <c r="AK3940" s="313"/>
      <c r="AL3940" s="313"/>
      <c r="AM3940" s="313"/>
      <c r="AN3940" s="313"/>
      <c r="AO3940" s="313"/>
      <c r="AP3940" s="313"/>
      <c r="AQ3940" s="314"/>
      <c r="AR3940" s="315" t="str">
        <f t="shared" si="135"/>
        <v/>
      </c>
    </row>
    <row r="3941" spans="37:44" ht="30" hidden="1" customHeight="1">
      <c r="AK3941" s="313"/>
      <c r="AL3941" s="313"/>
      <c r="AM3941" s="313"/>
      <c r="AN3941" s="313"/>
      <c r="AO3941" s="313"/>
      <c r="AP3941" s="313"/>
      <c r="AQ3941" s="314"/>
      <c r="AR3941" s="315" t="str">
        <f t="shared" si="135"/>
        <v/>
      </c>
    </row>
    <row r="3942" spans="37:44" ht="30" hidden="1" customHeight="1">
      <c r="AK3942" s="313"/>
      <c r="AL3942" s="313"/>
      <c r="AM3942" s="313"/>
      <c r="AN3942" s="313"/>
      <c r="AO3942" s="313"/>
      <c r="AP3942" s="313"/>
      <c r="AQ3942" s="314"/>
      <c r="AR3942" s="315" t="str">
        <f t="shared" si="135"/>
        <v/>
      </c>
    </row>
    <row r="3943" spans="37:44" ht="30" hidden="1" customHeight="1">
      <c r="AK3943" s="313"/>
      <c r="AL3943" s="313"/>
      <c r="AM3943" s="313"/>
      <c r="AN3943" s="313"/>
      <c r="AO3943" s="313"/>
      <c r="AP3943" s="313"/>
      <c r="AQ3943" s="314"/>
      <c r="AR3943" s="315" t="str">
        <f t="shared" si="135"/>
        <v/>
      </c>
    </row>
    <row r="3944" spans="37:44" ht="30" hidden="1" customHeight="1">
      <c r="AK3944" s="313"/>
      <c r="AL3944" s="313"/>
      <c r="AM3944" s="313"/>
      <c r="AN3944" s="313"/>
      <c r="AO3944" s="313"/>
      <c r="AP3944" s="313"/>
      <c r="AQ3944" s="314"/>
      <c r="AR3944" s="315" t="str">
        <f t="shared" si="135"/>
        <v/>
      </c>
    </row>
    <row r="3945" spans="37:44" ht="30" hidden="1" customHeight="1">
      <c r="AK3945" s="313"/>
      <c r="AL3945" s="313"/>
      <c r="AM3945" s="313"/>
      <c r="AN3945" s="313"/>
      <c r="AO3945" s="313"/>
      <c r="AP3945" s="313"/>
      <c r="AQ3945" s="314"/>
      <c r="AR3945" s="315" t="str">
        <f t="shared" si="135"/>
        <v/>
      </c>
    </row>
    <row r="3946" spans="37:44" ht="30" hidden="1" customHeight="1">
      <c r="AK3946" s="313"/>
      <c r="AL3946" s="313"/>
      <c r="AM3946" s="313"/>
      <c r="AN3946" s="313"/>
      <c r="AO3946" s="313"/>
      <c r="AP3946" s="313"/>
      <c r="AQ3946" s="314"/>
      <c r="AR3946" s="315" t="str">
        <f t="shared" si="135"/>
        <v/>
      </c>
    </row>
    <row r="3947" spans="37:44" ht="30" hidden="1" customHeight="1">
      <c r="AK3947" s="313"/>
      <c r="AL3947" s="313"/>
      <c r="AM3947" s="313"/>
      <c r="AN3947" s="313"/>
      <c r="AO3947" s="313"/>
      <c r="AP3947" s="313"/>
      <c r="AQ3947" s="314"/>
      <c r="AR3947" s="315" t="str">
        <f t="shared" si="135"/>
        <v/>
      </c>
    </row>
    <row r="3948" spans="37:44" ht="30" hidden="1" customHeight="1">
      <c r="AK3948" s="313"/>
      <c r="AL3948" s="313"/>
      <c r="AM3948" s="313"/>
      <c r="AN3948" s="313"/>
      <c r="AO3948" s="313"/>
      <c r="AP3948" s="313"/>
      <c r="AQ3948" s="314"/>
      <c r="AR3948" s="315" t="str">
        <f t="shared" si="135"/>
        <v/>
      </c>
    </row>
    <row r="3949" spans="37:44" ht="30" hidden="1" customHeight="1">
      <c r="AK3949" s="313"/>
      <c r="AL3949" s="313"/>
      <c r="AM3949" s="313"/>
      <c r="AN3949" s="313"/>
      <c r="AO3949" s="313"/>
      <c r="AP3949" s="313"/>
      <c r="AQ3949" s="314"/>
      <c r="AR3949" s="315" t="str">
        <f t="shared" si="135"/>
        <v/>
      </c>
    </row>
    <row r="3950" spans="37:44" ht="30" hidden="1" customHeight="1">
      <c r="AK3950" s="313"/>
      <c r="AL3950" s="313"/>
      <c r="AM3950" s="313"/>
      <c r="AN3950" s="313"/>
      <c r="AO3950" s="313"/>
      <c r="AP3950" s="313"/>
      <c r="AQ3950" s="314"/>
      <c r="AR3950" s="315" t="str">
        <f t="shared" si="135"/>
        <v/>
      </c>
    </row>
    <row r="3951" spans="37:44" ht="30" hidden="1" customHeight="1">
      <c r="AK3951" s="313"/>
      <c r="AL3951" s="313"/>
      <c r="AM3951" s="313"/>
      <c r="AN3951" s="313"/>
      <c r="AO3951" s="313"/>
      <c r="AP3951" s="313"/>
      <c r="AQ3951" s="314"/>
      <c r="AR3951" s="315" t="str">
        <f t="shared" si="135"/>
        <v/>
      </c>
    </row>
    <row r="3952" spans="37:44" ht="30" hidden="1" customHeight="1">
      <c r="AK3952" s="313"/>
      <c r="AL3952" s="313"/>
      <c r="AM3952" s="313"/>
      <c r="AN3952" s="313"/>
      <c r="AO3952" s="313"/>
      <c r="AP3952" s="313"/>
      <c r="AQ3952" s="314"/>
      <c r="AR3952" s="315" t="str">
        <f t="shared" si="135"/>
        <v/>
      </c>
    </row>
    <row r="3953" spans="37:44" ht="30" hidden="1" customHeight="1">
      <c r="AK3953" s="313"/>
      <c r="AL3953" s="313"/>
      <c r="AM3953" s="313"/>
      <c r="AN3953" s="313"/>
      <c r="AO3953" s="313"/>
      <c r="AP3953" s="313"/>
      <c r="AQ3953" s="314"/>
      <c r="AR3953" s="315" t="str">
        <f t="shared" si="135"/>
        <v/>
      </c>
    </row>
    <row r="3954" spans="37:44" ht="30" hidden="1" customHeight="1">
      <c r="AK3954" s="313"/>
      <c r="AL3954" s="313"/>
      <c r="AM3954" s="313"/>
      <c r="AN3954" s="313"/>
      <c r="AO3954" s="313"/>
      <c r="AP3954" s="313"/>
      <c r="AQ3954" s="314"/>
      <c r="AR3954" s="315" t="str">
        <f t="shared" si="135"/>
        <v/>
      </c>
    </row>
    <row r="3955" spans="37:44" ht="30" hidden="1" customHeight="1">
      <c r="AK3955" s="313"/>
      <c r="AL3955" s="313"/>
      <c r="AM3955" s="313"/>
      <c r="AN3955" s="313"/>
      <c r="AO3955" s="313"/>
      <c r="AP3955" s="313"/>
      <c r="AQ3955" s="314"/>
      <c r="AR3955" s="315" t="str">
        <f t="shared" si="135"/>
        <v/>
      </c>
    </row>
    <row r="3956" spans="37:44" ht="30" hidden="1" customHeight="1">
      <c r="AK3956" s="313"/>
      <c r="AL3956" s="313"/>
      <c r="AM3956" s="313"/>
      <c r="AN3956" s="313"/>
      <c r="AO3956" s="313"/>
      <c r="AP3956" s="313"/>
      <c r="AQ3956" s="314"/>
      <c r="AR3956" s="315" t="str">
        <f t="shared" si="135"/>
        <v/>
      </c>
    </row>
    <row r="3957" spans="37:44" ht="30" hidden="1" customHeight="1">
      <c r="AK3957" s="313"/>
      <c r="AL3957" s="313"/>
      <c r="AM3957" s="313"/>
      <c r="AN3957" s="313"/>
      <c r="AO3957" s="313"/>
      <c r="AP3957" s="313"/>
      <c r="AQ3957" s="314"/>
      <c r="AR3957" s="315" t="str">
        <f t="shared" si="135"/>
        <v/>
      </c>
    </row>
    <row r="3958" spans="37:44" ht="30" hidden="1" customHeight="1">
      <c r="AK3958" s="313"/>
      <c r="AL3958" s="313"/>
      <c r="AM3958" s="313"/>
      <c r="AN3958" s="313"/>
      <c r="AO3958" s="313"/>
      <c r="AP3958" s="313"/>
      <c r="AQ3958" s="314"/>
      <c r="AR3958" s="315" t="str">
        <f t="shared" si="135"/>
        <v/>
      </c>
    </row>
    <row r="3959" spans="37:44" ht="30" hidden="1" customHeight="1">
      <c r="AK3959" s="313"/>
      <c r="AL3959" s="313"/>
      <c r="AM3959" s="313"/>
      <c r="AN3959" s="313"/>
      <c r="AO3959" s="313"/>
      <c r="AP3959" s="313"/>
      <c r="AQ3959" s="314"/>
      <c r="AR3959" s="315" t="str">
        <f t="shared" si="135"/>
        <v/>
      </c>
    </row>
    <row r="3960" spans="37:44" ht="30" hidden="1" customHeight="1">
      <c r="AK3960" s="313"/>
      <c r="AL3960" s="313"/>
      <c r="AM3960" s="313"/>
      <c r="AN3960" s="313"/>
      <c r="AO3960" s="313"/>
      <c r="AP3960" s="313"/>
      <c r="AQ3960" s="314"/>
      <c r="AR3960" s="315" t="str">
        <f t="shared" si="135"/>
        <v/>
      </c>
    </row>
    <row r="3961" spans="37:44" ht="30" hidden="1" customHeight="1">
      <c r="AK3961" s="313"/>
      <c r="AL3961" s="313"/>
      <c r="AM3961" s="313"/>
      <c r="AN3961" s="313"/>
      <c r="AO3961" s="313"/>
      <c r="AP3961" s="313"/>
      <c r="AQ3961" s="314"/>
      <c r="AR3961" s="315" t="str">
        <f t="shared" si="135"/>
        <v/>
      </c>
    </row>
    <row r="3962" spans="37:44" ht="30" hidden="1" customHeight="1">
      <c r="AK3962" s="313"/>
      <c r="AL3962" s="313"/>
      <c r="AM3962" s="313"/>
      <c r="AN3962" s="313"/>
      <c r="AO3962" s="313"/>
      <c r="AP3962" s="313"/>
      <c r="AQ3962" s="314"/>
      <c r="AR3962" s="315" t="str">
        <f t="shared" si="135"/>
        <v/>
      </c>
    </row>
    <row r="3963" spans="37:44" ht="30" hidden="1" customHeight="1">
      <c r="AK3963" s="313"/>
      <c r="AL3963" s="313"/>
      <c r="AM3963" s="313"/>
      <c r="AN3963" s="313"/>
      <c r="AO3963" s="313"/>
      <c r="AP3963" s="313"/>
      <c r="AQ3963" s="314"/>
      <c r="AR3963" s="315" t="str">
        <f t="shared" si="135"/>
        <v/>
      </c>
    </row>
    <row r="3964" spans="37:44" ht="30" hidden="1" customHeight="1">
      <c r="AK3964" s="313"/>
      <c r="AL3964" s="313"/>
      <c r="AM3964" s="313"/>
      <c r="AN3964" s="313"/>
      <c r="AO3964" s="313"/>
      <c r="AP3964" s="313"/>
      <c r="AQ3964" s="314"/>
      <c r="AR3964" s="315" t="str">
        <f t="shared" si="135"/>
        <v/>
      </c>
    </row>
    <row r="3965" spans="37:44" ht="30" hidden="1" customHeight="1">
      <c r="AK3965" s="313"/>
      <c r="AL3965" s="313"/>
      <c r="AM3965" s="313"/>
      <c r="AN3965" s="313"/>
      <c r="AO3965" s="313"/>
      <c r="AP3965" s="313"/>
      <c r="AQ3965" s="314"/>
      <c r="AR3965" s="315" t="str">
        <f t="shared" si="135"/>
        <v/>
      </c>
    </row>
    <row r="3966" spans="37:44" ht="30" hidden="1" customHeight="1">
      <c r="AK3966" s="313"/>
      <c r="AL3966" s="313"/>
      <c r="AM3966" s="313"/>
      <c r="AN3966" s="313"/>
      <c r="AO3966" s="313"/>
      <c r="AP3966" s="313"/>
      <c r="AQ3966" s="314"/>
      <c r="AR3966" s="315" t="str">
        <f t="shared" si="135"/>
        <v/>
      </c>
    </row>
    <row r="3967" spans="37:44" ht="30" hidden="1" customHeight="1">
      <c r="AK3967" s="313"/>
      <c r="AL3967" s="313"/>
      <c r="AM3967" s="313"/>
      <c r="AN3967" s="313"/>
      <c r="AO3967" s="313"/>
      <c r="AP3967" s="313"/>
      <c r="AQ3967" s="314"/>
      <c r="AR3967" s="315" t="str">
        <f t="shared" ref="AR3967:AR4030" si="136">IF(AQ3967="SIM","AGUARDANDO CORREÇÃO",IF(AP3967&lt;&gt;"","FINALIZADO",IF(AO3967&lt;&gt;"","AGUARDANDO ENVIO DTS",IF(AN3967&lt;&gt;"","AGUARDANDO ASSINATURA GAB",IF(AM3967&lt;&gt;"","AGUARDANDO ASSINATURA CTS",IF(AL3967&lt;&gt;"","AGUARDANDO ENVIO ASSINATURA CTS",IF(AK3967&lt;&gt;"","AGUARDANDO CONFERÊNCIA","")))))))</f>
        <v/>
      </c>
    </row>
    <row r="3968" spans="37:44" ht="30" hidden="1" customHeight="1">
      <c r="AK3968" s="313"/>
      <c r="AL3968" s="313"/>
      <c r="AM3968" s="313"/>
      <c r="AN3968" s="313"/>
      <c r="AO3968" s="313"/>
      <c r="AP3968" s="313"/>
      <c r="AQ3968" s="314"/>
      <c r="AR3968" s="315" t="str">
        <f t="shared" si="136"/>
        <v/>
      </c>
    </row>
    <row r="3969" spans="37:44" ht="30" hidden="1" customHeight="1">
      <c r="AK3969" s="313"/>
      <c r="AL3969" s="313"/>
      <c r="AM3969" s="313"/>
      <c r="AN3969" s="313"/>
      <c r="AO3969" s="313"/>
      <c r="AP3969" s="313"/>
      <c r="AQ3969" s="314"/>
      <c r="AR3969" s="315" t="str">
        <f t="shared" si="136"/>
        <v/>
      </c>
    </row>
    <row r="3970" spans="37:44" ht="30" hidden="1" customHeight="1">
      <c r="AK3970" s="313"/>
      <c r="AL3970" s="313"/>
      <c r="AM3970" s="313"/>
      <c r="AN3970" s="313"/>
      <c r="AO3970" s="313"/>
      <c r="AP3970" s="313"/>
      <c r="AQ3970" s="314"/>
      <c r="AR3970" s="315" t="str">
        <f t="shared" si="136"/>
        <v/>
      </c>
    </row>
    <row r="3971" spans="37:44" ht="30" hidden="1" customHeight="1">
      <c r="AK3971" s="313"/>
      <c r="AL3971" s="313"/>
      <c r="AM3971" s="313"/>
      <c r="AN3971" s="313"/>
      <c r="AO3971" s="313"/>
      <c r="AP3971" s="313"/>
      <c r="AQ3971" s="314"/>
      <c r="AR3971" s="315" t="str">
        <f t="shared" si="136"/>
        <v/>
      </c>
    </row>
    <row r="3972" spans="37:44" ht="30" hidden="1" customHeight="1">
      <c r="AK3972" s="313"/>
      <c r="AL3972" s="313"/>
      <c r="AM3972" s="313"/>
      <c r="AN3972" s="313"/>
      <c r="AO3972" s="313"/>
      <c r="AP3972" s="313"/>
      <c r="AQ3972" s="314"/>
      <c r="AR3972" s="315" t="str">
        <f t="shared" si="136"/>
        <v/>
      </c>
    </row>
    <row r="3973" spans="37:44" ht="30" hidden="1" customHeight="1">
      <c r="AK3973" s="313"/>
      <c r="AL3973" s="313"/>
      <c r="AM3973" s="313"/>
      <c r="AN3973" s="313"/>
      <c r="AO3973" s="313"/>
      <c r="AP3973" s="313"/>
      <c r="AQ3973" s="314"/>
      <c r="AR3973" s="315" t="str">
        <f t="shared" si="136"/>
        <v/>
      </c>
    </row>
    <row r="3974" spans="37:44" ht="30" hidden="1" customHeight="1">
      <c r="AK3974" s="313"/>
      <c r="AL3974" s="313"/>
      <c r="AM3974" s="313"/>
      <c r="AN3974" s="313"/>
      <c r="AO3974" s="313"/>
      <c r="AP3974" s="313"/>
      <c r="AQ3974" s="314"/>
      <c r="AR3974" s="315" t="str">
        <f t="shared" si="136"/>
        <v/>
      </c>
    </row>
    <row r="3975" spans="37:44" ht="30" hidden="1" customHeight="1">
      <c r="AK3975" s="313"/>
      <c r="AL3975" s="313"/>
      <c r="AM3975" s="313"/>
      <c r="AN3975" s="313"/>
      <c r="AO3975" s="313"/>
      <c r="AP3975" s="313"/>
      <c r="AQ3975" s="314"/>
      <c r="AR3975" s="315" t="str">
        <f t="shared" si="136"/>
        <v/>
      </c>
    </row>
    <row r="3976" spans="37:44" ht="30" hidden="1" customHeight="1">
      <c r="AK3976" s="313"/>
      <c r="AL3976" s="313"/>
      <c r="AM3976" s="313"/>
      <c r="AN3976" s="313"/>
      <c r="AO3976" s="313"/>
      <c r="AP3976" s="313"/>
      <c r="AQ3976" s="314"/>
      <c r="AR3976" s="315" t="str">
        <f t="shared" si="136"/>
        <v/>
      </c>
    </row>
    <row r="3977" spans="37:44" ht="30" hidden="1" customHeight="1">
      <c r="AK3977" s="313"/>
      <c r="AL3977" s="313"/>
      <c r="AM3977" s="313"/>
      <c r="AN3977" s="313"/>
      <c r="AO3977" s="313"/>
      <c r="AP3977" s="313"/>
      <c r="AQ3977" s="314"/>
      <c r="AR3977" s="315" t="str">
        <f t="shared" si="136"/>
        <v/>
      </c>
    </row>
    <row r="3978" spans="37:44" ht="30" hidden="1" customHeight="1">
      <c r="AK3978" s="313"/>
      <c r="AL3978" s="313"/>
      <c r="AM3978" s="313"/>
      <c r="AN3978" s="313"/>
      <c r="AO3978" s="313"/>
      <c r="AP3978" s="313"/>
      <c r="AQ3978" s="314"/>
      <c r="AR3978" s="315" t="str">
        <f t="shared" si="136"/>
        <v/>
      </c>
    </row>
    <row r="3979" spans="37:44" ht="30" hidden="1" customHeight="1">
      <c r="AK3979" s="313"/>
      <c r="AL3979" s="313"/>
      <c r="AM3979" s="313"/>
      <c r="AN3979" s="313"/>
      <c r="AO3979" s="313"/>
      <c r="AP3979" s="313"/>
      <c r="AQ3979" s="314"/>
      <c r="AR3979" s="315" t="str">
        <f t="shared" si="136"/>
        <v/>
      </c>
    </row>
    <row r="3980" spans="37:44" ht="30" hidden="1" customHeight="1">
      <c r="AK3980" s="313"/>
      <c r="AL3980" s="313"/>
      <c r="AM3980" s="313"/>
      <c r="AN3980" s="313"/>
      <c r="AO3980" s="313"/>
      <c r="AP3980" s="313"/>
      <c r="AQ3980" s="314"/>
      <c r="AR3980" s="315" t="str">
        <f t="shared" si="136"/>
        <v/>
      </c>
    </row>
    <row r="3981" spans="37:44" ht="30" hidden="1" customHeight="1">
      <c r="AK3981" s="313"/>
      <c r="AL3981" s="313"/>
      <c r="AM3981" s="313"/>
      <c r="AN3981" s="313"/>
      <c r="AO3981" s="313"/>
      <c r="AP3981" s="313"/>
      <c r="AQ3981" s="314"/>
      <c r="AR3981" s="315" t="str">
        <f t="shared" si="136"/>
        <v/>
      </c>
    </row>
    <row r="3982" spans="37:44" ht="30" hidden="1" customHeight="1">
      <c r="AK3982" s="313"/>
      <c r="AL3982" s="313"/>
      <c r="AM3982" s="313"/>
      <c r="AN3982" s="313"/>
      <c r="AO3982" s="313"/>
      <c r="AP3982" s="313"/>
      <c r="AQ3982" s="314"/>
      <c r="AR3982" s="315" t="str">
        <f t="shared" si="136"/>
        <v/>
      </c>
    </row>
    <row r="3983" spans="37:44" ht="30" hidden="1" customHeight="1">
      <c r="AK3983" s="313"/>
      <c r="AL3983" s="313"/>
      <c r="AM3983" s="313"/>
      <c r="AN3983" s="313"/>
      <c r="AO3983" s="313"/>
      <c r="AP3983" s="313"/>
      <c r="AQ3983" s="314"/>
      <c r="AR3983" s="315" t="str">
        <f t="shared" si="136"/>
        <v/>
      </c>
    </row>
    <row r="3984" spans="37:44" ht="30" hidden="1" customHeight="1">
      <c r="AK3984" s="313"/>
      <c r="AL3984" s="313"/>
      <c r="AM3984" s="313"/>
      <c r="AN3984" s="313"/>
      <c r="AO3984" s="313"/>
      <c r="AP3984" s="313"/>
      <c r="AQ3984" s="314"/>
      <c r="AR3984" s="315" t="str">
        <f t="shared" si="136"/>
        <v/>
      </c>
    </row>
    <row r="3985" spans="37:44" ht="30" hidden="1" customHeight="1">
      <c r="AK3985" s="313"/>
      <c r="AL3985" s="313"/>
      <c r="AM3985" s="313"/>
      <c r="AN3985" s="313"/>
      <c r="AO3985" s="313"/>
      <c r="AP3985" s="313"/>
      <c r="AQ3985" s="314"/>
      <c r="AR3985" s="315" t="str">
        <f t="shared" si="136"/>
        <v/>
      </c>
    </row>
    <row r="3986" spans="37:44" ht="30" hidden="1" customHeight="1">
      <c r="AK3986" s="313"/>
      <c r="AL3986" s="313"/>
      <c r="AM3986" s="313"/>
      <c r="AN3986" s="313"/>
      <c r="AO3986" s="313"/>
      <c r="AP3986" s="313"/>
      <c r="AQ3986" s="314"/>
      <c r="AR3986" s="315" t="str">
        <f t="shared" si="136"/>
        <v/>
      </c>
    </row>
    <row r="3987" spans="37:44" ht="30" hidden="1" customHeight="1">
      <c r="AK3987" s="313"/>
      <c r="AL3987" s="313"/>
      <c r="AM3987" s="313"/>
      <c r="AN3987" s="313"/>
      <c r="AO3987" s="313"/>
      <c r="AP3987" s="313"/>
      <c r="AQ3987" s="314"/>
      <c r="AR3987" s="315" t="str">
        <f t="shared" si="136"/>
        <v/>
      </c>
    </row>
    <row r="3988" spans="37:44" ht="30" hidden="1" customHeight="1">
      <c r="AK3988" s="313"/>
      <c r="AL3988" s="313"/>
      <c r="AM3988" s="313"/>
      <c r="AN3988" s="313"/>
      <c r="AO3988" s="313"/>
      <c r="AP3988" s="313"/>
      <c r="AQ3988" s="314"/>
      <c r="AR3988" s="315" t="str">
        <f t="shared" si="136"/>
        <v/>
      </c>
    </row>
    <row r="3989" spans="37:44" ht="30" hidden="1" customHeight="1">
      <c r="AK3989" s="313"/>
      <c r="AL3989" s="313"/>
      <c r="AM3989" s="313"/>
      <c r="AN3989" s="313"/>
      <c r="AO3989" s="313"/>
      <c r="AP3989" s="313"/>
      <c r="AQ3989" s="314"/>
      <c r="AR3989" s="315" t="str">
        <f t="shared" si="136"/>
        <v/>
      </c>
    </row>
    <row r="3990" spans="37:44" ht="30" hidden="1" customHeight="1">
      <c r="AK3990" s="313"/>
      <c r="AL3990" s="313"/>
      <c r="AM3990" s="313"/>
      <c r="AN3990" s="313"/>
      <c r="AO3990" s="313"/>
      <c r="AP3990" s="313"/>
      <c r="AQ3990" s="314"/>
      <c r="AR3990" s="315" t="str">
        <f t="shared" si="136"/>
        <v/>
      </c>
    </row>
    <row r="3991" spans="37:44" ht="30" hidden="1" customHeight="1">
      <c r="AK3991" s="313"/>
      <c r="AL3991" s="313"/>
      <c r="AM3991" s="313"/>
      <c r="AN3991" s="313"/>
      <c r="AO3991" s="313"/>
      <c r="AP3991" s="313"/>
      <c r="AQ3991" s="314"/>
      <c r="AR3991" s="315" t="str">
        <f t="shared" si="136"/>
        <v/>
      </c>
    </row>
    <row r="3992" spans="37:44" ht="30" hidden="1" customHeight="1">
      <c r="AK3992" s="313"/>
      <c r="AL3992" s="313"/>
      <c r="AM3992" s="313"/>
      <c r="AN3992" s="313"/>
      <c r="AO3992" s="313"/>
      <c r="AP3992" s="313"/>
      <c r="AQ3992" s="314"/>
      <c r="AR3992" s="315" t="str">
        <f t="shared" si="136"/>
        <v/>
      </c>
    </row>
    <row r="3993" spans="37:44" ht="30" hidden="1" customHeight="1">
      <c r="AK3993" s="313"/>
      <c r="AL3993" s="313"/>
      <c r="AM3993" s="313"/>
      <c r="AN3993" s="313"/>
      <c r="AO3993" s="313"/>
      <c r="AP3993" s="313"/>
      <c r="AQ3993" s="314"/>
      <c r="AR3993" s="315" t="str">
        <f t="shared" si="136"/>
        <v/>
      </c>
    </row>
    <row r="3994" spans="37:44" ht="30" hidden="1" customHeight="1">
      <c r="AK3994" s="313"/>
      <c r="AL3994" s="313"/>
      <c r="AM3994" s="313"/>
      <c r="AN3994" s="313"/>
      <c r="AO3994" s="313"/>
      <c r="AP3994" s="313"/>
      <c r="AQ3994" s="314"/>
      <c r="AR3994" s="315" t="str">
        <f t="shared" si="136"/>
        <v/>
      </c>
    </row>
    <row r="3995" spans="37:44" ht="30" hidden="1" customHeight="1">
      <c r="AK3995" s="313"/>
      <c r="AL3995" s="313"/>
      <c r="AM3995" s="313"/>
      <c r="AN3995" s="313"/>
      <c r="AO3995" s="313"/>
      <c r="AP3995" s="313"/>
      <c r="AQ3995" s="314"/>
      <c r="AR3995" s="315" t="str">
        <f t="shared" si="136"/>
        <v/>
      </c>
    </row>
    <row r="3996" spans="37:44" ht="30" hidden="1" customHeight="1">
      <c r="AK3996" s="313"/>
      <c r="AL3996" s="313"/>
      <c r="AM3996" s="313"/>
      <c r="AN3996" s="313"/>
      <c r="AO3996" s="313"/>
      <c r="AP3996" s="313"/>
      <c r="AQ3996" s="314"/>
      <c r="AR3996" s="315" t="str">
        <f t="shared" si="136"/>
        <v/>
      </c>
    </row>
    <row r="3997" spans="37:44" ht="30" hidden="1" customHeight="1">
      <c r="AK3997" s="313"/>
      <c r="AL3997" s="313"/>
      <c r="AM3997" s="313"/>
      <c r="AN3997" s="313"/>
      <c r="AO3997" s="313"/>
      <c r="AP3997" s="313"/>
      <c r="AQ3997" s="314"/>
      <c r="AR3997" s="315" t="str">
        <f t="shared" si="136"/>
        <v/>
      </c>
    </row>
    <row r="3998" spans="37:44" ht="30" hidden="1" customHeight="1">
      <c r="AK3998" s="313"/>
      <c r="AL3998" s="313"/>
      <c r="AM3998" s="313"/>
      <c r="AN3998" s="313"/>
      <c r="AO3998" s="313"/>
      <c r="AP3998" s="313"/>
      <c r="AQ3998" s="314"/>
      <c r="AR3998" s="315" t="str">
        <f t="shared" si="136"/>
        <v/>
      </c>
    </row>
    <row r="3999" spans="37:44" ht="30" hidden="1" customHeight="1">
      <c r="AK3999" s="313"/>
      <c r="AL3999" s="313"/>
      <c r="AM3999" s="313"/>
      <c r="AN3999" s="313"/>
      <c r="AO3999" s="313"/>
      <c r="AP3999" s="313"/>
      <c r="AQ3999" s="314"/>
      <c r="AR3999" s="315" t="str">
        <f t="shared" si="136"/>
        <v/>
      </c>
    </row>
    <row r="4000" spans="37:44" ht="30" hidden="1" customHeight="1">
      <c r="AK4000" s="313"/>
      <c r="AL4000" s="313"/>
      <c r="AM4000" s="313"/>
      <c r="AN4000" s="313"/>
      <c r="AO4000" s="313"/>
      <c r="AP4000" s="313"/>
      <c r="AQ4000" s="314"/>
      <c r="AR4000" s="315" t="str">
        <f t="shared" si="136"/>
        <v/>
      </c>
    </row>
    <row r="4001" spans="37:44" ht="30" hidden="1" customHeight="1">
      <c r="AK4001" s="313"/>
      <c r="AL4001" s="313"/>
      <c r="AM4001" s="313"/>
      <c r="AN4001" s="313"/>
      <c r="AO4001" s="313"/>
      <c r="AP4001" s="313"/>
      <c r="AQ4001" s="314"/>
      <c r="AR4001" s="315" t="str">
        <f t="shared" si="136"/>
        <v/>
      </c>
    </row>
    <row r="4002" spans="37:44" ht="30" hidden="1" customHeight="1">
      <c r="AK4002" s="313"/>
      <c r="AL4002" s="313"/>
      <c r="AM4002" s="313"/>
      <c r="AN4002" s="313"/>
      <c r="AO4002" s="313"/>
      <c r="AP4002" s="313"/>
      <c r="AQ4002" s="314"/>
      <c r="AR4002" s="315" t="str">
        <f t="shared" si="136"/>
        <v/>
      </c>
    </row>
    <row r="4003" spans="37:44" ht="30" hidden="1" customHeight="1">
      <c r="AK4003" s="313"/>
      <c r="AL4003" s="313"/>
      <c r="AM4003" s="313"/>
      <c r="AN4003" s="313"/>
      <c r="AO4003" s="313"/>
      <c r="AP4003" s="313"/>
      <c r="AQ4003" s="314"/>
      <c r="AR4003" s="315" t="str">
        <f t="shared" si="136"/>
        <v/>
      </c>
    </row>
    <row r="4004" spans="37:44" ht="30" hidden="1" customHeight="1">
      <c r="AK4004" s="313"/>
      <c r="AL4004" s="313"/>
      <c r="AM4004" s="313"/>
      <c r="AN4004" s="313"/>
      <c r="AO4004" s="313"/>
      <c r="AP4004" s="313"/>
      <c r="AQ4004" s="314"/>
      <c r="AR4004" s="315" t="str">
        <f t="shared" si="136"/>
        <v/>
      </c>
    </row>
    <row r="4005" spans="37:44" ht="30" hidden="1" customHeight="1">
      <c r="AK4005" s="313"/>
      <c r="AL4005" s="313"/>
      <c r="AM4005" s="313"/>
      <c r="AN4005" s="313"/>
      <c r="AO4005" s="313"/>
      <c r="AP4005" s="313"/>
      <c r="AQ4005" s="314"/>
      <c r="AR4005" s="315" t="str">
        <f t="shared" si="136"/>
        <v/>
      </c>
    </row>
    <row r="4006" spans="37:44" ht="30" hidden="1" customHeight="1">
      <c r="AK4006" s="313"/>
      <c r="AL4006" s="313"/>
      <c r="AM4006" s="313"/>
      <c r="AN4006" s="313"/>
      <c r="AO4006" s="313"/>
      <c r="AP4006" s="313"/>
      <c r="AQ4006" s="314"/>
      <c r="AR4006" s="315" t="str">
        <f t="shared" si="136"/>
        <v/>
      </c>
    </row>
    <row r="4007" spans="37:44" ht="30" hidden="1" customHeight="1">
      <c r="AK4007" s="313"/>
      <c r="AL4007" s="313"/>
      <c r="AM4007" s="313"/>
      <c r="AN4007" s="313"/>
      <c r="AO4007" s="313"/>
      <c r="AP4007" s="313"/>
      <c r="AQ4007" s="314"/>
      <c r="AR4007" s="315" t="str">
        <f t="shared" si="136"/>
        <v/>
      </c>
    </row>
    <row r="4008" spans="37:44" ht="30" hidden="1" customHeight="1">
      <c r="AK4008" s="313"/>
      <c r="AL4008" s="313"/>
      <c r="AM4008" s="313"/>
      <c r="AN4008" s="313"/>
      <c r="AO4008" s="313"/>
      <c r="AP4008" s="313"/>
      <c r="AQ4008" s="314"/>
      <c r="AR4008" s="315" t="str">
        <f t="shared" si="136"/>
        <v/>
      </c>
    </row>
    <row r="4009" spans="37:44" ht="30" hidden="1" customHeight="1">
      <c r="AK4009" s="313"/>
      <c r="AL4009" s="313"/>
      <c r="AM4009" s="313"/>
      <c r="AN4009" s="313"/>
      <c r="AO4009" s="313"/>
      <c r="AP4009" s="313"/>
      <c r="AQ4009" s="314"/>
      <c r="AR4009" s="315" t="str">
        <f t="shared" si="136"/>
        <v/>
      </c>
    </row>
    <row r="4010" spans="37:44" ht="30" hidden="1" customHeight="1">
      <c r="AK4010" s="313"/>
      <c r="AL4010" s="313"/>
      <c r="AM4010" s="313"/>
      <c r="AN4010" s="313"/>
      <c r="AO4010" s="313"/>
      <c r="AP4010" s="313"/>
      <c r="AQ4010" s="314"/>
      <c r="AR4010" s="315" t="str">
        <f t="shared" si="136"/>
        <v/>
      </c>
    </row>
    <row r="4011" spans="37:44" ht="30" hidden="1" customHeight="1">
      <c r="AK4011" s="313"/>
      <c r="AL4011" s="313"/>
      <c r="AM4011" s="313"/>
      <c r="AN4011" s="313"/>
      <c r="AO4011" s="313"/>
      <c r="AP4011" s="313"/>
      <c r="AQ4011" s="314"/>
      <c r="AR4011" s="315" t="str">
        <f t="shared" si="136"/>
        <v/>
      </c>
    </row>
    <row r="4012" spans="37:44" ht="30" hidden="1" customHeight="1">
      <c r="AK4012" s="313"/>
      <c r="AL4012" s="313"/>
      <c r="AM4012" s="313"/>
      <c r="AN4012" s="313"/>
      <c r="AO4012" s="313"/>
      <c r="AP4012" s="313"/>
      <c r="AQ4012" s="314"/>
      <c r="AR4012" s="315" t="str">
        <f t="shared" si="136"/>
        <v/>
      </c>
    </row>
    <row r="4013" spans="37:44" ht="30" hidden="1" customHeight="1">
      <c r="AK4013" s="313"/>
      <c r="AL4013" s="313"/>
      <c r="AM4013" s="313"/>
      <c r="AN4013" s="313"/>
      <c r="AO4013" s="313"/>
      <c r="AP4013" s="313"/>
      <c r="AQ4013" s="314"/>
      <c r="AR4013" s="315" t="str">
        <f t="shared" si="136"/>
        <v/>
      </c>
    </row>
    <row r="4014" spans="37:44" ht="30" hidden="1" customHeight="1">
      <c r="AK4014" s="313"/>
      <c r="AL4014" s="313"/>
      <c r="AM4014" s="313"/>
      <c r="AN4014" s="313"/>
      <c r="AO4014" s="313"/>
      <c r="AP4014" s="313"/>
      <c r="AQ4014" s="314"/>
      <c r="AR4014" s="315" t="str">
        <f t="shared" si="136"/>
        <v/>
      </c>
    </row>
    <row r="4015" spans="37:44" ht="30" hidden="1" customHeight="1">
      <c r="AK4015" s="313"/>
      <c r="AL4015" s="313"/>
      <c r="AM4015" s="313"/>
      <c r="AN4015" s="313"/>
      <c r="AO4015" s="313"/>
      <c r="AP4015" s="313"/>
      <c r="AQ4015" s="314"/>
      <c r="AR4015" s="315" t="str">
        <f t="shared" si="136"/>
        <v/>
      </c>
    </row>
    <row r="4016" spans="37:44" ht="30" hidden="1" customHeight="1">
      <c r="AK4016" s="313"/>
      <c r="AL4016" s="313"/>
      <c r="AM4016" s="313"/>
      <c r="AN4016" s="313"/>
      <c r="AO4016" s="313"/>
      <c r="AP4016" s="313"/>
      <c r="AQ4016" s="314"/>
      <c r="AR4016" s="315" t="str">
        <f t="shared" si="136"/>
        <v/>
      </c>
    </row>
    <row r="4017" spans="37:44" ht="30" hidden="1" customHeight="1">
      <c r="AK4017" s="313"/>
      <c r="AL4017" s="313"/>
      <c r="AM4017" s="313"/>
      <c r="AN4017" s="313"/>
      <c r="AO4017" s="313"/>
      <c r="AP4017" s="313"/>
      <c r="AQ4017" s="314"/>
      <c r="AR4017" s="315" t="str">
        <f t="shared" si="136"/>
        <v/>
      </c>
    </row>
    <row r="4018" spans="37:44" ht="30" hidden="1" customHeight="1">
      <c r="AK4018" s="313"/>
      <c r="AL4018" s="313"/>
      <c r="AM4018" s="313"/>
      <c r="AN4018" s="313"/>
      <c r="AO4018" s="313"/>
      <c r="AP4018" s="313"/>
      <c r="AQ4018" s="314"/>
      <c r="AR4018" s="315" t="str">
        <f t="shared" si="136"/>
        <v/>
      </c>
    </row>
    <row r="4019" spans="37:44" ht="30" hidden="1" customHeight="1">
      <c r="AK4019" s="313"/>
      <c r="AL4019" s="313"/>
      <c r="AM4019" s="313"/>
      <c r="AN4019" s="313"/>
      <c r="AO4019" s="313"/>
      <c r="AP4019" s="313"/>
      <c r="AQ4019" s="314"/>
      <c r="AR4019" s="315" t="str">
        <f t="shared" si="136"/>
        <v/>
      </c>
    </row>
    <row r="4020" spans="37:44" ht="30" hidden="1" customHeight="1">
      <c r="AK4020" s="313"/>
      <c r="AL4020" s="313"/>
      <c r="AM4020" s="313"/>
      <c r="AN4020" s="313"/>
      <c r="AO4020" s="313"/>
      <c r="AP4020" s="313"/>
      <c r="AQ4020" s="314"/>
      <c r="AR4020" s="315" t="str">
        <f t="shared" si="136"/>
        <v/>
      </c>
    </row>
    <row r="4021" spans="37:44" ht="30" hidden="1" customHeight="1">
      <c r="AK4021" s="313"/>
      <c r="AL4021" s="313"/>
      <c r="AM4021" s="313"/>
      <c r="AN4021" s="313"/>
      <c r="AO4021" s="313"/>
      <c r="AP4021" s="313"/>
      <c r="AQ4021" s="314"/>
      <c r="AR4021" s="315" t="str">
        <f t="shared" si="136"/>
        <v/>
      </c>
    </row>
    <row r="4022" spans="37:44" ht="30" hidden="1" customHeight="1">
      <c r="AK4022" s="313"/>
      <c r="AL4022" s="313"/>
      <c r="AM4022" s="313"/>
      <c r="AN4022" s="313"/>
      <c r="AO4022" s="313"/>
      <c r="AP4022" s="313"/>
      <c r="AQ4022" s="314"/>
      <c r="AR4022" s="315" t="str">
        <f t="shared" si="136"/>
        <v/>
      </c>
    </row>
    <row r="4023" spans="37:44" ht="30" hidden="1" customHeight="1">
      <c r="AK4023" s="313"/>
      <c r="AL4023" s="313"/>
      <c r="AM4023" s="313"/>
      <c r="AN4023" s="313"/>
      <c r="AO4023" s="313"/>
      <c r="AP4023" s="313"/>
      <c r="AQ4023" s="314"/>
      <c r="AR4023" s="315" t="str">
        <f t="shared" si="136"/>
        <v/>
      </c>
    </row>
    <row r="4024" spans="37:44" ht="30" hidden="1" customHeight="1">
      <c r="AK4024" s="313"/>
      <c r="AL4024" s="313"/>
      <c r="AM4024" s="313"/>
      <c r="AN4024" s="313"/>
      <c r="AO4024" s="313"/>
      <c r="AP4024" s="313"/>
      <c r="AQ4024" s="314"/>
      <c r="AR4024" s="315" t="str">
        <f t="shared" si="136"/>
        <v/>
      </c>
    </row>
    <row r="4025" spans="37:44" ht="30" hidden="1" customHeight="1">
      <c r="AK4025" s="313"/>
      <c r="AL4025" s="313"/>
      <c r="AM4025" s="313"/>
      <c r="AN4025" s="313"/>
      <c r="AO4025" s="313"/>
      <c r="AP4025" s="313"/>
      <c r="AQ4025" s="314"/>
      <c r="AR4025" s="315" t="str">
        <f t="shared" si="136"/>
        <v/>
      </c>
    </row>
    <row r="4026" spans="37:44" ht="30" hidden="1" customHeight="1">
      <c r="AK4026" s="313"/>
      <c r="AL4026" s="313"/>
      <c r="AM4026" s="313"/>
      <c r="AN4026" s="313"/>
      <c r="AO4026" s="313"/>
      <c r="AP4026" s="313"/>
      <c r="AQ4026" s="314"/>
      <c r="AR4026" s="315" t="str">
        <f t="shared" si="136"/>
        <v/>
      </c>
    </row>
    <row r="4027" spans="37:44" ht="30" hidden="1" customHeight="1">
      <c r="AK4027" s="313"/>
      <c r="AL4027" s="313"/>
      <c r="AM4027" s="313"/>
      <c r="AN4027" s="313"/>
      <c r="AO4027" s="313"/>
      <c r="AP4027" s="313"/>
      <c r="AQ4027" s="314"/>
      <c r="AR4027" s="315" t="str">
        <f t="shared" si="136"/>
        <v/>
      </c>
    </row>
    <row r="4028" spans="37:44" ht="30" hidden="1" customHeight="1">
      <c r="AK4028" s="313"/>
      <c r="AL4028" s="313"/>
      <c r="AM4028" s="313"/>
      <c r="AN4028" s="313"/>
      <c r="AO4028" s="313"/>
      <c r="AP4028" s="313"/>
      <c r="AQ4028" s="314"/>
      <c r="AR4028" s="315" t="str">
        <f t="shared" si="136"/>
        <v/>
      </c>
    </row>
    <row r="4029" spans="37:44" ht="30" hidden="1" customHeight="1">
      <c r="AK4029" s="313"/>
      <c r="AL4029" s="313"/>
      <c r="AM4029" s="313"/>
      <c r="AN4029" s="313"/>
      <c r="AO4029" s="313"/>
      <c r="AP4029" s="313"/>
      <c r="AQ4029" s="314"/>
      <c r="AR4029" s="315" t="str">
        <f t="shared" si="136"/>
        <v/>
      </c>
    </row>
    <row r="4030" spans="37:44" ht="30" hidden="1" customHeight="1">
      <c r="AK4030" s="313"/>
      <c r="AL4030" s="313"/>
      <c r="AM4030" s="313"/>
      <c r="AN4030" s="313"/>
      <c r="AO4030" s="313"/>
      <c r="AP4030" s="313"/>
      <c r="AQ4030" s="314"/>
      <c r="AR4030" s="315" t="str">
        <f t="shared" si="136"/>
        <v/>
      </c>
    </row>
    <row r="4031" spans="37:44" ht="30" hidden="1" customHeight="1">
      <c r="AK4031" s="313"/>
      <c r="AL4031" s="313"/>
      <c r="AM4031" s="313"/>
      <c r="AN4031" s="313"/>
      <c r="AO4031" s="313"/>
      <c r="AP4031" s="313"/>
      <c r="AQ4031" s="314"/>
      <c r="AR4031" s="315" t="str">
        <f t="shared" ref="AR4031:AR4094" si="137">IF(AQ4031="SIM","AGUARDANDO CORREÇÃO",IF(AP4031&lt;&gt;"","FINALIZADO",IF(AO4031&lt;&gt;"","AGUARDANDO ENVIO DTS",IF(AN4031&lt;&gt;"","AGUARDANDO ASSINATURA GAB",IF(AM4031&lt;&gt;"","AGUARDANDO ASSINATURA CTS",IF(AL4031&lt;&gt;"","AGUARDANDO ENVIO ASSINATURA CTS",IF(AK4031&lt;&gt;"","AGUARDANDO CONFERÊNCIA","")))))))</f>
        <v/>
      </c>
    </row>
    <row r="4032" spans="37:44" ht="30" hidden="1" customHeight="1">
      <c r="AK4032" s="313"/>
      <c r="AL4032" s="313"/>
      <c r="AM4032" s="313"/>
      <c r="AN4032" s="313"/>
      <c r="AO4032" s="313"/>
      <c r="AP4032" s="313"/>
      <c r="AQ4032" s="314"/>
      <c r="AR4032" s="315" t="str">
        <f t="shared" si="137"/>
        <v/>
      </c>
    </row>
    <row r="4033" spans="37:44" ht="30" hidden="1" customHeight="1">
      <c r="AK4033" s="313"/>
      <c r="AL4033" s="313"/>
      <c r="AM4033" s="313"/>
      <c r="AN4033" s="313"/>
      <c r="AO4033" s="313"/>
      <c r="AP4033" s="313"/>
      <c r="AQ4033" s="314"/>
      <c r="AR4033" s="315" t="str">
        <f t="shared" si="137"/>
        <v/>
      </c>
    </row>
    <row r="4034" spans="37:44" ht="30" hidden="1" customHeight="1">
      <c r="AK4034" s="313"/>
      <c r="AL4034" s="313"/>
      <c r="AM4034" s="313"/>
      <c r="AN4034" s="313"/>
      <c r="AO4034" s="313"/>
      <c r="AP4034" s="313"/>
      <c r="AQ4034" s="314"/>
      <c r="AR4034" s="315" t="str">
        <f t="shared" si="137"/>
        <v/>
      </c>
    </row>
    <row r="4035" spans="37:44" ht="30" hidden="1" customHeight="1">
      <c r="AK4035" s="313"/>
      <c r="AL4035" s="313"/>
      <c r="AM4035" s="313"/>
      <c r="AN4035" s="313"/>
      <c r="AO4035" s="313"/>
      <c r="AP4035" s="313"/>
      <c r="AQ4035" s="314"/>
      <c r="AR4035" s="315" t="str">
        <f t="shared" si="137"/>
        <v/>
      </c>
    </row>
    <row r="4036" spans="37:44" ht="30" hidden="1" customHeight="1">
      <c r="AK4036" s="313"/>
      <c r="AL4036" s="313"/>
      <c r="AM4036" s="313"/>
      <c r="AN4036" s="313"/>
      <c r="AO4036" s="313"/>
      <c r="AP4036" s="313"/>
      <c r="AQ4036" s="314"/>
      <c r="AR4036" s="315" t="str">
        <f t="shared" si="137"/>
        <v/>
      </c>
    </row>
    <row r="4037" spans="37:44" ht="30" hidden="1" customHeight="1">
      <c r="AK4037" s="313"/>
      <c r="AL4037" s="313"/>
      <c r="AM4037" s="313"/>
      <c r="AN4037" s="313"/>
      <c r="AO4037" s="313"/>
      <c r="AP4037" s="313"/>
      <c r="AQ4037" s="314"/>
      <c r="AR4037" s="315" t="str">
        <f t="shared" si="137"/>
        <v/>
      </c>
    </row>
    <row r="4038" spans="37:44" ht="30" hidden="1" customHeight="1">
      <c r="AK4038" s="313"/>
      <c r="AL4038" s="313"/>
      <c r="AM4038" s="313"/>
      <c r="AN4038" s="313"/>
      <c r="AO4038" s="313"/>
      <c r="AP4038" s="313"/>
      <c r="AQ4038" s="314"/>
      <c r="AR4038" s="315" t="str">
        <f t="shared" si="137"/>
        <v/>
      </c>
    </row>
    <row r="4039" spans="37:44" ht="30" hidden="1" customHeight="1">
      <c r="AK4039" s="313"/>
      <c r="AL4039" s="313"/>
      <c r="AM4039" s="313"/>
      <c r="AN4039" s="313"/>
      <c r="AO4039" s="313"/>
      <c r="AP4039" s="313"/>
      <c r="AQ4039" s="314"/>
      <c r="AR4039" s="315" t="str">
        <f t="shared" si="137"/>
        <v/>
      </c>
    </row>
    <row r="4040" spans="37:44" ht="30" hidden="1" customHeight="1">
      <c r="AK4040" s="313"/>
      <c r="AL4040" s="313"/>
      <c r="AM4040" s="313"/>
      <c r="AN4040" s="313"/>
      <c r="AO4040" s="313"/>
      <c r="AP4040" s="313"/>
      <c r="AQ4040" s="314"/>
      <c r="AR4040" s="315" t="str">
        <f t="shared" si="137"/>
        <v/>
      </c>
    </row>
    <row r="4041" spans="37:44" ht="30" hidden="1" customHeight="1">
      <c r="AK4041" s="313"/>
      <c r="AL4041" s="313"/>
      <c r="AM4041" s="313"/>
      <c r="AN4041" s="313"/>
      <c r="AO4041" s="313"/>
      <c r="AP4041" s="313"/>
      <c r="AQ4041" s="314"/>
      <c r="AR4041" s="315" t="str">
        <f t="shared" si="137"/>
        <v/>
      </c>
    </row>
    <row r="4042" spans="37:44" ht="30" hidden="1" customHeight="1">
      <c r="AK4042" s="313"/>
      <c r="AL4042" s="313"/>
      <c r="AM4042" s="313"/>
      <c r="AN4042" s="313"/>
      <c r="AO4042" s="313"/>
      <c r="AP4042" s="313"/>
      <c r="AQ4042" s="314"/>
      <c r="AR4042" s="315" t="str">
        <f t="shared" si="137"/>
        <v/>
      </c>
    </row>
    <row r="4043" spans="37:44" ht="30" hidden="1" customHeight="1">
      <c r="AK4043" s="313"/>
      <c r="AL4043" s="313"/>
      <c r="AM4043" s="313"/>
      <c r="AN4043" s="313"/>
      <c r="AO4043" s="313"/>
      <c r="AP4043" s="313"/>
      <c r="AQ4043" s="314"/>
      <c r="AR4043" s="315" t="str">
        <f t="shared" si="137"/>
        <v/>
      </c>
    </row>
    <row r="4044" spans="37:44" ht="30" hidden="1" customHeight="1">
      <c r="AK4044" s="313"/>
      <c r="AL4044" s="313"/>
      <c r="AM4044" s="313"/>
      <c r="AN4044" s="313"/>
      <c r="AO4044" s="313"/>
      <c r="AP4044" s="313"/>
      <c r="AQ4044" s="314"/>
      <c r="AR4044" s="315" t="str">
        <f t="shared" si="137"/>
        <v/>
      </c>
    </row>
    <row r="4045" spans="37:44" ht="30" hidden="1" customHeight="1">
      <c r="AK4045" s="313"/>
      <c r="AL4045" s="313"/>
      <c r="AM4045" s="313"/>
      <c r="AN4045" s="313"/>
      <c r="AO4045" s="313"/>
      <c r="AP4045" s="313"/>
      <c r="AQ4045" s="314"/>
      <c r="AR4045" s="315" t="str">
        <f t="shared" si="137"/>
        <v/>
      </c>
    </row>
    <row r="4046" spans="37:44" ht="30" hidden="1" customHeight="1">
      <c r="AK4046" s="313"/>
      <c r="AL4046" s="313"/>
      <c r="AM4046" s="313"/>
      <c r="AN4046" s="313"/>
      <c r="AO4046" s="313"/>
      <c r="AP4046" s="313"/>
      <c r="AQ4046" s="314"/>
      <c r="AR4046" s="315" t="str">
        <f t="shared" si="137"/>
        <v/>
      </c>
    </row>
    <row r="4047" spans="37:44" ht="30" hidden="1" customHeight="1">
      <c r="AK4047" s="313"/>
      <c r="AL4047" s="313"/>
      <c r="AM4047" s="313"/>
      <c r="AN4047" s="313"/>
      <c r="AO4047" s="313"/>
      <c r="AP4047" s="313"/>
      <c r="AQ4047" s="314"/>
      <c r="AR4047" s="315" t="str">
        <f t="shared" si="137"/>
        <v/>
      </c>
    </row>
    <row r="4048" spans="37:44" ht="30" hidden="1" customHeight="1">
      <c r="AK4048" s="313"/>
      <c r="AL4048" s="313"/>
      <c r="AM4048" s="313"/>
      <c r="AN4048" s="313"/>
      <c r="AO4048" s="313"/>
      <c r="AP4048" s="313"/>
      <c r="AQ4048" s="314"/>
      <c r="AR4048" s="315" t="str">
        <f t="shared" si="137"/>
        <v/>
      </c>
    </row>
    <row r="4049" spans="37:44" ht="30" hidden="1" customHeight="1">
      <c r="AK4049" s="313"/>
      <c r="AL4049" s="313"/>
      <c r="AM4049" s="313"/>
      <c r="AN4049" s="313"/>
      <c r="AO4049" s="313"/>
      <c r="AP4049" s="313"/>
      <c r="AQ4049" s="314"/>
      <c r="AR4049" s="315" t="str">
        <f t="shared" si="137"/>
        <v/>
      </c>
    </row>
    <row r="4050" spans="37:44" ht="30" hidden="1" customHeight="1">
      <c r="AK4050" s="313"/>
      <c r="AL4050" s="313"/>
      <c r="AM4050" s="313"/>
      <c r="AN4050" s="313"/>
      <c r="AO4050" s="313"/>
      <c r="AP4050" s="313"/>
      <c r="AQ4050" s="314"/>
      <c r="AR4050" s="315" t="str">
        <f t="shared" si="137"/>
        <v/>
      </c>
    </row>
    <row r="4051" spans="37:44" ht="30" hidden="1" customHeight="1">
      <c r="AK4051" s="313"/>
      <c r="AL4051" s="313"/>
      <c r="AM4051" s="313"/>
      <c r="AN4051" s="313"/>
      <c r="AO4051" s="313"/>
      <c r="AP4051" s="313"/>
      <c r="AQ4051" s="314"/>
      <c r="AR4051" s="315" t="str">
        <f t="shared" si="137"/>
        <v/>
      </c>
    </row>
    <row r="4052" spans="37:44" ht="30" hidden="1" customHeight="1">
      <c r="AK4052" s="313"/>
      <c r="AL4052" s="313"/>
      <c r="AM4052" s="313"/>
      <c r="AN4052" s="313"/>
      <c r="AO4052" s="313"/>
      <c r="AP4052" s="313"/>
      <c r="AQ4052" s="314"/>
      <c r="AR4052" s="315" t="str">
        <f t="shared" si="137"/>
        <v/>
      </c>
    </row>
    <row r="4053" spans="37:44" ht="30" hidden="1" customHeight="1">
      <c r="AK4053" s="313"/>
      <c r="AL4053" s="313"/>
      <c r="AM4053" s="313"/>
      <c r="AN4053" s="313"/>
      <c r="AO4053" s="313"/>
      <c r="AP4053" s="313"/>
      <c r="AQ4053" s="314"/>
      <c r="AR4053" s="315" t="str">
        <f t="shared" si="137"/>
        <v/>
      </c>
    </row>
    <row r="4054" spans="37:44" ht="30" hidden="1" customHeight="1">
      <c r="AK4054" s="313"/>
      <c r="AL4054" s="313"/>
      <c r="AM4054" s="313"/>
      <c r="AN4054" s="313"/>
      <c r="AO4054" s="313"/>
      <c r="AP4054" s="313"/>
      <c r="AQ4054" s="314"/>
      <c r="AR4054" s="315" t="str">
        <f t="shared" si="137"/>
        <v/>
      </c>
    </row>
    <row r="4055" spans="37:44" ht="30" hidden="1" customHeight="1">
      <c r="AK4055" s="313"/>
      <c r="AL4055" s="313"/>
      <c r="AM4055" s="313"/>
      <c r="AN4055" s="313"/>
      <c r="AO4055" s="313"/>
      <c r="AP4055" s="313"/>
      <c r="AQ4055" s="314"/>
      <c r="AR4055" s="315" t="str">
        <f t="shared" si="137"/>
        <v/>
      </c>
    </row>
    <row r="4056" spans="37:44" ht="30" hidden="1" customHeight="1">
      <c r="AK4056" s="313"/>
      <c r="AL4056" s="313"/>
      <c r="AM4056" s="313"/>
      <c r="AN4056" s="313"/>
      <c r="AO4056" s="313"/>
      <c r="AP4056" s="313"/>
      <c r="AQ4056" s="314"/>
      <c r="AR4056" s="315" t="str">
        <f t="shared" si="137"/>
        <v/>
      </c>
    </row>
    <row r="4057" spans="37:44" ht="30" hidden="1" customHeight="1">
      <c r="AK4057" s="313"/>
      <c r="AL4057" s="313"/>
      <c r="AM4057" s="313"/>
      <c r="AN4057" s="313"/>
      <c r="AO4057" s="313"/>
      <c r="AP4057" s="313"/>
      <c r="AQ4057" s="314"/>
      <c r="AR4057" s="315" t="str">
        <f t="shared" si="137"/>
        <v/>
      </c>
    </row>
    <row r="4058" spans="37:44" ht="30" hidden="1" customHeight="1">
      <c r="AK4058" s="313"/>
      <c r="AL4058" s="313"/>
      <c r="AM4058" s="313"/>
      <c r="AN4058" s="313"/>
      <c r="AO4058" s="313"/>
      <c r="AP4058" s="313"/>
      <c r="AQ4058" s="314"/>
      <c r="AR4058" s="315" t="str">
        <f t="shared" si="137"/>
        <v/>
      </c>
    </row>
    <row r="4059" spans="37:44" ht="30" hidden="1" customHeight="1">
      <c r="AK4059" s="313"/>
      <c r="AL4059" s="313"/>
      <c r="AM4059" s="313"/>
      <c r="AN4059" s="313"/>
      <c r="AO4059" s="313"/>
      <c r="AP4059" s="313"/>
      <c r="AQ4059" s="314"/>
      <c r="AR4059" s="315" t="str">
        <f t="shared" si="137"/>
        <v/>
      </c>
    </row>
    <row r="4060" spans="37:44" ht="30" hidden="1" customHeight="1">
      <c r="AK4060" s="313"/>
      <c r="AL4060" s="313"/>
      <c r="AM4060" s="313"/>
      <c r="AN4060" s="313"/>
      <c r="AO4060" s="313"/>
      <c r="AP4060" s="313"/>
      <c r="AQ4060" s="314"/>
      <c r="AR4060" s="315" t="str">
        <f t="shared" si="137"/>
        <v/>
      </c>
    </row>
    <row r="4061" spans="37:44" ht="30" hidden="1" customHeight="1">
      <c r="AK4061" s="313"/>
      <c r="AL4061" s="313"/>
      <c r="AM4061" s="313"/>
      <c r="AN4061" s="313"/>
      <c r="AO4061" s="313"/>
      <c r="AP4061" s="313"/>
      <c r="AQ4061" s="314"/>
      <c r="AR4061" s="315" t="str">
        <f t="shared" si="137"/>
        <v/>
      </c>
    </row>
    <row r="4062" spans="37:44" ht="30" hidden="1" customHeight="1">
      <c r="AK4062" s="313"/>
      <c r="AL4062" s="313"/>
      <c r="AM4062" s="313"/>
      <c r="AN4062" s="313"/>
      <c r="AO4062" s="313"/>
      <c r="AP4062" s="313"/>
      <c r="AQ4062" s="314"/>
      <c r="AR4062" s="315" t="str">
        <f t="shared" si="137"/>
        <v/>
      </c>
    </row>
    <row r="4063" spans="37:44" ht="30" hidden="1" customHeight="1">
      <c r="AK4063" s="313"/>
      <c r="AL4063" s="313"/>
      <c r="AM4063" s="313"/>
      <c r="AN4063" s="313"/>
      <c r="AO4063" s="313"/>
      <c r="AP4063" s="313"/>
      <c r="AQ4063" s="314"/>
      <c r="AR4063" s="315" t="str">
        <f t="shared" si="137"/>
        <v/>
      </c>
    </row>
    <row r="4064" spans="37:44" ht="30" hidden="1" customHeight="1">
      <c r="AK4064" s="313"/>
      <c r="AL4064" s="313"/>
      <c r="AM4064" s="313"/>
      <c r="AN4064" s="313"/>
      <c r="AO4064" s="313"/>
      <c r="AP4064" s="313"/>
      <c r="AQ4064" s="314"/>
      <c r="AR4064" s="315" t="str">
        <f t="shared" si="137"/>
        <v/>
      </c>
    </row>
    <row r="4065" spans="37:44" ht="30" hidden="1" customHeight="1">
      <c r="AK4065" s="313"/>
      <c r="AL4065" s="313"/>
      <c r="AM4065" s="313"/>
      <c r="AN4065" s="313"/>
      <c r="AO4065" s="313"/>
      <c r="AP4065" s="313"/>
      <c r="AQ4065" s="314"/>
      <c r="AR4065" s="315" t="str">
        <f t="shared" si="137"/>
        <v/>
      </c>
    </row>
    <row r="4066" spans="37:44" ht="30" hidden="1" customHeight="1">
      <c r="AK4066" s="313"/>
      <c r="AL4066" s="313"/>
      <c r="AM4066" s="313"/>
      <c r="AN4066" s="313"/>
      <c r="AO4066" s="313"/>
      <c r="AP4066" s="313"/>
      <c r="AQ4066" s="314"/>
      <c r="AR4066" s="315" t="str">
        <f t="shared" si="137"/>
        <v/>
      </c>
    </row>
    <row r="4067" spans="37:44" ht="30" hidden="1" customHeight="1">
      <c r="AK4067" s="313"/>
      <c r="AL4067" s="313"/>
      <c r="AM4067" s="313"/>
      <c r="AN4067" s="313"/>
      <c r="AO4067" s="313"/>
      <c r="AP4067" s="313"/>
      <c r="AQ4067" s="314"/>
      <c r="AR4067" s="315" t="str">
        <f t="shared" si="137"/>
        <v/>
      </c>
    </row>
    <row r="4068" spans="37:44" ht="30" hidden="1" customHeight="1">
      <c r="AK4068" s="313"/>
      <c r="AL4068" s="313"/>
      <c r="AM4068" s="313"/>
      <c r="AN4068" s="313"/>
      <c r="AO4068" s="313"/>
      <c r="AP4068" s="313"/>
      <c r="AQ4068" s="314"/>
      <c r="AR4068" s="315" t="str">
        <f t="shared" si="137"/>
        <v/>
      </c>
    </row>
    <row r="4069" spans="37:44" ht="30" hidden="1" customHeight="1">
      <c r="AK4069" s="313"/>
      <c r="AL4069" s="313"/>
      <c r="AM4069" s="313"/>
      <c r="AN4069" s="313"/>
      <c r="AO4069" s="313"/>
      <c r="AP4069" s="313"/>
      <c r="AQ4069" s="314"/>
      <c r="AR4069" s="315" t="str">
        <f t="shared" si="137"/>
        <v/>
      </c>
    </row>
    <row r="4070" spans="37:44" ht="30" hidden="1" customHeight="1">
      <c r="AK4070" s="313"/>
      <c r="AL4070" s="313"/>
      <c r="AM4070" s="313"/>
      <c r="AN4070" s="313"/>
      <c r="AO4070" s="313"/>
      <c r="AP4070" s="313"/>
      <c r="AQ4070" s="314"/>
      <c r="AR4070" s="315" t="str">
        <f t="shared" si="137"/>
        <v/>
      </c>
    </row>
    <row r="4071" spans="37:44" ht="30" hidden="1" customHeight="1">
      <c r="AK4071" s="313"/>
      <c r="AL4071" s="313"/>
      <c r="AM4071" s="313"/>
      <c r="AN4071" s="313"/>
      <c r="AO4071" s="313"/>
      <c r="AP4071" s="313"/>
      <c r="AQ4071" s="314"/>
      <c r="AR4071" s="315" t="str">
        <f t="shared" si="137"/>
        <v/>
      </c>
    </row>
    <row r="4072" spans="37:44" ht="30" hidden="1" customHeight="1">
      <c r="AK4072" s="313"/>
      <c r="AL4072" s="313"/>
      <c r="AM4072" s="313"/>
      <c r="AN4072" s="313"/>
      <c r="AO4072" s="313"/>
      <c r="AP4072" s="313"/>
      <c r="AQ4072" s="314"/>
      <c r="AR4072" s="315" t="str">
        <f t="shared" si="137"/>
        <v/>
      </c>
    </row>
    <row r="4073" spans="37:44" ht="30" hidden="1" customHeight="1">
      <c r="AK4073" s="313"/>
      <c r="AL4073" s="313"/>
      <c r="AM4073" s="313"/>
      <c r="AN4073" s="313"/>
      <c r="AO4073" s="313"/>
      <c r="AP4073" s="313"/>
      <c r="AQ4073" s="314"/>
      <c r="AR4073" s="315" t="str">
        <f t="shared" si="137"/>
        <v/>
      </c>
    </row>
    <row r="4074" spans="37:44" ht="30" hidden="1" customHeight="1">
      <c r="AK4074" s="313"/>
      <c r="AL4074" s="313"/>
      <c r="AM4074" s="313"/>
      <c r="AN4074" s="313"/>
      <c r="AO4074" s="313"/>
      <c r="AP4074" s="313"/>
      <c r="AQ4074" s="314"/>
      <c r="AR4074" s="315" t="str">
        <f t="shared" si="137"/>
        <v/>
      </c>
    </row>
    <row r="4075" spans="37:44" ht="30" hidden="1" customHeight="1">
      <c r="AK4075" s="313"/>
      <c r="AL4075" s="313"/>
      <c r="AM4075" s="313"/>
      <c r="AN4075" s="313"/>
      <c r="AO4075" s="313"/>
      <c r="AP4075" s="313"/>
      <c r="AQ4075" s="314"/>
      <c r="AR4075" s="315" t="str">
        <f t="shared" si="137"/>
        <v/>
      </c>
    </row>
    <row r="4076" spans="37:44" ht="30" hidden="1" customHeight="1">
      <c r="AK4076" s="313"/>
      <c r="AL4076" s="313"/>
      <c r="AM4076" s="313"/>
      <c r="AN4076" s="313"/>
      <c r="AO4076" s="313"/>
      <c r="AP4076" s="313"/>
      <c r="AQ4076" s="314"/>
      <c r="AR4076" s="315" t="str">
        <f t="shared" si="137"/>
        <v/>
      </c>
    </row>
    <row r="4077" spans="37:44" ht="30" hidden="1" customHeight="1">
      <c r="AK4077" s="313"/>
      <c r="AL4077" s="313"/>
      <c r="AM4077" s="313"/>
      <c r="AN4077" s="313"/>
      <c r="AO4077" s="313"/>
      <c r="AP4077" s="313"/>
      <c r="AQ4077" s="314"/>
      <c r="AR4077" s="315" t="str">
        <f t="shared" si="137"/>
        <v/>
      </c>
    </row>
    <row r="4078" spans="37:44" ht="30" hidden="1" customHeight="1">
      <c r="AK4078" s="313"/>
      <c r="AL4078" s="313"/>
      <c r="AM4078" s="313"/>
      <c r="AN4078" s="313"/>
      <c r="AO4078" s="313"/>
      <c r="AP4078" s="313"/>
      <c r="AQ4078" s="314"/>
      <c r="AR4078" s="315" t="str">
        <f t="shared" si="137"/>
        <v/>
      </c>
    </row>
    <row r="4079" spans="37:44" ht="30" hidden="1" customHeight="1">
      <c r="AK4079" s="313"/>
      <c r="AL4079" s="313"/>
      <c r="AM4079" s="313"/>
      <c r="AN4079" s="313"/>
      <c r="AO4079" s="313"/>
      <c r="AP4079" s="313"/>
      <c r="AQ4079" s="314"/>
      <c r="AR4079" s="315" t="str">
        <f t="shared" si="137"/>
        <v/>
      </c>
    </row>
    <row r="4080" spans="37:44" ht="30" hidden="1" customHeight="1">
      <c r="AK4080" s="313"/>
      <c r="AL4080" s="313"/>
      <c r="AM4080" s="313"/>
      <c r="AN4080" s="313"/>
      <c r="AO4080" s="313"/>
      <c r="AP4080" s="313"/>
      <c r="AQ4080" s="314"/>
      <c r="AR4080" s="315" t="str">
        <f t="shared" si="137"/>
        <v/>
      </c>
    </row>
    <row r="4081" spans="37:44" ht="30" hidden="1" customHeight="1">
      <c r="AK4081" s="313"/>
      <c r="AL4081" s="313"/>
      <c r="AM4081" s="313"/>
      <c r="AN4081" s="313"/>
      <c r="AO4081" s="313"/>
      <c r="AP4081" s="313"/>
      <c r="AQ4081" s="314"/>
      <c r="AR4081" s="315" t="str">
        <f t="shared" si="137"/>
        <v/>
      </c>
    </row>
    <row r="4082" spans="37:44" ht="30" hidden="1" customHeight="1">
      <c r="AK4082" s="313"/>
      <c r="AL4082" s="313"/>
      <c r="AM4082" s="313"/>
      <c r="AN4082" s="313"/>
      <c r="AO4082" s="313"/>
      <c r="AP4082" s="313"/>
      <c r="AQ4082" s="314"/>
      <c r="AR4082" s="315" t="str">
        <f t="shared" si="137"/>
        <v/>
      </c>
    </row>
    <row r="4083" spans="37:44" ht="30" hidden="1" customHeight="1">
      <c r="AK4083" s="313"/>
      <c r="AL4083" s="313"/>
      <c r="AM4083" s="313"/>
      <c r="AN4083" s="313"/>
      <c r="AO4083" s="313"/>
      <c r="AP4083" s="313"/>
      <c r="AQ4083" s="314"/>
      <c r="AR4083" s="315" t="str">
        <f t="shared" si="137"/>
        <v/>
      </c>
    </row>
    <row r="4084" spans="37:44" ht="30" hidden="1" customHeight="1">
      <c r="AK4084" s="313"/>
      <c r="AL4084" s="313"/>
      <c r="AM4084" s="313"/>
      <c r="AN4084" s="313"/>
      <c r="AO4084" s="313"/>
      <c r="AP4084" s="313"/>
      <c r="AQ4084" s="314"/>
      <c r="AR4084" s="315" t="str">
        <f t="shared" si="137"/>
        <v/>
      </c>
    </row>
    <row r="4085" spans="37:44" ht="30" hidden="1" customHeight="1">
      <c r="AK4085" s="313"/>
      <c r="AL4085" s="313"/>
      <c r="AM4085" s="313"/>
      <c r="AN4085" s="313"/>
      <c r="AO4085" s="313"/>
      <c r="AP4085" s="313"/>
      <c r="AQ4085" s="314"/>
      <c r="AR4085" s="315" t="str">
        <f t="shared" si="137"/>
        <v/>
      </c>
    </row>
    <row r="4086" spans="37:44" ht="30" hidden="1" customHeight="1">
      <c r="AK4086" s="313"/>
      <c r="AL4086" s="313"/>
      <c r="AM4086" s="313"/>
      <c r="AN4086" s="313"/>
      <c r="AO4086" s="313"/>
      <c r="AP4086" s="313"/>
      <c r="AQ4086" s="314"/>
      <c r="AR4086" s="315" t="str">
        <f t="shared" si="137"/>
        <v/>
      </c>
    </row>
    <row r="4087" spans="37:44" ht="30" hidden="1" customHeight="1">
      <c r="AK4087" s="313"/>
      <c r="AL4087" s="313"/>
      <c r="AM4087" s="313"/>
      <c r="AN4087" s="313"/>
      <c r="AO4087" s="313"/>
      <c r="AP4087" s="313"/>
      <c r="AQ4087" s="314"/>
      <c r="AR4087" s="315" t="str">
        <f t="shared" si="137"/>
        <v/>
      </c>
    </row>
    <row r="4088" spans="37:44" ht="30" hidden="1" customHeight="1">
      <c r="AK4088" s="313"/>
      <c r="AL4088" s="313"/>
      <c r="AM4088" s="313"/>
      <c r="AN4088" s="313"/>
      <c r="AO4088" s="313"/>
      <c r="AP4088" s="313"/>
      <c r="AQ4088" s="314"/>
      <c r="AR4088" s="315" t="str">
        <f t="shared" si="137"/>
        <v/>
      </c>
    </row>
    <row r="4089" spans="37:44" ht="30" hidden="1" customHeight="1">
      <c r="AK4089" s="313"/>
      <c r="AL4089" s="313"/>
      <c r="AM4089" s="313"/>
      <c r="AN4089" s="313"/>
      <c r="AO4089" s="313"/>
      <c r="AP4089" s="313"/>
      <c r="AQ4089" s="314"/>
      <c r="AR4089" s="315" t="str">
        <f t="shared" si="137"/>
        <v/>
      </c>
    </row>
    <row r="4090" spans="37:44" ht="30" hidden="1" customHeight="1">
      <c r="AK4090" s="313"/>
      <c r="AL4090" s="313"/>
      <c r="AM4090" s="313"/>
      <c r="AN4090" s="313"/>
      <c r="AO4090" s="313"/>
      <c r="AP4090" s="313"/>
      <c r="AQ4090" s="314"/>
      <c r="AR4090" s="315" t="str">
        <f t="shared" si="137"/>
        <v/>
      </c>
    </row>
    <row r="4091" spans="37:44" ht="30" hidden="1" customHeight="1">
      <c r="AK4091" s="313"/>
      <c r="AL4091" s="313"/>
      <c r="AM4091" s="313"/>
      <c r="AN4091" s="313"/>
      <c r="AO4091" s="313"/>
      <c r="AP4091" s="313"/>
      <c r="AQ4091" s="314"/>
      <c r="AR4091" s="315" t="str">
        <f t="shared" si="137"/>
        <v/>
      </c>
    </row>
    <row r="4092" spans="37:44" ht="30" hidden="1" customHeight="1">
      <c r="AK4092" s="313"/>
      <c r="AL4092" s="313"/>
      <c r="AM4092" s="313"/>
      <c r="AN4092" s="313"/>
      <c r="AO4092" s="313"/>
      <c r="AP4092" s="313"/>
      <c r="AQ4092" s="314"/>
      <c r="AR4092" s="315" t="str">
        <f t="shared" si="137"/>
        <v/>
      </c>
    </row>
    <row r="4093" spans="37:44" ht="30" hidden="1" customHeight="1">
      <c r="AK4093" s="313"/>
      <c r="AL4093" s="313"/>
      <c r="AM4093" s="313"/>
      <c r="AN4093" s="313"/>
      <c r="AO4093" s="313"/>
      <c r="AP4093" s="313"/>
      <c r="AQ4093" s="314"/>
      <c r="AR4093" s="315" t="str">
        <f t="shared" si="137"/>
        <v/>
      </c>
    </row>
    <row r="4094" spans="37:44" ht="30" hidden="1" customHeight="1">
      <c r="AK4094" s="313"/>
      <c r="AL4094" s="313"/>
      <c r="AM4094" s="313"/>
      <c r="AN4094" s="313"/>
      <c r="AO4094" s="313"/>
      <c r="AP4094" s="313"/>
      <c r="AQ4094" s="314"/>
      <c r="AR4094" s="315" t="str">
        <f t="shared" si="137"/>
        <v/>
      </c>
    </row>
    <row r="4095" spans="37:44" ht="30" hidden="1" customHeight="1">
      <c r="AK4095" s="313"/>
      <c r="AL4095" s="313"/>
      <c r="AM4095" s="313"/>
      <c r="AN4095" s="313"/>
      <c r="AO4095" s="313"/>
      <c r="AP4095" s="313"/>
      <c r="AQ4095" s="314"/>
      <c r="AR4095" s="315" t="str">
        <f t="shared" ref="AR4095:AR4158" si="138">IF(AQ4095="SIM","AGUARDANDO CORREÇÃO",IF(AP4095&lt;&gt;"","FINALIZADO",IF(AO4095&lt;&gt;"","AGUARDANDO ENVIO DTS",IF(AN4095&lt;&gt;"","AGUARDANDO ASSINATURA GAB",IF(AM4095&lt;&gt;"","AGUARDANDO ASSINATURA CTS",IF(AL4095&lt;&gt;"","AGUARDANDO ENVIO ASSINATURA CTS",IF(AK4095&lt;&gt;"","AGUARDANDO CONFERÊNCIA","")))))))</f>
        <v/>
      </c>
    </row>
    <row r="4096" spans="37:44" ht="30" hidden="1" customHeight="1">
      <c r="AK4096" s="313"/>
      <c r="AL4096" s="313"/>
      <c r="AM4096" s="313"/>
      <c r="AN4096" s="313"/>
      <c r="AO4096" s="313"/>
      <c r="AP4096" s="313"/>
      <c r="AQ4096" s="314"/>
      <c r="AR4096" s="315" t="str">
        <f t="shared" si="138"/>
        <v/>
      </c>
    </row>
    <row r="4097" spans="37:44" ht="30" hidden="1" customHeight="1">
      <c r="AK4097" s="313"/>
      <c r="AL4097" s="313"/>
      <c r="AM4097" s="313"/>
      <c r="AN4097" s="313"/>
      <c r="AO4097" s="313"/>
      <c r="AP4097" s="313"/>
      <c r="AQ4097" s="314"/>
      <c r="AR4097" s="315" t="str">
        <f t="shared" si="138"/>
        <v/>
      </c>
    </row>
    <row r="4098" spans="37:44" ht="30" hidden="1" customHeight="1">
      <c r="AK4098" s="313"/>
      <c r="AL4098" s="313"/>
      <c r="AM4098" s="313"/>
      <c r="AN4098" s="313"/>
      <c r="AO4098" s="313"/>
      <c r="AP4098" s="313"/>
      <c r="AQ4098" s="314"/>
      <c r="AR4098" s="315" t="str">
        <f t="shared" si="138"/>
        <v/>
      </c>
    </row>
    <row r="4099" spans="37:44" ht="30" hidden="1" customHeight="1">
      <c r="AK4099" s="313"/>
      <c r="AL4099" s="313"/>
      <c r="AM4099" s="313"/>
      <c r="AN4099" s="313"/>
      <c r="AO4099" s="313"/>
      <c r="AP4099" s="313"/>
      <c r="AQ4099" s="314"/>
      <c r="AR4099" s="315" t="str">
        <f t="shared" si="138"/>
        <v/>
      </c>
    </row>
    <row r="4100" spans="37:44" ht="30" hidden="1" customHeight="1">
      <c r="AK4100" s="313"/>
      <c r="AL4100" s="313"/>
      <c r="AM4100" s="313"/>
      <c r="AN4100" s="313"/>
      <c r="AO4100" s="313"/>
      <c r="AP4100" s="313"/>
      <c r="AQ4100" s="314"/>
      <c r="AR4100" s="315" t="str">
        <f t="shared" si="138"/>
        <v/>
      </c>
    </row>
    <row r="4101" spans="37:44" ht="30" hidden="1" customHeight="1">
      <c r="AK4101" s="313"/>
      <c r="AL4101" s="313"/>
      <c r="AM4101" s="313"/>
      <c r="AN4101" s="313"/>
      <c r="AO4101" s="313"/>
      <c r="AP4101" s="313"/>
      <c r="AQ4101" s="314"/>
      <c r="AR4101" s="315" t="str">
        <f t="shared" si="138"/>
        <v/>
      </c>
    </row>
    <row r="4102" spans="37:44" ht="30" hidden="1" customHeight="1">
      <c r="AK4102" s="313"/>
      <c r="AL4102" s="313"/>
      <c r="AM4102" s="313"/>
      <c r="AN4102" s="313"/>
      <c r="AO4102" s="313"/>
      <c r="AP4102" s="313"/>
      <c r="AQ4102" s="314"/>
      <c r="AR4102" s="315" t="str">
        <f t="shared" si="138"/>
        <v/>
      </c>
    </row>
    <row r="4103" spans="37:44" ht="30" hidden="1" customHeight="1">
      <c r="AK4103" s="313"/>
      <c r="AL4103" s="313"/>
      <c r="AM4103" s="313"/>
      <c r="AN4103" s="313"/>
      <c r="AO4103" s="313"/>
      <c r="AP4103" s="313"/>
      <c r="AQ4103" s="314"/>
      <c r="AR4103" s="315" t="str">
        <f t="shared" si="138"/>
        <v/>
      </c>
    </row>
    <row r="4104" spans="37:44" ht="30" hidden="1" customHeight="1">
      <c r="AK4104" s="313"/>
      <c r="AL4104" s="313"/>
      <c r="AM4104" s="313"/>
      <c r="AN4104" s="313"/>
      <c r="AO4104" s="313"/>
      <c r="AP4104" s="313"/>
      <c r="AQ4104" s="314"/>
      <c r="AR4104" s="315" t="str">
        <f t="shared" si="138"/>
        <v/>
      </c>
    </row>
    <row r="4105" spans="37:44" ht="30" hidden="1" customHeight="1">
      <c r="AK4105" s="313"/>
      <c r="AL4105" s="313"/>
      <c r="AM4105" s="313"/>
      <c r="AN4105" s="313"/>
      <c r="AO4105" s="313"/>
      <c r="AP4105" s="313"/>
      <c r="AQ4105" s="314"/>
      <c r="AR4105" s="315" t="str">
        <f t="shared" si="138"/>
        <v/>
      </c>
    </row>
    <row r="4106" spans="37:44" ht="30" hidden="1" customHeight="1">
      <c r="AK4106" s="313"/>
      <c r="AL4106" s="313"/>
      <c r="AM4106" s="313"/>
      <c r="AN4106" s="313"/>
      <c r="AO4106" s="313"/>
      <c r="AP4106" s="313"/>
      <c r="AQ4106" s="314"/>
      <c r="AR4106" s="315" t="str">
        <f t="shared" si="138"/>
        <v/>
      </c>
    </row>
    <row r="4107" spans="37:44" ht="30" hidden="1" customHeight="1">
      <c r="AK4107" s="313"/>
      <c r="AL4107" s="313"/>
      <c r="AM4107" s="313"/>
      <c r="AN4107" s="313"/>
      <c r="AO4107" s="313"/>
      <c r="AP4107" s="313"/>
      <c r="AQ4107" s="314"/>
      <c r="AR4107" s="315" t="str">
        <f t="shared" si="138"/>
        <v/>
      </c>
    </row>
    <row r="4108" spans="37:44" ht="30" hidden="1" customHeight="1">
      <c r="AK4108" s="313"/>
      <c r="AL4108" s="313"/>
      <c r="AM4108" s="313"/>
      <c r="AN4108" s="313"/>
      <c r="AO4108" s="313"/>
      <c r="AP4108" s="313"/>
      <c r="AQ4108" s="314"/>
      <c r="AR4108" s="315" t="str">
        <f t="shared" si="138"/>
        <v/>
      </c>
    </row>
    <row r="4109" spans="37:44" ht="30" hidden="1" customHeight="1">
      <c r="AK4109" s="313"/>
      <c r="AL4109" s="313"/>
      <c r="AM4109" s="313"/>
      <c r="AN4109" s="313"/>
      <c r="AO4109" s="313"/>
      <c r="AP4109" s="313"/>
      <c r="AQ4109" s="314"/>
      <c r="AR4109" s="315" t="str">
        <f t="shared" si="138"/>
        <v/>
      </c>
    </row>
    <row r="4110" spans="37:44" ht="30" hidden="1" customHeight="1">
      <c r="AK4110" s="313"/>
      <c r="AL4110" s="313"/>
      <c r="AM4110" s="313"/>
      <c r="AN4110" s="313"/>
      <c r="AO4110" s="313"/>
      <c r="AP4110" s="313"/>
      <c r="AQ4110" s="314"/>
      <c r="AR4110" s="315" t="str">
        <f t="shared" si="138"/>
        <v/>
      </c>
    </row>
    <row r="4111" spans="37:44" ht="30" hidden="1" customHeight="1">
      <c r="AK4111" s="313"/>
      <c r="AL4111" s="313"/>
      <c r="AM4111" s="313"/>
      <c r="AN4111" s="313"/>
      <c r="AO4111" s="313"/>
      <c r="AP4111" s="313"/>
      <c r="AQ4111" s="314"/>
      <c r="AR4111" s="315" t="str">
        <f t="shared" si="138"/>
        <v/>
      </c>
    </row>
    <row r="4112" spans="37:44" ht="30" hidden="1" customHeight="1">
      <c r="AK4112" s="313"/>
      <c r="AL4112" s="313"/>
      <c r="AM4112" s="313"/>
      <c r="AN4112" s="313"/>
      <c r="AO4112" s="313"/>
      <c r="AP4112" s="313"/>
      <c r="AQ4112" s="314"/>
      <c r="AR4112" s="315" t="str">
        <f t="shared" si="138"/>
        <v/>
      </c>
    </row>
    <row r="4113" spans="37:44" ht="30" hidden="1" customHeight="1">
      <c r="AK4113" s="313"/>
      <c r="AL4113" s="313"/>
      <c r="AM4113" s="313"/>
      <c r="AN4113" s="313"/>
      <c r="AO4113" s="313"/>
      <c r="AP4113" s="313"/>
      <c r="AQ4113" s="314"/>
      <c r="AR4113" s="315" t="str">
        <f t="shared" si="138"/>
        <v/>
      </c>
    </row>
    <row r="4114" spans="37:44" ht="30" hidden="1" customHeight="1">
      <c r="AK4114" s="313"/>
      <c r="AL4114" s="313"/>
      <c r="AM4114" s="313"/>
      <c r="AN4114" s="313"/>
      <c r="AO4114" s="313"/>
      <c r="AP4114" s="313"/>
      <c r="AQ4114" s="314"/>
      <c r="AR4114" s="315" t="str">
        <f t="shared" si="138"/>
        <v/>
      </c>
    </row>
    <row r="4115" spans="37:44" ht="30" hidden="1" customHeight="1">
      <c r="AK4115" s="313"/>
      <c r="AL4115" s="313"/>
      <c r="AM4115" s="313"/>
      <c r="AN4115" s="313"/>
      <c r="AO4115" s="313"/>
      <c r="AP4115" s="313"/>
      <c r="AQ4115" s="314"/>
      <c r="AR4115" s="315" t="str">
        <f t="shared" si="138"/>
        <v/>
      </c>
    </row>
    <row r="4116" spans="37:44" ht="30" hidden="1" customHeight="1">
      <c r="AK4116" s="313"/>
      <c r="AL4116" s="313"/>
      <c r="AM4116" s="313"/>
      <c r="AN4116" s="313"/>
      <c r="AO4116" s="313"/>
      <c r="AP4116" s="313"/>
      <c r="AQ4116" s="314"/>
      <c r="AR4116" s="315" t="str">
        <f t="shared" si="138"/>
        <v/>
      </c>
    </row>
    <row r="4117" spans="37:44" ht="30" hidden="1" customHeight="1">
      <c r="AK4117" s="313"/>
      <c r="AL4117" s="313"/>
      <c r="AM4117" s="313"/>
      <c r="AN4117" s="313"/>
      <c r="AO4117" s="313"/>
      <c r="AP4117" s="313"/>
      <c r="AQ4117" s="314"/>
      <c r="AR4117" s="315" t="str">
        <f t="shared" si="138"/>
        <v/>
      </c>
    </row>
    <row r="4118" spans="37:44" ht="30" hidden="1" customHeight="1">
      <c r="AK4118" s="313"/>
      <c r="AL4118" s="313"/>
      <c r="AM4118" s="313"/>
      <c r="AN4118" s="313"/>
      <c r="AO4118" s="313"/>
      <c r="AP4118" s="313"/>
      <c r="AQ4118" s="314"/>
      <c r="AR4118" s="315" t="str">
        <f t="shared" si="138"/>
        <v/>
      </c>
    </row>
    <row r="4119" spans="37:44" ht="30" hidden="1" customHeight="1">
      <c r="AK4119" s="313"/>
      <c r="AL4119" s="313"/>
      <c r="AM4119" s="313"/>
      <c r="AN4119" s="313"/>
      <c r="AO4119" s="313"/>
      <c r="AP4119" s="313"/>
      <c r="AQ4119" s="314"/>
      <c r="AR4119" s="315" t="str">
        <f t="shared" si="138"/>
        <v/>
      </c>
    </row>
    <row r="4120" spans="37:44" ht="30" hidden="1" customHeight="1">
      <c r="AK4120" s="313"/>
      <c r="AL4120" s="313"/>
      <c r="AM4120" s="313"/>
      <c r="AN4120" s="313"/>
      <c r="AO4120" s="313"/>
      <c r="AP4120" s="313"/>
      <c r="AQ4120" s="314"/>
      <c r="AR4120" s="315" t="str">
        <f t="shared" si="138"/>
        <v/>
      </c>
    </row>
    <row r="4121" spans="37:44" ht="30" hidden="1" customHeight="1">
      <c r="AK4121" s="313"/>
      <c r="AL4121" s="313"/>
      <c r="AM4121" s="313"/>
      <c r="AN4121" s="313"/>
      <c r="AO4121" s="313"/>
      <c r="AP4121" s="313"/>
      <c r="AQ4121" s="314"/>
      <c r="AR4121" s="315" t="str">
        <f t="shared" si="138"/>
        <v/>
      </c>
    </row>
    <row r="4122" spans="37:44" ht="30" hidden="1" customHeight="1">
      <c r="AK4122" s="313"/>
      <c r="AL4122" s="313"/>
      <c r="AM4122" s="313"/>
      <c r="AN4122" s="313"/>
      <c r="AO4122" s="313"/>
      <c r="AP4122" s="313"/>
      <c r="AQ4122" s="314"/>
      <c r="AR4122" s="315" t="str">
        <f t="shared" si="138"/>
        <v/>
      </c>
    </row>
    <row r="4123" spans="37:44" ht="30" hidden="1" customHeight="1">
      <c r="AK4123" s="313"/>
      <c r="AL4123" s="313"/>
      <c r="AM4123" s="313"/>
      <c r="AN4123" s="313"/>
      <c r="AO4123" s="313"/>
      <c r="AP4123" s="313"/>
      <c r="AQ4123" s="314"/>
      <c r="AR4123" s="315" t="str">
        <f t="shared" si="138"/>
        <v/>
      </c>
    </row>
    <row r="4124" spans="37:44" ht="30" hidden="1" customHeight="1">
      <c r="AK4124" s="313"/>
      <c r="AL4124" s="313"/>
      <c r="AM4124" s="313"/>
      <c r="AN4124" s="313"/>
      <c r="AO4124" s="313"/>
      <c r="AP4124" s="313"/>
      <c r="AQ4124" s="314"/>
      <c r="AR4124" s="315" t="str">
        <f t="shared" si="138"/>
        <v/>
      </c>
    </row>
    <row r="4125" spans="37:44" ht="30" hidden="1" customHeight="1">
      <c r="AK4125" s="313"/>
      <c r="AL4125" s="313"/>
      <c r="AM4125" s="313"/>
      <c r="AN4125" s="313"/>
      <c r="AO4125" s="313"/>
      <c r="AP4125" s="313"/>
      <c r="AQ4125" s="314"/>
      <c r="AR4125" s="315" t="str">
        <f t="shared" si="138"/>
        <v/>
      </c>
    </row>
    <row r="4126" spans="37:44" ht="30" hidden="1" customHeight="1">
      <c r="AK4126" s="313"/>
      <c r="AL4126" s="313"/>
      <c r="AM4126" s="313"/>
      <c r="AN4126" s="313"/>
      <c r="AO4126" s="313"/>
      <c r="AP4126" s="313"/>
      <c r="AQ4126" s="314"/>
      <c r="AR4126" s="315" t="str">
        <f t="shared" si="138"/>
        <v/>
      </c>
    </row>
    <row r="4127" spans="37:44" ht="30" hidden="1" customHeight="1">
      <c r="AK4127" s="313"/>
      <c r="AL4127" s="313"/>
      <c r="AM4127" s="313"/>
      <c r="AN4127" s="313"/>
      <c r="AO4127" s="313"/>
      <c r="AP4127" s="313"/>
      <c r="AQ4127" s="314"/>
      <c r="AR4127" s="315" t="str">
        <f t="shared" si="138"/>
        <v/>
      </c>
    </row>
    <row r="4128" spans="37:44" ht="30" hidden="1" customHeight="1">
      <c r="AK4128" s="313"/>
      <c r="AL4128" s="313"/>
      <c r="AM4128" s="313"/>
      <c r="AN4128" s="313"/>
      <c r="AO4128" s="313"/>
      <c r="AP4128" s="313"/>
      <c r="AQ4128" s="314"/>
      <c r="AR4128" s="315" t="str">
        <f t="shared" si="138"/>
        <v/>
      </c>
    </row>
    <row r="4129" spans="37:44" ht="30" hidden="1" customHeight="1">
      <c r="AK4129" s="313"/>
      <c r="AL4129" s="313"/>
      <c r="AM4129" s="313"/>
      <c r="AN4129" s="313"/>
      <c r="AO4129" s="313"/>
      <c r="AP4129" s="313"/>
      <c r="AQ4129" s="314"/>
      <c r="AR4129" s="315" t="str">
        <f t="shared" si="138"/>
        <v/>
      </c>
    </row>
    <row r="4130" spans="37:44" ht="30" hidden="1" customHeight="1">
      <c r="AK4130" s="313"/>
      <c r="AL4130" s="313"/>
      <c r="AM4130" s="313"/>
      <c r="AN4130" s="313"/>
      <c r="AO4130" s="313"/>
      <c r="AP4130" s="313"/>
      <c r="AQ4130" s="314"/>
      <c r="AR4130" s="315" t="str">
        <f t="shared" si="138"/>
        <v/>
      </c>
    </row>
    <row r="4131" spans="37:44" ht="30" hidden="1" customHeight="1">
      <c r="AK4131" s="313"/>
      <c r="AL4131" s="313"/>
      <c r="AM4131" s="313"/>
      <c r="AN4131" s="313"/>
      <c r="AO4131" s="313"/>
      <c r="AP4131" s="313"/>
      <c r="AQ4131" s="314"/>
      <c r="AR4131" s="315" t="str">
        <f t="shared" si="138"/>
        <v/>
      </c>
    </row>
    <row r="4132" spans="37:44" ht="30" hidden="1" customHeight="1">
      <c r="AK4132" s="313"/>
      <c r="AL4132" s="313"/>
      <c r="AM4132" s="313"/>
      <c r="AN4132" s="313"/>
      <c r="AO4132" s="313"/>
      <c r="AP4132" s="313"/>
      <c r="AQ4132" s="314"/>
      <c r="AR4132" s="315" t="str">
        <f t="shared" si="138"/>
        <v/>
      </c>
    </row>
    <row r="4133" spans="37:44" ht="30" hidden="1" customHeight="1">
      <c r="AK4133" s="313"/>
      <c r="AL4133" s="313"/>
      <c r="AM4133" s="313"/>
      <c r="AN4133" s="313"/>
      <c r="AO4133" s="313"/>
      <c r="AP4133" s="313"/>
      <c r="AQ4133" s="314"/>
      <c r="AR4133" s="315" t="str">
        <f t="shared" si="138"/>
        <v/>
      </c>
    </row>
    <row r="4134" spans="37:44" ht="30" hidden="1" customHeight="1">
      <c r="AK4134" s="313"/>
      <c r="AL4134" s="313"/>
      <c r="AM4134" s="313"/>
      <c r="AN4134" s="313"/>
      <c r="AO4134" s="313"/>
      <c r="AP4134" s="313"/>
      <c r="AQ4134" s="314"/>
      <c r="AR4134" s="315" t="str">
        <f t="shared" si="138"/>
        <v/>
      </c>
    </row>
    <row r="4135" spans="37:44" ht="30" hidden="1" customHeight="1">
      <c r="AK4135" s="313"/>
      <c r="AL4135" s="313"/>
      <c r="AM4135" s="313"/>
      <c r="AN4135" s="313"/>
      <c r="AO4135" s="313"/>
      <c r="AP4135" s="313"/>
      <c r="AQ4135" s="314"/>
      <c r="AR4135" s="315" t="str">
        <f t="shared" si="138"/>
        <v/>
      </c>
    </row>
    <row r="4136" spans="37:44" ht="30" hidden="1" customHeight="1">
      <c r="AK4136" s="313"/>
      <c r="AL4136" s="313"/>
      <c r="AM4136" s="313"/>
      <c r="AN4136" s="313"/>
      <c r="AO4136" s="313"/>
      <c r="AP4136" s="313"/>
      <c r="AQ4136" s="314"/>
      <c r="AR4136" s="315" t="str">
        <f t="shared" si="138"/>
        <v/>
      </c>
    </row>
    <row r="4137" spans="37:44" ht="30" hidden="1" customHeight="1">
      <c r="AK4137" s="313"/>
      <c r="AL4137" s="313"/>
      <c r="AM4137" s="313"/>
      <c r="AN4137" s="313"/>
      <c r="AO4137" s="313"/>
      <c r="AP4137" s="313"/>
      <c r="AQ4137" s="314"/>
      <c r="AR4137" s="315" t="str">
        <f t="shared" si="138"/>
        <v/>
      </c>
    </row>
    <row r="4138" spans="37:44" ht="30" hidden="1" customHeight="1">
      <c r="AK4138" s="313"/>
      <c r="AL4138" s="313"/>
      <c r="AM4138" s="313"/>
      <c r="AN4138" s="313"/>
      <c r="AO4138" s="313"/>
      <c r="AP4138" s="313"/>
      <c r="AQ4138" s="314"/>
      <c r="AR4138" s="315" t="str">
        <f t="shared" si="138"/>
        <v/>
      </c>
    </row>
    <row r="4139" spans="37:44" ht="30" hidden="1" customHeight="1">
      <c r="AK4139" s="313"/>
      <c r="AL4139" s="313"/>
      <c r="AM4139" s="313"/>
      <c r="AN4139" s="313"/>
      <c r="AO4139" s="313"/>
      <c r="AP4139" s="313"/>
      <c r="AQ4139" s="314"/>
      <c r="AR4139" s="315" t="str">
        <f t="shared" si="138"/>
        <v/>
      </c>
    </row>
    <row r="4140" spans="37:44" ht="30" hidden="1" customHeight="1">
      <c r="AK4140" s="313"/>
      <c r="AL4140" s="313"/>
      <c r="AM4140" s="313"/>
      <c r="AN4140" s="313"/>
      <c r="AO4140" s="313"/>
      <c r="AP4140" s="313"/>
      <c r="AQ4140" s="314"/>
      <c r="AR4140" s="315" t="str">
        <f t="shared" si="138"/>
        <v/>
      </c>
    </row>
    <row r="4141" spans="37:44" ht="30" hidden="1" customHeight="1">
      <c r="AK4141" s="313"/>
      <c r="AL4141" s="313"/>
      <c r="AM4141" s="313"/>
      <c r="AN4141" s="313"/>
      <c r="AO4141" s="313"/>
      <c r="AP4141" s="313"/>
      <c r="AQ4141" s="314"/>
      <c r="AR4141" s="315" t="str">
        <f t="shared" si="138"/>
        <v/>
      </c>
    </row>
    <row r="4142" spans="37:44" ht="30" hidden="1" customHeight="1">
      <c r="AK4142" s="313"/>
      <c r="AL4142" s="313"/>
      <c r="AM4142" s="313"/>
      <c r="AN4142" s="313"/>
      <c r="AO4142" s="313"/>
      <c r="AP4142" s="313"/>
      <c r="AQ4142" s="314"/>
      <c r="AR4142" s="315" t="str">
        <f t="shared" si="138"/>
        <v/>
      </c>
    </row>
    <row r="4143" spans="37:44" ht="30" hidden="1" customHeight="1">
      <c r="AK4143" s="313"/>
      <c r="AL4143" s="313"/>
      <c r="AM4143" s="313"/>
      <c r="AN4143" s="313"/>
      <c r="AO4143" s="313"/>
      <c r="AP4143" s="313"/>
      <c r="AQ4143" s="314"/>
      <c r="AR4143" s="315" t="str">
        <f t="shared" si="138"/>
        <v/>
      </c>
    </row>
    <row r="4144" spans="37:44" ht="30" hidden="1" customHeight="1">
      <c r="AK4144" s="313"/>
      <c r="AL4144" s="313"/>
      <c r="AM4144" s="313"/>
      <c r="AN4144" s="313"/>
      <c r="AO4144" s="313"/>
      <c r="AP4144" s="313"/>
      <c r="AQ4144" s="314"/>
      <c r="AR4144" s="315" t="str">
        <f t="shared" si="138"/>
        <v/>
      </c>
    </row>
    <row r="4145" spans="37:44" ht="30" hidden="1" customHeight="1">
      <c r="AK4145" s="313"/>
      <c r="AL4145" s="313"/>
      <c r="AM4145" s="313"/>
      <c r="AN4145" s="313"/>
      <c r="AO4145" s="313"/>
      <c r="AP4145" s="313"/>
      <c r="AQ4145" s="314"/>
      <c r="AR4145" s="315" t="str">
        <f t="shared" si="138"/>
        <v/>
      </c>
    </row>
    <row r="4146" spans="37:44" ht="30" hidden="1" customHeight="1">
      <c r="AK4146" s="313"/>
      <c r="AL4146" s="313"/>
      <c r="AM4146" s="313"/>
      <c r="AN4146" s="313"/>
      <c r="AO4146" s="313"/>
      <c r="AP4146" s="313"/>
      <c r="AQ4146" s="314"/>
      <c r="AR4146" s="315" t="str">
        <f t="shared" si="138"/>
        <v/>
      </c>
    </row>
    <row r="4147" spans="37:44" ht="30" hidden="1" customHeight="1">
      <c r="AK4147" s="313"/>
      <c r="AL4147" s="313"/>
      <c r="AM4147" s="313"/>
      <c r="AN4147" s="313"/>
      <c r="AO4147" s="313"/>
      <c r="AP4147" s="313"/>
      <c r="AQ4147" s="314"/>
      <c r="AR4147" s="315" t="str">
        <f t="shared" si="138"/>
        <v/>
      </c>
    </row>
    <row r="4148" spans="37:44" ht="30" hidden="1" customHeight="1">
      <c r="AK4148" s="313"/>
      <c r="AL4148" s="313"/>
      <c r="AM4148" s="313"/>
      <c r="AN4148" s="313"/>
      <c r="AO4148" s="313"/>
      <c r="AP4148" s="313"/>
      <c r="AQ4148" s="314"/>
      <c r="AR4148" s="315" t="str">
        <f t="shared" si="138"/>
        <v/>
      </c>
    </row>
    <row r="4149" spans="37:44" ht="30" hidden="1" customHeight="1">
      <c r="AK4149" s="313"/>
      <c r="AL4149" s="313"/>
      <c r="AM4149" s="313"/>
      <c r="AN4149" s="313"/>
      <c r="AO4149" s="313"/>
      <c r="AP4149" s="313"/>
      <c r="AQ4149" s="314"/>
      <c r="AR4149" s="315" t="str">
        <f t="shared" si="138"/>
        <v/>
      </c>
    </row>
    <row r="4150" spans="37:44" ht="30" hidden="1" customHeight="1">
      <c r="AK4150" s="313"/>
      <c r="AL4150" s="313"/>
      <c r="AM4150" s="313"/>
      <c r="AN4150" s="313"/>
      <c r="AO4150" s="313"/>
      <c r="AP4150" s="313"/>
      <c r="AQ4150" s="314"/>
      <c r="AR4150" s="315" t="str">
        <f t="shared" si="138"/>
        <v/>
      </c>
    </row>
    <row r="4151" spans="37:44" ht="30" hidden="1" customHeight="1">
      <c r="AK4151" s="313"/>
      <c r="AL4151" s="313"/>
      <c r="AM4151" s="313"/>
      <c r="AN4151" s="313"/>
      <c r="AO4151" s="313"/>
      <c r="AP4151" s="313"/>
      <c r="AQ4151" s="314"/>
      <c r="AR4151" s="315" t="str">
        <f t="shared" si="138"/>
        <v/>
      </c>
    </row>
    <row r="4152" spans="37:44" ht="30" hidden="1" customHeight="1">
      <c r="AK4152" s="313"/>
      <c r="AL4152" s="313"/>
      <c r="AM4152" s="313"/>
      <c r="AN4152" s="313"/>
      <c r="AO4152" s="313"/>
      <c r="AP4152" s="313"/>
      <c r="AQ4152" s="314"/>
      <c r="AR4152" s="315" t="str">
        <f t="shared" si="138"/>
        <v/>
      </c>
    </row>
    <row r="4153" spans="37:44" ht="30" hidden="1" customHeight="1">
      <c r="AK4153" s="313"/>
      <c r="AL4153" s="313"/>
      <c r="AM4153" s="313"/>
      <c r="AN4153" s="313"/>
      <c r="AO4153" s="313"/>
      <c r="AP4153" s="313"/>
      <c r="AQ4153" s="314"/>
      <c r="AR4153" s="315" t="str">
        <f t="shared" si="138"/>
        <v/>
      </c>
    </row>
    <row r="4154" spans="37:44" ht="30" hidden="1" customHeight="1">
      <c r="AK4154" s="313"/>
      <c r="AL4154" s="313"/>
      <c r="AM4154" s="313"/>
      <c r="AN4154" s="313"/>
      <c r="AO4154" s="313"/>
      <c r="AP4154" s="313"/>
      <c r="AQ4154" s="314"/>
      <c r="AR4154" s="315" t="str">
        <f t="shared" si="138"/>
        <v/>
      </c>
    </row>
    <row r="4155" spans="37:44" ht="30" hidden="1" customHeight="1">
      <c r="AK4155" s="313"/>
      <c r="AL4155" s="313"/>
      <c r="AM4155" s="313"/>
      <c r="AN4155" s="313"/>
      <c r="AO4155" s="313"/>
      <c r="AP4155" s="313"/>
      <c r="AQ4155" s="314"/>
      <c r="AR4155" s="315" t="str">
        <f t="shared" si="138"/>
        <v/>
      </c>
    </row>
    <row r="4156" spans="37:44" ht="30" hidden="1" customHeight="1">
      <c r="AK4156" s="313"/>
      <c r="AL4156" s="313"/>
      <c r="AM4156" s="313"/>
      <c r="AN4156" s="313"/>
      <c r="AO4156" s="313"/>
      <c r="AP4156" s="313"/>
      <c r="AQ4156" s="314"/>
      <c r="AR4156" s="315" t="str">
        <f t="shared" si="138"/>
        <v/>
      </c>
    </row>
    <row r="4157" spans="37:44" ht="30" hidden="1" customHeight="1">
      <c r="AK4157" s="313"/>
      <c r="AL4157" s="313"/>
      <c r="AM4157" s="313"/>
      <c r="AN4157" s="313"/>
      <c r="AO4157" s="313"/>
      <c r="AP4157" s="313"/>
      <c r="AQ4157" s="314"/>
      <c r="AR4157" s="315" t="str">
        <f t="shared" si="138"/>
        <v/>
      </c>
    </row>
    <row r="4158" spans="37:44" ht="30" hidden="1" customHeight="1">
      <c r="AK4158" s="313"/>
      <c r="AL4158" s="313"/>
      <c r="AM4158" s="313"/>
      <c r="AN4158" s="313"/>
      <c r="AO4158" s="313"/>
      <c r="AP4158" s="313"/>
      <c r="AQ4158" s="314"/>
      <c r="AR4158" s="315" t="str">
        <f t="shared" si="138"/>
        <v/>
      </c>
    </row>
    <row r="4159" spans="37:44" ht="30" hidden="1" customHeight="1">
      <c r="AK4159" s="313"/>
      <c r="AL4159" s="313"/>
      <c r="AM4159" s="313"/>
      <c r="AN4159" s="313"/>
      <c r="AO4159" s="313"/>
      <c r="AP4159" s="313"/>
      <c r="AQ4159" s="314"/>
      <c r="AR4159" s="315" t="str">
        <f t="shared" ref="AR4159:AR4222" si="139">IF(AQ4159="SIM","AGUARDANDO CORREÇÃO",IF(AP4159&lt;&gt;"","FINALIZADO",IF(AO4159&lt;&gt;"","AGUARDANDO ENVIO DTS",IF(AN4159&lt;&gt;"","AGUARDANDO ASSINATURA GAB",IF(AM4159&lt;&gt;"","AGUARDANDO ASSINATURA CTS",IF(AL4159&lt;&gt;"","AGUARDANDO ENVIO ASSINATURA CTS",IF(AK4159&lt;&gt;"","AGUARDANDO CONFERÊNCIA","")))))))</f>
        <v/>
      </c>
    </row>
    <row r="4160" spans="37:44" ht="30" hidden="1" customHeight="1">
      <c r="AK4160" s="313"/>
      <c r="AL4160" s="313"/>
      <c r="AM4160" s="313"/>
      <c r="AN4160" s="313"/>
      <c r="AO4160" s="313"/>
      <c r="AP4160" s="313"/>
      <c r="AQ4160" s="314"/>
      <c r="AR4160" s="315" t="str">
        <f t="shared" si="139"/>
        <v/>
      </c>
    </row>
    <row r="4161" spans="37:44" ht="30" hidden="1" customHeight="1">
      <c r="AK4161" s="313"/>
      <c r="AL4161" s="313"/>
      <c r="AM4161" s="313"/>
      <c r="AN4161" s="313"/>
      <c r="AO4161" s="313"/>
      <c r="AP4161" s="313"/>
      <c r="AQ4161" s="314"/>
      <c r="AR4161" s="315" t="str">
        <f t="shared" si="139"/>
        <v/>
      </c>
    </row>
    <row r="4162" spans="37:44" ht="30" hidden="1" customHeight="1">
      <c r="AK4162" s="313"/>
      <c r="AL4162" s="313"/>
      <c r="AM4162" s="313"/>
      <c r="AN4162" s="313"/>
      <c r="AO4162" s="313"/>
      <c r="AP4162" s="313"/>
      <c r="AQ4162" s="314"/>
      <c r="AR4162" s="315" t="str">
        <f t="shared" si="139"/>
        <v/>
      </c>
    </row>
    <row r="4163" spans="37:44" ht="30" hidden="1" customHeight="1">
      <c r="AK4163" s="313"/>
      <c r="AL4163" s="313"/>
      <c r="AM4163" s="313"/>
      <c r="AN4163" s="313"/>
      <c r="AO4163" s="313"/>
      <c r="AP4163" s="313"/>
      <c r="AQ4163" s="314"/>
      <c r="AR4163" s="315" t="str">
        <f t="shared" si="139"/>
        <v/>
      </c>
    </row>
    <row r="4164" spans="37:44" ht="30" hidden="1" customHeight="1">
      <c r="AK4164" s="313"/>
      <c r="AL4164" s="313"/>
      <c r="AM4164" s="313"/>
      <c r="AN4164" s="313"/>
      <c r="AO4164" s="313"/>
      <c r="AP4164" s="313"/>
      <c r="AQ4164" s="314"/>
      <c r="AR4164" s="315" t="str">
        <f t="shared" si="139"/>
        <v/>
      </c>
    </row>
    <row r="4165" spans="37:44" ht="30" hidden="1" customHeight="1">
      <c r="AK4165" s="313"/>
      <c r="AL4165" s="313"/>
      <c r="AM4165" s="313"/>
      <c r="AN4165" s="313"/>
      <c r="AO4165" s="313"/>
      <c r="AP4165" s="313"/>
      <c r="AQ4165" s="314"/>
      <c r="AR4165" s="315" t="str">
        <f t="shared" si="139"/>
        <v/>
      </c>
    </row>
    <row r="4166" spans="37:44" ht="30" hidden="1" customHeight="1">
      <c r="AK4166" s="313"/>
      <c r="AL4166" s="313"/>
      <c r="AM4166" s="313"/>
      <c r="AN4166" s="313"/>
      <c r="AO4166" s="313"/>
      <c r="AP4166" s="313"/>
      <c r="AQ4166" s="314"/>
      <c r="AR4166" s="315" t="str">
        <f t="shared" si="139"/>
        <v/>
      </c>
    </row>
    <row r="4167" spans="37:44" ht="30" hidden="1" customHeight="1">
      <c r="AK4167" s="313"/>
      <c r="AL4167" s="313"/>
      <c r="AM4167" s="313"/>
      <c r="AN4167" s="313"/>
      <c r="AO4167" s="313"/>
      <c r="AP4167" s="313"/>
      <c r="AQ4167" s="314"/>
      <c r="AR4167" s="315" t="str">
        <f t="shared" si="139"/>
        <v/>
      </c>
    </row>
    <row r="4168" spans="37:44" ht="30" hidden="1" customHeight="1">
      <c r="AK4168" s="313"/>
      <c r="AL4168" s="313"/>
      <c r="AM4168" s="313"/>
      <c r="AN4168" s="313"/>
      <c r="AO4168" s="313"/>
      <c r="AP4168" s="313"/>
      <c r="AQ4168" s="314"/>
      <c r="AR4168" s="315" t="str">
        <f t="shared" si="139"/>
        <v/>
      </c>
    </row>
    <row r="4169" spans="37:44" ht="30" hidden="1" customHeight="1">
      <c r="AK4169" s="313"/>
      <c r="AL4169" s="313"/>
      <c r="AM4169" s="313"/>
      <c r="AN4169" s="313"/>
      <c r="AO4169" s="313"/>
      <c r="AP4169" s="313"/>
      <c r="AQ4169" s="314"/>
      <c r="AR4169" s="315" t="str">
        <f t="shared" si="139"/>
        <v/>
      </c>
    </row>
    <row r="4170" spans="37:44" ht="30" hidden="1" customHeight="1">
      <c r="AK4170" s="313"/>
      <c r="AL4170" s="313"/>
      <c r="AM4170" s="313"/>
      <c r="AN4170" s="313"/>
      <c r="AO4170" s="313"/>
      <c r="AP4170" s="313"/>
      <c r="AQ4170" s="314"/>
      <c r="AR4170" s="315" t="str">
        <f t="shared" si="139"/>
        <v/>
      </c>
    </row>
    <row r="4171" spans="37:44" ht="30" hidden="1" customHeight="1">
      <c r="AK4171" s="313"/>
      <c r="AL4171" s="313"/>
      <c r="AM4171" s="313"/>
      <c r="AN4171" s="313"/>
      <c r="AO4171" s="313"/>
      <c r="AP4171" s="313"/>
      <c r="AQ4171" s="314"/>
      <c r="AR4171" s="315" t="str">
        <f t="shared" si="139"/>
        <v/>
      </c>
    </row>
    <row r="4172" spans="37:44" ht="30" hidden="1" customHeight="1">
      <c r="AK4172" s="313"/>
      <c r="AL4172" s="313"/>
      <c r="AM4172" s="313"/>
      <c r="AN4172" s="313"/>
      <c r="AO4172" s="313"/>
      <c r="AP4172" s="313"/>
      <c r="AQ4172" s="314"/>
      <c r="AR4172" s="315" t="str">
        <f t="shared" si="139"/>
        <v/>
      </c>
    </row>
    <row r="4173" spans="37:44" ht="30" hidden="1" customHeight="1">
      <c r="AK4173" s="313"/>
      <c r="AL4173" s="313"/>
      <c r="AM4173" s="313"/>
      <c r="AN4173" s="313"/>
      <c r="AO4173" s="313"/>
      <c r="AP4173" s="313"/>
      <c r="AQ4173" s="314"/>
      <c r="AR4173" s="315" t="str">
        <f t="shared" si="139"/>
        <v/>
      </c>
    </row>
    <row r="4174" spans="37:44" ht="30" hidden="1" customHeight="1">
      <c r="AK4174" s="313"/>
      <c r="AL4174" s="313"/>
      <c r="AM4174" s="313"/>
      <c r="AN4174" s="313"/>
      <c r="AO4174" s="313"/>
      <c r="AP4174" s="313"/>
      <c r="AQ4174" s="314"/>
      <c r="AR4174" s="315" t="str">
        <f t="shared" si="139"/>
        <v/>
      </c>
    </row>
    <row r="4175" spans="37:44" ht="30" hidden="1" customHeight="1">
      <c r="AK4175" s="313"/>
      <c r="AL4175" s="313"/>
      <c r="AM4175" s="313"/>
      <c r="AN4175" s="313"/>
      <c r="AO4175" s="313"/>
      <c r="AP4175" s="313"/>
      <c r="AQ4175" s="314"/>
      <c r="AR4175" s="315" t="str">
        <f t="shared" si="139"/>
        <v/>
      </c>
    </row>
    <row r="4176" spans="37:44" ht="30" hidden="1" customHeight="1">
      <c r="AK4176" s="313"/>
      <c r="AL4176" s="313"/>
      <c r="AM4176" s="313"/>
      <c r="AN4176" s="313"/>
      <c r="AO4176" s="313"/>
      <c r="AP4176" s="313"/>
      <c r="AQ4176" s="314"/>
      <c r="AR4176" s="315" t="str">
        <f t="shared" si="139"/>
        <v/>
      </c>
    </row>
    <row r="4177" spans="37:44" ht="30" hidden="1" customHeight="1">
      <c r="AK4177" s="313"/>
      <c r="AL4177" s="313"/>
      <c r="AM4177" s="313"/>
      <c r="AN4177" s="313"/>
      <c r="AO4177" s="313"/>
      <c r="AP4177" s="313"/>
      <c r="AQ4177" s="314"/>
      <c r="AR4177" s="315" t="str">
        <f t="shared" si="139"/>
        <v/>
      </c>
    </row>
    <row r="4178" spans="37:44" ht="30" hidden="1" customHeight="1">
      <c r="AK4178" s="313"/>
      <c r="AL4178" s="313"/>
      <c r="AM4178" s="313"/>
      <c r="AN4178" s="313"/>
      <c r="AO4178" s="313"/>
      <c r="AP4178" s="313"/>
      <c r="AQ4178" s="314"/>
      <c r="AR4178" s="315" t="str">
        <f t="shared" si="139"/>
        <v/>
      </c>
    </row>
    <row r="4179" spans="37:44" ht="30" hidden="1" customHeight="1">
      <c r="AK4179" s="313"/>
      <c r="AL4179" s="313"/>
      <c r="AM4179" s="313"/>
      <c r="AN4179" s="313"/>
      <c r="AO4179" s="313"/>
      <c r="AP4179" s="313"/>
      <c r="AQ4179" s="314"/>
      <c r="AR4179" s="315" t="str">
        <f t="shared" si="139"/>
        <v/>
      </c>
    </row>
    <row r="4180" spans="37:44" ht="30" hidden="1" customHeight="1">
      <c r="AK4180" s="313"/>
      <c r="AL4180" s="313"/>
      <c r="AM4180" s="313"/>
      <c r="AN4180" s="313"/>
      <c r="AO4180" s="313"/>
      <c r="AP4180" s="313"/>
      <c r="AQ4180" s="314"/>
      <c r="AR4180" s="315" t="str">
        <f t="shared" si="139"/>
        <v/>
      </c>
    </row>
    <row r="4181" spans="37:44" ht="30" hidden="1" customHeight="1">
      <c r="AK4181" s="313"/>
      <c r="AL4181" s="313"/>
      <c r="AM4181" s="313"/>
      <c r="AN4181" s="313"/>
      <c r="AO4181" s="313"/>
      <c r="AP4181" s="313"/>
      <c r="AQ4181" s="314"/>
      <c r="AR4181" s="315" t="str">
        <f t="shared" si="139"/>
        <v/>
      </c>
    </row>
    <row r="4182" spans="37:44" ht="30" hidden="1" customHeight="1">
      <c r="AK4182" s="313"/>
      <c r="AL4182" s="313"/>
      <c r="AM4182" s="313"/>
      <c r="AN4182" s="313"/>
      <c r="AO4182" s="313"/>
      <c r="AP4182" s="313"/>
      <c r="AQ4182" s="314"/>
      <c r="AR4182" s="315" t="str">
        <f t="shared" si="139"/>
        <v/>
      </c>
    </row>
    <row r="4183" spans="37:44" ht="30" hidden="1" customHeight="1">
      <c r="AK4183" s="313"/>
      <c r="AL4183" s="313"/>
      <c r="AM4183" s="313"/>
      <c r="AN4183" s="313"/>
      <c r="AO4183" s="313"/>
      <c r="AP4183" s="313"/>
      <c r="AQ4183" s="314"/>
      <c r="AR4183" s="315" t="str">
        <f t="shared" si="139"/>
        <v/>
      </c>
    </row>
    <row r="4184" spans="37:44" ht="30" hidden="1" customHeight="1">
      <c r="AK4184" s="313"/>
      <c r="AL4184" s="313"/>
      <c r="AM4184" s="313"/>
      <c r="AN4184" s="313"/>
      <c r="AO4184" s="313"/>
      <c r="AP4184" s="313"/>
      <c r="AQ4184" s="314"/>
      <c r="AR4184" s="315" t="str">
        <f t="shared" si="139"/>
        <v/>
      </c>
    </row>
    <row r="4185" spans="37:44" ht="30" hidden="1" customHeight="1">
      <c r="AK4185" s="313"/>
      <c r="AL4185" s="313"/>
      <c r="AM4185" s="313"/>
      <c r="AN4185" s="313"/>
      <c r="AO4185" s="313"/>
      <c r="AP4185" s="313"/>
      <c r="AQ4185" s="314"/>
      <c r="AR4185" s="315" t="str">
        <f t="shared" si="139"/>
        <v/>
      </c>
    </row>
    <row r="4186" spans="37:44" ht="30" hidden="1" customHeight="1">
      <c r="AK4186" s="313"/>
      <c r="AL4186" s="313"/>
      <c r="AM4186" s="313"/>
      <c r="AN4186" s="313"/>
      <c r="AO4186" s="313"/>
      <c r="AP4186" s="313"/>
      <c r="AQ4186" s="314"/>
      <c r="AR4186" s="315" t="str">
        <f t="shared" si="139"/>
        <v/>
      </c>
    </row>
    <row r="4187" spans="37:44" ht="30" hidden="1" customHeight="1">
      <c r="AK4187" s="313"/>
      <c r="AL4187" s="313"/>
      <c r="AM4187" s="313"/>
      <c r="AN4187" s="313"/>
      <c r="AO4187" s="313"/>
      <c r="AP4187" s="313"/>
      <c r="AQ4187" s="314"/>
      <c r="AR4187" s="315" t="str">
        <f t="shared" si="139"/>
        <v/>
      </c>
    </row>
    <row r="4188" spans="37:44" ht="30" hidden="1" customHeight="1">
      <c r="AK4188" s="313"/>
      <c r="AL4188" s="313"/>
      <c r="AM4188" s="313"/>
      <c r="AN4188" s="313"/>
      <c r="AO4188" s="313"/>
      <c r="AP4188" s="313"/>
      <c r="AQ4188" s="314"/>
      <c r="AR4188" s="315" t="str">
        <f t="shared" si="139"/>
        <v/>
      </c>
    </row>
    <row r="4189" spans="37:44" ht="30" hidden="1" customHeight="1">
      <c r="AK4189" s="313"/>
      <c r="AL4189" s="313"/>
      <c r="AM4189" s="313"/>
      <c r="AN4189" s="313"/>
      <c r="AO4189" s="313"/>
      <c r="AP4189" s="313"/>
      <c r="AQ4189" s="314"/>
      <c r="AR4189" s="315" t="str">
        <f t="shared" si="139"/>
        <v/>
      </c>
    </row>
    <row r="4190" spans="37:44" ht="30" hidden="1" customHeight="1">
      <c r="AK4190" s="313"/>
      <c r="AL4190" s="313"/>
      <c r="AM4190" s="313"/>
      <c r="AN4190" s="313"/>
      <c r="AO4190" s="313"/>
      <c r="AP4190" s="313"/>
      <c r="AQ4190" s="314"/>
      <c r="AR4190" s="315" t="str">
        <f t="shared" si="139"/>
        <v/>
      </c>
    </row>
    <row r="4191" spans="37:44" ht="30" hidden="1" customHeight="1">
      <c r="AK4191" s="313"/>
      <c r="AL4191" s="313"/>
      <c r="AM4191" s="313"/>
      <c r="AN4191" s="313"/>
      <c r="AO4191" s="313"/>
      <c r="AP4191" s="313"/>
      <c r="AQ4191" s="314"/>
      <c r="AR4191" s="315" t="str">
        <f t="shared" si="139"/>
        <v/>
      </c>
    </row>
    <row r="4192" spans="37:44" ht="30" hidden="1" customHeight="1">
      <c r="AK4192" s="313"/>
      <c r="AL4192" s="313"/>
      <c r="AM4192" s="313"/>
      <c r="AN4192" s="313"/>
      <c r="AO4192" s="313"/>
      <c r="AP4192" s="313"/>
      <c r="AQ4192" s="314"/>
      <c r="AR4192" s="315" t="str">
        <f t="shared" si="139"/>
        <v/>
      </c>
    </row>
    <row r="4193" spans="37:44" ht="30" hidden="1" customHeight="1">
      <c r="AK4193" s="313"/>
      <c r="AL4193" s="313"/>
      <c r="AM4193" s="313"/>
      <c r="AN4193" s="313"/>
      <c r="AO4193" s="313"/>
      <c r="AP4193" s="313"/>
      <c r="AQ4193" s="314"/>
      <c r="AR4193" s="315" t="str">
        <f t="shared" si="139"/>
        <v/>
      </c>
    </row>
    <row r="4194" spans="37:44" ht="30" hidden="1" customHeight="1">
      <c r="AK4194" s="313"/>
      <c r="AL4194" s="313"/>
      <c r="AM4194" s="313"/>
      <c r="AN4194" s="313"/>
      <c r="AO4194" s="313"/>
      <c r="AP4194" s="313"/>
      <c r="AQ4194" s="314"/>
      <c r="AR4194" s="315" t="str">
        <f t="shared" si="139"/>
        <v/>
      </c>
    </row>
    <row r="4195" spans="37:44" ht="30" hidden="1" customHeight="1">
      <c r="AK4195" s="313"/>
      <c r="AL4195" s="313"/>
      <c r="AM4195" s="313"/>
      <c r="AN4195" s="313"/>
      <c r="AO4195" s="313"/>
      <c r="AP4195" s="313"/>
      <c r="AQ4195" s="314"/>
      <c r="AR4195" s="315" t="str">
        <f t="shared" si="139"/>
        <v/>
      </c>
    </row>
    <row r="4196" spans="37:44" ht="30" hidden="1" customHeight="1">
      <c r="AK4196" s="313"/>
      <c r="AL4196" s="313"/>
      <c r="AM4196" s="313"/>
      <c r="AN4196" s="313"/>
      <c r="AO4196" s="313"/>
      <c r="AP4196" s="313"/>
      <c r="AQ4196" s="314"/>
      <c r="AR4196" s="315" t="str">
        <f t="shared" si="139"/>
        <v/>
      </c>
    </row>
    <row r="4197" spans="37:44" ht="30" hidden="1" customHeight="1">
      <c r="AK4197" s="313"/>
      <c r="AL4197" s="313"/>
      <c r="AM4197" s="313"/>
      <c r="AN4197" s="313"/>
      <c r="AO4197" s="313"/>
      <c r="AP4197" s="313"/>
      <c r="AQ4197" s="314"/>
      <c r="AR4197" s="315" t="str">
        <f t="shared" si="139"/>
        <v/>
      </c>
    </row>
    <row r="4198" spans="37:44" ht="30" hidden="1" customHeight="1">
      <c r="AK4198" s="313"/>
      <c r="AL4198" s="313"/>
      <c r="AM4198" s="313"/>
      <c r="AN4198" s="313"/>
      <c r="AO4198" s="313"/>
      <c r="AP4198" s="313"/>
      <c r="AQ4198" s="314"/>
      <c r="AR4198" s="315" t="str">
        <f t="shared" si="139"/>
        <v/>
      </c>
    </row>
    <row r="4199" spans="37:44" ht="30" hidden="1" customHeight="1">
      <c r="AK4199" s="313"/>
      <c r="AL4199" s="313"/>
      <c r="AM4199" s="313"/>
      <c r="AN4199" s="313"/>
      <c r="AO4199" s="313"/>
      <c r="AP4199" s="313"/>
      <c r="AQ4199" s="314"/>
      <c r="AR4199" s="315" t="str">
        <f t="shared" si="139"/>
        <v/>
      </c>
    </row>
    <row r="4200" spans="37:44" ht="30" hidden="1" customHeight="1">
      <c r="AK4200" s="313"/>
      <c r="AL4200" s="313"/>
      <c r="AM4200" s="313"/>
      <c r="AN4200" s="313"/>
      <c r="AO4200" s="313"/>
      <c r="AP4200" s="313"/>
      <c r="AQ4200" s="314"/>
      <c r="AR4200" s="315" t="str">
        <f t="shared" si="139"/>
        <v/>
      </c>
    </row>
    <row r="4201" spans="37:44" ht="30" hidden="1" customHeight="1">
      <c r="AK4201" s="313"/>
      <c r="AL4201" s="313"/>
      <c r="AM4201" s="313"/>
      <c r="AN4201" s="313"/>
      <c r="AO4201" s="313"/>
      <c r="AP4201" s="313"/>
      <c r="AQ4201" s="314"/>
      <c r="AR4201" s="315" t="str">
        <f t="shared" si="139"/>
        <v/>
      </c>
    </row>
    <row r="4202" spans="37:44" ht="30" hidden="1" customHeight="1">
      <c r="AK4202" s="313"/>
      <c r="AL4202" s="313"/>
      <c r="AM4202" s="313"/>
      <c r="AN4202" s="313"/>
      <c r="AO4202" s="313"/>
      <c r="AP4202" s="313"/>
      <c r="AQ4202" s="314"/>
      <c r="AR4202" s="315" t="str">
        <f t="shared" si="139"/>
        <v/>
      </c>
    </row>
    <row r="4203" spans="37:44" ht="30" hidden="1" customHeight="1">
      <c r="AK4203" s="313"/>
      <c r="AL4203" s="313"/>
      <c r="AM4203" s="313"/>
      <c r="AN4203" s="313"/>
      <c r="AO4203" s="313"/>
      <c r="AP4203" s="313"/>
      <c r="AQ4203" s="314"/>
      <c r="AR4203" s="315" t="str">
        <f t="shared" si="139"/>
        <v/>
      </c>
    </row>
    <row r="4204" spans="37:44" ht="30" hidden="1" customHeight="1">
      <c r="AK4204" s="313"/>
      <c r="AL4204" s="313"/>
      <c r="AM4204" s="313"/>
      <c r="AN4204" s="313"/>
      <c r="AO4204" s="313"/>
      <c r="AP4204" s="313"/>
      <c r="AQ4204" s="314"/>
      <c r="AR4204" s="315" t="str">
        <f t="shared" si="139"/>
        <v/>
      </c>
    </row>
    <row r="4205" spans="37:44" ht="30" hidden="1" customHeight="1">
      <c r="AK4205" s="313"/>
      <c r="AL4205" s="313"/>
      <c r="AM4205" s="313"/>
      <c r="AN4205" s="313"/>
      <c r="AO4205" s="313"/>
      <c r="AP4205" s="313"/>
      <c r="AQ4205" s="314"/>
      <c r="AR4205" s="315" t="str">
        <f t="shared" si="139"/>
        <v/>
      </c>
    </row>
    <row r="4206" spans="37:44" ht="30" hidden="1" customHeight="1">
      <c r="AK4206" s="313"/>
      <c r="AL4206" s="313"/>
      <c r="AM4206" s="313"/>
      <c r="AN4206" s="313"/>
      <c r="AO4206" s="313"/>
      <c r="AP4206" s="313"/>
      <c r="AQ4206" s="314"/>
      <c r="AR4206" s="315" t="str">
        <f t="shared" si="139"/>
        <v/>
      </c>
    </row>
    <row r="4207" spans="37:44" ht="30" hidden="1" customHeight="1">
      <c r="AK4207" s="313"/>
      <c r="AL4207" s="313"/>
      <c r="AM4207" s="313"/>
      <c r="AN4207" s="313"/>
      <c r="AO4207" s="313"/>
      <c r="AP4207" s="313"/>
      <c r="AQ4207" s="314"/>
      <c r="AR4207" s="315" t="str">
        <f t="shared" si="139"/>
        <v/>
      </c>
    </row>
    <row r="4208" spans="37:44" ht="30" hidden="1" customHeight="1">
      <c r="AK4208" s="313"/>
      <c r="AL4208" s="313"/>
      <c r="AM4208" s="313"/>
      <c r="AN4208" s="313"/>
      <c r="AO4208" s="313"/>
      <c r="AP4208" s="313"/>
      <c r="AQ4208" s="314"/>
      <c r="AR4208" s="315" t="str">
        <f t="shared" si="139"/>
        <v/>
      </c>
    </row>
    <row r="4209" spans="37:44" ht="30" hidden="1" customHeight="1">
      <c r="AK4209" s="313"/>
      <c r="AL4209" s="313"/>
      <c r="AM4209" s="313"/>
      <c r="AN4209" s="313"/>
      <c r="AO4209" s="313"/>
      <c r="AP4209" s="313"/>
      <c r="AQ4209" s="314"/>
      <c r="AR4209" s="315" t="str">
        <f t="shared" si="139"/>
        <v/>
      </c>
    </row>
    <row r="4210" spans="37:44" ht="30" hidden="1" customHeight="1">
      <c r="AK4210" s="313"/>
      <c r="AL4210" s="313"/>
      <c r="AM4210" s="313"/>
      <c r="AN4210" s="313"/>
      <c r="AO4210" s="313"/>
      <c r="AP4210" s="313"/>
      <c r="AQ4210" s="314"/>
      <c r="AR4210" s="315" t="str">
        <f t="shared" si="139"/>
        <v/>
      </c>
    </row>
    <row r="4211" spans="37:44" ht="30" hidden="1" customHeight="1">
      <c r="AK4211" s="313"/>
      <c r="AL4211" s="313"/>
      <c r="AM4211" s="313"/>
      <c r="AN4211" s="313"/>
      <c r="AO4211" s="313"/>
      <c r="AP4211" s="313"/>
      <c r="AQ4211" s="314"/>
      <c r="AR4211" s="315" t="str">
        <f t="shared" si="139"/>
        <v/>
      </c>
    </row>
    <row r="4212" spans="37:44" ht="30" hidden="1" customHeight="1">
      <c r="AK4212" s="313"/>
      <c r="AL4212" s="313"/>
      <c r="AM4212" s="313"/>
      <c r="AN4212" s="313"/>
      <c r="AO4212" s="313"/>
      <c r="AP4212" s="313"/>
      <c r="AQ4212" s="314"/>
      <c r="AR4212" s="315" t="str">
        <f t="shared" si="139"/>
        <v/>
      </c>
    </row>
    <row r="4213" spans="37:44" ht="30" hidden="1" customHeight="1">
      <c r="AK4213" s="313"/>
      <c r="AL4213" s="313"/>
      <c r="AM4213" s="313"/>
      <c r="AN4213" s="313"/>
      <c r="AO4213" s="313"/>
      <c r="AP4213" s="313"/>
      <c r="AQ4213" s="314"/>
      <c r="AR4213" s="315" t="str">
        <f t="shared" si="139"/>
        <v/>
      </c>
    </row>
    <row r="4214" spans="37:44" ht="30" hidden="1" customHeight="1">
      <c r="AK4214" s="313"/>
      <c r="AL4214" s="313"/>
      <c r="AM4214" s="313"/>
      <c r="AN4214" s="313"/>
      <c r="AO4214" s="313"/>
      <c r="AP4214" s="313"/>
      <c r="AQ4214" s="314"/>
      <c r="AR4214" s="315" t="str">
        <f t="shared" si="139"/>
        <v/>
      </c>
    </row>
    <row r="4215" spans="37:44" ht="30" hidden="1" customHeight="1">
      <c r="AK4215" s="313"/>
      <c r="AL4215" s="313"/>
      <c r="AM4215" s="313"/>
      <c r="AN4215" s="313"/>
      <c r="AO4215" s="313"/>
      <c r="AP4215" s="313"/>
      <c r="AQ4215" s="314"/>
      <c r="AR4215" s="315" t="str">
        <f t="shared" si="139"/>
        <v/>
      </c>
    </row>
    <row r="4216" spans="37:44" ht="30" hidden="1" customHeight="1">
      <c r="AK4216" s="313"/>
      <c r="AL4216" s="313"/>
      <c r="AM4216" s="313"/>
      <c r="AN4216" s="313"/>
      <c r="AO4216" s="313"/>
      <c r="AP4216" s="313"/>
      <c r="AQ4216" s="314"/>
      <c r="AR4216" s="315" t="str">
        <f t="shared" si="139"/>
        <v/>
      </c>
    </row>
    <row r="4217" spans="37:44" ht="30" hidden="1" customHeight="1">
      <c r="AK4217" s="313"/>
      <c r="AL4217" s="313"/>
      <c r="AM4217" s="313"/>
      <c r="AN4217" s="313"/>
      <c r="AO4217" s="313"/>
      <c r="AP4217" s="313"/>
      <c r="AQ4217" s="314"/>
      <c r="AR4217" s="315" t="str">
        <f t="shared" si="139"/>
        <v/>
      </c>
    </row>
    <row r="4218" spans="37:44" ht="30" hidden="1" customHeight="1">
      <c r="AK4218" s="313"/>
      <c r="AL4218" s="313"/>
      <c r="AM4218" s="313"/>
      <c r="AN4218" s="313"/>
      <c r="AO4218" s="313"/>
      <c r="AP4218" s="313"/>
      <c r="AQ4218" s="314"/>
      <c r="AR4218" s="315" t="str">
        <f t="shared" si="139"/>
        <v/>
      </c>
    </row>
    <row r="4219" spans="37:44" ht="30" hidden="1" customHeight="1">
      <c r="AK4219" s="313"/>
      <c r="AL4219" s="313"/>
      <c r="AM4219" s="313"/>
      <c r="AN4219" s="313"/>
      <c r="AO4219" s="313"/>
      <c r="AP4219" s="313"/>
      <c r="AQ4219" s="314"/>
      <c r="AR4219" s="315" t="str">
        <f t="shared" si="139"/>
        <v/>
      </c>
    </row>
    <row r="4220" spans="37:44" ht="30" hidden="1" customHeight="1">
      <c r="AK4220" s="313"/>
      <c r="AL4220" s="313"/>
      <c r="AM4220" s="313"/>
      <c r="AN4220" s="313"/>
      <c r="AO4220" s="313"/>
      <c r="AP4220" s="313"/>
      <c r="AQ4220" s="314"/>
      <c r="AR4220" s="315" t="str">
        <f t="shared" si="139"/>
        <v/>
      </c>
    </row>
    <row r="4221" spans="37:44" ht="30" hidden="1" customHeight="1">
      <c r="AK4221" s="313"/>
      <c r="AL4221" s="313"/>
      <c r="AM4221" s="313"/>
      <c r="AN4221" s="313"/>
      <c r="AO4221" s="313"/>
      <c r="AP4221" s="313"/>
      <c r="AQ4221" s="314"/>
      <c r="AR4221" s="315" t="str">
        <f t="shared" si="139"/>
        <v/>
      </c>
    </row>
    <row r="4222" spans="37:44" ht="30" hidden="1" customHeight="1">
      <c r="AK4222" s="313"/>
      <c r="AL4222" s="313"/>
      <c r="AM4222" s="313"/>
      <c r="AN4222" s="313"/>
      <c r="AO4222" s="313"/>
      <c r="AP4222" s="313"/>
      <c r="AQ4222" s="314"/>
      <c r="AR4222" s="315" t="str">
        <f t="shared" si="139"/>
        <v/>
      </c>
    </row>
    <row r="4223" spans="37:44" ht="30" hidden="1" customHeight="1">
      <c r="AK4223" s="313"/>
      <c r="AL4223" s="313"/>
      <c r="AM4223" s="313"/>
      <c r="AN4223" s="313"/>
      <c r="AO4223" s="313"/>
      <c r="AP4223" s="313"/>
      <c r="AQ4223" s="314"/>
      <c r="AR4223" s="315" t="str">
        <f t="shared" ref="AR4223:AR4286" si="140">IF(AQ4223="SIM","AGUARDANDO CORREÇÃO",IF(AP4223&lt;&gt;"","FINALIZADO",IF(AO4223&lt;&gt;"","AGUARDANDO ENVIO DTS",IF(AN4223&lt;&gt;"","AGUARDANDO ASSINATURA GAB",IF(AM4223&lt;&gt;"","AGUARDANDO ASSINATURA CTS",IF(AL4223&lt;&gt;"","AGUARDANDO ENVIO ASSINATURA CTS",IF(AK4223&lt;&gt;"","AGUARDANDO CONFERÊNCIA","")))))))</f>
        <v/>
      </c>
    </row>
    <row r="4224" spans="37:44" ht="30" hidden="1" customHeight="1">
      <c r="AK4224" s="313"/>
      <c r="AL4224" s="313"/>
      <c r="AM4224" s="313"/>
      <c r="AN4224" s="313"/>
      <c r="AO4224" s="313"/>
      <c r="AP4224" s="313"/>
      <c r="AQ4224" s="314"/>
      <c r="AR4224" s="315" t="str">
        <f t="shared" si="140"/>
        <v/>
      </c>
    </row>
    <row r="4225" spans="37:44" ht="30" hidden="1" customHeight="1">
      <c r="AK4225" s="313"/>
      <c r="AL4225" s="313"/>
      <c r="AM4225" s="313"/>
      <c r="AN4225" s="313"/>
      <c r="AO4225" s="313"/>
      <c r="AP4225" s="313"/>
      <c r="AQ4225" s="314"/>
      <c r="AR4225" s="315" t="str">
        <f t="shared" si="140"/>
        <v/>
      </c>
    </row>
    <row r="4226" spans="37:44" ht="30" hidden="1" customHeight="1">
      <c r="AK4226" s="313"/>
      <c r="AL4226" s="313"/>
      <c r="AM4226" s="313"/>
      <c r="AN4226" s="313"/>
      <c r="AO4226" s="313"/>
      <c r="AP4226" s="313"/>
      <c r="AQ4226" s="314"/>
      <c r="AR4226" s="315" t="str">
        <f t="shared" si="140"/>
        <v/>
      </c>
    </row>
    <row r="4227" spans="37:44" ht="30" hidden="1" customHeight="1">
      <c r="AK4227" s="313"/>
      <c r="AL4227" s="313"/>
      <c r="AM4227" s="313"/>
      <c r="AN4227" s="313"/>
      <c r="AO4227" s="313"/>
      <c r="AP4227" s="313"/>
      <c r="AQ4227" s="314"/>
      <c r="AR4227" s="315" t="str">
        <f t="shared" si="140"/>
        <v/>
      </c>
    </row>
    <row r="4228" spans="37:44" ht="30" hidden="1" customHeight="1">
      <c r="AK4228" s="313"/>
      <c r="AL4228" s="313"/>
      <c r="AM4228" s="313"/>
      <c r="AN4228" s="313"/>
      <c r="AO4228" s="313"/>
      <c r="AP4228" s="313"/>
      <c r="AQ4228" s="314"/>
      <c r="AR4228" s="315" t="str">
        <f t="shared" si="140"/>
        <v/>
      </c>
    </row>
    <row r="4229" spans="37:44" ht="30" hidden="1" customHeight="1">
      <c r="AK4229" s="313"/>
      <c r="AL4229" s="313"/>
      <c r="AM4229" s="313"/>
      <c r="AN4229" s="313"/>
      <c r="AO4229" s="313"/>
      <c r="AP4229" s="313"/>
      <c r="AQ4229" s="314"/>
      <c r="AR4229" s="315" t="str">
        <f t="shared" si="140"/>
        <v/>
      </c>
    </row>
    <row r="4230" spans="37:44" ht="30" hidden="1" customHeight="1">
      <c r="AK4230" s="313"/>
      <c r="AL4230" s="313"/>
      <c r="AM4230" s="313"/>
      <c r="AN4230" s="313"/>
      <c r="AO4230" s="313"/>
      <c r="AP4230" s="313"/>
      <c r="AQ4230" s="314"/>
      <c r="AR4230" s="315" t="str">
        <f t="shared" si="140"/>
        <v/>
      </c>
    </row>
    <row r="4231" spans="37:44" ht="30" hidden="1" customHeight="1">
      <c r="AK4231" s="313"/>
      <c r="AL4231" s="313"/>
      <c r="AM4231" s="313"/>
      <c r="AN4231" s="313"/>
      <c r="AO4231" s="313"/>
      <c r="AP4231" s="313"/>
      <c r="AQ4231" s="314"/>
      <c r="AR4231" s="315" t="str">
        <f t="shared" si="140"/>
        <v/>
      </c>
    </row>
    <row r="4232" spans="37:44" ht="30" hidden="1" customHeight="1">
      <c r="AK4232" s="313"/>
      <c r="AL4232" s="313"/>
      <c r="AM4232" s="313"/>
      <c r="AN4232" s="313"/>
      <c r="AO4232" s="313"/>
      <c r="AP4232" s="313"/>
      <c r="AQ4232" s="314"/>
      <c r="AR4232" s="315" t="str">
        <f t="shared" si="140"/>
        <v/>
      </c>
    </row>
    <row r="4233" spans="37:44" ht="30" hidden="1" customHeight="1">
      <c r="AK4233" s="313"/>
      <c r="AL4233" s="313"/>
      <c r="AM4233" s="313"/>
      <c r="AN4233" s="313"/>
      <c r="AO4233" s="313"/>
      <c r="AP4233" s="313"/>
      <c r="AQ4233" s="314"/>
      <c r="AR4233" s="315" t="str">
        <f t="shared" si="140"/>
        <v/>
      </c>
    </row>
    <row r="4234" spans="37:44" ht="30" hidden="1" customHeight="1">
      <c r="AK4234" s="313"/>
      <c r="AL4234" s="313"/>
      <c r="AM4234" s="313"/>
      <c r="AN4234" s="313"/>
      <c r="AO4234" s="313"/>
      <c r="AP4234" s="313"/>
      <c r="AQ4234" s="314"/>
      <c r="AR4234" s="315" t="str">
        <f t="shared" si="140"/>
        <v/>
      </c>
    </row>
    <row r="4235" spans="37:44" ht="30" hidden="1" customHeight="1">
      <c r="AK4235" s="313"/>
      <c r="AL4235" s="313"/>
      <c r="AM4235" s="313"/>
      <c r="AN4235" s="313"/>
      <c r="AO4235" s="313"/>
      <c r="AP4235" s="313"/>
      <c r="AQ4235" s="314"/>
      <c r="AR4235" s="315" t="str">
        <f t="shared" si="140"/>
        <v/>
      </c>
    </row>
    <row r="4236" spans="37:44" ht="30" hidden="1" customHeight="1">
      <c r="AK4236" s="313"/>
      <c r="AL4236" s="313"/>
      <c r="AM4236" s="313"/>
      <c r="AN4236" s="313"/>
      <c r="AO4236" s="313"/>
      <c r="AP4236" s="313"/>
      <c r="AQ4236" s="314"/>
      <c r="AR4236" s="315" t="str">
        <f t="shared" si="140"/>
        <v/>
      </c>
    </row>
    <row r="4237" spans="37:44" ht="30" hidden="1" customHeight="1">
      <c r="AK4237" s="313"/>
      <c r="AL4237" s="313"/>
      <c r="AM4237" s="313"/>
      <c r="AN4237" s="313"/>
      <c r="AO4237" s="313"/>
      <c r="AP4237" s="313"/>
      <c r="AQ4237" s="314"/>
      <c r="AR4237" s="315" t="str">
        <f t="shared" si="140"/>
        <v/>
      </c>
    </row>
    <row r="4238" spans="37:44" ht="30" hidden="1" customHeight="1">
      <c r="AK4238" s="313"/>
      <c r="AL4238" s="313"/>
      <c r="AM4238" s="313"/>
      <c r="AN4238" s="313"/>
      <c r="AO4238" s="313"/>
      <c r="AP4238" s="313"/>
      <c r="AQ4238" s="314"/>
      <c r="AR4238" s="315" t="str">
        <f t="shared" si="140"/>
        <v/>
      </c>
    </row>
    <row r="4239" spans="37:44" ht="30" hidden="1" customHeight="1">
      <c r="AK4239" s="313"/>
      <c r="AL4239" s="313"/>
      <c r="AM4239" s="313"/>
      <c r="AN4239" s="313"/>
      <c r="AO4239" s="313"/>
      <c r="AP4239" s="313"/>
      <c r="AQ4239" s="314"/>
      <c r="AR4239" s="315" t="str">
        <f t="shared" si="140"/>
        <v/>
      </c>
    </row>
    <row r="4240" spans="37:44" ht="30" hidden="1" customHeight="1">
      <c r="AK4240" s="313"/>
      <c r="AL4240" s="313"/>
      <c r="AM4240" s="313"/>
      <c r="AN4240" s="313"/>
      <c r="AO4240" s="313"/>
      <c r="AP4240" s="313"/>
      <c r="AQ4240" s="314"/>
      <c r="AR4240" s="315" t="str">
        <f t="shared" si="140"/>
        <v/>
      </c>
    </row>
    <row r="4241" spans="37:44" ht="30" hidden="1" customHeight="1">
      <c r="AK4241" s="313"/>
      <c r="AL4241" s="313"/>
      <c r="AM4241" s="313"/>
      <c r="AN4241" s="313"/>
      <c r="AO4241" s="313"/>
      <c r="AP4241" s="313"/>
      <c r="AQ4241" s="314"/>
      <c r="AR4241" s="315" t="str">
        <f t="shared" si="140"/>
        <v/>
      </c>
    </row>
    <row r="4242" spans="37:44" ht="30" hidden="1" customHeight="1">
      <c r="AK4242" s="313"/>
      <c r="AL4242" s="313"/>
      <c r="AM4242" s="313"/>
      <c r="AN4242" s="313"/>
      <c r="AO4242" s="313"/>
      <c r="AP4242" s="313"/>
      <c r="AQ4242" s="314"/>
      <c r="AR4242" s="315" t="str">
        <f t="shared" si="140"/>
        <v/>
      </c>
    </row>
    <row r="4243" spans="37:44" ht="30" hidden="1" customHeight="1">
      <c r="AK4243" s="313"/>
      <c r="AL4243" s="313"/>
      <c r="AM4243" s="313"/>
      <c r="AN4243" s="313"/>
      <c r="AO4243" s="313"/>
      <c r="AP4243" s="313"/>
      <c r="AQ4243" s="314"/>
      <c r="AR4243" s="315" t="str">
        <f t="shared" si="140"/>
        <v/>
      </c>
    </row>
    <row r="4244" spans="37:44" ht="30" hidden="1" customHeight="1">
      <c r="AK4244" s="313"/>
      <c r="AL4244" s="313"/>
      <c r="AM4244" s="313"/>
      <c r="AN4244" s="313"/>
      <c r="AO4244" s="313"/>
      <c r="AP4244" s="313"/>
      <c r="AQ4244" s="314"/>
      <c r="AR4244" s="315" t="str">
        <f t="shared" si="140"/>
        <v/>
      </c>
    </row>
    <row r="4245" spans="37:44" ht="30" hidden="1" customHeight="1">
      <c r="AK4245" s="313"/>
      <c r="AL4245" s="313"/>
      <c r="AM4245" s="313"/>
      <c r="AN4245" s="313"/>
      <c r="AO4245" s="313"/>
      <c r="AP4245" s="313"/>
      <c r="AQ4245" s="314"/>
      <c r="AR4245" s="315" t="str">
        <f t="shared" si="140"/>
        <v/>
      </c>
    </row>
    <row r="4246" spans="37:44" ht="30" hidden="1" customHeight="1">
      <c r="AK4246" s="313"/>
      <c r="AL4246" s="313"/>
      <c r="AM4246" s="313"/>
      <c r="AN4246" s="313"/>
      <c r="AO4246" s="313"/>
      <c r="AP4246" s="313"/>
      <c r="AQ4246" s="314"/>
      <c r="AR4246" s="315" t="str">
        <f t="shared" si="140"/>
        <v/>
      </c>
    </row>
    <row r="4247" spans="37:44" ht="30" hidden="1" customHeight="1">
      <c r="AK4247" s="313"/>
      <c r="AL4247" s="313"/>
      <c r="AM4247" s="313"/>
      <c r="AN4247" s="313"/>
      <c r="AO4247" s="313"/>
      <c r="AP4247" s="313"/>
      <c r="AQ4247" s="314"/>
      <c r="AR4247" s="315" t="str">
        <f t="shared" si="140"/>
        <v/>
      </c>
    </row>
    <row r="4248" spans="37:44" ht="30" hidden="1" customHeight="1">
      <c r="AK4248" s="313"/>
      <c r="AL4248" s="313"/>
      <c r="AM4248" s="313"/>
      <c r="AN4248" s="313"/>
      <c r="AO4248" s="313"/>
      <c r="AP4248" s="313"/>
      <c r="AQ4248" s="314"/>
      <c r="AR4248" s="315" t="str">
        <f t="shared" si="140"/>
        <v/>
      </c>
    </row>
    <row r="4249" spans="37:44" ht="30" hidden="1" customHeight="1">
      <c r="AK4249" s="313"/>
      <c r="AL4249" s="313"/>
      <c r="AM4249" s="313"/>
      <c r="AN4249" s="313"/>
      <c r="AO4249" s="313"/>
      <c r="AP4249" s="313"/>
      <c r="AQ4249" s="314"/>
      <c r="AR4249" s="315" t="str">
        <f t="shared" si="140"/>
        <v/>
      </c>
    </row>
    <row r="4250" spans="37:44" ht="30" hidden="1" customHeight="1">
      <c r="AK4250" s="313"/>
      <c r="AL4250" s="313"/>
      <c r="AM4250" s="313"/>
      <c r="AN4250" s="313"/>
      <c r="AO4250" s="313"/>
      <c r="AP4250" s="313"/>
      <c r="AQ4250" s="314"/>
      <c r="AR4250" s="315" t="str">
        <f t="shared" si="140"/>
        <v/>
      </c>
    </row>
    <row r="4251" spans="37:44" ht="30" hidden="1" customHeight="1">
      <c r="AK4251" s="313"/>
      <c r="AL4251" s="313"/>
      <c r="AM4251" s="313"/>
      <c r="AN4251" s="313"/>
      <c r="AO4251" s="313"/>
      <c r="AP4251" s="313"/>
      <c r="AQ4251" s="314"/>
      <c r="AR4251" s="315" t="str">
        <f t="shared" si="140"/>
        <v/>
      </c>
    </row>
    <row r="4252" spans="37:44" ht="30" hidden="1" customHeight="1">
      <c r="AK4252" s="313"/>
      <c r="AL4252" s="313"/>
      <c r="AM4252" s="313"/>
      <c r="AN4252" s="313"/>
      <c r="AO4252" s="313"/>
      <c r="AP4252" s="313"/>
      <c r="AQ4252" s="314"/>
      <c r="AR4252" s="315" t="str">
        <f t="shared" si="140"/>
        <v/>
      </c>
    </row>
    <row r="4253" spans="37:44" ht="30" hidden="1" customHeight="1">
      <c r="AK4253" s="313"/>
      <c r="AL4253" s="313"/>
      <c r="AM4253" s="313"/>
      <c r="AN4253" s="313"/>
      <c r="AO4253" s="313"/>
      <c r="AP4253" s="313"/>
      <c r="AQ4253" s="314"/>
      <c r="AR4253" s="315" t="str">
        <f t="shared" si="140"/>
        <v/>
      </c>
    </row>
    <row r="4254" spans="37:44" ht="30" hidden="1" customHeight="1">
      <c r="AK4254" s="313"/>
      <c r="AL4254" s="313"/>
      <c r="AM4254" s="313"/>
      <c r="AN4254" s="313"/>
      <c r="AO4254" s="313"/>
      <c r="AP4254" s="313"/>
      <c r="AQ4254" s="314"/>
      <c r="AR4254" s="315" t="str">
        <f t="shared" si="140"/>
        <v/>
      </c>
    </row>
    <row r="4255" spans="37:44" ht="30" hidden="1" customHeight="1">
      <c r="AK4255" s="313"/>
      <c r="AL4255" s="313"/>
      <c r="AM4255" s="313"/>
      <c r="AN4255" s="313"/>
      <c r="AO4255" s="313"/>
      <c r="AP4255" s="313"/>
      <c r="AQ4255" s="314"/>
      <c r="AR4255" s="315" t="str">
        <f t="shared" si="140"/>
        <v/>
      </c>
    </row>
    <row r="4256" spans="37:44" ht="30" hidden="1" customHeight="1">
      <c r="AK4256" s="313"/>
      <c r="AL4256" s="313"/>
      <c r="AM4256" s="313"/>
      <c r="AN4256" s="313"/>
      <c r="AO4256" s="313"/>
      <c r="AP4256" s="313"/>
      <c r="AQ4256" s="314"/>
      <c r="AR4256" s="315" t="str">
        <f t="shared" si="140"/>
        <v/>
      </c>
    </row>
    <row r="4257" spans="37:44" ht="30" hidden="1" customHeight="1">
      <c r="AK4257" s="313"/>
      <c r="AL4257" s="313"/>
      <c r="AM4257" s="313"/>
      <c r="AN4257" s="313"/>
      <c r="AO4257" s="313"/>
      <c r="AP4257" s="313"/>
      <c r="AQ4257" s="314"/>
      <c r="AR4257" s="315" t="str">
        <f t="shared" si="140"/>
        <v/>
      </c>
    </row>
    <row r="4258" spans="37:44" ht="30" hidden="1" customHeight="1">
      <c r="AK4258" s="313"/>
      <c r="AL4258" s="313"/>
      <c r="AM4258" s="313"/>
      <c r="AN4258" s="313"/>
      <c r="AO4258" s="313"/>
      <c r="AP4258" s="313"/>
      <c r="AQ4258" s="314"/>
      <c r="AR4258" s="315" t="str">
        <f t="shared" si="140"/>
        <v/>
      </c>
    </row>
    <row r="4259" spans="37:44" ht="30" hidden="1" customHeight="1">
      <c r="AK4259" s="313"/>
      <c r="AL4259" s="313"/>
      <c r="AM4259" s="313"/>
      <c r="AN4259" s="313"/>
      <c r="AO4259" s="313"/>
      <c r="AP4259" s="313"/>
      <c r="AQ4259" s="314"/>
      <c r="AR4259" s="315" t="str">
        <f t="shared" si="140"/>
        <v/>
      </c>
    </row>
    <row r="4260" spans="37:44" ht="30" hidden="1" customHeight="1">
      <c r="AK4260" s="313"/>
      <c r="AL4260" s="313"/>
      <c r="AM4260" s="313"/>
      <c r="AN4260" s="313"/>
      <c r="AO4260" s="313"/>
      <c r="AP4260" s="313"/>
      <c r="AQ4260" s="314"/>
      <c r="AR4260" s="315" t="str">
        <f t="shared" si="140"/>
        <v/>
      </c>
    </row>
    <row r="4261" spans="37:44" ht="30" hidden="1" customHeight="1">
      <c r="AK4261" s="313"/>
      <c r="AL4261" s="313"/>
      <c r="AM4261" s="313"/>
      <c r="AN4261" s="313"/>
      <c r="AO4261" s="313"/>
      <c r="AP4261" s="313"/>
      <c r="AQ4261" s="314"/>
      <c r="AR4261" s="315" t="str">
        <f t="shared" si="140"/>
        <v/>
      </c>
    </row>
    <row r="4262" spans="37:44" ht="30" hidden="1" customHeight="1">
      <c r="AK4262" s="313"/>
      <c r="AL4262" s="313"/>
      <c r="AM4262" s="313"/>
      <c r="AN4262" s="313"/>
      <c r="AO4262" s="313"/>
      <c r="AP4262" s="313"/>
      <c r="AQ4262" s="314"/>
      <c r="AR4262" s="315" t="str">
        <f t="shared" si="140"/>
        <v/>
      </c>
    </row>
    <row r="4263" spans="37:44" ht="30" hidden="1" customHeight="1">
      <c r="AK4263" s="313"/>
      <c r="AL4263" s="313"/>
      <c r="AM4263" s="313"/>
      <c r="AN4263" s="313"/>
      <c r="AO4263" s="313"/>
      <c r="AP4263" s="313"/>
      <c r="AQ4263" s="314"/>
      <c r="AR4263" s="315" t="str">
        <f t="shared" si="140"/>
        <v/>
      </c>
    </row>
    <row r="4264" spans="37:44" ht="30" hidden="1" customHeight="1">
      <c r="AK4264" s="313"/>
      <c r="AL4264" s="313"/>
      <c r="AM4264" s="313"/>
      <c r="AN4264" s="313"/>
      <c r="AO4264" s="313"/>
      <c r="AP4264" s="313"/>
      <c r="AQ4264" s="314"/>
      <c r="AR4264" s="315" t="str">
        <f t="shared" si="140"/>
        <v/>
      </c>
    </row>
    <row r="4265" spans="37:44" ht="30" hidden="1" customHeight="1">
      <c r="AK4265" s="313"/>
      <c r="AL4265" s="313"/>
      <c r="AM4265" s="313"/>
      <c r="AN4265" s="313"/>
      <c r="AO4265" s="313"/>
      <c r="AP4265" s="313"/>
      <c r="AQ4265" s="314"/>
      <c r="AR4265" s="315" t="str">
        <f t="shared" si="140"/>
        <v/>
      </c>
    </row>
    <row r="4266" spans="37:44" ht="30" hidden="1" customHeight="1">
      <c r="AK4266" s="313"/>
      <c r="AL4266" s="313"/>
      <c r="AM4266" s="313"/>
      <c r="AN4266" s="313"/>
      <c r="AO4266" s="313"/>
      <c r="AP4266" s="313"/>
      <c r="AQ4266" s="314"/>
      <c r="AR4266" s="315" t="str">
        <f t="shared" si="140"/>
        <v/>
      </c>
    </row>
    <row r="4267" spans="37:44" ht="30" hidden="1" customHeight="1">
      <c r="AK4267" s="313"/>
      <c r="AL4267" s="313"/>
      <c r="AM4267" s="313"/>
      <c r="AN4267" s="313"/>
      <c r="AO4267" s="313"/>
      <c r="AP4267" s="313"/>
      <c r="AQ4267" s="314"/>
      <c r="AR4267" s="315" t="str">
        <f t="shared" si="140"/>
        <v/>
      </c>
    </row>
    <row r="4268" spans="37:44" ht="30" hidden="1" customHeight="1">
      <c r="AK4268" s="313"/>
      <c r="AL4268" s="313"/>
      <c r="AM4268" s="313"/>
      <c r="AN4268" s="313"/>
      <c r="AO4268" s="313"/>
      <c r="AP4268" s="313"/>
      <c r="AQ4268" s="314"/>
      <c r="AR4268" s="315" t="str">
        <f t="shared" si="140"/>
        <v/>
      </c>
    </row>
    <row r="4269" spans="37:44" ht="30" hidden="1" customHeight="1">
      <c r="AK4269" s="313"/>
      <c r="AL4269" s="313"/>
      <c r="AM4269" s="313"/>
      <c r="AN4269" s="313"/>
      <c r="AO4269" s="313"/>
      <c r="AP4269" s="313"/>
      <c r="AQ4269" s="314"/>
      <c r="AR4269" s="315" t="str">
        <f t="shared" si="140"/>
        <v/>
      </c>
    </row>
    <row r="4270" spans="37:44" ht="30" hidden="1" customHeight="1">
      <c r="AK4270" s="313"/>
      <c r="AL4270" s="313"/>
      <c r="AM4270" s="313"/>
      <c r="AN4270" s="313"/>
      <c r="AO4270" s="313"/>
      <c r="AP4270" s="313"/>
      <c r="AQ4270" s="314"/>
      <c r="AR4270" s="315" t="str">
        <f t="shared" si="140"/>
        <v/>
      </c>
    </row>
    <row r="4271" spans="37:44" ht="30" hidden="1" customHeight="1">
      <c r="AK4271" s="313"/>
      <c r="AL4271" s="313"/>
      <c r="AM4271" s="313"/>
      <c r="AN4271" s="313"/>
      <c r="AO4271" s="313"/>
      <c r="AP4271" s="313"/>
      <c r="AQ4271" s="314"/>
      <c r="AR4271" s="315" t="str">
        <f t="shared" si="140"/>
        <v/>
      </c>
    </row>
    <row r="4272" spans="37:44" ht="30" hidden="1" customHeight="1">
      <c r="AK4272" s="313"/>
      <c r="AL4272" s="313"/>
      <c r="AM4272" s="313"/>
      <c r="AN4272" s="313"/>
      <c r="AO4272" s="313"/>
      <c r="AP4272" s="313"/>
      <c r="AQ4272" s="314"/>
      <c r="AR4272" s="315" t="str">
        <f t="shared" si="140"/>
        <v/>
      </c>
    </row>
    <row r="4273" spans="37:44" ht="30" hidden="1" customHeight="1">
      <c r="AK4273" s="313"/>
      <c r="AL4273" s="313"/>
      <c r="AM4273" s="313"/>
      <c r="AN4273" s="313"/>
      <c r="AO4273" s="313"/>
      <c r="AP4273" s="313"/>
      <c r="AQ4273" s="314"/>
      <c r="AR4273" s="315" t="str">
        <f t="shared" si="140"/>
        <v/>
      </c>
    </row>
    <row r="4274" spans="37:44" ht="30" hidden="1" customHeight="1">
      <c r="AK4274" s="313"/>
      <c r="AL4274" s="313"/>
      <c r="AM4274" s="313"/>
      <c r="AN4274" s="313"/>
      <c r="AO4274" s="313"/>
      <c r="AP4274" s="313"/>
      <c r="AQ4274" s="314"/>
      <c r="AR4274" s="315" t="str">
        <f t="shared" si="140"/>
        <v/>
      </c>
    </row>
    <row r="4275" spans="37:44" ht="30" hidden="1" customHeight="1">
      <c r="AK4275" s="313"/>
      <c r="AL4275" s="313"/>
      <c r="AM4275" s="313"/>
      <c r="AN4275" s="313"/>
      <c r="AO4275" s="313"/>
      <c r="AP4275" s="313"/>
      <c r="AQ4275" s="314"/>
      <c r="AR4275" s="315" t="str">
        <f t="shared" si="140"/>
        <v/>
      </c>
    </row>
    <row r="4276" spans="37:44" ht="30" hidden="1" customHeight="1">
      <c r="AK4276" s="313"/>
      <c r="AL4276" s="313"/>
      <c r="AM4276" s="313"/>
      <c r="AN4276" s="313"/>
      <c r="AO4276" s="313"/>
      <c r="AP4276" s="313"/>
      <c r="AQ4276" s="314"/>
      <c r="AR4276" s="315" t="str">
        <f t="shared" si="140"/>
        <v/>
      </c>
    </row>
    <row r="4277" spans="37:44" ht="30" hidden="1" customHeight="1">
      <c r="AK4277" s="313"/>
      <c r="AL4277" s="313"/>
      <c r="AM4277" s="313"/>
      <c r="AN4277" s="313"/>
      <c r="AO4277" s="313"/>
      <c r="AP4277" s="313"/>
      <c r="AQ4277" s="314"/>
      <c r="AR4277" s="315" t="str">
        <f t="shared" si="140"/>
        <v/>
      </c>
    </row>
    <row r="4278" spans="37:44" ht="30" hidden="1" customHeight="1">
      <c r="AK4278" s="313"/>
      <c r="AL4278" s="313"/>
      <c r="AM4278" s="313"/>
      <c r="AN4278" s="313"/>
      <c r="AO4278" s="313"/>
      <c r="AP4278" s="313"/>
      <c r="AQ4278" s="314"/>
      <c r="AR4278" s="315" t="str">
        <f t="shared" si="140"/>
        <v/>
      </c>
    </row>
    <row r="4279" spans="37:44" ht="30" hidden="1" customHeight="1">
      <c r="AK4279" s="313"/>
      <c r="AL4279" s="313"/>
      <c r="AM4279" s="313"/>
      <c r="AN4279" s="313"/>
      <c r="AO4279" s="313"/>
      <c r="AP4279" s="313"/>
      <c r="AQ4279" s="314"/>
      <c r="AR4279" s="315" t="str">
        <f t="shared" si="140"/>
        <v/>
      </c>
    </row>
    <row r="4280" spans="37:44" ht="30" hidden="1" customHeight="1">
      <c r="AK4280" s="313"/>
      <c r="AL4280" s="313"/>
      <c r="AM4280" s="313"/>
      <c r="AN4280" s="313"/>
      <c r="AO4280" s="313"/>
      <c r="AP4280" s="313"/>
      <c r="AQ4280" s="314"/>
      <c r="AR4280" s="315" t="str">
        <f t="shared" si="140"/>
        <v/>
      </c>
    </row>
    <row r="4281" spans="37:44" ht="30" hidden="1" customHeight="1">
      <c r="AK4281" s="313"/>
      <c r="AL4281" s="313"/>
      <c r="AM4281" s="313"/>
      <c r="AN4281" s="313"/>
      <c r="AO4281" s="313"/>
      <c r="AP4281" s="313"/>
      <c r="AQ4281" s="314"/>
      <c r="AR4281" s="315" t="str">
        <f t="shared" si="140"/>
        <v/>
      </c>
    </row>
    <row r="4282" spans="37:44" ht="30" hidden="1" customHeight="1">
      <c r="AK4282" s="313"/>
      <c r="AL4282" s="313"/>
      <c r="AM4282" s="313"/>
      <c r="AN4282" s="313"/>
      <c r="AO4282" s="313"/>
      <c r="AP4282" s="313"/>
      <c r="AQ4282" s="314"/>
      <c r="AR4282" s="315" t="str">
        <f t="shared" si="140"/>
        <v/>
      </c>
    </row>
    <row r="4283" spans="37:44" ht="30" hidden="1" customHeight="1">
      <c r="AK4283" s="313"/>
      <c r="AL4283" s="313"/>
      <c r="AM4283" s="313"/>
      <c r="AN4283" s="313"/>
      <c r="AO4283" s="313"/>
      <c r="AP4283" s="313"/>
      <c r="AQ4283" s="314"/>
      <c r="AR4283" s="315" t="str">
        <f t="shared" si="140"/>
        <v/>
      </c>
    </row>
    <row r="4284" spans="37:44" ht="30" hidden="1" customHeight="1">
      <c r="AK4284" s="313"/>
      <c r="AL4284" s="313"/>
      <c r="AM4284" s="313"/>
      <c r="AN4284" s="313"/>
      <c r="AO4284" s="313"/>
      <c r="AP4284" s="313"/>
      <c r="AQ4284" s="314"/>
      <c r="AR4284" s="315" t="str">
        <f t="shared" si="140"/>
        <v/>
      </c>
    </row>
    <row r="4285" spans="37:44" ht="30" hidden="1" customHeight="1">
      <c r="AK4285" s="313"/>
      <c r="AL4285" s="313"/>
      <c r="AM4285" s="313"/>
      <c r="AN4285" s="313"/>
      <c r="AO4285" s="313"/>
      <c r="AP4285" s="313"/>
      <c r="AQ4285" s="314"/>
      <c r="AR4285" s="315" t="str">
        <f t="shared" si="140"/>
        <v/>
      </c>
    </row>
    <row r="4286" spans="37:44" ht="30" hidden="1" customHeight="1">
      <c r="AK4286" s="313"/>
      <c r="AL4286" s="313"/>
      <c r="AM4286" s="313"/>
      <c r="AN4286" s="313"/>
      <c r="AO4286" s="313"/>
      <c r="AP4286" s="313"/>
      <c r="AQ4286" s="314"/>
      <c r="AR4286" s="315" t="str">
        <f t="shared" si="140"/>
        <v/>
      </c>
    </row>
    <row r="4287" spans="37:44" ht="30" hidden="1" customHeight="1">
      <c r="AK4287" s="313"/>
      <c r="AL4287" s="313"/>
      <c r="AM4287" s="313"/>
      <c r="AN4287" s="313"/>
      <c r="AO4287" s="313"/>
      <c r="AP4287" s="313"/>
      <c r="AQ4287" s="314"/>
      <c r="AR4287" s="315" t="str">
        <f t="shared" ref="AR4287:AR4350" si="141">IF(AQ4287="SIM","AGUARDANDO CORREÇÃO",IF(AP4287&lt;&gt;"","FINALIZADO",IF(AO4287&lt;&gt;"","AGUARDANDO ENVIO DTS",IF(AN4287&lt;&gt;"","AGUARDANDO ASSINATURA GAB",IF(AM4287&lt;&gt;"","AGUARDANDO ASSINATURA CTS",IF(AL4287&lt;&gt;"","AGUARDANDO ENVIO ASSINATURA CTS",IF(AK4287&lt;&gt;"","AGUARDANDO CONFERÊNCIA","")))))))</f>
        <v/>
      </c>
    </row>
    <row r="4288" spans="37:44" ht="30" hidden="1" customHeight="1">
      <c r="AK4288" s="313"/>
      <c r="AL4288" s="313"/>
      <c r="AM4288" s="313"/>
      <c r="AN4288" s="313"/>
      <c r="AO4288" s="313"/>
      <c r="AP4288" s="313"/>
      <c r="AQ4288" s="314"/>
      <c r="AR4288" s="315" t="str">
        <f t="shared" si="141"/>
        <v/>
      </c>
    </row>
    <row r="4289" spans="37:44" ht="30" hidden="1" customHeight="1">
      <c r="AK4289" s="313"/>
      <c r="AL4289" s="313"/>
      <c r="AM4289" s="313"/>
      <c r="AN4289" s="313"/>
      <c r="AO4289" s="313"/>
      <c r="AP4289" s="313"/>
      <c r="AQ4289" s="314"/>
      <c r="AR4289" s="315" t="str">
        <f t="shared" si="141"/>
        <v/>
      </c>
    </row>
    <row r="4290" spans="37:44" ht="30" hidden="1" customHeight="1">
      <c r="AK4290" s="313"/>
      <c r="AL4290" s="313"/>
      <c r="AM4290" s="313"/>
      <c r="AN4290" s="313"/>
      <c r="AO4290" s="313"/>
      <c r="AP4290" s="313"/>
      <c r="AQ4290" s="314"/>
      <c r="AR4290" s="315" t="str">
        <f t="shared" si="141"/>
        <v/>
      </c>
    </row>
    <row r="4291" spans="37:44" ht="30" hidden="1" customHeight="1">
      <c r="AK4291" s="313"/>
      <c r="AL4291" s="313"/>
      <c r="AM4291" s="313"/>
      <c r="AN4291" s="313"/>
      <c r="AO4291" s="313"/>
      <c r="AP4291" s="313"/>
      <c r="AQ4291" s="314"/>
      <c r="AR4291" s="315" t="str">
        <f t="shared" si="141"/>
        <v/>
      </c>
    </row>
    <row r="4292" spans="37:44" ht="30" hidden="1" customHeight="1">
      <c r="AK4292" s="313"/>
      <c r="AL4292" s="313"/>
      <c r="AM4292" s="313"/>
      <c r="AN4292" s="313"/>
      <c r="AO4292" s="313"/>
      <c r="AP4292" s="313"/>
      <c r="AQ4292" s="314"/>
      <c r="AR4292" s="315" t="str">
        <f t="shared" si="141"/>
        <v/>
      </c>
    </row>
    <row r="4293" spans="37:44" ht="30" hidden="1" customHeight="1">
      <c r="AK4293" s="313"/>
      <c r="AL4293" s="313"/>
      <c r="AM4293" s="313"/>
      <c r="AN4293" s="313"/>
      <c r="AO4293" s="313"/>
      <c r="AP4293" s="313"/>
      <c r="AQ4293" s="314"/>
      <c r="AR4293" s="315" t="str">
        <f t="shared" si="141"/>
        <v/>
      </c>
    </row>
    <row r="4294" spans="37:44" ht="30" hidden="1" customHeight="1">
      <c r="AK4294" s="313"/>
      <c r="AL4294" s="313"/>
      <c r="AM4294" s="313"/>
      <c r="AN4294" s="313"/>
      <c r="AO4294" s="313"/>
      <c r="AP4294" s="313"/>
      <c r="AQ4294" s="314"/>
      <c r="AR4294" s="315" t="str">
        <f t="shared" si="141"/>
        <v/>
      </c>
    </row>
    <row r="4295" spans="37:44" ht="30" hidden="1" customHeight="1">
      <c r="AK4295" s="313"/>
      <c r="AL4295" s="313"/>
      <c r="AM4295" s="313"/>
      <c r="AN4295" s="313"/>
      <c r="AO4295" s="313"/>
      <c r="AP4295" s="313"/>
      <c r="AQ4295" s="314"/>
      <c r="AR4295" s="315" t="str">
        <f t="shared" si="141"/>
        <v/>
      </c>
    </row>
    <row r="4296" spans="37:44" ht="30" hidden="1" customHeight="1">
      <c r="AK4296" s="313"/>
      <c r="AL4296" s="313"/>
      <c r="AM4296" s="313"/>
      <c r="AN4296" s="313"/>
      <c r="AO4296" s="313"/>
      <c r="AP4296" s="313"/>
      <c r="AQ4296" s="314"/>
      <c r="AR4296" s="315" t="str">
        <f t="shared" si="141"/>
        <v/>
      </c>
    </row>
    <row r="4297" spans="37:44" ht="30" hidden="1" customHeight="1">
      <c r="AK4297" s="313"/>
      <c r="AL4297" s="313"/>
      <c r="AM4297" s="313"/>
      <c r="AN4297" s="313"/>
      <c r="AO4297" s="313"/>
      <c r="AP4297" s="313"/>
      <c r="AQ4297" s="314"/>
      <c r="AR4297" s="315" t="str">
        <f t="shared" si="141"/>
        <v/>
      </c>
    </row>
    <row r="4298" spans="37:44" ht="30" hidden="1" customHeight="1">
      <c r="AK4298" s="313"/>
      <c r="AL4298" s="313"/>
      <c r="AM4298" s="313"/>
      <c r="AN4298" s="313"/>
      <c r="AO4298" s="313"/>
      <c r="AP4298" s="313"/>
      <c r="AQ4298" s="314"/>
      <c r="AR4298" s="315" t="str">
        <f t="shared" si="141"/>
        <v/>
      </c>
    </row>
    <row r="4299" spans="37:44" ht="30" hidden="1" customHeight="1">
      <c r="AK4299" s="313"/>
      <c r="AL4299" s="313"/>
      <c r="AM4299" s="313"/>
      <c r="AN4299" s="313"/>
      <c r="AO4299" s="313"/>
      <c r="AP4299" s="313"/>
      <c r="AQ4299" s="314"/>
      <c r="AR4299" s="315" t="str">
        <f t="shared" si="141"/>
        <v/>
      </c>
    </row>
    <row r="4300" spans="37:44" ht="30" hidden="1" customHeight="1">
      <c r="AK4300" s="313"/>
      <c r="AL4300" s="313"/>
      <c r="AM4300" s="313"/>
      <c r="AN4300" s="313"/>
      <c r="AO4300" s="313"/>
      <c r="AP4300" s="313"/>
      <c r="AQ4300" s="314"/>
      <c r="AR4300" s="315" t="str">
        <f t="shared" si="141"/>
        <v/>
      </c>
    </row>
    <row r="4301" spans="37:44" ht="30" hidden="1" customHeight="1">
      <c r="AK4301" s="313"/>
      <c r="AL4301" s="313"/>
      <c r="AM4301" s="313"/>
      <c r="AN4301" s="313"/>
      <c r="AO4301" s="313"/>
      <c r="AP4301" s="313"/>
      <c r="AQ4301" s="314"/>
      <c r="AR4301" s="315" t="str">
        <f t="shared" si="141"/>
        <v/>
      </c>
    </row>
    <row r="4302" spans="37:44" ht="30" hidden="1" customHeight="1">
      <c r="AK4302" s="313"/>
      <c r="AL4302" s="313"/>
      <c r="AM4302" s="313"/>
      <c r="AN4302" s="313"/>
      <c r="AO4302" s="313"/>
      <c r="AP4302" s="313"/>
      <c r="AQ4302" s="314"/>
      <c r="AR4302" s="315" t="str">
        <f t="shared" si="141"/>
        <v/>
      </c>
    </row>
    <row r="4303" spans="37:44" ht="30" hidden="1" customHeight="1">
      <c r="AK4303" s="313"/>
      <c r="AL4303" s="313"/>
      <c r="AM4303" s="313"/>
      <c r="AN4303" s="313"/>
      <c r="AO4303" s="313"/>
      <c r="AP4303" s="313"/>
      <c r="AQ4303" s="314"/>
      <c r="AR4303" s="315" t="str">
        <f t="shared" si="141"/>
        <v/>
      </c>
    </row>
    <row r="4304" spans="37:44" ht="30" hidden="1" customHeight="1">
      <c r="AK4304" s="313"/>
      <c r="AL4304" s="313"/>
      <c r="AM4304" s="313"/>
      <c r="AN4304" s="313"/>
      <c r="AO4304" s="313"/>
      <c r="AP4304" s="313"/>
      <c r="AQ4304" s="314"/>
      <c r="AR4304" s="315" t="str">
        <f t="shared" si="141"/>
        <v/>
      </c>
    </row>
    <row r="4305" spans="37:44" ht="30" hidden="1" customHeight="1">
      <c r="AK4305" s="313"/>
      <c r="AL4305" s="313"/>
      <c r="AM4305" s="313"/>
      <c r="AN4305" s="313"/>
      <c r="AO4305" s="313"/>
      <c r="AP4305" s="313"/>
      <c r="AQ4305" s="314"/>
      <c r="AR4305" s="315" t="str">
        <f t="shared" si="141"/>
        <v/>
      </c>
    </row>
    <row r="4306" spans="37:44" ht="30" hidden="1" customHeight="1">
      <c r="AK4306" s="313"/>
      <c r="AL4306" s="313"/>
      <c r="AM4306" s="313"/>
      <c r="AN4306" s="313"/>
      <c r="AO4306" s="313"/>
      <c r="AP4306" s="313"/>
      <c r="AQ4306" s="314"/>
      <c r="AR4306" s="315" t="str">
        <f t="shared" si="141"/>
        <v/>
      </c>
    </row>
    <row r="4307" spans="37:44" ht="30" hidden="1" customHeight="1">
      <c r="AK4307" s="313"/>
      <c r="AL4307" s="313"/>
      <c r="AM4307" s="313"/>
      <c r="AN4307" s="313"/>
      <c r="AO4307" s="313"/>
      <c r="AP4307" s="313"/>
      <c r="AQ4307" s="314"/>
      <c r="AR4307" s="315" t="str">
        <f t="shared" si="141"/>
        <v/>
      </c>
    </row>
    <row r="4308" spans="37:44" ht="30" hidden="1" customHeight="1">
      <c r="AK4308" s="313"/>
      <c r="AL4308" s="313"/>
      <c r="AM4308" s="313"/>
      <c r="AN4308" s="313"/>
      <c r="AO4308" s="313"/>
      <c r="AP4308" s="313"/>
      <c r="AQ4308" s="314"/>
      <c r="AR4308" s="315" t="str">
        <f t="shared" si="141"/>
        <v/>
      </c>
    </row>
    <row r="4309" spans="37:44" ht="30" hidden="1" customHeight="1">
      <c r="AK4309" s="313"/>
      <c r="AL4309" s="313"/>
      <c r="AM4309" s="313"/>
      <c r="AN4309" s="313"/>
      <c r="AO4309" s="313"/>
      <c r="AP4309" s="313"/>
      <c r="AQ4309" s="314"/>
      <c r="AR4309" s="315" t="str">
        <f t="shared" si="141"/>
        <v/>
      </c>
    </row>
    <row r="4310" spans="37:44" ht="30" hidden="1" customHeight="1">
      <c r="AK4310" s="313"/>
      <c r="AL4310" s="313"/>
      <c r="AM4310" s="313"/>
      <c r="AN4310" s="313"/>
      <c r="AO4310" s="313"/>
      <c r="AP4310" s="313"/>
      <c r="AQ4310" s="314"/>
      <c r="AR4310" s="315" t="str">
        <f t="shared" si="141"/>
        <v/>
      </c>
    </row>
    <row r="4311" spans="37:44" ht="30" hidden="1" customHeight="1">
      <c r="AK4311" s="313"/>
      <c r="AL4311" s="313"/>
      <c r="AM4311" s="313"/>
      <c r="AN4311" s="313"/>
      <c r="AO4311" s="313"/>
      <c r="AP4311" s="313"/>
      <c r="AQ4311" s="314"/>
      <c r="AR4311" s="315" t="str">
        <f t="shared" si="141"/>
        <v/>
      </c>
    </row>
    <row r="4312" spans="37:44" ht="30" hidden="1" customHeight="1">
      <c r="AK4312" s="313"/>
      <c r="AL4312" s="313"/>
      <c r="AM4312" s="313"/>
      <c r="AN4312" s="313"/>
      <c r="AO4312" s="313"/>
      <c r="AP4312" s="313"/>
      <c r="AQ4312" s="314"/>
      <c r="AR4312" s="315" t="str">
        <f t="shared" si="141"/>
        <v/>
      </c>
    </row>
    <row r="4313" spans="37:44" ht="30" hidden="1" customHeight="1">
      <c r="AK4313" s="313"/>
      <c r="AL4313" s="313"/>
      <c r="AM4313" s="313"/>
      <c r="AN4313" s="313"/>
      <c r="AO4313" s="313"/>
      <c r="AP4313" s="313"/>
      <c r="AQ4313" s="314"/>
      <c r="AR4313" s="315" t="str">
        <f t="shared" si="141"/>
        <v/>
      </c>
    </row>
    <row r="4314" spans="37:44" ht="30" hidden="1" customHeight="1">
      <c r="AK4314" s="313"/>
      <c r="AL4314" s="313"/>
      <c r="AM4314" s="313"/>
      <c r="AN4314" s="313"/>
      <c r="AO4314" s="313"/>
      <c r="AP4314" s="313"/>
      <c r="AQ4314" s="314"/>
      <c r="AR4314" s="315" t="str">
        <f t="shared" si="141"/>
        <v/>
      </c>
    </row>
    <row r="4315" spans="37:44" ht="30" hidden="1" customHeight="1">
      <c r="AK4315" s="313"/>
      <c r="AL4315" s="313"/>
      <c r="AM4315" s="313"/>
      <c r="AN4315" s="313"/>
      <c r="AO4315" s="313"/>
      <c r="AP4315" s="313"/>
      <c r="AQ4315" s="314"/>
      <c r="AR4315" s="315" t="str">
        <f t="shared" si="141"/>
        <v/>
      </c>
    </row>
    <row r="4316" spans="37:44" ht="30" hidden="1" customHeight="1">
      <c r="AK4316" s="313"/>
      <c r="AL4316" s="313"/>
      <c r="AM4316" s="313"/>
      <c r="AN4316" s="313"/>
      <c r="AO4316" s="313"/>
      <c r="AP4316" s="313"/>
      <c r="AQ4316" s="314"/>
      <c r="AR4316" s="315" t="str">
        <f t="shared" si="141"/>
        <v/>
      </c>
    </row>
    <row r="4317" spans="37:44" ht="30" hidden="1" customHeight="1">
      <c r="AK4317" s="313"/>
      <c r="AL4317" s="313"/>
      <c r="AM4317" s="313"/>
      <c r="AN4317" s="313"/>
      <c r="AO4317" s="313"/>
      <c r="AP4317" s="313"/>
      <c r="AQ4317" s="314"/>
      <c r="AR4317" s="315" t="str">
        <f t="shared" si="141"/>
        <v/>
      </c>
    </row>
    <row r="4318" spans="37:44" ht="30" hidden="1" customHeight="1">
      <c r="AK4318" s="313"/>
      <c r="AL4318" s="313"/>
      <c r="AM4318" s="313"/>
      <c r="AN4318" s="313"/>
      <c r="AO4318" s="313"/>
      <c r="AP4318" s="313"/>
      <c r="AQ4318" s="314"/>
      <c r="AR4318" s="315" t="str">
        <f t="shared" si="141"/>
        <v/>
      </c>
    </row>
    <row r="4319" spans="37:44" ht="30" hidden="1" customHeight="1">
      <c r="AK4319" s="313"/>
      <c r="AL4319" s="313"/>
      <c r="AM4319" s="313"/>
      <c r="AN4319" s="313"/>
      <c r="AO4319" s="313"/>
      <c r="AP4319" s="313"/>
      <c r="AQ4319" s="314"/>
      <c r="AR4319" s="315" t="str">
        <f t="shared" si="141"/>
        <v/>
      </c>
    </row>
    <row r="4320" spans="37:44" ht="30" hidden="1" customHeight="1">
      <c r="AK4320" s="313"/>
      <c r="AL4320" s="313"/>
      <c r="AM4320" s="313"/>
      <c r="AN4320" s="313"/>
      <c r="AO4320" s="313"/>
      <c r="AP4320" s="313"/>
      <c r="AQ4320" s="314"/>
      <c r="AR4320" s="315" t="str">
        <f t="shared" si="141"/>
        <v/>
      </c>
    </row>
    <row r="4321" spans="37:44" ht="30" hidden="1" customHeight="1">
      <c r="AK4321" s="313"/>
      <c r="AL4321" s="313"/>
      <c r="AM4321" s="313"/>
      <c r="AN4321" s="313"/>
      <c r="AO4321" s="313"/>
      <c r="AP4321" s="313"/>
      <c r="AQ4321" s="314"/>
      <c r="AR4321" s="315" t="str">
        <f t="shared" si="141"/>
        <v/>
      </c>
    </row>
    <row r="4322" spans="37:44" ht="30" hidden="1" customHeight="1">
      <c r="AK4322" s="313"/>
      <c r="AL4322" s="313"/>
      <c r="AM4322" s="313"/>
      <c r="AN4322" s="313"/>
      <c r="AO4322" s="313"/>
      <c r="AP4322" s="313"/>
      <c r="AQ4322" s="314"/>
      <c r="AR4322" s="315" t="str">
        <f t="shared" si="141"/>
        <v/>
      </c>
    </row>
    <row r="4323" spans="37:44" ht="30" hidden="1" customHeight="1">
      <c r="AK4323" s="313"/>
      <c r="AL4323" s="313"/>
      <c r="AM4323" s="313"/>
      <c r="AN4323" s="313"/>
      <c r="AO4323" s="313"/>
      <c r="AP4323" s="313"/>
      <c r="AQ4323" s="314"/>
      <c r="AR4323" s="315" t="str">
        <f t="shared" si="141"/>
        <v/>
      </c>
    </row>
    <row r="4324" spans="37:44" ht="30" hidden="1" customHeight="1">
      <c r="AK4324" s="313"/>
      <c r="AL4324" s="313"/>
      <c r="AM4324" s="313"/>
      <c r="AN4324" s="313"/>
      <c r="AO4324" s="313"/>
      <c r="AP4324" s="313"/>
      <c r="AQ4324" s="314"/>
      <c r="AR4324" s="315" t="str">
        <f t="shared" si="141"/>
        <v/>
      </c>
    </row>
    <row r="4325" spans="37:44" ht="30" hidden="1" customHeight="1">
      <c r="AK4325" s="313"/>
      <c r="AL4325" s="313"/>
      <c r="AM4325" s="313"/>
      <c r="AN4325" s="313"/>
      <c r="AO4325" s="313"/>
      <c r="AP4325" s="313"/>
      <c r="AQ4325" s="314"/>
      <c r="AR4325" s="315" t="str">
        <f t="shared" si="141"/>
        <v/>
      </c>
    </row>
    <row r="4326" spans="37:44" ht="30" hidden="1" customHeight="1">
      <c r="AK4326" s="313"/>
      <c r="AL4326" s="313"/>
      <c r="AM4326" s="313"/>
      <c r="AN4326" s="313"/>
      <c r="AO4326" s="313"/>
      <c r="AP4326" s="313"/>
      <c r="AQ4326" s="314"/>
      <c r="AR4326" s="315" t="str">
        <f t="shared" si="141"/>
        <v/>
      </c>
    </row>
    <row r="4327" spans="37:44" ht="30" hidden="1" customHeight="1">
      <c r="AK4327" s="313"/>
      <c r="AL4327" s="313"/>
      <c r="AM4327" s="313"/>
      <c r="AN4327" s="313"/>
      <c r="AO4327" s="313"/>
      <c r="AP4327" s="313"/>
      <c r="AQ4327" s="314"/>
      <c r="AR4327" s="315" t="str">
        <f t="shared" si="141"/>
        <v/>
      </c>
    </row>
    <row r="4328" spans="37:44" ht="30" hidden="1" customHeight="1">
      <c r="AK4328" s="313"/>
      <c r="AL4328" s="313"/>
      <c r="AM4328" s="313"/>
      <c r="AN4328" s="313"/>
      <c r="AO4328" s="313"/>
      <c r="AP4328" s="313"/>
      <c r="AQ4328" s="314"/>
      <c r="AR4328" s="315" t="str">
        <f t="shared" si="141"/>
        <v/>
      </c>
    </row>
    <row r="4329" spans="37:44" ht="30" hidden="1" customHeight="1">
      <c r="AK4329" s="313"/>
      <c r="AL4329" s="313"/>
      <c r="AM4329" s="313"/>
      <c r="AN4329" s="313"/>
      <c r="AO4329" s="313"/>
      <c r="AP4329" s="313"/>
      <c r="AQ4329" s="314"/>
      <c r="AR4329" s="315" t="str">
        <f t="shared" si="141"/>
        <v/>
      </c>
    </row>
    <row r="4330" spans="37:44" ht="30" hidden="1" customHeight="1">
      <c r="AK4330" s="313"/>
      <c r="AL4330" s="313"/>
      <c r="AM4330" s="313"/>
      <c r="AN4330" s="313"/>
      <c r="AO4330" s="313"/>
      <c r="AP4330" s="313"/>
      <c r="AQ4330" s="314"/>
      <c r="AR4330" s="315" t="str">
        <f t="shared" si="141"/>
        <v/>
      </c>
    </row>
    <row r="4331" spans="37:44" ht="30" hidden="1" customHeight="1">
      <c r="AK4331" s="313"/>
      <c r="AL4331" s="313"/>
      <c r="AM4331" s="313"/>
      <c r="AN4331" s="313"/>
      <c r="AO4331" s="313"/>
      <c r="AP4331" s="313"/>
      <c r="AQ4331" s="314"/>
      <c r="AR4331" s="315" t="str">
        <f t="shared" si="141"/>
        <v/>
      </c>
    </row>
    <row r="4332" spans="37:44" ht="30" hidden="1" customHeight="1">
      <c r="AK4332" s="313"/>
      <c r="AL4332" s="313"/>
      <c r="AM4332" s="313"/>
      <c r="AN4332" s="313"/>
      <c r="AO4332" s="313"/>
      <c r="AP4332" s="313"/>
      <c r="AQ4332" s="314"/>
      <c r="AR4332" s="315" t="str">
        <f t="shared" si="141"/>
        <v/>
      </c>
    </row>
    <row r="4333" spans="37:44" ht="30" hidden="1" customHeight="1">
      <c r="AK4333" s="313"/>
      <c r="AL4333" s="313"/>
      <c r="AM4333" s="313"/>
      <c r="AN4333" s="313"/>
      <c r="AO4333" s="313"/>
      <c r="AP4333" s="313"/>
      <c r="AQ4333" s="314"/>
      <c r="AR4333" s="315" t="str">
        <f t="shared" si="141"/>
        <v/>
      </c>
    </row>
    <row r="4334" spans="37:44" ht="30" hidden="1" customHeight="1">
      <c r="AK4334" s="313"/>
      <c r="AL4334" s="313"/>
      <c r="AM4334" s="313"/>
      <c r="AN4334" s="313"/>
      <c r="AO4334" s="313"/>
      <c r="AP4334" s="313"/>
      <c r="AQ4334" s="314"/>
      <c r="AR4334" s="315" t="str">
        <f t="shared" si="141"/>
        <v/>
      </c>
    </row>
    <row r="4335" spans="37:44" ht="30" hidden="1" customHeight="1">
      <c r="AK4335" s="313"/>
      <c r="AL4335" s="313"/>
      <c r="AM4335" s="313"/>
      <c r="AN4335" s="313"/>
      <c r="AO4335" s="313"/>
      <c r="AP4335" s="313"/>
      <c r="AQ4335" s="314"/>
      <c r="AR4335" s="315" t="str">
        <f t="shared" si="141"/>
        <v/>
      </c>
    </row>
    <row r="4336" spans="37:44" ht="30" hidden="1" customHeight="1">
      <c r="AK4336" s="313"/>
      <c r="AL4336" s="313"/>
      <c r="AM4336" s="313"/>
      <c r="AN4336" s="313"/>
      <c r="AO4336" s="313"/>
      <c r="AP4336" s="313"/>
      <c r="AQ4336" s="314"/>
      <c r="AR4336" s="315" t="str">
        <f t="shared" si="141"/>
        <v/>
      </c>
    </row>
    <row r="4337" spans="37:44" ht="30" hidden="1" customHeight="1">
      <c r="AK4337" s="313"/>
      <c r="AL4337" s="313"/>
      <c r="AM4337" s="313"/>
      <c r="AN4337" s="313"/>
      <c r="AO4337" s="313"/>
      <c r="AP4337" s="313"/>
      <c r="AQ4337" s="314"/>
      <c r="AR4337" s="315" t="str">
        <f t="shared" si="141"/>
        <v/>
      </c>
    </row>
    <row r="4338" spans="37:44" ht="30" hidden="1" customHeight="1">
      <c r="AK4338" s="313"/>
      <c r="AL4338" s="313"/>
      <c r="AM4338" s="313"/>
      <c r="AN4338" s="313"/>
      <c r="AO4338" s="313"/>
      <c r="AP4338" s="313"/>
      <c r="AQ4338" s="314"/>
      <c r="AR4338" s="315" t="str">
        <f t="shared" si="141"/>
        <v/>
      </c>
    </row>
    <row r="4339" spans="37:44" ht="30" hidden="1" customHeight="1">
      <c r="AK4339" s="313"/>
      <c r="AL4339" s="313"/>
      <c r="AM4339" s="313"/>
      <c r="AN4339" s="313"/>
      <c r="AO4339" s="313"/>
      <c r="AP4339" s="313"/>
      <c r="AQ4339" s="314"/>
      <c r="AR4339" s="315" t="str">
        <f t="shared" si="141"/>
        <v/>
      </c>
    </row>
    <row r="4340" spans="37:44" ht="30" hidden="1" customHeight="1">
      <c r="AK4340" s="313"/>
      <c r="AL4340" s="313"/>
      <c r="AM4340" s="313"/>
      <c r="AN4340" s="313"/>
      <c r="AO4340" s="313"/>
      <c r="AP4340" s="313"/>
      <c r="AQ4340" s="314"/>
      <c r="AR4340" s="315" t="str">
        <f t="shared" si="141"/>
        <v/>
      </c>
    </row>
    <row r="4341" spans="37:44" ht="30" hidden="1" customHeight="1">
      <c r="AK4341" s="313"/>
      <c r="AL4341" s="313"/>
      <c r="AM4341" s="313"/>
      <c r="AN4341" s="313"/>
      <c r="AO4341" s="313"/>
      <c r="AP4341" s="313"/>
      <c r="AQ4341" s="314"/>
      <c r="AR4341" s="315" t="str">
        <f t="shared" si="141"/>
        <v/>
      </c>
    </row>
    <row r="4342" spans="37:44" ht="30" hidden="1" customHeight="1">
      <c r="AK4342" s="313"/>
      <c r="AL4342" s="313"/>
      <c r="AM4342" s="313"/>
      <c r="AN4342" s="313"/>
      <c r="AO4342" s="313"/>
      <c r="AP4342" s="313"/>
      <c r="AQ4342" s="314"/>
      <c r="AR4342" s="315" t="str">
        <f t="shared" si="141"/>
        <v/>
      </c>
    </row>
    <row r="4343" spans="37:44" ht="30" hidden="1" customHeight="1">
      <c r="AK4343" s="313"/>
      <c r="AL4343" s="313"/>
      <c r="AM4343" s="313"/>
      <c r="AN4343" s="313"/>
      <c r="AO4343" s="313"/>
      <c r="AP4343" s="313"/>
      <c r="AQ4343" s="314"/>
      <c r="AR4343" s="315" t="str">
        <f t="shared" si="141"/>
        <v/>
      </c>
    </row>
    <row r="4344" spans="37:44" ht="30" hidden="1" customHeight="1">
      <c r="AK4344" s="313"/>
      <c r="AL4344" s="313"/>
      <c r="AM4344" s="313"/>
      <c r="AN4344" s="313"/>
      <c r="AO4344" s="313"/>
      <c r="AP4344" s="313"/>
      <c r="AQ4344" s="314"/>
      <c r="AR4344" s="315" t="str">
        <f t="shared" si="141"/>
        <v/>
      </c>
    </row>
    <row r="4345" spans="37:44" ht="30" hidden="1" customHeight="1">
      <c r="AK4345" s="313"/>
      <c r="AL4345" s="313"/>
      <c r="AM4345" s="313"/>
      <c r="AN4345" s="313"/>
      <c r="AO4345" s="313"/>
      <c r="AP4345" s="313"/>
      <c r="AQ4345" s="314"/>
      <c r="AR4345" s="315" t="str">
        <f t="shared" si="141"/>
        <v/>
      </c>
    </row>
    <row r="4346" spans="37:44" ht="30" hidden="1" customHeight="1">
      <c r="AK4346" s="313"/>
      <c r="AL4346" s="313"/>
      <c r="AM4346" s="313"/>
      <c r="AN4346" s="313"/>
      <c r="AO4346" s="313"/>
      <c r="AP4346" s="313"/>
      <c r="AQ4346" s="314"/>
      <c r="AR4346" s="315" t="str">
        <f t="shared" si="141"/>
        <v/>
      </c>
    </row>
    <row r="4347" spans="37:44" ht="30" hidden="1" customHeight="1">
      <c r="AK4347" s="313"/>
      <c r="AL4347" s="313"/>
      <c r="AM4347" s="313"/>
      <c r="AN4347" s="313"/>
      <c r="AO4347" s="313"/>
      <c r="AP4347" s="313"/>
      <c r="AQ4347" s="314"/>
      <c r="AR4347" s="315" t="str">
        <f t="shared" si="141"/>
        <v/>
      </c>
    </row>
    <row r="4348" spans="37:44" ht="30" hidden="1" customHeight="1">
      <c r="AK4348" s="313"/>
      <c r="AL4348" s="313"/>
      <c r="AM4348" s="313"/>
      <c r="AN4348" s="313"/>
      <c r="AO4348" s="313"/>
      <c r="AP4348" s="313"/>
      <c r="AQ4348" s="314"/>
      <c r="AR4348" s="315" t="str">
        <f t="shared" si="141"/>
        <v/>
      </c>
    </row>
    <row r="4349" spans="37:44" ht="30" hidden="1" customHeight="1">
      <c r="AK4349" s="313"/>
      <c r="AL4349" s="313"/>
      <c r="AM4349" s="313"/>
      <c r="AN4349" s="313"/>
      <c r="AO4349" s="313"/>
      <c r="AP4349" s="313"/>
      <c r="AQ4349" s="314"/>
      <c r="AR4349" s="315" t="str">
        <f t="shared" si="141"/>
        <v/>
      </c>
    </row>
    <row r="4350" spans="37:44" ht="30" hidden="1" customHeight="1">
      <c r="AK4350" s="313"/>
      <c r="AL4350" s="313"/>
      <c r="AM4350" s="313"/>
      <c r="AN4350" s="313"/>
      <c r="AO4350" s="313"/>
      <c r="AP4350" s="313"/>
      <c r="AQ4350" s="314"/>
      <c r="AR4350" s="315" t="str">
        <f t="shared" si="141"/>
        <v/>
      </c>
    </row>
    <row r="4351" spans="37:44" ht="30" hidden="1" customHeight="1">
      <c r="AK4351" s="313"/>
      <c r="AL4351" s="313"/>
      <c r="AM4351" s="313"/>
      <c r="AN4351" s="313"/>
      <c r="AO4351" s="313"/>
      <c r="AP4351" s="313"/>
      <c r="AQ4351" s="314"/>
      <c r="AR4351" s="315" t="str">
        <f t="shared" ref="AR4351:AR4414" si="142">IF(AQ4351="SIM","AGUARDANDO CORREÇÃO",IF(AP4351&lt;&gt;"","FINALIZADO",IF(AO4351&lt;&gt;"","AGUARDANDO ENVIO DTS",IF(AN4351&lt;&gt;"","AGUARDANDO ASSINATURA GAB",IF(AM4351&lt;&gt;"","AGUARDANDO ASSINATURA CTS",IF(AL4351&lt;&gt;"","AGUARDANDO ENVIO ASSINATURA CTS",IF(AK4351&lt;&gt;"","AGUARDANDO CONFERÊNCIA","")))))))</f>
        <v/>
      </c>
    </row>
    <row r="4352" spans="37:44" ht="30" hidden="1" customHeight="1">
      <c r="AK4352" s="313"/>
      <c r="AL4352" s="313"/>
      <c r="AM4352" s="313"/>
      <c r="AN4352" s="313"/>
      <c r="AO4352" s="313"/>
      <c r="AP4352" s="313"/>
      <c r="AQ4352" s="314"/>
      <c r="AR4352" s="315" t="str">
        <f t="shared" si="142"/>
        <v/>
      </c>
    </row>
    <row r="4353" spans="37:44" ht="30" hidden="1" customHeight="1">
      <c r="AK4353" s="313"/>
      <c r="AL4353" s="313"/>
      <c r="AM4353" s="313"/>
      <c r="AN4353" s="313"/>
      <c r="AO4353" s="313"/>
      <c r="AP4353" s="313"/>
      <c r="AQ4353" s="314"/>
      <c r="AR4353" s="315" t="str">
        <f t="shared" si="142"/>
        <v/>
      </c>
    </row>
    <row r="4354" spans="37:44" ht="30" hidden="1" customHeight="1">
      <c r="AK4354" s="313"/>
      <c r="AL4354" s="313"/>
      <c r="AM4354" s="313"/>
      <c r="AN4354" s="313"/>
      <c r="AO4354" s="313"/>
      <c r="AP4354" s="313"/>
      <c r="AQ4354" s="314"/>
      <c r="AR4354" s="315" t="str">
        <f t="shared" si="142"/>
        <v/>
      </c>
    </row>
    <row r="4355" spans="37:44" ht="30" hidden="1" customHeight="1">
      <c r="AK4355" s="313"/>
      <c r="AL4355" s="313"/>
      <c r="AM4355" s="313"/>
      <c r="AN4355" s="313"/>
      <c r="AO4355" s="313"/>
      <c r="AP4355" s="313"/>
      <c r="AQ4355" s="314"/>
      <c r="AR4355" s="315" t="str">
        <f t="shared" si="142"/>
        <v/>
      </c>
    </row>
    <row r="4356" spans="37:44" ht="30" hidden="1" customHeight="1">
      <c r="AK4356" s="313"/>
      <c r="AL4356" s="313"/>
      <c r="AM4356" s="313"/>
      <c r="AN4356" s="313"/>
      <c r="AO4356" s="313"/>
      <c r="AP4356" s="313"/>
      <c r="AQ4356" s="314"/>
      <c r="AR4356" s="315" t="str">
        <f t="shared" si="142"/>
        <v/>
      </c>
    </row>
    <row r="4357" spans="37:44" ht="30" hidden="1" customHeight="1">
      <c r="AK4357" s="313"/>
      <c r="AL4357" s="313"/>
      <c r="AM4357" s="313"/>
      <c r="AN4357" s="313"/>
      <c r="AO4357" s="313"/>
      <c r="AP4357" s="313"/>
      <c r="AQ4357" s="314"/>
      <c r="AR4357" s="315" t="str">
        <f t="shared" si="142"/>
        <v/>
      </c>
    </row>
    <row r="4358" spans="37:44" ht="30" hidden="1" customHeight="1">
      <c r="AK4358" s="313"/>
      <c r="AL4358" s="313"/>
      <c r="AM4358" s="313"/>
      <c r="AN4358" s="313"/>
      <c r="AO4358" s="313"/>
      <c r="AP4358" s="313"/>
      <c r="AQ4358" s="314"/>
      <c r="AR4358" s="315" t="str">
        <f t="shared" si="142"/>
        <v/>
      </c>
    </row>
    <row r="4359" spans="37:44" ht="30" hidden="1" customHeight="1">
      <c r="AK4359" s="313"/>
      <c r="AL4359" s="313"/>
      <c r="AM4359" s="313"/>
      <c r="AN4359" s="313"/>
      <c r="AO4359" s="313"/>
      <c r="AP4359" s="313"/>
      <c r="AQ4359" s="314"/>
      <c r="AR4359" s="315" t="str">
        <f t="shared" si="142"/>
        <v/>
      </c>
    </row>
    <row r="4360" spans="37:44" ht="30" hidden="1" customHeight="1">
      <c r="AK4360" s="313"/>
      <c r="AL4360" s="313"/>
      <c r="AM4360" s="313"/>
      <c r="AN4360" s="313"/>
      <c r="AO4360" s="313"/>
      <c r="AP4360" s="313"/>
      <c r="AQ4360" s="314"/>
      <c r="AR4360" s="315" t="str">
        <f t="shared" si="142"/>
        <v/>
      </c>
    </row>
    <row r="4361" spans="37:44" ht="30" hidden="1" customHeight="1">
      <c r="AK4361" s="313"/>
      <c r="AL4361" s="313"/>
      <c r="AM4361" s="313"/>
      <c r="AN4361" s="313"/>
      <c r="AO4361" s="313"/>
      <c r="AP4361" s="313"/>
      <c r="AQ4361" s="314"/>
      <c r="AR4361" s="315" t="str">
        <f t="shared" si="142"/>
        <v/>
      </c>
    </row>
    <row r="4362" spans="37:44" ht="30" hidden="1" customHeight="1">
      <c r="AK4362" s="313"/>
      <c r="AL4362" s="313"/>
      <c r="AM4362" s="313"/>
      <c r="AN4362" s="313"/>
      <c r="AO4362" s="313"/>
      <c r="AP4362" s="313"/>
      <c r="AQ4362" s="314"/>
      <c r="AR4362" s="315" t="str">
        <f t="shared" si="142"/>
        <v/>
      </c>
    </row>
    <row r="4363" spans="37:44" ht="30" hidden="1" customHeight="1">
      <c r="AK4363" s="313"/>
      <c r="AL4363" s="313"/>
      <c r="AM4363" s="313"/>
      <c r="AN4363" s="313"/>
      <c r="AO4363" s="313"/>
      <c r="AP4363" s="313"/>
      <c r="AQ4363" s="314"/>
      <c r="AR4363" s="315" t="str">
        <f t="shared" si="142"/>
        <v/>
      </c>
    </row>
    <row r="4364" spans="37:44" ht="30" hidden="1" customHeight="1">
      <c r="AK4364" s="313"/>
      <c r="AL4364" s="313"/>
      <c r="AM4364" s="313"/>
      <c r="AN4364" s="313"/>
      <c r="AO4364" s="313"/>
      <c r="AP4364" s="313"/>
      <c r="AQ4364" s="314"/>
      <c r="AR4364" s="315" t="str">
        <f t="shared" si="142"/>
        <v/>
      </c>
    </row>
    <row r="4365" spans="37:44" ht="30" hidden="1" customHeight="1">
      <c r="AK4365" s="313"/>
      <c r="AL4365" s="313"/>
      <c r="AM4365" s="313"/>
      <c r="AN4365" s="313"/>
      <c r="AO4365" s="313"/>
      <c r="AP4365" s="313"/>
      <c r="AQ4365" s="314"/>
      <c r="AR4365" s="315" t="str">
        <f t="shared" si="142"/>
        <v/>
      </c>
    </row>
    <row r="4366" spans="37:44" ht="30" hidden="1" customHeight="1">
      <c r="AK4366" s="313"/>
      <c r="AL4366" s="313"/>
      <c r="AM4366" s="313"/>
      <c r="AN4366" s="313"/>
      <c r="AO4366" s="313"/>
      <c r="AP4366" s="313"/>
      <c r="AQ4366" s="314"/>
      <c r="AR4366" s="315" t="str">
        <f t="shared" si="142"/>
        <v/>
      </c>
    </row>
    <row r="4367" spans="37:44" ht="30" hidden="1" customHeight="1">
      <c r="AK4367" s="313"/>
      <c r="AL4367" s="313"/>
      <c r="AM4367" s="313"/>
      <c r="AN4367" s="313"/>
      <c r="AO4367" s="313"/>
      <c r="AP4367" s="313"/>
      <c r="AQ4367" s="314"/>
      <c r="AR4367" s="315" t="str">
        <f t="shared" si="142"/>
        <v/>
      </c>
    </row>
    <row r="4368" spans="37:44" ht="30" hidden="1" customHeight="1">
      <c r="AK4368" s="313"/>
      <c r="AL4368" s="313"/>
      <c r="AM4368" s="313"/>
      <c r="AN4368" s="313"/>
      <c r="AO4368" s="313"/>
      <c r="AP4368" s="313"/>
      <c r="AQ4368" s="314"/>
      <c r="AR4368" s="315" t="str">
        <f t="shared" si="142"/>
        <v/>
      </c>
    </row>
    <row r="4369" spans="37:44" ht="30" hidden="1" customHeight="1">
      <c r="AK4369" s="313"/>
      <c r="AL4369" s="313"/>
      <c r="AM4369" s="313"/>
      <c r="AN4369" s="313"/>
      <c r="AO4369" s="313"/>
      <c r="AP4369" s="313"/>
      <c r="AQ4369" s="314"/>
      <c r="AR4369" s="315" t="str">
        <f t="shared" si="142"/>
        <v/>
      </c>
    </row>
    <row r="4370" spans="37:44" ht="30" hidden="1" customHeight="1">
      <c r="AK4370" s="313"/>
      <c r="AL4370" s="313"/>
      <c r="AM4370" s="313"/>
      <c r="AN4370" s="313"/>
      <c r="AO4370" s="313"/>
      <c r="AP4370" s="313"/>
      <c r="AQ4370" s="314"/>
      <c r="AR4370" s="315" t="str">
        <f t="shared" si="142"/>
        <v/>
      </c>
    </row>
    <row r="4371" spans="37:44" ht="30" hidden="1" customHeight="1">
      <c r="AK4371" s="313"/>
      <c r="AL4371" s="313"/>
      <c r="AM4371" s="313"/>
      <c r="AN4371" s="313"/>
      <c r="AO4371" s="313"/>
      <c r="AP4371" s="313"/>
      <c r="AQ4371" s="314"/>
      <c r="AR4371" s="315" t="str">
        <f t="shared" si="142"/>
        <v/>
      </c>
    </row>
    <row r="4372" spans="37:44" ht="30" hidden="1" customHeight="1">
      <c r="AK4372" s="313"/>
      <c r="AL4372" s="313"/>
      <c r="AM4372" s="313"/>
      <c r="AN4372" s="313"/>
      <c r="AO4372" s="313"/>
      <c r="AP4372" s="313"/>
      <c r="AQ4372" s="314"/>
      <c r="AR4372" s="315" t="str">
        <f t="shared" si="142"/>
        <v/>
      </c>
    </row>
    <row r="4373" spans="37:44" ht="30" hidden="1" customHeight="1">
      <c r="AK4373" s="313"/>
      <c r="AL4373" s="313"/>
      <c r="AM4373" s="313"/>
      <c r="AN4373" s="313"/>
      <c r="AO4373" s="313"/>
      <c r="AP4373" s="313"/>
      <c r="AQ4373" s="314"/>
      <c r="AR4373" s="315" t="str">
        <f t="shared" si="142"/>
        <v/>
      </c>
    </row>
    <row r="4374" spans="37:44" ht="30" hidden="1" customHeight="1">
      <c r="AK4374" s="313"/>
      <c r="AL4374" s="313"/>
      <c r="AM4374" s="313"/>
      <c r="AN4374" s="313"/>
      <c r="AO4374" s="313"/>
      <c r="AP4374" s="313"/>
      <c r="AQ4374" s="314"/>
      <c r="AR4374" s="315" t="str">
        <f t="shared" si="142"/>
        <v/>
      </c>
    </row>
    <row r="4375" spans="37:44" ht="30" hidden="1" customHeight="1">
      <c r="AK4375" s="313"/>
      <c r="AL4375" s="313"/>
      <c r="AM4375" s="313"/>
      <c r="AN4375" s="313"/>
      <c r="AO4375" s="313"/>
      <c r="AP4375" s="313"/>
      <c r="AQ4375" s="314"/>
      <c r="AR4375" s="315" t="str">
        <f t="shared" si="142"/>
        <v/>
      </c>
    </row>
    <row r="4376" spans="37:44" ht="30" hidden="1" customHeight="1">
      <c r="AK4376" s="313"/>
      <c r="AL4376" s="313"/>
      <c r="AM4376" s="313"/>
      <c r="AN4376" s="313"/>
      <c r="AO4376" s="313"/>
      <c r="AP4376" s="313"/>
      <c r="AQ4376" s="314"/>
      <c r="AR4376" s="315" t="str">
        <f t="shared" si="142"/>
        <v/>
      </c>
    </row>
    <row r="4377" spans="37:44" ht="30" hidden="1" customHeight="1">
      <c r="AK4377" s="313"/>
      <c r="AL4377" s="313"/>
      <c r="AM4377" s="313"/>
      <c r="AN4377" s="313"/>
      <c r="AO4377" s="313"/>
      <c r="AP4377" s="313"/>
      <c r="AQ4377" s="314"/>
      <c r="AR4377" s="315" t="str">
        <f t="shared" si="142"/>
        <v/>
      </c>
    </row>
    <row r="4378" spans="37:44" ht="30" hidden="1" customHeight="1">
      <c r="AK4378" s="313"/>
      <c r="AL4378" s="313"/>
      <c r="AM4378" s="313"/>
      <c r="AN4378" s="313"/>
      <c r="AO4378" s="313"/>
      <c r="AP4378" s="313"/>
      <c r="AQ4378" s="314"/>
      <c r="AR4378" s="315" t="str">
        <f t="shared" si="142"/>
        <v/>
      </c>
    </row>
    <row r="4379" spans="37:44" ht="30" hidden="1" customHeight="1">
      <c r="AK4379" s="313"/>
      <c r="AL4379" s="313"/>
      <c r="AM4379" s="313"/>
      <c r="AN4379" s="313"/>
      <c r="AO4379" s="313"/>
      <c r="AP4379" s="313"/>
      <c r="AQ4379" s="314"/>
      <c r="AR4379" s="315" t="str">
        <f t="shared" si="142"/>
        <v/>
      </c>
    </row>
    <row r="4380" spans="37:44" ht="30" hidden="1" customHeight="1">
      <c r="AK4380" s="313"/>
      <c r="AL4380" s="313"/>
      <c r="AM4380" s="313"/>
      <c r="AN4380" s="313"/>
      <c r="AO4380" s="313"/>
      <c r="AP4380" s="313"/>
      <c r="AQ4380" s="314"/>
      <c r="AR4380" s="315" t="str">
        <f t="shared" si="142"/>
        <v/>
      </c>
    </row>
    <row r="4381" spans="37:44" ht="30" hidden="1" customHeight="1">
      <c r="AK4381" s="313"/>
      <c r="AL4381" s="313"/>
      <c r="AM4381" s="313"/>
      <c r="AN4381" s="313"/>
      <c r="AO4381" s="313"/>
      <c r="AP4381" s="313"/>
      <c r="AQ4381" s="314"/>
      <c r="AR4381" s="315" t="str">
        <f t="shared" si="142"/>
        <v/>
      </c>
    </row>
    <row r="4382" spans="37:44" ht="30" hidden="1" customHeight="1">
      <c r="AK4382" s="313"/>
      <c r="AL4382" s="313"/>
      <c r="AM4382" s="313"/>
      <c r="AN4382" s="313"/>
      <c r="AO4382" s="313"/>
      <c r="AP4382" s="313"/>
      <c r="AQ4382" s="314"/>
      <c r="AR4382" s="315" t="str">
        <f t="shared" si="142"/>
        <v/>
      </c>
    </row>
    <row r="4383" spans="37:44" ht="30" hidden="1" customHeight="1">
      <c r="AK4383" s="313"/>
      <c r="AL4383" s="313"/>
      <c r="AM4383" s="313"/>
      <c r="AN4383" s="313"/>
      <c r="AO4383" s="313"/>
      <c r="AP4383" s="313"/>
      <c r="AQ4383" s="314"/>
      <c r="AR4383" s="315" t="str">
        <f t="shared" si="142"/>
        <v/>
      </c>
    </row>
    <row r="4384" spans="37:44" ht="30" hidden="1" customHeight="1">
      <c r="AK4384" s="313"/>
      <c r="AL4384" s="313"/>
      <c r="AM4384" s="313"/>
      <c r="AN4384" s="313"/>
      <c r="AO4384" s="313"/>
      <c r="AP4384" s="313"/>
      <c r="AQ4384" s="314"/>
      <c r="AR4384" s="315" t="str">
        <f t="shared" si="142"/>
        <v/>
      </c>
    </row>
    <row r="4385" spans="37:44" ht="30" hidden="1" customHeight="1">
      <c r="AK4385" s="313"/>
      <c r="AL4385" s="313"/>
      <c r="AM4385" s="313"/>
      <c r="AN4385" s="313"/>
      <c r="AO4385" s="313"/>
      <c r="AP4385" s="313"/>
      <c r="AQ4385" s="314"/>
      <c r="AR4385" s="315" t="str">
        <f t="shared" si="142"/>
        <v/>
      </c>
    </row>
    <row r="4386" spans="37:44" ht="30" hidden="1" customHeight="1">
      <c r="AK4386" s="313"/>
      <c r="AL4386" s="313"/>
      <c r="AM4386" s="313"/>
      <c r="AN4386" s="313"/>
      <c r="AO4386" s="313"/>
      <c r="AP4386" s="313"/>
      <c r="AQ4386" s="314"/>
      <c r="AR4386" s="315" t="str">
        <f t="shared" si="142"/>
        <v/>
      </c>
    </row>
    <row r="4387" spans="37:44" ht="30" hidden="1" customHeight="1">
      <c r="AK4387" s="313"/>
      <c r="AL4387" s="313"/>
      <c r="AM4387" s="313"/>
      <c r="AN4387" s="313"/>
      <c r="AO4387" s="313"/>
      <c r="AP4387" s="313"/>
      <c r="AQ4387" s="314"/>
      <c r="AR4387" s="315" t="str">
        <f t="shared" si="142"/>
        <v/>
      </c>
    </row>
    <row r="4388" spans="37:44" ht="30" hidden="1" customHeight="1">
      <c r="AK4388" s="313"/>
      <c r="AL4388" s="313"/>
      <c r="AM4388" s="313"/>
      <c r="AN4388" s="313"/>
      <c r="AO4388" s="313"/>
      <c r="AP4388" s="313"/>
      <c r="AQ4388" s="314"/>
      <c r="AR4388" s="315" t="str">
        <f t="shared" si="142"/>
        <v/>
      </c>
    </row>
    <row r="4389" spans="37:44" ht="30" hidden="1" customHeight="1">
      <c r="AK4389" s="313"/>
      <c r="AL4389" s="313"/>
      <c r="AM4389" s="313"/>
      <c r="AN4389" s="313"/>
      <c r="AO4389" s="313"/>
      <c r="AP4389" s="313"/>
      <c r="AQ4389" s="314"/>
      <c r="AR4389" s="315" t="str">
        <f t="shared" si="142"/>
        <v/>
      </c>
    </row>
    <row r="4390" spans="37:44" ht="30" hidden="1" customHeight="1">
      <c r="AK4390" s="313"/>
      <c r="AL4390" s="313"/>
      <c r="AM4390" s="313"/>
      <c r="AN4390" s="313"/>
      <c r="AO4390" s="313"/>
      <c r="AP4390" s="313"/>
      <c r="AQ4390" s="314"/>
      <c r="AR4390" s="315" t="str">
        <f t="shared" si="142"/>
        <v/>
      </c>
    </row>
    <row r="4391" spans="37:44" ht="30" hidden="1" customHeight="1">
      <c r="AK4391" s="313"/>
      <c r="AL4391" s="313"/>
      <c r="AM4391" s="313"/>
      <c r="AN4391" s="313"/>
      <c r="AO4391" s="313"/>
      <c r="AP4391" s="313"/>
      <c r="AQ4391" s="314"/>
      <c r="AR4391" s="315" t="str">
        <f t="shared" si="142"/>
        <v/>
      </c>
    </row>
    <row r="4392" spans="37:44" ht="30" hidden="1" customHeight="1">
      <c r="AK4392" s="313"/>
      <c r="AL4392" s="313"/>
      <c r="AM4392" s="313"/>
      <c r="AN4392" s="313"/>
      <c r="AO4392" s="313"/>
      <c r="AP4392" s="313"/>
      <c r="AQ4392" s="314"/>
      <c r="AR4392" s="315" t="str">
        <f t="shared" si="142"/>
        <v/>
      </c>
    </row>
    <row r="4393" spans="37:44" ht="30" hidden="1" customHeight="1">
      <c r="AK4393" s="313"/>
      <c r="AL4393" s="313"/>
      <c r="AM4393" s="313"/>
      <c r="AN4393" s="313"/>
      <c r="AO4393" s="313"/>
      <c r="AP4393" s="313"/>
      <c r="AQ4393" s="314"/>
      <c r="AR4393" s="315" t="str">
        <f t="shared" si="142"/>
        <v/>
      </c>
    </row>
    <row r="4394" spans="37:44" ht="30" hidden="1" customHeight="1">
      <c r="AK4394" s="313"/>
      <c r="AL4394" s="313"/>
      <c r="AM4394" s="313"/>
      <c r="AN4394" s="313"/>
      <c r="AO4394" s="313"/>
      <c r="AP4394" s="313"/>
      <c r="AQ4394" s="314"/>
      <c r="AR4394" s="315" t="str">
        <f t="shared" si="142"/>
        <v/>
      </c>
    </row>
    <row r="4395" spans="37:44" ht="30" hidden="1" customHeight="1">
      <c r="AK4395" s="313"/>
      <c r="AL4395" s="313"/>
      <c r="AM4395" s="313"/>
      <c r="AN4395" s="313"/>
      <c r="AO4395" s="313"/>
      <c r="AP4395" s="313"/>
      <c r="AQ4395" s="314"/>
      <c r="AR4395" s="315" t="str">
        <f t="shared" si="142"/>
        <v/>
      </c>
    </row>
    <row r="4396" spans="37:44" ht="30" hidden="1" customHeight="1">
      <c r="AK4396" s="313"/>
      <c r="AL4396" s="313"/>
      <c r="AM4396" s="313"/>
      <c r="AN4396" s="313"/>
      <c r="AO4396" s="313"/>
      <c r="AP4396" s="313"/>
      <c r="AQ4396" s="314"/>
      <c r="AR4396" s="315" t="str">
        <f t="shared" si="142"/>
        <v/>
      </c>
    </row>
    <row r="4397" spans="37:44" ht="30" hidden="1" customHeight="1">
      <c r="AK4397" s="313"/>
      <c r="AL4397" s="313"/>
      <c r="AM4397" s="313"/>
      <c r="AN4397" s="313"/>
      <c r="AO4397" s="313"/>
      <c r="AP4397" s="313"/>
      <c r="AQ4397" s="314"/>
      <c r="AR4397" s="315" t="str">
        <f t="shared" si="142"/>
        <v/>
      </c>
    </row>
    <row r="4398" spans="37:44" ht="30" hidden="1" customHeight="1">
      <c r="AK4398" s="313"/>
      <c r="AL4398" s="313"/>
      <c r="AM4398" s="313"/>
      <c r="AN4398" s="313"/>
      <c r="AO4398" s="313"/>
      <c r="AP4398" s="313"/>
      <c r="AQ4398" s="314"/>
      <c r="AR4398" s="315" t="str">
        <f t="shared" si="142"/>
        <v/>
      </c>
    </row>
    <row r="4399" spans="37:44" ht="30" hidden="1" customHeight="1">
      <c r="AK4399" s="313"/>
      <c r="AL4399" s="313"/>
      <c r="AM4399" s="313"/>
      <c r="AN4399" s="313"/>
      <c r="AO4399" s="313"/>
      <c r="AP4399" s="313"/>
      <c r="AQ4399" s="314"/>
      <c r="AR4399" s="315" t="str">
        <f t="shared" si="142"/>
        <v/>
      </c>
    </row>
    <row r="4400" spans="37:44" ht="30" hidden="1" customHeight="1">
      <c r="AK4400" s="313"/>
      <c r="AL4400" s="313"/>
      <c r="AM4400" s="313"/>
      <c r="AN4400" s="313"/>
      <c r="AO4400" s="313"/>
      <c r="AP4400" s="313"/>
      <c r="AQ4400" s="314"/>
      <c r="AR4400" s="315" t="str">
        <f t="shared" si="142"/>
        <v/>
      </c>
    </row>
    <row r="4401" spans="37:44" ht="30" hidden="1" customHeight="1">
      <c r="AK4401" s="313"/>
      <c r="AL4401" s="313"/>
      <c r="AM4401" s="313"/>
      <c r="AN4401" s="313"/>
      <c r="AO4401" s="313"/>
      <c r="AP4401" s="313"/>
      <c r="AQ4401" s="314"/>
      <c r="AR4401" s="315" t="str">
        <f t="shared" si="142"/>
        <v/>
      </c>
    </row>
    <row r="4402" spans="37:44" ht="30" hidden="1" customHeight="1">
      <c r="AK4402" s="313"/>
      <c r="AL4402" s="313"/>
      <c r="AM4402" s="313"/>
      <c r="AN4402" s="313"/>
      <c r="AO4402" s="313"/>
      <c r="AP4402" s="313"/>
      <c r="AQ4402" s="314"/>
      <c r="AR4402" s="315" t="str">
        <f t="shared" si="142"/>
        <v/>
      </c>
    </row>
    <row r="4403" spans="37:44" ht="30" hidden="1" customHeight="1">
      <c r="AK4403" s="313"/>
      <c r="AL4403" s="313"/>
      <c r="AM4403" s="313"/>
      <c r="AN4403" s="313"/>
      <c r="AO4403" s="313"/>
      <c r="AP4403" s="313"/>
      <c r="AQ4403" s="314"/>
      <c r="AR4403" s="315" t="str">
        <f t="shared" si="142"/>
        <v/>
      </c>
    </row>
    <row r="4404" spans="37:44" ht="30" hidden="1" customHeight="1">
      <c r="AK4404" s="313"/>
      <c r="AL4404" s="313"/>
      <c r="AM4404" s="313"/>
      <c r="AN4404" s="313"/>
      <c r="AO4404" s="313"/>
      <c r="AP4404" s="313"/>
      <c r="AQ4404" s="314"/>
      <c r="AR4404" s="315" t="str">
        <f t="shared" si="142"/>
        <v/>
      </c>
    </row>
    <row r="4405" spans="37:44" ht="30" hidden="1" customHeight="1">
      <c r="AK4405" s="313"/>
      <c r="AL4405" s="313"/>
      <c r="AM4405" s="313"/>
      <c r="AN4405" s="313"/>
      <c r="AO4405" s="313"/>
      <c r="AP4405" s="313"/>
      <c r="AQ4405" s="314"/>
      <c r="AR4405" s="315" t="str">
        <f t="shared" si="142"/>
        <v/>
      </c>
    </row>
    <row r="4406" spans="37:44" ht="30" hidden="1" customHeight="1">
      <c r="AK4406" s="313"/>
      <c r="AL4406" s="313"/>
      <c r="AM4406" s="313"/>
      <c r="AN4406" s="313"/>
      <c r="AO4406" s="313"/>
      <c r="AP4406" s="313"/>
      <c r="AQ4406" s="314"/>
      <c r="AR4406" s="315" t="str">
        <f t="shared" si="142"/>
        <v/>
      </c>
    </row>
    <row r="4407" spans="37:44" ht="30" hidden="1" customHeight="1">
      <c r="AK4407" s="313"/>
      <c r="AL4407" s="313"/>
      <c r="AM4407" s="313"/>
      <c r="AN4407" s="313"/>
      <c r="AO4407" s="313"/>
      <c r="AP4407" s="313"/>
      <c r="AQ4407" s="314"/>
      <c r="AR4407" s="315" t="str">
        <f t="shared" si="142"/>
        <v/>
      </c>
    </row>
    <row r="4408" spans="37:44" ht="30" hidden="1" customHeight="1">
      <c r="AK4408" s="313"/>
      <c r="AL4408" s="313"/>
      <c r="AM4408" s="313"/>
      <c r="AN4408" s="313"/>
      <c r="AO4408" s="313"/>
      <c r="AP4408" s="313"/>
      <c r="AQ4408" s="314"/>
      <c r="AR4408" s="315" t="str">
        <f t="shared" si="142"/>
        <v/>
      </c>
    </row>
    <row r="4409" spans="37:44" ht="30" hidden="1" customHeight="1">
      <c r="AK4409" s="313"/>
      <c r="AL4409" s="313"/>
      <c r="AM4409" s="313"/>
      <c r="AN4409" s="313"/>
      <c r="AO4409" s="313"/>
      <c r="AP4409" s="313"/>
      <c r="AQ4409" s="314"/>
      <c r="AR4409" s="315" t="str">
        <f t="shared" si="142"/>
        <v/>
      </c>
    </row>
    <row r="4410" spans="37:44" ht="30" hidden="1" customHeight="1">
      <c r="AK4410" s="313"/>
      <c r="AL4410" s="313"/>
      <c r="AM4410" s="313"/>
      <c r="AN4410" s="313"/>
      <c r="AO4410" s="313"/>
      <c r="AP4410" s="313"/>
      <c r="AQ4410" s="314"/>
      <c r="AR4410" s="315" t="str">
        <f t="shared" si="142"/>
        <v/>
      </c>
    </row>
    <row r="4411" spans="37:44" ht="30" hidden="1" customHeight="1">
      <c r="AK4411" s="313"/>
      <c r="AL4411" s="313"/>
      <c r="AM4411" s="313"/>
      <c r="AN4411" s="313"/>
      <c r="AO4411" s="313"/>
      <c r="AP4411" s="313"/>
      <c r="AQ4411" s="314"/>
      <c r="AR4411" s="315" t="str">
        <f t="shared" si="142"/>
        <v/>
      </c>
    </row>
    <row r="4412" spans="37:44" ht="30" hidden="1" customHeight="1">
      <c r="AK4412" s="313"/>
      <c r="AL4412" s="313"/>
      <c r="AM4412" s="313"/>
      <c r="AN4412" s="313"/>
      <c r="AO4412" s="313"/>
      <c r="AP4412" s="313"/>
      <c r="AQ4412" s="314"/>
      <c r="AR4412" s="315" t="str">
        <f t="shared" si="142"/>
        <v/>
      </c>
    </row>
    <row r="4413" spans="37:44" ht="30" hidden="1" customHeight="1">
      <c r="AK4413" s="313"/>
      <c r="AL4413" s="313"/>
      <c r="AM4413" s="313"/>
      <c r="AN4413" s="313"/>
      <c r="AO4413" s="313"/>
      <c r="AP4413" s="313"/>
      <c r="AQ4413" s="314"/>
      <c r="AR4413" s="315" t="str">
        <f t="shared" si="142"/>
        <v/>
      </c>
    </row>
    <row r="4414" spans="37:44" ht="30" hidden="1" customHeight="1">
      <c r="AK4414" s="313"/>
      <c r="AL4414" s="313"/>
      <c r="AM4414" s="313"/>
      <c r="AN4414" s="313"/>
      <c r="AO4414" s="313"/>
      <c r="AP4414" s="313"/>
      <c r="AQ4414" s="314"/>
      <c r="AR4414" s="315" t="str">
        <f t="shared" si="142"/>
        <v/>
      </c>
    </row>
    <row r="4415" spans="37:44" ht="30" hidden="1" customHeight="1">
      <c r="AK4415" s="313"/>
      <c r="AL4415" s="313"/>
      <c r="AM4415" s="313"/>
      <c r="AN4415" s="313"/>
      <c r="AO4415" s="313"/>
      <c r="AP4415" s="313"/>
      <c r="AQ4415" s="314"/>
      <c r="AR4415" s="315" t="str">
        <f t="shared" ref="AR4415:AR4478" si="143">IF(AQ4415="SIM","AGUARDANDO CORREÇÃO",IF(AP4415&lt;&gt;"","FINALIZADO",IF(AO4415&lt;&gt;"","AGUARDANDO ENVIO DTS",IF(AN4415&lt;&gt;"","AGUARDANDO ASSINATURA GAB",IF(AM4415&lt;&gt;"","AGUARDANDO ASSINATURA CTS",IF(AL4415&lt;&gt;"","AGUARDANDO ENVIO ASSINATURA CTS",IF(AK4415&lt;&gt;"","AGUARDANDO CONFERÊNCIA","")))))))</f>
        <v/>
      </c>
    </row>
    <row r="4416" spans="37:44" ht="30" hidden="1" customHeight="1">
      <c r="AK4416" s="313"/>
      <c r="AL4416" s="313"/>
      <c r="AM4416" s="313"/>
      <c r="AN4416" s="313"/>
      <c r="AO4416" s="313"/>
      <c r="AP4416" s="313"/>
      <c r="AQ4416" s="314"/>
      <c r="AR4416" s="315" t="str">
        <f t="shared" si="143"/>
        <v/>
      </c>
    </row>
    <row r="4417" spans="37:44" ht="30" hidden="1" customHeight="1">
      <c r="AK4417" s="313"/>
      <c r="AL4417" s="313"/>
      <c r="AM4417" s="313"/>
      <c r="AN4417" s="313"/>
      <c r="AO4417" s="313"/>
      <c r="AP4417" s="313"/>
      <c r="AQ4417" s="314"/>
      <c r="AR4417" s="315" t="str">
        <f t="shared" si="143"/>
        <v/>
      </c>
    </row>
    <row r="4418" spans="37:44" ht="30" hidden="1" customHeight="1">
      <c r="AK4418" s="313"/>
      <c r="AL4418" s="313"/>
      <c r="AM4418" s="313"/>
      <c r="AN4418" s="313"/>
      <c r="AO4418" s="313"/>
      <c r="AP4418" s="313"/>
      <c r="AQ4418" s="314"/>
      <c r="AR4418" s="315" t="str">
        <f t="shared" si="143"/>
        <v/>
      </c>
    </row>
    <row r="4419" spans="37:44" ht="30" hidden="1" customHeight="1">
      <c r="AK4419" s="313"/>
      <c r="AL4419" s="313"/>
      <c r="AM4419" s="313"/>
      <c r="AN4419" s="313"/>
      <c r="AO4419" s="313"/>
      <c r="AP4419" s="313"/>
      <c r="AQ4419" s="314"/>
      <c r="AR4419" s="315" t="str">
        <f t="shared" si="143"/>
        <v/>
      </c>
    </row>
    <row r="4420" spans="37:44" ht="30" hidden="1" customHeight="1">
      <c r="AK4420" s="313"/>
      <c r="AL4420" s="313"/>
      <c r="AM4420" s="313"/>
      <c r="AN4420" s="313"/>
      <c r="AO4420" s="313"/>
      <c r="AP4420" s="313"/>
      <c r="AQ4420" s="314"/>
      <c r="AR4420" s="315" t="str">
        <f t="shared" si="143"/>
        <v/>
      </c>
    </row>
    <row r="4421" spans="37:44" ht="30" hidden="1" customHeight="1">
      <c r="AK4421" s="313"/>
      <c r="AL4421" s="313"/>
      <c r="AM4421" s="313"/>
      <c r="AN4421" s="313"/>
      <c r="AO4421" s="313"/>
      <c r="AP4421" s="313"/>
      <c r="AQ4421" s="314"/>
      <c r="AR4421" s="315" t="str">
        <f t="shared" si="143"/>
        <v/>
      </c>
    </row>
    <row r="4422" spans="37:44" ht="30" hidden="1" customHeight="1">
      <c r="AK4422" s="313"/>
      <c r="AL4422" s="313"/>
      <c r="AM4422" s="313"/>
      <c r="AN4422" s="313"/>
      <c r="AO4422" s="313"/>
      <c r="AP4422" s="313"/>
      <c r="AQ4422" s="314"/>
      <c r="AR4422" s="315" t="str">
        <f t="shared" si="143"/>
        <v/>
      </c>
    </row>
    <row r="4423" spans="37:44" ht="30" hidden="1" customHeight="1">
      <c r="AK4423" s="313"/>
      <c r="AL4423" s="313"/>
      <c r="AM4423" s="313"/>
      <c r="AN4423" s="313"/>
      <c r="AO4423" s="313"/>
      <c r="AP4423" s="313"/>
      <c r="AQ4423" s="314"/>
      <c r="AR4423" s="315" t="str">
        <f t="shared" si="143"/>
        <v/>
      </c>
    </row>
    <row r="4424" spans="37:44" ht="30" hidden="1" customHeight="1">
      <c r="AK4424" s="313"/>
      <c r="AL4424" s="313"/>
      <c r="AM4424" s="313"/>
      <c r="AN4424" s="313"/>
      <c r="AO4424" s="313"/>
      <c r="AP4424" s="313"/>
      <c r="AQ4424" s="314"/>
      <c r="AR4424" s="315" t="str">
        <f t="shared" si="143"/>
        <v/>
      </c>
    </row>
    <row r="4425" spans="37:44" ht="30" hidden="1" customHeight="1">
      <c r="AK4425" s="313"/>
      <c r="AL4425" s="313"/>
      <c r="AM4425" s="313"/>
      <c r="AN4425" s="313"/>
      <c r="AO4425" s="313"/>
      <c r="AP4425" s="313"/>
      <c r="AQ4425" s="314"/>
      <c r="AR4425" s="315" t="str">
        <f t="shared" si="143"/>
        <v/>
      </c>
    </row>
    <row r="4426" spans="37:44" ht="30" hidden="1" customHeight="1">
      <c r="AK4426" s="313"/>
      <c r="AL4426" s="313"/>
      <c r="AM4426" s="313"/>
      <c r="AN4426" s="313"/>
      <c r="AO4426" s="313"/>
      <c r="AP4426" s="313"/>
      <c r="AQ4426" s="314"/>
      <c r="AR4426" s="315" t="str">
        <f t="shared" si="143"/>
        <v/>
      </c>
    </row>
    <row r="4427" spans="37:44" ht="30" hidden="1" customHeight="1">
      <c r="AK4427" s="313"/>
      <c r="AL4427" s="313"/>
      <c r="AM4427" s="313"/>
      <c r="AN4427" s="313"/>
      <c r="AO4427" s="313"/>
      <c r="AP4427" s="313"/>
      <c r="AQ4427" s="314"/>
      <c r="AR4427" s="315" t="str">
        <f t="shared" si="143"/>
        <v/>
      </c>
    </row>
    <row r="4428" spans="37:44" ht="30" hidden="1" customHeight="1">
      <c r="AK4428" s="313"/>
      <c r="AL4428" s="313"/>
      <c r="AM4428" s="313"/>
      <c r="AN4428" s="313"/>
      <c r="AO4428" s="313"/>
      <c r="AP4428" s="313"/>
      <c r="AQ4428" s="314"/>
      <c r="AR4428" s="315" t="str">
        <f t="shared" si="143"/>
        <v/>
      </c>
    </row>
    <row r="4429" spans="37:44" ht="30" hidden="1" customHeight="1">
      <c r="AK4429" s="313"/>
      <c r="AL4429" s="313"/>
      <c r="AM4429" s="313"/>
      <c r="AN4429" s="313"/>
      <c r="AO4429" s="313"/>
      <c r="AP4429" s="313"/>
      <c r="AQ4429" s="314"/>
      <c r="AR4429" s="315" t="str">
        <f t="shared" si="143"/>
        <v/>
      </c>
    </row>
    <row r="4430" spans="37:44" ht="30" hidden="1" customHeight="1">
      <c r="AK4430" s="313"/>
      <c r="AL4430" s="313"/>
      <c r="AM4430" s="313"/>
      <c r="AN4430" s="313"/>
      <c r="AO4430" s="313"/>
      <c r="AP4430" s="313"/>
      <c r="AQ4430" s="314"/>
      <c r="AR4430" s="315" t="str">
        <f t="shared" si="143"/>
        <v/>
      </c>
    </row>
    <row r="4431" spans="37:44" ht="30" hidden="1" customHeight="1">
      <c r="AK4431" s="313"/>
      <c r="AL4431" s="313"/>
      <c r="AM4431" s="313"/>
      <c r="AN4431" s="313"/>
      <c r="AO4431" s="313"/>
      <c r="AP4431" s="313"/>
      <c r="AQ4431" s="314"/>
      <c r="AR4431" s="315" t="str">
        <f t="shared" si="143"/>
        <v/>
      </c>
    </row>
    <row r="4432" spans="37:44" ht="30" hidden="1" customHeight="1">
      <c r="AK4432" s="313"/>
      <c r="AL4432" s="313"/>
      <c r="AM4432" s="313"/>
      <c r="AN4432" s="313"/>
      <c r="AO4432" s="313"/>
      <c r="AP4432" s="313"/>
      <c r="AQ4432" s="314"/>
      <c r="AR4432" s="315" t="str">
        <f t="shared" si="143"/>
        <v/>
      </c>
    </row>
    <row r="4433" spans="37:44" ht="30" hidden="1" customHeight="1">
      <c r="AK4433" s="313"/>
      <c r="AL4433" s="313"/>
      <c r="AM4433" s="313"/>
      <c r="AN4433" s="313"/>
      <c r="AO4433" s="313"/>
      <c r="AP4433" s="313"/>
      <c r="AQ4433" s="314"/>
      <c r="AR4433" s="315" t="str">
        <f t="shared" si="143"/>
        <v/>
      </c>
    </row>
    <row r="4434" spans="37:44" ht="30" hidden="1" customHeight="1">
      <c r="AK4434" s="313"/>
      <c r="AL4434" s="313"/>
      <c r="AM4434" s="313"/>
      <c r="AN4434" s="313"/>
      <c r="AO4434" s="313"/>
      <c r="AP4434" s="313"/>
      <c r="AQ4434" s="314"/>
      <c r="AR4434" s="315" t="str">
        <f t="shared" si="143"/>
        <v/>
      </c>
    </row>
    <row r="4435" spans="37:44" ht="30" hidden="1" customHeight="1">
      <c r="AK4435" s="313"/>
      <c r="AL4435" s="313"/>
      <c r="AM4435" s="313"/>
      <c r="AN4435" s="313"/>
      <c r="AO4435" s="313"/>
      <c r="AP4435" s="313"/>
      <c r="AQ4435" s="314"/>
      <c r="AR4435" s="315" t="str">
        <f t="shared" si="143"/>
        <v/>
      </c>
    </row>
    <row r="4436" spans="37:44" ht="30" hidden="1" customHeight="1">
      <c r="AK4436" s="313"/>
      <c r="AL4436" s="313"/>
      <c r="AM4436" s="313"/>
      <c r="AN4436" s="313"/>
      <c r="AO4436" s="313"/>
      <c r="AP4436" s="313"/>
      <c r="AQ4436" s="314"/>
      <c r="AR4436" s="315" t="str">
        <f t="shared" si="143"/>
        <v/>
      </c>
    </row>
    <row r="4437" spans="37:44" ht="30" hidden="1" customHeight="1">
      <c r="AK4437" s="313"/>
      <c r="AL4437" s="313"/>
      <c r="AM4437" s="313"/>
      <c r="AN4437" s="313"/>
      <c r="AO4437" s="313"/>
      <c r="AP4437" s="313"/>
      <c r="AQ4437" s="314"/>
      <c r="AR4437" s="315" t="str">
        <f t="shared" si="143"/>
        <v/>
      </c>
    </row>
    <row r="4438" spans="37:44" ht="30" hidden="1" customHeight="1">
      <c r="AK4438" s="313"/>
      <c r="AL4438" s="313"/>
      <c r="AM4438" s="313"/>
      <c r="AN4438" s="313"/>
      <c r="AO4438" s="313"/>
      <c r="AP4438" s="313"/>
      <c r="AQ4438" s="314"/>
      <c r="AR4438" s="315" t="str">
        <f t="shared" si="143"/>
        <v/>
      </c>
    </row>
    <row r="4439" spans="37:44" ht="30" hidden="1" customHeight="1">
      <c r="AK4439" s="313"/>
      <c r="AL4439" s="313"/>
      <c r="AM4439" s="313"/>
      <c r="AN4439" s="313"/>
      <c r="AO4439" s="313"/>
      <c r="AP4439" s="313"/>
      <c r="AQ4439" s="314"/>
      <c r="AR4439" s="315" t="str">
        <f t="shared" si="143"/>
        <v/>
      </c>
    </row>
    <row r="4440" spans="37:44" ht="30" hidden="1" customHeight="1">
      <c r="AK4440" s="313"/>
      <c r="AL4440" s="313"/>
      <c r="AM4440" s="313"/>
      <c r="AN4440" s="313"/>
      <c r="AO4440" s="313"/>
      <c r="AP4440" s="313"/>
      <c r="AQ4440" s="314"/>
      <c r="AR4440" s="315" t="str">
        <f t="shared" si="143"/>
        <v/>
      </c>
    </row>
    <row r="4441" spans="37:44" ht="30" hidden="1" customHeight="1">
      <c r="AK4441" s="313"/>
      <c r="AL4441" s="313"/>
      <c r="AM4441" s="313"/>
      <c r="AN4441" s="313"/>
      <c r="AO4441" s="313"/>
      <c r="AP4441" s="313"/>
      <c r="AQ4441" s="314"/>
      <c r="AR4441" s="315" t="str">
        <f t="shared" si="143"/>
        <v/>
      </c>
    </row>
    <row r="4442" spans="37:44" ht="30" hidden="1" customHeight="1">
      <c r="AK4442" s="313"/>
      <c r="AL4442" s="313"/>
      <c r="AM4442" s="313"/>
      <c r="AN4442" s="313"/>
      <c r="AO4442" s="313"/>
      <c r="AP4442" s="313"/>
      <c r="AQ4442" s="314"/>
      <c r="AR4442" s="315" t="str">
        <f t="shared" si="143"/>
        <v/>
      </c>
    </row>
    <row r="4443" spans="37:44" ht="30" hidden="1" customHeight="1">
      <c r="AK4443" s="313"/>
      <c r="AL4443" s="313"/>
      <c r="AM4443" s="313"/>
      <c r="AN4443" s="313"/>
      <c r="AO4443" s="313"/>
      <c r="AP4443" s="313"/>
      <c r="AQ4443" s="314"/>
      <c r="AR4443" s="315" t="str">
        <f t="shared" si="143"/>
        <v/>
      </c>
    </row>
    <row r="4444" spans="37:44" ht="30" hidden="1" customHeight="1">
      <c r="AK4444" s="313"/>
      <c r="AL4444" s="313"/>
      <c r="AM4444" s="313"/>
      <c r="AN4444" s="313"/>
      <c r="AO4444" s="313"/>
      <c r="AP4444" s="313"/>
      <c r="AQ4444" s="314"/>
      <c r="AR4444" s="315" t="str">
        <f t="shared" si="143"/>
        <v/>
      </c>
    </row>
    <row r="4445" spans="37:44" ht="30" hidden="1" customHeight="1">
      <c r="AK4445" s="313"/>
      <c r="AL4445" s="313"/>
      <c r="AM4445" s="313"/>
      <c r="AN4445" s="313"/>
      <c r="AO4445" s="313"/>
      <c r="AP4445" s="313"/>
      <c r="AQ4445" s="314"/>
      <c r="AR4445" s="315" t="str">
        <f t="shared" si="143"/>
        <v/>
      </c>
    </row>
    <row r="4446" spans="37:44" ht="30" hidden="1" customHeight="1">
      <c r="AK4446" s="313"/>
      <c r="AL4446" s="313"/>
      <c r="AM4446" s="313"/>
      <c r="AN4446" s="313"/>
      <c r="AO4446" s="313"/>
      <c r="AP4446" s="313"/>
      <c r="AQ4446" s="314"/>
      <c r="AR4446" s="315" t="str">
        <f t="shared" si="143"/>
        <v/>
      </c>
    </row>
    <row r="4447" spans="37:44" ht="30" hidden="1" customHeight="1">
      <c r="AK4447" s="313"/>
      <c r="AL4447" s="313"/>
      <c r="AM4447" s="313"/>
      <c r="AN4447" s="313"/>
      <c r="AO4447" s="313"/>
      <c r="AP4447" s="313"/>
      <c r="AQ4447" s="314"/>
      <c r="AR4447" s="315" t="str">
        <f t="shared" si="143"/>
        <v/>
      </c>
    </row>
    <row r="4448" spans="37:44" ht="30" hidden="1" customHeight="1">
      <c r="AK4448" s="313"/>
      <c r="AL4448" s="313"/>
      <c r="AM4448" s="313"/>
      <c r="AN4448" s="313"/>
      <c r="AO4448" s="313"/>
      <c r="AP4448" s="313"/>
      <c r="AQ4448" s="314"/>
      <c r="AR4448" s="315" t="str">
        <f t="shared" si="143"/>
        <v/>
      </c>
    </row>
    <row r="4449" spans="37:44" ht="30" hidden="1" customHeight="1">
      <c r="AK4449" s="313"/>
      <c r="AL4449" s="313"/>
      <c r="AM4449" s="313"/>
      <c r="AN4449" s="313"/>
      <c r="AO4449" s="313"/>
      <c r="AP4449" s="313"/>
      <c r="AQ4449" s="314"/>
      <c r="AR4449" s="315" t="str">
        <f t="shared" si="143"/>
        <v/>
      </c>
    </row>
    <row r="4450" spans="37:44" ht="30" hidden="1" customHeight="1">
      <c r="AK4450" s="313"/>
      <c r="AL4450" s="313"/>
      <c r="AM4450" s="313"/>
      <c r="AN4450" s="313"/>
      <c r="AO4450" s="313"/>
      <c r="AP4450" s="313"/>
      <c r="AQ4450" s="314"/>
      <c r="AR4450" s="315" t="str">
        <f t="shared" si="143"/>
        <v/>
      </c>
    </row>
    <row r="4451" spans="37:44" ht="30" hidden="1" customHeight="1">
      <c r="AK4451" s="313"/>
      <c r="AL4451" s="313"/>
      <c r="AM4451" s="313"/>
      <c r="AN4451" s="313"/>
      <c r="AO4451" s="313"/>
      <c r="AP4451" s="313"/>
      <c r="AQ4451" s="314"/>
      <c r="AR4451" s="315" t="str">
        <f t="shared" si="143"/>
        <v/>
      </c>
    </row>
    <row r="4452" spans="37:44" ht="30" hidden="1" customHeight="1">
      <c r="AK4452" s="313"/>
      <c r="AL4452" s="313"/>
      <c r="AM4452" s="313"/>
      <c r="AN4452" s="313"/>
      <c r="AO4452" s="313"/>
      <c r="AP4452" s="313"/>
      <c r="AQ4452" s="314"/>
      <c r="AR4452" s="315" t="str">
        <f t="shared" si="143"/>
        <v/>
      </c>
    </row>
    <row r="4453" spans="37:44" ht="30" hidden="1" customHeight="1">
      <c r="AK4453" s="313"/>
      <c r="AL4453" s="313"/>
      <c r="AM4453" s="313"/>
      <c r="AN4453" s="313"/>
      <c r="AO4453" s="313"/>
      <c r="AP4453" s="313"/>
      <c r="AQ4453" s="314"/>
      <c r="AR4453" s="315" t="str">
        <f t="shared" si="143"/>
        <v/>
      </c>
    </row>
    <row r="4454" spans="37:44" ht="30" hidden="1" customHeight="1">
      <c r="AK4454" s="313"/>
      <c r="AL4454" s="313"/>
      <c r="AM4454" s="313"/>
      <c r="AN4454" s="313"/>
      <c r="AO4454" s="313"/>
      <c r="AP4454" s="313"/>
      <c r="AQ4454" s="314"/>
      <c r="AR4454" s="315" t="str">
        <f t="shared" si="143"/>
        <v/>
      </c>
    </row>
    <row r="4455" spans="37:44" ht="30" hidden="1" customHeight="1">
      <c r="AK4455" s="313"/>
      <c r="AL4455" s="313"/>
      <c r="AM4455" s="313"/>
      <c r="AN4455" s="313"/>
      <c r="AO4455" s="313"/>
      <c r="AP4455" s="313"/>
      <c r="AQ4455" s="314"/>
      <c r="AR4455" s="315" t="str">
        <f t="shared" si="143"/>
        <v/>
      </c>
    </row>
    <row r="4456" spans="37:44" ht="30" hidden="1" customHeight="1">
      <c r="AK4456" s="313"/>
      <c r="AL4456" s="313"/>
      <c r="AM4456" s="313"/>
      <c r="AN4456" s="313"/>
      <c r="AO4456" s="313"/>
      <c r="AP4456" s="313"/>
      <c r="AQ4456" s="314"/>
      <c r="AR4456" s="315" t="str">
        <f t="shared" si="143"/>
        <v/>
      </c>
    </row>
    <row r="4457" spans="37:44" ht="30" hidden="1" customHeight="1">
      <c r="AK4457" s="313"/>
      <c r="AL4457" s="313"/>
      <c r="AM4457" s="313"/>
      <c r="AN4457" s="313"/>
      <c r="AO4457" s="313"/>
      <c r="AP4457" s="313"/>
      <c r="AQ4457" s="314"/>
      <c r="AR4457" s="315" t="str">
        <f t="shared" si="143"/>
        <v/>
      </c>
    </row>
    <row r="4458" spans="37:44" ht="30" hidden="1" customHeight="1">
      <c r="AK4458" s="313"/>
      <c r="AL4458" s="313"/>
      <c r="AM4458" s="313"/>
      <c r="AN4458" s="313"/>
      <c r="AO4458" s="313"/>
      <c r="AP4458" s="313"/>
      <c r="AQ4458" s="314"/>
      <c r="AR4458" s="315" t="str">
        <f t="shared" si="143"/>
        <v/>
      </c>
    </row>
    <row r="4459" spans="37:44" ht="30" hidden="1" customHeight="1">
      <c r="AK4459" s="313"/>
      <c r="AL4459" s="313"/>
      <c r="AM4459" s="313"/>
      <c r="AN4459" s="313"/>
      <c r="AO4459" s="313"/>
      <c r="AP4459" s="313"/>
      <c r="AQ4459" s="314"/>
      <c r="AR4459" s="315" t="str">
        <f t="shared" si="143"/>
        <v/>
      </c>
    </row>
    <row r="4460" spans="37:44" ht="30" hidden="1" customHeight="1">
      <c r="AK4460" s="313"/>
      <c r="AL4460" s="313"/>
      <c r="AM4460" s="313"/>
      <c r="AN4460" s="313"/>
      <c r="AO4460" s="313"/>
      <c r="AP4460" s="313"/>
      <c r="AQ4460" s="314"/>
      <c r="AR4460" s="315" t="str">
        <f t="shared" si="143"/>
        <v/>
      </c>
    </row>
    <row r="4461" spans="37:44" ht="30" hidden="1" customHeight="1">
      <c r="AK4461" s="313"/>
      <c r="AL4461" s="313"/>
      <c r="AM4461" s="313"/>
      <c r="AN4461" s="313"/>
      <c r="AO4461" s="313"/>
      <c r="AP4461" s="313"/>
      <c r="AQ4461" s="314"/>
      <c r="AR4461" s="315" t="str">
        <f t="shared" si="143"/>
        <v/>
      </c>
    </row>
    <row r="4462" spans="37:44" ht="30" hidden="1" customHeight="1">
      <c r="AK4462" s="313"/>
      <c r="AL4462" s="313"/>
      <c r="AM4462" s="313"/>
      <c r="AN4462" s="313"/>
      <c r="AO4462" s="313"/>
      <c r="AP4462" s="313"/>
      <c r="AQ4462" s="314"/>
      <c r="AR4462" s="315" t="str">
        <f t="shared" si="143"/>
        <v/>
      </c>
    </row>
    <row r="4463" spans="37:44" ht="30" hidden="1" customHeight="1">
      <c r="AK4463" s="313"/>
      <c r="AL4463" s="313"/>
      <c r="AM4463" s="313"/>
      <c r="AN4463" s="313"/>
      <c r="AO4463" s="313"/>
      <c r="AP4463" s="313"/>
      <c r="AQ4463" s="314"/>
      <c r="AR4463" s="315" t="str">
        <f t="shared" si="143"/>
        <v/>
      </c>
    </row>
    <row r="4464" spans="37:44" ht="30" hidden="1" customHeight="1">
      <c r="AK4464" s="313"/>
      <c r="AL4464" s="313"/>
      <c r="AM4464" s="313"/>
      <c r="AN4464" s="313"/>
      <c r="AO4464" s="313"/>
      <c r="AP4464" s="313"/>
      <c r="AQ4464" s="314"/>
      <c r="AR4464" s="315" t="str">
        <f t="shared" si="143"/>
        <v/>
      </c>
    </row>
    <row r="4465" spans="37:44" ht="30" hidden="1" customHeight="1">
      <c r="AK4465" s="313"/>
      <c r="AL4465" s="313"/>
      <c r="AM4465" s="313"/>
      <c r="AN4465" s="313"/>
      <c r="AO4465" s="313"/>
      <c r="AP4465" s="313"/>
      <c r="AQ4465" s="314"/>
      <c r="AR4465" s="315" t="str">
        <f t="shared" si="143"/>
        <v/>
      </c>
    </row>
    <row r="4466" spans="37:44" ht="30" hidden="1" customHeight="1">
      <c r="AK4466" s="313"/>
      <c r="AL4466" s="313"/>
      <c r="AM4466" s="313"/>
      <c r="AN4466" s="313"/>
      <c r="AO4466" s="313"/>
      <c r="AP4466" s="313"/>
      <c r="AQ4466" s="314"/>
      <c r="AR4466" s="315" t="str">
        <f t="shared" si="143"/>
        <v/>
      </c>
    </row>
    <row r="4467" spans="37:44" ht="30" hidden="1" customHeight="1">
      <c r="AK4467" s="313"/>
      <c r="AL4467" s="313"/>
      <c r="AM4467" s="313"/>
      <c r="AN4467" s="313"/>
      <c r="AO4467" s="313"/>
      <c r="AP4467" s="313"/>
      <c r="AQ4467" s="314"/>
      <c r="AR4467" s="315" t="str">
        <f t="shared" si="143"/>
        <v/>
      </c>
    </row>
    <row r="4468" spans="37:44" ht="30" hidden="1" customHeight="1">
      <c r="AK4468" s="313"/>
      <c r="AL4468" s="313"/>
      <c r="AM4468" s="313"/>
      <c r="AN4468" s="313"/>
      <c r="AO4468" s="313"/>
      <c r="AP4468" s="313"/>
      <c r="AQ4468" s="314"/>
      <c r="AR4468" s="315" t="str">
        <f t="shared" si="143"/>
        <v/>
      </c>
    </row>
    <row r="4469" spans="37:44" ht="30" hidden="1" customHeight="1">
      <c r="AK4469" s="313"/>
      <c r="AL4469" s="313"/>
      <c r="AM4469" s="313"/>
      <c r="AN4469" s="313"/>
      <c r="AO4469" s="313"/>
      <c r="AP4469" s="313"/>
      <c r="AQ4469" s="314"/>
      <c r="AR4469" s="315" t="str">
        <f t="shared" si="143"/>
        <v/>
      </c>
    </row>
    <row r="4470" spans="37:44" ht="30" hidden="1" customHeight="1">
      <c r="AK4470" s="313"/>
      <c r="AL4470" s="313"/>
      <c r="AM4470" s="313"/>
      <c r="AN4470" s="313"/>
      <c r="AO4470" s="313"/>
      <c r="AP4470" s="313"/>
      <c r="AQ4470" s="314"/>
      <c r="AR4470" s="315" t="str">
        <f t="shared" si="143"/>
        <v/>
      </c>
    </row>
    <row r="4471" spans="37:44" ht="30" hidden="1" customHeight="1">
      <c r="AK4471" s="313"/>
      <c r="AL4471" s="313"/>
      <c r="AM4471" s="313"/>
      <c r="AN4471" s="313"/>
      <c r="AO4471" s="313"/>
      <c r="AP4471" s="313"/>
      <c r="AQ4471" s="314"/>
      <c r="AR4471" s="315" t="str">
        <f t="shared" si="143"/>
        <v/>
      </c>
    </row>
    <row r="4472" spans="37:44" ht="30" hidden="1" customHeight="1">
      <c r="AK4472" s="313"/>
      <c r="AL4472" s="313"/>
      <c r="AM4472" s="313"/>
      <c r="AN4472" s="313"/>
      <c r="AO4472" s="313"/>
      <c r="AP4472" s="313"/>
      <c r="AQ4472" s="314"/>
      <c r="AR4472" s="315" t="str">
        <f t="shared" si="143"/>
        <v/>
      </c>
    </row>
    <row r="4473" spans="37:44" ht="30" hidden="1" customHeight="1">
      <c r="AK4473" s="313"/>
      <c r="AL4473" s="313"/>
      <c r="AM4473" s="313"/>
      <c r="AN4473" s="313"/>
      <c r="AO4473" s="313"/>
      <c r="AP4473" s="313"/>
      <c r="AQ4473" s="314"/>
      <c r="AR4473" s="315" t="str">
        <f t="shared" si="143"/>
        <v/>
      </c>
    </row>
    <row r="4474" spans="37:44" ht="30" hidden="1" customHeight="1">
      <c r="AK4474" s="313"/>
      <c r="AL4474" s="313"/>
      <c r="AM4474" s="313"/>
      <c r="AN4474" s="313"/>
      <c r="AO4474" s="313"/>
      <c r="AP4474" s="313"/>
      <c r="AQ4474" s="314"/>
      <c r="AR4474" s="315" t="str">
        <f t="shared" si="143"/>
        <v/>
      </c>
    </row>
    <row r="4475" spans="37:44" ht="30" hidden="1" customHeight="1">
      <c r="AK4475" s="313"/>
      <c r="AL4475" s="313"/>
      <c r="AM4475" s="313"/>
      <c r="AN4475" s="313"/>
      <c r="AO4475" s="313"/>
      <c r="AP4475" s="313"/>
      <c r="AQ4475" s="314"/>
      <c r="AR4475" s="315" t="str">
        <f t="shared" si="143"/>
        <v/>
      </c>
    </row>
    <row r="4476" spans="37:44" ht="30" hidden="1" customHeight="1">
      <c r="AK4476" s="313"/>
      <c r="AL4476" s="313"/>
      <c r="AM4476" s="313"/>
      <c r="AN4476" s="313"/>
      <c r="AO4476" s="313"/>
      <c r="AP4476" s="313"/>
      <c r="AQ4476" s="314"/>
      <c r="AR4476" s="315" t="str">
        <f t="shared" si="143"/>
        <v/>
      </c>
    </row>
    <row r="4477" spans="37:44" ht="30" hidden="1" customHeight="1">
      <c r="AK4477" s="313"/>
      <c r="AL4477" s="313"/>
      <c r="AM4477" s="313"/>
      <c r="AN4477" s="313"/>
      <c r="AO4477" s="313"/>
      <c r="AP4477" s="313"/>
      <c r="AQ4477" s="314"/>
      <c r="AR4477" s="315" t="str">
        <f t="shared" si="143"/>
        <v/>
      </c>
    </row>
    <row r="4478" spans="37:44" ht="30" hidden="1" customHeight="1">
      <c r="AK4478" s="313"/>
      <c r="AL4478" s="313"/>
      <c r="AM4478" s="313"/>
      <c r="AN4478" s="313"/>
      <c r="AO4478" s="313"/>
      <c r="AP4478" s="313"/>
      <c r="AQ4478" s="314"/>
      <c r="AR4478" s="315" t="str">
        <f t="shared" si="143"/>
        <v/>
      </c>
    </row>
    <row r="4479" spans="37:44" ht="30" hidden="1" customHeight="1">
      <c r="AK4479" s="313"/>
      <c r="AL4479" s="313"/>
      <c r="AM4479" s="313"/>
      <c r="AN4479" s="313"/>
      <c r="AO4479" s="313"/>
      <c r="AP4479" s="313"/>
      <c r="AQ4479" s="314"/>
      <c r="AR4479" s="315" t="str">
        <f t="shared" ref="AR4479:AR4542" si="144">IF(AQ4479="SIM","AGUARDANDO CORREÇÃO",IF(AP4479&lt;&gt;"","FINALIZADO",IF(AO4479&lt;&gt;"","AGUARDANDO ENVIO DTS",IF(AN4479&lt;&gt;"","AGUARDANDO ASSINATURA GAB",IF(AM4479&lt;&gt;"","AGUARDANDO ASSINATURA CTS",IF(AL4479&lt;&gt;"","AGUARDANDO ENVIO ASSINATURA CTS",IF(AK4479&lt;&gt;"","AGUARDANDO CONFERÊNCIA","")))))))</f>
        <v/>
      </c>
    </row>
    <row r="4480" spans="37:44" ht="30" hidden="1" customHeight="1">
      <c r="AK4480" s="313"/>
      <c r="AL4480" s="313"/>
      <c r="AM4480" s="313"/>
      <c r="AN4480" s="313"/>
      <c r="AO4480" s="313"/>
      <c r="AP4480" s="313"/>
      <c r="AQ4480" s="314"/>
      <c r="AR4480" s="315" t="str">
        <f t="shared" si="144"/>
        <v/>
      </c>
    </row>
    <row r="4481" spans="37:44" ht="30" hidden="1" customHeight="1">
      <c r="AK4481" s="313"/>
      <c r="AL4481" s="313"/>
      <c r="AM4481" s="313"/>
      <c r="AN4481" s="313"/>
      <c r="AO4481" s="313"/>
      <c r="AP4481" s="313"/>
      <c r="AQ4481" s="314"/>
      <c r="AR4481" s="315" t="str">
        <f t="shared" si="144"/>
        <v/>
      </c>
    </row>
    <row r="4482" spans="37:44" ht="30" hidden="1" customHeight="1">
      <c r="AK4482" s="313"/>
      <c r="AL4482" s="313"/>
      <c r="AM4482" s="313"/>
      <c r="AN4482" s="313"/>
      <c r="AO4482" s="313"/>
      <c r="AP4482" s="313"/>
      <c r="AQ4482" s="314"/>
      <c r="AR4482" s="315" t="str">
        <f t="shared" si="144"/>
        <v/>
      </c>
    </row>
    <row r="4483" spans="37:44" ht="30" hidden="1" customHeight="1">
      <c r="AK4483" s="313"/>
      <c r="AL4483" s="313"/>
      <c r="AM4483" s="313"/>
      <c r="AN4483" s="313"/>
      <c r="AO4483" s="313"/>
      <c r="AP4483" s="313"/>
      <c r="AQ4483" s="314"/>
      <c r="AR4483" s="315" t="str">
        <f t="shared" si="144"/>
        <v/>
      </c>
    </row>
    <row r="4484" spans="37:44" ht="30" hidden="1" customHeight="1">
      <c r="AK4484" s="313"/>
      <c r="AL4484" s="313"/>
      <c r="AM4484" s="313"/>
      <c r="AN4484" s="313"/>
      <c r="AO4484" s="313"/>
      <c r="AP4484" s="313"/>
      <c r="AQ4484" s="314"/>
      <c r="AR4484" s="315" t="str">
        <f t="shared" si="144"/>
        <v/>
      </c>
    </row>
    <row r="4485" spans="37:44" ht="30" hidden="1" customHeight="1">
      <c r="AK4485" s="313"/>
      <c r="AL4485" s="313"/>
      <c r="AM4485" s="313"/>
      <c r="AN4485" s="313"/>
      <c r="AO4485" s="313"/>
      <c r="AP4485" s="313"/>
      <c r="AQ4485" s="314"/>
      <c r="AR4485" s="315" t="str">
        <f t="shared" si="144"/>
        <v/>
      </c>
    </row>
    <row r="4486" spans="37:44" ht="30" hidden="1" customHeight="1">
      <c r="AK4486" s="313"/>
      <c r="AL4486" s="313"/>
      <c r="AM4486" s="313"/>
      <c r="AN4486" s="313"/>
      <c r="AO4486" s="313"/>
      <c r="AP4486" s="313"/>
      <c r="AQ4486" s="314"/>
      <c r="AR4486" s="315" t="str">
        <f t="shared" si="144"/>
        <v/>
      </c>
    </row>
    <row r="4487" spans="37:44" ht="30" hidden="1" customHeight="1">
      <c r="AK4487" s="313"/>
      <c r="AL4487" s="313"/>
      <c r="AM4487" s="313"/>
      <c r="AN4487" s="313"/>
      <c r="AO4487" s="313"/>
      <c r="AP4487" s="313"/>
      <c r="AQ4487" s="314"/>
      <c r="AR4487" s="315" t="str">
        <f t="shared" si="144"/>
        <v/>
      </c>
    </row>
    <row r="4488" spans="37:44" ht="30" hidden="1" customHeight="1">
      <c r="AK4488" s="313"/>
      <c r="AL4488" s="313"/>
      <c r="AM4488" s="313"/>
      <c r="AN4488" s="313"/>
      <c r="AO4488" s="313"/>
      <c r="AP4488" s="313"/>
      <c r="AQ4488" s="314"/>
      <c r="AR4488" s="315" t="str">
        <f t="shared" si="144"/>
        <v/>
      </c>
    </row>
    <row r="4489" spans="37:44" ht="30" hidden="1" customHeight="1">
      <c r="AK4489" s="313"/>
      <c r="AL4489" s="313"/>
      <c r="AM4489" s="313"/>
      <c r="AN4489" s="313"/>
      <c r="AO4489" s="313"/>
      <c r="AP4489" s="313"/>
      <c r="AQ4489" s="314"/>
      <c r="AR4489" s="315" t="str">
        <f t="shared" si="144"/>
        <v/>
      </c>
    </row>
    <row r="4490" spans="37:44" ht="30" hidden="1" customHeight="1">
      <c r="AK4490" s="313"/>
      <c r="AL4490" s="313"/>
      <c r="AM4490" s="313"/>
      <c r="AN4490" s="313"/>
      <c r="AO4490" s="313"/>
      <c r="AP4490" s="313"/>
      <c r="AQ4490" s="314"/>
      <c r="AR4490" s="315" t="str">
        <f t="shared" si="144"/>
        <v/>
      </c>
    </row>
    <row r="4491" spans="37:44" ht="30" hidden="1" customHeight="1">
      <c r="AK4491" s="313"/>
      <c r="AL4491" s="313"/>
      <c r="AM4491" s="313"/>
      <c r="AN4491" s="313"/>
      <c r="AO4491" s="313"/>
      <c r="AP4491" s="313"/>
      <c r="AQ4491" s="314"/>
      <c r="AR4491" s="315" t="str">
        <f t="shared" si="144"/>
        <v/>
      </c>
    </row>
    <row r="4492" spans="37:44" ht="30" hidden="1" customHeight="1">
      <c r="AK4492" s="313"/>
      <c r="AL4492" s="313"/>
      <c r="AM4492" s="313"/>
      <c r="AN4492" s="313"/>
      <c r="AO4492" s="313"/>
      <c r="AP4492" s="313"/>
      <c r="AQ4492" s="314"/>
      <c r="AR4492" s="315" t="str">
        <f t="shared" si="144"/>
        <v/>
      </c>
    </row>
    <row r="4493" spans="37:44" ht="30" hidden="1" customHeight="1">
      <c r="AK4493" s="313"/>
      <c r="AL4493" s="313"/>
      <c r="AM4493" s="313"/>
      <c r="AN4493" s="313"/>
      <c r="AO4493" s="313"/>
      <c r="AP4493" s="313"/>
      <c r="AQ4493" s="314"/>
      <c r="AR4493" s="315" t="str">
        <f t="shared" si="144"/>
        <v/>
      </c>
    </row>
    <row r="4494" spans="37:44" ht="30" hidden="1" customHeight="1">
      <c r="AK4494" s="313"/>
      <c r="AL4494" s="313"/>
      <c r="AM4494" s="313"/>
      <c r="AN4494" s="313"/>
      <c r="AO4494" s="313"/>
      <c r="AP4494" s="313"/>
      <c r="AQ4494" s="314"/>
      <c r="AR4494" s="315" t="str">
        <f t="shared" si="144"/>
        <v/>
      </c>
    </row>
    <row r="4495" spans="37:44" ht="30" hidden="1" customHeight="1">
      <c r="AK4495" s="313"/>
      <c r="AL4495" s="313"/>
      <c r="AM4495" s="313"/>
      <c r="AN4495" s="313"/>
      <c r="AO4495" s="313"/>
      <c r="AP4495" s="313"/>
      <c r="AQ4495" s="314"/>
      <c r="AR4495" s="315" t="str">
        <f t="shared" si="144"/>
        <v/>
      </c>
    </row>
    <row r="4496" spans="37:44" ht="30" hidden="1" customHeight="1">
      <c r="AK4496" s="313"/>
      <c r="AL4496" s="313"/>
      <c r="AM4496" s="313"/>
      <c r="AN4496" s="313"/>
      <c r="AO4496" s="313"/>
      <c r="AP4496" s="313"/>
      <c r="AQ4496" s="314"/>
      <c r="AR4496" s="315" t="str">
        <f t="shared" si="144"/>
        <v/>
      </c>
    </row>
    <row r="4497" spans="37:44" ht="30" hidden="1" customHeight="1">
      <c r="AK4497" s="313"/>
      <c r="AL4497" s="313"/>
      <c r="AM4497" s="313"/>
      <c r="AN4497" s="313"/>
      <c r="AO4497" s="313"/>
      <c r="AP4497" s="313"/>
      <c r="AQ4497" s="314"/>
      <c r="AR4497" s="315" t="str">
        <f t="shared" si="144"/>
        <v/>
      </c>
    </row>
    <row r="4498" spans="37:44" ht="30" hidden="1" customHeight="1">
      <c r="AK4498" s="313"/>
      <c r="AL4498" s="313"/>
      <c r="AM4498" s="313"/>
      <c r="AN4498" s="313"/>
      <c r="AO4498" s="313"/>
      <c r="AP4498" s="313"/>
      <c r="AQ4498" s="314"/>
      <c r="AR4498" s="315" t="str">
        <f t="shared" si="144"/>
        <v/>
      </c>
    </row>
    <row r="4499" spans="37:44" ht="30" hidden="1" customHeight="1">
      <c r="AK4499" s="313"/>
      <c r="AL4499" s="313"/>
      <c r="AM4499" s="313"/>
      <c r="AN4499" s="313"/>
      <c r="AO4499" s="313"/>
      <c r="AP4499" s="313"/>
      <c r="AQ4499" s="314"/>
      <c r="AR4499" s="315" t="str">
        <f t="shared" si="144"/>
        <v/>
      </c>
    </row>
    <row r="4500" spans="37:44" ht="30" hidden="1" customHeight="1">
      <c r="AK4500" s="313"/>
      <c r="AL4500" s="313"/>
      <c r="AM4500" s="313"/>
      <c r="AN4500" s="313"/>
      <c r="AO4500" s="313"/>
      <c r="AP4500" s="313"/>
      <c r="AQ4500" s="314"/>
      <c r="AR4500" s="315" t="str">
        <f t="shared" si="144"/>
        <v/>
      </c>
    </row>
    <row r="4501" spans="37:44" ht="30" hidden="1" customHeight="1">
      <c r="AK4501" s="313"/>
      <c r="AL4501" s="313"/>
      <c r="AM4501" s="313"/>
      <c r="AN4501" s="313"/>
      <c r="AO4501" s="313"/>
      <c r="AP4501" s="313"/>
      <c r="AQ4501" s="314"/>
      <c r="AR4501" s="315" t="str">
        <f t="shared" si="144"/>
        <v/>
      </c>
    </row>
    <row r="4502" spans="37:44" ht="30" hidden="1" customHeight="1">
      <c r="AK4502" s="313"/>
      <c r="AL4502" s="313"/>
      <c r="AM4502" s="313"/>
      <c r="AN4502" s="313"/>
      <c r="AO4502" s="313"/>
      <c r="AP4502" s="313"/>
      <c r="AQ4502" s="314"/>
      <c r="AR4502" s="315" t="str">
        <f t="shared" si="144"/>
        <v/>
      </c>
    </row>
    <row r="4503" spans="37:44" ht="30" hidden="1" customHeight="1">
      <c r="AK4503" s="313"/>
      <c r="AL4503" s="313"/>
      <c r="AM4503" s="313"/>
      <c r="AN4503" s="313"/>
      <c r="AO4503" s="313"/>
      <c r="AP4503" s="313"/>
      <c r="AQ4503" s="314"/>
      <c r="AR4503" s="315" t="str">
        <f t="shared" si="144"/>
        <v/>
      </c>
    </row>
    <row r="4504" spans="37:44" ht="30" hidden="1" customHeight="1">
      <c r="AK4504" s="313"/>
      <c r="AL4504" s="313"/>
      <c r="AM4504" s="313"/>
      <c r="AN4504" s="313"/>
      <c r="AO4504" s="313"/>
      <c r="AP4504" s="313"/>
      <c r="AQ4504" s="314"/>
      <c r="AR4504" s="315" t="str">
        <f t="shared" si="144"/>
        <v/>
      </c>
    </row>
    <row r="4505" spans="37:44" ht="30" hidden="1" customHeight="1">
      <c r="AK4505" s="313"/>
      <c r="AL4505" s="313"/>
      <c r="AM4505" s="313"/>
      <c r="AN4505" s="313"/>
      <c r="AO4505" s="313"/>
      <c r="AP4505" s="313"/>
      <c r="AQ4505" s="314"/>
      <c r="AR4505" s="315" t="str">
        <f t="shared" si="144"/>
        <v/>
      </c>
    </row>
    <row r="4506" spans="37:44" ht="30" hidden="1" customHeight="1">
      <c r="AK4506" s="313"/>
      <c r="AL4506" s="313"/>
      <c r="AM4506" s="313"/>
      <c r="AN4506" s="313"/>
      <c r="AO4506" s="313"/>
      <c r="AP4506" s="313"/>
      <c r="AQ4506" s="314"/>
      <c r="AR4506" s="315" t="str">
        <f t="shared" si="144"/>
        <v/>
      </c>
    </row>
    <row r="4507" spans="37:44" ht="30" hidden="1" customHeight="1">
      <c r="AK4507" s="313"/>
      <c r="AL4507" s="313"/>
      <c r="AM4507" s="313"/>
      <c r="AN4507" s="313"/>
      <c r="AO4507" s="313"/>
      <c r="AP4507" s="313"/>
      <c r="AQ4507" s="314"/>
      <c r="AR4507" s="315" t="str">
        <f t="shared" si="144"/>
        <v/>
      </c>
    </row>
    <row r="4508" spans="37:44" ht="30" hidden="1" customHeight="1">
      <c r="AK4508" s="313"/>
      <c r="AL4508" s="313"/>
      <c r="AM4508" s="313"/>
      <c r="AN4508" s="313"/>
      <c r="AO4508" s="313"/>
      <c r="AP4508" s="313"/>
      <c r="AQ4508" s="314"/>
      <c r="AR4508" s="315" t="str">
        <f t="shared" si="144"/>
        <v/>
      </c>
    </row>
    <row r="4509" spans="37:44" ht="30" hidden="1" customHeight="1">
      <c r="AK4509" s="313"/>
      <c r="AL4509" s="313"/>
      <c r="AM4509" s="313"/>
      <c r="AN4509" s="313"/>
      <c r="AO4509" s="313"/>
      <c r="AP4509" s="313"/>
      <c r="AQ4509" s="314"/>
      <c r="AR4509" s="315" t="str">
        <f t="shared" si="144"/>
        <v/>
      </c>
    </row>
    <row r="4510" spans="37:44" ht="30" hidden="1" customHeight="1">
      <c r="AK4510" s="313"/>
      <c r="AL4510" s="313"/>
      <c r="AM4510" s="313"/>
      <c r="AN4510" s="313"/>
      <c r="AO4510" s="313"/>
      <c r="AP4510" s="313"/>
      <c r="AQ4510" s="314"/>
      <c r="AR4510" s="315" t="str">
        <f t="shared" si="144"/>
        <v/>
      </c>
    </row>
    <row r="4511" spans="37:44" ht="30" hidden="1" customHeight="1">
      <c r="AK4511" s="313"/>
      <c r="AL4511" s="313"/>
      <c r="AM4511" s="313"/>
      <c r="AN4511" s="313"/>
      <c r="AO4511" s="313"/>
      <c r="AP4511" s="313"/>
      <c r="AQ4511" s="314"/>
      <c r="AR4511" s="315" t="str">
        <f t="shared" si="144"/>
        <v/>
      </c>
    </row>
    <row r="4512" spans="37:44" ht="30" hidden="1" customHeight="1">
      <c r="AK4512" s="313"/>
      <c r="AL4512" s="313"/>
      <c r="AM4512" s="313"/>
      <c r="AN4512" s="313"/>
      <c r="AO4512" s="313"/>
      <c r="AP4512" s="313"/>
      <c r="AQ4512" s="314"/>
      <c r="AR4512" s="315" t="str">
        <f t="shared" si="144"/>
        <v/>
      </c>
    </row>
    <row r="4513" spans="37:44" ht="30" hidden="1" customHeight="1">
      <c r="AK4513" s="313"/>
      <c r="AL4513" s="313"/>
      <c r="AM4513" s="313"/>
      <c r="AN4513" s="313"/>
      <c r="AO4513" s="313"/>
      <c r="AP4513" s="313"/>
      <c r="AQ4513" s="314"/>
      <c r="AR4513" s="315" t="str">
        <f t="shared" si="144"/>
        <v/>
      </c>
    </row>
    <row r="4514" spans="37:44" ht="30" hidden="1" customHeight="1">
      <c r="AK4514" s="313"/>
      <c r="AL4514" s="313"/>
      <c r="AM4514" s="313"/>
      <c r="AN4514" s="313"/>
      <c r="AO4514" s="313"/>
      <c r="AP4514" s="313"/>
      <c r="AQ4514" s="314"/>
      <c r="AR4514" s="315" t="str">
        <f t="shared" si="144"/>
        <v/>
      </c>
    </row>
    <row r="4515" spans="37:44" ht="30" hidden="1" customHeight="1">
      <c r="AK4515" s="313"/>
      <c r="AL4515" s="313"/>
      <c r="AM4515" s="313"/>
      <c r="AN4515" s="313"/>
      <c r="AO4515" s="313"/>
      <c r="AP4515" s="313"/>
      <c r="AQ4515" s="314"/>
      <c r="AR4515" s="315" t="str">
        <f t="shared" si="144"/>
        <v/>
      </c>
    </row>
    <row r="4516" spans="37:44" ht="30" hidden="1" customHeight="1">
      <c r="AK4516" s="313"/>
      <c r="AL4516" s="313"/>
      <c r="AM4516" s="313"/>
      <c r="AN4516" s="313"/>
      <c r="AO4516" s="313"/>
      <c r="AP4516" s="313"/>
      <c r="AQ4516" s="314"/>
      <c r="AR4516" s="315" t="str">
        <f t="shared" si="144"/>
        <v/>
      </c>
    </row>
    <row r="4517" spans="37:44" ht="30" hidden="1" customHeight="1">
      <c r="AK4517" s="313"/>
      <c r="AL4517" s="313"/>
      <c r="AM4517" s="313"/>
      <c r="AN4517" s="313"/>
      <c r="AO4517" s="313"/>
      <c r="AP4517" s="313"/>
      <c r="AQ4517" s="314"/>
      <c r="AR4517" s="315" t="str">
        <f t="shared" si="144"/>
        <v/>
      </c>
    </row>
    <row r="4518" spans="37:44" ht="30" hidden="1" customHeight="1">
      <c r="AK4518" s="313"/>
      <c r="AL4518" s="313"/>
      <c r="AM4518" s="313"/>
      <c r="AN4518" s="313"/>
      <c r="AO4518" s="313"/>
      <c r="AP4518" s="313"/>
      <c r="AQ4518" s="314"/>
      <c r="AR4518" s="315" t="str">
        <f t="shared" si="144"/>
        <v/>
      </c>
    </row>
    <row r="4519" spans="37:44" ht="30" hidden="1" customHeight="1">
      <c r="AK4519" s="313"/>
      <c r="AL4519" s="313"/>
      <c r="AM4519" s="313"/>
      <c r="AN4519" s="313"/>
      <c r="AO4519" s="313"/>
      <c r="AP4519" s="313"/>
      <c r="AQ4519" s="314"/>
      <c r="AR4519" s="315" t="str">
        <f t="shared" si="144"/>
        <v/>
      </c>
    </row>
    <row r="4520" spans="37:44" ht="30" hidden="1" customHeight="1">
      <c r="AK4520" s="313"/>
      <c r="AL4520" s="313"/>
      <c r="AM4520" s="313"/>
      <c r="AN4520" s="313"/>
      <c r="AO4520" s="313"/>
      <c r="AP4520" s="313"/>
      <c r="AQ4520" s="314"/>
      <c r="AR4520" s="315" t="str">
        <f t="shared" si="144"/>
        <v/>
      </c>
    </row>
    <row r="4521" spans="37:44" ht="30" hidden="1" customHeight="1">
      <c r="AK4521" s="313"/>
      <c r="AL4521" s="313"/>
      <c r="AM4521" s="313"/>
      <c r="AN4521" s="313"/>
      <c r="AO4521" s="313"/>
      <c r="AP4521" s="313"/>
      <c r="AQ4521" s="314"/>
      <c r="AR4521" s="315" t="str">
        <f t="shared" si="144"/>
        <v/>
      </c>
    </row>
    <row r="4522" spans="37:44" ht="30" hidden="1" customHeight="1">
      <c r="AK4522" s="313"/>
      <c r="AL4522" s="313"/>
      <c r="AM4522" s="313"/>
      <c r="AN4522" s="313"/>
      <c r="AO4522" s="313"/>
      <c r="AP4522" s="313"/>
      <c r="AQ4522" s="314"/>
      <c r="AR4522" s="315" t="str">
        <f t="shared" si="144"/>
        <v/>
      </c>
    </row>
    <row r="4523" spans="37:44" ht="30" hidden="1" customHeight="1">
      <c r="AK4523" s="313"/>
      <c r="AL4523" s="313"/>
      <c r="AM4523" s="313"/>
      <c r="AN4523" s="313"/>
      <c r="AO4523" s="313"/>
      <c r="AP4523" s="313"/>
      <c r="AQ4523" s="314"/>
      <c r="AR4523" s="315" t="str">
        <f t="shared" si="144"/>
        <v/>
      </c>
    </row>
    <row r="4524" spans="37:44" ht="30" hidden="1" customHeight="1">
      <c r="AK4524" s="313"/>
      <c r="AL4524" s="313"/>
      <c r="AM4524" s="313"/>
      <c r="AN4524" s="313"/>
      <c r="AO4524" s="313"/>
      <c r="AP4524" s="313"/>
      <c r="AQ4524" s="314"/>
      <c r="AR4524" s="315" t="str">
        <f t="shared" si="144"/>
        <v/>
      </c>
    </row>
    <row r="4525" spans="37:44" ht="30" hidden="1" customHeight="1">
      <c r="AK4525" s="313"/>
      <c r="AL4525" s="313"/>
      <c r="AM4525" s="313"/>
      <c r="AN4525" s="313"/>
      <c r="AO4525" s="313"/>
      <c r="AP4525" s="313"/>
      <c r="AQ4525" s="314"/>
      <c r="AR4525" s="315" t="str">
        <f t="shared" si="144"/>
        <v/>
      </c>
    </row>
    <row r="4526" spans="37:44" ht="30" hidden="1" customHeight="1">
      <c r="AK4526" s="313"/>
      <c r="AL4526" s="313"/>
      <c r="AM4526" s="313"/>
      <c r="AN4526" s="313"/>
      <c r="AO4526" s="313"/>
      <c r="AP4526" s="313"/>
      <c r="AQ4526" s="314"/>
      <c r="AR4526" s="315" t="str">
        <f t="shared" si="144"/>
        <v/>
      </c>
    </row>
    <row r="4527" spans="37:44" ht="30" hidden="1" customHeight="1">
      <c r="AK4527" s="313"/>
      <c r="AL4527" s="313"/>
      <c r="AM4527" s="313"/>
      <c r="AN4527" s="313"/>
      <c r="AO4527" s="313"/>
      <c r="AP4527" s="313"/>
      <c r="AQ4527" s="314"/>
      <c r="AR4527" s="315" t="str">
        <f t="shared" si="144"/>
        <v/>
      </c>
    </row>
    <row r="4528" spans="37:44" ht="30" hidden="1" customHeight="1">
      <c r="AK4528" s="313"/>
      <c r="AL4528" s="313"/>
      <c r="AM4528" s="313"/>
      <c r="AN4528" s="313"/>
      <c r="AO4528" s="313"/>
      <c r="AP4528" s="313"/>
      <c r="AQ4528" s="314"/>
      <c r="AR4528" s="315" t="str">
        <f t="shared" si="144"/>
        <v/>
      </c>
    </row>
    <row r="4529" spans="37:44" ht="30" hidden="1" customHeight="1">
      <c r="AK4529" s="313"/>
      <c r="AL4529" s="313"/>
      <c r="AM4529" s="313"/>
      <c r="AN4529" s="313"/>
      <c r="AO4529" s="313"/>
      <c r="AP4529" s="313"/>
      <c r="AQ4529" s="314"/>
      <c r="AR4529" s="315" t="str">
        <f t="shared" si="144"/>
        <v/>
      </c>
    </row>
    <row r="4530" spans="37:44" ht="30" hidden="1" customHeight="1">
      <c r="AK4530" s="313"/>
      <c r="AL4530" s="313"/>
      <c r="AM4530" s="313"/>
      <c r="AN4530" s="313"/>
      <c r="AO4530" s="313"/>
      <c r="AP4530" s="313"/>
      <c r="AQ4530" s="314"/>
      <c r="AR4530" s="315" t="str">
        <f t="shared" si="144"/>
        <v/>
      </c>
    </row>
    <row r="4531" spans="37:44" ht="30" hidden="1" customHeight="1">
      <c r="AK4531" s="313"/>
      <c r="AL4531" s="313"/>
      <c r="AM4531" s="313"/>
      <c r="AN4531" s="313"/>
      <c r="AO4531" s="313"/>
      <c r="AP4531" s="313"/>
      <c r="AQ4531" s="314"/>
      <c r="AR4531" s="315" t="str">
        <f t="shared" si="144"/>
        <v/>
      </c>
    </row>
    <row r="4532" spans="37:44" ht="30" hidden="1" customHeight="1">
      <c r="AK4532" s="313"/>
      <c r="AL4532" s="313"/>
      <c r="AM4532" s="313"/>
      <c r="AN4532" s="313"/>
      <c r="AO4532" s="313"/>
      <c r="AP4532" s="313"/>
      <c r="AQ4532" s="314"/>
      <c r="AR4532" s="315" t="str">
        <f t="shared" si="144"/>
        <v/>
      </c>
    </row>
    <row r="4533" spans="37:44" ht="30" hidden="1" customHeight="1">
      <c r="AK4533" s="313"/>
      <c r="AL4533" s="313"/>
      <c r="AM4533" s="313"/>
      <c r="AN4533" s="313"/>
      <c r="AO4533" s="313"/>
      <c r="AP4533" s="313"/>
      <c r="AQ4533" s="314"/>
      <c r="AR4533" s="315" t="str">
        <f t="shared" si="144"/>
        <v/>
      </c>
    </row>
    <row r="4534" spans="37:44" ht="30" hidden="1" customHeight="1">
      <c r="AK4534" s="313"/>
      <c r="AL4534" s="313"/>
      <c r="AM4534" s="313"/>
      <c r="AN4534" s="313"/>
      <c r="AO4534" s="313"/>
      <c r="AP4534" s="313"/>
      <c r="AQ4534" s="314"/>
      <c r="AR4534" s="315" t="str">
        <f t="shared" si="144"/>
        <v/>
      </c>
    </row>
    <row r="4535" spans="37:44" ht="30" hidden="1" customHeight="1">
      <c r="AK4535" s="313"/>
      <c r="AL4535" s="313"/>
      <c r="AM4535" s="313"/>
      <c r="AN4535" s="313"/>
      <c r="AO4535" s="313"/>
      <c r="AP4535" s="313"/>
      <c r="AQ4535" s="314"/>
      <c r="AR4535" s="315" t="str">
        <f t="shared" si="144"/>
        <v/>
      </c>
    </row>
    <row r="4536" spans="37:44" ht="30" hidden="1" customHeight="1">
      <c r="AK4536" s="313"/>
      <c r="AL4536" s="313"/>
      <c r="AM4536" s="313"/>
      <c r="AN4536" s="313"/>
      <c r="AO4536" s="313"/>
      <c r="AP4536" s="313"/>
      <c r="AQ4536" s="314"/>
      <c r="AR4536" s="315" t="str">
        <f t="shared" si="144"/>
        <v/>
      </c>
    </row>
    <row r="4537" spans="37:44" ht="30" hidden="1" customHeight="1">
      <c r="AK4537" s="313"/>
      <c r="AL4537" s="313"/>
      <c r="AM4537" s="313"/>
      <c r="AN4537" s="313"/>
      <c r="AO4537" s="313"/>
      <c r="AP4537" s="313"/>
      <c r="AQ4537" s="314"/>
      <c r="AR4537" s="315" t="str">
        <f t="shared" si="144"/>
        <v/>
      </c>
    </row>
    <row r="4538" spans="37:44" ht="30" hidden="1" customHeight="1">
      <c r="AK4538" s="313"/>
      <c r="AL4538" s="313"/>
      <c r="AM4538" s="313"/>
      <c r="AN4538" s="313"/>
      <c r="AO4538" s="313"/>
      <c r="AP4538" s="313"/>
      <c r="AQ4538" s="314"/>
      <c r="AR4538" s="315" t="str">
        <f t="shared" si="144"/>
        <v/>
      </c>
    </row>
    <row r="4539" spans="37:44" ht="30" hidden="1" customHeight="1">
      <c r="AK4539" s="313"/>
      <c r="AL4539" s="313"/>
      <c r="AM4539" s="313"/>
      <c r="AN4539" s="313"/>
      <c r="AO4539" s="313"/>
      <c r="AP4539" s="313"/>
      <c r="AQ4539" s="314"/>
      <c r="AR4539" s="315" t="str">
        <f t="shared" si="144"/>
        <v/>
      </c>
    </row>
    <row r="4540" spans="37:44" ht="30" hidden="1" customHeight="1">
      <c r="AK4540" s="313"/>
      <c r="AL4540" s="313"/>
      <c r="AM4540" s="313"/>
      <c r="AN4540" s="313"/>
      <c r="AO4540" s="313"/>
      <c r="AP4540" s="313"/>
      <c r="AQ4540" s="314"/>
      <c r="AR4540" s="315" t="str">
        <f t="shared" si="144"/>
        <v/>
      </c>
    </row>
    <row r="4541" spans="37:44" ht="30" hidden="1" customHeight="1">
      <c r="AK4541" s="313"/>
      <c r="AL4541" s="313"/>
      <c r="AM4541" s="313"/>
      <c r="AN4541" s="313"/>
      <c r="AO4541" s="313"/>
      <c r="AP4541" s="313"/>
      <c r="AQ4541" s="314"/>
      <c r="AR4541" s="315" t="str">
        <f t="shared" si="144"/>
        <v/>
      </c>
    </row>
    <row r="4542" spans="37:44" ht="30" hidden="1" customHeight="1">
      <c r="AK4542" s="313"/>
      <c r="AL4542" s="313"/>
      <c r="AM4542" s="313"/>
      <c r="AN4542" s="313"/>
      <c r="AO4542" s="313"/>
      <c r="AP4542" s="313"/>
      <c r="AQ4542" s="314"/>
      <c r="AR4542" s="315" t="str">
        <f t="shared" si="144"/>
        <v/>
      </c>
    </row>
    <row r="4543" spans="37:44" ht="30" hidden="1" customHeight="1">
      <c r="AK4543" s="313"/>
      <c r="AL4543" s="313"/>
      <c r="AM4543" s="313"/>
      <c r="AN4543" s="313"/>
      <c r="AO4543" s="313"/>
      <c r="AP4543" s="313"/>
      <c r="AQ4543" s="314"/>
      <c r="AR4543" s="315" t="str">
        <f t="shared" ref="AR4543:AR4606" si="145">IF(AQ4543="SIM","AGUARDANDO CORREÇÃO",IF(AP4543&lt;&gt;"","FINALIZADO",IF(AO4543&lt;&gt;"","AGUARDANDO ENVIO DTS",IF(AN4543&lt;&gt;"","AGUARDANDO ASSINATURA GAB",IF(AM4543&lt;&gt;"","AGUARDANDO ASSINATURA CTS",IF(AL4543&lt;&gt;"","AGUARDANDO ENVIO ASSINATURA CTS",IF(AK4543&lt;&gt;"","AGUARDANDO CONFERÊNCIA","")))))))</f>
        <v/>
      </c>
    </row>
    <row r="4544" spans="37:44" ht="30" hidden="1" customHeight="1">
      <c r="AK4544" s="313"/>
      <c r="AL4544" s="313"/>
      <c r="AM4544" s="313"/>
      <c r="AN4544" s="313"/>
      <c r="AO4544" s="313"/>
      <c r="AP4544" s="313"/>
      <c r="AQ4544" s="314"/>
      <c r="AR4544" s="315" t="str">
        <f t="shared" si="145"/>
        <v/>
      </c>
    </row>
    <row r="4545" spans="37:44" ht="30" hidden="1" customHeight="1">
      <c r="AK4545" s="313"/>
      <c r="AL4545" s="313"/>
      <c r="AM4545" s="313"/>
      <c r="AN4545" s="313"/>
      <c r="AO4545" s="313"/>
      <c r="AP4545" s="313"/>
      <c r="AQ4545" s="314"/>
      <c r="AR4545" s="315" t="str">
        <f t="shared" si="145"/>
        <v/>
      </c>
    </row>
    <row r="4546" spans="37:44" ht="30" hidden="1" customHeight="1">
      <c r="AK4546" s="313"/>
      <c r="AL4546" s="313"/>
      <c r="AM4546" s="313"/>
      <c r="AN4546" s="313"/>
      <c r="AO4546" s="313"/>
      <c r="AP4546" s="313"/>
      <c r="AQ4546" s="314"/>
      <c r="AR4546" s="315" t="str">
        <f t="shared" si="145"/>
        <v/>
      </c>
    </row>
    <row r="4547" spans="37:44" ht="30" hidden="1" customHeight="1">
      <c r="AK4547" s="313"/>
      <c r="AL4547" s="313"/>
      <c r="AM4547" s="313"/>
      <c r="AN4547" s="313"/>
      <c r="AO4547" s="313"/>
      <c r="AP4547" s="313"/>
      <c r="AQ4547" s="314"/>
      <c r="AR4547" s="315" t="str">
        <f t="shared" si="145"/>
        <v/>
      </c>
    </row>
    <row r="4548" spans="37:44" ht="30" hidden="1" customHeight="1">
      <c r="AK4548" s="313"/>
      <c r="AL4548" s="313"/>
      <c r="AM4548" s="313"/>
      <c r="AN4548" s="313"/>
      <c r="AO4548" s="313"/>
      <c r="AP4548" s="313"/>
      <c r="AQ4548" s="314"/>
      <c r="AR4548" s="315" t="str">
        <f t="shared" si="145"/>
        <v/>
      </c>
    </row>
    <row r="4549" spans="37:44" ht="30" hidden="1" customHeight="1">
      <c r="AK4549" s="313"/>
      <c r="AL4549" s="313"/>
      <c r="AM4549" s="313"/>
      <c r="AN4549" s="313"/>
      <c r="AO4549" s="313"/>
      <c r="AP4549" s="313"/>
      <c r="AQ4549" s="314"/>
      <c r="AR4549" s="315" t="str">
        <f t="shared" si="145"/>
        <v/>
      </c>
    </row>
    <row r="4550" spans="37:44" ht="30" hidden="1" customHeight="1">
      <c r="AK4550" s="313"/>
      <c r="AL4550" s="313"/>
      <c r="AM4550" s="313"/>
      <c r="AN4550" s="313"/>
      <c r="AO4550" s="313"/>
      <c r="AP4550" s="313"/>
      <c r="AQ4550" s="314"/>
      <c r="AR4550" s="315" t="str">
        <f t="shared" si="145"/>
        <v/>
      </c>
    </row>
    <row r="4551" spans="37:44" ht="30" hidden="1" customHeight="1">
      <c r="AK4551" s="313"/>
      <c r="AL4551" s="313"/>
      <c r="AM4551" s="313"/>
      <c r="AN4551" s="313"/>
      <c r="AO4551" s="313"/>
      <c r="AP4551" s="313"/>
      <c r="AQ4551" s="314"/>
      <c r="AR4551" s="315" t="str">
        <f t="shared" si="145"/>
        <v/>
      </c>
    </row>
    <row r="4552" spans="37:44" ht="30" hidden="1" customHeight="1">
      <c r="AK4552" s="313"/>
      <c r="AL4552" s="313"/>
      <c r="AM4552" s="313"/>
      <c r="AN4552" s="313"/>
      <c r="AO4552" s="313"/>
      <c r="AP4552" s="313"/>
      <c r="AQ4552" s="314"/>
      <c r="AR4552" s="315" t="str">
        <f t="shared" si="145"/>
        <v/>
      </c>
    </row>
    <row r="4553" spans="37:44" ht="30" hidden="1" customHeight="1">
      <c r="AK4553" s="313"/>
      <c r="AL4553" s="313"/>
      <c r="AM4553" s="313"/>
      <c r="AN4553" s="313"/>
      <c r="AO4553" s="313"/>
      <c r="AP4553" s="313"/>
      <c r="AQ4553" s="314"/>
      <c r="AR4553" s="315" t="str">
        <f t="shared" si="145"/>
        <v/>
      </c>
    </row>
    <row r="4554" spans="37:44" ht="30" hidden="1" customHeight="1">
      <c r="AK4554" s="313"/>
      <c r="AL4554" s="313"/>
      <c r="AM4554" s="313"/>
      <c r="AN4554" s="313"/>
      <c r="AO4554" s="313"/>
      <c r="AP4554" s="313"/>
      <c r="AQ4554" s="314"/>
      <c r="AR4554" s="315" t="str">
        <f t="shared" si="145"/>
        <v/>
      </c>
    </row>
    <row r="4555" spans="37:44" ht="30" hidden="1" customHeight="1">
      <c r="AK4555" s="313"/>
      <c r="AL4555" s="313"/>
      <c r="AM4555" s="313"/>
      <c r="AN4555" s="313"/>
      <c r="AO4555" s="313"/>
      <c r="AP4555" s="313"/>
      <c r="AQ4555" s="314"/>
      <c r="AR4555" s="315" t="str">
        <f t="shared" si="145"/>
        <v/>
      </c>
    </row>
    <row r="4556" spans="37:44" ht="30" hidden="1" customHeight="1">
      <c r="AK4556" s="313"/>
      <c r="AL4556" s="313"/>
      <c r="AM4556" s="313"/>
      <c r="AN4556" s="313"/>
      <c r="AO4556" s="313"/>
      <c r="AP4556" s="313"/>
      <c r="AQ4556" s="314"/>
      <c r="AR4556" s="315" t="str">
        <f t="shared" si="145"/>
        <v/>
      </c>
    </row>
    <row r="4557" spans="37:44" ht="30" hidden="1" customHeight="1">
      <c r="AK4557" s="313"/>
      <c r="AL4557" s="313"/>
      <c r="AM4557" s="313"/>
      <c r="AN4557" s="313"/>
      <c r="AO4557" s="313"/>
      <c r="AP4557" s="313"/>
      <c r="AQ4557" s="314"/>
      <c r="AR4557" s="315" t="str">
        <f t="shared" si="145"/>
        <v/>
      </c>
    </row>
    <row r="4558" spans="37:44" ht="30" hidden="1" customHeight="1">
      <c r="AK4558" s="313"/>
      <c r="AL4558" s="313"/>
      <c r="AM4558" s="313"/>
      <c r="AN4558" s="313"/>
      <c r="AO4558" s="313"/>
      <c r="AP4558" s="313"/>
      <c r="AQ4558" s="314"/>
      <c r="AR4558" s="315" t="str">
        <f t="shared" si="145"/>
        <v/>
      </c>
    </row>
    <row r="4559" spans="37:44" ht="30" hidden="1" customHeight="1">
      <c r="AK4559" s="313"/>
      <c r="AL4559" s="313"/>
      <c r="AM4559" s="313"/>
      <c r="AN4559" s="313"/>
      <c r="AO4559" s="313"/>
      <c r="AP4559" s="313"/>
      <c r="AQ4559" s="314"/>
      <c r="AR4559" s="315" t="str">
        <f t="shared" si="145"/>
        <v/>
      </c>
    </row>
    <row r="4560" spans="37:44" ht="30" hidden="1" customHeight="1">
      <c r="AK4560" s="313"/>
      <c r="AL4560" s="313"/>
      <c r="AM4560" s="313"/>
      <c r="AN4560" s="313"/>
      <c r="AO4560" s="313"/>
      <c r="AP4560" s="313"/>
      <c r="AQ4560" s="314"/>
      <c r="AR4560" s="315" t="str">
        <f t="shared" si="145"/>
        <v/>
      </c>
    </row>
    <row r="4561" spans="37:44" ht="30" hidden="1" customHeight="1">
      <c r="AK4561" s="313"/>
      <c r="AL4561" s="313"/>
      <c r="AM4561" s="313"/>
      <c r="AN4561" s="313"/>
      <c r="AO4561" s="313"/>
      <c r="AP4561" s="313"/>
      <c r="AQ4561" s="314"/>
      <c r="AR4561" s="315" t="str">
        <f t="shared" si="145"/>
        <v/>
      </c>
    </row>
    <row r="4562" spans="37:44" ht="30" hidden="1" customHeight="1">
      <c r="AK4562" s="313"/>
      <c r="AL4562" s="313"/>
      <c r="AM4562" s="313"/>
      <c r="AN4562" s="313"/>
      <c r="AO4562" s="313"/>
      <c r="AP4562" s="313"/>
      <c r="AQ4562" s="314"/>
      <c r="AR4562" s="315" t="str">
        <f t="shared" si="145"/>
        <v/>
      </c>
    </row>
    <row r="4563" spans="37:44" ht="30" hidden="1" customHeight="1">
      <c r="AK4563" s="313"/>
      <c r="AL4563" s="313"/>
      <c r="AM4563" s="313"/>
      <c r="AN4563" s="313"/>
      <c r="AO4563" s="313"/>
      <c r="AP4563" s="313"/>
      <c r="AQ4563" s="314"/>
      <c r="AR4563" s="315" t="str">
        <f t="shared" si="145"/>
        <v/>
      </c>
    </row>
    <row r="4564" spans="37:44" ht="30" hidden="1" customHeight="1">
      <c r="AK4564" s="313"/>
      <c r="AL4564" s="313"/>
      <c r="AM4564" s="313"/>
      <c r="AN4564" s="313"/>
      <c r="AO4564" s="313"/>
      <c r="AP4564" s="313"/>
      <c r="AQ4564" s="314"/>
      <c r="AR4564" s="315" t="str">
        <f t="shared" si="145"/>
        <v/>
      </c>
    </row>
    <row r="4565" spans="37:44" ht="30" hidden="1" customHeight="1">
      <c r="AK4565" s="313"/>
      <c r="AL4565" s="313"/>
      <c r="AM4565" s="313"/>
      <c r="AN4565" s="313"/>
      <c r="AO4565" s="313"/>
      <c r="AP4565" s="313"/>
      <c r="AQ4565" s="314"/>
      <c r="AR4565" s="315" t="str">
        <f t="shared" si="145"/>
        <v/>
      </c>
    </row>
    <row r="4566" spans="37:44" ht="30" hidden="1" customHeight="1">
      <c r="AK4566" s="313"/>
      <c r="AL4566" s="313"/>
      <c r="AM4566" s="313"/>
      <c r="AN4566" s="313"/>
      <c r="AO4566" s="313"/>
      <c r="AP4566" s="313"/>
      <c r="AQ4566" s="314"/>
      <c r="AR4566" s="315" t="str">
        <f t="shared" si="145"/>
        <v/>
      </c>
    </row>
    <row r="4567" spans="37:44" ht="30" hidden="1" customHeight="1">
      <c r="AK4567" s="313"/>
      <c r="AL4567" s="313"/>
      <c r="AM4567" s="313"/>
      <c r="AN4567" s="313"/>
      <c r="AO4567" s="313"/>
      <c r="AP4567" s="313"/>
      <c r="AQ4567" s="314"/>
      <c r="AR4567" s="315" t="str">
        <f t="shared" si="145"/>
        <v/>
      </c>
    </row>
    <row r="4568" spans="37:44" ht="30" hidden="1" customHeight="1">
      <c r="AK4568" s="313"/>
      <c r="AL4568" s="313"/>
      <c r="AM4568" s="313"/>
      <c r="AN4568" s="313"/>
      <c r="AO4568" s="313"/>
      <c r="AP4568" s="313"/>
      <c r="AQ4568" s="314"/>
      <c r="AR4568" s="315" t="str">
        <f t="shared" si="145"/>
        <v/>
      </c>
    </row>
    <row r="4569" spans="37:44" ht="30" hidden="1" customHeight="1">
      <c r="AK4569" s="313"/>
      <c r="AL4569" s="313"/>
      <c r="AM4569" s="313"/>
      <c r="AN4569" s="313"/>
      <c r="AO4569" s="313"/>
      <c r="AP4569" s="313"/>
      <c r="AQ4569" s="314"/>
      <c r="AR4569" s="315" t="str">
        <f t="shared" si="145"/>
        <v/>
      </c>
    </row>
    <row r="4570" spans="37:44" ht="30" hidden="1" customHeight="1">
      <c r="AK4570" s="313"/>
      <c r="AL4570" s="313"/>
      <c r="AM4570" s="313"/>
      <c r="AN4570" s="313"/>
      <c r="AO4570" s="313"/>
      <c r="AP4570" s="313"/>
      <c r="AQ4570" s="314"/>
      <c r="AR4570" s="315" t="str">
        <f t="shared" si="145"/>
        <v/>
      </c>
    </row>
    <row r="4571" spans="37:44" ht="30" hidden="1" customHeight="1">
      <c r="AK4571" s="313"/>
      <c r="AL4571" s="313"/>
      <c r="AM4571" s="313"/>
      <c r="AN4571" s="313"/>
      <c r="AO4571" s="313"/>
      <c r="AP4571" s="313"/>
      <c r="AQ4571" s="314"/>
      <c r="AR4571" s="315" t="str">
        <f t="shared" si="145"/>
        <v/>
      </c>
    </row>
    <row r="4572" spans="37:44" ht="30" hidden="1" customHeight="1">
      <c r="AK4572" s="313"/>
      <c r="AL4572" s="313"/>
      <c r="AM4572" s="313"/>
      <c r="AN4572" s="313"/>
      <c r="AO4572" s="313"/>
      <c r="AP4572" s="313"/>
      <c r="AQ4572" s="314"/>
      <c r="AR4572" s="315" t="str">
        <f t="shared" si="145"/>
        <v/>
      </c>
    </row>
    <row r="4573" spans="37:44" ht="30" hidden="1" customHeight="1">
      <c r="AK4573" s="313"/>
      <c r="AL4573" s="313"/>
      <c r="AM4573" s="313"/>
      <c r="AN4573" s="313"/>
      <c r="AO4573" s="313"/>
      <c r="AP4573" s="313"/>
      <c r="AQ4573" s="314"/>
      <c r="AR4573" s="315" t="str">
        <f t="shared" si="145"/>
        <v/>
      </c>
    </row>
    <row r="4574" spans="37:44" ht="30" hidden="1" customHeight="1">
      <c r="AK4574" s="313"/>
      <c r="AL4574" s="313"/>
      <c r="AM4574" s="313"/>
      <c r="AN4574" s="313"/>
      <c r="AO4574" s="313"/>
      <c r="AP4574" s="313"/>
      <c r="AQ4574" s="314"/>
      <c r="AR4574" s="315" t="str">
        <f t="shared" si="145"/>
        <v/>
      </c>
    </row>
    <row r="4575" spans="37:44" ht="30" hidden="1" customHeight="1">
      <c r="AK4575" s="313"/>
      <c r="AL4575" s="313"/>
      <c r="AM4575" s="313"/>
      <c r="AN4575" s="313"/>
      <c r="AO4575" s="313"/>
      <c r="AP4575" s="313"/>
      <c r="AQ4575" s="314"/>
      <c r="AR4575" s="315" t="str">
        <f t="shared" si="145"/>
        <v/>
      </c>
    </row>
    <row r="4576" spans="37:44" ht="30" hidden="1" customHeight="1">
      <c r="AK4576" s="313"/>
      <c r="AL4576" s="313"/>
      <c r="AM4576" s="313"/>
      <c r="AN4576" s="313"/>
      <c r="AO4576" s="313"/>
      <c r="AP4576" s="313"/>
      <c r="AQ4576" s="314"/>
      <c r="AR4576" s="315" t="str">
        <f t="shared" si="145"/>
        <v/>
      </c>
    </row>
    <row r="4577" spans="37:44" ht="30" hidden="1" customHeight="1">
      <c r="AK4577" s="313"/>
      <c r="AL4577" s="313"/>
      <c r="AM4577" s="313"/>
      <c r="AN4577" s="313"/>
      <c r="AO4577" s="313"/>
      <c r="AP4577" s="313"/>
      <c r="AQ4577" s="314"/>
      <c r="AR4577" s="315" t="str">
        <f t="shared" si="145"/>
        <v/>
      </c>
    </row>
    <row r="4578" spans="37:44" ht="30" hidden="1" customHeight="1">
      <c r="AK4578" s="313"/>
      <c r="AL4578" s="313"/>
      <c r="AM4578" s="313"/>
      <c r="AN4578" s="313"/>
      <c r="AO4578" s="313"/>
      <c r="AP4578" s="313"/>
      <c r="AQ4578" s="314"/>
      <c r="AR4578" s="315" t="str">
        <f t="shared" si="145"/>
        <v/>
      </c>
    </row>
    <row r="4579" spans="37:44" ht="30" hidden="1" customHeight="1">
      <c r="AK4579" s="313"/>
      <c r="AL4579" s="313"/>
      <c r="AM4579" s="313"/>
      <c r="AN4579" s="313"/>
      <c r="AO4579" s="313"/>
      <c r="AP4579" s="313"/>
      <c r="AQ4579" s="314"/>
      <c r="AR4579" s="315" t="str">
        <f t="shared" si="145"/>
        <v/>
      </c>
    </row>
    <row r="4580" spans="37:44" ht="30" hidden="1" customHeight="1">
      <c r="AK4580" s="313"/>
      <c r="AL4580" s="313"/>
      <c r="AM4580" s="313"/>
      <c r="AN4580" s="313"/>
      <c r="AO4580" s="313"/>
      <c r="AP4580" s="313"/>
      <c r="AQ4580" s="314"/>
      <c r="AR4580" s="315" t="str">
        <f t="shared" si="145"/>
        <v/>
      </c>
    </row>
    <row r="4581" spans="37:44" ht="30" hidden="1" customHeight="1">
      <c r="AK4581" s="313"/>
      <c r="AL4581" s="313"/>
      <c r="AM4581" s="313"/>
      <c r="AN4581" s="313"/>
      <c r="AO4581" s="313"/>
      <c r="AP4581" s="313"/>
      <c r="AQ4581" s="314"/>
      <c r="AR4581" s="315" t="str">
        <f t="shared" si="145"/>
        <v/>
      </c>
    </row>
    <row r="4582" spans="37:44" ht="30" hidden="1" customHeight="1">
      <c r="AK4582" s="313"/>
      <c r="AL4582" s="313"/>
      <c r="AM4582" s="313"/>
      <c r="AN4582" s="313"/>
      <c r="AO4582" s="313"/>
      <c r="AP4582" s="313"/>
      <c r="AQ4582" s="314"/>
      <c r="AR4582" s="315" t="str">
        <f t="shared" si="145"/>
        <v/>
      </c>
    </row>
    <row r="4583" spans="37:44" ht="30" hidden="1" customHeight="1">
      <c r="AK4583" s="313"/>
      <c r="AL4583" s="313"/>
      <c r="AM4583" s="313"/>
      <c r="AN4583" s="313"/>
      <c r="AO4583" s="313"/>
      <c r="AP4583" s="313"/>
      <c r="AQ4583" s="314"/>
      <c r="AR4583" s="315" t="str">
        <f t="shared" si="145"/>
        <v/>
      </c>
    </row>
    <row r="4584" spans="37:44" ht="30" hidden="1" customHeight="1">
      <c r="AK4584" s="313"/>
      <c r="AL4584" s="313"/>
      <c r="AM4584" s="313"/>
      <c r="AN4584" s="313"/>
      <c r="AO4584" s="313"/>
      <c r="AP4584" s="313"/>
      <c r="AQ4584" s="314"/>
      <c r="AR4584" s="315" t="str">
        <f t="shared" si="145"/>
        <v/>
      </c>
    </row>
    <row r="4585" spans="37:44" ht="30" hidden="1" customHeight="1">
      <c r="AK4585" s="313"/>
      <c r="AL4585" s="313"/>
      <c r="AM4585" s="313"/>
      <c r="AN4585" s="313"/>
      <c r="AO4585" s="313"/>
      <c r="AP4585" s="313"/>
      <c r="AQ4585" s="314"/>
      <c r="AR4585" s="315" t="str">
        <f t="shared" si="145"/>
        <v/>
      </c>
    </row>
    <row r="4586" spans="37:44" ht="30" hidden="1" customHeight="1">
      <c r="AK4586" s="313"/>
      <c r="AL4586" s="313"/>
      <c r="AM4586" s="313"/>
      <c r="AN4586" s="313"/>
      <c r="AO4586" s="313"/>
      <c r="AP4586" s="313"/>
      <c r="AQ4586" s="314"/>
      <c r="AR4586" s="315" t="str">
        <f t="shared" si="145"/>
        <v/>
      </c>
    </row>
    <row r="4587" spans="37:44" ht="30" hidden="1" customHeight="1">
      <c r="AK4587" s="313"/>
      <c r="AL4587" s="313"/>
      <c r="AM4587" s="313"/>
      <c r="AN4587" s="313"/>
      <c r="AO4587" s="313"/>
      <c r="AP4587" s="313"/>
      <c r="AQ4587" s="314"/>
      <c r="AR4587" s="315" t="str">
        <f t="shared" si="145"/>
        <v/>
      </c>
    </row>
    <row r="4588" spans="37:44" ht="30" hidden="1" customHeight="1">
      <c r="AK4588" s="313"/>
      <c r="AL4588" s="313"/>
      <c r="AM4588" s="313"/>
      <c r="AN4588" s="313"/>
      <c r="AO4588" s="313"/>
      <c r="AP4588" s="313"/>
      <c r="AQ4588" s="314"/>
      <c r="AR4588" s="315" t="str">
        <f t="shared" si="145"/>
        <v/>
      </c>
    </row>
    <row r="4589" spans="37:44" ht="30" hidden="1" customHeight="1">
      <c r="AK4589" s="313"/>
      <c r="AL4589" s="313"/>
      <c r="AM4589" s="313"/>
      <c r="AN4589" s="313"/>
      <c r="AO4589" s="313"/>
      <c r="AP4589" s="313"/>
      <c r="AQ4589" s="314"/>
      <c r="AR4589" s="315" t="str">
        <f t="shared" si="145"/>
        <v/>
      </c>
    </row>
    <row r="4590" spans="37:44" ht="30" hidden="1" customHeight="1">
      <c r="AK4590" s="313"/>
      <c r="AL4590" s="313"/>
      <c r="AM4590" s="313"/>
      <c r="AN4590" s="313"/>
      <c r="AO4590" s="313"/>
      <c r="AP4590" s="313"/>
      <c r="AQ4590" s="314"/>
      <c r="AR4590" s="315" t="str">
        <f t="shared" si="145"/>
        <v/>
      </c>
    </row>
    <row r="4591" spans="37:44" ht="30" hidden="1" customHeight="1">
      <c r="AK4591" s="313"/>
      <c r="AL4591" s="313"/>
      <c r="AM4591" s="313"/>
      <c r="AN4591" s="313"/>
      <c r="AO4591" s="313"/>
      <c r="AP4591" s="313"/>
      <c r="AQ4591" s="314"/>
      <c r="AR4591" s="315" t="str">
        <f t="shared" si="145"/>
        <v/>
      </c>
    </row>
    <row r="4592" spans="37:44" ht="30" hidden="1" customHeight="1">
      <c r="AK4592" s="313"/>
      <c r="AL4592" s="313"/>
      <c r="AM4592" s="313"/>
      <c r="AN4592" s="313"/>
      <c r="AO4592" s="313"/>
      <c r="AP4592" s="313"/>
      <c r="AQ4592" s="314"/>
      <c r="AR4592" s="315" t="str">
        <f t="shared" si="145"/>
        <v/>
      </c>
    </row>
    <row r="4593" spans="37:44" ht="30" hidden="1" customHeight="1">
      <c r="AK4593" s="313"/>
      <c r="AL4593" s="313"/>
      <c r="AM4593" s="313"/>
      <c r="AN4593" s="313"/>
      <c r="AO4593" s="313"/>
      <c r="AP4593" s="313"/>
      <c r="AQ4593" s="314"/>
      <c r="AR4593" s="315" t="str">
        <f t="shared" si="145"/>
        <v/>
      </c>
    </row>
    <row r="4594" spans="37:44" ht="30" hidden="1" customHeight="1">
      <c r="AK4594" s="313"/>
      <c r="AL4594" s="313"/>
      <c r="AM4594" s="313"/>
      <c r="AN4594" s="313"/>
      <c r="AO4594" s="313"/>
      <c r="AP4594" s="313"/>
      <c r="AQ4594" s="314"/>
      <c r="AR4594" s="315" t="str">
        <f t="shared" si="145"/>
        <v/>
      </c>
    </row>
    <row r="4595" spans="37:44" ht="30" hidden="1" customHeight="1">
      <c r="AK4595" s="313"/>
      <c r="AL4595" s="313"/>
      <c r="AM4595" s="313"/>
      <c r="AN4595" s="313"/>
      <c r="AO4595" s="313"/>
      <c r="AP4595" s="313"/>
      <c r="AQ4595" s="314"/>
      <c r="AR4595" s="315" t="str">
        <f t="shared" si="145"/>
        <v/>
      </c>
    </row>
    <row r="4596" spans="37:44" ht="30" hidden="1" customHeight="1">
      <c r="AK4596" s="313"/>
      <c r="AL4596" s="313"/>
      <c r="AM4596" s="313"/>
      <c r="AN4596" s="313"/>
      <c r="AO4596" s="313"/>
      <c r="AP4596" s="313"/>
      <c r="AQ4596" s="314"/>
      <c r="AR4596" s="315" t="str">
        <f t="shared" si="145"/>
        <v/>
      </c>
    </row>
    <row r="4597" spans="37:44" ht="30" hidden="1" customHeight="1">
      <c r="AK4597" s="313"/>
      <c r="AL4597" s="313"/>
      <c r="AM4597" s="313"/>
      <c r="AN4597" s="313"/>
      <c r="AO4597" s="313"/>
      <c r="AP4597" s="313"/>
      <c r="AQ4597" s="314"/>
      <c r="AR4597" s="315" t="str">
        <f t="shared" si="145"/>
        <v/>
      </c>
    </row>
    <row r="4598" spans="37:44" ht="30" hidden="1" customHeight="1">
      <c r="AK4598" s="313"/>
      <c r="AL4598" s="313"/>
      <c r="AM4598" s="313"/>
      <c r="AN4598" s="313"/>
      <c r="AO4598" s="313"/>
      <c r="AP4598" s="313"/>
      <c r="AQ4598" s="314"/>
      <c r="AR4598" s="315" t="str">
        <f t="shared" si="145"/>
        <v/>
      </c>
    </row>
    <row r="4599" spans="37:44" ht="30" hidden="1" customHeight="1">
      <c r="AK4599" s="313"/>
      <c r="AL4599" s="313"/>
      <c r="AM4599" s="313"/>
      <c r="AN4599" s="313"/>
      <c r="AO4599" s="313"/>
      <c r="AP4599" s="313"/>
      <c r="AQ4599" s="314"/>
      <c r="AR4599" s="315" t="str">
        <f t="shared" si="145"/>
        <v/>
      </c>
    </row>
    <row r="4600" spans="37:44" ht="30" hidden="1" customHeight="1">
      <c r="AK4600" s="313"/>
      <c r="AL4600" s="313"/>
      <c r="AM4600" s="313"/>
      <c r="AN4600" s="313"/>
      <c r="AO4600" s="313"/>
      <c r="AP4600" s="313"/>
      <c r="AQ4600" s="314"/>
      <c r="AR4600" s="315" t="str">
        <f t="shared" si="145"/>
        <v/>
      </c>
    </row>
    <row r="4601" spans="37:44" ht="30" hidden="1" customHeight="1">
      <c r="AK4601" s="313"/>
      <c r="AL4601" s="313"/>
      <c r="AM4601" s="313"/>
      <c r="AN4601" s="313"/>
      <c r="AO4601" s="313"/>
      <c r="AP4601" s="313"/>
      <c r="AQ4601" s="314"/>
      <c r="AR4601" s="315" t="str">
        <f t="shared" si="145"/>
        <v/>
      </c>
    </row>
    <row r="4602" spans="37:44" ht="30" hidden="1" customHeight="1">
      <c r="AK4602" s="313"/>
      <c r="AL4602" s="313"/>
      <c r="AM4602" s="313"/>
      <c r="AN4602" s="313"/>
      <c r="AO4602" s="313"/>
      <c r="AP4602" s="313"/>
      <c r="AQ4602" s="314"/>
      <c r="AR4602" s="315" t="str">
        <f t="shared" si="145"/>
        <v/>
      </c>
    </row>
    <row r="4603" spans="37:44" ht="30" hidden="1" customHeight="1">
      <c r="AK4603" s="313"/>
      <c r="AL4603" s="313"/>
      <c r="AM4603" s="313"/>
      <c r="AN4603" s="313"/>
      <c r="AO4603" s="313"/>
      <c r="AP4603" s="313"/>
      <c r="AQ4603" s="314"/>
      <c r="AR4603" s="315" t="str">
        <f t="shared" si="145"/>
        <v/>
      </c>
    </row>
    <row r="4604" spans="37:44" ht="30" hidden="1" customHeight="1">
      <c r="AK4604" s="313"/>
      <c r="AL4604" s="313"/>
      <c r="AM4604" s="313"/>
      <c r="AN4604" s="313"/>
      <c r="AO4604" s="313"/>
      <c r="AP4604" s="313"/>
      <c r="AQ4604" s="314"/>
      <c r="AR4604" s="315" t="str">
        <f t="shared" si="145"/>
        <v/>
      </c>
    </row>
    <row r="4605" spans="37:44" ht="30" hidden="1" customHeight="1">
      <c r="AK4605" s="313"/>
      <c r="AL4605" s="313"/>
      <c r="AM4605" s="313"/>
      <c r="AN4605" s="313"/>
      <c r="AO4605" s="313"/>
      <c r="AP4605" s="313"/>
      <c r="AQ4605" s="314"/>
      <c r="AR4605" s="315" t="str">
        <f t="shared" si="145"/>
        <v/>
      </c>
    </row>
    <row r="4606" spans="37:44" ht="30" hidden="1" customHeight="1">
      <c r="AK4606" s="313"/>
      <c r="AL4606" s="313"/>
      <c r="AM4606" s="313"/>
      <c r="AN4606" s="313"/>
      <c r="AO4606" s="313"/>
      <c r="AP4606" s="313"/>
      <c r="AQ4606" s="314"/>
      <c r="AR4606" s="315" t="str">
        <f t="shared" si="145"/>
        <v/>
      </c>
    </row>
    <row r="4607" spans="37:44" ht="30" hidden="1" customHeight="1">
      <c r="AK4607" s="313"/>
      <c r="AL4607" s="313"/>
      <c r="AM4607" s="313"/>
      <c r="AN4607" s="313"/>
      <c r="AO4607" s="313"/>
      <c r="AP4607" s="313"/>
      <c r="AQ4607" s="314"/>
      <c r="AR4607" s="315" t="str">
        <f t="shared" ref="AR4607:AR4670" si="146">IF(AQ4607="SIM","AGUARDANDO CORREÇÃO",IF(AP4607&lt;&gt;"","FINALIZADO",IF(AO4607&lt;&gt;"","AGUARDANDO ENVIO DTS",IF(AN4607&lt;&gt;"","AGUARDANDO ASSINATURA GAB",IF(AM4607&lt;&gt;"","AGUARDANDO ASSINATURA CTS",IF(AL4607&lt;&gt;"","AGUARDANDO ENVIO ASSINATURA CTS",IF(AK4607&lt;&gt;"","AGUARDANDO CONFERÊNCIA","")))))))</f>
        <v/>
      </c>
    </row>
    <row r="4608" spans="37:44" ht="30" hidden="1" customHeight="1">
      <c r="AK4608" s="313"/>
      <c r="AL4608" s="313"/>
      <c r="AM4608" s="313"/>
      <c r="AN4608" s="313"/>
      <c r="AO4608" s="313"/>
      <c r="AP4608" s="313"/>
      <c r="AQ4608" s="314"/>
      <c r="AR4608" s="315" t="str">
        <f t="shared" si="146"/>
        <v/>
      </c>
    </row>
    <row r="4609" spans="37:44" ht="30" hidden="1" customHeight="1">
      <c r="AK4609" s="313"/>
      <c r="AL4609" s="313"/>
      <c r="AM4609" s="313"/>
      <c r="AN4609" s="313"/>
      <c r="AO4609" s="313"/>
      <c r="AP4609" s="313"/>
      <c r="AQ4609" s="314"/>
      <c r="AR4609" s="315" t="str">
        <f t="shared" si="146"/>
        <v/>
      </c>
    </row>
    <row r="4610" spans="37:44" ht="30" hidden="1" customHeight="1">
      <c r="AK4610" s="313"/>
      <c r="AL4610" s="313"/>
      <c r="AM4610" s="313"/>
      <c r="AN4610" s="313"/>
      <c r="AO4610" s="313"/>
      <c r="AP4610" s="313"/>
      <c r="AQ4610" s="314"/>
      <c r="AR4610" s="315" t="str">
        <f t="shared" si="146"/>
        <v/>
      </c>
    </row>
    <row r="4611" spans="37:44" ht="30" hidden="1" customHeight="1">
      <c r="AK4611" s="313"/>
      <c r="AL4611" s="313"/>
      <c r="AM4611" s="313"/>
      <c r="AN4611" s="313"/>
      <c r="AO4611" s="313"/>
      <c r="AP4611" s="313"/>
      <c r="AQ4611" s="314"/>
      <c r="AR4611" s="315" t="str">
        <f t="shared" si="146"/>
        <v/>
      </c>
    </row>
    <row r="4612" spans="37:44" ht="30" hidden="1" customHeight="1">
      <c r="AK4612" s="313"/>
      <c r="AL4612" s="313"/>
      <c r="AM4612" s="313"/>
      <c r="AN4612" s="313"/>
      <c r="AO4612" s="313"/>
      <c r="AP4612" s="313"/>
      <c r="AQ4612" s="314"/>
      <c r="AR4612" s="315" t="str">
        <f t="shared" si="146"/>
        <v/>
      </c>
    </row>
    <row r="4613" spans="37:44" ht="30" hidden="1" customHeight="1">
      <c r="AK4613" s="313"/>
      <c r="AL4613" s="313"/>
      <c r="AM4613" s="313"/>
      <c r="AN4613" s="313"/>
      <c r="AO4613" s="313"/>
      <c r="AP4613" s="313"/>
      <c r="AQ4613" s="314"/>
      <c r="AR4613" s="315" t="str">
        <f t="shared" si="146"/>
        <v/>
      </c>
    </row>
    <row r="4614" spans="37:44" ht="30" hidden="1" customHeight="1">
      <c r="AK4614" s="313"/>
      <c r="AL4614" s="313"/>
      <c r="AM4614" s="313"/>
      <c r="AN4614" s="313"/>
      <c r="AO4614" s="313"/>
      <c r="AP4614" s="313"/>
      <c r="AQ4614" s="314"/>
      <c r="AR4614" s="315" t="str">
        <f t="shared" si="146"/>
        <v/>
      </c>
    </row>
    <row r="4615" spans="37:44" ht="30" hidden="1" customHeight="1">
      <c r="AK4615" s="313"/>
      <c r="AL4615" s="313"/>
      <c r="AM4615" s="313"/>
      <c r="AN4615" s="313"/>
      <c r="AO4615" s="313"/>
      <c r="AP4615" s="313"/>
      <c r="AQ4615" s="314"/>
      <c r="AR4615" s="315" t="str">
        <f t="shared" si="146"/>
        <v/>
      </c>
    </row>
    <row r="4616" spans="37:44" ht="30" hidden="1" customHeight="1">
      <c r="AK4616" s="313"/>
      <c r="AL4616" s="313"/>
      <c r="AM4616" s="313"/>
      <c r="AN4616" s="313"/>
      <c r="AO4616" s="313"/>
      <c r="AP4616" s="313"/>
      <c r="AQ4616" s="314"/>
      <c r="AR4616" s="315" t="str">
        <f t="shared" si="146"/>
        <v/>
      </c>
    </row>
    <row r="4617" spans="37:44" ht="30" hidden="1" customHeight="1">
      <c r="AK4617" s="313"/>
      <c r="AL4617" s="313"/>
      <c r="AM4617" s="313"/>
      <c r="AN4617" s="313"/>
      <c r="AO4617" s="313"/>
      <c r="AP4617" s="313"/>
      <c r="AQ4617" s="314"/>
      <c r="AR4617" s="315" t="str">
        <f t="shared" si="146"/>
        <v/>
      </c>
    </row>
    <row r="4618" spans="37:44" ht="30" hidden="1" customHeight="1">
      <c r="AK4618" s="313"/>
      <c r="AL4618" s="313"/>
      <c r="AM4618" s="313"/>
      <c r="AN4618" s="313"/>
      <c r="AO4618" s="313"/>
      <c r="AP4618" s="313"/>
      <c r="AQ4618" s="314"/>
      <c r="AR4618" s="315" t="str">
        <f t="shared" si="146"/>
        <v/>
      </c>
    </row>
    <row r="4619" spans="37:44" ht="30" hidden="1" customHeight="1">
      <c r="AK4619" s="313"/>
      <c r="AL4619" s="313"/>
      <c r="AM4619" s="313"/>
      <c r="AN4619" s="313"/>
      <c r="AO4619" s="313"/>
      <c r="AP4619" s="313"/>
      <c r="AQ4619" s="314"/>
      <c r="AR4619" s="315" t="str">
        <f t="shared" si="146"/>
        <v/>
      </c>
    </row>
    <row r="4620" spans="37:44" ht="30" hidden="1" customHeight="1">
      <c r="AK4620" s="313"/>
      <c r="AL4620" s="313"/>
      <c r="AM4620" s="313"/>
      <c r="AN4620" s="313"/>
      <c r="AO4620" s="313"/>
      <c r="AP4620" s="313"/>
      <c r="AQ4620" s="314"/>
      <c r="AR4620" s="315" t="str">
        <f t="shared" si="146"/>
        <v/>
      </c>
    </row>
    <row r="4621" spans="37:44" ht="30" hidden="1" customHeight="1">
      <c r="AK4621" s="313"/>
      <c r="AL4621" s="313"/>
      <c r="AM4621" s="313"/>
      <c r="AN4621" s="313"/>
      <c r="AO4621" s="313"/>
      <c r="AP4621" s="313"/>
      <c r="AQ4621" s="314"/>
      <c r="AR4621" s="315" t="str">
        <f t="shared" si="146"/>
        <v/>
      </c>
    </row>
    <row r="4622" spans="37:44" ht="30" hidden="1" customHeight="1">
      <c r="AK4622" s="313"/>
      <c r="AL4622" s="313"/>
      <c r="AM4622" s="313"/>
      <c r="AN4622" s="313"/>
      <c r="AO4622" s="313"/>
      <c r="AP4622" s="313"/>
      <c r="AQ4622" s="314"/>
      <c r="AR4622" s="315" t="str">
        <f t="shared" si="146"/>
        <v/>
      </c>
    </row>
    <row r="4623" spans="37:44" ht="30" hidden="1" customHeight="1">
      <c r="AK4623" s="313"/>
      <c r="AL4623" s="313"/>
      <c r="AM4623" s="313"/>
      <c r="AN4623" s="313"/>
      <c r="AO4623" s="313"/>
      <c r="AP4623" s="313"/>
      <c r="AQ4623" s="314"/>
      <c r="AR4623" s="315" t="str">
        <f t="shared" si="146"/>
        <v/>
      </c>
    </row>
    <row r="4624" spans="37:44" ht="30" hidden="1" customHeight="1">
      <c r="AK4624" s="313"/>
      <c r="AL4624" s="313"/>
      <c r="AM4624" s="313"/>
      <c r="AN4624" s="313"/>
      <c r="AO4624" s="313"/>
      <c r="AP4624" s="313"/>
      <c r="AQ4624" s="314"/>
      <c r="AR4624" s="315" t="str">
        <f t="shared" si="146"/>
        <v/>
      </c>
    </row>
    <row r="4625" spans="37:44" ht="30" hidden="1" customHeight="1">
      <c r="AK4625" s="313"/>
      <c r="AL4625" s="313"/>
      <c r="AM4625" s="313"/>
      <c r="AN4625" s="313"/>
      <c r="AO4625" s="313"/>
      <c r="AP4625" s="313"/>
      <c r="AQ4625" s="314"/>
      <c r="AR4625" s="315" t="str">
        <f t="shared" si="146"/>
        <v/>
      </c>
    </row>
    <row r="4626" spans="37:44" ht="30" hidden="1" customHeight="1">
      <c r="AK4626" s="313"/>
      <c r="AL4626" s="313"/>
      <c r="AM4626" s="313"/>
      <c r="AN4626" s="313"/>
      <c r="AO4626" s="313"/>
      <c r="AP4626" s="313"/>
      <c r="AQ4626" s="314"/>
      <c r="AR4626" s="315" t="str">
        <f t="shared" si="146"/>
        <v/>
      </c>
    </row>
    <row r="4627" spans="37:44" ht="30" hidden="1" customHeight="1">
      <c r="AK4627" s="313"/>
      <c r="AL4627" s="313"/>
      <c r="AM4627" s="313"/>
      <c r="AN4627" s="313"/>
      <c r="AO4627" s="313"/>
      <c r="AP4627" s="313"/>
      <c r="AQ4627" s="314"/>
      <c r="AR4627" s="315" t="str">
        <f t="shared" si="146"/>
        <v/>
      </c>
    </row>
    <row r="4628" spans="37:44" ht="30" hidden="1" customHeight="1">
      <c r="AK4628" s="313"/>
      <c r="AL4628" s="313"/>
      <c r="AM4628" s="313"/>
      <c r="AN4628" s="313"/>
      <c r="AO4628" s="313"/>
      <c r="AP4628" s="313"/>
      <c r="AQ4628" s="314"/>
      <c r="AR4628" s="315" t="str">
        <f t="shared" si="146"/>
        <v/>
      </c>
    </row>
    <row r="4629" spans="37:44" ht="30" hidden="1" customHeight="1">
      <c r="AK4629" s="313"/>
      <c r="AL4629" s="313"/>
      <c r="AM4629" s="313"/>
      <c r="AN4629" s="313"/>
      <c r="AO4629" s="313"/>
      <c r="AP4629" s="313"/>
      <c r="AQ4629" s="314"/>
      <c r="AR4629" s="315" t="str">
        <f t="shared" si="146"/>
        <v/>
      </c>
    </row>
    <row r="4630" spans="37:44" ht="30" hidden="1" customHeight="1">
      <c r="AK4630" s="313"/>
      <c r="AL4630" s="313"/>
      <c r="AM4630" s="313"/>
      <c r="AN4630" s="313"/>
      <c r="AO4630" s="313"/>
      <c r="AP4630" s="313"/>
      <c r="AQ4630" s="314"/>
      <c r="AR4630" s="315" t="str">
        <f t="shared" si="146"/>
        <v/>
      </c>
    </row>
    <row r="4631" spans="37:44" ht="30" hidden="1" customHeight="1">
      <c r="AK4631" s="313"/>
      <c r="AL4631" s="313"/>
      <c r="AM4631" s="313"/>
      <c r="AN4631" s="313"/>
      <c r="AO4631" s="313"/>
      <c r="AP4631" s="313"/>
      <c r="AQ4631" s="314"/>
      <c r="AR4631" s="315" t="str">
        <f t="shared" si="146"/>
        <v/>
      </c>
    </row>
    <row r="4632" spans="37:44" ht="30" hidden="1" customHeight="1">
      <c r="AK4632" s="313"/>
      <c r="AL4632" s="313"/>
      <c r="AM4632" s="313"/>
      <c r="AN4632" s="313"/>
      <c r="AO4632" s="313"/>
      <c r="AP4632" s="313"/>
      <c r="AQ4632" s="314"/>
      <c r="AR4632" s="315" t="str">
        <f t="shared" si="146"/>
        <v/>
      </c>
    </row>
    <row r="4633" spans="37:44" ht="30" hidden="1" customHeight="1">
      <c r="AK4633" s="313"/>
      <c r="AL4633" s="313"/>
      <c r="AM4633" s="313"/>
      <c r="AN4633" s="313"/>
      <c r="AO4633" s="313"/>
      <c r="AP4633" s="313"/>
      <c r="AQ4633" s="314"/>
      <c r="AR4633" s="315" t="str">
        <f t="shared" si="146"/>
        <v/>
      </c>
    </row>
    <row r="4634" spans="37:44" ht="30" hidden="1" customHeight="1">
      <c r="AK4634" s="313"/>
      <c r="AL4634" s="313"/>
      <c r="AM4634" s="313"/>
      <c r="AN4634" s="313"/>
      <c r="AO4634" s="313"/>
      <c r="AP4634" s="313"/>
      <c r="AQ4634" s="314"/>
      <c r="AR4634" s="315" t="str">
        <f t="shared" si="146"/>
        <v/>
      </c>
    </row>
    <row r="4635" spans="37:44" ht="30" hidden="1" customHeight="1">
      <c r="AK4635" s="313"/>
      <c r="AL4635" s="313"/>
      <c r="AM4635" s="313"/>
      <c r="AN4635" s="313"/>
      <c r="AO4635" s="313"/>
      <c r="AP4635" s="313"/>
      <c r="AQ4635" s="314"/>
      <c r="AR4635" s="315" t="str">
        <f t="shared" si="146"/>
        <v/>
      </c>
    </row>
    <row r="4636" spans="37:44" ht="30" hidden="1" customHeight="1">
      <c r="AK4636" s="313"/>
      <c r="AL4636" s="313"/>
      <c r="AM4636" s="313"/>
      <c r="AN4636" s="313"/>
      <c r="AO4636" s="313"/>
      <c r="AP4636" s="313"/>
      <c r="AQ4636" s="314"/>
      <c r="AR4636" s="315" t="str">
        <f t="shared" si="146"/>
        <v/>
      </c>
    </row>
    <row r="4637" spans="37:44" ht="30" hidden="1" customHeight="1">
      <c r="AK4637" s="313"/>
      <c r="AL4637" s="313"/>
      <c r="AM4637" s="313"/>
      <c r="AN4637" s="313"/>
      <c r="AO4637" s="313"/>
      <c r="AP4637" s="313"/>
      <c r="AQ4637" s="314"/>
      <c r="AR4637" s="315" t="str">
        <f t="shared" si="146"/>
        <v/>
      </c>
    </row>
    <row r="4638" spans="37:44" ht="30" hidden="1" customHeight="1">
      <c r="AK4638" s="313"/>
      <c r="AL4638" s="313"/>
      <c r="AM4638" s="313"/>
      <c r="AN4638" s="313"/>
      <c r="AO4638" s="313"/>
      <c r="AP4638" s="313"/>
      <c r="AQ4638" s="314"/>
      <c r="AR4638" s="315" t="str">
        <f t="shared" si="146"/>
        <v/>
      </c>
    </row>
    <row r="4639" spans="37:44" ht="30" hidden="1" customHeight="1">
      <c r="AK4639" s="313"/>
      <c r="AL4639" s="313"/>
      <c r="AM4639" s="313"/>
      <c r="AN4639" s="313"/>
      <c r="AO4639" s="313"/>
      <c r="AP4639" s="313"/>
      <c r="AQ4639" s="314"/>
      <c r="AR4639" s="315" t="str">
        <f t="shared" si="146"/>
        <v/>
      </c>
    </row>
    <row r="4640" spans="37:44" ht="30" hidden="1" customHeight="1">
      <c r="AK4640" s="313"/>
      <c r="AL4640" s="313"/>
      <c r="AM4640" s="313"/>
      <c r="AN4640" s="313"/>
      <c r="AO4640" s="313"/>
      <c r="AP4640" s="313"/>
      <c r="AQ4640" s="314"/>
      <c r="AR4640" s="315" t="str">
        <f t="shared" si="146"/>
        <v/>
      </c>
    </row>
    <row r="4641" spans="37:44" ht="30" hidden="1" customHeight="1">
      <c r="AK4641" s="313"/>
      <c r="AL4641" s="313"/>
      <c r="AM4641" s="313"/>
      <c r="AN4641" s="313"/>
      <c r="AO4641" s="313"/>
      <c r="AP4641" s="313"/>
      <c r="AQ4641" s="314"/>
      <c r="AR4641" s="315" t="str">
        <f t="shared" si="146"/>
        <v/>
      </c>
    </row>
    <row r="4642" spans="37:44" ht="30" hidden="1" customHeight="1">
      <c r="AK4642" s="313"/>
      <c r="AL4642" s="313"/>
      <c r="AM4642" s="313"/>
      <c r="AN4642" s="313"/>
      <c r="AO4642" s="313"/>
      <c r="AP4642" s="313"/>
      <c r="AQ4642" s="314"/>
      <c r="AR4642" s="315" t="str">
        <f t="shared" si="146"/>
        <v/>
      </c>
    </row>
    <row r="4643" spans="37:44" ht="30" hidden="1" customHeight="1">
      <c r="AK4643" s="313"/>
      <c r="AL4643" s="313"/>
      <c r="AM4643" s="313"/>
      <c r="AN4643" s="313"/>
      <c r="AO4643" s="313"/>
      <c r="AP4643" s="313"/>
      <c r="AQ4643" s="314"/>
      <c r="AR4643" s="315" t="str">
        <f t="shared" si="146"/>
        <v/>
      </c>
    </row>
    <row r="4644" spans="37:44" ht="30" hidden="1" customHeight="1">
      <c r="AK4644" s="313"/>
      <c r="AL4644" s="313"/>
      <c r="AM4644" s="313"/>
      <c r="AN4644" s="313"/>
      <c r="AO4644" s="313"/>
      <c r="AP4644" s="313"/>
      <c r="AQ4644" s="314"/>
      <c r="AR4644" s="315" t="str">
        <f t="shared" si="146"/>
        <v/>
      </c>
    </row>
    <row r="4645" spans="37:44" ht="30" hidden="1" customHeight="1">
      <c r="AK4645" s="313"/>
      <c r="AL4645" s="313"/>
      <c r="AM4645" s="313"/>
      <c r="AN4645" s="313"/>
      <c r="AO4645" s="313"/>
      <c r="AP4645" s="313"/>
      <c r="AQ4645" s="314"/>
      <c r="AR4645" s="315" t="str">
        <f t="shared" si="146"/>
        <v/>
      </c>
    </row>
    <row r="4646" spans="37:44" ht="30" hidden="1" customHeight="1">
      <c r="AK4646" s="313"/>
      <c r="AL4646" s="313"/>
      <c r="AM4646" s="313"/>
      <c r="AN4646" s="313"/>
      <c r="AO4646" s="313"/>
      <c r="AP4646" s="313"/>
      <c r="AQ4646" s="314"/>
      <c r="AR4646" s="315" t="str">
        <f t="shared" si="146"/>
        <v/>
      </c>
    </row>
    <row r="4647" spans="37:44" ht="30" hidden="1" customHeight="1">
      <c r="AK4647" s="313"/>
      <c r="AL4647" s="313"/>
      <c r="AM4647" s="313"/>
      <c r="AN4647" s="313"/>
      <c r="AO4647" s="313"/>
      <c r="AP4647" s="313"/>
      <c r="AQ4647" s="314"/>
      <c r="AR4647" s="315" t="str">
        <f t="shared" si="146"/>
        <v/>
      </c>
    </row>
    <row r="4648" spans="37:44" ht="30" hidden="1" customHeight="1">
      <c r="AK4648" s="313"/>
      <c r="AL4648" s="313"/>
      <c r="AM4648" s="313"/>
      <c r="AN4648" s="313"/>
      <c r="AO4648" s="313"/>
      <c r="AP4648" s="313"/>
      <c r="AQ4648" s="314"/>
      <c r="AR4648" s="315" t="str">
        <f t="shared" si="146"/>
        <v/>
      </c>
    </row>
    <row r="4649" spans="37:44" ht="30" hidden="1" customHeight="1">
      <c r="AK4649" s="313"/>
      <c r="AL4649" s="313"/>
      <c r="AM4649" s="313"/>
      <c r="AN4649" s="313"/>
      <c r="AO4649" s="313"/>
      <c r="AP4649" s="313"/>
      <c r="AQ4649" s="314"/>
      <c r="AR4649" s="315" t="str">
        <f t="shared" si="146"/>
        <v/>
      </c>
    </row>
    <row r="4650" spans="37:44" ht="30" hidden="1" customHeight="1">
      <c r="AK4650" s="313"/>
      <c r="AL4650" s="313"/>
      <c r="AM4650" s="313"/>
      <c r="AN4650" s="313"/>
      <c r="AO4650" s="313"/>
      <c r="AP4650" s="313"/>
      <c r="AQ4650" s="314"/>
      <c r="AR4650" s="315" t="str">
        <f t="shared" si="146"/>
        <v/>
      </c>
    </row>
    <row r="4651" spans="37:44" ht="30" hidden="1" customHeight="1">
      <c r="AK4651" s="313"/>
      <c r="AL4651" s="313"/>
      <c r="AM4651" s="313"/>
      <c r="AN4651" s="313"/>
      <c r="AO4651" s="313"/>
      <c r="AP4651" s="313"/>
      <c r="AQ4651" s="314"/>
      <c r="AR4651" s="315" t="str">
        <f t="shared" si="146"/>
        <v/>
      </c>
    </row>
    <row r="4652" spans="37:44" ht="30" hidden="1" customHeight="1">
      <c r="AK4652" s="313"/>
      <c r="AL4652" s="313"/>
      <c r="AM4652" s="313"/>
      <c r="AN4652" s="313"/>
      <c r="AO4652" s="313"/>
      <c r="AP4652" s="313"/>
      <c r="AQ4652" s="314"/>
      <c r="AR4652" s="315" t="str">
        <f t="shared" si="146"/>
        <v/>
      </c>
    </row>
    <row r="4653" spans="37:44" ht="30" hidden="1" customHeight="1">
      <c r="AK4653" s="313"/>
      <c r="AL4653" s="313"/>
      <c r="AM4653" s="313"/>
      <c r="AN4653" s="313"/>
      <c r="AO4653" s="313"/>
      <c r="AP4653" s="313"/>
      <c r="AQ4653" s="314"/>
      <c r="AR4653" s="315" t="str">
        <f t="shared" si="146"/>
        <v/>
      </c>
    </row>
    <row r="4654" spans="37:44" ht="30" hidden="1" customHeight="1">
      <c r="AK4654" s="313"/>
      <c r="AL4654" s="313"/>
      <c r="AM4654" s="313"/>
      <c r="AN4654" s="313"/>
      <c r="AO4654" s="313"/>
      <c r="AP4654" s="313"/>
      <c r="AQ4654" s="314"/>
      <c r="AR4654" s="315" t="str">
        <f t="shared" si="146"/>
        <v/>
      </c>
    </row>
    <row r="4655" spans="37:44" ht="30" hidden="1" customHeight="1">
      <c r="AK4655" s="313"/>
      <c r="AL4655" s="313"/>
      <c r="AM4655" s="313"/>
      <c r="AN4655" s="313"/>
      <c r="AO4655" s="313"/>
      <c r="AP4655" s="313"/>
      <c r="AQ4655" s="314"/>
      <c r="AR4655" s="315" t="str">
        <f t="shared" si="146"/>
        <v/>
      </c>
    </row>
    <row r="4656" spans="37:44" ht="30" hidden="1" customHeight="1">
      <c r="AK4656" s="313"/>
      <c r="AL4656" s="313"/>
      <c r="AM4656" s="313"/>
      <c r="AN4656" s="313"/>
      <c r="AO4656" s="313"/>
      <c r="AP4656" s="313"/>
      <c r="AQ4656" s="314"/>
      <c r="AR4656" s="315" t="str">
        <f t="shared" si="146"/>
        <v/>
      </c>
    </row>
    <row r="4657" spans="37:44" ht="30" hidden="1" customHeight="1">
      <c r="AK4657" s="313"/>
      <c r="AL4657" s="313"/>
      <c r="AM4657" s="313"/>
      <c r="AN4657" s="313"/>
      <c r="AO4657" s="313"/>
      <c r="AP4657" s="313"/>
      <c r="AQ4657" s="314"/>
      <c r="AR4657" s="315" t="str">
        <f t="shared" si="146"/>
        <v/>
      </c>
    </row>
    <row r="4658" spans="37:44" ht="30" hidden="1" customHeight="1">
      <c r="AK4658" s="313"/>
      <c r="AL4658" s="313"/>
      <c r="AM4658" s="313"/>
      <c r="AN4658" s="313"/>
      <c r="AO4658" s="313"/>
      <c r="AP4658" s="313"/>
      <c r="AQ4658" s="314"/>
      <c r="AR4658" s="315" t="str">
        <f t="shared" si="146"/>
        <v/>
      </c>
    </row>
    <row r="4659" spans="37:44" ht="30" hidden="1" customHeight="1">
      <c r="AK4659" s="313"/>
      <c r="AL4659" s="313"/>
      <c r="AM4659" s="313"/>
      <c r="AN4659" s="313"/>
      <c r="AO4659" s="313"/>
      <c r="AP4659" s="313"/>
      <c r="AQ4659" s="314"/>
      <c r="AR4659" s="315" t="str">
        <f t="shared" si="146"/>
        <v/>
      </c>
    </row>
    <row r="4660" spans="37:44" ht="30" hidden="1" customHeight="1">
      <c r="AK4660" s="313"/>
      <c r="AL4660" s="313"/>
      <c r="AM4660" s="313"/>
      <c r="AN4660" s="313"/>
      <c r="AO4660" s="313"/>
      <c r="AP4660" s="313"/>
      <c r="AQ4660" s="314"/>
      <c r="AR4660" s="315" t="str">
        <f t="shared" si="146"/>
        <v/>
      </c>
    </row>
    <row r="4661" spans="37:44" ht="30" hidden="1" customHeight="1">
      <c r="AK4661" s="313"/>
      <c r="AL4661" s="313"/>
      <c r="AM4661" s="313"/>
      <c r="AN4661" s="313"/>
      <c r="AO4661" s="313"/>
      <c r="AP4661" s="313"/>
      <c r="AQ4661" s="314"/>
      <c r="AR4661" s="315" t="str">
        <f t="shared" si="146"/>
        <v/>
      </c>
    </row>
    <row r="4662" spans="37:44" ht="30" hidden="1" customHeight="1">
      <c r="AK4662" s="313"/>
      <c r="AL4662" s="313"/>
      <c r="AM4662" s="313"/>
      <c r="AN4662" s="313"/>
      <c r="AO4662" s="313"/>
      <c r="AP4662" s="313"/>
      <c r="AQ4662" s="314"/>
      <c r="AR4662" s="315" t="str">
        <f t="shared" si="146"/>
        <v/>
      </c>
    </row>
    <row r="4663" spans="37:44" ht="30" hidden="1" customHeight="1">
      <c r="AK4663" s="313"/>
      <c r="AL4663" s="313"/>
      <c r="AM4663" s="313"/>
      <c r="AN4663" s="313"/>
      <c r="AO4663" s="313"/>
      <c r="AP4663" s="313"/>
      <c r="AQ4663" s="314"/>
      <c r="AR4663" s="315" t="str">
        <f t="shared" si="146"/>
        <v/>
      </c>
    </row>
    <row r="4664" spans="37:44" ht="30" hidden="1" customHeight="1">
      <c r="AK4664" s="313"/>
      <c r="AL4664" s="313"/>
      <c r="AM4664" s="313"/>
      <c r="AN4664" s="313"/>
      <c r="AO4664" s="313"/>
      <c r="AP4664" s="313"/>
      <c r="AQ4664" s="314"/>
      <c r="AR4664" s="315" t="str">
        <f t="shared" si="146"/>
        <v/>
      </c>
    </row>
    <row r="4665" spans="37:44" ht="30" hidden="1" customHeight="1">
      <c r="AK4665" s="313"/>
      <c r="AL4665" s="313"/>
      <c r="AM4665" s="313"/>
      <c r="AN4665" s="313"/>
      <c r="AO4665" s="313"/>
      <c r="AP4665" s="313"/>
      <c r="AQ4665" s="314"/>
      <c r="AR4665" s="315" t="str">
        <f t="shared" si="146"/>
        <v/>
      </c>
    </row>
    <row r="4666" spans="37:44" ht="30" hidden="1" customHeight="1">
      <c r="AK4666" s="313"/>
      <c r="AL4666" s="313"/>
      <c r="AM4666" s="313"/>
      <c r="AN4666" s="313"/>
      <c r="AO4666" s="313"/>
      <c r="AP4666" s="313"/>
      <c r="AQ4666" s="314"/>
      <c r="AR4666" s="315" t="str">
        <f t="shared" si="146"/>
        <v/>
      </c>
    </row>
    <row r="4667" spans="37:44" ht="30" hidden="1" customHeight="1">
      <c r="AK4667" s="313"/>
      <c r="AL4667" s="313"/>
      <c r="AM4667" s="313"/>
      <c r="AN4667" s="313"/>
      <c r="AO4667" s="313"/>
      <c r="AP4667" s="313"/>
      <c r="AQ4667" s="314"/>
      <c r="AR4667" s="315" t="str">
        <f t="shared" si="146"/>
        <v/>
      </c>
    </row>
    <row r="4668" spans="37:44" ht="30" hidden="1" customHeight="1">
      <c r="AK4668" s="313"/>
      <c r="AL4668" s="313"/>
      <c r="AM4668" s="313"/>
      <c r="AN4668" s="313"/>
      <c r="AO4668" s="313"/>
      <c r="AP4668" s="313"/>
      <c r="AQ4668" s="314"/>
      <c r="AR4668" s="315" t="str">
        <f t="shared" si="146"/>
        <v/>
      </c>
    </row>
    <row r="4669" spans="37:44" ht="30" hidden="1" customHeight="1">
      <c r="AK4669" s="313"/>
      <c r="AL4669" s="313"/>
      <c r="AM4669" s="313"/>
      <c r="AN4669" s="313"/>
      <c r="AO4669" s="313"/>
      <c r="AP4669" s="313"/>
      <c r="AQ4669" s="314"/>
      <c r="AR4669" s="315" t="str">
        <f t="shared" si="146"/>
        <v/>
      </c>
    </row>
    <row r="4670" spans="37:44" ht="30" hidden="1" customHeight="1">
      <c r="AK4670" s="313"/>
      <c r="AL4670" s="313"/>
      <c r="AM4670" s="313"/>
      <c r="AN4670" s="313"/>
      <c r="AO4670" s="313"/>
      <c r="AP4670" s="313"/>
      <c r="AQ4670" s="314"/>
      <c r="AR4670" s="315" t="str">
        <f t="shared" si="146"/>
        <v/>
      </c>
    </row>
    <row r="4671" spans="37:44" ht="30" hidden="1" customHeight="1">
      <c r="AK4671" s="313"/>
      <c r="AL4671" s="313"/>
      <c r="AM4671" s="313"/>
      <c r="AN4671" s="313"/>
      <c r="AO4671" s="313"/>
      <c r="AP4671" s="313"/>
      <c r="AQ4671" s="314"/>
      <c r="AR4671" s="315" t="str">
        <f t="shared" ref="AR4671:AR4734" si="147">IF(AQ4671="SIM","AGUARDANDO CORREÇÃO",IF(AP4671&lt;&gt;"","FINALIZADO",IF(AO4671&lt;&gt;"","AGUARDANDO ENVIO DTS",IF(AN4671&lt;&gt;"","AGUARDANDO ASSINATURA GAB",IF(AM4671&lt;&gt;"","AGUARDANDO ASSINATURA CTS",IF(AL4671&lt;&gt;"","AGUARDANDO ENVIO ASSINATURA CTS",IF(AK4671&lt;&gt;"","AGUARDANDO CONFERÊNCIA","")))))))</f>
        <v/>
      </c>
    </row>
    <row r="4672" spans="37:44" ht="30" hidden="1" customHeight="1">
      <c r="AK4672" s="313"/>
      <c r="AL4672" s="313"/>
      <c r="AM4672" s="313"/>
      <c r="AN4672" s="313"/>
      <c r="AO4672" s="313"/>
      <c r="AP4672" s="313"/>
      <c r="AQ4672" s="314"/>
      <c r="AR4672" s="315" t="str">
        <f t="shared" si="147"/>
        <v/>
      </c>
    </row>
    <row r="4673" spans="37:44" ht="30" hidden="1" customHeight="1">
      <c r="AK4673" s="313"/>
      <c r="AL4673" s="313"/>
      <c r="AM4673" s="313"/>
      <c r="AN4673" s="313"/>
      <c r="AO4673" s="313"/>
      <c r="AP4673" s="313"/>
      <c r="AQ4673" s="314"/>
      <c r="AR4673" s="315" t="str">
        <f t="shared" si="147"/>
        <v/>
      </c>
    </row>
    <row r="4674" spans="37:44" ht="30" hidden="1" customHeight="1">
      <c r="AK4674" s="313"/>
      <c r="AL4674" s="313"/>
      <c r="AM4674" s="313"/>
      <c r="AN4674" s="313"/>
      <c r="AO4674" s="313"/>
      <c r="AP4674" s="313"/>
      <c r="AQ4674" s="314"/>
      <c r="AR4674" s="315" t="str">
        <f t="shared" si="147"/>
        <v/>
      </c>
    </row>
    <row r="4675" spans="37:44" ht="30" hidden="1" customHeight="1">
      <c r="AK4675" s="313"/>
      <c r="AL4675" s="313"/>
      <c r="AM4675" s="313"/>
      <c r="AN4675" s="313"/>
      <c r="AO4675" s="313"/>
      <c r="AP4675" s="313"/>
      <c r="AQ4675" s="314"/>
      <c r="AR4675" s="315" t="str">
        <f t="shared" si="147"/>
        <v/>
      </c>
    </row>
    <row r="4676" spans="37:44" ht="30" hidden="1" customHeight="1">
      <c r="AK4676" s="313"/>
      <c r="AL4676" s="313"/>
      <c r="AM4676" s="313"/>
      <c r="AN4676" s="313"/>
      <c r="AO4676" s="313"/>
      <c r="AP4676" s="313"/>
      <c r="AQ4676" s="314"/>
      <c r="AR4676" s="315" t="str">
        <f t="shared" si="147"/>
        <v/>
      </c>
    </row>
    <row r="4677" spans="37:44" ht="30" hidden="1" customHeight="1">
      <c r="AK4677" s="313"/>
      <c r="AL4677" s="313"/>
      <c r="AM4677" s="313"/>
      <c r="AN4677" s="313"/>
      <c r="AO4677" s="313"/>
      <c r="AP4677" s="313"/>
      <c r="AQ4677" s="314"/>
      <c r="AR4677" s="315" t="str">
        <f t="shared" si="147"/>
        <v/>
      </c>
    </row>
    <row r="4678" spans="37:44" ht="30" hidden="1" customHeight="1">
      <c r="AK4678" s="313"/>
      <c r="AL4678" s="313"/>
      <c r="AM4678" s="313"/>
      <c r="AN4678" s="313"/>
      <c r="AO4678" s="313"/>
      <c r="AP4678" s="313"/>
      <c r="AQ4678" s="314"/>
      <c r="AR4678" s="315" t="str">
        <f t="shared" si="147"/>
        <v/>
      </c>
    </row>
    <row r="4679" spans="37:44" ht="30" hidden="1" customHeight="1">
      <c r="AK4679" s="313"/>
      <c r="AL4679" s="313"/>
      <c r="AM4679" s="313"/>
      <c r="AN4679" s="313"/>
      <c r="AO4679" s="313"/>
      <c r="AP4679" s="313"/>
      <c r="AQ4679" s="314"/>
      <c r="AR4679" s="315" t="str">
        <f t="shared" si="147"/>
        <v/>
      </c>
    </row>
    <row r="4680" spans="37:44" ht="30" hidden="1" customHeight="1">
      <c r="AK4680" s="313"/>
      <c r="AL4680" s="313"/>
      <c r="AM4680" s="313"/>
      <c r="AN4680" s="313"/>
      <c r="AO4680" s="313"/>
      <c r="AP4680" s="313"/>
      <c r="AQ4680" s="314"/>
      <c r="AR4680" s="315" t="str">
        <f t="shared" si="147"/>
        <v/>
      </c>
    </row>
    <row r="4681" spans="37:44" ht="30" hidden="1" customHeight="1">
      <c r="AK4681" s="313"/>
      <c r="AL4681" s="313"/>
      <c r="AM4681" s="313"/>
      <c r="AN4681" s="313"/>
      <c r="AO4681" s="313"/>
      <c r="AP4681" s="313"/>
      <c r="AQ4681" s="314"/>
      <c r="AR4681" s="315" t="str">
        <f t="shared" si="147"/>
        <v/>
      </c>
    </row>
    <row r="4682" spans="37:44" ht="30" hidden="1" customHeight="1">
      <c r="AK4682" s="313"/>
      <c r="AL4682" s="313"/>
      <c r="AM4682" s="313"/>
      <c r="AN4682" s="313"/>
      <c r="AO4682" s="313"/>
      <c r="AP4682" s="313"/>
      <c r="AQ4682" s="314"/>
      <c r="AR4682" s="315" t="str">
        <f t="shared" si="147"/>
        <v/>
      </c>
    </row>
    <row r="4683" spans="37:44" ht="30" hidden="1" customHeight="1">
      <c r="AK4683" s="313"/>
      <c r="AL4683" s="313"/>
      <c r="AM4683" s="313"/>
      <c r="AN4683" s="313"/>
      <c r="AO4683" s="313"/>
      <c r="AP4683" s="313"/>
      <c r="AQ4683" s="314"/>
      <c r="AR4683" s="315" t="str">
        <f t="shared" si="147"/>
        <v/>
      </c>
    </row>
    <row r="4684" spans="37:44" ht="30" hidden="1" customHeight="1">
      <c r="AK4684" s="313"/>
      <c r="AL4684" s="313"/>
      <c r="AM4684" s="313"/>
      <c r="AN4684" s="313"/>
      <c r="AO4684" s="313"/>
      <c r="AP4684" s="313"/>
      <c r="AQ4684" s="314"/>
      <c r="AR4684" s="315" t="str">
        <f t="shared" si="147"/>
        <v/>
      </c>
    </row>
    <row r="4685" spans="37:44" ht="30" hidden="1" customHeight="1">
      <c r="AK4685" s="313"/>
      <c r="AL4685" s="313"/>
      <c r="AM4685" s="313"/>
      <c r="AN4685" s="313"/>
      <c r="AO4685" s="313"/>
      <c r="AP4685" s="313"/>
      <c r="AQ4685" s="314"/>
      <c r="AR4685" s="315" t="str">
        <f t="shared" si="147"/>
        <v/>
      </c>
    </row>
    <row r="4686" spans="37:44" ht="30" hidden="1" customHeight="1">
      <c r="AK4686" s="313"/>
      <c r="AL4686" s="313"/>
      <c r="AM4686" s="313"/>
      <c r="AN4686" s="313"/>
      <c r="AO4686" s="313"/>
      <c r="AP4686" s="313"/>
      <c r="AQ4686" s="314"/>
      <c r="AR4686" s="315" t="str">
        <f t="shared" si="147"/>
        <v/>
      </c>
    </row>
    <row r="4687" spans="37:44" ht="30" hidden="1" customHeight="1">
      <c r="AK4687" s="313"/>
      <c r="AL4687" s="313"/>
      <c r="AM4687" s="313"/>
      <c r="AN4687" s="313"/>
      <c r="AO4687" s="313"/>
      <c r="AP4687" s="313"/>
      <c r="AQ4687" s="314"/>
      <c r="AR4687" s="315" t="str">
        <f t="shared" si="147"/>
        <v/>
      </c>
    </row>
    <row r="4688" spans="37:44" ht="30" hidden="1" customHeight="1">
      <c r="AK4688" s="313"/>
      <c r="AL4688" s="313"/>
      <c r="AM4688" s="313"/>
      <c r="AN4688" s="313"/>
      <c r="AO4688" s="313"/>
      <c r="AP4688" s="313"/>
      <c r="AQ4688" s="314"/>
      <c r="AR4688" s="315" t="str">
        <f t="shared" si="147"/>
        <v/>
      </c>
    </row>
    <row r="4689" spans="37:44" ht="30" hidden="1" customHeight="1">
      <c r="AK4689" s="313"/>
      <c r="AL4689" s="313"/>
      <c r="AM4689" s="313"/>
      <c r="AN4689" s="313"/>
      <c r="AO4689" s="313"/>
      <c r="AP4689" s="313"/>
      <c r="AQ4689" s="314"/>
      <c r="AR4689" s="315" t="str">
        <f t="shared" si="147"/>
        <v/>
      </c>
    </row>
    <row r="4690" spans="37:44" ht="30" hidden="1" customHeight="1">
      <c r="AK4690" s="313"/>
      <c r="AL4690" s="313"/>
      <c r="AM4690" s="313"/>
      <c r="AN4690" s="313"/>
      <c r="AO4690" s="313"/>
      <c r="AP4690" s="313"/>
      <c r="AQ4690" s="314"/>
      <c r="AR4690" s="315" t="str">
        <f t="shared" si="147"/>
        <v/>
      </c>
    </row>
    <row r="4691" spans="37:44" ht="30" hidden="1" customHeight="1">
      <c r="AK4691" s="313"/>
      <c r="AL4691" s="313"/>
      <c r="AM4691" s="313"/>
      <c r="AN4691" s="313"/>
      <c r="AO4691" s="313"/>
      <c r="AP4691" s="313"/>
      <c r="AQ4691" s="314"/>
      <c r="AR4691" s="315" t="str">
        <f t="shared" si="147"/>
        <v/>
      </c>
    </row>
    <row r="4692" spans="37:44" ht="30" hidden="1" customHeight="1">
      <c r="AK4692" s="313"/>
      <c r="AL4692" s="313"/>
      <c r="AM4692" s="313"/>
      <c r="AN4692" s="313"/>
      <c r="AO4692" s="313"/>
      <c r="AP4692" s="313"/>
      <c r="AQ4692" s="314"/>
      <c r="AR4692" s="315" t="str">
        <f t="shared" si="147"/>
        <v/>
      </c>
    </row>
    <row r="4693" spans="37:44" ht="30" hidden="1" customHeight="1">
      <c r="AK4693" s="313"/>
      <c r="AL4693" s="313"/>
      <c r="AM4693" s="313"/>
      <c r="AN4693" s="313"/>
      <c r="AO4693" s="313"/>
      <c r="AP4693" s="313"/>
      <c r="AQ4693" s="314"/>
      <c r="AR4693" s="315" t="str">
        <f t="shared" si="147"/>
        <v/>
      </c>
    </row>
    <row r="4694" spans="37:44" ht="30" hidden="1" customHeight="1">
      <c r="AK4694" s="313"/>
      <c r="AL4694" s="313"/>
      <c r="AM4694" s="313"/>
      <c r="AN4694" s="313"/>
      <c r="AO4694" s="313"/>
      <c r="AP4694" s="313"/>
      <c r="AQ4694" s="314"/>
      <c r="AR4694" s="315" t="str">
        <f t="shared" si="147"/>
        <v/>
      </c>
    </row>
    <row r="4695" spans="37:44" ht="30" hidden="1" customHeight="1">
      <c r="AK4695" s="313"/>
      <c r="AL4695" s="313"/>
      <c r="AM4695" s="313"/>
      <c r="AN4695" s="313"/>
      <c r="AO4695" s="313"/>
      <c r="AP4695" s="313"/>
      <c r="AQ4695" s="314"/>
      <c r="AR4695" s="315" t="str">
        <f t="shared" si="147"/>
        <v/>
      </c>
    </row>
    <row r="4696" spans="37:44" ht="30" hidden="1" customHeight="1">
      <c r="AK4696" s="313"/>
      <c r="AL4696" s="313"/>
      <c r="AM4696" s="313"/>
      <c r="AN4696" s="313"/>
      <c r="AO4696" s="313"/>
      <c r="AP4696" s="313"/>
      <c r="AQ4696" s="314"/>
      <c r="AR4696" s="315" t="str">
        <f t="shared" si="147"/>
        <v/>
      </c>
    </row>
    <row r="4697" spans="37:44" ht="30" hidden="1" customHeight="1">
      <c r="AK4697" s="313"/>
      <c r="AL4697" s="313"/>
      <c r="AM4697" s="313"/>
      <c r="AN4697" s="313"/>
      <c r="AO4697" s="313"/>
      <c r="AP4697" s="313"/>
      <c r="AQ4697" s="314"/>
      <c r="AR4697" s="315" t="str">
        <f t="shared" si="147"/>
        <v/>
      </c>
    </row>
    <row r="4698" spans="37:44" ht="30" hidden="1" customHeight="1">
      <c r="AK4698" s="313"/>
      <c r="AL4698" s="313"/>
      <c r="AM4698" s="313"/>
      <c r="AN4698" s="313"/>
      <c r="AO4698" s="313"/>
      <c r="AP4698" s="313"/>
      <c r="AQ4698" s="314"/>
      <c r="AR4698" s="315" t="str">
        <f t="shared" si="147"/>
        <v/>
      </c>
    </row>
    <row r="4699" spans="37:44" ht="30" hidden="1" customHeight="1">
      <c r="AK4699" s="313"/>
      <c r="AL4699" s="313"/>
      <c r="AM4699" s="313"/>
      <c r="AN4699" s="313"/>
      <c r="AO4699" s="313"/>
      <c r="AP4699" s="313"/>
      <c r="AQ4699" s="314"/>
      <c r="AR4699" s="315" t="str">
        <f t="shared" si="147"/>
        <v/>
      </c>
    </row>
    <row r="4700" spans="37:44" ht="30" hidden="1" customHeight="1">
      <c r="AK4700" s="313"/>
      <c r="AL4700" s="313"/>
      <c r="AM4700" s="313"/>
      <c r="AN4700" s="313"/>
      <c r="AO4700" s="313"/>
      <c r="AP4700" s="313"/>
      <c r="AQ4700" s="314"/>
      <c r="AR4700" s="315" t="str">
        <f t="shared" si="147"/>
        <v/>
      </c>
    </row>
    <row r="4701" spans="37:44" ht="30" hidden="1" customHeight="1">
      <c r="AK4701" s="313"/>
      <c r="AL4701" s="313"/>
      <c r="AM4701" s="313"/>
      <c r="AN4701" s="313"/>
      <c r="AO4701" s="313"/>
      <c r="AP4701" s="313"/>
      <c r="AQ4701" s="314"/>
      <c r="AR4701" s="315" t="str">
        <f t="shared" si="147"/>
        <v/>
      </c>
    </row>
    <row r="4702" spans="37:44" ht="30" hidden="1" customHeight="1">
      <c r="AK4702" s="313"/>
      <c r="AL4702" s="313"/>
      <c r="AM4702" s="313"/>
      <c r="AN4702" s="313"/>
      <c r="AO4702" s="313"/>
      <c r="AP4702" s="313"/>
      <c r="AQ4702" s="314"/>
      <c r="AR4702" s="315" t="str">
        <f t="shared" si="147"/>
        <v/>
      </c>
    </row>
    <row r="4703" spans="37:44" ht="30" hidden="1" customHeight="1">
      <c r="AK4703" s="313"/>
      <c r="AL4703" s="313"/>
      <c r="AM4703" s="313"/>
      <c r="AN4703" s="313"/>
      <c r="AO4703" s="313"/>
      <c r="AP4703" s="313"/>
      <c r="AQ4703" s="314"/>
      <c r="AR4703" s="315" t="str">
        <f t="shared" si="147"/>
        <v/>
      </c>
    </row>
    <row r="4704" spans="37:44" ht="30" hidden="1" customHeight="1">
      <c r="AK4704" s="313"/>
      <c r="AL4704" s="313"/>
      <c r="AM4704" s="313"/>
      <c r="AN4704" s="313"/>
      <c r="AO4704" s="313"/>
      <c r="AP4704" s="313"/>
      <c r="AQ4704" s="314"/>
      <c r="AR4704" s="315" t="str">
        <f t="shared" si="147"/>
        <v/>
      </c>
    </row>
    <row r="4705" spans="37:44" ht="30" hidden="1" customHeight="1">
      <c r="AK4705" s="313"/>
      <c r="AL4705" s="313"/>
      <c r="AM4705" s="313"/>
      <c r="AN4705" s="313"/>
      <c r="AO4705" s="313"/>
      <c r="AP4705" s="313"/>
      <c r="AQ4705" s="314"/>
      <c r="AR4705" s="315" t="str">
        <f t="shared" si="147"/>
        <v/>
      </c>
    </row>
    <row r="4706" spans="37:44" ht="30" hidden="1" customHeight="1">
      <c r="AK4706" s="313"/>
      <c r="AL4706" s="313"/>
      <c r="AM4706" s="313"/>
      <c r="AN4706" s="313"/>
      <c r="AO4706" s="313"/>
      <c r="AP4706" s="313"/>
      <c r="AQ4706" s="314"/>
      <c r="AR4706" s="315" t="str">
        <f t="shared" si="147"/>
        <v/>
      </c>
    </row>
    <row r="4707" spans="37:44" ht="30" hidden="1" customHeight="1">
      <c r="AK4707" s="313"/>
      <c r="AL4707" s="313"/>
      <c r="AM4707" s="313"/>
      <c r="AN4707" s="313"/>
      <c r="AO4707" s="313"/>
      <c r="AP4707" s="313"/>
      <c r="AQ4707" s="314"/>
      <c r="AR4707" s="315" t="str">
        <f t="shared" si="147"/>
        <v/>
      </c>
    </row>
    <row r="4708" spans="37:44" ht="30" hidden="1" customHeight="1">
      <c r="AK4708" s="313"/>
      <c r="AL4708" s="313"/>
      <c r="AM4708" s="313"/>
      <c r="AN4708" s="313"/>
      <c r="AO4708" s="313"/>
      <c r="AP4708" s="313"/>
      <c r="AQ4708" s="314"/>
      <c r="AR4708" s="315" t="str">
        <f t="shared" si="147"/>
        <v/>
      </c>
    </row>
    <row r="4709" spans="37:44" ht="30" hidden="1" customHeight="1">
      <c r="AK4709" s="313"/>
      <c r="AL4709" s="313"/>
      <c r="AM4709" s="313"/>
      <c r="AN4709" s="313"/>
      <c r="AO4709" s="313"/>
      <c r="AP4709" s="313"/>
      <c r="AQ4709" s="314"/>
      <c r="AR4709" s="315" t="str">
        <f t="shared" si="147"/>
        <v/>
      </c>
    </row>
    <row r="4710" spans="37:44" ht="30" hidden="1" customHeight="1">
      <c r="AK4710" s="313"/>
      <c r="AL4710" s="313"/>
      <c r="AM4710" s="313"/>
      <c r="AN4710" s="313"/>
      <c r="AO4710" s="313"/>
      <c r="AP4710" s="313"/>
      <c r="AQ4710" s="314"/>
      <c r="AR4710" s="315" t="str">
        <f t="shared" si="147"/>
        <v/>
      </c>
    </row>
    <row r="4711" spans="37:44" ht="30" hidden="1" customHeight="1">
      <c r="AK4711" s="313"/>
      <c r="AL4711" s="313"/>
      <c r="AM4711" s="313"/>
      <c r="AN4711" s="313"/>
      <c r="AO4711" s="313"/>
      <c r="AP4711" s="313"/>
      <c r="AQ4711" s="314"/>
      <c r="AR4711" s="315" t="str">
        <f t="shared" si="147"/>
        <v/>
      </c>
    </row>
    <row r="4712" spans="37:44" ht="30" hidden="1" customHeight="1">
      <c r="AK4712" s="313"/>
      <c r="AL4712" s="313"/>
      <c r="AM4712" s="313"/>
      <c r="AN4712" s="313"/>
      <c r="AO4712" s="313"/>
      <c r="AP4712" s="313"/>
      <c r="AQ4712" s="314"/>
      <c r="AR4712" s="315" t="str">
        <f t="shared" si="147"/>
        <v/>
      </c>
    </row>
    <row r="4713" spans="37:44" ht="30" hidden="1" customHeight="1">
      <c r="AK4713" s="313"/>
      <c r="AL4713" s="313"/>
      <c r="AM4713" s="313"/>
      <c r="AN4713" s="313"/>
      <c r="AO4713" s="313"/>
      <c r="AP4713" s="313"/>
      <c r="AQ4713" s="314"/>
      <c r="AR4713" s="315" t="str">
        <f t="shared" si="147"/>
        <v/>
      </c>
    </row>
    <row r="4714" spans="37:44" ht="30" hidden="1" customHeight="1">
      <c r="AK4714" s="313"/>
      <c r="AL4714" s="313"/>
      <c r="AM4714" s="313"/>
      <c r="AN4714" s="313"/>
      <c r="AO4714" s="313"/>
      <c r="AP4714" s="313"/>
      <c r="AQ4714" s="314"/>
      <c r="AR4714" s="315" t="str">
        <f t="shared" si="147"/>
        <v/>
      </c>
    </row>
    <row r="4715" spans="37:44" ht="30" hidden="1" customHeight="1">
      <c r="AK4715" s="313"/>
      <c r="AL4715" s="313"/>
      <c r="AM4715" s="313"/>
      <c r="AN4715" s="313"/>
      <c r="AO4715" s="313"/>
      <c r="AP4715" s="313"/>
      <c r="AQ4715" s="314"/>
      <c r="AR4715" s="315" t="str">
        <f t="shared" si="147"/>
        <v/>
      </c>
    </row>
    <row r="4716" spans="37:44" ht="30" hidden="1" customHeight="1">
      <c r="AK4716" s="313"/>
      <c r="AL4716" s="313"/>
      <c r="AM4716" s="313"/>
      <c r="AN4716" s="313"/>
      <c r="AO4716" s="313"/>
      <c r="AP4716" s="313"/>
      <c r="AQ4716" s="314"/>
      <c r="AR4716" s="315" t="str">
        <f t="shared" si="147"/>
        <v/>
      </c>
    </row>
    <row r="4717" spans="37:44" ht="30" hidden="1" customHeight="1">
      <c r="AK4717" s="313"/>
      <c r="AL4717" s="313"/>
      <c r="AM4717" s="313"/>
      <c r="AN4717" s="313"/>
      <c r="AO4717" s="313"/>
      <c r="AP4717" s="313"/>
      <c r="AQ4717" s="314"/>
      <c r="AR4717" s="315" t="str">
        <f t="shared" si="147"/>
        <v/>
      </c>
    </row>
    <row r="4718" spans="37:44" ht="30" hidden="1" customHeight="1">
      <c r="AK4718" s="313"/>
      <c r="AL4718" s="313"/>
      <c r="AM4718" s="313"/>
      <c r="AN4718" s="313"/>
      <c r="AO4718" s="313"/>
      <c r="AP4718" s="313"/>
      <c r="AQ4718" s="314"/>
      <c r="AR4718" s="315" t="str">
        <f t="shared" si="147"/>
        <v/>
      </c>
    </row>
    <row r="4719" spans="37:44" ht="30" hidden="1" customHeight="1">
      <c r="AK4719" s="313"/>
      <c r="AL4719" s="313"/>
      <c r="AM4719" s="313"/>
      <c r="AN4719" s="313"/>
      <c r="AO4719" s="313"/>
      <c r="AP4719" s="313"/>
      <c r="AQ4719" s="314"/>
      <c r="AR4719" s="315" t="str">
        <f t="shared" si="147"/>
        <v/>
      </c>
    </row>
    <row r="4720" spans="37:44" ht="30" hidden="1" customHeight="1">
      <c r="AK4720" s="313"/>
      <c r="AL4720" s="313"/>
      <c r="AM4720" s="313"/>
      <c r="AN4720" s="313"/>
      <c r="AO4720" s="313"/>
      <c r="AP4720" s="313"/>
      <c r="AQ4720" s="314"/>
      <c r="AR4720" s="315" t="str">
        <f t="shared" si="147"/>
        <v/>
      </c>
    </row>
    <row r="4721" spans="37:44" ht="30" hidden="1" customHeight="1">
      <c r="AK4721" s="313"/>
      <c r="AL4721" s="313"/>
      <c r="AM4721" s="313"/>
      <c r="AN4721" s="313"/>
      <c r="AO4721" s="313"/>
      <c r="AP4721" s="313"/>
      <c r="AQ4721" s="314"/>
      <c r="AR4721" s="315" t="str">
        <f t="shared" si="147"/>
        <v/>
      </c>
    </row>
    <row r="4722" spans="37:44" ht="30" hidden="1" customHeight="1">
      <c r="AK4722" s="313"/>
      <c r="AL4722" s="313"/>
      <c r="AM4722" s="313"/>
      <c r="AN4722" s="313"/>
      <c r="AO4722" s="313"/>
      <c r="AP4722" s="313"/>
      <c r="AQ4722" s="314"/>
      <c r="AR4722" s="315" t="str">
        <f t="shared" si="147"/>
        <v/>
      </c>
    </row>
    <row r="4723" spans="37:44" ht="30" hidden="1" customHeight="1">
      <c r="AK4723" s="313"/>
      <c r="AL4723" s="313"/>
      <c r="AM4723" s="313"/>
      <c r="AN4723" s="313"/>
      <c r="AO4723" s="313"/>
      <c r="AP4723" s="313"/>
      <c r="AQ4723" s="314"/>
      <c r="AR4723" s="315" t="str">
        <f t="shared" si="147"/>
        <v/>
      </c>
    </row>
    <row r="4724" spans="37:44" ht="30" hidden="1" customHeight="1">
      <c r="AK4724" s="313"/>
      <c r="AL4724" s="313"/>
      <c r="AM4724" s="313"/>
      <c r="AN4724" s="313"/>
      <c r="AO4724" s="313"/>
      <c r="AP4724" s="313"/>
      <c r="AQ4724" s="314"/>
      <c r="AR4724" s="315" t="str">
        <f t="shared" si="147"/>
        <v/>
      </c>
    </row>
    <row r="4725" spans="37:44" ht="30" hidden="1" customHeight="1">
      <c r="AK4725" s="313"/>
      <c r="AL4725" s="313"/>
      <c r="AM4725" s="313"/>
      <c r="AN4725" s="313"/>
      <c r="AO4725" s="313"/>
      <c r="AP4725" s="313"/>
      <c r="AQ4725" s="314"/>
      <c r="AR4725" s="315" t="str">
        <f t="shared" si="147"/>
        <v/>
      </c>
    </row>
    <row r="4726" spans="37:44" ht="30" hidden="1" customHeight="1">
      <c r="AK4726" s="313"/>
      <c r="AL4726" s="313"/>
      <c r="AM4726" s="313"/>
      <c r="AN4726" s="313"/>
      <c r="AO4726" s="313"/>
      <c r="AP4726" s="313"/>
      <c r="AQ4726" s="314"/>
      <c r="AR4726" s="315" t="str">
        <f t="shared" si="147"/>
        <v/>
      </c>
    </row>
    <row r="4727" spans="37:44" ht="30" hidden="1" customHeight="1">
      <c r="AK4727" s="313"/>
      <c r="AL4727" s="313"/>
      <c r="AM4727" s="313"/>
      <c r="AN4727" s="313"/>
      <c r="AO4727" s="313"/>
      <c r="AP4727" s="313"/>
      <c r="AQ4727" s="314"/>
      <c r="AR4727" s="315" t="str">
        <f t="shared" si="147"/>
        <v/>
      </c>
    </row>
    <row r="4728" spans="37:44" ht="30" hidden="1" customHeight="1">
      <c r="AK4728" s="313"/>
      <c r="AL4728" s="313"/>
      <c r="AM4728" s="313"/>
      <c r="AN4728" s="313"/>
      <c r="AO4728" s="313"/>
      <c r="AP4728" s="313"/>
      <c r="AQ4728" s="314"/>
      <c r="AR4728" s="315" t="str">
        <f t="shared" si="147"/>
        <v/>
      </c>
    </row>
    <row r="4729" spans="37:44" ht="30" hidden="1" customHeight="1">
      <c r="AK4729" s="313"/>
      <c r="AL4729" s="313"/>
      <c r="AM4729" s="313"/>
      <c r="AN4729" s="313"/>
      <c r="AO4729" s="313"/>
      <c r="AP4729" s="313"/>
      <c r="AQ4729" s="314"/>
      <c r="AR4729" s="315" t="str">
        <f t="shared" si="147"/>
        <v/>
      </c>
    </row>
    <row r="4730" spans="37:44" ht="30" hidden="1" customHeight="1">
      <c r="AK4730" s="313"/>
      <c r="AL4730" s="313"/>
      <c r="AM4730" s="313"/>
      <c r="AN4730" s="313"/>
      <c r="AO4730" s="313"/>
      <c r="AP4730" s="313"/>
      <c r="AQ4730" s="314"/>
      <c r="AR4730" s="315" t="str">
        <f t="shared" si="147"/>
        <v/>
      </c>
    </row>
    <row r="4731" spans="37:44" ht="30" hidden="1" customHeight="1">
      <c r="AK4731" s="313"/>
      <c r="AL4731" s="313"/>
      <c r="AM4731" s="313"/>
      <c r="AN4731" s="313"/>
      <c r="AO4731" s="313"/>
      <c r="AP4731" s="313"/>
      <c r="AQ4731" s="314"/>
      <c r="AR4731" s="315" t="str">
        <f t="shared" si="147"/>
        <v/>
      </c>
    </row>
    <row r="4732" spans="37:44" ht="30" hidden="1" customHeight="1">
      <c r="AK4732" s="313"/>
      <c r="AL4732" s="313"/>
      <c r="AM4732" s="313"/>
      <c r="AN4732" s="313"/>
      <c r="AO4732" s="313"/>
      <c r="AP4732" s="313"/>
      <c r="AQ4732" s="314"/>
      <c r="AR4732" s="315" t="str">
        <f t="shared" si="147"/>
        <v/>
      </c>
    </row>
    <row r="4733" spans="37:44" ht="30" hidden="1" customHeight="1">
      <c r="AK4733" s="313"/>
      <c r="AL4733" s="313"/>
      <c r="AM4733" s="313"/>
      <c r="AN4733" s="313"/>
      <c r="AO4733" s="313"/>
      <c r="AP4733" s="313"/>
      <c r="AQ4733" s="314"/>
      <c r="AR4733" s="315" t="str">
        <f t="shared" si="147"/>
        <v/>
      </c>
    </row>
    <row r="4734" spans="37:44" ht="30" hidden="1" customHeight="1">
      <c r="AK4734" s="313"/>
      <c r="AL4734" s="313"/>
      <c r="AM4734" s="313"/>
      <c r="AN4734" s="313"/>
      <c r="AO4734" s="313"/>
      <c r="AP4734" s="313"/>
      <c r="AQ4734" s="314"/>
      <c r="AR4734" s="315" t="str">
        <f t="shared" si="147"/>
        <v/>
      </c>
    </row>
    <row r="4735" spans="37:44" ht="30" hidden="1" customHeight="1">
      <c r="AK4735" s="313"/>
      <c r="AL4735" s="313"/>
      <c r="AM4735" s="313"/>
      <c r="AN4735" s="313"/>
      <c r="AO4735" s="313"/>
      <c r="AP4735" s="313"/>
      <c r="AQ4735" s="314"/>
      <c r="AR4735" s="315" t="str">
        <f t="shared" ref="AR4735:AR4798" si="148">IF(AQ4735="SIM","AGUARDANDO CORREÇÃO",IF(AP4735&lt;&gt;"","FINALIZADO",IF(AO4735&lt;&gt;"","AGUARDANDO ENVIO DTS",IF(AN4735&lt;&gt;"","AGUARDANDO ASSINATURA GAB",IF(AM4735&lt;&gt;"","AGUARDANDO ASSINATURA CTS",IF(AL4735&lt;&gt;"","AGUARDANDO ENVIO ASSINATURA CTS",IF(AK4735&lt;&gt;"","AGUARDANDO CONFERÊNCIA","")))))))</f>
        <v/>
      </c>
    </row>
    <row r="4736" spans="37:44" ht="30" hidden="1" customHeight="1">
      <c r="AK4736" s="313"/>
      <c r="AL4736" s="313"/>
      <c r="AM4736" s="313"/>
      <c r="AN4736" s="313"/>
      <c r="AO4736" s="313"/>
      <c r="AP4736" s="313"/>
      <c r="AQ4736" s="314"/>
      <c r="AR4736" s="315" t="str">
        <f t="shared" si="148"/>
        <v/>
      </c>
    </row>
    <row r="4737" spans="37:44" ht="30" hidden="1" customHeight="1">
      <c r="AK4737" s="313"/>
      <c r="AL4737" s="313"/>
      <c r="AM4737" s="313"/>
      <c r="AN4737" s="313"/>
      <c r="AO4737" s="313"/>
      <c r="AP4737" s="313"/>
      <c r="AQ4737" s="314"/>
      <c r="AR4737" s="315" t="str">
        <f t="shared" si="148"/>
        <v/>
      </c>
    </row>
    <row r="4738" spans="37:44" ht="30" hidden="1" customHeight="1">
      <c r="AK4738" s="313"/>
      <c r="AL4738" s="313"/>
      <c r="AM4738" s="313"/>
      <c r="AN4738" s="313"/>
      <c r="AO4738" s="313"/>
      <c r="AP4738" s="313"/>
      <c r="AQ4738" s="314"/>
      <c r="AR4738" s="315" t="str">
        <f t="shared" si="148"/>
        <v/>
      </c>
    </row>
    <row r="4739" spans="37:44" ht="30" hidden="1" customHeight="1">
      <c r="AK4739" s="313"/>
      <c r="AL4739" s="313"/>
      <c r="AM4739" s="313"/>
      <c r="AN4739" s="313"/>
      <c r="AO4739" s="313"/>
      <c r="AP4739" s="313"/>
      <c r="AQ4739" s="314"/>
      <c r="AR4739" s="315" t="str">
        <f t="shared" si="148"/>
        <v/>
      </c>
    </row>
    <row r="4740" spans="37:44" ht="30" hidden="1" customHeight="1">
      <c r="AK4740" s="313"/>
      <c r="AL4740" s="313"/>
      <c r="AM4740" s="313"/>
      <c r="AN4740" s="313"/>
      <c r="AO4740" s="313"/>
      <c r="AP4740" s="313"/>
      <c r="AQ4740" s="314"/>
      <c r="AR4740" s="315" t="str">
        <f t="shared" si="148"/>
        <v/>
      </c>
    </row>
    <row r="4741" spans="37:44" ht="30" hidden="1" customHeight="1">
      <c r="AK4741" s="313"/>
      <c r="AL4741" s="313"/>
      <c r="AM4741" s="313"/>
      <c r="AN4741" s="313"/>
      <c r="AO4741" s="313"/>
      <c r="AP4741" s="313"/>
      <c r="AQ4741" s="314"/>
      <c r="AR4741" s="315" t="str">
        <f t="shared" si="148"/>
        <v/>
      </c>
    </row>
    <row r="4742" spans="37:44" ht="30" hidden="1" customHeight="1">
      <c r="AK4742" s="313"/>
      <c r="AL4742" s="313"/>
      <c r="AM4742" s="313"/>
      <c r="AN4742" s="313"/>
      <c r="AO4742" s="313"/>
      <c r="AP4742" s="313"/>
      <c r="AQ4742" s="314"/>
      <c r="AR4742" s="315" t="str">
        <f t="shared" si="148"/>
        <v/>
      </c>
    </row>
    <row r="4743" spans="37:44" ht="30" hidden="1" customHeight="1">
      <c r="AK4743" s="313"/>
      <c r="AL4743" s="313"/>
      <c r="AM4743" s="313"/>
      <c r="AN4743" s="313"/>
      <c r="AO4743" s="313"/>
      <c r="AP4743" s="313"/>
      <c r="AQ4743" s="314"/>
      <c r="AR4743" s="315" t="str">
        <f t="shared" si="148"/>
        <v/>
      </c>
    </row>
    <row r="4744" spans="37:44" ht="30" hidden="1" customHeight="1">
      <c r="AK4744" s="313"/>
      <c r="AL4744" s="313"/>
      <c r="AM4744" s="313"/>
      <c r="AN4744" s="313"/>
      <c r="AO4744" s="313"/>
      <c r="AP4744" s="313"/>
      <c r="AQ4744" s="314"/>
      <c r="AR4744" s="315" t="str">
        <f t="shared" si="148"/>
        <v/>
      </c>
    </row>
    <row r="4745" spans="37:44" ht="30" hidden="1" customHeight="1">
      <c r="AK4745" s="313"/>
      <c r="AL4745" s="313"/>
      <c r="AM4745" s="313"/>
      <c r="AN4745" s="313"/>
      <c r="AO4745" s="313"/>
      <c r="AP4745" s="313"/>
      <c r="AQ4745" s="314"/>
      <c r="AR4745" s="315" t="str">
        <f t="shared" si="148"/>
        <v/>
      </c>
    </row>
    <row r="4746" spans="37:44" ht="30" hidden="1" customHeight="1">
      <c r="AK4746" s="313"/>
      <c r="AL4746" s="313"/>
      <c r="AM4746" s="313"/>
      <c r="AN4746" s="313"/>
      <c r="AO4746" s="313"/>
      <c r="AP4746" s="313"/>
      <c r="AQ4746" s="314"/>
      <c r="AR4746" s="315" t="str">
        <f t="shared" si="148"/>
        <v/>
      </c>
    </row>
    <row r="4747" spans="37:44" ht="30" hidden="1" customHeight="1">
      <c r="AK4747" s="313"/>
      <c r="AL4747" s="313"/>
      <c r="AM4747" s="313"/>
      <c r="AN4747" s="313"/>
      <c r="AO4747" s="313"/>
      <c r="AP4747" s="313"/>
      <c r="AQ4747" s="314"/>
      <c r="AR4747" s="315" t="str">
        <f t="shared" si="148"/>
        <v/>
      </c>
    </row>
    <row r="4748" spans="37:44" ht="30" hidden="1" customHeight="1">
      <c r="AK4748" s="313"/>
      <c r="AL4748" s="313"/>
      <c r="AM4748" s="313"/>
      <c r="AN4748" s="313"/>
      <c r="AO4748" s="313"/>
      <c r="AP4748" s="313"/>
      <c r="AQ4748" s="314"/>
      <c r="AR4748" s="315" t="str">
        <f t="shared" si="148"/>
        <v/>
      </c>
    </row>
    <row r="4749" spans="37:44" ht="30" hidden="1" customHeight="1">
      <c r="AK4749" s="313"/>
      <c r="AL4749" s="313"/>
      <c r="AM4749" s="313"/>
      <c r="AN4749" s="313"/>
      <c r="AO4749" s="313"/>
      <c r="AP4749" s="313"/>
      <c r="AQ4749" s="314"/>
      <c r="AR4749" s="315" t="str">
        <f t="shared" si="148"/>
        <v/>
      </c>
    </row>
    <row r="4750" spans="37:44" ht="30" hidden="1" customHeight="1">
      <c r="AK4750" s="313"/>
      <c r="AL4750" s="313"/>
      <c r="AM4750" s="313"/>
      <c r="AN4750" s="313"/>
      <c r="AO4750" s="313"/>
      <c r="AP4750" s="313"/>
      <c r="AQ4750" s="314"/>
      <c r="AR4750" s="315" t="str">
        <f t="shared" si="148"/>
        <v/>
      </c>
    </row>
    <row r="4751" spans="37:44" ht="30" hidden="1" customHeight="1">
      <c r="AK4751" s="313"/>
      <c r="AL4751" s="313"/>
      <c r="AM4751" s="313"/>
      <c r="AN4751" s="313"/>
      <c r="AO4751" s="313"/>
      <c r="AP4751" s="313"/>
      <c r="AQ4751" s="314"/>
      <c r="AR4751" s="315" t="str">
        <f t="shared" si="148"/>
        <v/>
      </c>
    </row>
    <row r="4752" spans="37:44" ht="30" hidden="1" customHeight="1">
      <c r="AK4752" s="313"/>
      <c r="AL4752" s="313"/>
      <c r="AM4752" s="313"/>
      <c r="AN4752" s="313"/>
      <c r="AO4752" s="313"/>
      <c r="AP4752" s="313"/>
      <c r="AQ4752" s="314"/>
      <c r="AR4752" s="315" t="str">
        <f t="shared" si="148"/>
        <v/>
      </c>
    </row>
    <row r="4753" spans="37:44" ht="30" hidden="1" customHeight="1">
      <c r="AK4753" s="313"/>
      <c r="AL4753" s="313"/>
      <c r="AM4753" s="313"/>
      <c r="AN4753" s="313"/>
      <c r="AO4753" s="313"/>
      <c r="AP4753" s="313"/>
      <c r="AQ4753" s="314"/>
      <c r="AR4753" s="315" t="str">
        <f t="shared" si="148"/>
        <v/>
      </c>
    </row>
    <row r="4754" spans="37:44" ht="30" hidden="1" customHeight="1">
      <c r="AK4754" s="313"/>
      <c r="AL4754" s="313"/>
      <c r="AM4754" s="313"/>
      <c r="AN4754" s="313"/>
      <c r="AO4754" s="313"/>
      <c r="AP4754" s="313"/>
      <c r="AQ4754" s="314"/>
      <c r="AR4754" s="315" t="str">
        <f t="shared" si="148"/>
        <v/>
      </c>
    </row>
    <row r="4755" spans="37:44" ht="30" hidden="1" customHeight="1">
      <c r="AK4755" s="313"/>
      <c r="AL4755" s="313"/>
      <c r="AM4755" s="313"/>
      <c r="AN4755" s="313"/>
      <c r="AO4755" s="313"/>
      <c r="AP4755" s="313"/>
      <c r="AQ4755" s="314"/>
      <c r="AR4755" s="315" t="str">
        <f t="shared" si="148"/>
        <v/>
      </c>
    </row>
    <row r="4756" spans="37:44" ht="30" hidden="1" customHeight="1">
      <c r="AK4756" s="313"/>
      <c r="AL4756" s="313"/>
      <c r="AM4756" s="313"/>
      <c r="AN4756" s="313"/>
      <c r="AO4756" s="313"/>
      <c r="AP4756" s="313"/>
      <c r="AQ4756" s="314"/>
      <c r="AR4756" s="315" t="str">
        <f t="shared" si="148"/>
        <v/>
      </c>
    </row>
    <row r="4757" spans="37:44" ht="30" hidden="1" customHeight="1">
      <c r="AK4757" s="313"/>
      <c r="AL4757" s="313"/>
      <c r="AM4757" s="313"/>
      <c r="AN4757" s="313"/>
      <c r="AO4757" s="313"/>
      <c r="AP4757" s="313"/>
      <c r="AQ4757" s="314"/>
      <c r="AR4757" s="315" t="str">
        <f t="shared" si="148"/>
        <v/>
      </c>
    </row>
    <row r="4758" spans="37:44" ht="30" hidden="1" customHeight="1">
      <c r="AK4758" s="313"/>
      <c r="AL4758" s="313"/>
      <c r="AM4758" s="313"/>
      <c r="AN4758" s="313"/>
      <c r="AO4758" s="313"/>
      <c r="AP4758" s="313"/>
      <c r="AQ4758" s="314"/>
      <c r="AR4758" s="315" t="str">
        <f t="shared" si="148"/>
        <v/>
      </c>
    </row>
    <row r="4759" spans="37:44" ht="30" hidden="1" customHeight="1">
      <c r="AK4759" s="313"/>
      <c r="AL4759" s="313"/>
      <c r="AM4759" s="313"/>
      <c r="AN4759" s="313"/>
      <c r="AO4759" s="313"/>
      <c r="AP4759" s="313"/>
      <c r="AQ4759" s="314"/>
      <c r="AR4759" s="315" t="str">
        <f t="shared" si="148"/>
        <v/>
      </c>
    </row>
    <row r="4760" spans="37:44" ht="30" hidden="1" customHeight="1">
      <c r="AK4760" s="313"/>
      <c r="AL4760" s="313"/>
      <c r="AM4760" s="313"/>
      <c r="AN4760" s="313"/>
      <c r="AO4760" s="313"/>
      <c r="AP4760" s="313"/>
      <c r="AQ4760" s="314"/>
      <c r="AR4760" s="315" t="str">
        <f t="shared" si="148"/>
        <v/>
      </c>
    </row>
    <row r="4761" spans="37:44" ht="30" hidden="1" customHeight="1">
      <c r="AK4761" s="313"/>
      <c r="AL4761" s="313"/>
      <c r="AM4761" s="313"/>
      <c r="AN4761" s="313"/>
      <c r="AO4761" s="313"/>
      <c r="AP4761" s="313"/>
      <c r="AQ4761" s="314"/>
      <c r="AR4761" s="315" t="str">
        <f t="shared" si="148"/>
        <v/>
      </c>
    </row>
    <row r="4762" spans="37:44" ht="30" hidden="1" customHeight="1">
      <c r="AK4762" s="313"/>
      <c r="AL4762" s="313"/>
      <c r="AM4762" s="313"/>
      <c r="AN4762" s="313"/>
      <c r="AO4762" s="313"/>
      <c r="AP4762" s="313"/>
      <c r="AQ4762" s="314"/>
      <c r="AR4762" s="315" t="str">
        <f t="shared" si="148"/>
        <v/>
      </c>
    </row>
    <row r="4763" spans="37:44" ht="30" hidden="1" customHeight="1">
      <c r="AK4763" s="313"/>
      <c r="AL4763" s="313"/>
      <c r="AM4763" s="313"/>
      <c r="AN4763" s="313"/>
      <c r="AO4763" s="313"/>
      <c r="AP4763" s="313"/>
      <c r="AQ4763" s="314"/>
      <c r="AR4763" s="315" t="str">
        <f t="shared" si="148"/>
        <v/>
      </c>
    </row>
    <row r="4764" spans="37:44" ht="30" hidden="1" customHeight="1">
      <c r="AK4764" s="313"/>
      <c r="AL4764" s="313"/>
      <c r="AM4764" s="313"/>
      <c r="AN4764" s="313"/>
      <c r="AO4764" s="313"/>
      <c r="AP4764" s="313"/>
      <c r="AQ4764" s="314"/>
      <c r="AR4764" s="315" t="str">
        <f t="shared" si="148"/>
        <v/>
      </c>
    </row>
    <row r="4765" spans="37:44" ht="30" hidden="1" customHeight="1">
      <c r="AK4765" s="313"/>
      <c r="AL4765" s="313"/>
      <c r="AM4765" s="313"/>
      <c r="AN4765" s="313"/>
      <c r="AO4765" s="313"/>
      <c r="AP4765" s="313"/>
      <c r="AQ4765" s="314"/>
      <c r="AR4765" s="315" t="str">
        <f t="shared" si="148"/>
        <v/>
      </c>
    </row>
    <row r="4766" spans="37:44" ht="30" hidden="1" customHeight="1">
      <c r="AK4766" s="313"/>
      <c r="AL4766" s="313"/>
      <c r="AM4766" s="313"/>
      <c r="AN4766" s="313"/>
      <c r="AO4766" s="313"/>
      <c r="AP4766" s="313"/>
      <c r="AQ4766" s="314"/>
      <c r="AR4766" s="315" t="str">
        <f t="shared" si="148"/>
        <v/>
      </c>
    </row>
    <row r="4767" spans="37:44" ht="30" hidden="1" customHeight="1">
      <c r="AK4767" s="313"/>
      <c r="AL4767" s="313"/>
      <c r="AM4767" s="313"/>
      <c r="AN4767" s="313"/>
      <c r="AO4767" s="313"/>
      <c r="AP4767" s="313"/>
      <c r="AQ4767" s="314"/>
      <c r="AR4767" s="315" t="str">
        <f t="shared" si="148"/>
        <v/>
      </c>
    </row>
    <row r="4768" spans="37:44" ht="30" hidden="1" customHeight="1">
      <c r="AK4768" s="313"/>
      <c r="AL4768" s="313"/>
      <c r="AM4768" s="313"/>
      <c r="AN4768" s="313"/>
      <c r="AO4768" s="313"/>
      <c r="AP4768" s="313"/>
      <c r="AQ4768" s="314"/>
      <c r="AR4768" s="315" t="str">
        <f t="shared" si="148"/>
        <v/>
      </c>
    </row>
    <row r="4769" spans="37:44" ht="30" hidden="1" customHeight="1">
      <c r="AK4769" s="313"/>
      <c r="AL4769" s="313"/>
      <c r="AM4769" s="313"/>
      <c r="AN4769" s="313"/>
      <c r="AO4769" s="313"/>
      <c r="AP4769" s="313"/>
      <c r="AQ4769" s="314"/>
      <c r="AR4769" s="315" t="str">
        <f t="shared" si="148"/>
        <v/>
      </c>
    </row>
    <row r="4770" spans="37:44" ht="30" hidden="1" customHeight="1">
      <c r="AK4770" s="313"/>
      <c r="AL4770" s="313"/>
      <c r="AM4770" s="313"/>
      <c r="AN4770" s="313"/>
      <c r="AO4770" s="313"/>
      <c r="AP4770" s="313"/>
      <c r="AQ4770" s="314"/>
      <c r="AR4770" s="315" t="str">
        <f t="shared" si="148"/>
        <v/>
      </c>
    </row>
    <row r="4771" spans="37:44" ht="30" hidden="1" customHeight="1">
      <c r="AK4771" s="313"/>
      <c r="AL4771" s="313"/>
      <c r="AM4771" s="313"/>
      <c r="AN4771" s="313"/>
      <c r="AO4771" s="313"/>
      <c r="AP4771" s="313"/>
      <c r="AQ4771" s="314"/>
      <c r="AR4771" s="315" t="str">
        <f t="shared" si="148"/>
        <v/>
      </c>
    </row>
    <row r="4772" spans="37:44" ht="30" hidden="1" customHeight="1">
      <c r="AK4772" s="313"/>
      <c r="AL4772" s="313"/>
      <c r="AM4772" s="313"/>
      <c r="AN4772" s="313"/>
      <c r="AO4772" s="313"/>
      <c r="AP4772" s="313"/>
      <c r="AQ4772" s="314"/>
      <c r="AR4772" s="315" t="str">
        <f t="shared" si="148"/>
        <v/>
      </c>
    </row>
    <row r="4773" spans="37:44" ht="30" hidden="1" customHeight="1">
      <c r="AK4773" s="313"/>
      <c r="AL4773" s="313"/>
      <c r="AM4773" s="313"/>
      <c r="AN4773" s="313"/>
      <c r="AO4773" s="313"/>
      <c r="AP4773" s="313"/>
      <c r="AQ4773" s="314"/>
      <c r="AR4773" s="315" t="str">
        <f t="shared" si="148"/>
        <v/>
      </c>
    </row>
    <row r="4774" spans="37:44" ht="30" hidden="1" customHeight="1">
      <c r="AK4774" s="313"/>
      <c r="AL4774" s="313"/>
      <c r="AM4774" s="313"/>
      <c r="AN4774" s="313"/>
      <c r="AO4774" s="313"/>
      <c r="AP4774" s="313"/>
      <c r="AQ4774" s="314"/>
      <c r="AR4774" s="315" t="str">
        <f t="shared" si="148"/>
        <v/>
      </c>
    </row>
    <row r="4775" spans="37:44" ht="30" hidden="1" customHeight="1">
      <c r="AK4775" s="313"/>
      <c r="AL4775" s="313"/>
      <c r="AM4775" s="313"/>
      <c r="AN4775" s="313"/>
      <c r="AO4775" s="313"/>
      <c r="AP4775" s="313"/>
      <c r="AQ4775" s="314"/>
      <c r="AR4775" s="315" t="str">
        <f t="shared" si="148"/>
        <v/>
      </c>
    </row>
    <row r="4776" spans="37:44" ht="30" hidden="1" customHeight="1">
      <c r="AK4776" s="313"/>
      <c r="AL4776" s="313"/>
      <c r="AM4776" s="313"/>
      <c r="AN4776" s="313"/>
      <c r="AO4776" s="313"/>
      <c r="AP4776" s="313"/>
      <c r="AQ4776" s="314"/>
      <c r="AR4776" s="315" t="str">
        <f t="shared" si="148"/>
        <v/>
      </c>
    </row>
    <row r="4777" spans="37:44" ht="30" hidden="1" customHeight="1">
      <c r="AK4777" s="313"/>
      <c r="AL4777" s="313"/>
      <c r="AM4777" s="313"/>
      <c r="AN4777" s="313"/>
      <c r="AO4777" s="313"/>
      <c r="AP4777" s="313"/>
      <c r="AQ4777" s="314"/>
      <c r="AR4777" s="315" t="str">
        <f t="shared" si="148"/>
        <v/>
      </c>
    </row>
    <row r="4778" spans="37:44" ht="30" hidden="1" customHeight="1">
      <c r="AK4778" s="313"/>
      <c r="AL4778" s="313"/>
      <c r="AM4778" s="313"/>
      <c r="AN4778" s="313"/>
      <c r="AO4778" s="313"/>
      <c r="AP4778" s="313"/>
      <c r="AQ4778" s="314"/>
      <c r="AR4778" s="315" t="str">
        <f t="shared" si="148"/>
        <v/>
      </c>
    </row>
    <row r="4779" spans="37:44" ht="30" hidden="1" customHeight="1">
      <c r="AK4779" s="313"/>
      <c r="AL4779" s="313"/>
      <c r="AM4779" s="313"/>
      <c r="AN4779" s="313"/>
      <c r="AO4779" s="313"/>
      <c r="AP4779" s="313"/>
      <c r="AQ4779" s="314"/>
      <c r="AR4779" s="315" t="str">
        <f t="shared" si="148"/>
        <v/>
      </c>
    </row>
    <row r="4780" spans="37:44" ht="30" hidden="1" customHeight="1">
      <c r="AK4780" s="313"/>
      <c r="AL4780" s="313"/>
      <c r="AM4780" s="313"/>
      <c r="AN4780" s="313"/>
      <c r="AO4780" s="313"/>
      <c r="AP4780" s="313"/>
      <c r="AQ4780" s="314"/>
      <c r="AR4780" s="315" t="str">
        <f t="shared" si="148"/>
        <v/>
      </c>
    </row>
    <row r="4781" spans="37:44" ht="30" hidden="1" customHeight="1">
      <c r="AK4781" s="313"/>
      <c r="AL4781" s="313"/>
      <c r="AM4781" s="313"/>
      <c r="AN4781" s="313"/>
      <c r="AO4781" s="313"/>
      <c r="AP4781" s="313"/>
      <c r="AQ4781" s="314"/>
      <c r="AR4781" s="315" t="str">
        <f t="shared" si="148"/>
        <v/>
      </c>
    </row>
    <row r="4782" spans="37:44" ht="30" hidden="1" customHeight="1">
      <c r="AK4782" s="313"/>
      <c r="AL4782" s="313"/>
      <c r="AM4782" s="313"/>
      <c r="AN4782" s="313"/>
      <c r="AO4782" s="313"/>
      <c r="AP4782" s="313"/>
      <c r="AQ4782" s="314"/>
      <c r="AR4782" s="315" t="str">
        <f t="shared" si="148"/>
        <v/>
      </c>
    </row>
    <row r="4783" spans="37:44" ht="30" hidden="1" customHeight="1">
      <c r="AK4783" s="313"/>
      <c r="AL4783" s="313"/>
      <c r="AM4783" s="313"/>
      <c r="AN4783" s="313"/>
      <c r="AO4783" s="313"/>
      <c r="AP4783" s="313"/>
      <c r="AQ4783" s="314"/>
      <c r="AR4783" s="315" t="str">
        <f t="shared" si="148"/>
        <v/>
      </c>
    </row>
    <row r="4784" spans="37:44" ht="30" hidden="1" customHeight="1">
      <c r="AK4784" s="313"/>
      <c r="AL4784" s="313"/>
      <c r="AM4784" s="313"/>
      <c r="AN4784" s="313"/>
      <c r="AO4784" s="313"/>
      <c r="AP4784" s="313"/>
      <c r="AQ4784" s="314"/>
      <c r="AR4784" s="315" t="str">
        <f t="shared" si="148"/>
        <v/>
      </c>
    </row>
    <row r="4785" spans="37:44" ht="30" hidden="1" customHeight="1">
      <c r="AK4785" s="313"/>
      <c r="AL4785" s="313"/>
      <c r="AM4785" s="313"/>
      <c r="AN4785" s="313"/>
      <c r="AO4785" s="313"/>
      <c r="AP4785" s="313"/>
      <c r="AQ4785" s="314"/>
      <c r="AR4785" s="315" t="str">
        <f t="shared" si="148"/>
        <v/>
      </c>
    </row>
    <row r="4786" spans="37:44" ht="30" hidden="1" customHeight="1">
      <c r="AK4786" s="313"/>
      <c r="AL4786" s="313"/>
      <c r="AM4786" s="313"/>
      <c r="AN4786" s="313"/>
      <c r="AO4786" s="313"/>
      <c r="AP4786" s="313"/>
      <c r="AQ4786" s="314"/>
      <c r="AR4786" s="315" t="str">
        <f t="shared" si="148"/>
        <v/>
      </c>
    </row>
    <row r="4787" spans="37:44" ht="30" hidden="1" customHeight="1">
      <c r="AK4787" s="313"/>
      <c r="AL4787" s="313"/>
      <c r="AM4787" s="313"/>
      <c r="AN4787" s="313"/>
      <c r="AO4787" s="313"/>
      <c r="AP4787" s="313"/>
      <c r="AQ4787" s="314"/>
      <c r="AR4787" s="315" t="str">
        <f t="shared" si="148"/>
        <v/>
      </c>
    </row>
    <row r="4788" spans="37:44" ht="30" hidden="1" customHeight="1">
      <c r="AK4788" s="313"/>
      <c r="AL4788" s="313"/>
      <c r="AM4788" s="313"/>
      <c r="AN4788" s="313"/>
      <c r="AO4788" s="313"/>
      <c r="AP4788" s="313"/>
      <c r="AQ4788" s="314"/>
      <c r="AR4788" s="315" t="str">
        <f t="shared" si="148"/>
        <v/>
      </c>
    </row>
    <row r="4789" spans="37:44" ht="30" hidden="1" customHeight="1">
      <c r="AK4789" s="313"/>
      <c r="AL4789" s="313"/>
      <c r="AM4789" s="313"/>
      <c r="AN4789" s="313"/>
      <c r="AO4789" s="313"/>
      <c r="AP4789" s="313"/>
      <c r="AQ4789" s="314"/>
      <c r="AR4789" s="315" t="str">
        <f t="shared" si="148"/>
        <v/>
      </c>
    </row>
    <row r="4790" spans="37:44" ht="30" hidden="1" customHeight="1">
      <c r="AK4790" s="313"/>
      <c r="AL4790" s="313"/>
      <c r="AM4790" s="313"/>
      <c r="AN4790" s="313"/>
      <c r="AO4790" s="313"/>
      <c r="AP4790" s="313"/>
      <c r="AQ4790" s="314"/>
      <c r="AR4790" s="315" t="str">
        <f t="shared" si="148"/>
        <v/>
      </c>
    </row>
    <row r="4791" spans="37:44" ht="30" hidden="1" customHeight="1">
      <c r="AK4791" s="313"/>
      <c r="AL4791" s="313"/>
      <c r="AM4791" s="313"/>
      <c r="AN4791" s="313"/>
      <c r="AO4791" s="313"/>
      <c r="AP4791" s="313"/>
      <c r="AQ4791" s="314"/>
      <c r="AR4791" s="315" t="str">
        <f t="shared" si="148"/>
        <v/>
      </c>
    </row>
    <row r="4792" spans="37:44" ht="30" hidden="1" customHeight="1">
      <c r="AK4792" s="313"/>
      <c r="AL4792" s="313"/>
      <c r="AM4792" s="313"/>
      <c r="AN4792" s="313"/>
      <c r="AO4792" s="313"/>
      <c r="AP4792" s="313"/>
      <c r="AQ4792" s="314"/>
      <c r="AR4792" s="315" t="str">
        <f t="shared" si="148"/>
        <v/>
      </c>
    </row>
    <row r="4793" spans="37:44" ht="30" hidden="1" customHeight="1">
      <c r="AK4793" s="313"/>
      <c r="AL4793" s="313"/>
      <c r="AM4793" s="313"/>
      <c r="AN4793" s="313"/>
      <c r="AO4793" s="313"/>
      <c r="AP4793" s="313"/>
      <c r="AQ4793" s="314"/>
      <c r="AR4793" s="315" t="str">
        <f t="shared" si="148"/>
        <v/>
      </c>
    </row>
    <row r="4794" spans="37:44" ht="30" hidden="1" customHeight="1">
      <c r="AK4794" s="313"/>
      <c r="AL4794" s="313"/>
      <c r="AM4794" s="313"/>
      <c r="AN4794" s="313"/>
      <c r="AO4794" s="313"/>
      <c r="AP4794" s="313"/>
      <c r="AQ4794" s="314"/>
      <c r="AR4794" s="315" t="str">
        <f t="shared" si="148"/>
        <v/>
      </c>
    </row>
    <row r="4795" spans="37:44" ht="30" hidden="1" customHeight="1">
      <c r="AK4795" s="313"/>
      <c r="AL4795" s="313"/>
      <c r="AM4795" s="313"/>
      <c r="AN4795" s="313"/>
      <c r="AO4795" s="313"/>
      <c r="AP4795" s="313"/>
      <c r="AQ4795" s="314"/>
      <c r="AR4795" s="315" t="str">
        <f t="shared" si="148"/>
        <v/>
      </c>
    </row>
    <row r="4796" spans="37:44" ht="30" hidden="1" customHeight="1">
      <c r="AK4796" s="313"/>
      <c r="AL4796" s="313"/>
      <c r="AM4796" s="313"/>
      <c r="AN4796" s="313"/>
      <c r="AO4796" s="313"/>
      <c r="AP4796" s="313"/>
      <c r="AQ4796" s="314"/>
      <c r="AR4796" s="315" t="str">
        <f t="shared" si="148"/>
        <v/>
      </c>
    </row>
    <row r="4797" spans="37:44" ht="30" hidden="1" customHeight="1">
      <c r="AK4797" s="313"/>
      <c r="AL4797" s="313"/>
      <c r="AM4797" s="313"/>
      <c r="AN4797" s="313"/>
      <c r="AO4797" s="313"/>
      <c r="AP4797" s="313"/>
      <c r="AQ4797" s="314"/>
      <c r="AR4797" s="315" t="str">
        <f t="shared" si="148"/>
        <v/>
      </c>
    </row>
    <row r="4798" spans="37:44" ht="30" hidden="1" customHeight="1">
      <c r="AK4798" s="313"/>
      <c r="AL4798" s="313"/>
      <c r="AM4798" s="313"/>
      <c r="AN4798" s="313"/>
      <c r="AO4798" s="313"/>
      <c r="AP4798" s="313"/>
      <c r="AQ4798" s="314"/>
      <c r="AR4798" s="315" t="str">
        <f t="shared" si="148"/>
        <v/>
      </c>
    </row>
    <row r="4799" spans="37:44" ht="30" hidden="1" customHeight="1">
      <c r="AK4799" s="313"/>
      <c r="AL4799" s="313"/>
      <c r="AM4799" s="313"/>
      <c r="AN4799" s="313"/>
      <c r="AO4799" s="313"/>
      <c r="AP4799" s="313"/>
      <c r="AQ4799" s="314"/>
      <c r="AR4799" s="315" t="str">
        <f t="shared" ref="AR4799:AR4862" si="149">IF(AQ4799="SIM","AGUARDANDO CORREÇÃO",IF(AP4799&lt;&gt;"","FINALIZADO",IF(AO4799&lt;&gt;"","AGUARDANDO ENVIO DTS",IF(AN4799&lt;&gt;"","AGUARDANDO ASSINATURA GAB",IF(AM4799&lt;&gt;"","AGUARDANDO ASSINATURA CTS",IF(AL4799&lt;&gt;"","AGUARDANDO ENVIO ASSINATURA CTS",IF(AK4799&lt;&gt;"","AGUARDANDO CONFERÊNCIA","")))))))</f>
        <v/>
      </c>
    </row>
    <row r="4800" spans="37:44" ht="30" hidden="1" customHeight="1">
      <c r="AK4800" s="313"/>
      <c r="AL4800" s="313"/>
      <c r="AM4800" s="313"/>
      <c r="AN4800" s="313"/>
      <c r="AO4800" s="313"/>
      <c r="AP4800" s="313"/>
      <c r="AQ4800" s="314"/>
      <c r="AR4800" s="315" t="str">
        <f t="shared" si="149"/>
        <v/>
      </c>
    </row>
    <row r="4801" spans="37:44" ht="30" hidden="1" customHeight="1">
      <c r="AK4801" s="313"/>
      <c r="AL4801" s="313"/>
      <c r="AM4801" s="313"/>
      <c r="AN4801" s="313"/>
      <c r="AO4801" s="313"/>
      <c r="AP4801" s="313"/>
      <c r="AQ4801" s="314"/>
      <c r="AR4801" s="315" t="str">
        <f t="shared" si="149"/>
        <v/>
      </c>
    </row>
    <row r="4802" spans="37:44" ht="30" hidden="1" customHeight="1">
      <c r="AK4802" s="313"/>
      <c r="AL4802" s="313"/>
      <c r="AM4802" s="313"/>
      <c r="AN4802" s="313"/>
      <c r="AO4802" s="313"/>
      <c r="AP4802" s="313"/>
      <c r="AQ4802" s="314"/>
      <c r="AR4802" s="315" t="str">
        <f t="shared" si="149"/>
        <v/>
      </c>
    </row>
    <row r="4803" spans="37:44" ht="30" hidden="1" customHeight="1">
      <c r="AK4803" s="313"/>
      <c r="AL4803" s="313"/>
      <c r="AM4803" s="313"/>
      <c r="AN4803" s="313"/>
      <c r="AO4803" s="313"/>
      <c r="AP4803" s="313"/>
      <c r="AQ4803" s="314"/>
      <c r="AR4803" s="315" t="str">
        <f t="shared" si="149"/>
        <v/>
      </c>
    </row>
    <row r="4804" spans="37:44" ht="30" hidden="1" customHeight="1">
      <c r="AK4804" s="313"/>
      <c r="AL4804" s="313"/>
      <c r="AM4804" s="313"/>
      <c r="AN4804" s="313"/>
      <c r="AO4804" s="313"/>
      <c r="AP4804" s="313"/>
      <c r="AQ4804" s="314"/>
      <c r="AR4804" s="315" t="str">
        <f t="shared" si="149"/>
        <v/>
      </c>
    </row>
    <row r="4805" spans="37:44" ht="30" hidden="1" customHeight="1">
      <c r="AK4805" s="313"/>
      <c r="AL4805" s="313"/>
      <c r="AM4805" s="313"/>
      <c r="AN4805" s="313"/>
      <c r="AO4805" s="313"/>
      <c r="AP4805" s="313"/>
      <c r="AQ4805" s="314"/>
      <c r="AR4805" s="315" t="str">
        <f t="shared" si="149"/>
        <v/>
      </c>
    </row>
    <row r="4806" spans="37:44" ht="30" hidden="1" customHeight="1">
      <c r="AK4806" s="313"/>
      <c r="AL4806" s="313"/>
      <c r="AM4806" s="313"/>
      <c r="AN4806" s="313"/>
      <c r="AO4806" s="313"/>
      <c r="AP4806" s="313"/>
      <c r="AQ4806" s="314"/>
      <c r="AR4806" s="315" t="str">
        <f t="shared" si="149"/>
        <v/>
      </c>
    </row>
    <row r="4807" spans="37:44" ht="30" hidden="1" customHeight="1">
      <c r="AK4807" s="313"/>
      <c r="AL4807" s="313"/>
      <c r="AM4807" s="313"/>
      <c r="AN4807" s="313"/>
      <c r="AO4807" s="313"/>
      <c r="AP4807" s="313"/>
      <c r="AQ4807" s="314"/>
      <c r="AR4807" s="315" t="str">
        <f t="shared" si="149"/>
        <v/>
      </c>
    </row>
    <row r="4808" spans="37:44" ht="30" hidden="1" customHeight="1">
      <c r="AK4808" s="313"/>
      <c r="AL4808" s="313"/>
      <c r="AM4808" s="313"/>
      <c r="AN4808" s="313"/>
      <c r="AO4808" s="313"/>
      <c r="AP4808" s="313"/>
      <c r="AQ4808" s="314"/>
      <c r="AR4808" s="315" t="str">
        <f t="shared" si="149"/>
        <v/>
      </c>
    </row>
    <row r="4809" spans="37:44" ht="30" hidden="1" customHeight="1">
      <c r="AK4809" s="313"/>
      <c r="AL4809" s="313"/>
      <c r="AM4809" s="313"/>
      <c r="AN4809" s="313"/>
      <c r="AO4809" s="313"/>
      <c r="AP4809" s="313"/>
      <c r="AQ4809" s="314"/>
      <c r="AR4809" s="315" t="str">
        <f t="shared" si="149"/>
        <v/>
      </c>
    </row>
    <row r="4810" spans="37:44" ht="30" hidden="1" customHeight="1">
      <c r="AK4810" s="313"/>
      <c r="AL4810" s="313"/>
      <c r="AM4810" s="313"/>
      <c r="AN4810" s="313"/>
      <c r="AO4810" s="313"/>
      <c r="AP4810" s="313"/>
      <c r="AQ4810" s="314"/>
      <c r="AR4810" s="315" t="str">
        <f t="shared" si="149"/>
        <v/>
      </c>
    </row>
    <row r="4811" spans="37:44" ht="30" hidden="1" customHeight="1">
      <c r="AK4811" s="313"/>
      <c r="AL4811" s="313"/>
      <c r="AM4811" s="313"/>
      <c r="AN4811" s="313"/>
      <c r="AO4811" s="313"/>
      <c r="AP4811" s="313"/>
      <c r="AQ4811" s="314"/>
      <c r="AR4811" s="315" t="str">
        <f t="shared" si="149"/>
        <v/>
      </c>
    </row>
    <row r="4812" spans="37:44" ht="30" hidden="1" customHeight="1">
      <c r="AK4812" s="313"/>
      <c r="AL4812" s="313"/>
      <c r="AM4812" s="313"/>
      <c r="AN4812" s="313"/>
      <c r="AO4812" s="313"/>
      <c r="AP4812" s="313"/>
      <c r="AQ4812" s="314"/>
      <c r="AR4812" s="315" t="str">
        <f t="shared" si="149"/>
        <v/>
      </c>
    </row>
    <row r="4813" spans="37:44" ht="30" hidden="1" customHeight="1">
      <c r="AK4813" s="313"/>
      <c r="AL4813" s="313"/>
      <c r="AM4813" s="313"/>
      <c r="AN4813" s="313"/>
      <c r="AO4813" s="313"/>
      <c r="AP4813" s="313"/>
      <c r="AQ4813" s="314"/>
      <c r="AR4813" s="315" t="str">
        <f t="shared" si="149"/>
        <v/>
      </c>
    </row>
    <row r="4814" spans="37:44" ht="30" hidden="1" customHeight="1">
      <c r="AK4814" s="313"/>
      <c r="AL4814" s="313"/>
      <c r="AM4814" s="313"/>
      <c r="AN4814" s="313"/>
      <c r="AO4814" s="313"/>
      <c r="AP4814" s="313"/>
      <c r="AQ4814" s="314"/>
      <c r="AR4814" s="315" t="str">
        <f t="shared" si="149"/>
        <v/>
      </c>
    </row>
    <row r="4815" spans="37:44" ht="30" hidden="1" customHeight="1">
      <c r="AK4815" s="313"/>
      <c r="AL4815" s="313"/>
      <c r="AM4815" s="313"/>
      <c r="AN4815" s="313"/>
      <c r="AO4815" s="313"/>
      <c r="AP4815" s="313"/>
      <c r="AQ4815" s="314"/>
      <c r="AR4815" s="315" t="str">
        <f t="shared" si="149"/>
        <v/>
      </c>
    </row>
    <row r="4816" spans="37:44" ht="30" hidden="1" customHeight="1">
      <c r="AK4816" s="313"/>
      <c r="AL4816" s="313"/>
      <c r="AM4816" s="313"/>
      <c r="AN4816" s="313"/>
      <c r="AO4816" s="313"/>
      <c r="AP4816" s="313"/>
      <c r="AQ4816" s="314"/>
      <c r="AR4816" s="315" t="str">
        <f t="shared" si="149"/>
        <v/>
      </c>
    </row>
    <row r="4817" spans="37:44" ht="30" hidden="1" customHeight="1">
      <c r="AK4817" s="313"/>
      <c r="AL4817" s="313"/>
      <c r="AM4817" s="313"/>
      <c r="AN4817" s="313"/>
      <c r="AO4817" s="313"/>
      <c r="AP4817" s="313"/>
      <c r="AQ4817" s="314"/>
      <c r="AR4817" s="315" t="str">
        <f t="shared" si="149"/>
        <v/>
      </c>
    </row>
    <row r="4818" spans="37:44" ht="30" hidden="1" customHeight="1">
      <c r="AK4818" s="313"/>
      <c r="AL4818" s="313"/>
      <c r="AM4818" s="313"/>
      <c r="AN4818" s="313"/>
      <c r="AO4818" s="313"/>
      <c r="AP4818" s="313"/>
      <c r="AQ4818" s="314"/>
      <c r="AR4818" s="315" t="str">
        <f t="shared" si="149"/>
        <v/>
      </c>
    </row>
    <row r="4819" spans="37:44" ht="30" hidden="1" customHeight="1">
      <c r="AK4819" s="313"/>
      <c r="AL4819" s="313"/>
      <c r="AM4819" s="313"/>
      <c r="AN4819" s="313"/>
      <c r="AO4819" s="313"/>
      <c r="AP4819" s="313"/>
      <c r="AQ4819" s="314"/>
      <c r="AR4819" s="315" t="str">
        <f t="shared" si="149"/>
        <v/>
      </c>
    </row>
    <row r="4820" spans="37:44" ht="30" hidden="1" customHeight="1">
      <c r="AK4820" s="313"/>
      <c r="AL4820" s="313"/>
      <c r="AM4820" s="313"/>
      <c r="AN4820" s="313"/>
      <c r="AO4820" s="313"/>
      <c r="AP4820" s="313"/>
      <c r="AQ4820" s="314"/>
      <c r="AR4820" s="315" t="str">
        <f t="shared" si="149"/>
        <v/>
      </c>
    </row>
    <row r="4821" spans="37:44" ht="30" hidden="1" customHeight="1">
      <c r="AK4821" s="313"/>
      <c r="AL4821" s="313"/>
      <c r="AM4821" s="313"/>
      <c r="AN4821" s="313"/>
      <c r="AO4821" s="313"/>
      <c r="AP4821" s="313"/>
      <c r="AQ4821" s="314"/>
      <c r="AR4821" s="315" t="str">
        <f t="shared" si="149"/>
        <v/>
      </c>
    </row>
    <row r="4822" spans="37:44" ht="30" hidden="1" customHeight="1">
      <c r="AK4822" s="313"/>
      <c r="AL4822" s="313"/>
      <c r="AM4822" s="313"/>
      <c r="AN4822" s="313"/>
      <c r="AO4822" s="313"/>
      <c r="AP4822" s="313"/>
      <c r="AQ4822" s="314"/>
      <c r="AR4822" s="315" t="str">
        <f t="shared" si="149"/>
        <v/>
      </c>
    </row>
    <row r="4823" spans="37:44" ht="30" hidden="1" customHeight="1">
      <c r="AK4823" s="313"/>
      <c r="AL4823" s="313"/>
      <c r="AM4823" s="313"/>
      <c r="AN4823" s="313"/>
      <c r="AO4823" s="313"/>
      <c r="AP4823" s="313"/>
      <c r="AQ4823" s="314"/>
      <c r="AR4823" s="315" t="str">
        <f t="shared" si="149"/>
        <v/>
      </c>
    </row>
    <row r="4824" spans="37:44" ht="30" hidden="1" customHeight="1">
      <c r="AK4824" s="313"/>
      <c r="AL4824" s="313"/>
      <c r="AM4824" s="313"/>
      <c r="AN4824" s="313"/>
      <c r="AO4824" s="313"/>
      <c r="AP4824" s="313"/>
      <c r="AQ4824" s="314"/>
      <c r="AR4824" s="315" t="str">
        <f t="shared" si="149"/>
        <v/>
      </c>
    </row>
    <row r="4825" spans="37:44" ht="30" hidden="1" customHeight="1">
      <c r="AK4825" s="313"/>
      <c r="AL4825" s="313"/>
      <c r="AM4825" s="313"/>
      <c r="AN4825" s="313"/>
      <c r="AO4825" s="313"/>
      <c r="AP4825" s="313"/>
      <c r="AQ4825" s="314"/>
      <c r="AR4825" s="315" t="str">
        <f t="shared" si="149"/>
        <v/>
      </c>
    </row>
    <row r="4826" spans="37:44" ht="30" hidden="1" customHeight="1">
      <c r="AK4826" s="313"/>
      <c r="AL4826" s="313"/>
      <c r="AM4826" s="313"/>
      <c r="AN4826" s="313"/>
      <c r="AO4826" s="313"/>
      <c r="AP4826" s="313"/>
      <c r="AQ4826" s="314"/>
      <c r="AR4826" s="315" t="str">
        <f t="shared" si="149"/>
        <v/>
      </c>
    </row>
    <row r="4827" spans="37:44" ht="30" hidden="1" customHeight="1">
      <c r="AK4827" s="313"/>
      <c r="AL4827" s="313"/>
      <c r="AM4827" s="313"/>
      <c r="AN4827" s="313"/>
      <c r="AO4827" s="313"/>
      <c r="AP4827" s="313"/>
      <c r="AQ4827" s="314"/>
      <c r="AR4827" s="315" t="str">
        <f t="shared" si="149"/>
        <v/>
      </c>
    </row>
    <row r="4828" spans="37:44" ht="30" hidden="1" customHeight="1">
      <c r="AK4828" s="313"/>
      <c r="AL4828" s="313"/>
      <c r="AM4828" s="313"/>
      <c r="AN4828" s="313"/>
      <c r="AO4828" s="313"/>
      <c r="AP4828" s="313"/>
      <c r="AQ4828" s="314"/>
      <c r="AR4828" s="315" t="str">
        <f t="shared" si="149"/>
        <v/>
      </c>
    </row>
    <row r="4829" spans="37:44" ht="30" hidden="1" customHeight="1">
      <c r="AK4829" s="313"/>
      <c r="AL4829" s="313"/>
      <c r="AM4829" s="313"/>
      <c r="AN4829" s="313"/>
      <c r="AO4829" s="313"/>
      <c r="AP4829" s="313"/>
      <c r="AQ4829" s="314"/>
      <c r="AR4829" s="315" t="str">
        <f t="shared" si="149"/>
        <v/>
      </c>
    </row>
    <row r="4830" spans="37:44" ht="30" hidden="1" customHeight="1">
      <c r="AK4830" s="313"/>
      <c r="AL4830" s="313"/>
      <c r="AM4830" s="313"/>
      <c r="AN4830" s="313"/>
      <c r="AO4830" s="313"/>
      <c r="AP4830" s="313"/>
      <c r="AQ4830" s="314"/>
      <c r="AR4830" s="315" t="str">
        <f t="shared" si="149"/>
        <v/>
      </c>
    </row>
    <row r="4831" spans="37:44" ht="30" hidden="1" customHeight="1">
      <c r="AK4831" s="313"/>
      <c r="AL4831" s="313"/>
      <c r="AM4831" s="313"/>
      <c r="AN4831" s="313"/>
      <c r="AO4831" s="313"/>
      <c r="AP4831" s="313"/>
      <c r="AQ4831" s="314"/>
      <c r="AR4831" s="315" t="str">
        <f t="shared" si="149"/>
        <v/>
      </c>
    </row>
    <row r="4832" spans="37:44" ht="30" hidden="1" customHeight="1">
      <c r="AK4832" s="313"/>
      <c r="AL4832" s="313"/>
      <c r="AM4832" s="313"/>
      <c r="AN4832" s="313"/>
      <c r="AO4832" s="313"/>
      <c r="AP4832" s="313"/>
      <c r="AQ4832" s="314"/>
      <c r="AR4832" s="315" t="str">
        <f t="shared" si="149"/>
        <v/>
      </c>
    </row>
    <row r="4833" spans="37:44" ht="30" hidden="1" customHeight="1">
      <c r="AK4833" s="313"/>
      <c r="AL4833" s="313"/>
      <c r="AM4833" s="313"/>
      <c r="AN4833" s="313"/>
      <c r="AO4833" s="313"/>
      <c r="AP4833" s="313"/>
      <c r="AQ4833" s="314"/>
      <c r="AR4833" s="315" t="str">
        <f t="shared" si="149"/>
        <v/>
      </c>
    </row>
    <row r="4834" spans="37:44" ht="30" hidden="1" customHeight="1">
      <c r="AK4834" s="313"/>
      <c r="AL4834" s="313"/>
      <c r="AM4834" s="313"/>
      <c r="AN4834" s="313"/>
      <c r="AO4834" s="313"/>
      <c r="AP4834" s="313"/>
      <c r="AQ4834" s="314"/>
      <c r="AR4834" s="315" t="str">
        <f t="shared" si="149"/>
        <v/>
      </c>
    </row>
    <row r="4835" spans="37:44" ht="30" hidden="1" customHeight="1">
      <c r="AK4835" s="313"/>
      <c r="AL4835" s="313"/>
      <c r="AM4835" s="313"/>
      <c r="AN4835" s="313"/>
      <c r="AO4835" s="313"/>
      <c r="AP4835" s="313"/>
      <c r="AQ4835" s="314"/>
      <c r="AR4835" s="315" t="str">
        <f t="shared" si="149"/>
        <v/>
      </c>
    </row>
    <row r="4836" spans="37:44" ht="30" hidden="1" customHeight="1">
      <c r="AK4836" s="313"/>
      <c r="AL4836" s="313"/>
      <c r="AM4836" s="313"/>
      <c r="AN4836" s="313"/>
      <c r="AO4836" s="313"/>
      <c r="AP4836" s="313"/>
      <c r="AQ4836" s="314"/>
      <c r="AR4836" s="315" t="str">
        <f t="shared" si="149"/>
        <v/>
      </c>
    </row>
    <row r="4837" spans="37:44" ht="30" hidden="1" customHeight="1">
      <c r="AK4837" s="313"/>
      <c r="AL4837" s="313"/>
      <c r="AM4837" s="313"/>
      <c r="AN4837" s="313"/>
      <c r="AO4837" s="313"/>
      <c r="AP4837" s="313"/>
      <c r="AQ4837" s="314"/>
      <c r="AR4837" s="315" t="str">
        <f t="shared" si="149"/>
        <v/>
      </c>
    </row>
    <row r="4838" spans="37:44" ht="30" hidden="1" customHeight="1">
      <c r="AK4838" s="313"/>
      <c r="AL4838" s="313"/>
      <c r="AM4838" s="313"/>
      <c r="AN4838" s="313"/>
      <c r="AO4838" s="313"/>
      <c r="AP4838" s="313"/>
      <c r="AQ4838" s="314"/>
      <c r="AR4838" s="315" t="str">
        <f t="shared" si="149"/>
        <v/>
      </c>
    </row>
    <row r="4839" spans="37:44" ht="30" hidden="1" customHeight="1">
      <c r="AK4839" s="313"/>
      <c r="AL4839" s="313"/>
      <c r="AM4839" s="313"/>
      <c r="AN4839" s="313"/>
      <c r="AO4839" s="313"/>
      <c r="AP4839" s="313"/>
      <c r="AQ4839" s="314"/>
      <c r="AR4839" s="315" t="str">
        <f t="shared" si="149"/>
        <v/>
      </c>
    </row>
    <row r="4840" spans="37:44" ht="30" hidden="1" customHeight="1">
      <c r="AK4840" s="313"/>
      <c r="AL4840" s="313"/>
      <c r="AM4840" s="313"/>
      <c r="AN4840" s="313"/>
      <c r="AO4840" s="313"/>
      <c r="AP4840" s="313"/>
      <c r="AQ4840" s="314"/>
      <c r="AR4840" s="315" t="str">
        <f t="shared" si="149"/>
        <v/>
      </c>
    </row>
    <row r="4841" spans="37:44" ht="30" hidden="1" customHeight="1">
      <c r="AK4841" s="313"/>
      <c r="AL4841" s="313"/>
      <c r="AM4841" s="313"/>
      <c r="AN4841" s="313"/>
      <c r="AO4841" s="313"/>
      <c r="AP4841" s="313"/>
      <c r="AQ4841" s="314"/>
      <c r="AR4841" s="315" t="str">
        <f t="shared" si="149"/>
        <v/>
      </c>
    </row>
    <row r="4842" spans="37:44" ht="30" hidden="1" customHeight="1">
      <c r="AK4842" s="313"/>
      <c r="AL4842" s="313"/>
      <c r="AM4842" s="313"/>
      <c r="AN4842" s="313"/>
      <c r="AO4842" s="313"/>
      <c r="AP4842" s="313"/>
      <c r="AQ4842" s="314"/>
      <c r="AR4842" s="315" t="str">
        <f t="shared" si="149"/>
        <v/>
      </c>
    </row>
    <row r="4843" spans="37:44" ht="30" hidden="1" customHeight="1">
      <c r="AK4843" s="313"/>
      <c r="AL4843" s="313"/>
      <c r="AM4843" s="313"/>
      <c r="AN4843" s="313"/>
      <c r="AO4843" s="313"/>
      <c r="AP4843" s="313"/>
      <c r="AQ4843" s="314"/>
      <c r="AR4843" s="315" t="str">
        <f t="shared" si="149"/>
        <v/>
      </c>
    </row>
    <row r="4844" spans="37:44" ht="30" hidden="1" customHeight="1">
      <c r="AK4844" s="313"/>
      <c r="AL4844" s="313"/>
      <c r="AM4844" s="313"/>
      <c r="AN4844" s="313"/>
      <c r="AO4844" s="313"/>
      <c r="AP4844" s="313"/>
      <c r="AQ4844" s="314"/>
      <c r="AR4844" s="315" t="str">
        <f t="shared" si="149"/>
        <v/>
      </c>
    </row>
    <row r="4845" spans="37:44" ht="30" hidden="1" customHeight="1">
      <c r="AK4845" s="313"/>
      <c r="AL4845" s="313"/>
      <c r="AM4845" s="313"/>
      <c r="AN4845" s="313"/>
      <c r="AO4845" s="313"/>
      <c r="AP4845" s="313"/>
      <c r="AQ4845" s="314"/>
      <c r="AR4845" s="315" t="str">
        <f t="shared" si="149"/>
        <v/>
      </c>
    </row>
    <row r="4846" spans="37:44" ht="30" hidden="1" customHeight="1">
      <c r="AK4846" s="313"/>
      <c r="AL4846" s="313"/>
      <c r="AM4846" s="313"/>
      <c r="AN4846" s="313"/>
      <c r="AO4846" s="313"/>
      <c r="AP4846" s="313"/>
      <c r="AQ4846" s="314"/>
      <c r="AR4846" s="315" t="str">
        <f t="shared" si="149"/>
        <v/>
      </c>
    </row>
    <row r="4847" spans="37:44" ht="30" hidden="1" customHeight="1">
      <c r="AK4847" s="313"/>
      <c r="AL4847" s="313"/>
      <c r="AM4847" s="313"/>
      <c r="AN4847" s="313"/>
      <c r="AO4847" s="313"/>
      <c r="AP4847" s="313"/>
      <c r="AQ4847" s="314"/>
      <c r="AR4847" s="315" t="str">
        <f t="shared" si="149"/>
        <v/>
      </c>
    </row>
    <row r="4848" spans="37:44" ht="30" hidden="1" customHeight="1">
      <c r="AK4848" s="313"/>
      <c r="AL4848" s="313"/>
      <c r="AM4848" s="313"/>
      <c r="AN4848" s="313"/>
      <c r="AO4848" s="313"/>
      <c r="AP4848" s="313"/>
      <c r="AQ4848" s="314"/>
      <c r="AR4848" s="315" t="str">
        <f t="shared" si="149"/>
        <v/>
      </c>
    </row>
    <row r="4849" spans="37:44" ht="30" hidden="1" customHeight="1">
      <c r="AK4849" s="313"/>
      <c r="AL4849" s="313"/>
      <c r="AM4849" s="313"/>
      <c r="AN4849" s="313"/>
      <c r="AO4849" s="313"/>
      <c r="AP4849" s="313"/>
      <c r="AQ4849" s="314"/>
      <c r="AR4849" s="315" t="str">
        <f t="shared" si="149"/>
        <v/>
      </c>
    </row>
    <row r="4850" spans="37:44" ht="30" hidden="1" customHeight="1">
      <c r="AK4850" s="313"/>
      <c r="AL4850" s="313"/>
      <c r="AM4850" s="313"/>
      <c r="AN4850" s="313"/>
      <c r="AO4850" s="313"/>
      <c r="AP4850" s="313"/>
      <c r="AQ4850" s="314"/>
      <c r="AR4850" s="315" t="str">
        <f t="shared" si="149"/>
        <v/>
      </c>
    </row>
    <row r="4851" spans="37:44" ht="30" hidden="1" customHeight="1">
      <c r="AK4851" s="313"/>
      <c r="AL4851" s="313"/>
      <c r="AM4851" s="313"/>
      <c r="AN4851" s="313"/>
      <c r="AO4851" s="313"/>
      <c r="AP4851" s="313"/>
      <c r="AQ4851" s="314"/>
      <c r="AR4851" s="315" t="str">
        <f t="shared" si="149"/>
        <v/>
      </c>
    </row>
    <row r="4852" spans="37:44" ht="30" hidden="1" customHeight="1">
      <c r="AK4852" s="313"/>
      <c r="AL4852" s="313"/>
      <c r="AM4852" s="313"/>
      <c r="AN4852" s="313"/>
      <c r="AO4852" s="313"/>
      <c r="AP4852" s="313"/>
      <c r="AQ4852" s="314"/>
      <c r="AR4852" s="315" t="str">
        <f t="shared" si="149"/>
        <v/>
      </c>
    </row>
    <row r="4853" spans="37:44" ht="30" hidden="1" customHeight="1">
      <c r="AK4853" s="313"/>
      <c r="AL4853" s="313"/>
      <c r="AM4853" s="313"/>
      <c r="AN4853" s="313"/>
      <c r="AO4853" s="313"/>
      <c r="AP4853" s="313"/>
      <c r="AQ4853" s="314"/>
      <c r="AR4853" s="315" t="str">
        <f t="shared" si="149"/>
        <v/>
      </c>
    </row>
    <row r="4854" spans="37:44" ht="30" hidden="1" customHeight="1">
      <c r="AK4854" s="313"/>
      <c r="AL4854" s="313"/>
      <c r="AM4854" s="313"/>
      <c r="AN4854" s="313"/>
      <c r="AO4854" s="313"/>
      <c r="AP4854" s="313"/>
      <c r="AQ4854" s="314"/>
      <c r="AR4854" s="315" t="str">
        <f t="shared" si="149"/>
        <v/>
      </c>
    </row>
    <row r="4855" spans="37:44" ht="30" hidden="1" customHeight="1">
      <c r="AK4855" s="313"/>
      <c r="AL4855" s="313"/>
      <c r="AM4855" s="313"/>
      <c r="AN4855" s="313"/>
      <c r="AO4855" s="313"/>
      <c r="AP4855" s="313"/>
      <c r="AQ4855" s="314"/>
      <c r="AR4855" s="315" t="str">
        <f t="shared" si="149"/>
        <v/>
      </c>
    </row>
    <row r="4856" spans="37:44" ht="30" hidden="1" customHeight="1">
      <c r="AK4856" s="313"/>
      <c r="AL4856" s="313"/>
      <c r="AM4856" s="313"/>
      <c r="AN4856" s="313"/>
      <c r="AO4856" s="313"/>
      <c r="AP4856" s="313"/>
      <c r="AQ4856" s="314"/>
      <c r="AR4856" s="315" t="str">
        <f t="shared" si="149"/>
        <v/>
      </c>
    </row>
    <row r="4857" spans="37:44" ht="30" hidden="1" customHeight="1">
      <c r="AK4857" s="313"/>
      <c r="AL4857" s="313"/>
      <c r="AM4857" s="313"/>
      <c r="AN4857" s="313"/>
      <c r="AO4857" s="313"/>
      <c r="AP4857" s="313"/>
      <c r="AQ4857" s="314"/>
      <c r="AR4857" s="315" t="str">
        <f t="shared" si="149"/>
        <v/>
      </c>
    </row>
    <row r="4858" spans="37:44" ht="30" hidden="1" customHeight="1">
      <c r="AK4858" s="313"/>
      <c r="AL4858" s="313"/>
      <c r="AM4858" s="313"/>
      <c r="AN4858" s="313"/>
      <c r="AO4858" s="313"/>
      <c r="AP4858" s="313"/>
      <c r="AQ4858" s="314"/>
      <c r="AR4858" s="315" t="str">
        <f t="shared" si="149"/>
        <v/>
      </c>
    </row>
    <row r="4859" spans="37:44" ht="30" hidden="1" customHeight="1">
      <c r="AK4859" s="313"/>
      <c r="AL4859" s="313"/>
      <c r="AM4859" s="313"/>
      <c r="AN4859" s="313"/>
      <c r="AO4859" s="313"/>
      <c r="AP4859" s="313"/>
      <c r="AQ4859" s="314"/>
      <c r="AR4859" s="315" t="str">
        <f t="shared" si="149"/>
        <v/>
      </c>
    </row>
    <row r="4860" spans="37:44" ht="30" hidden="1" customHeight="1">
      <c r="AK4860" s="313"/>
      <c r="AL4860" s="313"/>
      <c r="AM4860" s="313"/>
      <c r="AN4860" s="313"/>
      <c r="AO4860" s="313"/>
      <c r="AP4860" s="313"/>
      <c r="AQ4860" s="314"/>
      <c r="AR4860" s="315" t="str">
        <f t="shared" si="149"/>
        <v/>
      </c>
    </row>
    <row r="4861" spans="37:44" ht="30" hidden="1" customHeight="1">
      <c r="AK4861" s="313"/>
      <c r="AL4861" s="313"/>
      <c r="AM4861" s="313"/>
      <c r="AN4861" s="313"/>
      <c r="AO4861" s="313"/>
      <c r="AP4861" s="313"/>
      <c r="AQ4861" s="314"/>
      <c r="AR4861" s="315" t="str">
        <f t="shared" si="149"/>
        <v/>
      </c>
    </row>
    <row r="4862" spans="37:44" ht="30" hidden="1" customHeight="1">
      <c r="AK4862" s="313"/>
      <c r="AL4862" s="313"/>
      <c r="AM4862" s="313"/>
      <c r="AN4862" s="313"/>
      <c r="AO4862" s="313"/>
      <c r="AP4862" s="313"/>
      <c r="AQ4862" s="314"/>
      <c r="AR4862" s="315" t="str">
        <f t="shared" si="149"/>
        <v/>
      </c>
    </row>
    <row r="4863" spans="37:44" ht="30" hidden="1" customHeight="1">
      <c r="AK4863" s="313"/>
      <c r="AL4863" s="313"/>
      <c r="AM4863" s="313"/>
      <c r="AN4863" s="313"/>
      <c r="AO4863" s="313"/>
      <c r="AP4863" s="313"/>
      <c r="AQ4863" s="314"/>
      <c r="AR4863" s="315" t="str">
        <f t="shared" ref="AR4863:AR4926" si="150">IF(AQ4863="SIM","AGUARDANDO CORREÇÃO",IF(AP4863&lt;&gt;"","FINALIZADO",IF(AO4863&lt;&gt;"","AGUARDANDO ENVIO DTS",IF(AN4863&lt;&gt;"","AGUARDANDO ASSINATURA GAB",IF(AM4863&lt;&gt;"","AGUARDANDO ASSINATURA CTS",IF(AL4863&lt;&gt;"","AGUARDANDO ENVIO ASSINATURA CTS",IF(AK4863&lt;&gt;"","AGUARDANDO CONFERÊNCIA","")))))))</f>
        <v/>
      </c>
    </row>
    <row r="4864" spans="37:44" ht="30" hidden="1" customHeight="1">
      <c r="AK4864" s="313"/>
      <c r="AL4864" s="313"/>
      <c r="AM4864" s="313"/>
      <c r="AN4864" s="313"/>
      <c r="AO4864" s="313"/>
      <c r="AP4864" s="313"/>
      <c r="AQ4864" s="314"/>
      <c r="AR4864" s="315" t="str">
        <f t="shared" si="150"/>
        <v/>
      </c>
    </row>
    <row r="4865" spans="37:44" ht="30" hidden="1" customHeight="1">
      <c r="AK4865" s="313"/>
      <c r="AL4865" s="313"/>
      <c r="AM4865" s="313"/>
      <c r="AN4865" s="313"/>
      <c r="AO4865" s="313"/>
      <c r="AP4865" s="313"/>
      <c r="AQ4865" s="314"/>
      <c r="AR4865" s="315" t="str">
        <f t="shared" si="150"/>
        <v/>
      </c>
    </row>
    <row r="4866" spans="37:44" ht="30" hidden="1" customHeight="1">
      <c r="AK4866" s="313"/>
      <c r="AL4866" s="313"/>
      <c r="AM4866" s="313"/>
      <c r="AN4866" s="313"/>
      <c r="AO4866" s="313"/>
      <c r="AP4866" s="313"/>
      <c r="AQ4866" s="314"/>
      <c r="AR4866" s="315" t="str">
        <f t="shared" si="150"/>
        <v/>
      </c>
    </row>
    <row r="4867" spans="37:44" ht="30" hidden="1" customHeight="1">
      <c r="AK4867" s="313"/>
      <c r="AL4867" s="313"/>
      <c r="AM4867" s="313"/>
      <c r="AN4867" s="313"/>
      <c r="AO4867" s="313"/>
      <c r="AP4867" s="313"/>
      <c r="AQ4867" s="314"/>
      <c r="AR4867" s="315" t="str">
        <f t="shared" si="150"/>
        <v/>
      </c>
    </row>
    <row r="4868" spans="37:44" ht="30" hidden="1" customHeight="1">
      <c r="AK4868" s="313"/>
      <c r="AL4868" s="313"/>
      <c r="AM4868" s="313"/>
      <c r="AN4868" s="313"/>
      <c r="AO4868" s="313"/>
      <c r="AP4868" s="313"/>
      <c r="AQ4868" s="314"/>
      <c r="AR4868" s="315" t="str">
        <f t="shared" si="150"/>
        <v/>
      </c>
    </row>
    <row r="4869" spans="37:44" ht="30" hidden="1" customHeight="1">
      <c r="AK4869" s="313"/>
      <c r="AL4869" s="313"/>
      <c r="AM4869" s="313"/>
      <c r="AN4869" s="313"/>
      <c r="AO4869" s="313"/>
      <c r="AP4869" s="313"/>
      <c r="AQ4869" s="314"/>
      <c r="AR4869" s="315" t="str">
        <f t="shared" si="150"/>
        <v/>
      </c>
    </row>
    <row r="4870" spans="37:44" ht="30" hidden="1" customHeight="1">
      <c r="AK4870" s="313"/>
      <c r="AL4870" s="313"/>
      <c r="AM4870" s="313"/>
      <c r="AN4870" s="313"/>
      <c r="AO4870" s="313"/>
      <c r="AP4870" s="313"/>
      <c r="AQ4870" s="314"/>
      <c r="AR4870" s="315" t="str">
        <f t="shared" si="150"/>
        <v/>
      </c>
    </row>
    <row r="4871" spans="37:44" ht="30" hidden="1" customHeight="1">
      <c r="AK4871" s="313"/>
      <c r="AL4871" s="313"/>
      <c r="AM4871" s="313"/>
      <c r="AN4871" s="313"/>
      <c r="AO4871" s="313"/>
      <c r="AP4871" s="313"/>
      <c r="AQ4871" s="314"/>
      <c r="AR4871" s="315" t="str">
        <f t="shared" si="150"/>
        <v/>
      </c>
    </row>
    <row r="4872" spans="37:44" ht="30" hidden="1" customHeight="1">
      <c r="AK4872" s="313"/>
      <c r="AL4872" s="313"/>
      <c r="AM4872" s="313"/>
      <c r="AN4872" s="313"/>
      <c r="AO4872" s="313"/>
      <c r="AP4872" s="313"/>
      <c r="AQ4872" s="314"/>
      <c r="AR4872" s="315" t="str">
        <f t="shared" si="150"/>
        <v/>
      </c>
    </row>
    <row r="4873" spans="37:44" ht="30" hidden="1" customHeight="1">
      <c r="AK4873" s="313"/>
      <c r="AL4873" s="313"/>
      <c r="AM4873" s="313"/>
      <c r="AN4873" s="313"/>
      <c r="AO4873" s="313"/>
      <c r="AP4873" s="313"/>
      <c r="AQ4873" s="314"/>
      <c r="AR4873" s="315" t="str">
        <f t="shared" si="150"/>
        <v/>
      </c>
    </row>
    <row r="4874" spans="37:44" ht="30" hidden="1" customHeight="1">
      <c r="AK4874" s="313"/>
      <c r="AL4874" s="313"/>
      <c r="AM4874" s="313"/>
      <c r="AN4874" s="313"/>
      <c r="AO4874" s="313"/>
      <c r="AP4874" s="313"/>
      <c r="AQ4874" s="314"/>
      <c r="AR4874" s="315" t="str">
        <f t="shared" si="150"/>
        <v/>
      </c>
    </row>
    <row r="4875" spans="37:44" ht="30" hidden="1" customHeight="1">
      <c r="AK4875" s="313"/>
      <c r="AL4875" s="313"/>
      <c r="AM4875" s="313"/>
      <c r="AN4875" s="313"/>
      <c r="AO4875" s="313"/>
      <c r="AP4875" s="313"/>
      <c r="AQ4875" s="314"/>
      <c r="AR4875" s="315" t="str">
        <f t="shared" si="150"/>
        <v/>
      </c>
    </row>
    <row r="4876" spans="37:44" ht="30" hidden="1" customHeight="1">
      <c r="AK4876" s="313"/>
      <c r="AL4876" s="313"/>
      <c r="AM4876" s="313"/>
      <c r="AN4876" s="313"/>
      <c r="AO4876" s="313"/>
      <c r="AP4876" s="313"/>
      <c r="AQ4876" s="314"/>
      <c r="AR4876" s="315" t="str">
        <f t="shared" si="150"/>
        <v/>
      </c>
    </row>
    <row r="4877" spans="37:44" ht="30" hidden="1" customHeight="1">
      <c r="AK4877" s="313"/>
      <c r="AL4877" s="313"/>
      <c r="AM4877" s="313"/>
      <c r="AN4877" s="313"/>
      <c r="AO4877" s="313"/>
      <c r="AP4877" s="313"/>
      <c r="AQ4877" s="314"/>
      <c r="AR4877" s="315" t="str">
        <f t="shared" si="150"/>
        <v/>
      </c>
    </row>
    <row r="4878" spans="37:44" ht="30" hidden="1" customHeight="1">
      <c r="AK4878" s="313"/>
      <c r="AL4878" s="313"/>
      <c r="AM4878" s="313"/>
      <c r="AN4878" s="313"/>
      <c r="AO4878" s="313"/>
      <c r="AP4878" s="313"/>
      <c r="AQ4878" s="314"/>
      <c r="AR4878" s="315" t="str">
        <f t="shared" si="150"/>
        <v/>
      </c>
    </row>
    <row r="4879" spans="37:44" ht="30" hidden="1" customHeight="1">
      <c r="AK4879" s="313"/>
      <c r="AL4879" s="313"/>
      <c r="AM4879" s="313"/>
      <c r="AN4879" s="313"/>
      <c r="AO4879" s="313"/>
      <c r="AP4879" s="313"/>
      <c r="AQ4879" s="314"/>
      <c r="AR4879" s="315" t="str">
        <f t="shared" si="150"/>
        <v/>
      </c>
    </row>
    <row r="4880" spans="37:44" ht="30" hidden="1" customHeight="1">
      <c r="AK4880" s="313"/>
      <c r="AL4880" s="313"/>
      <c r="AM4880" s="313"/>
      <c r="AN4880" s="313"/>
      <c r="AO4880" s="313"/>
      <c r="AP4880" s="313"/>
      <c r="AQ4880" s="314"/>
      <c r="AR4880" s="315" t="str">
        <f t="shared" si="150"/>
        <v/>
      </c>
    </row>
    <row r="4881" spans="37:44" ht="30" hidden="1" customHeight="1">
      <c r="AK4881" s="313"/>
      <c r="AL4881" s="313"/>
      <c r="AM4881" s="313"/>
      <c r="AN4881" s="313"/>
      <c r="AO4881" s="313"/>
      <c r="AP4881" s="313"/>
      <c r="AQ4881" s="314"/>
      <c r="AR4881" s="315" t="str">
        <f t="shared" si="150"/>
        <v/>
      </c>
    </row>
    <row r="4882" spans="37:44" ht="30" hidden="1" customHeight="1">
      <c r="AK4882" s="313"/>
      <c r="AL4882" s="313"/>
      <c r="AM4882" s="313"/>
      <c r="AN4882" s="313"/>
      <c r="AO4882" s="313"/>
      <c r="AP4882" s="313"/>
      <c r="AQ4882" s="314"/>
      <c r="AR4882" s="315" t="str">
        <f t="shared" si="150"/>
        <v/>
      </c>
    </row>
    <row r="4883" spans="37:44" ht="30" hidden="1" customHeight="1">
      <c r="AK4883" s="313"/>
      <c r="AL4883" s="313"/>
      <c r="AM4883" s="313"/>
      <c r="AN4883" s="313"/>
      <c r="AO4883" s="313"/>
      <c r="AP4883" s="313"/>
      <c r="AQ4883" s="314"/>
      <c r="AR4883" s="315" t="str">
        <f t="shared" si="150"/>
        <v/>
      </c>
    </row>
    <row r="4884" spans="37:44" ht="30" hidden="1" customHeight="1">
      <c r="AK4884" s="313"/>
      <c r="AL4884" s="313"/>
      <c r="AM4884" s="313"/>
      <c r="AN4884" s="313"/>
      <c r="AO4884" s="313"/>
      <c r="AP4884" s="313"/>
      <c r="AQ4884" s="314"/>
      <c r="AR4884" s="315" t="str">
        <f t="shared" si="150"/>
        <v/>
      </c>
    </row>
    <row r="4885" spans="37:44" ht="30" hidden="1" customHeight="1">
      <c r="AK4885" s="313"/>
      <c r="AL4885" s="313"/>
      <c r="AM4885" s="313"/>
      <c r="AN4885" s="313"/>
      <c r="AO4885" s="313"/>
      <c r="AP4885" s="313"/>
      <c r="AQ4885" s="314"/>
      <c r="AR4885" s="315" t="str">
        <f t="shared" si="150"/>
        <v/>
      </c>
    </row>
    <row r="4886" spans="37:44" ht="30" hidden="1" customHeight="1">
      <c r="AK4886" s="313"/>
      <c r="AL4886" s="313"/>
      <c r="AM4886" s="313"/>
      <c r="AN4886" s="313"/>
      <c r="AO4886" s="313"/>
      <c r="AP4886" s="313"/>
      <c r="AQ4886" s="314"/>
      <c r="AR4886" s="315" t="str">
        <f t="shared" si="150"/>
        <v/>
      </c>
    </row>
    <row r="4887" spans="37:44" ht="30" hidden="1" customHeight="1">
      <c r="AK4887" s="313"/>
      <c r="AL4887" s="313"/>
      <c r="AM4887" s="313"/>
      <c r="AN4887" s="313"/>
      <c r="AO4887" s="313"/>
      <c r="AP4887" s="313"/>
      <c r="AQ4887" s="314"/>
      <c r="AR4887" s="315" t="str">
        <f t="shared" si="150"/>
        <v/>
      </c>
    </row>
    <row r="4888" spans="37:44" ht="30" hidden="1" customHeight="1">
      <c r="AK4888" s="313"/>
      <c r="AL4888" s="313"/>
      <c r="AM4888" s="313"/>
      <c r="AN4888" s="313"/>
      <c r="AO4888" s="313"/>
      <c r="AP4888" s="313"/>
      <c r="AQ4888" s="314"/>
      <c r="AR4888" s="315" t="str">
        <f t="shared" si="150"/>
        <v/>
      </c>
    </row>
    <row r="4889" spans="37:44" ht="30" hidden="1" customHeight="1">
      <c r="AK4889" s="313"/>
      <c r="AL4889" s="313"/>
      <c r="AM4889" s="313"/>
      <c r="AN4889" s="313"/>
      <c r="AO4889" s="313"/>
      <c r="AP4889" s="313"/>
      <c r="AQ4889" s="314"/>
      <c r="AR4889" s="315" t="str">
        <f t="shared" si="150"/>
        <v/>
      </c>
    </row>
    <row r="4890" spans="37:44" ht="30" hidden="1" customHeight="1">
      <c r="AK4890" s="313"/>
      <c r="AL4890" s="313"/>
      <c r="AM4890" s="313"/>
      <c r="AN4890" s="313"/>
      <c r="AO4890" s="313"/>
      <c r="AP4890" s="313"/>
      <c r="AQ4890" s="314"/>
      <c r="AR4890" s="315" t="str">
        <f t="shared" si="150"/>
        <v/>
      </c>
    </row>
    <row r="4891" spans="37:44" ht="30" hidden="1" customHeight="1">
      <c r="AK4891" s="313"/>
      <c r="AL4891" s="313"/>
      <c r="AM4891" s="313"/>
      <c r="AN4891" s="313"/>
      <c r="AO4891" s="313"/>
      <c r="AP4891" s="313"/>
      <c r="AQ4891" s="314"/>
      <c r="AR4891" s="315" t="str">
        <f t="shared" si="150"/>
        <v/>
      </c>
    </row>
    <row r="4892" spans="37:44" ht="30" hidden="1" customHeight="1">
      <c r="AK4892" s="313"/>
      <c r="AL4892" s="313"/>
      <c r="AM4892" s="313"/>
      <c r="AN4892" s="313"/>
      <c r="AO4892" s="313"/>
      <c r="AP4892" s="313"/>
      <c r="AQ4892" s="314"/>
      <c r="AR4892" s="315" t="str">
        <f t="shared" si="150"/>
        <v/>
      </c>
    </row>
    <row r="4893" spans="37:44" ht="30" hidden="1" customHeight="1">
      <c r="AK4893" s="313"/>
      <c r="AL4893" s="313"/>
      <c r="AM4893" s="313"/>
      <c r="AN4893" s="313"/>
      <c r="AO4893" s="313"/>
      <c r="AP4893" s="313"/>
      <c r="AQ4893" s="314"/>
      <c r="AR4893" s="315" t="str">
        <f t="shared" si="150"/>
        <v/>
      </c>
    </row>
    <row r="4894" spans="37:44" ht="30" hidden="1" customHeight="1">
      <c r="AK4894" s="313"/>
      <c r="AL4894" s="313"/>
      <c r="AM4894" s="313"/>
      <c r="AN4894" s="313"/>
      <c r="AO4894" s="313"/>
      <c r="AP4894" s="313"/>
      <c r="AQ4894" s="314"/>
      <c r="AR4894" s="315" t="str">
        <f t="shared" si="150"/>
        <v/>
      </c>
    </row>
    <row r="4895" spans="37:44" ht="30" hidden="1" customHeight="1">
      <c r="AK4895" s="313"/>
      <c r="AL4895" s="313"/>
      <c r="AM4895" s="313"/>
      <c r="AN4895" s="313"/>
      <c r="AO4895" s="313"/>
      <c r="AP4895" s="313"/>
      <c r="AQ4895" s="314"/>
      <c r="AR4895" s="315" t="str">
        <f t="shared" si="150"/>
        <v/>
      </c>
    </row>
    <row r="4896" spans="37:44" ht="30" hidden="1" customHeight="1">
      <c r="AK4896" s="313"/>
      <c r="AL4896" s="313"/>
      <c r="AM4896" s="313"/>
      <c r="AN4896" s="313"/>
      <c r="AO4896" s="313"/>
      <c r="AP4896" s="313"/>
      <c r="AQ4896" s="314"/>
      <c r="AR4896" s="315" t="str">
        <f t="shared" si="150"/>
        <v/>
      </c>
    </row>
    <row r="4897" spans="37:44" ht="30" hidden="1" customHeight="1">
      <c r="AK4897" s="313"/>
      <c r="AL4897" s="313"/>
      <c r="AM4897" s="313"/>
      <c r="AN4897" s="313"/>
      <c r="AO4897" s="313"/>
      <c r="AP4897" s="313"/>
      <c r="AQ4897" s="314"/>
      <c r="AR4897" s="315" t="str">
        <f t="shared" si="150"/>
        <v/>
      </c>
    </row>
    <row r="4898" spans="37:44" ht="30" hidden="1" customHeight="1">
      <c r="AK4898" s="313"/>
      <c r="AL4898" s="313"/>
      <c r="AM4898" s="313"/>
      <c r="AN4898" s="313"/>
      <c r="AO4898" s="313"/>
      <c r="AP4898" s="313"/>
      <c r="AQ4898" s="314"/>
      <c r="AR4898" s="315" t="str">
        <f t="shared" si="150"/>
        <v/>
      </c>
    </row>
    <row r="4899" spans="37:44" ht="30" hidden="1" customHeight="1">
      <c r="AK4899" s="313"/>
      <c r="AL4899" s="313"/>
      <c r="AM4899" s="313"/>
      <c r="AN4899" s="313"/>
      <c r="AO4899" s="313"/>
      <c r="AP4899" s="313"/>
      <c r="AQ4899" s="314"/>
      <c r="AR4899" s="315" t="str">
        <f t="shared" si="150"/>
        <v/>
      </c>
    </row>
    <row r="4900" spans="37:44" ht="30" hidden="1" customHeight="1">
      <c r="AK4900" s="313"/>
      <c r="AL4900" s="313"/>
      <c r="AM4900" s="313"/>
      <c r="AN4900" s="313"/>
      <c r="AO4900" s="313"/>
      <c r="AP4900" s="313"/>
      <c r="AQ4900" s="314"/>
      <c r="AR4900" s="315" t="str">
        <f t="shared" si="150"/>
        <v/>
      </c>
    </row>
    <row r="4901" spans="37:44" ht="30" hidden="1" customHeight="1">
      <c r="AK4901" s="313"/>
      <c r="AL4901" s="313"/>
      <c r="AM4901" s="313"/>
      <c r="AN4901" s="313"/>
      <c r="AO4901" s="313"/>
      <c r="AP4901" s="313"/>
      <c r="AQ4901" s="314"/>
      <c r="AR4901" s="315" t="str">
        <f t="shared" si="150"/>
        <v/>
      </c>
    </row>
    <row r="4902" spans="37:44" ht="30" hidden="1" customHeight="1">
      <c r="AK4902" s="313"/>
      <c r="AL4902" s="313"/>
      <c r="AM4902" s="313"/>
      <c r="AN4902" s="313"/>
      <c r="AO4902" s="313"/>
      <c r="AP4902" s="313"/>
      <c r="AQ4902" s="314"/>
      <c r="AR4902" s="315" t="str">
        <f t="shared" si="150"/>
        <v/>
      </c>
    </row>
    <row r="4903" spans="37:44" ht="30" hidden="1" customHeight="1">
      <c r="AK4903" s="313"/>
      <c r="AL4903" s="313"/>
      <c r="AM4903" s="313"/>
      <c r="AN4903" s="313"/>
      <c r="AO4903" s="313"/>
      <c r="AP4903" s="313"/>
      <c r="AQ4903" s="314"/>
      <c r="AR4903" s="315" t="str">
        <f t="shared" si="150"/>
        <v/>
      </c>
    </row>
    <row r="4904" spans="37:44" ht="30" hidden="1" customHeight="1">
      <c r="AK4904" s="313"/>
      <c r="AL4904" s="313"/>
      <c r="AM4904" s="313"/>
      <c r="AN4904" s="313"/>
      <c r="AO4904" s="313"/>
      <c r="AP4904" s="313"/>
      <c r="AQ4904" s="314"/>
      <c r="AR4904" s="315" t="str">
        <f t="shared" si="150"/>
        <v/>
      </c>
    </row>
    <row r="4905" spans="37:44" ht="30" hidden="1" customHeight="1">
      <c r="AK4905" s="313"/>
      <c r="AL4905" s="313"/>
      <c r="AM4905" s="313"/>
      <c r="AN4905" s="313"/>
      <c r="AO4905" s="313"/>
      <c r="AP4905" s="313"/>
      <c r="AQ4905" s="314"/>
      <c r="AR4905" s="315" t="str">
        <f t="shared" si="150"/>
        <v/>
      </c>
    </row>
    <row r="4906" spans="37:44" ht="30" hidden="1" customHeight="1">
      <c r="AK4906" s="313"/>
      <c r="AL4906" s="313"/>
      <c r="AM4906" s="313"/>
      <c r="AN4906" s="313"/>
      <c r="AO4906" s="313"/>
      <c r="AP4906" s="313"/>
      <c r="AQ4906" s="314"/>
      <c r="AR4906" s="315" t="str">
        <f t="shared" si="150"/>
        <v/>
      </c>
    </row>
    <row r="4907" spans="37:44" ht="30" hidden="1" customHeight="1">
      <c r="AK4907" s="313"/>
      <c r="AL4907" s="313"/>
      <c r="AM4907" s="313"/>
      <c r="AN4907" s="313"/>
      <c r="AO4907" s="313"/>
      <c r="AP4907" s="313"/>
      <c r="AQ4907" s="314"/>
      <c r="AR4907" s="315" t="str">
        <f t="shared" si="150"/>
        <v/>
      </c>
    </row>
    <row r="4908" spans="37:44" ht="30" hidden="1" customHeight="1">
      <c r="AK4908" s="313"/>
      <c r="AL4908" s="313"/>
      <c r="AM4908" s="313"/>
      <c r="AN4908" s="313"/>
      <c r="AO4908" s="313"/>
      <c r="AP4908" s="313"/>
      <c r="AQ4908" s="314"/>
      <c r="AR4908" s="315" t="str">
        <f t="shared" si="150"/>
        <v/>
      </c>
    </row>
    <row r="4909" spans="37:44" ht="30" hidden="1" customHeight="1">
      <c r="AK4909" s="313"/>
      <c r="AL4909" s="313"/>
      <c r="AM4909" s="313"/>
      <c r="AN4909" s="313"/>
      <c r="AO4909" s="313"/>
      <c r="AP4909" s="313"/>
      <c r="AQ4909" s="314"/>
      <c r="AR4909" s="315" t="str">
        <f t="shared" si="150"/>
        <v/>
      </c>
    </row>
    <row r="4910" spans="37:44" ht="30" hidden="1" customHeight="1">
      <c r="AK4910" s="313"/>
      <c r="AL4910" s="313"/>
      <c r="AM4910" s="313"/>
      <c r="AN4910" s="313"/>
      <c r="AO4910" s="313"/>
      <c r="AP4910" s="313"/>
      <c r="AQ4910" s="314"/>
      <c r="AR4910" s="315" t="str">
        <f t="shared" si="150"/>
        <v/>
      </c>
    </row>
    <row r="4911" spans="37:44" ht="30" hidden="1" customHeight="1">
      <c r="AK4911" s="313"/>
      <c r="AL4911" s="313"/>
      <c r="AM4911" s="313"/>
      <c r="AN4911" s="313"/>
      <c r="AO4911" s="313"/>
      <c r="AP4911" s="313"/>
      <c r="AQ4911" s="314"/>
      <c r="AR4911" s="315" t="str">
        <f t="shared" si="150"/>
        <v/>
      </c>
    </row>
    <row r="4912" spans="37:44" ht="30" hidden="1" customHeight="1">
      <c r="AK4912" s="313"/>
      <c r="AL4912" s="313"/>
      <c r="AM4912" s="313"/>
      <c r="AN4912" s="313"/>
      <c r="AO4912" s="313"/>
      <c r="AP4912" s="313"/>
      <c r="AQ4912" s="314"/>
      <c r="AR4912" s="315" t="str">
        <f t="shared" si="150"/>
        <v/>
      </c>
    </row>
    <row r="4913" spans="37:44" ht="30" hidden="1" customHeight="1">
      <c r="AK4913" s="313"/>
      <c r="AL4913" s="313"/>
      <c r="AM4913" s="313"/>
      <c r="AN4913" s="313"/>
      <c r="AO4913" s="313"/>
      <c r="AP4913" s="313"/>
      <c r="AQ4913" s="314"/>
      <c r="AR4913" s="315" t="str">
        <f t="shared" si="150"/>
        <v/>
      </c>
    </row>
    <row r="4914" spans="37:44" ht="30" hidden="1" customHeight="1">
      <c r="AK4914" s="313"/>
      <c r="AL4914" s="313"/>
      <c r="AM4914" s="313"/>
      <c r="AN4914" s="313"/>
      <c r="AO4914" s="313"/>
      <c r="AP4914" s="313"/>
      <c r="AQ4914" s="314"/>
      <c r="AR4914" s="315" t="str">
        <f t="shared" si="150"/>
        <v/>
      </c>
    </row>
    <row r="4915" spans="37:44" ht="30" hidden="1" customHeight="1">
      <c r="AK4915" s="313"/>
      <c r="AL4915" s="313"/>
      <c r="AM4915" s="313"/>
      <c r="AN4915" s="313"/>
      <c r="AO4915" s="313"/>
      <c r="AP4915" s="313"/>
      <c r="AQ4915" s="314"/>
      <c r="AR4915" s="315" t="str">
        <f t="shared" si="150"/>
        <v/>
      </c>
    </row>
    <row r="4916" spans="37:44" ht="30" hidden="1" customHeight="1">
      <c r="AK4916" s="313"/>
      <c r="AL4916" s="313"/>
      <c r="AM4916" s="313"/>
      <c r="AN4916" s="313"/>
      <c r="AO4916" s="313"/>
      <c r="AP4916" s="313"/>
      <c r="AQ4916" s="314"/>
      <c r="AR4916" s="315" t="str">
        <f t="shared" si="150"/>
        <v/>
      </c>
    </row>
    <row r="4917" spans="37:44" ht="30" hidden="1" customHeight="1">
      <c r="AK4917" s="313"/>
      <c r="AL4917" s="313"/>
      <c r="AM4917" s="313"/>
      <c r="AN4917" s="313"/>
      <c r="AO4917" s="313"/>
      <c r="AP4917" s="313"/>
      <c r="AQ4917" s="314"/>
      <c r="AR4917" s="315" t="str">
        <f t="shared" si="150"/>
        <v/>
      </c>
    </row>
    <row r="4918" spans="37:44" ht="30" hidden="1" customHeight="1">
      <c r="AK4918" s="313"/>
      <c r="AL4918" s="313"/>
      <c r="AM4918" s="313"/>
      <c r="AN4918" s="313"/>
      <c r="AO4918" s="313"/>
      <c r="AP4918" s="313"/>
      <c r="AQ4918" s="314"/>
      <c r="AR4918" s="315" t="str">
        <f t="shared" si="150"/>
        <v/>
      </c>
    </row>
    <row r="4919" spans="37:44" ht="30" hidden="1" customHeight="1">
      <c r="AK4919" s="313"/>
      <c r="AL4919" s="313"/>
      <c r="AM4919" s="313"/>
      <c r="AN4919" s="313"/>
      <c r="AO4919" s="313"/>
      <c r="AP4919" s="313"/>
      <c r="AQ4919" s="314"/>
      <c r="AR4919" s="315" t="str">
        <f t="shared" si="150"/>
        <v/>
      </c>
    </row>
    <row r="4920" spans="37:44" ht="30" hidden="1" customHeight="1">
      <c r="AK4920" s="313"/>
      <c r="AL4920" s="313"/>
      <c r="AM4920" s="313"/>
      <c r="AN4920" s="313"/>
      <c r="AO4920" s="313"/>
      <c r="AP4920" s="313"/>
      <c r="AQ4920" s="314"/>
      <c r="AR4920" s="315" t="str">
        <f t="shared" si="150"/>
        <v/>
      </c>
    </row>
    <row r="4921" spans="37:44" ht="30" hidden="1" customHeight="1">
      <c r="AK4921" s="313"/>
      <c r="AL4921" s="313"/>
      <c r="AM4921" s="313"/>
      <c r="AN4921" s="313"/>
      <c r="AO4921" s="313"/>
      <c r="AP4921" s="313"/>
      <c r="AQ4921" s="314"/>
      <c r="AR4921" s="315" t="str">
        <f t="shared" si="150"/>
        <v/>
      </c>
    </row>
    <row r="4922" spans="37:44" ht="30" hidden="1" customHeight="1">
      <c r="AK4922" s="313"/>
      <c r="AL4922" s="313"/>
      <c r="AM4922" s="313"/>
      <c r="AN4922" s="313"/>
      <c r="AO4922" s="313"/>
      <c r="AP4922" s="313"/>
      <c r="AQ4922" s="314"/>
      <c r="AR4922" s="315" t="str">
        <f t="shared" si="150"/>
        <v/>
      </c>
    </row>
    <row r="4923" spans="37:44" ht="30" hidden="1" customHeight="1">
      <c r="AK4923" s="313"/>
      <c r="AL4923" s="313"/>
      <c r="AM4923" s="313"/>
      <c r="AN4923" s="313"/>
      <c r="AO4923" s="313"/>
      <c r="AP4923" s="313"/>
      <c r="AQ4923" s="314"/>
      <c r="AR4923" s="315" t="str">
        <f t="shared" si="150"/>
        <v/>
      </c>
    </row>
    <row r="4924" spans="37:44" ht="30" hidden="1" customHeight="1">
      <c r="AK4924" s="313"/>
      <c r="AL4924" s="313"/>
      <c r="AM4924" s="313"/>
      <c r="AN4924" s="313"/>
      <c r="AO4924" s="313"/>
      <c r="AP4924" s="313"/>
      <c r="AQ4924" s="314"/>
      <c r="AR4924" s="315" t="str">
        <f t="shared" si="150"/>
        <v/>
      </c>
    </row>
    <row r="4925" spans="37:44" ht="30" hidden="1" customHeight="1">
      <c r="AK4925" s="313"/>
      <c r="AL4925" s="313"/>
      <c r="AM4925" s="313"/>
      <c r="AN4925" s="313"/>
      <c r="AO4925" s="313"/>
      <c r="AP4925" s="313"/>
      <c r="AQ4925" s="314"/>
      <c r="AR4925" s="315" t="str">
        <f t="shared" si="150"/>
        <v/>
      </c>
    </row>
    <row r="4926" spans="37:44" ht="30" hidden="1" customHeight="1">
      <c r="AK4926" s="313"/>
      <c r="AL4926" s="313"/>
      <c r="AM4926" s="313"/>
      <c r="AN4926" s="313"/>
      <c r="AO4926" s="313"/>
      <c r="AP4926" s="313"/>
      <c r="AQ4926" s="314"/>
      <c r="AR4926" s="315" t="str">
        <f t="shared" si="150"/>
        <v/>
      </c>
    </row>
    <row r="4927" spans="37:44" ht="30" hidden="1" customHeight="1">
      <c r="AK4927" s="313"/>
      <c r="AL4927" s="313"/>
      <c r="AM4927" s="313"/>
      <c r="AN4927" s="313"/>
      <c r="AO4927" s="313"/>
      <c r="AP4927" s="313"/>
      <c r="AQ4927" s="314"/>
      <c r="AR4927" s="315" t="str">
        <f t="shared" ref="AR4927:AR4990" si="151">IF(AQ4927="SIM","AGUARDANDO CORREÇÃO",IF(AP4927&lt;&gt;"","FINALIZADO",IF(AO4927&lt;&gt;"","AGUARDANDO ENVIO DTS",IF(AN4927&lt;&gt;"","AGUARDANDO ASSINATURA GAB",IF(AM4927&lt;&gt;"","AGUARDANDO ASSINATURA CTS",IF(AL4927&lt;&gt;"","AGUARDANDO ENVIO ASSINATURA CTS",IF(AK4927&lt;&gt;"","AGUARDANDO CONFERÊNCIA","")))))))</f>
        <v/>
      </c>
    </row>
    <row r="4928" spans="37:44" ht="30" hidden="1" customHeight="1">
      <c r="AK4928" s="313"/>
      <c r="AL4928" s="313"/>
      <c r="AM4928" s="313"/>
      <c r="AN4928" s="313"/>
      <c r="AO4928" s="313"/>
      <c r="AP4928" s="313"/>
      <c r="AQ4928" s="314"/>
      <c r="AR4928" s="315" t="str">
        <f t="shared" si="151"/>
        <v/>
      </c>
    </row>
    <row r="4929" spans="37:44" ht="30" hidden="1" customHeight="1">
      <c r="AK4929" s="313"/>
      <c r="AL4929" s="313"/>
      <c r="AM4929" s="313"/>
      <c r="AN4929" s="313"/>
      <c r="AO4929" s="313"/>
      <c r="AP4929" s="313"/>
      <c r="AQ4929" s="314"/>
      <c r="AR4929" s="315" t="str">
        <f t="shared" si="151"/>
        <v/>
      </c>
    </row>
    <row r="4930" spans="37:44" ht="30" hidden="1" customHeight="1">
      <c r="AK4930" s="313"/>
      <c r="AL4930" s="313"/>
      <c r="AM4930" s="313"/>
      <c r="AN4930" s="313"/>
      <c r="AO4930" s="313"/>
      <c r="AP4930" s="313"/>
      <c r="AQ4930" s="314"/>
      <c r="AR4930" s="315" t="str">
        <f t="shared" si="151"/>
        <v/>
      </c>
    </row>
    <row r="4931" spans="37:44" ht="30" hidden="1" customHeight="1">
      <c r="AK4931" s="313"/>
      <c r="AL4931" s="313"/>
      <c r="AM4931" s="313"/>
      <c r="AN4931" s="313"/>
      <c r="AO4931" s="313"/>
      <c r="AP4931" s="313"/>
      <c r="AQ4931" s="314"/>
      <c r="AR4931" s="315" t="str">
        <f t="shared" si="151"/>
        <v/>
      </c>
    </row>
    <row r="4932" spans="37:44" ht="30" hidden="1" customHeight="1">
      <c r="AK4932" s="313"/>
      <c r="AL4932" s="313"/>
      <c r="AM4932" s="313"/>
      <c r="AN4932" s="313"/>
      <c r="AO4932" s="313"/>
      <c r="AP4932" s="313"/>
      <c r="AQ4932" s="314"/>
      <c r="AR4932" s="315" t="str">
        <f t="shared" si="151"/>
        <v/>
      </c>
    </row>
    <row r="4933" spans="37:44" ht="30" hidden="1" customHeight="1">
      <c r="AK4933" s="313"/>
      <c r="AL4933" s="313"/>
      <c r="AM4933" s="313"/>
      <c r="AN4933" s="313"/>
      <c r="AO4933" s="313"/>
      <c r="AP4933" s="313"/>
      <c r="AQ4933" s="314"/>
      <c r="AR4933" s="315" t="str">
        <f t="shared" si="151"/>
        <v/>
      </c>
    </row>
    <row r="4934" spans="37:44" ht="30" hidden="1" customHeight="1">
      <c r="AK4934" s="313"/>
      <c r="AL4934" s="313"/>
      <c r="AM4934" s="313"/>
      <c r="AN4934" s="313"/>
      <c r="AO4934" s="313"/>
      <c r="AP4934" s="313"/>
      <c r="AQ4934" s="314"/>
      <c r="AR4934" s="315" t="str">
        <f t="shared" si="151"/>
        <v/>
      </c>
    </row>
    <row r="4935" spans="37:44" ht="30" hidden="1" customHeight="1">
      <c r="AK4935" s="313"/>
      <c r="AL4935" s="313"/>
      <c r="AM4935" s="313"/>
      <c r="AN4935" s="313"/>
      <c r="AO4935" s="313"/>
      <c r="AP4935" s="313"/>
      <c r="AQ4935" s="314"/>
      <c r="AR4935" s="315" t="str">
        <f t="shared" si="151"/>
        <v/>
      </c>
    </row>
    <row r="4936" spans="37:44" ht="30" hidden="1" customHeight="1">
      <c r="AK4936" s="313"/>
      <c r="AL4936" s="313"/>
      <c r="AM4936" s="313"/>
      <c r="AN4936" s="313"/>
      <c r="AO4936" s="313"/>
      <c r="AP4936" s="313"/>
      <c r="AQ4936" s="314"/>
      <c r="AR4936" s="315" t="str">
        <f t="shared" si="151"/>
        <v/>
      </c>
    </row>
    <row r="4937" spans="37:44" ht="30" hidden="1" customHeight="1">
      <c r="AK4937" s="313"/>
      <c r="AL4937" s="313"/>
      <c r="AM4937" s="313"/>
      <c r="AN4937" s="313"/>
      <c r="AO4937" s="313"/>
      <c r="AP4937" s="313"/>
      <c r="AQ4937" s="314"/>
      <c r="AR4937" s="315" t="str">
        <f t="shared" si="151"/>
        <v/>
      </c>
    </row>
    <row r="4938" spans="37:44" ht="30" hidden="1" customHeight="1">
      <c r="AK4938" s="313"/>
      <c r="AL4938" s="313"/>
      <c r="AM4938" s="313"/>
      <c r="AN4938" s="313"/>
      <c r="AO4938" s="313"/>
      <c r="AP4938" s="313"/>
      <c r="AQ4938" s="314"/>
      <c r="AR4938" s="315" t="str">
        <f t="shared" si="151"/>
        <v/>
      </c>
    </row>
    <row r="4939" spans="37:44" ht="30" hidden="1" customHeight="1">
      <c r="AK4939" s="313"/>
      <c r="AL4939" s="313"/>
      <c r="AM4939" s="313"/>
      <c r="AN4939" s="313"/>
      <c r="AO4939" s="313"/>
      <c r="AP4939" s="313"/>
      <c r="AQ4939" s="314"/>
      <c r="AR4939" s="315" t="str">
        <f t="shared" si="151"/>
        <v/>
      </c>
    </row>
    <row r="4940" spans="37:44" ht="30" hidden="1" customHeight="1">
      <c r="AK4940" s="313"/>
      <c r="AL4940" s="313"/>
      <c r="AM4940" s="313"/>
      <c r="AN4940" s="313"/>
      <c r="AO4940" s="313"/>
      <c r="AP4940" s="313"/>
      <c r="AQ4940" s="314"/>
      <c r="AR4940" s="315" t="str">
        <f t="shared" si="151"/>
        <v/>
      </c>
    </row>
    <row r="4941" spans="37:44" ht="30" hidden="1" customHeight="1">
      <c r="AK4941" s="313"/>
      <c r="AL4941" s="313"/>
      <c r="AM4941" s="313"/>
      <c r="AN4941" s="313"/>
      <c r="AO4941" s="313"/>
      <c r="AP4941" s="313"/>
      <c r="AQ4941" s="314"/>
      <c r="AR4941" s="315" t="str">
        <f t="shared" si="151"/>
        <v/>
      </c>
    </row>
    <row r="4942" spans="37:44" ht="30" hidden="1" customHeight="1">
      <c r="AK4942" s="313"/>
      <c r="AL4942" s="313"/>
      <c r="AM4942" s="313"/>
      <c r="AN4942" s="313"/>
      <c r="AO4942" s="313"/>
      <c r="AP4942" s="313"/>
      <c r="AQ4942" s="314"/>
      <c r="AR4942" s="315" t="str">
        <f t="shared" si="151"/>
        <v/>
      </c>
    </row>
    <row r="4943" spans="37:44" ht="30" hidden="1" customHeight="1">
      <c r="AK4943" s="313"/>
      <c r="AL4943" s="313"/>
      <c r="AM4943" s="313"/>
      <c r="AN4943" s="313"/>
      <c r="AO4943" s="313"/>
      <c r="AP4943" s="313"/>
      <c r="AQ4943" s="314"/>
      <c r="AR4943" s="315" t="str">
        <f t="shared" si="151"/>
        <v/>
      </c>
    </row>
    <row r="4944" spans="37:44" ht="30" hidden="1" customHeight="1">
      <c r="AK4944" s="313"/>
      <c r="AL4944" s="313"/>
      <c r="AM4944" s="313"/>
      <c r="AN4944" s="313"/>
      <c r="AO4944" s="313"/>
      <c r="AP4944" s="313"/>
      <c r="AQ4944" s="314"/>
      <c r="AR4944" s="315" t="str">
        <f t="shared" si="151"/>
        <v/>
      </c>
    </row>
    <row r="4945" spans="37:44" ht="30" hidden="1" customHeight="1">
      <c r="AK4945" s="313"/>
      <c r="AL4945" s="313"/>
      <c r="AM4945" s="313"/>
      <c r="AN4945" s="313"/>
      <c r="AO4945" s="313"/>
      <c r="AP4945" s="313"/>
      <c r="AQ4945" s="314"/>
      <c r="AR4945" s="315" t="str">
        <f t="shared" si="151"/>
        <v/>
      </c>
    </row>
    <row r="4946" spans="37:44" ht="30" hidden="1" customHeight="1">
      <c r="AK4946" s="313"/>
      <c r="AL4946" s="313"/>
      <c r="AM4946" s="313"/>
      <c r="AN4946" s="313"/>
      <c r="AO4946" s="313"/>
      <c r="AP4946" s="313"/>
      <c r="AQ4946" s="314"/>
      <c r="AR4946" s="315" t="str">
        <f t="shared" si="151"/>
        <v/>
      </c>
    </row>
    <row r="4947" spans="37:44" ht="30" hidden="1" customHeight="1">
      <c r="AK4947" s="313"/>
      <c r="AL4947" s="313"/>
      <c r="AM4947" s="313"/>
      <c r="AN4947" s="313"/>
      <c r="AO4947" s="313"/>
      <c r="AP4947" s="313"/>
      <c r="AQ4947" s="314"/>
      <c r="AR4947" s="315" t="str">
        <f t="shared" si="151"/>
        <v/>
      </c>
    </row>
    <row r="4948" spans="37:44" ht="30" hidden="1" customHeight="1">
      <c r="AK4948" s="313"/>
      <c r="AL4948" s="313"/>
      <c r="AM4948" s="313"/>
      <c r="AN4948" s="313"/>
      <c r="AO4948" s="313"/>
      <c r="AP4948" s="313"/>
      <c r="AQ4948" s="314"/>
      <c r="AR4948" s="315" t="str">
        <f t="shared" si="151"/>
        <v/>
      </c>
    </row>
    <row r="4949" spans="37:44" ht="30" hidden="1" customHeight="1">
      <c r="AK4949" s="313"/>
      <c r="AL4949" s="313"/>
      <c r="AM4949" s="313"/>
      <c r="AN4949" s="313"/>
      <c r="AO4949" s="313"/>
      <c r="AP4949" s="313"/>
      <c r="AQ4949" s="314"/>
      <c r="AR4949" s="315" t="str">
        <f t="shared" si="151"/>
        <v/>
      </c>
    </row>
    <row r="4950" spans="37:44" ht="30" hidden="1" customHeight="1">
      <c r="AK4950" s="313"/>
      <c r="AL4950" s="313"/>
      <c r="AM4950" s="313"/>
      <c r="AN4950" s="313"/>
      <c r="AO4950" s="313"/>
      <c r="AP4950" s="313"/>
      <c r="AQ4950" s="314"/>
      <c r="AR4950" s="315" t="str">
        <f t="shared" si="151"/>
        <v/>
      </c>
    </row>
    <row r="4951" spans="37:44" ht="30" hidden="1" customHeight="1">
      <c r="AK4951" s="313"/>
      <c r="AL4951" s="313"/>
      <c r="AM4951" s="313"/>
      <c r="AN4951" s="313"/>
      <c r="AO4951" s="313"/>
      <c r="AP4951" s="313"/>
      <c r="AQ4951" s="314"/>
      <c r="AR4951" s="315" t="str">
        <f t="shared" si="151"/>
        <v/>
      </c>
    </row>
    <row r="4952" spans="37:44" ht="30" hidden="1" customHeight="1">
      <c r="AK4952" s="313"/>
      <c r="AL4952" s="313"/>
      <c r="AM4952" s="313"/>
      <c r="AN4952" s="313"/>
      <c r="AO4952" s="313"/>
      <c r="AP4952" s="313"/>
      <c r="AQ4952" s="314"/>
      <c r="AR4952" s="315" t="str">
        <f t="shared" si="151"/>
        <v/>
      </c>
    </row>
    <row r="4953" spans="37:44" ht="30" hidden="1" customHeight="1">
      <c r="AK4953" s="313"/>
      <c r="AL4953" s="313"/>
      <c r="AM4953" s="313"/>
      <c r="AN4953" s="313"/>
      <c r="AO4953" s="313"/>
      <c r="AP4953" s="313"/>
      <c r="AQ4953" s="314"/>
      <c r="AR4953" s="315" t="str">
        <f t="shared" si="151"/>
        <v/>
      </c>
    </row>
    <row r="4954" spans="37:44" ht="30" hidden="1" customHeight="1">
      <c r="AK4954" s="313"/>
      <c r="AL4954" s="313"/>
      <c r="AM4954" s="313"/>
      <c r="AN4954" s="313"/>
      <c r="AO4954" s="313"/>
      <c r="AP4954" s="313"/>
      <c r="AQ4954" s="314"/>
      <c r="AR4954" s="315" t="str">
        <f t="shared" si="151"/>
        <v/>
      </c>
    </row>
    <row r="4955" spans="37:44" ht="30" hidden="1" customHeight="1">
      <c r="AK4955" s="313"/>
      <c r="AL4955" s="313"/>
      <c r="AM4955" s="313"/>
      <c r="AN4955" s="313"/>
      <c r="AO4955" s="313"/>
      <c r="AP4955" s="313"/>
      <c r="AQ4955" s="314"/>
      <c r="AR4955" s="315" t="str">
        <f t="shared" si="151"/>
        <v/>
      </c>
    </row>
    <row r="4956" spans="37:44" ht="30" hidden="1" customHeight="1">
      <c r="AK4956" s="313"/>
      <c r="AL4956" s="313"/>
      <c r="AM4956" s="313"/>
      <c r="AN4956" s="313"/>
      <c r="AO4956" s="313"/>
      <c r="AP4956" s="313"/>
      <c r="AQ4956" s="314"/>
      <c r="AR4956" s="315" t="str">
        <f t="shared" si="151"/>
        <v/>
      </c>
    </row>
    <row r="4957" spans="37:44" ht="30" hidden="1" customHeight="1">
      <c r="AK4957" s="313"/>
      <c r="AL4957" s="313"/>
      <c r="AM4957" s="313"/>
      <c r="AN4957" s="313"/>
      <c r="AO4957" s="313"/>
      <c r="AP4957" s="313"/>
      <c r="AQ4957" s="314"/>
      <c r="AR4957" s="315" t="str">
        <f t="shared" si="151"/>
        <v/>
      </c>
    </row>
    <row r="4958" spans="37:44" ht="30" hidden="1" customHeight="1">
      <c r="AK4958" s="313"/>
      <c r="AL4958" s="313"/>
      <c r="AM4958" s="313"/>
      <c r="AN4958" s="313"/>
      <c r="AO4958" s="313"/>
      <c r="AP4958" s="313"/>
      <c r="AQ4958" s="314"/>
      <c r="AR4958" s="315" t="str">
        <f t="shared" si="151"/>
        <v/>
      </c>
    </row>
    <row r="4959" spans="37:44" ht="30" hidden="1" customHeight="1">
      <c r="AK4959" s="313"/>
      <c r="AL4959" s="313"/>
      <c r="AM4959" s="313"/>
      <c r="AN4959" s="313"/>
      <c r="AO4959" s="313"/>
      <c r="AP4959" s="313"/>
      <c r="AQ4959" s="314"/>
      <c r="AR4959" s="315" t="str">
        <f t="shared" si="151"/>
        <v/>
      </c>
    </row>
    <row r="4960" spans="37:44" ht="30" hidden="1" customHeight="1">
      <c r="AK4960" s="313"/>
      <c r="AL4960" s="313"/>
      <c r="AM4960" s="313"/>
      <c r="AN4960" s="313"/>
      <c r="AO4960" s="313"/>
      <c r="AP4960" s="313"/>
      <c r="AQ4960" s="314"/>
      <c r="AR4960" s="315" t="str">
        <f t="shared" si="151"/>
        <v/>
      </c>
    </row>
    <row r="4961" spans="37:44" ht="30" hidden="1" customHeight="1">
      <c r="AK4961" s="313"/>
      <c r="AL4961" s="313"/>
      <c r="AM4961" s="313"/>
      <c r="AN4961" s="313"/>
      <c r="AO4961" s="313"/>
      <c r="AP4961" s="313"/>
      <c r="AQ4961" s="314"/>
      <c r="AR4961" s="315" t="str">
        <f t="shared" si="151"/>
        <v/>
      </c>
    </row>
    <row r="4962" spans="37:44" ht="30" hidden="1" customHeight="1">
      <c r="AK4962" s="313"/>
      <c r="AL4962" s="313"/>
      <c r="AM4962" s="313"/>
      <c r="AN4962" s="313"/>
      <c r="AO4962" s="313"/>
      <c r="AP4962" s="313"/>
      <c r="AQ4962" s="314"/>
      <c r="AR4962" s="315" t="str">
        <f t="shared" si="151"/>
        <v/>
      </c>
    </row>
    <row r="4963" spans="37:44" ht="30" hidden="1" customHeight="1">
      <c r="AK4963" s="313"/>
      <c r="AL4963" s="313"/>
      <c r="AM4963" s="313"/>
      <c r="AN4963" s="313"/>
      <c r="AO4963" s="313"/>
      <c r="AP4963" s="313"/>
      <c r="AQ4963" s="314"/>
      <c r="AR4963" s="315" t="str">
        <f t="shared" si="151"/>
        <v/>
      </c>
    </row>
    <row r="4964" spans="37:44" ht="30" hidden="1" customHeight="1">
      <c r="AK4964" s="313"/>
      <c r="AL4964" s="313"/>
      <c r="AM4964" s="313"/>
      <c r="AN4964" s="313"/>
      <c r="AO4964" s="313"/>
      <c r="AP4964" s="313"/>
      <c r="AQ4964" s="314"/>
      <c r="AR4964" s="315" t="str">
        <f t="shared" si="151"/>
        <v/>
      </c>
    </row>
    <row r="4965" spans="37:44" ht="30" hidden="1" customHeight="1">
      <c r="AK4965" s="313"/>
      <c r="AL4965" s="313"/>
      <c r="AM4965" s="313"/>
      <c r="AN4965" s="313"/>
      <c r="AO4965" s="313"/>
      <c r="AP4965" s="313"/>
      <c r="AQ4965" s="314"/>
      <c r="AR4965" s="315" t="str">
        <f t="shared" si="151"/>
        <v/>
      </c>
    </row>
    <row r="4966" spans="37:44" ht="30" hidden="1" customHeight="1">
      <c r="AK4966" s="313"/>
      <c r="AL4966" s="313"/>
      <c r="AM4966" s="313"/>
      <c r="AN4966" s="313"/>
      <c r="AO4966" s="313"/>
      <c r="AP4966" s="313"/>
      <c r="AQ4966" s="314"/>
      <c r="AR4966" s="315" t="str">
        <f t="shared" si="151"/>
        <v/>
      </c>
    </row>
    <row r="4967" spans="37:44" ht="30" hidden="1" customHeight="1">
      <c r="AK4967" s="313"/>
      <c r="AL4967" s="313"/>
      <c r="AM4967" s="313"/>
      <c r="AN4967" s="313"/>
      <c r="AO4967" s="313"/>
      <c r="AP4967" s="313"/>
      <c r="AQ4967" s="314"/>
      <c r="AR4967" s="315" t="str">
        <f t="shared" si="151"/>
        <v/>
      </c>
    </row>
    <row r="4968" spans="37:44" ht="30" hidden="1" customHeight="1">
      <c r="AK4968" s="313"/>
      <c r="AL4968" s="313"/>
      <c r="AM4968" s="313"/>
      <c r="AN4968" s="313"/>
      <c r="AO4968" s="313"/>
      <c r="AP4968" s="313"/>
      <c r="AQ4968" s="314"/>
      <c r="AR4968" s="315" t="str">
        <f t="shared" si="151"/>
        <v/>
      </c>
    </row>
    <row r="4969" spans="37:44" ht="30" hidden="1" customHeight="1">
      <c r="AK4969" s="313"/>
      <c r="AL4969" s="313"/>
      <c r="AM4969" s="313"/>
      <c r="AN4969" s="313"/>
      <c r="AO4969" s="313"/>
      <c r="AP4969" s="313"/>
      <c r="AQ4969" s="314"/>
      <c r="AR4969" s="315" t="str">
        <f t="shared" si="151"/>
        <v/>
      </c>
    </row>
    <row r="4970" spans="37:44" ht="30" hidden="1" customHeight="1">
      <c r="AK4970" s="313"/>
      <c r="AL4970" s="313"/>
      <c r="AM4970" s="313"/>
      <c r="AN4970" s="313"/>
      <c r="AO4970" s="313"/>
      <c r="AP4970" s="313"/>
      <c r="AQ4970" s="314"/>
      <c r="AR4970" s="315" t="str">
        <f t="shared" si="151"/>
        <v/>
      </c>
    </row>
    <row r="4971" spans="37:44" ht="30" hidden="1" customHeight="1">
      <c r="AK4971" s="313"/>
      <c r="AL4971" s="313"/>
      <c r="AM4971" s="313"/>
      <c r="AN4971" s="313"/>
      <c r="AO4971" s="313"/>
      <c r="AP4971" s="313"/>
      <c r="AQ4971" s="314"/>
      <c r="AR4971" s="315" t="str">
        <f t="shared" si="151"/>
        <v/>
      </c>
    </row>
    <row r="4972" spans="37:44" ht="30" hidden="1" customHeight="1">
      <c r="AK4972" s="313"/>
      <c r="AL4972" s="313"/>
      <c r="AM4972" s="313"/>
      <c r="AN4972" s="313"/>
      <c r="AO4972" s="313"/>
      <c r="AP4972" s="313"/>
      <c r="AQ4972" s="314"/>
      <c r="AR4972" s="315" t="str">
        <f t="shared" si="151"/>
        <v/>
      </c>
    </row>
    <row r="4973" spans="37:44" ht="30" hidden="1" customHeight="1">
      <c r="AK4973" s="313"/>
      <c r="AL4973" s="313"/>
      <c r="AM4973" s="313"/>
      <c r="AN4973" s="313"/>
      <c r="AO4973" s="313"/>
      <c r="AP4973" s="313"/>
      <c r="AQ4973" s="314"/>
      <c r="AR4973" s="315" t="str">
        <f t="shared" si="151"/>
        <v/>
      </c>
    </row>
    <row r="4974" spans="37:44" ht="30" hidden="1" customHeight="1">
      <c r="AK4974" s="313"/>
      <c r="AL4974" s="313"/>
      <c r="AM4974" s="313"/>
      <c r="AN4974" s="313"/>
      <c r="AO4974" s="313"/>
      <c r="AP4974" s="313"/>
      <c r="AQ4974" s="314"/>
      <c r="AR4974" s="315" t="str">
        <f t="shared" si="151"/>
        <v/>
      </c>
    </row>
    <row r="4975" spans="37:44" ht="30" hidden="1" customHeight="1">
      <c r="AK4975" s="313"/>
      <c r="AL4975" s="313"/>
      <c r="AM4975" s="313"/>
      <c r="AN4975" s="313"/>
      <c r="AO4975" s="313"/>
      <c r="AP4975" s="313"/>
      <c r="AQ4975" s="314"/>
      <c r="AR4975" s="315" t="str">
        <f t="shared" si="151"/>
        <v/>
      </c>
    </row>
    <row r="4976" spans="37:44" ht="30" hidden="1" customHeight="1">
      <c r="AK4976" s="313"/>
      <c r="AL4976" s="313"/>
      <c r="AM4976" s="313"/>
      <c r="AN4976" s="313"/>
      <c r="AO4976" s="313"/>
      <c r="AP4976" s="313"/>
      <c r="AQ4976" s="314"/>
      <c r="AR4976" s="315" t="str">
        <f t="shared" si="151"/>
        <v/>
      </c>
    </row>
    <row r="4977" spans="37:44" ht="30" hidden="1" customHeight="1">
      <c r="AK4977" s="313"/>
      <c r="AL4977" s="313"/>
      <c r="AM4977" s="313"/>
      <c r="AN4977" s="313"/>
      <c r="AO4977" s="313"/>
      <c r="AP4977" s="313"/>
      <c r="AQ4977" s="314"/>
      <c r="AR4977" s="315" t="str">
        <f t="shared" si="151"/>
        <v/>
      </c>
    </row>
    <row r="4978" spans="37:44" ht="30" hidden="1" customHeight="1">
      <c r="AK4978" s="313"/>
      <c r="AL4978" s="313"/>
      <c r="AM4978" s="313"/>
      <c r="AN4978" s="313"/>
      <c r="AO4978" s="313"/>
      <c r="AP4978" s="313"/>
      <c r="AQ4978" s="314"/>
      <c r="AR4978" s="315" t="str">
        <f t="shared" si="151"/>
        <v/>
      </c>
    </row>
    <row r="4979" spans="37:44" ht="30" hidden="1" customHeight="1">
      <c r="AK4979" s="313"/>
      <c r="AL4979" s="313"/>
      <c r="AM4979" s="313"/>
      <c r="AN4979" s="313"/>
      <c r="AO4979" s="313"/>
      <c r="AP4979" s="313"/>
      <c r="AQ4979" s="314"/>
      <c r="AR4979" s="315" t="str">
        <f t="shared" si="151"/>
        <v/>
      </c>
    </row>
    <row r="4980" spans="37:44" ht="30" hidden="1" customHeight="1">
      <c r="AK4980" s="313"/>
      <c r="AL4980" s="313"/>
      <c r="AM4980" s="313"/>
      <c r="AN4980" s="313"/>
      <c r="AO4980" s="313"/>
      <c r="AP4980" s="313"/>
      <c r="AQ4980" s="314"/>
      <c r="AR4980" s="315" t="str">
        <f t="shared" si="151"/>
        <v/>
      </c>
    </row>
    <row r="4981" spans="37:44" ht="30" hidden="1" customHeight="1">
      <c r="AK4981" s="313"/>
      <c r="AL4981" s="313"/>
      <c r="AM4981" s="313"/>
      <c r="AN4981" s="313"/>
      <c r="AO4981" s="313"/>
      <c r="AP4981" s="313"/>
      <c r="AQ4981" s="314"/>
      <c r="AR4981" s="315" t="str">
        <f t="shared" si="151"/>
        <v/>
      </c>
    </row>
    <row r="4982" spans="37:44" ht="30" hidden="1" customHeight="1">
      <c r="AK4982" s="313"/>
      <c r="AL4982" s="313"/>
      <c r="AM4982" s="313"/>
      <c r="AN4982" s="313"/>
      <c r="AO4982" s="313"/>
      <c r="AP4982" s="313"/>
      <c r="AQ4982" s="314"/>
      <c r="AR4982" s="315" t="str">
        <f t="shared" si="151"/>
        <v/>
      </c>
    </row>
    <row r="4983" spans="37:44" ht="30" hidden="1" customHeight="1">
      <c r="AK4983" s="313"/>
      <c r="AL4983" s="313"/>
      <c r="AM4983" s="313"/>
      <c r="AN4983" s="313"/>
      <c r="AO4983" s="313"/>
      <c r="AP4983" s="313"/>
      <c r="AQ4983" s="314"/>
      <c r="AR4983" s="315" t="str">
        <f t="shared" si="151"/>
        <v/>
      </c>
    </row>
    <row r="4984" spans="37:44" ht="30" hidden="1" customHeight="1">
      <c r="AK4984" s="313"/>
      <c r="AL4984" s="313"/>
      <c r="AM4984" s="313"/>
      <c r="AN4984" s="313"/>
      <c r="AO4984" s="313"/>
      <c r="AP4984" s="313"/>
      <c r="AQ4984" s="314"/>
      <c r="AR4984" s="315" t="str">
        <f t="shared" si="151"/>
        <v/>
      </c>
    </row>
    <row r="4985" spans="37:44" ht="30" hidden="1" customHeight="1">
      <c r="AK4985" s="313"/>
      <c r="AL4985" s="313"/>
      <c r="AM4985" s="313"/>
      <c r="AN4985" s="313"/>
      <c r="AO4985" s="313"/>
      <c r="AP4985" s="313"/>
      <c r="AQ4985" s="314"/>
      <c r="AR4985" s="315" t="str">
        <f t="shared" si="151"/>
        <v/>
      </c>
    </row>
    <row r="4986" spans="37:44" ht="30" hidden="1" customHeight="1">
      <c r="AK4986" s="313"/>
      <c r="AL4986" s="313"/>
      <c r="AM4986" s="313"/>
      <c r="AN4986" s="313"/>
      <c r="AO4986" s="313"/>
      <c r="AP4986" s="313"/>
      <c r="AQ4986" s="314"/>
      <c r="AR4986" s="315" t="str">
        <f t="shared" si="151"/>
        <v/>
      </c>
    </row>
    <row r="4987" spans="37:44" ht="30" hidden="1" customHeight="1">
      <c r="AK4987" s="313"/>
      <c r="AL4987" s="313"/>
      <c r="AM4987" s="313"/>
      <c r="AN4987" s="313"/>
      <c r="AO4987" s="313"/>
      <c r="AP4987" s="313"/>
      <c r="AQ4987" s="314"/>
      <c r="AR4987" s="315" t="str">
        <f t="shared" si="151"/>
        <v/>
      </c>
    </row>
    <row r="4988" spans="37:44" ht="30" hidden="1" customHeight="1">
      <c r="AK4988" s="313"/>
      <c r="AL4988" s="313"/>
      <c r="AM4988" s="313"/>
      <c r="AN4988" s="313"/>
      <c r="AO4988" s="313"/>
      <c r="AP4988" s="313"/>
      <c r="AQ4988" s="314"/>
      <c r="AR4988" s="315" t="str">
        <f t="shared" si="151"/>
        <v/>
      </c>
    </row>
    <row r="4989" spans="37:44" ht="30" hidden="1" customHeight="1">
      <c r="AK4989" s="313"/>
      <c r="AL4989" s="313"/>
      <c r="AM4989" s="313"/>
      <c r="AN4989" s="313"/>
      <c r="AO4989" s="313"/>
      <c r="AP4989" s="313"/>
      <c r="AQ4989" s="314"/>
      <c r="AR4989" s="315" t="str">
        <f t="shared" si="151"/>
        <v/>
      </c>
    </row>
    <row r="4990" spans="37:44" ht="30" hidden="1" customHeight="1">
      <c r="AK4990" s="313"/>
      <c r="AL4990" s="313"/>
      <c r="AM4990" s="313"/>
      <c r="AN4990" s="313"/>
      <c r="AO4990" s="313"/>
      <c r="AP4990" s="313"/>
      <c r="AQ4990" s="314"/>
      <c r="AR4990" s="315" t="str">
        <f t="shared" si="151"/>
        <v/>
      </c>
    </row>
    <row r="4991" spans="37:44" ht="30" hidden="1" customHeight="1">
      <c r="AK4991" s="313"/>
      <c r="AL4991" s="313"/>
      <c r="AM4991" s="313"/>
      <c r="AN4991" s="313"/>
      <c r="AO4991" s="313"/>
      <c r="AP4991" s="313"/>
      <c r="AQ4991" s="314"/>
      <c r="AR4991" s="315" t="str">
        <f t="shared" ref="AR4991:AR5054" si="152">IF(AQ4991="SIM","AGUARDANDO CORREÇÃO",IF(AP4991&lt;&gt;"","FINALIZADO",IF(AO4991&lt;&gt;"","AGUARDANDO ENVIO DTS",IF(AN4991&lt;&gt;"","AGUARDANDO ASSINATURA GAB",IF(AM4991&lt;&gt;"","AGUARDANDO ASSINATURA CTS",IF(AL4991&lt;&gt;"","AGUARDANDO ENVIO ASSINATURA CTS",IF(AK4991&lt;&gt;"","AGUARDANDO CONFERÊNCIA","")))))))</f>
        <v/>
      </c>
    </row>
    <row r="4992" spans="37:44" ht="30" hidden="1" customHeight="1">
      <c r="AK4992" s="313"/>
      <c r="AL4992" s="313"/>
      <c r="AM4992" s="313"/>
      <c r="AN4992" s="313"/>
      <c r="AO4992" s="313"/>
      <c r="AP4992" s="313"/>
      <c r="AQ4992" s="314"/>
      <c r="AR4992" s="315" t="str">
        <f t="shared" si="152"/>
        <v/>
      </c>
    </row>
    <row r="4993" spans="37:44" ht="30" hidden="1" customHeight="1">
      <c r="AK4993" s="313"/>
      <c r="AL4993" s="313"/>
      <c r="AM4993" s="313"/>
      <c r="AN4993" s="313"/>
      <c r="AO4993" s="313"/>
      <c r="AP4993" s="313"/>
      <c r="AQ4993" s="314"/>
      <c r="AR4993" s="315" t="str">
        <f t="shared" si="152"/>
        <v/>
      </c>
    </row>
    <row r="4994" spans="37:44" ht="30" hidden="1" customHeight="1">
      <c r="AK4994" s="313"/>
      <c r="AL4994" s="313"/>
      <c r="AM4994" s="313"/>
      <c r="AN4994" s="313"/>
      <c r="AO4994" s="313"/>
      <c r="AP4994" s="313"/>
      <c r="AQ4994" s="314"/>
      <c r="AR4994" s="315" t="str">
        <f t="shared" si="152"/>
        <v/>
      </c>
    </row>
    <row r="4995" spans="37:44" ht="30" hidden="1" customHeight="1">
      <c r="AK4995" s="313"/>
      <c r="AL4995" s="313"/>
      <c r="AM4995" s="313"/>
      <c r="AN4995" s="313"/>
      <c r="AO4995" s="313"/>
      <c r="AP4995" s="313"/>
      <c r="AQ4995" s="314"/>
      <c r="AR4995" s="315" t="str">
        <f t="shared" si="152"/>
        <v/>
      </c>
    </row>
    <row r="4996" spans="37:44" ht="30" hidden="1" customHeight="1">
      <c r="AK4996" s="313"/>
      <c r="AL4996" s="313"/>
      <c r="AM4996" s="313"/>
      <c r="AN4996" s="313"/>
      <c r="AO4996" s="313"/>
      <c r="AP4996" s="313"/>
      <c r="AQ4996" s="314"/>
      <c r="AR4996" s="315" t="str">
        <f t="shared" si="152"/>
        <v/>
      </c>
    </row>
    <row r="4997" spans="37:44" ht="30" hidden="1" customHeight="1">
      <c r="AK4997" s="313"/>
      <c r="AL4997" s="313"/>
      <c r="AM4997" s="313"/>
      <c r="AN4997" s="313"/>
      <c r="AO4997" s="313"/>
      <c r="AP4997" s="313"/>
      <c r="AQ4997" s="314"/>
      <c r="AR4997" s="315" t="str">
        <f t="shared" si="152"/>
        <v/>
      </c>
    </row>
    <row r="4998" spans="37:44" ht="30" hidden="1" customHeight="1">
      <c r="AK4998" s="313"/>
      <c r="AL4998" s="313"/>
      <c r="AM4998" s="313"/>
      <c r="AN4998" s="313"/>
      <c r="AO4998" s="313"/>
      <c r="AP4998" s="313"/>
      <c r="AQ4998" s="314"/>
      <c r="AR4998" s="315" t="str">
        <f t="shared" si="152"/>
        <v/>
      </c>
    </row>
    <row r="4999" spans="37:44" ht="30" hidden="1" customHeight="1">
      <c r="AK4999" s="313"/>
      <c r="AL4999" s="313"/>
      <c r="AM4999" s="313"/>
      <c r="AN4999" s="313"/>
      <c r="AO4999" s="313"/>
      <c r="AP4999" s="313"/>
      <c r="AQ4999" s="314"/>
      <c r="AR4999" s="315" t="str">
        <f t="shared" si="152"/>
        <v/>
      </c>
    </row>
    <row r="5000" spans="37:44" ht="30" hidden="1" customHeight="1">
      <c r="AK5000" s="313"/>
      <c r="AL5000" s="313"/>
      <c r="AM5000" s="313"/>
      <c r="AN5000" s="313"/>
      <c r="AO5000" s="313"/>
      <c r="AP5000" s="313"/>
      <c r="AQ5000" s="314"/>
      <c r="AR5000" s="315" t="str">
        <f t="shared" si="152"/>
        <v/>
      </c>
    </row>
    <row r="5001" spans="37:44" ht="30" hidden="1" customHeight="1">
      <c r="AK5001" s="313"/>
      <c r="AL5001" s="313"/>
      <c r="AM5001" s="313"/>
      <c r="AN5001" s="313"/>
      <c r="AO5001" s="313"/>
      <c r="AP5001" s="313"/>
      <c r="AQ5001" s="314"/>
      <c r="AR5001" s="315" t="str">
        <f t="shared" si="152"/>
        <v/>
      </c>
    </row>
    <row r="5002" spans="37:44" ht="30" hidden="1" customHeight="1">
      <c r="AK5002" s="313"/>
      <c r="AL5002" s="313"/>
      <c r="AM5002" s="313"/>
      <c r="AN5002" s="313"/>
      <c r="AO5002" s="313"/>
      <c r="AP5002" s="313"/>
      <c r="AQ5002" s="314"/>
      <c r="AR5002" s="315" t="str">
        <f t="shared" si="152"/>
        <v/>
      </c>
    </row>
    <row r="5003" spans="37:44" ht="30" hidden="1" customHeight="1">
      <c r="AK5003" s="313"/>
      <c r="AL5003" s="313"/>
      <c r="AM5003" s="313"/>
      <c r="AN5003" s="313"/>
      <c r="AO5003" s="313"/>
      <c r="AP5003" s="313"/>
      <c r="AQ5003" s="314"/>
      <c r="AR5003" s="315" t="str">
        <f t="shared" si="152"/>
        <v/>
      </c>
    </row>
    <row r="5004" spans="37:44" ht="30" hidden="1" customHeight="1">
      <c r="AK5004" s="313"/>
      <c r="AL5004" s="313"/>
      <c r="AM5004" s="313"/>
      <c r="AN5004" s="313"/>
      <c r="AO5004" s="313"/>
      <c r="AP5004" s="313"/>
      <c r="AQ5004" s="314"/>
      <c r="AR5004" s="315" t="str">
        <f t="shared" si="152"/>
        <v/>
      </c>
    </row>
    <row r="5005" spans="37:44" ht="30" hidden="1" customHeight="1">
      <c r="AK5005" s="313"/>
      <c r="AL5005" s="313"/>
      <c r="AM5005" s="313"/>
      <c r="AN5005" s="313"/>
      <c r="AO5005" s="313"/>
      <c r="AP5005" s="313"/>
      <c r="AQ5005" s="314"/>
      <c r="AR5005" s="315" t="str">
        <f t="shared" si="152"/>
        <v/>
      </c>
    </row>
    <row r="5006" spans="37:44" ht="30" hidden="1" customHeight="1">
      <c r="AK5006" s="313"/>
      <c r="AL5006" s="313"/>
      <c r="AM5006" s="313"/>
      <c r="AN5006" s="313"/>
      <c r="AO5006" s="313"/>
      <c r="AP5006" s="313"/>
      <c r="AQ5006" s="314"/>
      <c r="AR5006" s="315" t="str">
        <f t="shared" si="152"/>
        <v/>
      </c>
    </row>
    <row r="5007" spans="37:44" ht="30" hidden="1" customHeight="1">
      <c r="AK5007" s="313"/>
      <c r="AL5007" s="313"/>
      <c r="AM5007" s="313"/>
      <c r="AN5007" s="313"/>
      <c r="AO5007" s="313"/>
      <c r="AP5007" s="313"/>
      <c r="AQ5007" s="314"/>
      <c r="AR5007" s="315" t="str">
        <f t="shared" si="152"/>
        <v/>
      </c>
    </row>
    <row r="5008" spans="37:44" ht="30" hidden="1" customHeight="1">
      <c r="AK5008" s="313"/>
      <c r="AL5008" s="313"/>
      <c r="AM5008" s="313"/>
      <c r="AN5008" s="313"/>
      <c r="AO5008" s="313"/>
      <c r="AP5008" s="313"/>
      <c r="AQ5008" s="314"/>
      <c r="AR5008" s="315" t="str">
        <f t="shared" si="152"/>
        <v/>
      </c>
    </row>
    <row r="5009" spans="37:44" ht="30" hidden="1" customHeight="1">
      <c r="AK5009" s="313"/>
      <c r="AL5009" s="313"/>
      <c r="AM5009" s="313"/>
      <c r="AN5009" s="313"/>
      <c r="AO5009" s="313"/>
      <c r="AP5009" s="313"/>
      <c r="AQ5009" s="314"/>
      <c r="AR5009" s="315" t="str">
        <f t="shared" si="152"/>
        <v/>
      </c>
    </row>
    <row r="5010" spans="37:44" ht="30" hidden="1" customHeight="1">
      <c r="AK5010" s="313"/>
      <c r="AL5010" s="313"/>
      <c r="AM5010" s="313"/>
      <c r="AN5010" s="313"/>
      <c r="AO5010" s="313"/>
      <c r="AP5010" s="313"/>
      <c r="AQ5010" s="314"/>
      <c r="AR5010" s="315" t="str">
        <f t="shared" si="152"/>
        <v/>
      </c>
    </row>
    <row r="5011" spans="37:44" ht="30" hidden="1" customHeight="1">
      <c r="AK5011" s="313"/>
      <c r="AL5011" s="313"/>
      <c r="AM5011" s="313"/>
      <c r="AN5011" s="313"/>
      <c r="AO5011" s="313"/>
      <c r="AP5011" s="313"/>
      <c r="AQ5011" s="314"/>
      <c r="AR5011" s="315" t="str">
        <f t="shared" si="152"/>
        <v/>
      </c>
    </row>
    <row r="5012" spans="37:44" ht="30" hidden="1" customHeight="1">
      <c r="AK5012" s="313"/>
      <c r="AL5012" s="313"/>
      <c r="AM5012" s="313"/>
      <c r="AN5012" s="313"/>
      <c r="AO5012" s="313"/>
      <c r="AP5012" s="313"/>
      <c r="AQ5012" s="314"/>
      <c r="AR5012" s="315" t="str">
        <f t="shared" si="152"/>
        <v/>
      </c>
    </row>
    <row r="5013" spans="37:44" ht="30" hidden="1" customHeight="1">
      <c r="AK5013" s="313"/>
      <c r="AL5013" s="313"/>
      <c r="AM5013" s="313"/>
      <c r="AN5013" s="313"/>
      <c r="AO5013" s="313"/>
      <c r="AP5013" s="313"/>
      <c r="AQ5013" s="314"/>
      <c r="AR5013" s="315" t="str">
        <f t="shared" si="152"/>
        <v/>
      </c>
    </row>
    <row r="5014" spans="37:44" ht="30" hidden="1" customHeight="1">
      <c r="AK5014" s="313"/>
      <c r="AL5014" s="313"/>
      <c r="AM5014" s="313"/>
      <c r="AN5014" s="313"/>
      <c r="AO5014" s="313"/>
      <c r="AP5014" s="313"/>
      <c r="AQ5014" s="314"/>
      <c r="AR5014" s="315" t="str">
        <f t="shared" si="152"/>
        <v/>
      </c>
    </row>
    <row r="5015" spans="37:44" ht="30" hidden="1" customHeight="1">
      <c r="AK5015" s="313"/>
      <c r="AL5015" s="313"/>
      <c r="AM5015" s="313"/>
      <c r="AN5015" s="313"/>
      <c r="AO5015" s="313"/>
      <c r="AP5015" s="313"/>
      <c r="AQ5015" s="314"/>
      <c r="AR5015" s="315" t="str">
        <f t="shared" si="152"/>
        <v/>
      </c>
    </row>
    <row r="5016" spans="37:44" ht="30" hidden="1" customHeight="1">
      <c r="AK5016" s="313"/>
      <c r="AL5016" s="313"/>
      <c r="AM5016" s="313"/>
      <c r="AN5016" s="313"/>
      <c r="AO5016" s="313"/>
      <c r="AP5016" s="313"/>
      <c r="AQ5016" s="314"/>
      <c r="AR5016" s="315" t="str">
        <f t="shared" si="152"/>
        <v/>
      </c>
    </row>
    <row r="5017" spans="37:44" ht="30" hidden="1" customHeight="1">
      <c r="AK5017" s="313"/>
      <c r="AL5017" s="313"/>
      <c r="AM5017" s="313"/>
      <c r="AN5017" s="313"/>
      <c r="AO5017" s="313"/>
      <c r="AP5017" s="313"/>
      <c r="AQ5017" s="314"/>
      <c r="AR5017" s="315" t="str">
        <f t="shared" si="152"/>
        <v/>
      </c>
    </row>
    <row r="5018" spans="37:44" ht="30" hidden="1" customHeight="1">
      <c r="AK5018" s="313"/>
      <c r="AL5018" s="313"/>
      <c r="AM5018" s="313"/>
      <c r="AN5018" s="313"/>
      <c r="AO5018" s="313"/>
      <c r="AP5018" s="313"/>
      <c r="AQ5018" s="314"/>
      <c r="AR5018" s="315" t="str">
        <f t="shared" si="152"/>
        <v/>
      </c>
    </row>
    <row r="5019" spans="37:44" ht="30" hidden="1" customHeight="1">
      <c r="AK5019" s="313"/>
      <c r="AL5019" s="313"/>
      <c r="AM5019" s="313"/>
      <c r="AN5019" s="313"/>
      <c r="AO5019" s="313"/>
      <c r="AP5019" s="313"/>
      <c r="AQ5019" s="314"/>
      <c r="AR5019" s="315" t="str">
        <f t="shared" si="152"/>
        <v/>
      </c>
    </row>
    <row r="5020" spans="37:44" ht="30" hidden="1" customHeight="1">
      <c r="AK5020" s="313"/>
      <c r="AL5020" s="313"/>
      <c r="AM5020" s="313"/>
      <c r="AN5020" s="313"/>
      <c r="AO5020" s="313"/>
      <c r="AP5020" s="313"/>
      <c r="AQ5020" s="314"/>
      <c r="AR5020" s="315" t="str">
        <f t="shared" si="152"/>
        <v/>
      </c>
    </row>
    <row r="5021" spans="37:44" ht="30" hidden="1" customHeight="1">
      <c r="AK5021" s="313"/>
      <c r="AL5021" s="313"/>
      <c r="AM5021" s="313"/>
      <c r="AN5021" s="313"/>
      <c r="AO5021" s="313"/>
      <c r="AP5021" s="313"/>
      <c r="AQ5021" s="314"/>
      <c r="AR5021" s="315" t="str">
        <f t="shared" si="152"/>
        <v/>
      </c>
    </row>
    <row r="5022" spans="37:44" ht="30" hidden="1" customHeight="1">
      <c r="AK5022" s="313"/>
      <c r="AL5022" s="313"/>
      <c r="AM5022" s="313"/>
      <c r="AN5022" s="313"/>
      <c r="AO5022" s="313"/>
      <c r="AP5022" s="313"/>
      <c r="AQ5022" s="314"/>
      <c r="AR5022" s="315" t="str">
        <f t="shared" si="152"/>
        <v/>
      </c>
    </row>
    <row r="5023" spans="37:44" ht="30" hidden="1" customHeight="1">
      <c r="AK5023" s="313"/>
      <c r="AL5023" s="313"/>
      <c r="AM5023" s="313"/>
      <c r="AN5023" s="313"/>
      <c r="AO5023" s="313"/>
      <c r="AP5023" s="313"/>
      <c r="AQ5023" s="314"/>
      <c r="AR5023" s="315" t="str">
        <f t="shared" si="152"/>
        <v/>
      </c>
    </row>
    <row r="5024" spans="37:44" ht="30" hidden="1" customHeight="1">
      <c r="AK5024" s="313"/>
      <c r="AL5024" s="313"/>
      <c r="AM5024" s="313"/>
      <c r="AN5024" s="313"/>
      <c r="AO5024" s="313"/>
      <c r="AP5024" s="313"/>
      <c r="AQ5024" s="314"/>
      <c r="AR5024" s="315" t="str">
        <f t="shared" si="152"/>
        <v/>
      </c>
    </row>
    <row r="5025" spans="37:44" ht="30" hidden="1" customHeight="1">
      <c r="AK5025" s="313"/>
      <c r="AL5025" s="313"/>
      <c r="AM5025" s="313"/>
      <c r="AN5025" s="313"/>
      <c r="AO5025" s="313"/>
      <c r="AP5025" s="313"/>
      <c r="AQ5025" s="314"/>
      <c r="AR5025" s="315" t="str">
        <f t="shared" si="152"/>
        <v/>
      </c>
    </row>
    <row r="5026" spans="37:44" ht="30" hidden="1" customHeight="1">
      <c r="AK5026" s="313"/>
      <c r="AL5026" s="313"/>
      <c r="AM5026" s="313"/>
      <c r="AN5026" s="313"/>
      <c r="AO5026" s="313"/>
      <c r="AP5026" s="313"/>
      <c r="AQ5026" s="314"/>
      <c r="AR5026" s="315" t="str">
        <f t="shared" si="152"/>
        <v/>
      </c>
    </row>
    <row r="5027" spans="37:44" ht="30" hidden="1" customHeight="1">
      <c r="AK5027" s="313"/>
      <c r="AL5027" s="313"/>
      <c r="AM5027" s="313"/>
      <c r="AN5027" s="313"/>
      <c r="AO5027" s="313"/>
      <c r="AP5027" s="313"/>
      <c r="AQ5027" s="314"/>
      <c r="AR5027" s="315" t="str">
        <f t="shared" si="152"/>
        <v/>
      </c>
    </row>
    <row r="5028" spans="37:44" ht="30" hidden="1" customHeight="1">
      <c r="AK5028" s="313"/>
      <c r="AL5028" s="313"/>
      <c r="AM5028" s="313"/>
      <c r="AN5028" s="313"/>
      <c r="AO5028" s="313"/>
      <c r="AP5028" s="313"/>
      <c r="AQ5028" s="314"/>
      <c r="AR5028" s="315" t="str">
        <f t="shared" si="152"/>
        <v/>
      </c>
    </row>
    <row r="5029" spans="37:44" ht="30" hidden="1" customHeight="1">
      <c r="AK5029" s="313"/>
      <c r="AL5029" s="313"/>
      <c r="AM5029" s="313"/>
      <c r="AN5029" s="313"/>
      <c r="AO5029" s="313"/>
      <c r="AP5029" s="313"/>
      <c r="AQ5029" s="314"/>
      <c r="AR5029" s="315" t="str">
        <f t="shared" si="152"/>
        <v/>
      </c>
    </row>
    <row r="5030" spans="37:44" ht="30" hidden="1" customHeight="1">
      <c r="AK5030" s="313"/>
      <c r="AL5030" s="313"/>
      <c r="AM5030" s="313"/>
      <c r="AN5030" s="313"/>
      <c r="AO5030" s="313"/>
      <c r="AP5030" s="313"/>
      <c r="AQ5030" s="314"/>
      <c r="AR5030" s="315" t="str">
        <f t="shared" si="152"/>
        <v/>
      </c>
    </row>
    <row r="5031" spans="37:44" ht="30" hidden="1" customHeight="1">
      <c r="AK5031" s="313"/>
      <c r="AL5031" s="313"/>
      <c r="AM5031" s="313"/>
      <c r="AN5031" s="313"/>
      <c r="AO5031" s="313"/>
      <c r="AP5031" s="313"/>
      <c r="AQ5031" s="314"/>
      <c r="AR5031" s="315" t="str">
        <f t="shared" si="152"/>
        <v/>
      </c>
    </row>
    <row r="5032" spans="37:44" ht="30" hidden="1" customHeight="1">
      <c r="AK5032" s="313"/>
      <c r="AL5032" s="313"/>
      <c r="AM5032" s="313"/>
      <c r="AN5032" s="313"/>
      <c r="AO5032" s="313"/>
      <c r="AP5032" s="313"/>
      <c r="AQ5032" s="314"/>
      <c r="AR5032" s="315" t="str">
        <f t="shared" si="152"/>
        <v/>
      </c>
    </row>
    <row r="5033" spans="37:44" ht="30" hidden="1" customHeight="1">
      <c r="AK5033" s="313"/>
      <c r="AL5033" s="313"/>
      <c r="AM5033" s="313"/>
      <c r="AN5033" s="313"/>
      <c r="AO5033" s="313"/>
      <c r="AP5033" s="313"/>
      <c r="AQ5033" s="314"/>
      <c r="AR5033" s="315" t="str">
        <f t="shared" si="152"/>
        <v/>
      </c>
    </row>
    <row r="5034" spans="37:44" ht="30" hidden="1" customHeight="1">
      <c r="AK5034" s="313"/>
      <c r="AL5034" s="313"/>
      <c r="AM5034" s="313"/>
      <c r="AN5034" s="313"/>
      <c r="AO5034" s="313"/>
      <c r="AP5034" s="313"/>
      <c r="AQ5034" s="314"/>
      <c r="AR5034" s="315" t="str">
        <f t="shared" si="152"/>
        <v/>
      </c>
    </row>
    <row r="5035" spans="37:44" ht="30" hidden="1" customHeight="1">
      <c r="AK5035" s="313"/>
      <c r="AL5035" s="313"/>
      <c r="AM5035" s="313"/>
      <c r="AN5035" s="313"/>
      <c r="AO5035" s="313"/>
      <c r="AP5035" s="313"/>
      <c r="AQ5035" s="314"/>
      <c r="AR5035" s="315" t="str">
        <f t="shared" si="152"/>
        <v/>
      </c>
    </row>
    <row r="5036" spans="37:44" ht="30" hidden="1" customHeight="1">
      <c r="AK5036" s="313"/>
      <c r="AL5036" s="313"/>
      <c r="AM5036" s="313"/>
      <c r="AN5036" s="313"/>
      <c r="AO5036" s="313"/>
      <c r="AP5036" s="313"/>
      <c r="AQ5036" s="314"/>
      <c r="AR5036" s="315" t="str">
        <f t="shared" si="152"/>
        <v/>
      </c>
    </row>
    <row r="5037" spans="37:44" ht="30" hidden="1" customHeight="1">
      <c r="AK5037" s="313"/>
      <c r="AL5037" s="313"/>
      <c r="AM5037" s="313"/>
      <c r="AN5037" s="313"/>
      <c r="AO5037" s="313"/>
      <c r="AP5037" s="313"/>
      <c r="AQ5037" s="314"/>
      <c r="AR5037" s="315" t="str">
        <f t="shared" si="152"/>
        <v/>
      </c>
    </row>
    <row r="5038" spans="37:44" ht="30" hidden="1" customHeight="1">
      <c r="AK5038" s="313"/>
      <c r="AL5038" s="313"/>
      <c r="AM5038" s="313"/>
      <c r="AN5038" s="313"/>
      <c r="AO5038" s="313"/>
      <c r="AP5038" s="313"/>
      <c r="AQ5038" s="314"/>
      <c r="AR5038" s="315" t="str">
        <f t="shared" si="152"/>
        <v/>
      </c>
    </row>
    <row r="5039" spans="37:44" ht="30" hidden="1" customHeight="1">
      <c r="AK5039" s="313"/>
      <c r="AL5039" s="313"/>
      <c r="AM5039" s="313"/>
      <c r="AN5039" s="313"/>
      <c r="AO5039" s="313"/>
      <c r="AP5039" s="313"/>
      <c r="AQ5039" s="314"/>
      <c r="AR5039" s="315" t="str">
        <f t="shared" si="152"/>
        <v/>
      </c>
    </row>
    <row r="5040" spans="37:44" ht="30" hidden="1" customHeight="1">
      <c r="AK5040" s="313"/>
      <c r="AL5040" s="313"/>
      <c r="AM5040" s="313"/>
      <c r="AN5040" s="313"/>
      <c r="AO5040" s="313"/>
      <c r="AP5040" s="313"/>
      <c r="AQ5040" s="314"/>
      <c r="AR5040" s="315" t="str">
        <f t="shared" si="152"/>
        <v/>
      </c>
    </row>
    <row r="5041" spans="37:44" ht="30" hidden="1" customHeight="1">
      <c r="AK5041" s="313"/>
      <c r="AL5041" s="313"/>
      <c r="AM5041" s="313"/>
      <c r="AN5041" s="313"/>
      <c r="AO5041" s="313"/>
      <c r="AP5041" s="313"/>
      <c r="AQ5041" s="314"/>
      <c r="AR5041" s="315" t="str">
        <f t="shared" si="152"/>
        <v/>
      </c>
    </row>
    <row r="5042" spans="37:44" ht="30" hidden="1" customHeight="1">
      <c r="AK5042" s="313"/>
      <c r="AL5042" s="313"/>
      <c r="AM5042" s="313"/>
      <c r="AN5042" s="313"/>
      <c r="AO5042" s="313"/>
      <c r="AP5042" s="313"/>
      <c r="AQ5042" s="314"/>
      <c r="AR5042" s="315" t="str">
        <f t="shared" si="152"/>
        <v/>
      </c>
    </row>
    <row r="5043" spans="37:44" ht="30" hidden="1" customHeight="1">
      <c r="AK5043" s="313"/>
      <c r="AL5043" s="313"/>
      <c r="AM5043" s="313"/>
      <c r="AN5043" s="313"/>
      <c r="AO5043" s="313"/>
      <c r="AP5043" s="313"/>
      <c r="AQ5043" s="314"/>
      <c r="AR5043" s="315" t="str">
        <f t="shared" si="152"/>
        <v/>
      </c>
    </row>
    <row r="5044" spans="37:44" ht="30" hidden="1" customHeight="1">
      <c r="AK5044" s="313"/>
      <c r="AL5044" s="313"/>
      <c r="AM5044" s="313"/>
      <c r="AN5044" s="313"/>
      <c r="AO5044" s="313"/>
      <c r="AP5044" s="313"/>
      <c r="AQ5044" s="314"/>
      <c r="AR5044" s="315" t="str">
        <f t="shared" si="152"/>
        <v/>
      </c>
    </row>
    <row r="5045" spans="37:44" ht="30" hidden="1" customHeight="1">
      <c r="AK5045" s="313"/>
      <c r="AL5045" s="313"/>
      <c r="AM5045" s="313"/>
      <c r="AN5045" s="313"/>
      <c r="AO5045" s="313"/>
      <c r="AP5045" s="313"/>
      <c r="AQ5045" s="314"/>
      <c r="AR5045" s="315" t="str">
        <f t="shared" si="152"/>
        <v/>
      </c>
    </row>
    <row r="5046" spans="37:44" ht="30" hidden="1" customHeight="1">
      <c r="AK5046" s="313"/>
      <c r="AL5046" s="313"/>
      <c r="AM5046" s="313"/>
      <c r="AN5046" s="313"/>
      <c r="AO5046" s="313"/>
      <c r="AP5046" s="313"/>
      <c r="AQ5046" s="314"/>
      <c r="AR5046" s="315" t="str">
        <f t="shared" si="152"/>
        <v/>
      </c>
    </row>
    <row r="5047" spans="37:44" ht="30" hidden="1" customHeight="1">
      <c r="AK5047" s="313"/>
      <c r="AL5047" s="313"/>
      <c r="AM5047" s="313"/>
      <c r="AN5047" s="313"/>
      <c r="AO5047" s="313"/>
      <c r="AP5047" s="313"/>
      <c r="AQ5047" s="314"/>
      <c r="AR5047" s="315" t="str">
        <f t="shared" si="152"/>
        <v/>
      </c>
    </row>
    <row r="5048" spans="37:44" ht="30" hidden="1" customHeight="1">
      <c r="AK5048" s="313"/>
      <c r="AL5048" s="313"/>
      <c r="AM5048" s="313"/>
      <c r="AN5048" s="313"/>
      <c r="AO5048" s="313"/>
      <c r="AP5048" s="313"/>
      <c r="AQ5048" s="314"/>
      <c r="AR5048" s="315" t="str">
        <f t="shared" si="152"/>
        <v/>
      </c>
    </row>
    <row r="5049" spans="37:44" ht="30" hidden="1" customHeight="1">
      <c r="AK5049" s="313"/>
      <c r="AL5049" s="313"/>
      <c r="AM5049" s="313"/>
      <c r="AN5049" s="313"/>
      <c r="AO5049" s="313"/>
      <c r="AP5049" s="313"/>
      <c r="AQ5049" s="314"/>
      <c r="AR5049" s="315" t="str">
        <f t="shared" si="152"/>
        <v/>
      </c>
    </row>
    <row r="5050" spans="37:44" ht="30" hidden="1" customHeight="1">
      <c r="AK5050" s="313"/>
      <c r="AL5050" s="313"/>
      <c r="AM5050" s="313"/>
      <c r="AN5050" s="313"/>
      <c r="AO5050" s="313"/>
      <c r="AP5050" s="313"/>
      <c r="AQ5050" s="314"/>
      <c r="AR5050" s="315" t="str">
        <f t="shared" si="152"/>
        <v/>
      </c>
    </row>
    <row r="5051" spans="37:44" ht="30" hidden="1" customHeight="1">
      <c r="AK5051" s="313"/>
      <c r="AL5051" s="313"/>
      <c r="AM5051" s="313"/>
      <c r="AN5051" s="313"/>
      <c r="AO5051" s="313"/>
      <c r="AP5051" s="313"/>
      <c r="AQ5051" s="314"/>
      <c r="AR5051" s="315" t="str">
        <f t="shared" si="152"/>
        <v/>
      </c>
    </row>
    <row r="5052" spans="37:44" ht="30" hidden="1" customHeight="1">
      <c r="AK5052" s="313"/>
      <c r="AL5052" s="313"/>
      <c r="AM5052" s="313"/>
      <c r="AN5052" s="313"/>
      <c r="AO5052" s="313"/>
      <c r="AP5052" s="313"/>
      <c r="AQ5052" s="314"/>
      <c r="AR5052" s="315" t="str">
        <f t="shared" si="152"/>
        <v/>
      </c>
    </row>
    <row r="5053" spans="37:44" ht="30" hidden="1" customHeight="1">
      <c r="AK5053" s="313"/>
      <c r="AL5053" s="313"/>
      <c r="AM5053" s="313"/>
      <c r="AN5053" s="313"/>
      <c r="AO5053" s="313"/>
      <c r="AP5053" s="313"/>
      <c r="AQ5053" s="314"/>
      <c r="AR5053" s="315" t="str">
        <f t="shared" si="152"/>
        <v/>
      </c>
    </row>
    <row r="5054" spans="37:44" ht="30" hidden="1" customHeight="1">
      <c r="AK5054" s="313"/>
      <c r="AL5054" s="313"/>
      <c r="AM5054" s="313"/>
      <c r="AN5054" s="313"/>
      <c r="AO5054" s="313"/>
      <c r="AP5054" s="313"/>
      <c r="AQ5054" s="314"/>
      <c r="AR5054" s="315" t="str">
        <f t="shared" si="152"/>
        <v/>
      </c>
    </row>
    <row r="5055" spans="37:44" ht="30" hidden="1" customHeight="1">
      <c r="AK5055" s="313"/>
      <c r="AL5055" s="313"/>
      <c r="AM5055" s="313"/>
      <c r="AN5055" s="313"/>
      <c r="AO5055" s="313"/>
      <c r="AP5055" s="313"/>
      <c r="AQ5055" s="314"/>
      <c r="AR5055" s="315" t="str">
        <f t="shared" ref="AR5055:AR5118" si="153">IF(AQ5055="SIM","AGUARDANDO CORREÇÃO",IF(AP5055&lt;&gt;"","FINALIZADO",IF(AO5055&lt;&gt;"","AGUARDANDO ENVIO DTS",IF(AN5055&lt;&gt;"","AGUARDANDO ASSINATURA GAB",IF(AM5055&lt;&gt;"","AGUARDANDO ASSINATURA CTS",IF(AL5055&lt;&gt;"","AGUARDANDO ENVIO ASSINATURA CTS",IF(AK5055&lt;&gt;"","AGUARDANDO CONFERÊNCIA","")))))))</f>
        <v/>
      </c>
    </row>
    <row r="5056" spans="37:44" ht="30" hidden="1" customHeight="1">
      <c r="AK5056" s="313"/>
      <c r="AL5056" s="313"/>
      <c r="AM5056" s="313"/>
      <c r="AN5056" s="313"/>
      <c r="AO5056" s="313"/>
      <c r="AP5056" s="313"/>
      <c r="AQ5056" s="314"/>
      <c r="AR5056" s="315" t="str">
        <f t="shared" si="153"/>
        <v/>
      </c>
    </row>
    <row r="5057" spans="37:44" ht="30" hidden="1" customHeight="1">
      <c r="AK5057" s="313"/>
      <c r="AL5057" s="313"/>
      <c r="AM5057" s="313"/>
      <c r="AN5057" s="313"/>
      <c r="AO5057" s="313"/>
      <c r="AP5057" s="313"/>
      <c r="AQ5057" s="314"/>
      <c r="AR5057" s="315" t="str">
        <f t="shared" si="153"/>
        <v/>
      </c>
    </row>
    <row r="5058" spans="37:44" ht="30" hidden="1" customHeight="1">
      <c r="AK5058" s="313"/>
      <c r="AL5058" s="313"/>
      <c r="AM5058" s="313"/>
      <c r="AN5058" s="313"/>
      <c r="AO5058" s="313"/>
      <c r="AP5058" s="313"/>
      <c r="AQ5058" s="314"/>
      <c r="AR5058" s="315" t="str">
        <f t="shared" si="153"/>
        <v/>
      </c>
    </row>
    <row r="5059" spans="37:44" ht="30" hidden="1" customHeight="1">
      <c r="AK5059" s="313"/>
      <c r="AL5059" s="313"/>
      <c r="AM5059" s="313"/>
      <c r="AN5059" s="313"/>
      <c r="AO5059" s="313"/>
      <c r="AP5059" s="313"/>
      <c r="AQ5059" s="314"/>
      <c r="AR5059" s="315" t="str">
        <f t="shared" si="153"/>
        <v/>
      </c>
    </row>
    <row r="5060" spans="37:44" ht="30" hidden="1" customHeight="1">
      <c r="AK5060" s="313"/>
      <c r="AL5060" s="313"/>
      <c r="AM5060" s="313"/>
      <c r="AN5060" s="313"/>
      <c r="AO5060" s="313"/>
      <c r="AP5060" s="313"/>
      <c r="AQ5060" s="314"/>
      <c r="AR5060" s="315" t="str">
        <f t="shared" si="153"/>
        <v/>
      </c>
    </row>
    <row r="5061" spans="37:44" ht="30" hidden="1" customHeight="1">
      <c r="AK5061" s="313"/>
      <c r="AL5061" s="313"/>
      <c r="AM5061" s="313"/>
      <c r="AN5061" s="313"/>
      <c r="AO5061" s="313"/>
      <c r="AP5061" s="313"/>
      <c r="AQ5061" s="314"/>
      <c r="AR5061" s="315" t="str">
        <f t="shared" si="153"/>
        <v/>
      </c>
    </row>
    <row r="5062" spans="37:44" ht="30" hidden="1" customHeight="1">
      <c r="AK5062" s="313"/>
      <c r="AL5062" s="313"/>
      <c r="AM5062" s="313"/>
      <c r="AN5062" s="313"/>
      <c r="AO5062" s="313"/>
      <c r="AP5062" s="313"/>
      <c r="AQ5062" s="314"/>
      <c r="AR5062" s="315" t="str">
        <f t="shared" si="153"/>
        <v/>
      </c>
    </row>
    <row r="5063" spans="37:44" ht="30" hidden="1" customHeight="1">
      <c r="AK5063" s="313"/>
      <c r="AL5063" s="313"/>
      <c r="AM5063" s="313"/>
      <c r="AN5063" s="313"/>
      <c r="AO5063" s="313"/>
      <c r="AP5063" s="313"/>
      <c r="AQ5063" s="314"/>
      <c r="AR5063" s="315" t="str">
        <f t="shared" si="153"/>
        <v/>
      </c>
    </row>
    <row r="5064" spans="37:44" ht="30" hidden="1" customHeight="1">
      <c r="AK5064" s="313"/>
      <c r="AL5064" s="313"/>
      <c r="AM5064" s="313"/>
      <c r="AN5064" s="313"/>
      <c r="AO5064" s="313"/>
      <c r="AP5064" s="313"/>
      <c r="AQ5064" s="314"/>
      <c r="AR5064" s="315" t="str">
        <f t="shared" si="153"/>
        <v/>
      </c>
    </row>
    <row r="5065" spans="37:44" ht="30" hidden="1" customHeight="1">
      <c r="AK5065" s="313"/>
      <c r="AL5065" s="313"/>
      <c r="AM5065" s="313"/>
      <c r="AN5065" s="313"/>
      <c r="AO5065" s="313"/>
      <c r="AP5065" s="313"/>
      <c r="AQ5065" s="314"/>
      <c r="AR5065" s="315" t="str">
        <f t="shared" si="153"/>
        <v/>
      </c>
    </row>
    <row r="5066" spans="37:44" ht="30" hidden="1" customHeight="1">
      <c r="AK5066" s="313"/>
      <c r="AL5066" s="313"/>
      <c r="AM5066" s="313"/>
      <c r="AN5066" s="313"/>
      <c r="AO5066" s="313"/>
      <c r="AP5066" s="313"/>
      <c r="AQ5066" s="314"/>
      <c r="AR5066" s="315" t="str">
        <f t="shared" si="153"/>
        <v/>
      </c>
    </row>
    <row r="5067" spans="37:44" ht="30" hidden="1" customHeight="1">
      <c r="AK5067" s="313"/>
      <c r="AL5067" s="313"/>
      <c r="AM5067" s="313"/>
      <c r="AN5067" s="313"/>
      <c r="AO5067" s="313"/>
      <c r="AP5067" s="313"/>
      <c r="AQ5067" s="314"/>
      <c r="AR5067" s="315" t="str">
        <f t="shared" si="153"/>
        <v/>
      </c>
    </row>
    <row r="5068" spans="37:44" ht="30" hidden="1" customHeight="1">
      <c r="AK5068" s="313"/>
      <c r="AL5068" s="313"/>
      <c r="AM5068" s="313"/>
      <c r="AN5068" s="313"/>
      <c r="AO5068" s="313"/>
      <c r="AP5068" s="313"/>
      <c r="AQ5068" s="314"/>
      <c r="AR5068" s="315" t="str">
        <f t="shared" si="153"/>
        <v/>
      </c>
    </row>
    <row r="5069" spans="37:44" ht="30" hidden="1" customHeight="1">
      <c r="AK5069" s="313"/>
      <c r="AL5069" s="313"/>
      <c r="AM5069" s="313"/>
      <c r="AN5069" s="313"/>
      <c r="AO5069" s="313"/>
      <c r="AP5069" s="313"/>
      <c r="AQ5069" s="314"/>
      <c r="AR5069" s="315" t="str">
        <f t="shared" si="153"/>
        <v/>
      </c>
    </row>
    <row r="5070" spans="37:44" ht="30" hidden="1" customHeight="1">
      <c r="AK5070" s="313"/>
      <c r="AL5070" s="313"/>
      <c r="AM5070" s="313"/>
      <c r="AN5070" s="313"/>
      <c r="AO5070" s="313"/>
      <c r="AP5070" s="313"/>
      <c r="AQ5070" s="314"/>
      <c r="AR5070" s="315" t="str">
        <f t="shared" si="153"/>
        <v/>
      </c>
    </row>
    <row r="5071" spans="37:44" ht="30" hidden="1" customHeight="1">
      <c r="AK5071" s="313"/>
      <c r="AL5071" s="313"/>
      <c r="AM5071" s="313"/>
      <c r="AN5071" s="313"/>
      <c r="AO5071" s="313"/>
      <c r="AP5071" s="313"/>
      <c r="AQ5071" s="314"/>
      <c r="AR5071" s="315" t="str">
        <f t="shared" si="153"/>
        <v/>
      </c>
    </row>
    <row r="5072" spans="37:44" ht="30" hidden="1" customHeight="1">
      <c r="AK5072" s="313"/>
      <c r="AL5072" s="313"/>
      <c r="AM5072" s="313"/>
      <c r="AN5072" s="313"/>
      <c r="AO5072" s="313"/>
      <c r="AP5072" s="313"/>
      <c r="AQ5072" s="314"/>
      <c r="AR5072" s="315" t="str">
        <f t="shared" si="153"/>
        <v/>
      </c>
    </row>
    <row r="5073" spans="37:44" ht="30" hidden="1" customHeight="1">
      <c r="AK5073" s="313"/>
      <c r="AL5073" s="313"/>
      <c r="AM5073" s="313"/>
      <c r="AN5073" s="313"/>
      <c r="AO5073" s="313"/>
      <c r="AP5073" s="313"/>
      <c r="AQ5073" s="314"/>
      <c r="AR5073" s="315" t="str">
        <f t="shared" si="153"/>
        <v/>
      </c>
    </row>
    <row r="5074" spans="37:44" ht="30" hidden="1" customHeight="1">
      <c r="AK5074" s="313"/>
      <c r="AL5074" s="313"/>
      <c r="AM5074" s="313"/>
      <c r="AN5074" s="313"/>
      <c r="AO5074" s="313"/>
      <c r="AP5074" s="313"/>
      <c r="AQ5074" s="314"/>
      <c r="AR5074" s="315" t="str">
        <f t="shared" si="153"/>
        <v/>
      </c>
    </row>
    <row r="5075" spans="37:44" ht="30" hidden="1" customHeight="1">
      <c r="AK5075" s="313"/>
      <c r="AL5075" s="313"/>
      <c r="AM5075" s="313"/>
      <c r="AN5075" s="313"/>
      <c r="AO5075" s="313"/>
      <c r="AP5075" s="313"/>
      <c r="AQ5075" s="314"/>
      <c r="AR5075" s="315" t="str">
        <f t="shared" si="153"/>
        <v/>
      </c>
    </row>
    <row r="5076" spans="37:44" ht="30" hidden="1" customHeight="1">
      <c r="AK5076" s="313"/>
      <c r="AL5076" s="313"/>
      <c r="AM5076" s="313"/>
      <c r="AN5076" s="313"/>
      <c r="AO5076" s="313"/>
      <c r="AP5076" s="313"/>
      <c r="AQ5076" s="314"/>
      <c r="AR5076" s="315" t="str">
        <f t="shared" si="153"/>
        <v/>
      </c>
    </row>
    <row r="5077" spans="37:44" ht="30" hidden="1" customHeight="1">
      <c r="AK5077" s="313"/>
      <c r="AL5077" s="313"/>
      <c r="AM5077" s="313"/>
      <c r="AN5077" s="313"/>
      <c r="AO5077" s="313"/>
      <c r="AP5077" s="313"/>
      <c r="AQ5077" s="314"/>
      <c r="AR5077" s="315" t="str">
        <f t="shared" si="153"/>
        <v/>
      </c>
    </row>
    <row r="5078" spans="37:44" ht="30" hidden="1" customHeight="1">
      <c r="AK5078" s="313"/>
      <c r="AL5078" s="313"/>
      <c r="AM5078" s="313"/>
      <c r="AN5078" s="313"/>
      <c r="AO5078" s="313"/>
      <c r="AP5078" s="313"/>
      <c r="AQ5078" s="314"/>
      <c r="AR5078" s="315" t="str">
        <f t="shared" si="153"/>
        <v/>
      </c>
    </row>
    <row r="5079" spans="37:44" ht="30" hidden="1" customHeight="1">
      <c r="AK5079" s="313"/>
      <c r="AL5079" s="313"/>
      <c r="AM5079" s="313"/>
      <c r="AN5079" s="313"/>
      <c r="AO5079" s="313"/>
      <c r="AP5079" s="313"/>
      <c r="AQ5079" s="314"/>
      <c r="AR5079" s="315" t="str">
        <f t="shared" si="153"/>
        <v/>
      </c>
    </row>
    <row r="5080" spans="37:44" ht="30" hidden="1" customHeight="1">
      <c r="AK5080" s="313"/>
      <c r="AL5080" s="313"/>
      <c r="AM5080" s="313"/>
      <c r="AN5080" s="313"/>
      <c r="AO5080" s="313"/>
      <c r="AP5080" s="313"/>
      <c r="AQ5080" s="314"/>
      <c r="AR5080" s="315" t="str">
        <f t="shared" si="153"/>
        <v/>
      </c>
    </row>
    <row r="5081" spans="37:44" ht="30" hidden="1" customHeight="1">
      <c r="AK5081" s="313"/>
      <c r="AL5081" s="313"/>
      <c r="AM5081" s="313"/>
      <c r="AN5081" s="313"/>
      <c r="AO5081" s="313"/>
      <c r="AP5081" s="313"/>
      <c r="AQ5081" s="314"/>
      <c r="AR5081" s="315" t="str">
        <f t="shared" si="153"/>
        <v/>
      </c>
    </row>
    <row r="5082" spans="37:44" ht="30" hidden="1" customHeight="1">
      <c r="AK5082" s="313"/>
      <c r="AL5082" s="313"/>
      <c r="AM5082" s="313"/>
      <c r="AN5082" s="313"/>
      <c r="AO5082" s="313"/>
      <c r="AP5082" s="313"/>
      <c r="AQ5082" s="314"/>
      <c r="AR5082" s="315" t="str">
        <f t="shared" si="153"/>
        <v/>
      </c>
    </row>
    <row r="5083" spans="37:44" ht="30" hidden="1" customHeight="1">
      <c r="AK5083" s="313"/>
      <c r="AL5083" s="313"/>
      <c r="AM5083" s="313"/>
      <c r="AN5083" s="313"/>
      <c r="AO5083" s="313"/>
      <c r="AP5083" s="313"/>
      <c r="AQ5083" s="314"/>
      <c r="AR5083" s="315" t="str">
        <f t="shared" si="153"/>
        <v/>
      </c>
    </row>
    <row r="5084" spans="37:44" ht="30" hidden="1" customHeight="1">
      <c r="AK5084" s="313"/>
      <c r="AL5084" s="313"/>
      <c r="AM5084" s="313"/>
      <c r="AN5084" s="313"/>
      <c r="AO5084" s="313"/>
      <c r="AP5084" s="313"/>
      <c r="AQ5084" s="314"/>
      <c r="AR5084" s="315" t="str">
        <f t="shared" si="153"/>
        <v/>
      </c>
    </row>
    <row r="5085" spans="37:44" ht="30" hidden="1" customHeight="1">
      <c r="AK5085" s="313"/>
      <c r="AL5085" s="313"/>
      <c r="AM5085" s="313"/>
      <c r="AN5085" s="313"/>
      <c r="AO5085" s="313"/>
      <c r="AP5085" s="313"/>
      <c r="AQ5085" s="314"/>
      <c r="AR5085" s="315" t="str">
        <f t="shared" si="153"/>
        <v/>
      </c>
    </row>
    <row r="5086" spans="37:44" ht="30" hidden="1" customHeight="1">
      <c r="AK5086" s="313"/>
      <c r="AL5086" s="313"/>
      <c r="AM5086" s="313"/>
      <c r="AN5086" s="313"/>
      <c r="AO5086" s="313"/>
      <c r="AP5086" s="313"/>
      <c r="AQ5086" s="314"/>
      <c r="AR5086" s="315" t="str">
        <f t="shared" si="153"/>
        <v/>
      </c>
    </row>
    <row r="5087" spans="37:44" ht="30" hidden="1" customHeight="1">
      <c r="AK5087" s="313"/>
      <c r="AL5087" s="313"/>
      <c r="AM5087" s="313"/>
      <c r="AN5087" s="313"/>
      <c r="AO5087" s="313"/>
      <c r="AP5087" s="313"/>
      <c r="AQ5087" s="314"/>
      <c r="AR5087" s="315" t="str">
        <f t="shared" si="153"/>
        <v/>
      </c>
    </row>
    <row r="5088" spans="37:44" ht="30" hidden="1" customHeight="1">
      <c r="AK5088" s="313"/>
      <c r="AL5088" s="313"/>
      <c r="AM5088" s="313"/>
      <c r="AN5088" s="313"/>
      <c r="AO5088" s="313"/>
      <c r="AP5088" s="313"/>
      <c r="AQ5088" s="314"/>
      <c r="AR5088" s="315" t="str">
        <f t="shared" si="153"/>
        <v/>
      </c>
    </row>
    <row r="5089" spans="37:44" ht="30" hidden="1" customHeight="1">
      <c r="AK5089" s="313"/>
      <c r="AL5089" s="313"/>
      <c r="AM5089" s="313"/>
      <c r="AN5089" s="313"/>
      <c r="AO5089" s="313"/>
      <c r="AP5089" s="313"/>
      <c r="AQ5089" s="314"/>
      <c r="AR5089" s="315" t="str">
        <f t="shared" si="153"/>
        <v/>
      </c>
    </row>
    <row r="5090" spans="37:44" ht="30" hidden="1" customHeight="1">
      <c r="AK5090" s="313"/>
      <c r="AL5090" s="313"/>
      <c r="AM5090" s="313"/>
      <c r="AN5090" s="313"/>
      <c r="AO5090" s="313"/>
      <c r="AP5090" s="313"/>
      <c r="AQ5090" s="314"/>
      <c r="AR5090" s="315" t="str">
        <f t="shared" si="153"/>
        <v/>
      </c>
    </row>
    <row r="5091" spans="37:44" ht="30" hidden="1" customHeight="1">
      <c r="AK5091" s="313"/>
      <c r="AL5091" s="313"/>
      <c r="AM5091" s="313"/>
      <c r="AN5091" s="313"/>
      <c r="AO5091" s="313"/>
      <c r="AP5091" s="313"/>
      <c r="AQ5091" s="314"/>
      <c r="AR5091" s="315" t="str">
        <f t="shared" si="153"/>
        <v/>
      </c>
    </row>
    <row r="5092" spans="37:44" ht="30" hidden="1" customHeight="1">
      <c r="AK5092" s="313"/>
      <c r="AL5092" s="313"/>
      <c r="AM5092" s="313"/>
      <c r="AN5092" s="313"/>
      <c r="AO5092" s="313"/>
      <c r="AP5092" s="313"/>
      <c r="AQ5092" s="314"/>
      <c r="AR5092" s="315" t="str">
        <f t="shared" si="153"/>
        <v/>
      </c>
    </row>
    <row r="5093" spans="37:44" ht="30" hidden="1" customHeight="1">
      <c r="AK5093" s="313"/>
      <c r="AL5093" s="313"/>
      <c r="AM5093" s="313"/>
      <c r="AN5093" s="313"/>
      <c r="AO5093" s="313"/>
      <c r="AP5093" s="313"/>
      <c r="AQ5093" s="314"/>
      <c r="AR5093" s="315" t="str">
        <f t="shared" si="153"/>
        <v/>
      </c>
    </row>
    <row r="5094" spans="37:44" ht="30" hidden="1" customHeight="1">
      <c r="AK5094" s="313"/>
      <c r="AL5094" s="313"/>
      <c r="AM5094" s="313"/>
      <c r="AN5094" s="313"/>
      <c r="AO5094" s="313"/>
      <c r="AP5094" s="313"/>
      <c r="AQ5094" s="314"/>
      <c r="AR5094" s="315" t="str">
        <f t="shared" si="153"/>
        <v/>
      </c>
    </row>
    <row r="5095" spans="37:44" ht="30" hidden="1" customHeight="1">
      <c r="AK5095" s="313"/>
      <c r="AL5095" s="313"/>
      <c r="AM5095" s="313"/>
      <c r="AN5095" s="313"/>
      <c r="AO5095" s="313"/>
      <c r="AP5095" s="313"/>
      <c r="AQ5095" s="314"/>
      <c r="AR5095" s="315" t="str">
        <f t="shared" si="153"/>
        <v/>
      </c>
    </row>
    <row r="5096" spans="37:44" ht="30" hidden="1" customHeight="1">
      <c r="AK5096" s="313"/>
      <c r="AL5096" s="313"/>
      <c r="AM5096" s="313"/>
      <c r="AN5096" s="313"/>
      <c r="AO5096" s="313"/>
      <c r="AP5096" s="313"/>
      <c r="AQ5096" s="314"/>
      <c r="AR5096" s="315" t="str">
        <f t="shared" si="153"/>
        <v/>
      </c>
    </row>
    <row r="5097" spans="37:44" ht="30" hidden="1" customHeight="1">
      <c r="AK5097" s="313"/>
      <c r="AL5097" s="313"/>
      <c r="AM5097" s="313"/>
      <c r="AN5097" s="313"/>
      <c r="AO5097" s="313"/>
      <c r="AP5097" s="313"/>
      <c r="AQ5097" s="314"/>
      <c r="AR5097" s="315" t="str">
        <f t="shared" si="153"/>
        <v/>
      </c>
    </row>
    <row r="5098" spans="37:44" ht="30" hidden="1" customHeight="1">
      <c r="AK5098" s="313"/>
      <c r="AL5098" s="313"/>
      <c r="AM5098" s="313"/>
      <c r="AN5098" s="313"/>
      <c r="AO5098" s="313"/>
      <c r="AP5098" s="313"/>
      <c r="AQ5098" s="314"/>
      <c r="AR5098" s="315" t="str">
        <f t="shared" si="153"/>
        <v/>
      </c>
    </row>
    <row r="5099" spans="37:44" ht="30" hidden="1" customHeight="1">
      <c r="AK5099" s="313"/>
      <c r="AL5099" s="313"/>
      <c r="AM5099" s="313"/>
      <c r="AN5099" s="313"/>
      <c r="AO5099" s="313"/>
      <c r="AP5099" s="313"/>
      <c r="AQ5099" s="314"/>
      <c r="AR5099" s="315" t="str">
        <f t="shared" si="153"/>
        <v/>
      </c>
    </row>
    <row r="5100" spans="37:44" ht="30" hidden="1" customHeight="1">
      <c r="AK5100" s="313"/>
      <c r="AL5100" s="313"/>
      <c r="AM5100" s="313"/>
      <c r="AN5100" s="313"/>
      <c r="AO5100" s="313"/>
      <c r="AP5100" s="313"/>
      <c r="AQ5100" s="314"/>
      <c r="AR5100" s="315" t="str">
        <f t="shared" si="153"/>
        <v/>
      </c>
    </row>
    <row r="5101" spans="37:44" ht="30" hidden="1" customHeight="1">
      <c r="AK5101" s="313"/>
      <c r="AL5101" s="313"/>
      <c r="AM5101" s="313"/>
      <c r="AN5101" s="313"/>
      <c r="AO5101" s="313"/>
      <c r="AP5101" s="313"/>
      <c r="AQ5101" s="314"/>
      <c r="AR5101" s="315" t="str">
        <f t="shared" si="153"/>
        <v/>
      </c>
    </row>
    <row r="5102" spans="37:44" ht="30" hidden="1" customHeight="1">
      <c r="AK5102" s="313"/>
      <c r="AL5102" s="313"/>
      <c r="AM5102" s="313"/>
      <c r="AN5102" s="313"/>
      <c r="AO5102" s="313"/>
      <c r="AP5102" s="313"/>
      <c r="AQ5102" s="314"/>
      <c r="AR5102" s="315" t="str">
        <f t="shared" si="153"/>
        <v/>
      </c>
    </row>
    <row r="5103" spans="37:44" ht="30" hidden="1" customHeight="1">
      <c r="AK5103" s="313"/>
      <c r="AL5103" s="313"/>
      <c r="AM5103" s="313"/>
      <c r="AN5103" s="313"/>
      <c r="AO5103" s="313"/>
      <c r="AP5103" s="313"/>
      <c r="AQ5103" s="314"/>
      <c r="AR5103" s="315" t="str">
        <f t="shared" si="153"/>
        <v/>
      </c>
    </row>
    <row r="5104" spans="37:44" ht="30" hidden="1" customHeight="1">
      <c r="AK5104" s="313"/>
      <c r="AL5104" s="313"/>
      <c r="AM5104" s="313"/>
      <c r="AN5104" s="313"/>
      <c r="AO5104" s="313"/>
      <c r="AP5104" s="313"/>
      <c r="AQ5104" s="314"/>
      <c r="AR5104" s="315" t="str">
        <f t="shared" si="153"/>
        <v/>
      </c>
    </row>
    <row r="5105" spans="37:44" ht="30" hidden="1" customHeight="1">
      <c r="AK5105" s="313"/>
      <c r="AL5105" s="313"/>
      <c r="AM5105" s="313"/>
      <c r="AN5105" s="313"/>
      <c r="AO5105" s="313"/>
      <c r="AP5105" s="313"/>
      <c r="AQ5105" s="314"/>
      <c r="AR5105" s="315" t="str">
        <f t="shared" si="153"/>
        <v/>
      </c>
    </row>
    <row r="5106" spans="37:44" ht="30" hidden="1" customHeight="1">
      <c r="AK5106" s="313"/>
      <c r="AL5106" s="313"/>
      <c r="AM5106" s="313"/>
      <c r="AN5106" s="313"/>
      <c r="AO5106" s="313"/>
      <c r="AP5106" s="313"/>
      <c r="AQ5106" s="314"/>
      <c r="AR5106" s="315" t="str">
        <f t="shared" si="153"/>
        <v/>
      </c>
    </row>
    <row r="5107" spans="37:44" ht="30" hidden="1" customHeight="1">
      <c r="AK5107" s="313"/>
      <c r="AL5107" s="313"/>
      <c r="AM5107" s="313"/>
      <c r="AN5107" s="313"/>
      <c r="AO5107" s="313"/>
      <c r="AP5107" s="313"/>
      <c r="AQ5107" s="314"/>
      <c r="AR5107" s="315" t="str">
        <f t="shared" si="153"/>
        <v/>
      </c>
    </row>
    <row r="5108" spans="37:44" ht="30" hidden="1" customHeight="1">
      <c r="AK5108" s="313"/>
      <c r="AL5108" s="313"/>
      <c r="AM5108" s="313"/>
      <c r="AN5108" s="313"/>
      <c r="AO5108" s="313"/>
      <c r="AP5108" s="313"/>
      <c r="AQ5108" s="314"/>
      <c r="AR5108" s="315" t="str">
        <f t="shared" si="153"/>
        <v/>
      </c>
    </row>
    <row r="5109" spans="37:44" ht="30" hidden="1" customHeight="1">
      <c r="AK5109" s="313"/>
      <c r="AL5109" s="313"/>
      <c r="AM5109" s="313"/>
      <c r="AN5109" s="313"/>
      <c r="AO5109" s="313"/>
      <c r="AP5109" s="313"/>
      <c r="AQ5109" s="314"/>
      <c r="AR5109" s="315" t="str">
        <f t="shared" si="153"/>
        <v/>
      </c>
    </row>
    <row r="5110" spans="37:44" ht="30" hidden="1" customHeight="1">
      <c r="AK5110" s="313"/>
      <c r="AL5110" s="313"/>
      <c r="AM5110" s="313"/>
      <c r="AN5110" s="313"/>
      <c r="AO5110" s="313"/>
      <c r="AP5110" s="313"/>
      <c r="AQ5110" s="314"/>
      <c r="AR5110" s="315" t="str">
        <f t="shared" si="153"/>
        <v/>
      </c>
    </row>
    <row r="5111" spans="37:44" ht="30" hidden="1" customHeight="1">
      <c r="AK5111" s="313"/>
      <c r="AL5111" s="313"/>
      <c r="AM5111" s="313"/>
      <c r="AN5111" s="313"/>
      <c r="AO5111" s="313"/>
      <c r="AP5111" s="313"/>
      <c r="AQ5111" s="314"/>
      <c r="AR5111" s="315" t="str">
        <f t="shared" si="153"/>
        <v/>
      </c>
    </row>
    <row r="5112" spans="37:44" ht="30" hidden="1" customHeight="1">
      <c r="AK5112" s="313"/>
      <c r="AL5112" s="313"/>
      <c r="AM5112" s="313"/>
      <c r="AN5112" s="313"/>
      <c r="AO5112" s="313"/>
      <c r="AP5112" s="313"/>
      <c r="AQ5112" s="314"/>
      <c r="AR5112" s="315" t="str">
        <f t="shared" si="153"/>
        <v/>
      </c>
    </row>
    <row r="5113" spans="37:44" ht="30" hidden="1" customHeight="1">
      <c r="AK5113" s="313"/>
      <c r="AL5113" s="313"/>
      <c r="AM5113" s="313"/>
      <c r="AN5113" s="313"/>
      <c r="AO5113" s="313"/>
      <c r="AP5113" s="313"/>
      <c r="AQ5113" s="314"/>
      <c r="AR5113" s="315" t="str">
        <f t="shared" si="153"/>
        <v/>
      </c>
    </row>
    <row r="5114" spans="37:44" ht="30" hidden="1" customHeight="1">
      <c r="AK5114" s="313"/>
      <c r="AL5114" s="313"/>
      <c r="AM5114" s="313"/>
      <c r="AN5114" s="313"/>
      <c r="AO5114" s="313"/>
      <c r="AP5114" s="313"/>
      <c r="AQ5114" s="314"/>
      <c r="AR5114" s="315" t="str">
        <f t="shared" si="153"/>
        <v/>
      </c>
    </row>
    <row r="5115" spans="37:44" ht="30" hidden="1" customHeight="1">
      <c r="AK5115" s="313"/>
      <c r="AL5115" s="313"/>
      <c r="AM5115" s="313"/>
      <c r="AN5115" s="313"/>
      <c r="AO5115" s="313"/>
      <c r="AP5115" s="313"/>
      <c r="AQ5115" s="314"/>
      <c r="AR5115" s="315" t="str">
        <f t="shared" si="153"/>
        <v/>
      </c>
    </row>
    <row r="5116" spans="37:44" ht="30" hidden="1" customHeight="1">
      <c r="AK5116" s="313"/>
      <c r="AL5116" s="313"/>
      <c r="AM5116" s="313"/>
      <c r="AN5116" s="313"/>
      <c r="AO5116" s="313"/>
      <c r="AP5116" s="313"/>
      <c r="AQ5116" s="314"/>
      <c r="AR5116" s="315" t="str">
        <f t="shared" si="153"/>
        <v/>
      </c>
    </row>
    <row r="5117" spans="37:44" ht="30" hidden="1" customHeight="1">
      <c r="AK5117" s="313"/>
      <c r="AL5117" s="313"/>
      <c r="AM5117" s="313"/>
      <c r="AN5117" s="313"/>
      <c r="AO5117" s="313"/>
      <c r="AP5117" s="313"/>
      <c r="AQ5117" s="314"/>
      <c r="AR5117" s="315" t="str">
        <f t="shared" si="153"/>
        <v/>
      </c>
    </row>
    <row r="5118" spans="37:44" ht="30" hidden="1" customHeight="1">
      <c r="AK5118" s="313"/>
      <c r="AL5118" s="313"/>
      <c r="AM5118" s="313"/>
      <c r="AN5118" s="313"/>
      <c r="AO5118" s="313"/>
      <c r="AP5118" s="313"/>
      <c r="AQ5118" s="314"/>
      <c r="AR5118" s="315" t="str">
        <f t="shared" si="153"/>
        <v/>
      </c>
    </row>
    <row r="5119" spans="37:44" ht="30" hidden="1" customHeight="1">
      <c r="AK5119" s="313"/>
      <c r="AL5119" s="313"/>
      <c r="AM5119" s="313"/>
      <c r="AN5119" s="313"/>
      <c r="AO5119" s="313"/>
      <c r="AP5119" s="313"/>
      <c r="AQ5119" s="314"/>
      <c r="AR5119" s="315" t="str">
        <f t="shared" ref="AR5119:AR5182" si="154">IF(AQ5119="SIM","AGUARDANDO CORREÇÃO",IF(AP5119&lt;&gt;"","FINALIZADO",IF(AO5119&lt;&gt;"","AGUARDANDO ENVIO DTS",IF(AN5119&lt;&gt;"","AGUARDANDO ASSINATURA GAB",IF(AM5119&lt;&gt;"","AGUARDANDO ASSINATURA CTS",IF(AL5119&lt;&gt;"","AGUARDANDO ENVIO ASSINATURA CTS",IF(AK5119&lt;&gt;"","AGUARDANDO CONFERÊNCIA","")))))))</f>
        <v/>
      </c>
    </row>
    <row r="5120" spans="37:44" ht="30" hidden="1" customHeight="1">
      <c r="AK5120" s="313"/>
      <c r="AL5120" s="313"/>
      <c r="AM5120" s="313"/>
      <c r="AN5120" s="313"/>
      <c r="AO5120" s="313"/>
      <c r="AP5120" s="313"/>
      <c r="AQ5120" s="314"/>
      <c r="AR5120" s="315" t="str">
        <f t="shared" si="154"/>
        <v/>
      </c>
    </row>
    <row r="5121" spans="37:44" ht="30" hidden="1" customHeight="1">
      <c r="AK5121" s="313"/>
      <c r="AL5121" s="313"/>
      <c r="AM5121" s="313"/>
      <c r="AN5121" s="313"/>
      <c r="AO5121" s="313"/>
      <c r="AP5121" s="313"/>
      <c r="AQ5121" s="314"/>
      <c r="AR5121" s="315" t="str">
        <f t="shared" si="154"/>
        <v/>
      </c>
    </row>
    <row r="5122" spans="37:44" ht="30" hidden="1" customHeight="1">
      <c r="AK5122" s="313"/>
      <c r="AL5122" s="313"/>
      <c r="AM5122" s="313"/>
      <c r="AN5122" s="313"/>
      <c r="AO5122" s="313"/>
      <c r="AP5122" s="313"/>
      <c r="AQ5122" s="314"/>
      <c r="AR5122" s="315" t="str">
        <f t="shared" si="154"/>
        <v/>
      </c>
    </row>
    <row r="5123" spans="37:44" ht="30" hidden="1" customHeight="1">
      <c r="AK5123" s="313"/>
      <c r="AL5123" s="313"/>
      <c r="AM5123" s="313"/>
      <c r="AN5123" s="313"/>
      <c r="AO5123" s="313"/>
      <c r="AP5123" s="313"/>
      <c r="AQ5123" s="314"/>
      <c r="AR5123" s="315" t="str">
        <f t="shared" si="154"/>
        <v/>
      </c>
    </row>
    <row r="5124" spans="37:44" ht="30" hidden="1" customHeight="1">
      <c r="AK5124" s="313"/>
      <c r="AL5124" s="313"/>
      <c r="AM5124" s="313"/>
      <c r="AN5124" s="313"/>
      <c r="AO5124" s="313"/>
      <c r="AP5124" s="313"/>
      <c r="AQ5124" s="314"/>
      <c r="AR5124" s="315" t="str">
        <f t="shared" si="154"/>
        <v/>
      </c>
    </row>
    <row r="5125" spans="37:44" ht="30" hidden="1" customHeight="1">
      <c r="AK5125" s="313"/>
      <c r="AL5125" s="313"/>
      <c r="AM5125" s="313"/>
      <c r="AN5125" s="313"/>
      <c r="AO5125" s="313"/>
      <c r="AP5125" s="313"/>
      <c r="AQ5125" s="314"/>
      <c r="AR5125" s="315" t="str">
        <f t="shared" si="154"/>
        <v/>
      </c>
    </row>
    <row r="5126" spans="37:44" ht="30" hidden="1" customHeight="1">
      <c r="AK5126" s="313"/>
      <c r="AL5126" s="313"/>
      <c r="AM5126" s="313"/>
      <c r="AN5126" s="313"/>
      <c r="AO5126" s="313"/>
      <c r="AP5126" s="313"/>
      <c r="AQ5126" s="314"/>
      <c r="AR5126" s="315" t="str">
        <f t="shared" si="154"/>
        <v/>
      </c>
    </row>
    <row r="5127" spans="37:44" ht="30" hidden="1" customHeight="1">
      <c r="AK5127" s="313"/>
      <c r="AL5127" s="313"/>
      <c r="AM5127" s="313"/>
      <c r="AN5127" s="313"/>
      <c r="AO5127" s="313"/>
      <c r="AP5127" s="313"/>
      <c r="AQ5127" s="314"/>
      <c r="AR5127" s="315" t="str">
        <f t="shared" si="154"/>
        <v/>
      </c>
    </row>
    <row r="5128" spans="37:44" ht="30" hidden="1" customHeight="1">
      <c r="AK5128" s="313"/>
      <c r="AL5128" s="313"/>
      <c r="AM5128" s="313"/>
      <c r="AN5128" s="313"/>
      <c r="AO5128" s="313"/>
      <c r="AP5128" s="313"/>
      <c r="AQ5128" s="314"/>
      <c r="AR5128" s="315" t="str">
        <f t="shared" si="154"/>
        <v/>
      </c>
    </row>
    <row r="5129" spans="37:44" ht="30" hidden="1" customHeight="1">
      <c r="AK5129" s="313"/>
      <c r="AL5129" s="313"/>
      <c r="AM5129" s="313"/>
      <c r="AN5129" s="313"/>
      <c r="AO5129" s="313"/>
      <c r="AP5129" s="313"/>
      <c r="AQ5129" s="314"/>
      <c r="AR5129" s="315" t="str">
        <f t="shared" si="154"/>
        <v/>
      </c>
    </row>
    <row r="5130" spans="37:44" ht="30" hidden="1" customHeight="1">
      <c r="AK5130" s="313"/>
      <c r="AL5130" s="313"/>
      <c r="AM5130" s="313"/>
      <c r="AN5130" s="313"/>
      <c r="AO5130" s="313"/>
      <c r="AP5130" s="313"/>
      <c r="AQ5130" s="314"/>
      <c r="AR5130" s="315" t="str">
        <f t="shared" si="154"/>
        <v/>
      </c>
    </row>
    <row r="5131" spans="37:44" ht="30" hidden="1" customHeight="1">
      <c r="AK5131" s="313"/>
      <c r="AL5131" s="313"/>
      <c r="AM5131" s="313"/>
      <c r="AN5131" s="313"/>
      <c r="AO5131" s="313"/>
      <c r="AP5131" s="313"/>
      <c r="AQ5131" s="314"/>
      <c r="AR5131" s="315" t="str">
        <f t="shared" si="154"/>
        <v/>
      </c>
    </row>
    <row r="5132" spans="37:44" ht="30" hidden="1" customHeight="1">
      <c r="AK5132" s="313"/>
      <c r="AL5132" s="313"/>
      <c r="AM5132" s="313"/>
      <c r="AN5132" s="313"/>
      <c r="AO5132" s="313"/>
      <c r="AP5132" s="313"/>
      <c r="AQ5132" s="314"/>
      <c r="AR5132" s="315" t="str">
        <f t="shared" si="154"/>
        <v/>
      </c>
    </row>
    <row r="5133" spans="37:44" ht="30" hidden="1" customHeight="1">
      <c r="AK5133" s="313"/>
      <c r="AL5133" s="313"/>
      <c r="AM5133" s="313"/>
      <c r="AN5133" s="313"/>
      <c r="AO5133" s="313"/>
      <c r="AP5133" s="313"/>
      <c r="AQ5133" s="314"/>
      <c r="AR5133" s="315" t="str">
        <f t="shared" si="154"/>
        <v/>
      </c>
    </row>
    <row r="5134" spans="37:44" ht="30" hidden="1" customHeight="1">
      <c r="AK5134" s="313"/>
      <c r="AL5134" s="313"/>
      <c r="AM5134" s="313"/>
      <c r="AN5134" s="313"/>
      <c r="AO5134" s="313"/>
      <c r="AP5134" s="313"/>
      <c r="AQ5134" s="314"/>
      <c r="AR5134" s="315" t="str">
        <f t="shared" si="154"/>
        <v/>
      </c>
    </row>
    <row r="5135" spans="37:44" ht="30" hidden="1" customHeight="1">
      <c r="AK5135" s="313"/>
      <c r="AL5135" s="313"/>
      <c r="AM5135" s="313"/>
      <c r="AN5135" s="313"/>
      <c r="AO5135" s="313"/>
      <c r="AP5135" s="313"/>
      <c r="AQ5135" s="314"/>
      <c r="AR5135" s="315" t="str">
        <f t="shared" si="154"/>
        <v/>
      </c>
    </row>
    <row r="5136" spans="37:44" ht="30" hidden="1" customHeight="1">
      <c r="AK5136" s="313"/>
      <c r="AL5136" s="313"/>
      <c r="AM5136" s="313"/>
      <c r="AN5136" s="313"/>
      <c r="AO5136" s="313"/>
      <c r="AP5136" s="313"/>
      <c r="AQ5136" s="314"/>
      <c r="AR5136" s="315" t="str">
        <f t="shared" si="154"/>
        <v/>
      </c>
    </row>
    <row r="5137" spans="37:44" ht="30" hidden="1" customHeight="1">
      <c r="AK5137" s="313"/>
      <c r="AL5137" s="313"/>
      <c r="AM5137" s="313"/>
      <c r="AN5137" s="313"/>
      <c r="AO5137" s="313"/>
      <c r="AP5137" s="313"/>
      <c r="AQ5137" s="314"/>
      <c r="AR5137" s="315" t="str">
        <f t="shared" si="154"/>
        <v/>
      </c>
    </row>
    <row r="5138" spans="37:44" ht="30" hidden="1" customHeight="1">
      <c r="AK5138" s="313"/>
      <c r="AL5138" s="313"/>
      <c r="AM5138" s="313"/>
      <c r="AN5138" s="313"/>
      <c r="AO5138" s="313"/>
      <c r="AP5138" s="313"/>
      <c r="AQ5138" s="314"/>
      <c r="AR5138" s="315" t="str">
        <f t="shared" si="154"/>
        <v/>
      </c>
    </row>
    <row r="5139" spans="37:44" ht="30" hidden="1" customHeight="1">
      <c r="AK5139" s="313"/>
      <c r="AL5139" s="313"/>
      <c r="AM5139" s="313"/>
      <c r="AN5139" s="313"/>
      <c r="AO5139" s="313"/>
      <c r="AP5139" s="313"/>
      <c r="AQ5139" s="314"/>
      <c r="AR5139" s="315" t="str">
        <f t="shared" si="154"/>
        <v/>
      </c>
    </row>
    <row r="5140" spans="37:44" ht="30" hidden="1" customHeight="1">
      <c r="AK5140" s="313"/>
      <c r="AL5140" s="313"/>
      <c r="AM5140" s="313"/>
      <c r="AN5140" s="313"/>
      <c r="AO5140" s="313"/>
      <c r="AP5140" s="313"/>
      <c r="AQ5140" s="314"/>
      <c r="AR5140" s="315" t="str">
        <f t="shared" si="154"/>
        <v/>
      </c>
    </row>
    <row r="5141" spans="37:44" ht="30" hidden="1" customHeight="1">
      <c r="AK5141" s="313"/>
      <c r="AL5141" s="313"/>
      <c r="AM5141" s="313"/>
      <c r="AN5141" s="313"/>
      <c r="AO5141" s="313"/>
      <c r="AP5141" s="313"/>
      <c r="AQ5141" s="314"/>
      <c r="AR5141" s="315" t="str">
        <f t="shared" si="154"/>
        <v/>
      </c>
    </row>
    <row r="5142" spans="37:44" ht="30" hidden="1" customHeight="1">
      <c r="AK5142" s="313"/>
      <c r="AL5142" s="313"/>
      <c r="AM5142" s="313"/>
      <c r="AN5142" s="313"/>
      <c r="AO5142" s="313"/>
      <c r="AP5142" s="313"/>
      <c r="AQ5142" s="314"/>
      <c r="AR5142" s="315" t="str">
        <f t="shared" si="154"/>
        <v/>
      </c>
    </row>
    <row r="5143" spans="37:44" ht="30" hidden="1" customHeight="1">
      <c r="AK5143" s="313"/>
      <c r="AL5143" s="313"/>
      <c r="AM5143" s="313"/>
      <c r="AN5143" s="313"/>
      <c r="AO5143" s="313"/>
      <c r="AP5143" s="313"/>
      <c r="AQ5143" s="314"/>
      <c r="AR5143" s="315" t="str">
        <f t="shared" si="154"/>
        <v/>
      </c>
    </row>
    <row r="5144" spans="37:44" ht="30" hidden="1" customHeight="1">
      <c r="AK5144" s="313"/>
      <c r="AL5144" s="313"/>
      <c r="AM5144" s="313"/>
      <c r="AN5144" s="313"/>
      <c r="AO5144" s="313"/>
      <c r="AP5144" s="313"/>
      <c r="AQ5144" s="314"/>
      <c r="AR5144" s="315" t="str">
        <f t="shared" si="154"/>
        <v/>
      </c>
    </row>
    <row r="5145" spans="37:44" ht="30" hidden="1" customHeight="1">
      <c r="AK5145" s="313"/>
      <c r="AL5145" s="313"/>
      <c r="AM5145" s="313"/>
      <c r="AN5145" s="313"/>
      <c r="AO5145" s="313"/>
      <c r="AP5145" s="313"/>
      <c r="AQ5145" s="314"/>
      <c r="AR5145" s="315" t="str">
        <f t="shared" si="154"/>
        <v/>
      </c>
    </row>
    <row r="5146" spans="37:44" ht="30" hidden="1" customHeight="1">
      <c r="AK5146" s="313"/>
      <c r="AL5146" s="313"/>
      <c r="AM5146" s="313"/>
      <c r="AN5146" s="313"/>
      <c r="AO5146" s="313"/>
      <c r="AP5146" s="313"/>
      <c r="AQ5146" s="314"/>
      <c r="AR5146" s="315" t="str">
        <f t="shared" si="154"/>
        <v/>
      </c>
    </row>
    <row r="5147" spans="37:44" ht="30" hidden="1" customHeight="1">
      <c r="AK5147" s="313"/>
      <c r="AL5147" s="313"/>
      <c r="AM5147" s="313"/>
      <c r="AN5147" s="313"/>
      <c r="AO5147" s="313"/>
      <c r="AP5147" s="313"/>
      <c r="AQ5147" s="314"/>
      <c r="AR5147" s="315" t="str">
        <f t="shared" si="154"/>
        <v/>
      </c>
    </row>
    <row r="5148" spans="37:44" ht="30" hidden="1" customHeight="1">
      <c r="AK5148" s="313"/>
      <c r="AL5148" s="313"/>
      <c r="AM5148" s="313"/>
      <c r="AN5148" s="313"/>
      <c r="AO5148" s="313"/>
      <c r="AP5148" s="313"/>
      <c r="AQ5148" s="314"/>
      <c r="AR5148" s="315" t="str">
        <f t="shared" si="154"/>
        <v/>
      </c>
    </row>
    <row r="5149" spans="37:44" ht="30" hidden="1" customHeight="1">
      <c r="AK5149" s="313"/>
      <c r="AL5149" s="313"/>
      <c r="AM5149" s="313"/>
      <c r="AN5149" s="313"/>
      <c r="AO5149" s="313"/>
      <c r="AP5149" s="313"/>
      <c r="AQ5149" s="314"/>
      <c r="AR5149" s="315" t="str">
        <f t="shared" si="154"/>
        <v/>
      </c>
    </row>
    <row r="5150" spans="37:44" ht="30" hidden="1" customHeight="1">
      <c r="AK5150" s="313"/>
      <c r="AL5150" s="313"/>
      <c r="AM5150" s="313"/>
      <c r="AN5150" s="313"/>
      <c r="AO5150" s="313"/>
      <c r="AP5150" s="313"/>
      <c r="AQ5150" s="314"/>
      <c r="AR5150" s="315" t="str">
        <f t="shared" si="154"/>
        <v/>
      </c>
    </row>
    <row r="5151" spans="37:44" ht="30" hidden="1" customHeight="1">
      <c r="AK5151" s="313"/>
      <c r="AL5151" s="313"/>
      <c r="AM5151" s="313"/>
      <c r="AN5151" s="313"/>
      <c r="AO5151" s="313"/>
      <c r="AP5151" s="313"/>
      <c r="AQ5151" s="314"/>
      <c r="AR5151" s="315" t="str">
        <f t="shared" si="154"/>
        <v/>
      </c>
    </row>
    <row r="5152" spans="37:44" ht="30" hidden="1" customHeight="1">
      <c r="AK5152" s="313"/>
      <c r="AL5152" s="313"/>
      <c r="AM5152" s="313"/>
      <c r="AN5152" s="313"/>
      <c r="AO5152" s="313"/>
      <c r="AP5152" s="313"/>
      <c r="AQ5152" s="314"/>
      <c r="AR5152" s="315" t="str">
        <f t="shared" si="154"/>
        <v/>
      </c>
    </row>
    <row r="5153" spans="37:44" ht="30" hidden="1" customHeight="1">
      <c r="AK5153" s="313"/>
      <c r="AL5153" s="313"/>
      <c r="AM5153" s="313"/>
      <c r="AN5153" s="313"/>
      <c r="AO5153" s="313"/>
      <c r="AP5153" s="313"/>
      <c r="AQ5153" s="314"/>
      <c r="AR5153" s="315" t="str">
        <f t="shared" si="154"/>
        <v/>
      </c>
    </row>
    <row r="5154" spans="37:44" ht="30" hidden="1" customHeight="1">
      <c r="AK5154" s="313"/>
      <c r="AL5154" s="313"/>
      <c r="AM5154" s="313"/>
      <c r="AN5154" s="313"/>
      <c r="AO5154" s="313"/>
      <c r="AP5154" s="313"/>
      <c r="AQ5154" s="314"/>
      <c r="AR5154" s="315" t="str">
        <f t="shared" si="154"/>
        <v/>
      </c>
    </row>
    <row r="5155" spans="37:44" ht="30" hidden="1" customHeight="1">
      <c r="AK5155" s="313"/>
      <c r="AL5155" s="313"/>
      <c r="AM5155" s="313"/>
      <c r="AN5155" s="313"/>
      <c r="AO5155" s="313"/>
      <c r="AP5155" s="313"/>
      <c r="AQ5155" s="314"/>
      <c r="AR5155" s="315" t="str">
        <f t="shared" si="154"/>
        <v/>
      </c>
    </row>
    <row r="5156" spans="37:44" ht="30" hidden="1" customHeight="1">
      <c r="AK5156" s="313"/>
      <c r="AL5156" s="313"/>
      <c r="AM5156" s="313"/>
      <c r="AN5156" s="313"/>
      <c r="AO5156" s="313"/>
      <c r="AP5156" s="313"/>
      <c r="AQ5156" s="314"/>
      <c r="AR5156" s="315" t="str">
        <f t="shared" si="154"/>
        <v/>
      </c>
    </row>
    <row r="5157" spans="37:44" ht="30" hidden="1" customHeight="1">
      <c r="AK5157" s="313"/>
      <c r="AL5157" s="313"/>
      <c r="AM5157" s="313"/>
      <c r="AN5157" s="313"/>
      <c r="AO5157" s="313"/>
      <c r="AP5157" s="313"/>
      <c r="AQ5157" s="314"/>
      <c r="AR5157" s="315" t="str">
        <f t="shared" si="154"/>
        <v/>
      </c>
    </row>
    <row r="5158" spans="37:44" ht="30" hidden="1" customHeight="1">
      <c r="AK5158" s="313"/>
      <c r="AL5158" s="313"/>
      <c r="AM5158" s="313"/>
      <c r="AN5158" s="313"/>
      <c r="AO5158" s="313"/>
      <c r="AP5158" s="313"/>
      <c r="AQ5158" s="314"/>
      <c r="AR5158" s="315" t="str">
        <f t="shared" si="154"/>
        <v/>
      </c>
    </row>
    <row r="5159" spans="37:44" ht="30" hidden="1" customHeight="1">
      <c r="AK5159" s="313"/>
      <c r="AL5159" s="313"/>
      <c r="AM5159" s="313"/>
      <c r="AN5159" s="313"/>
      <c r="AO5159" s="313"/>
      <c r="AP5159" s="313"/>
      <c r="AQ5159" s="314"/>
      <c r="AR5159" s="315" t="str">
        <f t="shared" si="154"/>
        <v/>
      </c>
    </row>
    <row r="5160" spans="37:44" ht="30" hidden="1" customHeight="1">
      <c r="AK5160" s="313"/>
      <c r="AL5160" s="313"/>
      <c r="AM5160" s="313"/>
      <c r="AN5160" s="313"/>
      <c r="AO5160" s="313"/>
      <c r="AP5160" s="313"/>
      <c r="AQ5160" s="314"/>
      <c r="AR5160" s="315" t="str">
        <f t="shared" si="154"/>
        <v/>
      </c>
    </row>
    <row r="5161" spans="37:44" ht="30" hidden="1" customHeight="1">
      <c r="AK5161" s="313"/>
      <c r="AL5161" s="313"/>
      <c r="AM5161" s="313"/>
      <c r="AN5161" s="313"/>
      <c r="AO5161" s="313"/>
      <c r="AP5161" s="313"/>
      <c r="AQ5161" s="314"/>
      <c r="AR5161" s="315" t="str">
        <f t="shared" si="154"/>
        <v/>
      </c>
    </row>
    <row r="5162" spans="37:44" ht="30" hidden="1" customHeight="1">
      <c r="AK5162" s="313"/>
      <c r="AL5162" s="313"/>
      <c r="AM5162" s="313"/>
      <c r="AN5162" s="313"/>
      <c r="AO5162" s="313"/>
      <c r="AP5162" s="313"/>
      <c r="AQ5162" s="314"/>
      <c r="AR5162" s="315" t="str">
        <f t="shared" si="154"/>
        <v/>
      </c>
    </row>
    <row r="5163" spans="37:44" ht="30" hidden="1" customHeight="1">
      <c r="AK5163" s="313"/>
      <c r="AL5163" s="313"/>
      <c r="AM5163" s="313"/>
      <c r="AN5163" s="313"/>
      <c r="AO5163" s="313"/>
      <c r="AP5163" s="313"/>
      <c r="AQ5163" s="314"/>
      <c r="AR5163" s="315" t="str">
        <f t="shared" si="154"/>
        <v/>
      </c>
    </row>
    <row r="5164" spans="37:44" ht="30" hidden="1" customHeight="1">
      <c r="AK5164" s="313"/>
      <c r="AL5164" s="313"/>
      <c r="AM5164" s="313"/>
      <c r="AN5164" s="313"/>
      <c r="AO5164" s="313"/>
      <c r="AP5164" s="313"/>
      <c r="AQ5164" s="314"/>
      <c r="AR5164" s="315" t="str">
        <f t="shared" si="154"/>
        <v/>
      </c>
    </row>
    <row r="5165" spans="37:44" ht="30" hidden="1" customHeight="1">
      <c r="AK5165" s="313"/>
      <c r="AL5165" s="313"/>
      <c r="AM5165" s="313"/>
      <c r="AN5165" s="313"/>
      <c r="AO5165" s="313"/>
      <c r="AP5165" s="313"/>
      <c r="AQ5165" s="314"/>
      <c r="AR5165" s="315" t="str">
        <f t="shared" si="154"/>
        <v/>
      </c>
    </row>
    <row r="5166" spans="37:44" ht="30" hidden="1" customHeight="1">
      <c r="AK5166" s="313"/>
      <c r="AL5166" s="313"/>
      <c r="AM5166" s="313"/>
      <c r="AN5166" s="313"/>
      <c r="AO5166" s="313"/>
      <c r="AP5166" s="313"/>
      <c r="AQ5166" s="314"/>
      <c r="AR5166" s="315" t="str">
        <f t="shared" si="154"/>
        <v/>
      </c>
    </row>
    <row r="5167" spans="37:44" ht="30" hidden="1" customHeight="1">
      <c r="AK5167" s="313"/>
      <c r="AL5167" s="313"/>
      <c r="AM5167" s="313"/>
      <c r="AN5167" s="313"/>
      <c r="AO5167" s="313"/>
      <c r="AP5167" s="313"/>
      <c r="AQ5167" s="314"/>
      <c r="AR5167" s="315" t="str">
        <f t="shared" si="154"/>
        <v/>
      </c>
    </row>
    <row r="5168" spans="37:44" ht="30" hidden="1" customHeight="1">
      <c r="AK5168" s="313"/>
      <c r="AL5168" s="313"/>
      <c r="AM5168" s="313"/>
      <c r="AN5168" s="313"/>
      <c r="AO5168" s="313"/>
      <c r="AP5168" s="313"/>
      <c r="AQ5168" s="314"/>
      <c r="AR5168" s="315" t="str">
        <f t="shared" si="154"/>
        <v/>
      </c>
    </row>
    <row r="5169" spans="37:44" ht="30" hidden="1" customHeight="1">
      <c r="AK5169" s="313"/>
      <c r="AL5169" s="313"/>
      <c r="AM5169" s="313"/>
      <c r="AN5169" s="313"/>
      <c r="AO5169" s="313"/>
      <c r="AP5169" s="313"/>
      <c r="AQ5169" s="314"/>
      <c r="AR5169" s="315" t="str">
        <f t="shared" si="154"/>
        <v/>
      </c>
    </row>
    <row r="5170" spans="37:44" ht="30" hidden="1" customHeight="1">
      <c r="AK5170" s="313"/>
      <c r="AL5170" s="313"/>
      <c r="AM5170" s="313"/>
      <c r="AN5170" s="313"/>
      <c r="AO5170" s="313"/>
      <c r="AP5170" s="313"/>
      <c r="AQ5170" s="314"/>
      <c r="AR5170" s="315" t="str">
        <f t="shared" si="154"/>
        <v/>
      </c>
    </row>
    <row r="5171" spans="37:44" ht="30" hidden="1" customHeight="1">
      <c r="AK5171" s="313"/>
      <c r="AL5171" s="313"/>
      <c r="AM5171" s="313"/>
      <c r="AN5171" s="313"/>
      <c r="AO5171" s="313"/>
      <c r="AP5171" s="313"/>
      <c r="AQ5171" s="314"/>
      <c r="AR5171" s="315" t="str">
        <f t="shared" si="154"/>
        <v/>
      </c>
    </row>
    <row r="5172" spans="37:44" ht="30" hidden="1" customHeight="1">
      <c r="AK5172" s="313"/>
      <c r="AL5172" s="313"/>
      <c r="AM5172" s="313"/>
      <c r="AN5172" s="313"/>
      <c r="AO5172" s="313"/>
      <c r="AP5172" s="313"/>
      <c r="AQ5172" s="314"/>
      <c r="AR5172" s="315" t="str">
        <f t="shared" si="154"/>
        <v/>
      </c>
    </row>
    <row r="5173" spans="37:44" ht="30" hidden="1" customHeight="1">
      <c r="AK5173" s="313"/>
      <c r="AL5173" s="313"/>
      <c r="AM5173" s="313"/>
      <c r="AN5173" s="313"/>
      <c r="AO5173" s="313"/>
      <c r="AP5173" s="313"/>
      <c r="AQ5173" s="314"/>
      <c r="AR5173" s="315" t="str">
        <f t="shared" si="154"/>
        <v/>
      </c>
    </row>
    <row r="5174" spans="37:44" ht="30" hidden="1" customHeight="1">
      <c r="AK5174" s="313"/>
      <c r="AL5174" s="313"/>
      <c r="AM5174" s="313"/>
      <c r="AN5174" s="313"/>
      <c r="AO5174" s="313"/>
      <c r="AP5174" s="313"/>
      <c r="AQ5174" s="314"/>
      <c r="AR5174" s="315" t="str">
        <f t="shared" si="154"/>
        <v/>
      </c>
    </row>
    <row r="5175" spans="37:44" ht="30" hidden="1" customHeight="1">
      <c r="AK5175" s="313"/>
      <c r="AL5175" s="313"/>
      <c r="AM5175" s="313"/>
      <c r="AN5175" s="313"/>
      <c r="AO5175" s="313"/>
      <c r="AP5175" s="313"/>
      <c r="AQ5175" s="314"/>
      <c r="AR5175" s="315" t="str">
        <f t="shared" si="154"/>
        <v/>
      </c>
    </row>
    <row r="5176" spans="37:44" ht="30" hidden="1" customHeight="1">
      <c r="AK5176" s="313"/>
      <c r="AL5176" s="313"/>
      <c r="AM5176" s="313"/>
      <c r="AN5176" s="313"/>
      <c r="AO5176" s="313"/>
      <c r="AP5176" s="313"/>
      <c r="AQ5176" s="314"/>
      <c r="AR5176" s="315" t="str">
        <f t="shared" si="154"/>
        <v/>
      </c>
    </row>
    <row r="5177" spans="37:44" ht="30" hidden="1" customHeight="1">
      <c r="AK5177" s="313"/>
      <c r="AL5177" s="313"/>
      <c r="AM5177" s="313"/>
      <c r="AN5177" s="313"/>
      <c r="AO5177" s="313"/>
      <c r="AP5177" s="313"/>
      <c r="AQ5177" s="314"/>
      <c r="AR5177" s="315" t="str">
        <f t="shared" si="154"/>
        <v/>
      </c>
    </row>
    <row r="5178" spans="37:44" ht="30" hidden="1" customHeight="1">
      <c r="AK5178" s="313"/>
      <c r="AL5178" s="313"/>
      <c r="AM5178" s="313"/>
      <c r="AN5178" s="313"/>
      <c r="AO5178" s="313"/>
      <c r="AP5178" s="313"/>
      <c r="AQ5178" s="314"/>
      <c r="AR5178" s="315" t="str">
        <f t="shared" si="154"/>
        <v/>
      </c>
    </row>
    <row r="5179" spans="37:44" ht="30" hidden="1" customHeight="1">
      <c r="AK5179" s="313"/>
      <c r="AL5179" s="313"/>
      <c r="AM5179" s="313"/>
      <c r="AN5179" s="313"/>
      <c r="AO5179" s="313"/>
      <c r="AP5179" s="313"/>
      <c r="AQ5179" s="314"/>
      <c r="AR5179" s="315" t="str">
        <f t="shared" si="154"/>
        <v/>
      </c>
    </row>
    <row r="5180" spans="37:44" ht="30" hidden="1" customHeight="1">
      <c r="AK5180" s="313"/>
      <c r="AL5180" s="313"/>
      <c r="AM5180" s="313"/>
      <c r="AN5180" s="313"/>
      <c r="AO5180" s="313"/>
      <c r="AP5180" s="313"/>
      <c r="AQ5180" s="314"/>
      <c r="AR5180" s="315" t="str">
        <f t="shared" si="154"/>
        <v/>
      </c>
    </row>
    <row r="5181" spans="37:44" ht="30" hidden="1" customHeight="1">
      <c r="AK5181" s="313"/>
      <c r="AL5181" s="313"/>
      <c r="AM5181" s="313"/>
      <c r="AN5181" s="313"/>
      <c r="AO5181" s="313"/>
      <c r="AP5181" s="313"/>
      <c r="AQ5181" s="314"/>
      <c r="AR5181" s="315" t="str">
        <f t="shared" si="154"/>
        <v/>
      </c>
    </row>
    <row r="5182" spans="37:44" ht="30" hidden="1" customHeight="1">
      <c r="AK5182" s="313"/>
      <c r="AL5182" s="313"/>
      <c r="AM5182" s="313"/>
      <c r="AN5182" s="313"/>
      <c r="AO5182" s="313"/>
      <c r="AP5182" s="313"/>
      <c r="AQ5182" s="314"/>
      <c r="AR5182" s="315" t="str">
        <f t="shared" si="154"/>
        <v/>
      </c>
    </row>
    <row r="5183" spans="37:44" ht="30" hidden="1" customHeight="1">
      <c r="AK5183" s="313"/>
      <c r="AL5183" s="313"/>
      <c r="AM5183" s="313"/>
      <c r="AN5183" s="313"/>
      <c r="AO5183" s="313"/>
      <c r="AP5183" s="313"/>
      <c r="AQ5183" s="314"/>
      <c r="AR5183" s="315" t="str">
        <f t="shared" ref="AR5183:AR5246" si="155">IF(AQ5183="SIM","AGUARDANDO CORREÇÃO",IF(AP5183&lt;&gt;"","FINALIZADO",IF(AO5183&lt;&gt;"","AGUARDANDO ENVIO DTS",IF(AN5183&lt;&gt;"","AGUARDANDO ASSINATURA GAB",IF(AM5183&lt;&gt;"","AGUARDANDO ASSINATURA CTS",IF(AL5183&lt;&gt;"","AGUARDANDO ENVIO ASSINATURA CTS",IF(AK5183&lt;&gt;"","AGUARDANDO CONFERÊNCIA","")))))))</f>
        <v/>
      </c>
    </row>
    <row r="5184" spans="37:44" ht="30" hidden="1" customHeight="1">
      <c r="AK5184" s="313"/>
      <c r="AL5184" s="313"/>
      <c r="AM5184" s="313"/>
      <c r="AN5184" s="313"/>
      <c r="AO5184" s="313"/>
      <c r="AP5184" s="313"/>
      <c r="AQ5184" s="314"/>
      <c r="AR5184" s="315" t="str">
        <f t="shared" si="155"/>
        <v/>
      </c>
    </row>
    <row r="5185" spans="37:44" ht="30" hidden="1" customHeight="1">
      <c r="AK5185" s="313"/>
      <c r="AL5185" s="313"/>
      <c r="AM5185" s="313"/>
      <c r="AN5185" s="313"/>
      <c r="AO5185" s="313"/>
      <c r="AP5185" s="313"/>
      <c r="AQ5185" s="314"/>
      <c r="AR5185" s="315" t="str">
        <f t="shared" si="155"/>
        <v/>
      </c>
    </row>
    <row r="5186" spans="37:44" ht="30" hidden="1" customHeight="1">
      <c r="AK5186" s="313"/>
      <c r="AL5186" s="313"/>
      <c r="AM5186" s="313"/>
      <c r="AN5186" s="313"/>
      <c r="AO5186" s="313"/>
      <c r="AP5186" s="313"/>
      <c r="AQ5186" s="314"/>
      <c r="AR5186" s="315" t="str">
        <f t="shared" si="155"/>
        <v/>
      </c>
    </row>
    <row r="5187" spans="37:44" ht="30" hidden="1" customHeight="1">
      <c r="AK5187" s="313"/>
      <c r="AL5187" s="313"/>
      <c r="AM5187" s="313"/>
      <c r="AN5187" s="313"/>
      <c r="AO5187" s="313"/>
      <c r="AP5187" s="313"/>
      <c r="AQ5187" s="314"/>
      <c r="AR5187" s="315" t="str">
        <f t="shared" si="155"/>
        <v/>
      </c>
    </row>
    <row r="5188" spans="37:44" ht="30" hidden="1" customHeight="1">
      <c r="AK5188" s="313"/>
      <c r="AL5188" s="313"/>
      <c r="AM5188" s="313"/>
      <c r="AN5188" s="313"/>
      <c r="AO5188" s="313"/>
      <c r="AP5188" s="313"/>
      <c r="AQ5188" s="314"/>
      <c r="AR5188" s="315" t="str">
        <f t="shared" si="155"/>
        <v/>
      </c>
    </row>
    <row r="5189" spans="37:44" ht="30" hidden="1" customHeight="1">
      <c r="AK5189" s="313"/>
      <c r="AL5189" s="313"/>
      <c r="AM5189" s="313"/>
      <c r="AN5189" s="313"/>
      <c r="AO5189" s="313"/>
      <c r="AP5189" s="313"/>
      <c r="AQ5189" s="314"/>
      <c r="AR5189" s="315" t="str">
        <f t="shared" si="155"/>
        <v/>
      </c>
    </row>
    <row r="5190" spans="37:44" ht="30" hidden="1" customHeight="1">
      <c r="AK5190" s="313"/>
      <c r="AL5190" s="313"/>
      <c r="AM5190" s="313"/>
      <c r="AN5190" s="313"/>
      <c r="AO5190" s="313"/>
      <c r="AP5190" s="313"/>
      <c r="AQ5190" s="314"/>
      <c r="AR5190" s="315" t="str">
        <f t="shared" si="155"/>
        <v/>
      </c>
    </row>
    <row r="5191" spans="37:44" ht="30" hidden="1" customHeight="1">
      <c r="AK5191" s="313"/>
      <c r="AL5191" s="313"/>
      <c r="AM5191" s="313"/>
      <c r="AN5191" s="313"/>
      <c r="AO5191" s="313"/>
      <c r="AP5191" s="313"/>
      <c r="AQ5191" s="314"/>
      <c r="AR5191" s="315" t="str">
        <f t="shared" si="155"/>
        <v/>
      </c>
    </row>
    <row r="5192" spans="37:44" ht="30" hidden="1" customHeight="1">
      <c r="AK5192" s="313"/>
      <c r="AL5192" s="313"/>
      <c r="AM5192" s="313"/>
      <c r="AN5192" s="313"/>
      <c r="AO5192" s="313"/>
      <c r="AP5192" s="313"/>
      <c r="AQ5192" s="314"/>
      <c r="AR5192" s="315" t="str">
        <f t="shared" si="155"/>
        <v/>
      </c>
    </row>
    <row r="5193" spans="37:44" ht="30" hidden="1" customHeight="1">
      <c r="AK5193" s="313"/>
      <c r="AL5193" s="313"/>
      <c r="AM5193" s="313"/>
      <c r="AN5193" s="313"/>
      <c r="AO5193" s="313"/>
      <c r="AP5193" s="313"/>
      <c r="AQ5193" s="314"/>
      <c r="AR5193" s="315" t="str">
        <f t="shared" si="155"/>
        <v/>
      </c>
    </row>
    <row r="5194" spans="37:44" ht="30" hidden="1" customHeight="1">
      <c r="AK5194" s="313"/>
      <c r="AL5194" s="313"/>
      <c r="AM5194" s="313"/>
      <c r="AN5194" s="313"/>
      <c r="AO5194" s="313"/>
      <c r="AP5194" s="313"/>
      <c r="AQ5194" s="314"/>
      <c r="AR5194" s="315" t="str">
        <f t="shared" si="155"/>
        <v/>
      </c>
    </row>
    <row r="5195" spans="37:44" ht="30" hidden="1" customHeight="1">
      <c r="AK5195" s="313"/>
      <c r="AL5195" s="313"/>
      <c r="AM5195" s="313"/>
      <c r="AN5195" s="313"/>
      <c r="AO5195" s="313"/>
      <c r="AP5195" s="313"/>
      <c r="AQ5195" s="314"/>
      <c r="AR5195" s="315" t="str">
        <f t="shared" si="155"/>
        <v/>
      </c>
    </row>
    <row r="5196" spans="37:44" ht="30" hidden="1" customHeight="1">
      <c r="AK5196" s="313"/>
      <c r="AL5196" s="313"/>
      <c r="AM5196" s="313"/>
      <c r="AN5196" s="313"/>
      <c r="AO5196" s="313"/>
      <c r="AP5196" s="313"/>
      <c r="AQ5196" s="314"/>
      <c r="AR5196" s="315" t="str">
        <f t="shared" si="155"/>
        <v/>
      </c>
    </row>
    <row r="5197" spans="37:44" ht="30" hidden="1" customHeight="1">
      <c r="AK5197" s="313"/>
      <c r="AL5197" s="313"/>
      <c r="AM5197" s="313"/>
      <c r="AN5197" s="313"/>
      <c r="AO5197" s="313"/>
      <c r="AP5197" s="313"/>
      <c r="AQ5197" s="314"/>
      <c r="AR5197" s="315" t="str">
        <f t="shared" si="155"/>
        <v/>
      </c>
    </row>
    <row r="5198" spans="37:44" ht="30" hidden="1" customHeight="1">
      <c r="AK5198" s="313"/>
      <c r="AL5198" s="313"/>
      <c r="AM5198" s="313"/>
      <c r="AN5198" s="313"/>
      <c r="AO5198" s="313"/>
      <c r="AP5198" s="313"/>
      <c r="AQ5198" s="314"/>
      <c r="AR5198" s="315" t="str">
        <f t="shared" si="155"/>
        <v/>
      </c>
    </row>
    <row r="5199" spans="37:44" ht="30" hidden="1" customHeight="1">
      <c r="AK5199" s="313"/>
      <c r="AL5199" s="313"/>
      <c r="AM5199" s="313"/>
      <c r="AN5199" s="313"/>
      <c r="AO5199" s="313"/>
      <c r="AP5199" s="313"/>
      <c r="AQ5199" s="314"/>
      <c r="AR5199" s="315" t="str">
        <f t="shared" si="155"/>
        <v/>
      </c>
    </row>
    <row r="5200" spans="37:44" ht="30" hidden="1" customHeight="1">
      <c r="AK5200" s="313"/>
      <c r="AL5200" s="313"/>
      <c r="AM5200" s="313"/>
      <c r="AN5200" s="313"/>
      <c r="AO5200" s="313"/>
      <c r="AP5200" s="313"/>
      <c r="AQ5200" s="314"/>
      <c r="AR5200" s="315" t="str">
        <f t="shared" si="155"/>
        <v/>
      </c>
    </row>
    <row r="5201" spans="37:44" ht="30" hidden="1" customHeight="1">
      <c r="AK5201" s="313"/>
      <c r="AL5201" s="313"/>
      <c r="AM5201" s="313"/>
      <c r="AN5201" s="313"/>
      <c r="AO5201" s="313"/>
      <c r="AP5201" s="313"/>
      <c r="AQ5201" s="314"/>
      <c r="AR5201" s="315" t="str">
        <f t="shared" si="155"/>
        <v/>
      </c>
    </row>
    <row r="5202" spans="37:44" ht="30" hidden="1" customHeight="1">
      <c r="AK5202" s="313"/>
      <c r="AL5202" s="313"/>
      <c r="AM5202" s="313"/>
      <c r="AN5202" s="313"/>
      <c r="AO5202" s="313"/>
      <c r="AP5202" s="313"/>
      <c r="AQ5202" s="314"/>
      <c r="AR5202" s="315" t="str">
        <f t="shared" si="155"/>
        <v/>
      </c>
    </row>
    <row r="5203" spans="37:44" ht="30" hidden="1" customHeight="1">
      <c r="AK5203" s="313"/>
      <c r="AL5203" s="313"/>
      <c r="AM5203" s="313"/>
      <c r="AN5203" s="313"/>
      <c r="AO5203" s="313"/>
      <c r="AP5203" s="313"/>
      <c r="AQ5203" s="314"/>
      <c r="AR5203" s="315" t="str">
        <f t="shared" si="155"/>
        <v/>
      </c>
    </row>
    <row r="5204" spans="37:44" ht="30" hidden="1" customHeight="1">
      <c r="AK5204" s="313"/>
      <c r="AL5204" s="313"/>
      <c r="AM5204" s="313"/>
      <c r="AN5204" s="313"/>
      <c r="AO5204" s="313"/>
      <c r="AP5204" s="313"/>
      <c r="AQ5204" s="314"/>
      <c r="AR5204" s="315" t="str">
        <f t="shared" si="155"/>
        <v/>
      </c>
    </row>
    <row r="5205" spans="37:44" ht="30" hidden="1" customHeight="1">
      <c r="AK5205" s="313"/>
      <c r="AL5205" s="313"/>
      <c r="AM5205" s="313"/>
      <c r="AN5205" s="313"/>
      <c r="AO5205" s="313"/>
      <c r="AP5205" s="313"/>
      <c r="AQ5205" s="314"/>
      <c r="AR5205" s="315" t="str">
        <f t="shared" si="155"/>
        <v/>
      </c>
    </row>
    <row r="5206" spans="37:44" ht="30" hidden="1" customHeight="1">
      <c r="AK5206" s="313"/>
      <c r="AL5206" s="313"/>
      <c r="AM5206" s="313"/>
      <c r="AN5206" s="313"/>
      <c r="AO5206" s="313"/>
      <c r="AP5206" s="313"/>
      <c r="AQ5206" s="314"/>
      <c r="AR5206" s="315" t="str">
        <f t="shared" si="155"/>
        <v/>
      </c>
    </row>
    <row r="5207" spans="37:44" ht="30" hidden="1" customHeight="1">
      <c r="AK5207" s="313"/>
      <c r="AL5207" s="313"/>
      <c r="AM5207" s="313"/>
      <c r="AN5207" s="313"/>
      <c r="AO5207" s="313"/>
      <c r="AP5207" s="313"/>
      <c r="AQ5207" s="314"/>
      <c r="AR5207" s="315" t="str">
        <f t="shared" si="155"/>
        <v/>
      </c>
    </row>
    <row r="5208" spans="37:44" ht="30" hidden="1" customHeight="1">
      <c r="AK5208" s="313"/>
      <c r="AL5208" s="313"/>
      <c r="AM5208" s="313"/>
      <c r="AN5208" s="313"/>
      <c r="AO5208" s="313"/>
      <c r="AP5208" s="313"/>
      <c r="AQ5208" s="314"/>
      <c r="AR5208" s="315" t="str">
        <f t="shared" si="155"/>
        <v/>
      </c>
    </row>
    <row r="5209" spans="37:44" ht="30" hidden="1" customHeight="1">
      <c r="AK5209" s="313"/>
      <c r="AL5209" s="313"/>
      <c r="AM5209" s="313"/>
      <c r="AN5209" s="313"/>
      <c r="AO5209" s="313"/>
      <c r="AP5209" s="313"/>
      <c r="AQ5209" s="314"/>
      <c r="AR5209" s="315" t="str">
        <f t="shared" si="155"/>
        <v/>
      </c>
    </row>
    <row r="5210" spans="37:44" ht="30" hidden="1" customHeight="1">
      <c r="AK5210" s="313"/>
      <c r="AL5210" s="313"/>
      <c r="AM5210" s="313"/>
      <c r="AN5210" s="313"/>
      <c r="AO5210" s="313"/>
      <c r="AP5210" s="313"/>
      <c r="AQ5210" s="314"/>
      <c r="AR5210" s="315" t="str">
        <f t="shared" si="155"/>
        <v/>
      </c>
    </row>
    <row r="5211" spans="37:44" ht="30" hidden="1" customHeight="1">
      <c r="AK5211" s="313"/>
      <c r="AL5211" s="313"/>
      <c r="AM5211" s="313"/>
      <c r="AN5211" s="313"/>
      <c r="AO5211" s="313"/>
      <c r="AP5211" s="313"/>
      <c r="AQ5211" s="314"/>
      <c r="AR5211" s="315" t="str">
        <f t="shared" si="155"/>
        <v/>
      </c>
    </row>
    <row r="5212" spans="37:44" ht="30" hidden="1" customHeight="1">
      <c r="AK5212" s="313"/>
      <c r="AL5212" s="313"/>
      <c r="AM5212" s="313"/>
      <c r="AN5212" s="313"/>
      <c r="AO5212" s="313"/>
      <c r="AP5212" s="313"/>
      <c r="AQ5212" s="314"/>
      <c r="AR5212" s="315" t="str">
        <f t="shared" si="155"/>
        <v/>
      </c>
    </row>
    <row r="5213" spans="37:44" ht="30" hidden="1" customHeight="1">
      <c r="AK5213" s="313"/>
      <c r="AL5213" s="313"/>
      <c r="AM5213" s="313"/>
      <c r="AN5213" s="313"/>
      <c r="AO5213" s="313"/>
      <c r="AP5213" s="313"/>
      <c r="AQ5213" s="314"/>
      <c r="AR5213" s="315" t="str">
        <f t="shared" si="155"/>
        <v/>
      </c>
    </row>
    <row r="5214" spans="37:44" ht="30" hidden="1" customHeight="1">
      <c r="AK5214" s="313"/>
      <c r="AL5214" s="313"/>
      <c r="AM5214" s="313"/>
      <c r="AN5214" s="313"/>
      <c r="AO5214" s="313"/>
      <c r="AP5214" s="313"/>
      <c r="AQ5214" s="314"/>
      <c r="AR5214" s="315" t="str">
        <f t="shared" si="155"/>
        <v/>
      </c>
    </row>
    <row r="5215" spans="37:44" ht="30" hidden="1" customHeight="1">
      <c r="AK5215" s="313"/>
      <c r="AL5215" s="313"/>
      <c r="AM5215" s="313"/>
      <c r="AN5215" s="313"/>
      <c r="AO5215" s="313"/>
      <c r="AP5215" s="313"/>
      <c r="AQ5215" s="314"/>
      <c r="AR5215" s="315" t="str">
        <f t="shared" si="155"/>
        <v/>
      </c>
    </row>
    <row r="5216" spans="37:44" ht="30" hidden="1" customHeight="1">
      <c r="AK5216" s="313"/>
      <c r="AL5216" s="313"/>
      <c r="AM5216" s="313"/>
      <c r="AN5216" s="313"/>
      <c r="AO5216" s="313"/>
      <c r="AP5216" s="313"/>
      <c r="AQ5216" s="314"/>
      <c r="AR5216" s="315" t="str">
        <f t="shared" si="155"/>
        <v/>
      </c>
    </row>
    <row r="5217" spans="37:44" ht="30" hidden="1" customHeight="1">
      <c r="AK5217" s="313"/>
      <c r="AL5217" s="313"/>
      <c r="AM5217" s="313"/>
      <c r="AN5217" s="313"/>
      <c r="AO5217" s="313"/>
      <c r="AP5217" s="313"/>
      <c r="AQ5217" s="314"/>
      <c r="AR5217" s="315" t="str">
        <f t="shared" si="155"/>
        <v/>
      </c>
    </row>
    <row r="5218" spans="37:44" ht="30" hidden="1" customHeight="1">
      <c r="AK5218" s="313"/>
      <c r="AL5218" s="313"/>
      <c r="AM5218" s="313"/>
      <c r="AN5218" s="313"/>
      <c r="AO5218" s="313"/>
      <c r="AP5218" s="313"/>
      <c r="AQ5218" s="314"/>
      <c r="AR5218" s="315" t="str">
        <f t="shared" si="155"/>
        <v/>
      </c>
    </row>
    <row r="5219" spans="37:44" ht="30" hidden="1" customHeight="1">
      <c r="AK5219" s="313"/>
      <c r="AL5219" s="313"/>
      <c r="AM5219" s="313"/>
      <c r="AN5219" s="313"/>
      <c r="AO5219" s="313"/>
      <c r="AP5219" s="313"/>
      <c r="AQ5219" s="314"/>
      <c r="AR5219" s="315" t="str">
        <f t="shared" si="155"/>
        <v/>
      </c>
    </row>
    <row r="5220" spans="37:44" ht="30" hidden="1" customHeight="1">
      <c r="AK5220" s="313"/>
      <c r="AL5220" s="313"/>
      <c r="AM5220" s="313"/>
      <c r="AN5220" s="313"/>
      <c r="AO5220" s="313"/>
      <c r="AP5220" s="313"/>
      <c r="AQ5220" s="314"/>
      <c r="AR5220" s="315" t="str">
        <f t="shared" si="155"/>
        <v/>
      </c>
    </row>
    <row r="5221" spans="37:44" ht="30" hidden="1" customHeight="1">
      <c r="AK5221" s="313"/>
      <c r="AL5221" s="313"/>
      <c r="AM5221" s="313"/>
      <c r="AN5221" s="313"/>
      <c r="AO5221" s="313"/>
      <c r="AP5221" s="313"/>
      <c r="AQ5221" s="314"/>
      <c r="AR5221" s="315" t="str">
        <f t="shared" si="155"/>
        <v/>
      </c>
    </row>
    <row r="5222" spans="37:44" ht="30" hidden="1" customHeight="1">
      <c r="AK5222" s="313"/>
      <c r="AL5222" s="313"/>
      <c r="AM5222" s="313"/>
      <c r="AN5222" s="313"/>
      <c r="AO5222" s="313"/>
      <c r="AP5222" s="313"/>
      <c r="AQ5222" s="314"/>
      <c r="AR5222" s="315" t="str">
        <f t="shared" si="155"/>
        <v/>
      </c>
    </row>
    <row r="5223" spans="37:44" ht="30" hidden="1" customHeight="1">
      <c r="AK5223" s="313"/>
      <c r="AL5223" s="313"/>
      <c r="AM5223" s="313"/>
      <c r="AN5223" s="313"/>
      <c r="AO5223" s="313"/>
      <c r="AP5223" s="313"/>
      <c r="AQ5223" s="314"/>
      <c r="AR5223" s="315" t="str">
        <f t="shared" si="155"/>
        <v/>
      </c>
    </row>
    <row r="5224" spans="37:44" ht="30" hidden="1" customHeight="1">
      <c r="AK5224" s="313"/>
      <c r="AL5224" s="313"/>
      <c r="AM5224" s="313"/>
      <c r="AN5224" s="313"/>
      <c r="AO5224" s="313"/>
      <c r="AP5224" s="313"/>
      <c r="AQ5224" s="314"/>
      <c r="AR5224" s="315" t="str">
        <f t="shared" si="155"/>
        <v/>
      </c>
    </row>
    <row r="5225" spans="37:44" ht="30" hidden="1" customHeight="1">
      <c r="AK5225" s="313"/>
      <c r="AL5225" s="313"/>
      <c r="AM5225" s="313"/>
      <c r="AN5225" s="313"/>
      <c r="AO5225" s="313"/>
      <c r="AP5225" s="313"/>
      <c r="AQ5225" s="314"/>
      <c r="AR5225" s="315" t="str">
        <f t="shared" si="155"/>
        <v/>
      </c>
    </row>
    <row r="5226" spans="37:44" ht="30" hidden="1" customHeight="1">
      <c r="AK5226" s="313"/>
      <c r="AL5226" s="313"/>
      <c r="AM5226" s="313"/>
      <c r="AN5226" s="313"/>
      <c r="AO5226" s="313"/>
      <c r="AP5226" s="313"/>
      <c r="AQ5226" s="314"/>
      <c r="AR5226" s="315" t="str">
        <f t="shared" si="155"/>
        <v/>
      </c>
    </row>
    <row r="5227" spans="37:44" ht="30" hidden="1" customHeight="1">
      <c r="AK5227" s="313"/>
      <c r="AL5227" s="313"/>
      <c r="AM5227" s="313"/>
      <c r="AN5227" s="313"/>
      <c r="AO5227" s="313"/>
      <c r="AP5227" s="313"/>
      <c r="AQ5227" s="314"/>
      <c r="AR5227" s="315" t="str">
        <f t="shared" si="155"/>
        <v/>
      </c>
    </row>
    <row r="5228" spans="37:44" ht="30" hidden="1" customHeight="1">
      <c r="AK5228" s="313"/>
      <c r="AL5228" s="313"/>
      <c r="AM5228" s="313"/>
      <c r="AN5228" s="313"/>
      <c r="AO5228" s="313"/>
      <c r="AP5228" s="313"/>
      <c r="AQ5228" s="314"/>
      <c r="AR5228" s="315" t="str">
        <f t="shared" si="155"/>
        <v/>
      </c>
    </row>
    <row r="5229" spans="37:44" ht="30" hidden="1" customHeight="1">
      <c r="AK5229" s="313"/>
      <c r="AL5229" s="313"/>
      <c r="AM5229" s="313"/>
      <c r="AN5229" s="313"/>
      <c r="AO5229" s="313"/>
      <c r="AP5229" s="313"/>
      <c r="AQ5229" s="314"/>
      <c r="AR5229" s="315" t="str">
        <f t="shared" si="155"/>
        <v/>
      </c>
    </row>
    <row r="5230" spans="37:44" ht="30" hidden="1" customHeight="1">
      <c r="AK5230" s="313"/>
      <c r="AL5230" s="313"/>
      <c r="AM5230" s="313"/>
      <c r="AN5230" s="313"/>
      <c r="AO5230" s="313"/>
      <c r="AP5230" s="313"/>
      <c r="AQ5230" s="314"/>
      <c r="AR5230" s="315" t="str">
        <f t="shared" si="155"/>
        <v/>
      </c>
    </row>
    <row r="5231" spans="37:44" ht="30" hidden="1" customHeight="1">
      <c r="AK5231" s="313"/>
      <c r="AL5231" s="313"/>
      <c r="AM5231" s="313"/>
      <c r="AN5231" s="313"/>
      <c r="AO5231" s="313"/>
      <c r="AP5231" s="313"/>
      <c r="AQ5231" s="314"/>
      <c r="AR5231" s="315" t="str">
        <f t="shared" si="155"/>
        <v/>
      </c>
    </row>
    <row r="5232" spans="37:44" ht="30" hidden="1" customHeight="1">
      <c r="AK5232" s="313"/>
      <c r="AL5232" s="313"/>
      <c r="AM5232" s="313"/>
      <c r="AN5232" s="313"/>
      <c r="AO5232" s="313"/>
      <c r="AP5232" s="313"/>
      <c r="AQ5232" s="314"/>
      <c r="AR5232" s="315" t="str">
        <f t="shared" si="155"/>
        <v/>
      </c>
    </row>
    <row r="5233" spans="37:44" ht="30" hidden="1" customHeight="1">
      <c r="AK5233" s="313"/>
      <c r="AL5233" s="313"/>
      <c r="AM5233" s="313"/>
      <c r="AN5233" s="313"/>
      <c r="AO5233" s="313"/>
      <c r="AP5233" s="313"/>
      <c r="AQ5233" s="314"/>
      <c r="AR5233" s="315" t="str">
        <f t="shared" si="155"/>
        <v/>
      </c>
    </row>
    <row r="5234" spans="37:44" ht="30" hidden="1" customHeight="1">
      <c r="AK5234" s="313"/>
      <c r="AL5234" s="313"/>
      <c r="AM5234" s="313"/>
      <c r="AN5234" s="313"/>
      <c r="AO5234" s="313"/>
      <c r="AP5234" s="313"/>
      <c r="AQ5234" s="314"/>
      <c r="AR5234" s="315" t="str">
        <f t="shared" si="155"/>
        <v/>
      </c>
    </row>
    <row r="5235" spans="37:44" ht="30" hidden="1" customHeight="1">
      <c r="AK5235" s="313"/>
      <c r="AL5235" s="313"/>
      <c r="AM5235" s="313"/>
      <c r="AN5235" s="313"/>
      <c r="AO5235" s="313"/>
      <c r="AP5235" s="313"/>
      <c r="AQ5235" s="314"/>
      <c r="AR5235" s="315" t="str">
        <f t="shared" si="155"/>
        <v/>
      </c>
    </row>
    <row r="5236" spans="37:44" ht="30" hidden="1" customHeight="1">
      <c r="AK5236" s="313"/>
      <c r="AL5236" s="313"/>
      <c r="AM5236" s="313"/>
      <c r="AN5236" s="313"/>
      <c r="AO5236" s="313"/>
      <c r="AP5236" s="313"/>
      <c r="AQ5236" s="314"/>
      <c r="AR5236" s="315" t="str">
        <f t="shared" si="155"/>
        <v/>
      </c>
    </row>
    <row r="5237" spans="37:44" ht="30" hidden="1" customHeight="1">
      <c r="AK5237" s="313"/>
      <c r="AL5237" s="313"/>
      <c r="AM5237" s="313"/>
      <c r="AN5237" s="313"/>
      <c r="AO5237" s="313"/>
      <c r="AP5237" s="313"/>
      <c r="AQ5237" s="314"/>
      <c r="AR5237" s="315" t="str">
        <f t="shared" si="155"/>
        <v/>
      </c>
    </row>
    <row r="5238" spans="37:44" ht="30" hidden="1" customHeight="1">
      <c r="AK5238" s="313"/>
      <c r="AL5238" s="313"/>
      <c r="AM5238" s="313"/>
      <c r="AN5238" s="313"/>
      <c r="AO5238" s="313"/>
      <c r="AP5238" s="313"/>
      <c r="AQ5238" s="314"/>
      <c r="AR5238" s="315" t="str">
        <f t="shared" si="155"/>
        <v/>
      </c>
    </row>
    <row r="5239" spans="37:44" ht="30" hidden="1" customHeight="1">
      <c r="AK5239" s="313"/>
      <c r="AL5239" s="313"/>
      <c r="AM5239" s="313"/>
      <c r="AN5239" s="313"/>
      <c r="AO5239" s="313"/>
      <c r="AP5239" s="313"/>
      <c r="AQ5239" s="314"/>
      <c r="AR5239" s="315" t="str">
        <f t="shared" si="155"/>
        <v/>
      </c>
    </row>
    <row r="5240" spans="37:44" ht="30" hidden="1" customHeight="1">
      <c r="AK5240" s="313"/>
      <c r="AL5240" s="313"/>
      <c r="AM5240" s="313"/>
      <c r="AN5240" s="313"/>
      <c r="AO5240" s="313"/>
      <c r="AP5240" s="313"/>
      <c r="AQ5240" s="314"/>
      <c r="AR5240" s="315" t="str">
        <f t="shared" si="155"/>
        <v/>
      </c>
    </row>
    <row r="5241" spans="37:44" ht="30" hidden="1" customHeight="1">
      <c r="AK5241" s="313"/>
      <c r="AL5241" s="313"/>
      <c r="AM5241" s="313"/>
      <c r="AN5241" s="313"/>
      <c r="AO5241" s="313"/>
      <c r="AP5241" s="313"/>
      <c r="AQ5241" s="314"/>
      <c r="AR5241" s="315" t="str">
        <f t="shared" si="155"/>
        <v/>
      </c>
    </row>
    <row r="5242" spans="37:44" ht="30" hidden="1" customHeight="1">
      <c r="AK5242" s="313"/>
      <c r="AL5242" s="313"/>
      <c r="AM5242" s="313"/>
      <c r="AN5242" s="313"/>
      <c r="AO5242" s="313"/>
      <c r="AP5242" s="313"/>
      <c r="AQ5242" s="314"/>
      <c r="AR5242" s="315" t="str">
        <f t="shared" si="155"/>
        <v/>
      </c>
    </row>
    <row r="5243" spans="37:44" ht="30" hidden="1" customHeight="1">
      <c r="AK5243" s="313"/>
      <c r="AL5243" s="313"/>
      <c r="AM5243" s="313"/>
      <c r="AN5243" s="313"/>
      <c r="AO5243" s="313"/>
      <c r="AP5243" s="313"/>
      <c r="AQ5243" s="314"/>
      <c r="AR5243" s="315" t="str">
        <f t="shared" si="155"/>
        <v/>
      </c>
    </row>
    <row r="5244" spans="37:44" ht="30" hidden="1" customHeight="1">
      <c r="AK5244" s="313"/>
      <c r="AL5244" s="313"/>
      <c r="AM5244" s="313"/>
      <c r="AN5244" s="313"/>
      <c r="AO5244" s="313"/>
      <c r="AP5244" s="313"/>
      <c r="AQ5244" s="314"/>
      <c r="AR5244" s="315" t="str">
        <f t="shared" si="155"/>
        <v/>
      </c>
    </row>
    <row r="5245" spans="37:44" ht="30" hidden="1" customHeight="1">
      <c r="AK5245" s="313"/>
      <c r="AL5245" s="313"/>
      <c r="AM5245" s="313"/>
      <c r="AN5245" s="313"/>
      <c r="AO5245" s="313"/>
      <c r="AP5245" s="313"/>
      <c r="AQ5245" s="314"/>
      <c r="AR5245" s="315" t="str">
        <f t="shared" si="155"/>
        <v/>
      </c>
    </row>
    <row r="5246" spans="37:44" ht="30" hidden="1" customHeight="1">
      <c r="AK5246" s="313"/>
      <c r="AL5246" s="313"/>
      <c r="AM5246" s="313"/>
      <c r="AN5246" s="313"/>
      <c r="AO5246" s="313"/>
      <c r="AP5246" s="313"/>
      <c r="AQ5246" s="314"/>
      <c r="AR5246" s="315" t="str">
        <f t="shared" si="155"/>
        <v/>
      </c>
    </row>
    <row r="5247" spans="37:44" ht="30" hidden="1" customHeight="1">
      <c r="AK5247" s="313"/>
      <c r="AL5247" s="313"/>
      <c r="AM5247" s="313"/>
      <c r="AN5247" s="313"/>
      <c r="AO5247" s="313"/>
      <c r="AP5247" s="313"/>
      <c r="AQ5247" s="314"/>
      <c r="AR5247" s="315" t="str">
        <f t="shared" ref="AR5247:AR5310" si="156">IF(AQ5247="SIM","AGUARDANDO CORREÇÃO",IF(AP5247&lt;&gt;"","FINALIZADO",IF(AO5247&lt;&gt;"","AGUARDANDO ENVIO DTS",IF(AN5247&lt;&gt;"","AGUARDANDO ASSINATURA GAB",IF(AM5247&lt;&gt;"","AGUARDANDO ASSINATURA CTS",IF(AL5247&lt;&gt;"","AGUARDANDO ENVIO ASSINATURA CTS",IF(AK5247&lt;&gt;"","AGUARDANDO CONFERÊNCIA","")))))))</f>
        <v/>
      </c>
    </row>
    <row r="5248" spans="37:44" ht="30" hidden="1" customHeight="1">
      <c r="AK5248" s="313"/>
      <c r="AL5248" s="313"/>
      <c r="AM5248" s="313"/>
      <c r="AN5248" s="313"/>
      <c r="AO5248" s="313"/>
      <c r="AP5248" s="313"/>
      <c r="AQ5248" s="314"/>
      <c r="AR5248" s="315" t="str">
        <f t="shared" si="156"/>
        <v/>
      </c>
    </row>
    <row r="5249" spans="37:44" ht="30" hidden="1" customHeight="1">
      <c r="AK5249" s="313"/>
      <c r="AL5249" s="313"/>
      <c r="AM5249" s="313"/>
      <c r="AN5249" s="313"/>
      <c r="AO5249" s="313"/>
      <c r="AP5249" s="313"/>
      <c r="AQ5249" s="314"/>
      <c r="AR5249" s="315" t="str">
        <f t="shared" si="156"/>
        <v/>
      </c>
    </row>
    <row r="5250" spans="37:44" ht="30" hidden="1" customHeight="1">
      <c r="AK5250" s="313"/>
      <c r="AL5250" s="313"/>
      <c r="AM5250" s="313"/>
      <c r="AN5250" s="313"/>
      <c r="AO5250" s="313"/>
      <c r="AP5250" s="313"/>
      <c r="AQ5250" s="314"/>
      <c r="AR5250" s="315" t="str">
        <f t="shared" si="156"/>
        <v/>
      </c>
    </row>
    <row r="5251" spans="37:44" ht="30" hidden="1" customHeight="1">
      <c r="AK5251" s="313"/>
      <c r="AL5251" s="313"/>
      <c r="AM5251" s="313"/>
      <c r="AN5251" s="313"/>
      <c r="AO5251" s="313"/>
      <c r="AP5251" s="313"/>
      <c r="AQ5251" s="314"/>
      <c r="AR5251" s="315" t="str">
        <f t="shared" si="156"/>
        <v/>
      </c>
    </row>
    <row r="5252" spans="37:44" ht="30" hidden="1" customHeight="1">
      <c r="AK5252" s="313"/>
      <c r="AL5252" s="313"/>
      <c r="AM5252" s="313"/>
      <c r="AN5252" s="313"/>
      <c r="AO5252" s="313"/>
      <c r="AP5252" s="313"/>
      <c r="AQ5252" s="314"/>
      <c r="AR5252" s="315" t="str">
        <f t="shared" si="156"/>
        <v/>
      </c>
    </row>
    <row r="5253" spans="37:44" ht="30" hidden="1" customHeight="1">
      <c r="AK5253" s="313"/>
      <c r="AL5253" s="313"/>
      <c r="AM5253" s="313"/>
      <c r="AN5253" s="313"/>
      <c r="AO5253" s="313"/>
      <c r="AP5253" s="313"/>
      <c r="AQ5253" s="314"/>
      <c r="AR5253" s="315" t="str">
        <f t="shared" si="156"/>
        <v/>
      </c>
    </row>
    <row r="5254" spans="37:44" ht="30" hidden="1" customHeight="1">
      <c r="AK5254" s="313"/>
      <c r="AL5254" s="313"/>
      <c r="AM5254" s="313"/>
      <c r="AN5254" s="313"/>
      <c r="AO5254" s="313"/>
      <c r="AP5254" s="313"/>
      <c r="AQ5254" s="314"/>
      <c r="AR5254" s="315" t="str">
        <f t="shared" si="156"/>
        <v/>
      </c>
    </row>
    <row r="5255" spans="37:44" ht="30" hidden="1" customHeight="1">
      <c r="AK5255" s="313"/>
      <c r="AL5255" s="313"/>
      <c r="AM5255" s="313"/>
      <c r="AN5255" s="313"/>
      <c r="AO5255" s="313"/>
      <c r="AP5255" s="313"/>
      <c r="AQ5255" s="314"/>
      <c r="AR5255" s="315" t="str">
        <f t="shared" si="156"/>
        <v/>
      </c>
    </row>
    <row r="5256" spans="37:44" ht="30" hidden="1" customHeight="1">
      <c r="AK5256" s="313"/>
      <c r="AL5256" s="313"/>
      <c r="AM5256" s="313"/>
      <c r="AN5256" s="313"/>
      <c r="AO5256" s="313"/>
      <c r="AP5256" s="313"/>
      <c r="AQ5256" s="314"/>
      <c r="AR5256" s="315" t="str">
        <f t="shared" si="156"/>
        <v/>
      </c>
    </row>
    <row r="5257" spans="37:44" ht="30" hidden="1" customHeight="1">
      <c r="AK5257" s="313"/>
      <c r="AL5257" s="313"/>
      <c r="AM5257" s="313"/>
      <c r="AN5257" s="313"/>
      <c r="AO5257" s="313"/>
      <c r="AP5257" s="313"/>
      <c r="AQ5257" s="314"/>
      <c r="AR5257" s="315" t="str">
        <f t="shared" si="156"/>
        <v/>
      </c>
    </row>
    <row r="5258" spans="37:44" ht="30" hidden="1" customHeight="1">
      <c r="AK5258" s="313"/>
      <c r="AL5258" s="313"/>
      <c r="AM5258" s="313"/>
      <c r="AN5258" s="313"/>
      <c r="AO5258" s="313"/>
      <c r="AP5258" s="313"/>
      <c r="AQ5258" s="314"/>
      <c r="AR5258" s="315" t="str">
        <f t="shared" si="156"/>
        <v/>
      </c>
    </row>
    <row r="5259" spans="37:44" ht="30" hidden="1" customHeight="1">
      <c r="AK5259" s="313"/>
      <c r="AL5259" s="313"/>
      <c r="AM5259" s="313"/>
      <c r="AN5259" s="313"/>
      <c r="AO5259" s="313"/>
      <c r="AP5259" s="313"/>
      <c r="AQ5259" s="314"/>
      <c r="AR5259" s="315" t="str">
        <f t="shared" si="156"/>
        <v/>
      </c>
    </row>
    <row r="5260" spans="37:44" ht="30" hidden="1" customHeight="1">
      <c r="AK5260" s="313"/>
      <c r="AL5260" s="313"/>
      <c r="AM5260" s="313"/>
      <c r="AN5260" s="313"/>
      <c r="AO5260" s="313"/>
      <c r="AP5260" s="313"/>
      <c r="AQ5260" s="314"/>
      <c r="AR5260" s="315" t="str">
        <f t="shared" si="156"/>
        <v/>
      </c>
    </row>
    <row r="5261" spans="37:44" ht="30" hidden="1" customHeight="1">
      <c r="AK5261" s="313"/>
      <c r="AL5261" s="313"/>
      <c r="AM5261" s="313"/>
      <c r="AN5261" s="313"/>
      <c r="AO5261" s="313"/>
      <c r="AP5261" s="313"/>
      <c r="AQ5261" s="314"/>
      <c r="AR5261" s="315" t="str">
        <f t="shared" si="156"/>
        <v/>
      </c>
    </row>
    <row r="5262" spans="37:44" ht="30" hidden="1" customHeight="1">
      <c r="AK5262" s="313"/>
      <c r="AL5262" s="313"/>
      <c r="AM5262" s="313"/>
      <c r="AN5262" s="313"/>
      <c r="AO5262" s="313"/>
      <c r="AP5262" s="313"/>
      <c r="AQ5262" s="314"/>
      <c r="AR5262" s="315" t="str">
        <f t="shared" si="156"/>
        <v/>
      </c>
    </row>
    <row r="5263" spans="37:44" ht="30" hidden="1" customHeight="1">
      <c r="AK5263" s="313"/>
      <c r="AL5263" s="313"/>
      <c r="AM5263" s="313"/>
      <c r="AN5263" s="313"/>
      <c r="AO5263" s="313"/>
      <c r="AP5263" s="313"/>
      <c r="AQ5263" s="314"/>
      <c r="AR5263" s="315" t="str">
        <f t="shared" si="156"/>
        <v/>
      </c>
    </row>
    <row r="5264" spans="37:44" ht="30" hidden="1" customHeight="1">
      <c r="AK5264" s="313"/>
      <c r="AL5264" s="313"/>
      <c r="AM5264" s="313"/>
      <c r="AN5264" s="313"/>
      <c r="AO5264" s="313"/>
      <c r="AP5264" s="313"/>
      <c r="AQ5264" s="314"/>
      <c r="AR5264" s="315" t="str">
        <f t="shared" si="156"/>
        <v/>
      </c>
    </row>
    <row r="5265" spans="37:44" ht="30" hidden="1" customHeight="1">
      <c r="AK5265" s="313"/>
      <c r="AL5265" s="313"/>
      <c r="AM5265" s="313"/>
      <c r="AN5265" s="313"/>
      <c r="AO5265" s="313"/>
      <c r="AP5265" s="313"/>
      <c r="AQ5265" s="314"/>
      <c r="AR5265" s="315" t="str">
        <f t="shared" si="156"/>
        <v/>
      </c>
    </row>
    <row r="5266" spans="37:44" ht="30" hidden="1" customHeight="1">
      <c r="AK5266" s="313"/>
      <c r="AL5266" s="313"/>
      <c r="AM5266" s="313"/>
      <c r="AN5266" s="313"/>
      <c r="AO5266" s="313"/>
      <c r="AP5266" s="313"/>
      <c r="AQ5266" s="314"/>
      <c r="AR5266" s="315" t="str">
        <f t="shared" si="156"/>
        <v/>
      </c>
    </row>
    <row r="5267" spans="37:44" ht="30" hidden="1" customHeight="1">
      <c r="AK5267" s="313"/>
      <c r="AL5267" s="313"/>
      <c r="AM5267" s="313"/>
      <c r="AN5267" s="313"/>
      <c r="AO5267" s="313"/>
      <c r="AP5267" s="313"/>
      <c r="AQ5267" s="314"/>
      <c r="AR5267" s="315" t="str">
        <f t="shared" si="156"/>
        <v/>
      </c>
    </row>
    <row r="5268" spans="37:44" ht="30" hidden="1" customHeight="1">
      <c r="AK5268" s="313"/>
      <c r="AL5268" s="313"/>
      <c r="AM5268" s="313"/>
      <c r="AN5268" s="313"/>
      <c r="AO5268" s="313"/>
      <c r="AP5268" s="313"/>
      <c r="AQ5268" s="314"/>
      <c r="AR5268" s="315" t="str">
        <f t="shared" si="156"/>
        <v/>
      </c>
    </row>
    <row r="5269" spans="37:44" ht="30" hidden="1" customHeight="1">
      <c r="AK5269" s="313"/>
      <c r="AL5269" s="313"/>
      <c r="AM5269" s="313"/>
      <c r="AN5269" s="313"/>
      <c r="AO5269" s="313"/>
      <c r="AP5269" s="313"/>
      <c r="AQ5269" s="314"/>
      <c r="AR5269" s="315" t="str">
        <f t="shared" si="156"/>
        <v/>
      </c>
    </row>
    <row r="5270" spans="37:44" ht="30" hidden="1" customHeight="1">
      <c r="AK5270" s="313"/>
      <c r="AL5270" s="313"/>
      <c r="AM5270" s="313"/>
      <c r="AN5270" s="313"/>
      <c r="AO5270" s="313"/>
      <c r="AP5270" s="313"/>
      <c r="AQ5270" s="314"/>
      <c r="AR5270" s="315" t="str">
        <f t="shared" si="156"/>
        <v/>
      </c>
    </row>
    <row r="5271" spans="37:44" ht="30" hidden="1" customHeight="1">
      <c r="AK5271" s="313"/>
      <c r="AL5271" s="313"/>
      <c r="AM5271" s="313"/>
      <c r="AN5271" s="313"/>
      <c r="AO5271" s="313"/>
      <c r="AP5271" s="313"/>
      <c r="AQ5271" s="314"/>
      <c r="AR5271" s="315" t="str">
        <f t="shared" si="156"/>
        <v/>
      </c>
    </row>
    <row r="5272" spans="37:44" ht="30" hidden="1" customHeight="1">
      <c r="AK5272" s="313"/>
      <c r="AL5272" s="313"/>
      <c r="AM5272" s="313"/>
      <c r="AN5272" s="313"/>
      <c r="AO5272" s="313"/>
      <c r="AP5272" s="313"/>
      <c r="AQ5272" s="314"/>
      <c r="AR5272" s="315" t="str">
        <f t="shared" si="156"/>
        <v/>
      </c>
    </row>
    <row r="5273" spans="37:44" ht="30" hidden="1" customHeight="1">
      <c r="AK5273" s="313"/>
      <c r="AL5273" s="313"/>
      <c r="AM5273" s="313"/>
      <c r="AN5273" s="313"/>
      <c r="AO5273" s="313"/>
      <c r="AP5273" s="313"/>
      <c r="AQ5273" s="314"/>
      <c r="AR5273" s="315" t="str">
        <f t="shared" si="156"/>
        <v/>
      </c>
    </row>
    <row r="5274" spans="37:44" ht="30" hidden="1" customHeight="1">
      <c r="AK5274" s="313"/>
      <c r="AL5274" s="313"/>
      <c r="AM5274" s="313"/>
      <c r="AN5274" s="313"/>
      <c r="AO5274" s="313"/>
      <c r="AP5274" s="313"/>
      <c r="AQ5274" s="314"/>
      <c r="AR5274" s="315" t="str">
        <f t="shared" si="156"/>
        <v/>
      </c>
    </row>
    <row r="5275" spans="37:44" ht="30" hidden="1" customHeight="1">
      <c r="AK5275" s="313"/>
      <c r="AL5275" s="313"/>
      <c r="AM5275" s="313"/>
      <c r="AN5275" s="313"/>
      <c r="AO5275" s="313"/>
      <c r="AP5275" s="313"/>
      <c r="AQ5275" s="314"/>
      <c r="AR5275" s="315" t="str">
        <f t="shared" si="156"/>
        <v/>
      </c>
    </row>
    <row r="5276" spans="37:44" ht="30" hidden="1" customHeight="1">
      <c r="AK5276" s="313"/>
      <c r="AL5276" s="313"/>
      <c r="AM5276" s="313"/>
      <c r="AN5276" s="313"/>
      <c r="AO5276" s="313"/>
      <c r="AP5276" s="313"/>
      <c r="AQ5276" s="314"/>
      <c r="AR5276" s="315" t="str">
        <f t="shared" si="156"/>
        <v/>
      </c>
    </row>
    <row r="5277" spans="37:44" ht="30" hidden="1" customHeight="1">
      <c r="AK5277" s="313"/>
      <c r="AL5277" s="313"/>
      <c r="AM5277" s="313"/>
      <c r="AN5277" s="313"/>
      <c r="AO5277" s="313"/>
      <c r="AP5277" s="313"/>
      <c r="AQ5277" s="314"/>
      <c r="AR5277" s="315" t="str">
        <f t="shared" si="156"/>
        <v/>
      </c>
    </row>
    <row r="5278" spans="37:44" ht="30" hidden="1" customHeight="1">
      <c r="AK5278" s="313"/>
      <c r="AL5278" s="313"/>
      <c r="AM5278" s="313"/>
      <c r="AN5278" s="313"/>
      <c r="AO5278" s="313"/>
      <c r="AP5278" s="313"/>
      <c r="AQ5278" s="314"/>
      <c r="AR5278" s="315" t="str">
        <f t="shared" si="156"/>
        <v/>
      </c>
    </row>
    <row r="5279" spans="37:44" ht="30" hidden="1" customHeight="1">
      <c r="AK5279" s="313"/>
      <c r="AL5279" s="313"/>
      <c r="AM5279" s="313"/>
      <c r="AN5279" s="313"/>
      <c r="AO5279" s="313"/>
      <c r="AP5279" s="313"/>
      <c r="AQ5279" s="314"/>
      <c r="AR5279" s="315" t="str">
        <f t="shared" si="156"/>
        <v/>
      </c>
    </row>
    <row r="5280" spans="37:44" ht="30" hidden="1" customHeight="1">
      <c r="AK5280" s="313"/>
      <c r="AL5280" s="313"/>
      <c r="AM5280" s="313"/>
      <c r="AN5280" s="313"/>
      <c r="AO5280" s="313"/>
      <c r="AP5280" s="313"/>
      <c r="AQ5280" s="314"/>
      <c r="AR5280" s="315" t="str">
        <f t="shared" si="156"/>
        <v/>
      </c>
    </row>
    <row r="5281" spans="37:44" ht="30" hidden="1" customHeight="1">
      <c r="AK5281" s="313"/>
      <c r="AL5281" s="313"/>
      <c r="AM5281" s="313"/>
      <c r="AN5281" s="313"/>
      <c r="AO5281" s="313"/>
      <c r="AP5281" s="313"/>
      <c r="AQ5281" s="314"/>
      <c r="AR5281" s="315" t="str">
        <f t="shared" si="156"/>
        <v/>
      </c>
    </row>
    <row r="5282" spans="37:44" ht="30" hidden="1" customHeight="1">
      <c r="AK5282" s="313"/>
      <c r="AL5282" s="313"/>
      <c r="AM5282" s="313"/>
      <c r="AN5282" s="313"/>
      <c r="AO5282" s="313"/>
      <c r="AP5282" s="313"/>
      <c r="AQ5282" s="314"/>
      <c r="AR5282" s="315" t="str">
        <f t="shared" si="156"/>
        <v/>
      </c>
    </row>
    <row r="5283" spans="37:44" ht="30" hidden="1" customHeight="1">
      <c r="AK5283" s="313"/>
      <c r="AL5283" s="313"/>
      <c r="AM5283" s="313"/>
      <c r="AN5283" s="313"/>
      <c r="AO5283" s="313"/>
      <c r="AP5283" s="313"/>
      <c r="AQ5283" s="314"/>
      <c r="AR5283" s="315" t="str">
        <f t="shared" si="156"/>
        <v/>
      </c>
    </row>
    <row r="5284" spans="37:44" ht="30" hidden="1" customHeight="1">
      <c r="AK5284" s="313"/>
      <c r="AL5284" s="313"/>
      <c r="AM5284" s="313"/>
      <c r="AN5284" s="313"/>
      <c r="AO5284" s="313"/>
      <c r="AP5284" s="313"/>
      <c r="AQ5284" s="314"/>
      <c r="AR5284" s="315" t="str">
        <f t="shared" si="156"/>
        <v/>
      </c>
    </row>
    <row r="5285" spans="37:44" ht="30" hidden="1" customHeight="1">
      <c r="AK5285" s="313"/>
      <c r="AL5285" s="313"/>
      <c r="AM5285" s="313"/>
      <c r="AN5285" s="313"/>
      <c r="AO5285" s="313"/>
      <c r="AP5285" s="313"/>
      <c r="AQ5285" s="314"/>
      <c r="AR5285" s="315" t="str">
        <f t="shared" si="156"/>
        <v/>
      </c>
    </row>
    <row r="5286" spans="37:44" ht="30" hidden="1" customHeight="1">
      <c r="AK5286" s="313"/>
      <c r="AL5286" s="313"/>
      <c r="AM5286" s="313"/>
      <c r="AN5286" s="313"/>
      <c r="AO5286" s="313"/>
      <c r="AP5286" s="313"/>
      <c r="AQ5286" s="314"/>
      <c r="AR5286" s="315" t="str">
        <f t="shared" si="156"/>
        <v/>
      </c>
    </row>
    <row r="5287" spans="37:44" ht="30" hidden="1" customHeight="1">
      <c r="AK5287" s="313"/>
      <c r="AL5287" s="313"/>
      <c r="AM5287" s="313"/>
      <c r="AN5287" s="313"/>
      <c r="AO5287" s="313"/>
      <c r="AP5287" s="313"/>
      <c r="AQ5287" s="314"/>
      <c r="AR5287" s="315" t="str">
        <f t="shared" si="156"/>
        <v/>
      </c>
    </row>
    <row r="5288" spans="37:44" ht="30" hidden="1" customHeight="1">
      <c r="AK5288" s="313"/>
      <c r="AL5288" s="313"/>
      <c r="AM5288" s="313"/>
      <c r="AN5288" s="313"/>
      <c r="AO5288" s="313"/>
      <c r="AP5288" s="313"/>
      <c r="AQ5288" s="314"/>
      <c r="AR5288" s="315" t="str">
        <f t="shared" si="156"/>
        <v/>
      </c>
    </row>
    <row r="5289" spans="37:44" ht="30" hidden="1" customHeight="1">
      <c r="AK5289" s="313"/>
      <c r="AL5289" s="313"/>
      <c r="AM5289" s="313"/>
      <c r="AN5289" s="313"/>
      <c r="AO5289" s="313"/>
      <c r="AP5289" s="313"/>
      <c r="AQ5289" s="314"/>
      <c r="AR5289" s="315" t="str">
        <f t="shared" si="156"/>
        <v/>
      </c>
    </row>
    <row r="5290" spans="37:44" ht="30" hidden="1" customHeight="1">
      <c r="AK5290" s="313"/>
      <c r="AL5290" s="313"/>
      <c r="AM5290" s="313"/>
      <c r="AN5290" s="313"/>
      <c r="AO5290" s="313"/>
      <c r="AP5290" s="313"/>
      <c r="AQ5290" s="314"/>
      <c r="AR5290" s="315" t="str">
        <f t="shared" si="156"/>
        <v/>
      </c>
    </row>
    <row r="5291" spans="37:44" ht="30" hidden="1" customHeight="1">
      <c r="AK5291" s="313"/>
      <c r="AL5291" s="313"/>
      <c r="AM5291" s="313"/>
      <c r="AN5291" s="313"/>
      <c r="AO5291" s="313"/>
      <c r="AP5291" s="313"/>
      <c r="AQ5291" s="314"/>
      <c r="AR5291" s="315" t="str">
        <f t="shared" si="156"/>
        <v/>
      </c>
    </row>
    <row r="5292" spans="37:44" ht="30" hidden="1" customHeight="1">
      <c r="AK5292" s="313"/>
      <c r="AL5292" s="313"/>
      <c r="AM5292" s="313"/>
      <c r="AN5292" s="313"/>
      <c r="AO5292" s="313"/>
      <c r="AP5292" s="313"/>
      <c r="AQ5292" s="314"/>
      <c r="AR5292" s="315" t="str">
        <f t="shared" si="156"/>
        <v/>
      </c>
    </row>
    <row r="5293" spans="37:44" ht="30" hidden="1" customHeight="1">
      <c r="AK5293" s="313"/>
      <c r="AL5293" s="313"/>
      <c r="AM5293" s="313"/>
      <c r="AN5293" s="313"/>
      <c r="AO5293" s="313"/>
      <c r="AP5293" s="313"/>
      <c r="AQ5293" s="314"/>
      <c r="AR5293" s="315" t="str">
        <f t="shared" si="156"/>
        <v/>
      </c>
    </row>
    <row r="5294" spans="37:44" ht="30" hidden="1" customHeight="1">
      <c r="AK5294" s="313"/>
      <c r="AL5294" s="313"/>
      <c r="AM5294" s="313"/>
      <c r="AN5294" s="313"/>
      <c r="AO5294" s="313"/>
      <c r="AP5294" s="313"/>
      <c r="AQ5294" s="314"/>
      <c r="AR5294" s="315" t="str">
        <f t="shared" si="156"/>
        <v/>
      </c>
    </row>
    <row r="5295" spans="37:44" ht="30" hidden="1" customHeight="1">
      <c r="AK5295" s="313"/>
      <c r="AL5295" s="313"/>
      <c r="AM5295" s="313"/>
      <c r="AN5295" s="313"/>
      <c r="AO5295" s="313"/>
      <c r="AP5295" s="313"/>
      <c r="AQ5295" s="314"/>
      <c r="AR5295" s="315" t="str">
        <f t="shared" si="156"/>
        <v/>
      </c>
    </row>
    <row r="5296" spans="37:44" ht="30" hidden="1" customHeight="1">
      <c r="AK5296" s="313"/>
      <c r="AL5296" s="313"/>
      <c r="AM5296" s="313"/>
      <c r="AN5296" s="313"/>
      <c r="AO5296" s="313"/>
      <c r="AP5296" s="313"/>
      <c r="AQ5296" s="314"/>
      <c r="AR5296" s="315" t="str">
        <f t="shared" si="156"/>
        <v/>
      </c>
    </row>
    <row r="5297" spans="37:44" ht="30" hidden="1" customHeight="1">
      <c r="AK5297" s="313"/>
      <c r="AL5297" s="313"/>
      <c r="AM5297" s="313"/>
      <c r="AN5297" s="313"/>
      <c r="AO5297" s="313"/>
      <c r="AP5297" s="313"/>
      <c r="AQ5297" s="314"/>
      <c r="AR5297" s="315" t="str">
        <f t="shared" si="156"/>
        <v/>
      </c>
    </row>
    <row r="5298" spans="37:44" ht="30" hidden="1" customHeight="1">
      <c r="AK5298" s="313"/>
      <c r="AL5298" s="313"/>
      <c r="AM5298" s="313"/>
      <c r="AN5298" s="313"/>
      <c r="AO5298" s="313"/>
      <c r="AP5298" s="313"/>
      <c r="AQ5298" s="314"/>
      <c r="AR5298" s="315" t="str">
        <f t="shared" si="156"/>
        <v/>
      </c>
    </row>
    <row r="5299" spans="37:44" ht="30" hidden="1" customHeight="1">
      <c r="AK5299" s="313"/>
      <c r="AL5299" s="313"/>
      <c r="AM5299" s="313"/>
      <c r="AN5299" s="313"/>
      <c r="AO5299" s="313"/>
      <c r="AP5299" s="313"/>
      <c r="AQ5299" s="314"/>
      <c r="AR5299" s="315" t="str">
        <f t="shared" si="156"/>
        <v/>
      </c>
    </row>
    <row r="5300" spans="37:44" ht="30" hidden="1" customHeight="1">
      <c r="AK5300" s="313"/>
      <c r="AL5300" s="313"/>
      <c r="AM5300" s="313"/>
      <c r="AN5300" s="313"/>
      <c r="AO5300" s="313"/>
      <c r="AP5300" s="313"/>
      <c r="AQ5300" s="314"/>
      <c r="AR5300" s="315" t="str">
        <f t="shared" si="156"/>
        <v/>
      </c>
    </row>
    <row r="5301" spans="37:44" ht="30" hidden="1" customHeight="1">
      <c r="AK5301" s="313"/>
      <c r="AL5301" s="313"/>
      <c r="AM5301" s="313"/>
      <c r="AN5301" s="313"/>
      <c r="AO5301" s="313"/>
      <c r="AP5301" s="313"/>
      <c r="AQ5301" s="314"/>
      <c r="AR5301" s="315" t="str">
        <f t="shared" si="156"/>
        <v/>
      </c>
    </row>
    <row r="5302" spans="37:44" ht="30" hidden="1" customHeight="1">
      <c r="AK5302" s="313"/>
      <c r="AL5302" s="313"/>
      <c r="AM5302" s="313"/>
      <c r="AN5302" s="313"/>
      <c r="AO5302" s="313"/>
      <c r="AP5302" s="313"/>
      <c r="AQ5302" s="314"/>
      <c r="AR5302" s="315" t="str">
        <f t="shared" si="156"/>
        <v/>
      </c>
    </row>
    <row r="5303" spans="37:44" ht="30" hidden="1" customHeight="1">
      <c r="AK5303" s="313"/>
      <c r="AL5303" s="313"/>
      <c r="AM5303" s="313"/>
      <c r="AN5303" s="313"/>
      <c r="AO5303" s="313"/>
      <c r="AP5303" s="313"/>
      <c r="AQ5303" s="314"/>
      <c r="AR5303" s="315" t="str">
        <f t="shared" si="156"/>
        <v/>
      </c>
    </row>
    <row r="5304" spans="37:44" ht="30" hidden="1" customHeight="1">
      <c r="AK5304" s="313"/>
      <c r="AL5304" s="313"/>
      <c r="AM5304" s="313"/>
      <c r="AN5304" s="313"/>
      <c r="AO5304" s="313"/>
      <c r="AP5304" s="313"/>
      <c r="AQ5304" s="314"/>
      <c r="AR5304" s="315" t="str">
        <f t="shared" si="156"/>
        <v/>
      </c>
    </row>
    <row r="5305" spans="37:44" ht="30" hidden="1" customHeight="1">
      <c r="AK5305" s="313"/>
      <c r="AL5305" s="313"/>
      <c r="AM5305" s="313"/>
      <c r="AN5305" s="313"/>
      <c r="AO5305" s="313"/>
      <c r="AP5305" s="313"/>
      <c r="AQ5305" s="314"/>
      <c r="AR5305" s="315" t="str">
        <f t="shared" si="156"/>
        <v/>
      </c>
    </row>
    <row r="5306" spans="37:44" ht="30" hidden="1" customHeight="1">
      <c r="AK5306" s="313"/>
      <c r="AL5306" s="313"/>
      <c r="AM5306" s="313"/>
      <c r="AN5306" s="313"/>
      <c r="AO5306" s="313"/>
      <c r="AP5306" s="313"/>
      <c r="AQ5306" s="314"/>
      <c r="AR5306" s="315" t="str">
        <f t="shared" si="156"/>
        <v/>
      </c>
    </row>
    <row r="5307" spans="37:44" ht="30" hidden="1" customHeight="1">
      <c r="AK5307" s="313"/>
      <c r="AL5307" s="313"/>
      <c r="AM5307" s="313"/>
      <c r="AN5307" s="313"/>
      <c r="AO5307" s="313"/>
      <c r="AP5307" s="313"/>
      <c r="AQ5307" s="314"/>
      <c r="AR5307" s="315" t="str">
        <f t="shared" si="156"/>
        <v/>
      </c>
    </row>
    <row r="5308" spans="37:44" ht="30" hidden="1" customHeight="1">
      <c r="AK5308" s="313"/>
      <c r="AL5308" s="313"/>
      <c r="AM5308" s="313"/>
      <c r="AN5308" s="313"/>
      <c r="AO5308" s="313"/>
      <c r="AP5308" s="313"/>
      <c r="AQ5308" s="314"/>
      <c r="AR5308" s="315" t="str">
        <f t="shared" si="156"/>
        <v/>
      </c>
    </row>
    <row r="5309" spans="37:44" ht="30" hidden="1" customHeight="1">
      <c r="AK5309" s="313"/>
      <c r="AL5309" s="313"/>
      <c r="AM5309" s="313"/>
      <c r="AN5309" s="313"/>
      <c r="AO5309" s="313"/>
      <c r="AP5309" s="313"/>
      <c r="AQ5309" s="314"/>
      <c r="AR5309" s="315" t="str">
        <f t="shared" si="156"/>
        <v/>
      </c>
    </row>
    <row r="5310" spans="37:44" ht="30" hidden="1" customHeight="1">
      <c r="AK5310" s="313"/>
      <c r="AL5310" s="313"/>
      <c r="AM5310" s="313"/>
      <c r="AN5310" s="313"/>
      <c r="AO5310" s="313"/>
      <c r="AP5310" s="313"/>
      <c r="AQ5310" s="314"/>
      <c r="AR5310" s="315" t="str">
        <f t="shared" si="156"/>
        <v/>
      </c>
    </row>
    <row r="5311" spans="37:44" ht="30" hidden="1" customHeight="1">
      <c r="AK5311" s="313"/>
      <c r="AL5311" s="313"/>
      <c r="AM5311" s="313"/>
      <c r="AN5311" s="313"/>
      <c r="AO5311" s="313"/>
      <c r="AP5311" s="313"/>
      <c r="AQ5311" s="314"/>
      <c r="AR5311" s="315" t="str">
        <f t="shared" ref="AR5311:AR5353" si="157">IF(AQ5311="SIM","AGUARDANDO CORREÇÃO",IF(AP5311&lt;&gt;"","FINALIZADO",IF(AO5311&lt;&gt;"","AGUARDANDO ENVIO DTS",IF(AN5311&lt;&gt;"","AGUARDANDO ASSINATURA GAB",IF(AM5311&lt;&gt;"","AGUARDANDO ASSINATURA CTS",IF(AL5311&lt;&gt;"","AGUARDANDO ENVIO ASSINATURA CTS",IF(AK5311&lt;&gt;"","AGUARDANDO CONFERÊNCIA","")))))))</f>
        <v/>
      </c>
    </row>
    <row r="5312" spans="37:44" ht="30" hidden="1" customHeight="1">
      <c r="AK5312" s="313"/>
      <c r="AL5312" s="313"/>
      <c r="AM5312" s="313"/>
      <c r="AN5312" s="313"/>
      <c r="AO5312" s="313"/>
      <c r="AP5312" s="313"/>
      <c r="AQ5312" s="314"/>
      <c r="AR5312" s="315" t="str">
        <f t="shared" si="157"/>
        <v/>
      </c>
    </row>
    <row r="5313" spans="37:44" ht="30" hidden="1" customHeight="1">
      <c r="AK5313" s="313"/>
      <c r="AL5313" s="313"/>
      <c r="AM5313" s="313"/>
      <c r="AN5313" s="313"/>
      <c r="AO5313" s="313"/>
      <c r="AP5313" s="313"/>
      <c r="AQ5313" s="314"/>
      <c r="AR5313" s="315" t="str">
        <f t="shared" si="157"/>
        <v/>
      </c>
    </row>
    <row r="5314" spans="37:44" ht="30" hidden="1" customHeight="1">
      <c r="AK5314" s="313"/>
      <c r="AL5314" s="313"/>
      <c r="AM5314" s="313"/>
      <c r="AN5314" s="313"/>
      <c r="AO5314" s="313"/>
      <c r="AP5314" s="313"/>
      <c r="AQ5314" s="314"/>
      <c r="AR5314" s="315" t="str">
        <f t="shared" si="157"/>
        <v/>
      </c>
    </row>
    <row r="5315" spans="37:44" ht="30" hidden="1" customHeight="1">
      <c r="AK5315" s="313"/>
      <c r="AL5315" s="313"/>
      <c r="AM5315" s="313"/>
      <c r="AN5315" s="313"/>
      <c r="AO5315" s="313"/>
      <c r="AP5315" s="313"/>
      <c r="AQ5315" s="314"/>
      <c r="AR5315" s="315" t="str">
        <f t="shared" si="157"/>
        <v/>
      </c>
    </row>
    <row r="5316" spans="37:44" ht="30" hidden="1" customHeight="1">
      <c r="AK5316" s="313"/>
      <c r="AL5316" s="313"/>
      <c r="AM5316" s="313"/>
      <c r="AN5316" s="313"/>
      <c r="AO5316" s="313"/>
      <c r="AP5316" s="313"/>
      <c r="AQ5316" s="314"/>
      <c r="AR5316" s="315" t="str">
        <f t="shared" si="157"/>
        <v/>
      </c>
    </row>
    <row r="5317" spans="37:44" ht="30" hidden="1" customHeight="1">
      <c r="AK5317" s="313"/>
      <c r="AL5317" s="313"/>
      <c r="AM5317" s="313"/>
      <c r="AN5317" s="313"/>
      <c r="AO5317" s="313"/>
      <c r="AP5317" s="313"/>
      <c r="AQ5317" s="314"/>
      <c r="AR5317" s="315" t="str">
        <f t="shared" si="157"/>
        <v/>
      </c>
    </row>
    <row r="5318" spans="37:44" ht="30" hidden="1" customHeight="1">
      <c r="AK5318" s="313"/>
      <c r="AL5318" s="313"/>
      <c r="AM5318" s="313"/>
      <c r="AN5318" s="313"/>
      <c r="AO5318" s="313"/>
      <c r="AP5318" s="313"/>
      <c r="AQ5318" s="314"/>
      <c r="AR5318" s="315" t="str">
        <f t="shared" si="157"/>
        <v/>
      </c>
    </row>
    <row r="5319" spans="37:44" ht="30" hidden="1" customHeight="1">
      <c r="AK5319" s="313"/>
      <c r="AL5319" s="313"/>
      <c r="AM5319" s="313"/>
      <c r="AN5319" s="313"/>
      <c r="AO5319" s="313"/>
      <c r="AP5319" s="313"/>
      <c r="AQ5319" s="314"/>
      <c r="AR5319" s="315" t="str">
        <f t="shared" si="157"/>
        <v/>
      </c>
    </row>
    <row r="5320" spans="37:44" ht="30" hidden="1" customHeight="1">
      <c r="AK5320" s="313"/>
      <c r="AL5320" s="313"/>
      <c r="AM5320" s="313"/>
      <c r="AN5320" s="313"/>
      <c r="AO5320" s="313"/>
      <c r="AP5320" s="313"/>
      <c r="AQ5320" s="314"/>
      <c r="AR5320" s="315" t="str">
        <f t="shared" si="157"/>
        <v/>
      </c>
    </row>
    <row r="5321" spans="37:44" ht="30" hidden="1" customHeight="1">
      <c r="AK5321" s="313"/>
      <c r="AL5321" s="313"/>
      <c r="AM5321" s="313"/>
      <c r="AN5321" s="313"/>
      <c r="AO5321" s="313"/>
      <c r="AP5321" s="313"/>
      <c r="AQ5321" s="314"/>
      <c r="AR5321" s="315" t="str">
        <f t="shared" si="157"/>
        <v/>
      </c>
    </row>
    <row r="5322" spans="37:44" ht="30" hidden="1" customHeight="1">
      <c r="AK5322" s="313"/>
      <c r="AL5322" s="313"/>
      <c r="AM5322" s="313"/>
      <c r="AN5322" s="313"/>
      <c r="AO5322" s="313"/>
      <c r="AP5322" s="313"/>
      <c r="AQ5322" s="314"/>
      <c r="AR5322" s="315" t="str">
        <f t="shared" si="157"/>
        <v/>
      </c>
    </row>
    <row r="5323" spans="37:44" ht="30" hidden="1" customHeight="1">
      <c r="AK5323" s="313"/>
      <c r="AL5323" s="313"/>
      <c r="AM5323" s="313"/>
      <c r="AN5323" s="313"/>
      <c r="AO5323" s="313"/>
      <c r="AP5323" s="313"/>
      <c r="AQ5323" s="314"/>
      <c r="AR5323" s="315" t="str">
        <f t="shared" si="157"/>
        <v/>
      </c>
    </row>
    <row r="5324" spans="37:44" ht="30" hidden="1" customHeight="1">
      <c r="AK5324" s="313"/>
      <c r="AL5324" s="313"/>
      <c r="AM5324" s="313"/>
      <c r="AN5324" s="313"/>
      <c r="AO5324" s="313"/>
      <c r="AP5324" s="313"/>
      <c r="AQ5324" s="314"/>
      <c r="AR5324" s="315" t="str">
        <f t="shared" si="157"/>
        <v/>
      </c>
    </row>
    <row r="5325" spans="37:44" ht="30" hidden="1" customHeight="1">
      <c r="AK5325" s="313"/>
      <c r="AL5325" s="313"/>
      <c r="AM5325" s="313"/>
      <c r="AN5325" s="313"/>
      <c r="AO5325" s="313"/>
      <c r="AP5325" s="313"/>
      <c r="AQ5325" s="314"/>
      <c r="AR5325" s="315" t="str">
        <f t="shared" si="157"/>
        <v/>
      </c>
    </row>
    <row r="5326" spans="37:44" ht="30" hidden="1" customHeight="1">
      <c r="AK5326" s="313"/>
      <c r="AL5326" s="313"/>
      <c r="AM5326" s="313"/>
      <c r="AN5326" s="313"/>
      <c r="AO5326" s="313"/>
      <c r="AP5326" s="313"/>
      <c r="AQ5326" s="314"/>
      <c r="AR5326" s="315" t="str">
        <f t="shared" si="157"/>
        <v/>
      </c>
    </row>
    <row r="5327" spans="37:44" ht="30" hidden="1" customHeight="1">
      <c r="AK5327" s="313"/>
      <c r="AL5327" s="313"/>
      <c r="AM5327" s="313"/>
      <c r="AN5327" s="313"/>
      <c r="AO5327" s="313"/>
      <c r="AP5327" s="313"/>
      <c r="AQ5327" s="314"/>
      <c r="AR5327" s="315" t="str">
        <f t="shared" si="157"/>
        <v/>
      </c>
    </row>
    <row r="5328" spans="37:44" ht="30" hidden="1" customHeight="1">
      <c r="AK5328" s="313"/>
      <c r="AL5328" s="313"/>
      <c r="AM5328" s="313"/>
      <c r="AN5328" s="313"/>
      <c r="AO5328" s="313"/>
      <c r="AP5328" s="313"/>
      <c r="AQ5328" s="314"/>
      <c r="AR5328" s="315" t="str">
        <f t="shared" si="157"/>
        <v/>
      </c>
    </row>
    <row r="5329" spans="37:44" ht="30" hidden="1" customHeight="1">
      <c r="AK5329" s="313"/>
      <c r="AL5329" s="313"/>
      <c r="AM5329" s="313"/>
      <c r="AN5329" s="313"/>
      <c r="AO5329" s="313"/>
      <c r="AP5329" s="313"/>
      <c r="AQ5329" s="314"/>
      <c r="AR5329" s="315" t="str">
        <f t="shared" si="157"/>
        <v/>
      </c>
    </row>
    <row r="5330" spans="37:44" ht="30" hidden="1" customHeight="1">
      <c r="AK5330" s="313"/>
      <c r="AL5330" s="313"/>
      <c r="AM5330" s="313"/>
      <c r="AN5330" s="313"/>
      <c r="AO5330" s="313"/>
      <c r="AP5330" s="313"/>
      <c r="AQ5330" s="314"/>
      <c r="AR5330" s="315" t="str">
        <f t="shared" si="157"/>
        <v/>
      </c>
    </row>
    <row r="5331" spans="37:44" ht="30" hidden="1" customHeight="1">
      <c r="AK5331" s="313"/>
      <c r="AL5331" s="313"/>
      <c r="AM5331" s="313"/>
      <c r="AN5331" s="313"/>
      <c r="AO5331" s="313"/>
      <c r="AP5331" s="313"/>
      <c r="AQ5331" s="314"/>
      <c r="AR5331" s="315" t="str">
        <f t="shared" si="157"/>
        <v/>
      </c>
    </row>
    <row r="5332" spans="37:44" ht="30" hidden="1" customHeight="1">
      <c r="AK5332" s="313"/>
      <c r="AL5332" s="313"/>
      <c r="AM5332" s="313"/>
      <c r="AN5332" s="313"/>
      <c r="AO5332" s="313"/>
      <c r="AP5332" s="313"/>
      <c r="AQ5332" s="314"/>
      <c r="AR5332" s="315" t="str">
        <f t="shared" si="157"/>
        <v/>
      </c>
    </row>
    <row r="5333" spans="37:44" ht="30" hidden="1" customHeight="1">
      <c r="AK5333" s="313"/>
      <c r="AL5333" s="313"/>
      <c r="AM5333" s="313"/>
      <c r="AN5333" s="313"/>
      <c r="AO5333" s="313"/>
      <c r="AP5333" s="313"/>
      <c r="AQ5333" s="314"/>
      <c r="AR5333" s="315" t="str">
        <f t="shared" si="157"/>
        <v/>
      </c>
    </row>
    <row r="5334" spans="37:44" ht="30" hidden="1" customHeight="1">
      <c r="AK5334" s="313"/>
      <c r="AL5334" s="313"/>
      <c r="AM5334" s="313"/>
      <c r="AN5334" s="313"/>
      <c r="AO5334" s="313"/>
      <c r="AP5334" s="313"/>
      <c r="AQ5334" s="314"/>
      <c r="AR5334" s="315" t="str">
        <f t="shared" si="157"/>
        <v/>
      </c>
    </row>
    <row r="5335" spans="37:44" ht="30" hidden="1" customHeight="1">
      <c r="AK5335" s="313"/>
      <c r="AL5335" s="313"/>
      <c r="AM5335" s="313"/>
      <c r="AN5335" s="313"/>
      <c r="AO5335" s="313"/>
      <c r="AP5335" s="313"/>
      <c r="AQ5335" s="314"/>
      <c r="AR5335" s="315" t="str">
        <f t="shared" si="157"/>
        <v/>
      </c>
    </row>
    <row r="5336" spans="37:44" ht="30" hidden="1" customHeight="1">
      <c r="AK5336" s="313"/>
      <c r="AL5336" s="313"/>
      <c r="AM5336" s="313"/>
      <c r="AN5336" s="313"/>
      <c r="AO5336" s="313"/>
      <c r="AP5336" s="313"/>
      <c r="AQ5336" s="314"/>
      <c r="AR5336" s="315" t="str">
        <f t="shared" si="157"/>
        <v/>
      </c>
    </row>
    <row r="5337" spans="37:44" ht="30" hidden="1" customHeight="1">
      <c r="AK5337" s="313"/>
      <c r="AL5337" s="313"/>
      <c r="AM5337" s="313"/>
      <c r="AN5337" s="313"/>
      <c r="AO5337" s="313"/>
      <c r="AP5337" s="313"/>
      <c r="AQ5337" s="314"/>
      <c r="AR5337" s="315" t="str">
        <f t="shared" si="157"/>
        <v/>
      </c>
    </row>
    <row r="5338" spans="37:44" ht="30" hidden="1" customHeight="1">
      <c r="AK5338" s="313"/>
      <c r="AL5338" s="313"/>
      <c r="AM5338" s="313"/>
      <c r="AN5338" s="313"/>
      <c r="AO5338" s="313"/>
      <c r="AP5338" s="313"/>
      <c r="AQ5338" s="314"/>
      <c r="AR5338" s="315" t="str">
        <f t="shared" si="157"/>
        <v/>
      </c>
    </row>
    <row r="5339" spans="37:44" ht="30" hidden="1" customHeight="1">
      <c r="AK5339" s="313"/>
      <c r="AL5339" s="313"/>
      <c r="AM5339" s="313"/>
      <c r="AN5339" s="313"/>
      <c r="AO5339" s="313"/>
      <c r="AP5339" s="313"/>
      <c r="AQ5339" s="314"/>
      <c r="AR5339" s="315" t="str">
        <f t="shared" si="157"/>
        <v/>
      </c>
    </row>
    <row r="5340" spans="37:44" ht="30" hidden="1" customHeight="1">
      <c r="AK5340" s="313"/>
      <c r="AL5340" s="313"/>
      <c r="AM5340" s="313"/>
      <c r="AN5340" s="313"/>
      <c r="AO5340" s="313"/>
      <c r="AP5340" s="313"/>
      <c r="AQ5340" s="314"/>
      <c r="AR5340" s="315" t="str">
        <f t="shared" si="157"/>
        <v/>
      </c>
    </row>
    <row r="5341" spans="37:44" ht="30" hidden="1" customHeight="1">
      <c r="AK5341" s="313"/>
      <c r="AL5341" s="313"/>
      <c r="AM5341" s="313"/>
      <c r="AN5341" s="313"/>
      <c r="AO5341" s="313"/>
      <c r="AP5341" s="313"/>
      <c r="AQ5341" s="314"/>
      <c r="AR5341" s="315" t="str">
        <f t="shared" si="157"/>
        <v/>
      </c>
    </row>
    <row r="5342" spans="37:44" ht="30" hidden="1" customHeight="1">
      <c r="AK5342" s="313"/>
      <c r="AL5342" s="313"/>
      <c r="AM5342" s="313"/>
      <c r="AN5342" s="313"/>
      <c r="AO5342" s="313"/>
      <c r="AP5342" s="313"/>
      <c r="AQ5342" s="314"/>
      <c r="AR5342" s="315" t="str">
        <f t="shared" si="157"/>
        <v/>
      </c>
    </row>
    <row r="5343" spans="37:44" ht="30" hidden="1" customHeight="1">
      <c r="AK5343" s="313"/>
      <c r="AL5343" s="313"/>
      <c r="AM5343" s="313"/>
      <c r="AN5343" s="313"/>
      <c r="AO5343" s="313"/>
      <c r="AP5343" s="313"/>
      <c r="AQ5343" s="314"/>
      <c r="AR5343" s="315" t="str">
        <f t="shared" si="157"/>
        <v/>
      </c>
    </row>
    <row r="5344" spans="37:44" ht="30" hidden="1" customHeight="1">
      <c r="AK5344" s="313"/>
      <c r="AL5344" s="313"/>
      <c r="AM5344" s="313"/>
      <c r="AN5344" s="313"/>
      <c r="AO5344" s="313"/>
      <c r="AP5344" s="313"/>
      <c r="AQ5344" s="314"/>
      <c r="AR5344" s="315" t="str">
        <f t="shared" si="157"/>
        <v/>
      </c>
    </row>
    <row r="5345" spans="37:44" ht="30" hidden="1" customHeight="1">
      <c r="AK5345" s="313"/>
      <c r="AL5345" s="313"/>
      <c r="AM5345" s="313"/>
      <c r="AN5345" s="313"/>
      <c r="AO5345" s="313"/>
      <c r="AP5345" s="313"/>
      <c r="AQ5345" s="314"/>
      <c r="AR5345" s="315" t="str">
        <f t="shared" si="157"/>
        <v/>
      </c>
    </row>
    <row r="5346" spans="37:44" ht="30" hidden="1" customHeight="1">
      <c r="AK5346" s="313"/>
      <c r="AL5346" s="313"/>
      <c r="AM5346" s="313"/>
      <c r="AN5346" s="313"/>
      <c r="AO5346" s="313"/>
      <c r="AP5346" s="313"/>
      <c r="AQ5346" s="314"/>
      <c r="AR5346" s="315" t="str">
        <f t="shared" si="157"/>
        <v/>
      </c>
    </row>
    <row r="5347" spans="37:44" ht="30" hidden="1" customHeight="1">
      <c r="AK5347" s="313"/>
      <c r="AL5347" s="313"/>
      <c r="AM5347" s="313"/>
      <c r="AN5347" s="313"/>
      <c r="AO5347" s="313"/>
      <c r="AP5347" s="313"/>
      <c r="AQ5347" s="314"/>
      <c r="AR5347" s="315" t="str">
        <f t="shared" si="157"/>
        <v/>
      </c>
    </row>
    <row r="5348" spans="37:44" ht="30" hidden="1" customHeight="1">
      <c r="AK5348" s="313"/>
      <c r="AL5348" s="313"/>
      <c r="AM5348" s="313"/>
      <c r="AN5348" s="313"/>
      <c r="AO5348" s="313"/>
      <c r="AP5348" s="313"/>
      <c r="AQ5348" s="314"/>
      <c r="AR5348" s="315" t="str">
        <f t="shared" si="157"/>
        <v/>
      </c>
    </row>
    <row r="5349" spans="37:44" ht="30" hidden="1" customHeight="1">
      <c r="AK5349" s="313"/>
      <c r="AL5349" s="313"/>
      <c r="AM5349" s="313"/>
      <c r="AN5349" s="313"/>
      <c r="AO5349" s="313"/>
      <c r="AP5349" s="313"/>
      <c r="AQ5349" s="314"/>
      <c r="AR5349" s="315" t="str">
        <f t="shared" si="157"/>
        <v/>
      </c>
    </row>
    <row r="5350" spans="37:44" ht="30" hidden="1" customHeight="1">
      <c r="AK5350" s="313"/>
      <c r="AL5350" s="313"/>
      <c r="AM5350" s="313"/>
      <c r="AN5350" s="313"/>
      <c r="AO5350" s="313"/>
      <c r="AP5350" s="313"/>
      <c r="AQ5350" s="314"/>
      <c r="AR5350" s="315" t="str">
        <f t="shared" si="157"/>
        <v/>
      </c>
    </row>
    <row r="5351" spans="37:44" ht="30" hidden="1" customHeight="1">
      <c r="AK5351" s="313"/>
      <c r="AL5351" s="313"/>
      <c r="AM5351" s="313"/>
      <c r="AN5351" s="313"/>
      <c r="AO5351" s="313"/>
      <c r="AP5351" s="313"/>
      <c r="AQ5351" s="314"/>
      <c r="AR5351" s="315" t="str">
        <f t="shared" si="157"/>
        <v/>
      </c>
    </row>
    <row r="5352" spans="37:44" ht="30" hidden="1" customHeight="1">
      <c r="AK5352" s="313"/>
      <c r="AL5352" s="313"/>
      <c r="AM5352" s="313"/>
      <c r="AN5352" s="313"/>
      <c r="AO5352" s="313"/>
      <c r="AP5352" s="313"/>
      <c r="AQ5352" s="314"/>
      <c r="AR5352" s="315" t="str">
        <f t="shared" si="157"/>
        <v/>
      </c>
    </row>
    <row r="5353" spans="37:44" ht="30" hidden="1" customHeight="1">
      <c r="AK5353" s="313"/>
      <c r="AL5353" s="313"/>
      <c r="AM5353" s="313"/>
      <c r="AN5353" s="313"/>
      <c r="AO5353" s="313"/>
      <c r="AP5353" s="313"/>
      <c r="AQ5353" s="314"/>
      <c r="AR5353" s="315" t="str">
        <f t="shared" si="157"/>
        <v/>
      </c>
    </row>
    <row r="5354" spans="37:44" ht="30" customHeight="1">
      <c r="AK5354" s="318"/>
      <c r="AL5354" s="318"/>
      <c r="AM5354" s="318"/>
      <c r="AN5354" s="318"/>
      <c r="AO5354" s="318"/>
      <c r="AP5354" s="318"/>
      <c r="AQ5354" s="318"/>
      <c r="AR5354" s="319"/>
    </row>
    <row r="5355" spans="37:44" ht="30" customHeight="1">
      <c r="AK5355" s="318"/>
      <c r="AL5355" s="318"/>
      <c r="AM5355" s="318"/>
      <c r="AN5355" s="318"/>
      <c r="AO5355" s="318"/>
      <c r="AP5355" s="318"/>
      <c r="AQ5355" s="318"/>
      <c r="AR5355" s="319"/>
    </row>
    <row r="5356" spans="37:44" ht="30" customHeight="1">
      <c r="AK5356" s="318"/>
      <c r="AL5356" s="318"/>
      <c r="AM5356" s="318"/>
      <c r="AN5356" s="318"/>
      <c r="AO5356" s="318"/>
      <c r="AP5356" s="318"/>
      <c r="AQ5356" s="318"/>
      <c r="AR5356" s="319"/>
    </row>
    <row r="5357" spans="37:44" ht="30" customHeight="1">
      <c r="AK5357" s="318"/>
      <c r="AL5357" s="318"/>
      <c r="AM5357" s="318"/>
      <c r="AN5357" s="318"/>
      <c r="AO5357" s="318"/>
      <c r="AP5357" s="318"/>
      <c r="AQ5357" s="318"/>
      <c r="AR5357" s="319"/>
    </row>
    <row r="5358" spans="37:44" ht="30" customHeight="1">
      <c r="AK5358" s="318"/>
      <c r="AL5358" s="318"/>
      <c r="AM5358" s="318"/>
      <c r="AN5358" s="318"/>
      <c r="AO5358" s="318"/>
      <c r="AP5358" s="318"/>
      <c r="AQ5358" s="318"/>
      <c r="AR5358" s="319"/>
    </row>
    <row r="5359" spans="37:44" ht="30" customHeight="1">
      <c r="AK5359" s="318"/>
      <c r="AL5359" s="318"/>
      <c r="AM5359" s="318"/>
      <c r="AN5359" s="318"/>
      <c r="AO5359" s="318"/>
      <c r="AP5359" s="318"/>
      <c r="AQ5359" s="318"/>
      <c r="AR5359" s="319"/>
    </row>
    <row r="5360" spans="37:44" ht="30" customHeight="1">
      <c r="AK5360" s="318"/>
      <c r="AL5360" s="318"/>
      <c r="AM5360" s="318"/>
      <c r="AN5360" s="318"/>
      <c r="AO5360" s="318"/>
      <c r="AP5360" s="318"/>
      <c r="AQ5360" s="318"/>
      <c r="AR5360" s="319"/>
    </row>
    <row r="5361" spans="37:44" ht="30" customHeight="1">
      <c r="AK5361" s="318"/>
      <c r="AL5361" s="318"/>
      <c r="AM5361" s="318"/>
      <c r="AN5361" s="318"/>
      <c r="AO5361" s="318"/>
      <c r="AP5361" s="318"/>
      <c r="AQ5361" s="318"/>
      <c r="AR5361" s="319"/>
    </row>
    <row r="5362" spans="37:44" ht="30" customHeight="1">
      <c r="AK5362" s="318"/>
      <c r="AL5362" s="318"/>
      <c r="AM5362" s="318"/>
      <c r="AN5362" s="318"/>
      <c r="AO5362" s="318"/>
      <c r="AP5362" s="318"/>
      <c r="AQ5362" s="318"/>
      <c r="AR5362" s="319"/>
    </row>
    <row r="5363" spans="37:44" ht="30" customHeight="1">
      <c r="AK5363" s="318"/>
      <c r="AL5363" s="318"/>
      <c r="AM5363" s="318"/>
      <c r="AN5363" s="318"/>
      <c r="AO5363" s="318"/>
      <c r="AP5363" s="318"/>
      <c r="AQ5363" s="318"/>
      <c r="AR5363" s="319"/>
    </row>
    <row r="5364" spans="37:44" ht="30" customHeight="1">
      <c r="AK5364" s="318"/>
      <c r="AL5364" s="318"/>
      <c r="AM5364" s="318"/>
      <c r="AN5364" s="318"/>
      <c r="AO5364" s="318"/>
      <c r="AP5364" s="318"/>
      <c r="AQ5364" s="318"/>
      <c r="AR5364" s="319"/>
    </row>
    <row r="5365" spans="37:44" ht="30" customHeight="1">
      <c r="AK5365" s="318"/>
      <c r="AL5365" s="318"/>
      <c r="AM5365" s="318"/>
      <c r="AN5365" s="318"/>
      <c r="AO5365" s="318"/>
      <c r="AP5365" s="318"/>
      <c r="AQ5365" s="318"/>
      <c r="AR5365" s="319"/>
    </row>
    <row r="5366" spans="37:44" ht="30" customHeight="1">
      <c r="AK5366" s="318"/>
      <c r="AL5366" s="318"/>
      <c r="AM5366" s="318"/>
      <c r="AN5366" s="318"/>
      <c r="AO5366" s="318"/>
      <c r="AP5366" s="318"/>
      <c r="AQ5366" s="318"/>
      <c r="AR5366" s="319"/>
    </row>
    <row r="5367" spans="37:44" ht="30" customHeight="1">
      <c r="AK5367" s="318"/>
      <c r="AL5367" s="318"/>
      <c r="AM5367" s="318"/>
      <c r="AN5367" s="318"/>
      <c r="AO5367" s="318"/>
      <c r="AP5367" s="318"/>
      <c r="AQ5367" s="318"/>
      <c r="AR5367" s="319"/>
    </row>
    <row r="5368" spans="37:44" ht="30" customHeight="1">
      <c r="AK5368" s="318"/>
      <c r="AL5368" s="318"/>
      <c r="AM5368" s="318"/>
      <c r="AN5368" s="318"/>
      <c r="AO5368" s="318"/>
      <c r="AP5368" s="318"/>
      <c r="AQ5368" s="318"/>
      <c r="AR5368" s="319"/>
    </row>
    <row r="5369" spans="37:44" ht="30" customHeight="1">
      <c r="AK5369" s="318"/>
      <c r="AL5369" s="318"/>
      <c r="AM5369" s="318"/>
      <c r="AN5369" s="318"/>
      <c r="AO5369" s="318"/>
      <c r="AP5369" s="318"/>
      <c r="AQ5369" s="318"/>
      <c r="AR5369" s="319"/>
    </row>
    <row r="5370" spans="37:44" ht="30" customHeight="1">
      <c r="AK5370" s="318"/>
      <c r="AL5370" s="318"/>
      <c r="AM5370" s="318"/>
      <c r="AN5370" s="318"/>
      <c r="AO5370" s="318"/>
      <c r="AP5370" s="318"/>
      <c r="AQ5370" s="318"/>
      <c r="AR5370" s="319"/>
    </row>
    <row r="5371" spans="37:44" ht="30" customHeight="1">
      <c r="AK5371" s="318"/>
      <c r="AL5371" s="318"/>
      <c r="AM5371" s="318"/>
      <c r="AN5371" s="318"/>
      <c r="AO5371" s="318"/>
      <c r="AP5371" s="318"/>
      <c r="AQ5371" s="318"/>
      <c r="AR5371" s="319"/>
    </row>
    <row r="5372" spans="37:44" ht="30" customHeight="1">
      <c r="AK5372" s="318"/>
      <c r="AL5372" s="318"/>
      <c r="AM5372" s="318"/>
      <c r="AN5372" s="318"/>
      <c r="AO5372" s="318"/>
      <c r="AP5372" s="318"/>
      <c r="AQ5372" s="318"/>
      <c r="AR5372" s="319"/>
    </row>
    <row r="5373" spans="37:44" ht="30" customHeight="1">
      <c r="AK5373" s="318"/>
      <c r="AL5373" s="318"/>
      <c r="AM5373" s="318"/>
      <c r="AN5373" s="318"/>
      <c r="AO5373" s="318"/>
      <c r="AP5373" s="318"/>
      <c r="AQ5373" s="318"/>
      <c r="AR5373" s="319"/>
    </row>
    <row r="5374" spans="37:44" ht="30" customHeight="1">
      <c r="AK5374" s="318"/>
      <c r="AL5374" s="318"/>
      <c r="AM5374" s="318"/>
      <c r="AN5374" s="318"/>
      <c r="AO5374" s="318"/>
      <c r="AP5374" s="318"/>
      <c r="AQ5374" s="318"/>
      <c r="AR5374" s="319"/>
    </row>
    <row r="5375" spans="37:44" ht="30" customHeight="1">
      <c r="AK5375" s="318"/>
      <c r="AL5375" s="318"/>
      <c r="AM5375" s="318"/>
      <c r="AN5375" s="318"/>
      <c r="AO5375" s="318"/>
      <c r="AP5375" s="318"/>
      <c r="AQ5375" s="318"/>
      <c r="AR5375" s="319"/>
    </row>
    <row r="5376" spans="37:44" ht="30" customHeight="1">
      <c r="AK5376" s="318"/>
      <c r="AL5376" s="318"/>
      <c r="AM5376" s="318"/>
      <c r="AN5376" s="318"/>
      <c r="AO5376" s="318"/>
      <c r="AP5376" s="318"/>
      <c r="AQ5376" s="318"/>
      <c r="AR5376" s="319"/>
    </row>
    <row r="5377" spans="37:44" ht="30" customHeight="1">
      <c r="AK5377" s="318"/>
      <c r="AL5377" s="318"/>
      <c r="AM5377" s="318"/>
      <c r="AN5377" s="318"/>
      <c r="AO5377" s="318"/>
      <c r="AP5377" s="318"/>
      <c r="AQ5377" s="318"/>
      <c r="AR5377" s="319"/>
    </row>
    <row r="5378" spans="37:44" ht="30" customHeight="1">
      <c r="AK5378" s="318"/>
      <c r="AL5378" s="318"/>
      <c r="AM5378" s="318"/>
      <c r="AN5378" s="318"/>
      <c r="AO5378" s="318"/>
      <c r="AP5378" s="318"/>
      <c r="AQ5378" s="318"/>
      <c r="AR5378" s="319"/>
    </row>
    <row r="5379" spans="37:44" ht="30" customHeight="1">
      <c r="AK5379" s="318"/>
      <c r="AL5379" s="318"/>
      <c r="AM5379" s="318"/>
      <c r="AN5379" s="318"/>
      <c r="AO5379" s="318"/>
      <c r="AP5379" s="318"/>
      <c r="AQ5379" s="318"/>
      <c r="AR5379" s="319"/>
    </row>
    <row r="5380" spans="37:44" ht="30" customHeight="1">
      <c r="AK5380" s="318"/>
      <c r="AL5380" s="318"/>
      <c r="AM5380" s="318"/>
      <c r="AN5380" s="318"/>
      <c r="AO5380" s="318"/>
      <c r="AP5380" s="318"/>
      <c r="AQ5380" s="318"/>
      <c r="AR5380" s="319"/>
    </row>
    <row r="5381" spans="37:44" ht="30" customHeight="1">
      <c r="AK5381" s="318"/>
      <c r="AL5381" s="318"/>
      <c r="AM5381" s="318"/>
      <c r="AN5381" s="318"/>
      <c r="AO5381" s="318"/>
      <c r="AP5381" s="318"/>
      <c r="AQ5381" s="318"/>
      <c r="AR5381" s="319"/>
    </row>
    <row r="5382" spans="37:44" ht="30" customHeight="1">
      <c r="AK5382" s="318"/>
      <c r="AL5382" s="318"/>
      <c r="AM5382" s="318"/>
      <c r="AN5382" s="318"/>
      <c r="AO5382" s="318"/>
      <c r="AP5382" s="318"/>
      <c r="AQ5382" s="318"/>
      <c r="AR5382" s="319"/>
    </row>
    <row r="5383" spans="37:44" ht="30" customHeight="1">
      <c r="AK5383" s="318"/>
      <c r="AL5383" s="318"/>
      <c r="AM5383" s="318"/>
      <c r="AN5383" s="318"/>
      <c r="AO5383" s="318"/>
      <c r="AP5383" s="318"/>
      <c r="AQ5383" s="318"/>
      <c r="AR5383" s="319"/>
    </row>
    <row r="5384" spans="37:44" ht="30" customHeight="1">
      <c r="AK5384" s="318"/>
      <c r="AL5384" s="318"/>
      <c r="AM5384" s="318"/>
      <c r="AN5384" s="318"/>
      <c r="AO5384" s="318"/>
      <c r="AP5384" s="318"/>
      <c r="AQ5384" s="318"/>
      <c r="AR5384" s="319"/>
    </row>
    <row r="5385" spans="37:44" ht="30" customHeight="1">
      <c r="AK5385" s="318"/>
      <c r="AL5385" s="318"/>
      <c r="AM5385" s="318"/>
      <c r="AN5385" s="318"/>
      <c r="AO5385" s="318"/>
      <c r="AP5385" s="318"/>
      <c r="AQ5385" s="318"/>
      <c r="AR5385" s="319"/>
    </row>
    <row r="5386" spans="37:44" ht="30" customHeight="1">
      <c r="AK5386" s="318"/>
      <c r="AL5386" s="318"/>
      <c r="AM5386" s="318"/>
      <c r="AN5386" s="318"/>
      <c r="AO5386" s="318"/>
      <c r="AP5386" s="318"/>
      <c r="AQ5386" s="318"/>
      <c r="AR5386" s="319"/>
    </row>
    <row r="5387" spans="37:44" ht="30" customHeight="1">
      <c r="AK5387" s="318"/>
      <c r="AL5387" s="318"/>
      <c r="AM5387" s="318"/>
      <c r="AN5387" s="318"/>
      <c r="AO5387" s="318"/>
      <c r="AP5387" s="318"/>
      <c r="AQ5387" s="318"/>
      <c r="AR5387" s="319"/>
    </row>
    <row r="5388" spans="37:44" ht="30" customHeight="1">
      <c r="AK5388" s="318"/>
      <c r="AL5388" s="318"/>
      <c r="AM5388" s="318"/>
      <c r="AN5388" s="318"/>
      <c r="AO5388" s="318"/>
      <c r="AP5388" s="318"/>
      <c r="AQ5388" s="318"/>
      <c r="AR5388" s="319"/>
    </row>
    <row r="5389" spans="37:44" ht="30" customHeight="1">
      <c r="AK5389" s="318"/>
      <c r="AL5389" s="318"/>
      <c r="AM5389" s="318"/>
      <c r="AN5389" s="318"/>
      <c r="AO5389" s="318"/>
      <c r="AP5389" s="318"/>
      <c r="AQ5389" s="318"/>
      <c r="AR5389" s="319"/>
    </row>
    <row r="5390" spans="37:44" ht="30" customHeight="1">
      <c r="AK5390" s="318"/>
      <c r="AL5390" s="318"/>
      <c r="AM5390" s="318"/>
      <c r="AN5390" s="318"/>
      <c r="AO5390" s="318"/>
      <c r="AP5390" s="318"/>
      <c r="AQ5390" s="318"/>
      <c r="AR5390" s="319"/>
    </row>
    <row r="5391" spans="37:44" ht="30" customHeight="1">
      <c r="AK5391" s="318"/>
      <c r="AL5391" s="318"/>
      <c r="AM5391" s="318"/>
      <c r="AN5391" s="318"/>
      <c r="AO5391" s="318"/>
      <c r="AP5391" s="318"/>
      <c r="AQ5391" s="318"/>
      <c r="AR5391" s="319"/>
    </row>
    <row r="5392" spans="37:44" ht="30" customHeight="1">
      <c r="AK5392" s="318"/>
      <c r="AL5392" s="318"/>
      <c r="AM5392" s="318"/>
      <c r="AN5392" s="318"/>
      <c r="AO5392" s="318"/>
      <c r="AP5392" s="318"/>
      <c r="AQ5392" s="318"/>
      <c r="AR5392" s="319"/>
    </row>
    <row r="5393" spans="37:44" ht="30" customHeight="1">
      <c r="AK5393" s="318"/>
      <c r="AL5393" s="318"/>
      <c r="AM5393" s="318"/>
      <c r="AN5393" s="318"/>
      <c r="AO5393" s="318"/>
      <c r="AP5393" s="318"/>
      <c r="AQ5393" s="318"/>
      <c r="AR5393" s="319"/>
    </row>
    <row r="5394" spans="37:44" ht="30" customHeight="1">
      <c r="AK5394" s="318"/>
      <c r="AL5394" s="318"/>
      <c r="AM5394" s="318"/>
      <c r="AN5394" s="318"/>
      <c r="AO5394" s="318"/>
      <c r="AP5394" s="318"/>
      <c r="AQ5394" s="318"/>
      <c r="AR5394" s="319"/>
    </row>
    <row r="5395" spans="37:44" ht="30" customHeight="1">
      <c r="AK5395" s="318"/>
      <c r="AL5395" s="318"/>
      <c r="AM5395" s="318"/>
      <c r="AN5395" s="318"/>
      <c r="AO5395" s="318"/>
      <c r="AP5395" s="318"/>
      <c r="AQ5395" s="318"/>
      <c r="AR5395" s="319"/>
    </row>
    <row r="5396" spans="37:44" ht="30" customHeight="1">
      <c r="AK5396" s="318"/>
      <c r="AL5396" s="318"/>
      <c r="AM5396" s="318"/>
      <c r="AN5396" s="318"/>
      <c r="AO5396" s="318"/>
      <c r="AP5396" s="318"/>
      <c r="AQ5396" s="318"/>
      <c r="AR5396" s="319"/>
    </row>
    <row r="5397" spans="37:44" ht="30" customHeight="1">
      <c r="AK5397" s="318"/>
      <c r="AL5397" s="318"/>
      <c r="AM5397" s="318"/>
      <c r="AN5397" s="318"/>
      <c r="AO5397" s="318"/>
      <c r="AP5397" s="318"/>
      <c r="AQ5397" s="318"/>
      <c r="AR5397" s="319"/>
    </row>
    <row r="5398" spans="37:44" ht="30" customHeight="1">
      <c r="AK5398" s="318"/>
      <c r="AL5398" s="318"/>
      <c r="AM5398" s="318"/>
      <c r="AN5398" s="318"/>
      <c r="AO5398" s="318"/>
      <c r="AP5398" s="318"/>
      <c r="AQ5398" s="318"/>
      <c r="AR5398" s="319"/>
    </row>
    <row r="5399" spans="37:44" ht="30" customHeight="1">
      <c r="AK5399" s="318"/>
      <c r="AL5399" s="318"/>
      <c r="AM5399" s="318"/>
      <c r="AN5399" s="318"/>
      <c r="AO5399" s="318"/>
      <c r="AP5399" s="318"/>
      <c r="AQ5399" s="318"/>
      <c r="AR5399" s="319"/>
    </row>
    <row r="5400" spans="37:44" ht="30" customHeight="1">
      <c r="AK5400" s="318"/>
      <c r="AL5400" s="318"/>
      <c r="AM5400" s="318"/>
      <c r="AN5400" s="318"/>
      <c r="AO5400" s="318"/>
      <c r="AP5400" s="318"/>
      <c r="AQ5400" s="318"/>
      <c r="AR5400" s="319"/>
    </row>
    <row r="5401" spans="37:44" ht="30" customHeight="1">
      <c r="AK5401" s="318"/>
      <c r="AL5401" s="318"/>
      <c r="AM5401" s="318"/>
      <c r="AN5401" s="318"/>
      <c r="AO5401" s="318"/>
      <c r="AP5401" s="318"/>
      <c r="AQ5401" s="318"/>
      <c r="AR5401" s="319"/>
    </row>
    <row r="5402" spans="37:44" ht="30" customHeight="1">
      <c r="AK5402" s="318"/>
      <c r="AL5402" s="318"/>
      <c r="AM5402" s="318"/>
      <c r="AN5402" s="318"/>
      <c r="AO5402" s="318"/>
      <c r="AP5402" s="318"/>
      <c r="AQ5402" s="318"/>
      <c r="AR5402" s="319"/>
    </row>
    <row r="5403" spans="37:44" ht="30" customHeight="1">
      <c r="AK5403" s="318"/>
      <c r="AL5403" s="318"/>
      <c r="AM5403" s="318"/>
      <c r="AN5403" s="318"/>
      <c r="AO5403" s="318"/>
      <c r="AP5403" s="318"/>
      <c r="AQ5403" s="318"/>
      <c r="AR5403" s="319"/>
    </row>
    <row r="5404" spans="37:44" ht="30" customHeight="1">
      <c r="AK5404" s="318"/>
      <c r="AL5404" s="318"/>
      <c r="AM5404" s="318"/>
      <c r="AN5404" s="318"/>
      <c r="AO5404" s="318"/>
      <c r="AP5404" s="318"/>
      <c r="AQ5404" s="318"/>
      <c r="AR5404" s="319"/>
    </row>
    <row r="5405" spans="37:44" ht="30" customHeight="1">
      <c r="AK5405" s="318"/>
      <c r="AL5405" s="318"/>
      <c r="AM5405" s="318"/>
      <c r="AN5405" s="318"/>
      <c r="AO5405" s="318"/>
      <c r="AP5405" s="318"/>
      <c r="AQ5405" s="318"/>
      <c r="AR5405" s="319"/>
    </row>
    <row r="5406" spans="37:44" ht="30" customHeight="1">
      <c r="AK5406" s="318"/>
      <c r="AL5406" s="318"/>
      <c r="AM5406" s="318"/>
      <c r="AN5406" s="318"/>
      <c r="AO5406" s="318"/>
      <c r="AP5406" s="318"/>
      <c r="AQ5406" s="318"/>
      <c r="AR5406" s="319"/>
    </row>
    <row r="5407" spans="37:44" ht="30" customHeight="1">
      <c r="AK5407" s="318"/>
      <c r="AL5407" s="318"/>
      <c r="AM5407" s="318"/>
      <c r="AN5407" s="318"/>
      <c r="AO5407" s="318"/>
      <c r="AP5407" s="318"/>
      <c r="AQ5407" s="318"/>
      <c r="AR5407" s="319"/>
    </row>
    <row r="5408" spans="37:44" ht="30" customHeight="1">
      <c r="AK5408" s="318"/>
      <c r="AL5408" s="318"/>
      <c r="AM5408" s="318"/>
      <c r="AN5408" s="318"/>
      <c r="AO5408" s="318"/>
      <c r="AP5408" s="318"/>
      <c r="AQ5408" s="318"/>
      <c r="AR5408" s="319"/>
    </row>
    <row r="5409" spans="37:44" ht="30" customHeight="1">
      <c r="AK5409" s="318"/>
      <c r="AL5409" s="318"/>
      <c r="AM5409" s="318"/>
      <c r="AN5409" s="318"/>
      <c r="AO5409" s="318"/>
      <c r="AP5409" s="318"/>
      <c r="AQ5409" s="318"/>
      <c r="AR5409" s="319"/>
    </row>
    <row r="5410" spans="37:44" ht="30" customHeight="1">
      <c r="AK5410" s="318"/>
      <c r="AL5410" s="318"/>
      <c r="AM5410" s="318"/>
      <c r="AN5410" s="318"/>
      <c r="AO5410" s="318"/>
      <c r="AP5410" s="318"/>
      <c r="AQ5410" s="318"/>
      <c r="AR5410" s="319"/>
    </row>
    <row r="5411" spans="37:44" ht="30" customHeight="1">
      <c r="AK5411" s="318"/>
      <c r="AL5411" s="318"/>
      <c r="AM5411" s="318"/>
      <c r="AN5411" s="318"/>
      <c r="AO5411" s="318"/>
      <c r="AP5411" s="318"/>
      <c r="AQ5411" s="318"/>
      <c r="AR5411" s="319"/>
    </row>
    <row r="5412" spans="37:44" ht="30" customHeight="1">
      <c r="AK5412" s="318"/>
      <c r="AL5412" s="318"/>
      <c r="AM5412" s="318"/>
      <c r="AN5412" s="318"/>
      <c r="AO5412" s="318"/>
      <c r="AP5412" s="318"/>
      <c r="AQ5412" s="318"/>
      <c r="AR5412" s="319"/>
    </row>
    <row r="5413" spans="37:44" ht="30" customHeight="1">
      <c r="AK5413" s="318"/>
      <c r="AL5413" s="318"/>
      <c r="AM5413" s="318"/>
      <c r="AN5413" s="318"/>
      <c r="AO5413" s="318"/>
      <c r="AP5413" s="318"/>
      <c r="AQ5413" s="318"/>
      <c r="AR5413" s="319"/>
    </row>
    <row r="5414" spans="37:44" ht="30" customHeight="1">
      <c r="AK5414" s="318"/>
      <c r="AL5414" s="318"/>
      <c r="AM5414" s="318"/>
      <c r="AN5414" s="318"/>
      <c r="AO5414" s="318"/>
      <c r="AP5414" s="318"/>
      <c r="AQ5414" s="318"/>
      <c r="AR5414" s="319"/>
    </row>
    <row r="5415" spans="37:44" ht="30" customHeight="1">
      <c r="AK5415" s="318"/>
      <c r="AL5415" s="318"/>
      <c r="AM5415" s="318"/>
      <c r="AN5415" s="318"/>
      <c r="AO5415" s="318"/>
      <c r="AP5415" s="318"/>
      <c r="AQ5415" s="318"/>
      <c r="AR5415" s="319"/>
    </row>
    <row r="5416" spans="37:44" ht="30" customHeight="1">
      <c r="AK5416" s="318"/>
      <c r="AL5416" s="318"/>
      <c r="AM5416" s="318"/>
      <c r="AN5416" s="318"/>
      <c r="AO5416" s="318"/>
      <c r="AP5416" s="318"/>
      <c r="AQ5416" s="318"/>
      <c r="AR5416" s="319"/>
    </row>
    <row r="5417" spans="37:44" ht="30" customHeight="1">
      <c r="AK5417" s="318"/>
      <c r="AL5417" s="318"/>
      <c r="AM5417" s="318"/>
      <c r="AN5417" s="318"/>
      <c r="AO5417" s="318"/>
      <c r="AP5417" s="318"/>
      <c r="AQ5417" s="318"/>
      <c r="AR5417" s="319"/>
    </row>
    <row r="5418" spans="37:44" ht="30" customHeight="1">
      <c r="AK5418" s="318"/>
      <c r="AL5418" s="318"/>
      <c r="AM5418" s="318"/>
      <c r="AN5418" s="318"/>
      <c r="AO5418" s="318"/>
      <c r="AP5418" s="318"/>
      <c r="AQ5418" s="318"/>
      <c r="AR5418" s="319"/>
    </row>
    <row r="5419" spans="37:44" ht="30" customHeight="1">
      <c r="AK5419" s="318"/>
      <c r="AL5419" s="318"/>
      <c r="AM5419" s="318"/>
      <c r="AN5419" s="318"/>
      <c r="AO5419" s="318"/>
      <c r="AP5419" s="318"/>
      <c r="AQ5419" s="318"/>
      <c r="AR5419" s="319"/>
    </row>
    <row r="5420" spans="37:44" ht="30" customHeight="1">
      <c r="AK5420" s="318"/>
      <c r="AL5420" s="318"/>
      <c r="AM5420" s="318"/>
      <c r="AN5420" s="318"/>
      <c r="AO5420" s="318"/>
      <c r="AP5420" s="318"/>
      <c r="AQ5420" s="318"/>
      <c r="AR5420" s="319"/>
    </row>
    <row r="5421" spans="37:44" ht="30" customHeight="1">
      <c r="AK5421" s="318"/>
      <c r="AL5421" s="318"/>
      <c r="AM5421" s="318"/>
      <c r="AN5421" s="318"/>
      <c r="AO5421" s="318"/>
      <c r="AP5421" s="318"/>
      <c r="AQ5421" s="318"/>
      <c r="AR5421" s="319"/>
    </row>
    <row r="5422" spans="37:44" ht="30" customHeight="1">
      <c r="AK5422" s="318"/>
      <c r="AL5422" s="318"/>
      <c r="AM5422" s="318"/>
      <c r="AN5422" s="318"/>
      <c r="AO5422" s="318"/>
      <c r="AP5422" s="318"/>
      <c r="AQ5422" s="318"/>
      <c r="AR5422" s="319"/>
    </row>
    <row r="5423" spans="37:44" ht="30" customHeight="1">
      <c r="AK5423" s="318"/>
      <c r="AL5423" s="318"/>
      <c r="AM5423" s="318"/>
      <c r="AN5423" s="318"/>
      <c r="AO5423" s="318"/>
      <c r="AP5423" s="318"/>
      <c r="AQ5423" s="318"/>
      <c r="AR5423" s="319"/>
    </row>
    <row r="5424" spans="37:44" ht="30" customHeight="1">
      <c r="AK5424" s="318"/>
      <c r="AL5424" s="318"/>
      <c r="AM5424" s="318"/>
      <c r="AN5424" s="318"/>
      <c r="AO5424" s="318"/>
      <c r="AP5424" s="318"/>
      <c r="AQ5424" s="318"/>
      <c r="AR5424" s="319"/>
    </row>
    <row r="5425" spans="37:44" ht="30" customHeight="1">
      <c r="AK5425" s="318"/>
      <c r="AL5425" s="318"/>
      <c r="AM5425" s="318"/>
      <c r="AN5425" s="318"/>
      <c r="AO5425" s="318"/>
      <c r="AP5425" s="318"/>
      <c r="AQ5425" s="318"/>
      <c r="AR5425" s="319"/>
    </row>
    <row r="5426" spans="37:44" ht="30" customHeight="1">
      <c r="AK5426" s="318"/>
      <c r="AL5426" s="318"/>
      <c r="AM5426" s="318"/>
      <c r="AN5426" s="318"/>
      <c r="AO5426" s="318"/>
      <c r="AP5426" s="318"/>
      <c r="AQ5426" s="318"/>
      <c r="AR5426" s="319"/>
    </row>
    <row r="5427" spans="37:44" ht="30" customHeight="1">
      <c r="AK5427" s="318"/>
      <c r="AL5427" s="318"/>
      <c r="AM5427" s="318"/>
      <c r="AN5427" s="318"/>
      <c r="AO5427" s="318"/>
      <c r="AP5427" s="318"/>
      <c r="AQ5427" s="318"/>
      <c r="AR5427" s="319"/>
    </row>
    <row r="5428" spans="37:44" ht="30" customHeight="1">
      <c r="AK5428" s="318"/>
      <c r="AL5428" s="318"/>
      <c r="AM5428" s="318"/>
      <c r="AN5428" s="318"/>
      <c r="AO5428" s="318"/>
      <c r="AP5428" s="318"/>
      <c r="AQ5428" s="318"/>
      <c r="AR5428" s="319"/>
    </row>
    <row r="5429" spans="37:44" ht="30" customHeight="1">
      <c r="AK5429" s="318"/>
      <c r="AL5429" s="318"/>
      <c r="AM5429" s="318"/>
      <c r="AN5429" s="318"/>
      <c r="AO5429" s="318"/>
      <c r="AP5429" s="318"/>
      <c r="AQ5429" s="318"/>
      <c r="AR5429" s="319"/>
    </row>
    <row r="5430" spans="37:44" ht="30" customHeight="1">
      <c r="AK5430" s="318"/>
      <c r="AL5430" s="318"/>
      <c r="AM5430" s="318"/>
      <c r="AN5430" s="318"/>
      <c r="AO5430" s="318"/>
      <c r="AP5430" s="318"/>
      <c r="AQ5430" s="318"/>
      <c r="AR5430" s="319"/>
    </row>
    <row r="5431" spans="37:44" ht="30" customHeight="1">
      <c r="AK5431" s="318"/>
      <c r="AL5431" s="318"/>
      <c r="AM5431" s="318"/>
      <c r="AN5431" s="318"/>
      <c r="AO5431" s="318"/>
      <c r="AP5431" s="318"/>
      <c r="AQ5431" s="318"/>
      <c r="AR5431" s="319"/>
    </row>
    <row r="5432" spans="37:44" ht="30" customHeight="1">
      <c r="AK5432" s="318"/>
      <c r="AL5432" s="318"/>
      <c r="AM5432" s="318"/>
      <c r="AN5432" s="318"/>
      <c r="AO5432" s="318"/>
      <c r="AP5432" s="318"/>
      <c r="AQ5432" s="318"/>
      <c r="AR5432" s="319"/>
    </row>
    <row r="5433" spans="37:44" ht="30" customHeight="1">
      <c r="AK5433" s="318"/>
      <c r="AL5433" s="318"/>
      <c r="AM5433" s="318"/>
      <c r="AN5433" s="318"/>
      <c r="AO5433" s="318"/>
      <c r="AP5433" s="318"/>
      <c r="AQ5433" s="318"/>
      <c r="AR5433" s="319"/>
    </row>
    <row r="5434" spans="37:44" ht="30" customHeight="1">
      <c r="AK5434" s="318"/>
      <c r="AL5434" s="318"/>
      <c r="AM5434" s="318"/>
      <c r="AN5434" s="318"/>
      <c r="AO5434" s="318"/>
      <c r="AP5434" s="318"/>
      <c r="AQ5434" s="318"/>
      <c r="AR5434" s="319"/>
    </row>
    <row r="5435" spans="37:44" ht="30" customHeight="1">
      <c r="AK5435" s="318"/>
      <c r="AL5435" s="318"/>
      <c r="AM5435" s="318"/>
      <c r="AN5435" s="318"/>
      <c r="AO5435" s="318"/>
      <c r="AP5435" s="318"/>
      <c r="AQ5435" s="318"/>
      <c r="AR5435" s="319"/>
    </row>
    <row r="5436" spans="37:44" ht="30" customHeight="1">
      <c r="AK5436" s="318"/>
      <c r="AL5436" s="318"/>
      <c r="AM5436" s="318"/>
      <c r="AN5436" s="318"/>
      <c r="AO5436" s="318"/>
      <c r="AP5436" s="318"/>
      <c r="AQ5436" s="318"/>
      <c r="AR5436" s="319"/>
    </row>
    <row r="5437" spans="37:44" ht="30" customHeight="1">
      <c r="AK5437" s="318"/>
      <c r="AL5437" s="318"/>
      <c r="AM5437" s="318"/>
      <c r="AN5437" s="318"/>
      <c r="AO5437" s="318"/>
      <c r="AP5437" s="318"/>
      <c r="AQ5437" s="318"/>
      <c r="AR5437" s="319"/>
    </row>
    <row r="5438" spans="37:44" ht="30" customHeight="1">
      <c r="AK5438" s="318"/>
      <c r="AL5438" s="318"/>
      <c r="AM5438" s="318"/>
      <c r="AN5438" s="318"/>
      <c r="AO5438" s="318"/>
      <c r="AP5438" s="318"/>
      <c r="AQ5438" s="318"/>
      <c r="AR5438" s="319"/>
    </row>
    <row r="5439" spans="37:44" ht="30" customHeight="1">
      <c r="AK5439" s="318"/>
      <c r="AL5439" s="318"/>
      <c r="AM5439" s="318"/>
      <c r="AN5439" s="318"/>
      <c r="AO5439" s="318"/>
      <c r="AP5439" s="318"/>
      <c r="AQ5439" s="318"/>
      <c r="AR5439" s="319"/>
    </row>
    <row r="5440" spans="37:44" ht="30" customHeight="1">
      <c r="AK5440" s="318"/>
      <c r="AL5440" s="318"/>
      <c r="AM5440" s="318"/>
      <c r="AN5440" s="318"/>
      <c r="AO5440" s="318"/>
      <c r="AP5440" s="318"/>
      <c r="AQ5440" s="318"/>
      <c r="AR5440" s="319"/>
    </row>
    <row r="5441" spans="37:44" ht="30" customHeight="1">
      <c r="AK5441" s="318"/>
      <c r="AL5441" s="318"/>
      <c r="AM5441" s="318"/>
      <c r="AN5441" s="318"/>
      <c r="AO5441" s="318"/>
      <c r="AP5441" s="318"/>
      <c r="AQ5441" s="318"/>
      <c r="AR5441" s="319"/>
    </row>
    <row r="5442" spans="37:44" ht="30" customHeight="1">
      <c r="AK5442" s="318"/>
      <c r="AL5442" s="318"/>
      <c r="AM5442" s="318"/>
      <c r="AN5442" s="318"/>
      <c r="AO5442" s="318"/>
      <c r="AP5442" s="318"/>
      <c r="AQ5442" s="318"/>
      <c r="AR5442" s="319"/>
    </row>
    <row r="5443" spans="37:44" ht="30" customHeight="1">
      <c r="AK5443" s="318"/>
      <c r="AL5443" s="318"/>
      <c r="AM5443" s="318"/>
      <c r="AN5443" s="318"/>
      <c r="AO5443" s="318"/>
      <c r="AP5443" s="318"/>
      <c r="AQ5443" s="318"/>
      <c r="AR5443" s="319"/>
    </row>
    <row r="5444" spans="37:44" ht="30" customHeight="1">
      <c r="AK5444" s="318"/>
      <c r="AL5444" s="318"/>
      <c r="AM5444" s="318"/>
      <c r="AN5444" s="318"/>
      <c r="AO5444" s="318"/>
      <c r="AP5444" s="318"/>
      <c r="AQ5444" s="318"/>
      <c r="AR5444" s="319"/>
    </row>
    <row r="5445" spans="37:44" ht="30" customHeight="1">
      <c r="AK5445" s="318"/>
      <c r="AL5445" s="318"/>
      <c r="AM5445" s="318"/>
      <c r="AN5445" s="318"/>
      <c r="AO5445" s="318"/>
      <c r="AP5445" s="318"/>
      <c r="AQ5445" s="318"/>
      <c r="AR5445" s="319"/>
    </row>
    <row r="5446" spans="37:44" ht="30" customHeight="1">
      <c r="AK5446" s="318"/>
      <c r="AL5446" s="318"/>
      <c r="AM5446" s="318"/>
      <c r="AN5446" s="318"/>
      <c r="AO5446" s="318"/>
      <c r="AP5446" s="318"/>
      <c r="AQ5446" s="318"/>
      <c r="AR5446" s="319"/>
    </row>
    <row r="5447" spans="37:44" ht="30" customHeight="1">
      <c r="AK5447" s="318"/>
      <c r="AL5447" s="318"/>
      <c r="AM5447" s="318"/>
      <c r="AN5447" s="318"/>
      <c r="AO5447" s="318"/>
      <c r="AP5447" s="318"/>
      <c r="AQ5447" s="318"/>
      <c r="AR5447" s="319"/>
    </row>
    <row r="5448" spans="37:44" ht="30" customHeight="1">
      <c r="AK5448" s="318"/>
      <c r="AL5448" s="318"/>
      <c r="AM5448" s="318"/>
      <c r="AN5448" s="318"/>
      <c r="AO5448" s="318"/>
      <c r="AP5448" s="318"/>
      <c r="AQ5448" s="318"/>
      <c r="AR5448" s="319"/>
    </row>
    <row r="5449" spans="37:44" ht="30" customHeight="1">
      <c r="AK5449" s="318"/>
      <c r="AL5449" s="318"/>
      <c r="AM5449" s="318"/>
      <c r="AN5449" s="318"/>
      <c r="AO5449" s="318"/>
      <c r="AP5449" s="318"/>
      <c r="AQ5449" s="318"/>
      <c r="AR5449" s="319"/>
    </row>
    <row r="5450" spans="37:44" ht="30" customHeight="1">
      <c r="AK5450" s="318"/>
      <c r="AL5450" s="318"/>
      <c r="AM5450" s="318"/>
      <c r="AN5450" s="318"/>
      <c r="AO5450" s="318"/>
      <c r="AP5450" s="318"/>
      <c r="AQ5450" s="318"/>
      <c r="AR5450" s="319"/>
    </row>
    <row r="5451" spans="37:44" ht="30" customHeight="1">
      <c r="AK5451" s="318"/>
      <c r="AL5451" s="318"/>
      <c r="AM5451" s="318"/>
      <c r="AN5451" s="318"/>
      <c r="AO5451" s="318"/>
      <c r="AP5451" s="318"/>
      <c r="AQ5451" s="318"/>
      <c r="AR5451" s="319"/>
    </row>
    <row r="5452" spans="37:44" ht="30" customHeight="1">
      <c r="AK5452" s="318"/>
      <c r="AL5452" s="318"/>
      <c r="AM5452" s="318"/>
      <c r="AN5452" s="318"/>
      <c r="AO5452" s="318"/>
      <c r="AP5452" s="318"/>
      <c r="AQ5452" s="318"/>
      <c r="AR5452" s="319"/>
    </row>
    <row r="5453" spans="37:44" ht="30" customHeight="1">
      <c r="AK5453" s="318"/>
      <c r="AL5453" s="318"/>
      <c r="AM5453" s="318"/>
      <c r="AN5453" s="318"/>
      <c r="AO5453" s="318"/>
      <c r="AP5453" s="318"/>
      <c r="AQ5453" s="318"/>
      <c r="AR5453" s="319"/>
    </row>
    <row r="5454" spans="37:44" ht="30" customHeight="1">
      <c r="AK5454" s="318"/>
      <c r="AL5454" s="318"/>
      <c r="AM5454" s="318"/>
      <c r="AN5454" s="318"/>
      <c r="AO5454" s="318"/>
      <c r="AP5454" s="318"/>
      <c r="AQ5454" s="318"/>
      <c r="AR5454" s="319"/>
    </row>
    <row r="5455" spans="37:44" ht="30" customHeight="1">
      <c r="AK5455" s="318"/>
      <c r="AL5455" s="318"/>
      <c r="AM5455" s="318"/>
      <c r="AN5455" s="318"/>
      <c r="AO5455" s="318"/>
      <c r="AP5455" s="318"/>
      <c r="AQ5455" s="318"/>
      <c r="AR5455" s="319"/>
    </row>
    <row r="5456" spans="37:44" ht="30" customHeight="1">
      <c r="AK5456" s="318"/>
      <c r="AL5456" s="318"/>
      <c r="AM5456" s="318"/>
      <c r="AN5456" s="318"/>
      <c r="AO5456" s="318"/>
      <c r="AP5456" s="318"/>
      <c r="AQ5456" s="318"/>
      <c r="AR5456" s="319"/>
    </row>
    <row r="5457" spans="37:44" ht="30" customHeight="1">
      <c r="AK5457" s="318"/>
      <c r="AL5457" s="318"/>
      <c r="AM5457" s="318"/>
      <c r="AN5457" s="318"/>
      <c r="AO5457" s="318"/>
      <c r="AP5457" s="318"/>
      <c r="AQ5457" s="318"/>
      <c r="AR5457" s="319"/>
    </row>
    <row r="5458" spans="37:44" ht="30" customHeight="1">
      <c r="AK5458" s="318"/>
      <c r="AL5458" s="318"/>
      <c r="AM5458" s="318"/>
      <c r="AN5458" s="318"/>
      <c r="AO5458" s="318"/>
      <c r="AP5458" s="318"/>
      <c r="AQ5458" s="318"/>
      <c r="AR5458" s="319"/>
    </row>
    <row r="5459" spans="37:44" ht="30" customHeight="1">
      <c r="AK5459" s="318"/>
      <c r="AL5459" s="318"/>
      <c r="AM5459" s="318"/>
      <c r="AN5459" s="318"/>
      <c r="AO5459" s="318"/>
      <c r="AP5459" s="318"/>
      <c r="AQ5459" s="318"/>
      <c r="AR5459" s="319"/>
    </row>
    <row r="5460" spans="37:44" ht="30" customHeight="1">
      <c r="AK5460" s="318"/>
      <c r="AL5460" s="318"/>
      <c r="AM5460" s="318"/>
      <c r="AN5460" s="318"/>
      <c r="AO5460" s="318"/>
      <c r="AP5460" s="318"/>
      <c r="AQ5460" s="318"/>
      <c r="AR5460" s="319"/>
    </row>
    <row r="5461" spans="37:44" ht="30" customHeight="1">
      <c r="AK5461" s="318"/>
      <c r="AL5461" s="318"/>
      <c r="AM5461" s="318"/>
      <c r="AN5461" s="318"/>
      <c r="AO5461" s="318"/>
      <c r="AP5461" s="318"/>
      <c r="AQ5461" s="318"/>
      <c r="AR5461" s="319"/>
    </row>
    <row r="5462" spans="37:44" ht="30" customHeight="1">
      <c r="AK5462" s="318"/>
      <c r="AL5462" s="318"/>
      <c r="AM5462" s="318"/>
      <c r="AN5462" s="318"/>
      <c r="AO5462" s="318"/>
      <c r="AP5462" s="318"/>
      <c r="AQ5462" s="318"/>
      <c r="AR5462" s="319"/>
    </row>
    <row r="5463" spans="37:44" ht="30" customHeight="1">
      <c r="AK5463" s="318"/>
      <c r="AL5463" s="318"/>
      <c r="AM5463" s="318"/>
      <c r="AN5463" s="318"/>
      <c r="AO5463" s="318"/>
      <c r="AP5463" s="318"/>
      <c r="AQ5463" s="318"/>
      <c r="AR5463" s="319"/>
    </row>
    <row r="5464" spans="37:44" ht="30" customHeight="1">
      <c r="AK5464" s="318"/>
      <c r="AL5464" s="318"/>
      <c r="AM5464" s="318"/>
      <c r="AN5464" s="318"/>
      <c r="AO5464" s="318"/>
      <c r="AP5464" s="318"/>
      <c r="AQ5464" s="318"/>
      <c r="AR5464" s="319"/>
    </row>
    <row r="5465" spans="37:44" ht="30" customHeight="1">
      <c r="AK5465" s="318"/>
      <c r="AL5465" s="318"/>
      <c r="AM5465" s="318"/>
      <c r="AN5465" s="318"/>
      <c r="AO5465" s="318"/>
      <c r="AP5465" s="318"/>
      <c r="AQ5465" s="318"/>
      <c r="AR5465" s="319"/>
    </row>
    <row r="5466" spans="37:44" ht="30" customHeight="1">
      <c r="AK5466" s="318"/>
      <c r="AL5466" s="318"/>
      <c r="AM5466" s="318"/>
      <c r="AN5466" s="318"/>
      <c r="AO5466" s="318"/>
      <c r="AP5466" s="318"/>
      <c r="AQ5466" s="318"/>
      <c r="AR5466" s="319"/>
    </row>
    <row r="5467" spans="37:44" ht="30" customHeight="1">
      <c r="AK5467" s="318"/>
      <c r="AL5467" s="318"/>
      <c r="AM5467" s="318"/>
      <c r="AN5467" s="318"/>
      <c r="AO5467" s="318"/>
      <c r="AP5467" s="318"/>
      <c r="AQ5467" s="318"/>
      <c r="AR5467" s="319"/>
    </row>
    <row r="5468" spans="37:44" ht="30" customHeight="1">
      <c r="AK5468" s="318"/>
      <c r="AL5468" s="318"/>
      <c r="AM5468" s="318"/>
      <c r="AN5468" s="318"/>
      <c r="AO5468" s="318"/>
      <c r="AP5468" s="318"/>
      <c r="AQ5468" s="318"/>
      <c r="AR5468" s="319"/>
    </row>
    <row r="5469" spans="37:44" ht="30" customHeight="1">
      <c r="AK5469" s="318"/>
      <c r="AL5469" s="318"/>
      <c r="AM5469" s="318"/>
      <c r="AN5469" s="318"/>
      <c r="AO5469" s="318"/>
      <c r="AP5469" s="318"/>
      <c r="AQ5469" s="318"/>
      <c r="AR5469" s="319"/>
    </row>
    <row r="5470" spans="37:44" ht="30" customHeight="1">
      <c r="AK5470" s="318"/>
      <c r="AL5470" s="318"/>
      <c r="AM5470" s="318"/>
      <c r="AN5470" s="318"/>
      <c r="AO5470" s="318"/>
      <c r="AP5470" s="318"/>
      <c r="AQ5470" s="318"/>
      <c r="AR5470" s="319"/>
    </row>
    <row r="5471" spans="37:44" ht="30" customHeight="1">
      <c r="AK5471" s="318"/>
      <c r="AL5471" s="318"/>
      <c r="AM5471" s="318"/>
      <c r="AN5471" s="318"/>
      <c r="AO5471" s="318"/>
      <c r="AP5471" s="318"/>
      <c r="AQ5471" s="318"/>
      <c r="AR5471" s="319"/>
    </row>
    <row r="5472" spans="37:44" ht="30" customHeight="1">
      <c r="AK5472" s="318"/>
      <c r="AL5472" s="318"/>
      <c r="AM5472" s="318"/>
      <c r="AN5472" s="318"/>
      <c r="AO5472" s="318"/>
      <c r="AP5472" s="318"/>
      <c r="AQ5472" s="318"/>
      <c r="AR5472" s="319"/>
    </row>
    <row r="5473" spans="37:44" ht="30" customHeight="1">
      <c r="AK5473" s="318"/>
      <c r="AL5473" s="318"/>
      <c r="AM5473" s="318"/>
      <c r="AN5473" s="318"/>
      <c r="AO5473" s="318"/>
      <c r="AP5473" s="318"/>
      <c r="AQ5473" s="318"/>
      <c r="AR5473" s="319"/>
    </row>
    <row r="5474" spans="37:44" ht="30" customHeight="1">
      <c r="AK5474" s="318"/>
      <c r="AL5474" s="318"/>
      <c r="AM5474" s="318"/>
      <c r="AN5474" s="318"/>
      <c r="AO5474" s="318"/>
      <c r="AP5474" s="318"/>
      <c r="AQ5474" s="318"/>
      <c r="AR5474" s="319"/>
    </row>
    <row r="5475" spans="37:44" ht="30" customHeight="1">
      <c r="AK5475" s="318"/>
      <c r="AL5475" s="318"/>
      <c r="AM5475" s="318"/>
      <c r="AN5475" s="318"/>
      <c r="AO5475" s="318"/>
      <c r="AP5475" s="318"/>
      <c r="AQ5475" s="318"/>
      <c r="AR5475" s="319"/>
    </row>
    <row r="5476" spans="37:44" ht="30" customHeight="1">
      <c r="AK5476" s="318"/>
      <c r="AL5476" s="318"/>
      <c r="AM5476" s="318"/>
      <c r="AN5476" s="318"/>
      <c r="AO5476" s="318"/>
      <c r="AP5476" s="318"/>
      <c r="AQ5476" s="318"/>
      <c r="AR5476" s="319"/>
    </row>
    <row r="5477" spans="37:44" ht="30" customHeight="1">
      <c r="AK5477" s="318"/>
      <c r="AL5477" s="318"/>
      <c r="AM5477" s="318"/>
      <c r="AN5477" s="318"/>
      <c r="AO5477" s="318"/>
      <c r="AP5477" s="318"/>
      <c r="AQ5477" s="318"/>
      <c r="AR5477" s="319"/>
    </row>
    <row r="5478" spans="37:44" ht="30" customHeight="1">
      <c r="AK5478" s="318"/>
      <c r="AL5478" s="318"/>
      <c r="AM5478" s="318"/>
      <c r="AN5478" s="318"/>
      <c r="AO5478" s="318"/>
      <c r="AP5478" s="318"/>
      <c r="AQ5478" s="318"/>
      <c r="AR5478" s="319"/>
    </row>
    <row r="5479" spans="37:44" ht="30" customHeight="1">
      <c r="AK5479" s="318"/>
      <c r="AL5479" s="318"/>
      <c r="AM5479" s="318"/>
      <c r="AN5479" s="318"/>
      <c r="AO5479" s="318"/>
      <c r="AP5479" s="318"/>
      <c r="AQ5479" s="318"/>
      <c r="AR5479" s="319"/>
    </row>
    <row r="5480" spans="37:44" ht="30" customHeight="1">
      <c r="AK5480" s="318"/>
      <c r="AL5480" s="318"/>
      <c r="AM5480" s="318"/>
      <c r="AN5480" s="318"/>
      <c r="AO5480" s="318"/>
      <c r="AP5480" s="318"/>
      <c r="AQ5480" s="318"/>
      <c r="AR5480" s="319"/>
    </row>
    <row r="5481" spans="37:44" ht="30" customHeight="1">
      <c r="AK5481" s="318"/>
      <c r="AL5481" s="318"/>
      <c r="AM5481" s="318"/>
      <c r="AN5481" s="318"/>
      <c r="AO5481" s="318"/>
      <c r="AP5481" s="318"/>
      <c r="AQ5481" s="318"/>
      <c r="AR5481" s="319"/>
    </row>
    <row r="5482" spans="37:44" ht="30" customHeight="1">
      <c r="AK5482" s="318"/>
      <c r="AL5482" s="318"/>
      <c r="AM5482" s="318"/>
      <c r="AN5482" s="318"/>
      <c r="AO5482" s="318"/>
      <c r="AP5482" s="318"/>
      <c r="AQ5482" s="318"/>
      <c r="AR5482" s="319"/>
    </row>
    <row r="5483" spans="37:44" ht="30" customHeight="1">
      <c r="AK5483" s="318"/>
      <c r="AL5483" s="318"/>
      <c r="AM5483" s="318"/>
      <c r="AN5483" s="318"/>
      <c r="AO5483" s="318"/>
      <c r="AP5483" s="318"/>
      <c r="AQ5483" s="318"/>
      <c r="AR5483" s="319"/>
    </row>
    <row r="5484" spans="37:44" ht="30" customHeight="1">
      <c r="AK5484" s="318"/>
      <c r="AL5484" s="318"/>
      <c r="AM5484" s="318"/>
      <c r="AN5484" s="318"/>
      <c r="AO5484" s="318"/>
      <c r="AP5484" s="318"/>
      <c r="AQ5484" s="318"/>
      <c r="AR5484" s="319"/>
    </row>
    <row r="5485" spans="37:44" ht="30" customHeight="1">
      <c r="AK5485" s="318"/>
      <c r="AL5485" s="318"/>
      <c r="AM5485" s="318"/>
      <c r="AN5485" s="318"/>
      <c r="AO5485" s="318"/>
      <c r="AP5485" s="318"/>
      <c r="AQ5485" s="318"/>
      <c r="AR5485" s="319"/>
    </row>
    <row r="5486" spans="37:44" ht="30" customHeight="1">
      <c r="AK5486" s="318"/>
      <c r="AL5486" s="318"/>
      <c r="AM5486" s="318"/>
      <c r="AN5486" s="318"/>
      <c r="AO5486" s="318"/>
      <c r="AP5486" s="318"/>
      <c r="AQ5486" s="318"/>
      <c r="AR5486" s="319"/>
    </row>
    <row r="5487" spans="37:44" ht="30" customHeight="1">
      <c r="AK5487" s="318"/>
      <c r="AL5487" s="318"/>
      <c r="AM5487" s="318"/>
      <c r="AN5487" s="318"/>
      <c r="AO5487" s="318"/>
      <c r="AP5487" s="318"/>
      <c r="AQ5487" s="318"/>
      <c r="AR5487" s="319"/>
    </row>
    <row r="5488" spans="37:44" ht="30" customHeight="1">
      <c r="AK5488" s="318"/>
      <c r="AL5488" s="318"/>
      <c r="AM5488" s="318"/>
      <c r="AN5488" s="318"/>
      <c r="AO5488" s="318"/>
      <c r="AP5488" s="318"/>
      <c r="AQ5488" s="318"/>
      <c r="AR5488" s="319"/>
    </row>
    <row r="5489" spans="37:44" ht="30" customHeight="1">
      <c r="AK5489" s="318"/>
      <c r="AL5489" s="318"/>
      <c r="AM5489" s="318"/>
      <c r="AN5489" s="318"/>
      <c r="AO5489" s="318"/>
      <c r="AP5489" s="318"/>
      <c r="AQ5489" s="318"/>
      <c r="AR5489" s="319"/>
    </row>
    <row r="5490" spans="37:44" ht="30" customHeight="1">
      <c r="AK5490" s="318"/>
      <c r="AL5490" s="318"/>
      <c r="AM5490" s="318"/>
      <c r="AN5490" s="318"/>
      <c r="AO5490" s="318"/>
      <c r="AP5490" s="318"/>
      <c r="AQ5490" s="318"/>
      <c r="AR5490" s="319"/>
    </row>
    <row r="5491" spans="37:44" ht="30" customHeight="1">
      <c r="AK5491" s="318"/>
      <c r="AL5491" s="318"/>
      <c r="AM5491" s="318"/>
      <c r="AN5491" s="318"/>
      <c r="AO5491" s="318"/>
      <c r="AP5491" s="318"/>
      <c r="AQ5491" s="318"/>
      <c r="AR5491" s="319"/>
    </row>
    <row r="5492" spans="37:44" ht="30" customHeight="1">
      <c r="AK5492" s="318"/>
      <c r="AL5492" s="318"/>
      <c r="AM5492" s="318"/>
      <c r="AN5492" s="318"/>
      <c r="AO5492" s="318"/>
      <c r="AP5492" s="318"/>
      <c r="AQ5492" s="318"/>
      <c r="AR5492" s="319"/>
    </row>
    <row r="5493" spans="37:44" ht="30" customHeight="1">
      <c r="AK5493" s="318"/>
      <c r="AL5493" s="318"/>
      <c r="AM5493" s="318"/>
      <c r="AN5493" s="318"/>
      <c r="AO5493" s="318"/>
      <c r="AP5493" s="318"/>
      <c r="AQ5493" s="318"/>
      <c r="AR5493" s="319"/>
    </row>
    <row r="5494" spans="37:44" ht="30" customHeight="1">
      <c r="AK5494" s="318"/>
      <c r="AL5494" s="318"/>
      <c r="AM5494" s="318"/>
      <c r="AN5494" s="318"/>
      <c r="AO5494" s="318"/>
      <c r="AP5494" s="318"/>
      <c r="AQ5494" s="318"/>
      <c r="AR5494" s="319"/>
    </row>
    <row r="5495" spans="37:44" ht="30" customHeight="1">
      <c r="AK5495" s="318"/>
      <c r="AL5495" s="318"/>
      <c r="AM5495" s="318"/>
      <c r="AN5495" s="318"/>
      <c r="AO5495" s="318"/>
      <c r="AP5495" s="318"/>
      <c r="AQ5495" s="318"/>
      <c r="AR5495" s="319"/>
    </row>
    <row r="5496" spans="37:44" ht="30" customHeight="1">
      <c r="AK5496" s="318"/>
      <c r="AL5496" s="318"/>
      <c r="AM5496" s="318"/>
      <c r="AN5496" s="318"/>
      <c r="AO5496" s="318"/>
      <c r="AP5496" s="318"/>
      <c r="AQ5496" s="318"/>
      <c r="AR5496" s="319"/>
    </row>
    <row r="5497" spans="37:44" ht="30" customHeight="1">
      <c r="AK5497" s="318"/>
      <c r="AL5497" s="318"/>
      <c r="AM5497" s="318"/>
      <c r="AN5497" s="318"/>
      <c r="AO5497" s="318"/>
      <c r="AP5497" s="318"/>
      <c r="AQ5497" s="318"/>
      <c r="AR5497" s="319"/>
    </row>
    <row r="5498" spans="37:44" ht="30" customHeight="1">
      <c r="AK5498" s="318"/>
      <c r="AL5498" s="318"/>
      <c r="AM5498" s="318"/>
      <c r="AN5498" s="318"/>
      <c r="AO5498" s="318"/>
      <c r="AP5498" s="318"/>
      <c r="AQ5498" s="318"/>
      <c r="AR5498" s="319"/>
    </row>
    <row r="5499" spans="37:44" ht="30" customHeight="1">
      <c r="AK5499" s="318"/>
      <c r="AL5499" s="318"/>
      <c r="AM5499" s="318"/>
      <c r="AN5499" s="318"/>
      <c r="AO5499" s="318"/>
      <c r="AP5499" s="318"/>
      <c r="AQ5499" s="318"/>
      <c r="AR5499" s="319"/>
    </row>
    <row r="5500" spans="37:44" ht="30" customHeight="1">
      <c r="AK5500" s="318"/>
      <c r="AL5500" s="318"/>
      <c r="AM5500" s="318"/>
      <c r="AN5500" s="318"/>
      <c r="AO5500" s="318"/>
      <c r="AP5500" s="318"/>
      <c r="AQ5500" s="318"/>
      <c r="AR5500" s="319"/>
    </row>
    <row r="5501" spans="37:44" ht="30" customHeight="1">
      <c r="AK5501" s="318"/>
      <c r="AL5501" s="318"/>
      <c r="AM5501" s="318"/>
      <c r="AN5501" s="318"/>
      <c r="AO5501" s="318"/>
      <c r="AP5501" s="318"/>
      <c r="AQ5501" s="318"/>
      <c r="AR5501" s="319"/>
    </row>
    <row r="5502" spans="37:44" ht="30" customHeight="1">
      <c r="AK5502" s="318"/>
      <c r="AL5502" s="318"/>
      <c r="AM5502" s="318"/>
      <c r="AN5502" s="318"/>
      <c r="AO5502" s="318"/>
      <c r="AP5502" s="318"/>
      <c r="AQ5502" s="318"/>
      <c r="AR5502" s="319"/>
    </row>
    <row r="5503" spans="37:44" ht="30" customHeight="1">
      <c r="AK5503" s="318"/>
      <c r="AL5503" s="318"/>
      <c r="AM5503" s="318"/>
      <c r="AN5503" s="318"/>
      <c r="AO5503" s="318"/>
      <c r="AP5503" s="318"/>
      <c r="AQ5503" s="318"/>
      <c r="AR5503" s="319"/>
    </row>
    <row r="5504" spans="37:44" ht="30" customHeight="1">
      <c r="AK5504" s="318"/>
      <c r="AL5504" s="318"/>
      <c r="AM5504" s="318"/>
      <c r="AN5504" s="318"/>
      <c r="AO5504" s="318"/>
      <c r="AP5504" s="318"/>
      <c r="AQ5504" s="318"/>
      <c r="AR5504" s="319"/>
    </row>
    <row r="5505" spans="37:44" ht="30" customHeight="1">
      <c r="AK5505" s="318"/>
      <c r="AL5505" s="318"/>
      <c r="AM5505" s="318"/>
      <c r="AN5505" s="318"/>
      <c r="AO5505" s="318"/>
      <c r="AP5505" s="318"/>
      <c r="AQ5505" s="318"/>
      <c r="AR5505" s="319"/>
    </row>
    <row r="5506" spans="37:44" ht="30" customHeight="1">
      <c r="AK5506" s="318"/>
      <c r="AL5506" s="318"/>
      <c r="AM5506" s="318"/>
      <c r="AN5506" s="318"/>
      <c r="AO5506" s="318"/>
      <c r="AP5506" s="318"/>
      <c r="AQ5506" s="318"/>
      <c r="AR5506" s="319"/>
    </row>
    <row r="5507" spans="37:44" ht="30" customHeight="1">
      <c r="AK5507" s="318"/>
      <c r="AL5507" s="318"/>
      <c r="AM5507" s="318"/>
      <c r="AN5507" s="318"/>
      <c r="AO5507" s="318"/>
      <c r="AP5507" s="318"/>
      <c r="AQ5507" s="318"/>
      <c r="AR5507" s="319"/>
    </row>
    <row r="5508" spans="37:44" ht="30" customHeight="1">
      <c r="AK5508" s="318"/>
      <c r="AL5508" s="318"/>
      <c r="AM5508" s="318"/>
      <c r="AN5508" s="318"/>
      <c r="AO5508" s="318"/>
      <c r="AP5508" s="318"/>
      <c r="AQ5508" s="318"/>
      <c r="AR5508" s="319"/>
    </row>
    <row r="5509" spans="37:44" ht="30" customHeight="1">
      <c r="AK5509" s="318"/>
      <c r="AL5509" s="318"/>
      <c r="AM5509" s="318"/>
      <c r="AN5509" s="318"/>
      <c r="AO5509" s="318"/>
      <c r="AP5509" s="318"/>
      <c r="AQ5509" s="318"/>
      <c r="AR5509" s="319"/>
    </row>
    <row r="5510" spans="37:44" ht="30" customHeight="1">
      <c r="AK5510" s="318"/>
      <c r="AL5510" s="318"/>
      <c r="AM5510" s="318"/>
      <c r="AN5510" s="318"/>
      <c r="AO5510" s="318"/>
      <c r="AP5510" s="318"/>
      <c r="AQ5510" s="318"/>
      <c r="AR5510" s="319"/>
    </row>
    <row r="5511" spans="37:44" ht="30" customHeight="1">
      <c r="AK5511" s="318"/>
      <c r="AL5511" s="318"/>
      <c r="AM5511" s="318"/>
      <c r="AN5511" s="318"/>
      <c r="AO5511" s="318"/>
      <c r="AP5511" s="318"/>
      <c r="AQ5511" s="318"/>
      <c r="AR5511" s="319"/>
    </row>
    <row r="5512" spans="37:44" ht="30" customHeight="1">
      <c r="AK5512" s="318"/>
      <c r="AL5512" s="318"/>
      <c r="AM5512" s="318"/>
      <c r="AN5512" s="318"/>
      <c r="AO5512" s="318"/>
      <c r="AP5512" s="318"/>
      <c r="AQ5512" s="318"/>
      <c r="AR5512" s="319"/>
    </row>
    <row r="5513" spans="37:44" ht="30" customHeight="1">
      <c r="AK5513" s="318"/>
      <c r="AL5513" s="318"/>
      <c r="AM5513" s="318"/>
      <c r="AN5513" s="318"/>
      <c r="AO5513" s="318"/>
      <c r="AP5513" s="318"/>
      <c r="AQ5513" s="318"/>
      <c r="AR5513" s="319"/>
    </row>
    <row r="5514" spans="37:44" ht="30" customHeight="1">
      <c r="AK5514" s="318"/>
      <c r="AL5514" s="318"/>
      <c r="AM5514" s="318"/>
      <c r="AN5514" s="318"/>
      <c r="AO5514" s="318"/>
      <c r="AP5514" s="318"/>
      <c r="AQ5514" s="318"/>
      <c r="AR5514" s="319"/>
    </row>
    <row r="5515" spans="37:44" ht="30" customHeight="1">
      <c r="AK5515" s="318"/>
      <c r="AL5515" s="318"/>
      <c r="AM5515" s="318"/>
      <c r="AN5515" s="318"/>
      <c r="AO5515" s="318"/>
      <c r="AP5515" s="318"/>
      <c r="AQ5515" s="318"/>
      <c r="AR5515" s="319"/>
    </row>
    <row r="5516" spans="37:44" ht="30" customHeight="1">
      <c r="AK5516" s="318"/>
      <c r="AL5516" s="318"/>
      <c r="AM5516" s="318"/>
      <c r="AN5516" s="318"/>
      <c r="AO5516" s="318"/>
      <c r="AP5516" s="318"/>
      <c r="AQ5516" s="318"/>
      <c r="AR5516" s="319"/>
    </row>
    <row r="5517" spans="37:44" ht="30" customHeight="1">
      <c r="AK5517" s="318"/>
      <c r="AL5517" s="318"/>
      <c r="AM5517" s="318"/>
      <c r="AN5517" s="318"/>
      <c r="AO5517" s="318"/>
      <c r="AP5517" s="318"/>
      <c r="AQ5517" s="318"/>
      <c r="AR5517" s="319"/>
    </row>
    <row r="5518" spans="37:44" ht="30" customHeight="1">
      <c r="AK5518" s="318"/>
      <c r="AL5518" s="318"/>
      <c r="AM5518" s="318"/>
      <c r="AN5518" s="318"/>
      <c r="AO5518" s="318"/>
      <c r="AP5518" s="318"/>
      <c r="AQ5518" s="318"/>
      <c r="AR5518" s="319"/>
    </row>
    <row r="5519" spans="37:44" ht="30" customHeight="1">
      <c r="AK5519" s="318"/>
      <c r="AL5519" s="318"/>
      <c r="AM5519" s="318"/>
      <c r="AN5519" s="318"/>
      <c r="AO5519" s="318"/>
      <c r="AP5519" s="318"/>
      <c r="AQ5519" s="318"/>
      <c r="AR5519" s="319"/>
    </row>
    <row r="5520" spans="37:44" ht="30" customHeight="1">
      <c r="AK5520" s="318"/>
      <c r="AL5520" s="318"/>
      <c r="AM5520" s="318"/>
      <c r="AN5520" s="318"/>
      <c r="AO5520" s="318"/>
      <c r="AP5520" s="318"/>
      <c r="AQ5520" s="318"/>
      <c r="AR5520" s="319"/>
    </row>
    <row r="5521" spans="37:44" ht="30" customHeight="1">
      <c r="AK5521" s="318"/>
      <c r="AL5521" s="318"/>
      <c r="AM5521" s="318"/>
      <c r="AN5521" s="318"/>
      <c r="AO5521" s="318"/>
      <c r="AP5521" s="318"/>
      <c r="AQ5521" s="318"/>
      <c r="AR5521" s="319"/>
    </row>
    <row r="5522" spans="37:44" ht="30" customHeight="1">
      <c r="AK5522" s="318"/>
      <c r="AL5522" s="318"/>
      <c r="AM5522" s="318"/>
      <c r="AN5522" s="318"/>
      <c r="AO5522" s="318"/>
      <c r="AP5522" s="318"/>
      <c r="AQ5522" s="318"/>
      <c r="AR5522" s="319"/>
    </row>
    <row r="5523" spans="37:44" ht="30" customHeight="1">
      <c r="AK5523" s="318"/>
      <c r="AL5523" s="318"/>
      <c r="AM5523" s="318"/>
      <c r="AN5523" s="318"/>
      <c r="AO5523" s="318"/>
      <c r="AP5523" s="318"/>
      <c r="AQ5523" s="318"/>
      <c r="AR5523" s="319"/>
    </row>
    <row r="5524" spans="37:44" ht="30" customHeight="1">
      <c r="AK5524" s="318"/>
      <c r="AL5524" s="318"/>
      <c r="AM5524" s="318"/>
      <c r="AN5524" s="318"/>
      <c r="AO5524" s="318"/>
      <c r="AP5524" s="318"/>
      <c r="AQ5524" s="318"/>
      <c r="AR5524" s="319"/>
    </row>
    <row r="5525" spans="37:44" ht="30" customHeight="1">
      <c r="AK5525" s="318"/>
      <c r="AL5525" s="318"/>
      <c r="AM5525" s="318"/>
      <c r="AN5525" s="318"/>
      <c r="AO5525" s="318"/>
      <c r="AP5525" s="318"/>
      <c r="AQ5525" s="318"/>
      <c r="AR5525" s="319"/>
    </row>
    <row r="5526" spans="37:44" ht="30" customHeight="1">
      <c r="AK5526" s="318"/>
      <c r="AL5526" s="318"/>
      <c r="AM5526" s="318"/>
      <c r="AN5526" s="318"/>
      <c r="AO5526" s="318"/>
      <c r="AP5526" s="318"/>
      <c r="AQ5526" s="318"/>
      <c r="AR5526" s="319"/>
    </row>
    <row r="5527" spans="37:44" ht="30" customHeight="1">
      <c r="AK5527" s="318"/>
      <c r="AL5527" s="318"/>
      <c r="AM5527" s="318"/>
      <c r="AN5527" s="318"/>
      <c r="AO5527" s="318"/>
      <c r="AP5527" s="318"/>
      <c r="AQ5527" s="318"/>
      <c r="AR5527" s="319"/>
    </row>
    <row r="5528" spans="37:44" ht="30" customHeight="1">
      <c r="AK5528" s="318"/>
      <c r="AL5528" s="318"/>
      <c r="AM5528" s="318"/>
      <c r="AN5528" s="318"/>
      <c r="AO5528" s="318"/>
      <c r="AP5528" s="318"/>
      <c r="AQ5528" s="318"/>
      <c r="AR5528" s="319"/>
    </row>
    <row r="5529" spans="37:44" ht="30" customHeight="1">
      <c r="AK5529" s="318"/>
      <c r="AL5529" s="318"/>
      <c r="AM5529" s="318"/>
      <c r="AN5529" s="318"/>
      <c r="AO5529" s="318"/>
      <c r="AP5529" s="318"/>
      <c r="AQ5529" s="318"/>
      <c r="AR5529" s="319"/>
    </row>
    <row r="5530" spans="37:44" ht="30" customHeight="1">
      <c r="AK5530" s="318"/>
      <c r="AL5530" s="318"/>
      <c r="AM5530" s="318"/>
      <c r="AN5530" s="318"/>
      <c r="AO5530" s="318"/>
      <c r="AP5530" s="318"/>
      <c r="AQ5530" s="318"/>
      <c r="AR5530" s="319"/>
    </row>
    <row r="5531" spans="37:44" ht="30" customHeight="1">
      <c r="AK5531" s="318"/>
      <c r="AL5531" s="318"/>
      <c r="AM5531" s="318"/>
      <c r="AN5531" s="318"/>
      <c r="AO5531" s="318"/>
      <c r="AP5531" s="318"/>
      <c r="AQ5531" s="318"/>
      <c r="AR5531" s="319"/>
    </row>
    <row r="5532" spans="37:44" ht="30" customHeight="1">
      <c r="AK5532" s="318"/>
      <c r="AL5532" s="318"/>
      <c r="AM5532" s="318"/>
      <c r="AN5532" s="318"/>
      <c r="AO5532" s="318"/>
      <c r="AP5532" s="318"/>
      <c r="AQ5532" s="318"/>
      <c r="AR5532" s="319"/>
    </row>
    <row r="5533" spans="37:44" ht="30" customHeight="1">
      <c r="AK5533" s="318"/>
      <c r="AL5533" s="318"/>
      <c r="AM5533" s="318"/>
      <c r="AN5533" s="318"/>
      <c r="AO5533" s="318"/>
      <c r="AP5533" s="318"/>
      <c r="AQ5533" s="318"/>
      <c r="AR5533" s="319"/>
    </row>
    <row r="5534" spans="37:44" ht="30" customHeight="1">
      <c r="AK5534" s="318"/>
      <c r="AL5534" s="318"/>
      <c r="AM5534" s="318"/>
      <c r="AN5534" s="318"/>
      <c r="AO5534" s="318"/>
      <c r="AP5534" s="318"/>
      <c r="AQ5534" s="318"/>
      <c r="AR5534" s="319"/>
    </row>
    <row r="5535" spans="37:44" ht="30" customHeight="1">
      <c r="AK5535" s="318"/>
      <c r="AL5535" s="318"/>
      <c r="AM5535" s="318"/>
      <c r="AN5535" s="318"/>
      <c r="AO5535" s="318"/>
      <c r="AP5535" s="318"/>
      <c r="AQ5535" s="318"/>
      <c r="AR5535" s="319"/>
    </row>
    <row r="5536" spans="37:44" ht="30" customHeight="1">
      <c r="AK5536" s="318"/>
      <c r="AL5536" s="318"/>
      <c r="AM5536" s="318"/>
      <c r="AN5536" s="318"/>
      <c r="AO5536" s="318"/>
      <c r="AP5536" s="318"/>
      <c r="AQ5536" s="318"/>
      <c r="AR5536" s="319"/>
    </row>
    <row r="5537" spans="37:44" ht="30" customHeight="1">
      <c r="AK5537" s="318"/>
      <c r="AL5537" s="318"/>
      <c r="AM5537" s="318"/>
      <c r="AN5537" s="318"/>
      <c r="AO5537" s="318"/>
      <c r="AP5537" s="318"/>
      <c r="AQ5537" s="318"/>
      <c r="AR5537" s="319"/>
    </row>
    <row r="5538" spans="37:44" ht="30" customHeight="1">
      <c r="AK5538" s="318"/>
      <c r="AL5538" s="318"/>
      <c r="AM5538" s="318"/>
      <c r="AN5538" s="318"/>
      <c r="AO5538" s="318"/>
      <c r="AP5538" s="318"/>
      <c r="AQ5538" s="318"/>
      <c r="AR5538" s="319"/>
    </row>
    <row r="5539" spans="37:44" ht="30" customHeight="1">
      <c r="AK5539" s="318"/>
      <c r="AL5539" s="318"/>
      <c r="AM5539" s="318"/>
      <c r="AN5539" s="318"/>
      <c r="AO5539" s="318"/>
      <c r="AP5539" s="318"/>
      <c r="AQ5539" s="318"/>
      <c r="AR5539" s="319"/>
    </row>
    <row r="5540" spans="37:44" ht="30" customHeight="1">
      <c r="AK5540" s="318"/>
      <c r="AL5540" s="318"/>
      <c r="AM5540" s="318"/>
      <c r="AN5540" s="318"/>
      <c r="AO5540" s="318"/>
      <c r="AP5540" s="318"/>
      <c r="AQ5540" s="318"/>
      <c r="AR5540" s="319"/>
    </row>
    <row r="5541" spans="37:44" ht="30" customHeight="1">
      <c r="AK5541" s="318"/>
      <c r="AL5541" s="318"/>
      <c r="AM5541" s="318"/>
      <c r="AN5541" s="318"/>
      <c r="AO5541" s="318"/>
      <c r="AP5541" s="318"/>
      <c r="AQ5541" s="318"/>
      <c r="AR5541" s="319"/>
    </row>
    <row r="5542" spans="37:44" ht="30" customHeight="1">
      <c r="AK5542" s="318"/>
      <c r="AL5542" s="318"/>
      <c r="AM5542" s="318"/>
      <c r="AN5542" s="318"/>
      <c r="AO5542" s="318"/>
      <c r="AP5542" s="318"/>
      <c r="AQ5542" s="318"/>
      <c r="AR5542" s="319"/>
    </row>
    <row r="5543" spans="37:44" ht="30" customHeight="1">
      <c r="AK5543" s="318"/>
      <c r="AL5543" s="318"/>
      <c r="AM5543" s="318"/>
      <c r="AN5543" s="318"/>
      <c r="AO5543" s="318"/>
      <c r="AP5543" s="318"/>
      <c r="AQ5543" s="318"/>
      <c r="AR5543" s="319"/>
    </row>
    <row r="5544" spans="37:44" ht="30" customHeight="1">
      <c r="AK5544" s="318"/>
      <c r="AL5544" s="318"/>
      <c r="AM5544" s="318"/>
      <c r="AN5544" s="318"/>
      <c r="AO5544" s="318"/>
      <c r="AP5544" s="318"/>
      <c r="AQ5544" s="318"/>
      <c r="AR5544" s="319"/>
    </row>
    <row r="5545" spans="37:44" ht="30" customHeight="1">
      <c r="AK5545" s="318"/>
      <c r="AL5545" s="318"/>
      <c r="AM5545" s="318"/>
      <c r="AN5545" s="318"/>
      <c r="AO5545" s="318"/>
      <c r="AP5545" s="318"/>
      <c r="AQ5545" s="318"/>
      <c r="AR5545" s="319"/>
    </row>
    <row r="5546" spans="37:44" ht="30" customHeight="1">
      <c r="AK5546" s="318"/>
      <c r="AL5546" s="318"/>
      <c r="AM5546" s="318"/>
      <c r="AN5546" s="318"/>
      <c r="AO5546" s="318"/>
      <c r="AP5546" s="318"/>
      <c r="AQ5546" s="318"/>
      <c r="AR5546" s="319"/>
    </row>
    <row r="5547" spans="37:44" ht="30" customHeight="1">
      <c r="AK5547" s="318"/>
      <c r="AL5547" s="318"/>
      <c r="AM5547" s="318"/>
      <c r="AN5547" s="318"/>
      <c r="AO5547" s="318"/>
      <c r="AP5547" s="318"/>
      <c r="AQ5547" s="318"/>
      <c r="AR5547" s="319"/>
    </row>
    <row r="5548" spans="37:44" ht="30" customHeight="1">
      <c r="AK5548" s="318"/>
      <c r="AL5548" s="318"/>
      <c r="AM5548" s="318"/>
      <c r="AN5548" s="318"/>
      <c r="AO5548" s="318"/>
      <c r="AP5548" s="318"/>
      <c r="AQ5548" s="318"/>
      <c r="AR5548" s="319"/>
    </row>
    <row r="5549" spans="37:44" ht="30" customHeight="1">
      <c r="AK5549" s="318"/>
      <c r="AL5549" s="318"/>
      <c r="AM5549" s="318"/>
      <c r="AN5549" s="318"/>
      <c r="AO5549" s="318"/>
      <c r="AP5549" s="318"/>
      <c r="AQ5549" s="318"/>
      <c r="AR5549" s="319"/>
    </row>
    <row r="5550" spans="37:44" ht="30" customHeight="1">
      <c r="AK5550" s="318"/>
      <c r="AL5550" s="318"/>
      <c r="AM5550" s="318"/>
      <c r="AN5550" s="318"/>
      <c r="AO5550" s="318"/>
      <c r="AP5550" s="318"/>
      <c r="AQ5550" s="318"/>
      <c r="AR5550" s="319"/>
    </row>
    <row r="5551" spans="37:44" ht="30" customHeight="1">
      <c r="AK5551" s="318"/>
      <c r="AL5551" s="318"/>
      <c r="AM5551" s="318"/>
      <c r="AN5551" s="318"/>
      <c r="AO5551" s="318"/>
      <c r="AP5551" s="318"/>
      <c r="AQ5551" s="318"/>
      <c r="AR5551" s="319"/>
    </row>
    <row r="5552" spans="37:44" ht="30" customHeight="1">
      <c r="AK5552" s="318"/>
      <c r="AL5552" s="318"/>
      <c r="AM5552" s="318"/>
      <c r="AN5552" s="318"/>
      <c r="AO5552" s="318"/>
      <c r="AP5552" s="318"/>
      <c r="AQ5552" s="318"/>
      <c r="AR5552" s="319"/>
    </row>
    <row r="5553" spans="37:44" ht="30" customHeight="1">
      <c r="AK5553" s="318"/>
      <c r="AL5553" s="318"/>
      <c r="AM5553" s="318"/>
      <c r="AN5553" s="318"/>
      <c r="AO5553" s="318"/>
      <c r="AP5553" s="318"/>
      <c r="AQ5553" s="318"/>
      <c r="AR5553" s="319"/>
    </row>
    <row r="5554" spans="37:44" ht="30" customHeight="1">
      <c r="AK5554" s="318"/>
      <c r="AL5554" s="318"/>
      <c r="AM5554" s="318"/>
      <c r="AN5554" s="318"/>
      <c r="AO5554" s="318"/>
      <c r="AP5554" s="318"/>
      <c r="AQ5554" s="318"/>
      <c r="AR5554" s="319"/>
    </row>
    <row r="5555" spans="37:44" ht="30" customHeight="1">
      <c r="AK5555" s="318"/>
      <c r="AL5555" s="318"/>
      <c r="AM5555" s="318"/>
      <c r="AN5555" s="318"/>
      <c r="AO5555" s="318"/>
      <c r="AP5555" s="318"/>
      <c r="AQ5555" s="318"/>
      <c r="AR5555" s="319"/>
    </row>
    <row r="5556" spans="37:44" ht="30" customHeight="1">
      <c r="AK5556" s="318"/>
      <c r="AL5556" s="318"/>
      <c r="AM5556" s="318"/>
      <c r="AN5556" s="318"/>
      <c r="AO5556" s="318"/>
      <c r="AP5556" s="318"/>
      <c r="AQ5556" s="318"/>
      <c r="AR5556" s="319"/>
    </row>
    <row r="5557" spans="37:44" ht="30" customHeight="1">
      <c r="AK5557" s="318"/>
      <c r="AL5557" s="318"/>
      <c r="AM5557" s="318"/>
      <c r="AN5557" s="318"/>
      <c r="AO5557" s="318"/>
      <c r="AP5557" s="318"/>
      <c r="AQ5557" s="318"/>
      <c r="AR5557" s="319"/>
    </row>
    <row r="5558" spans="37:44" ht="30" customHeight="1">
      <c r="AK5558" s="318"/>
      <c r="AL5558" s="318"/>
      <c r="AM5558" s="318"/>
      <c r="AN5558" s="318"/>
      <c r="AO5558" s="318"/>
      <c r="AP5558" s="318"/>
      <c r="AQ5558" s="318"/>
      <c r="AR5558" s="319"/>
    </row>
    <row r="5559" spans="37:44" ht="30" customHeight="1">
      <c r="AK5559" s="318"/>
      <c r="AL5559" s="318"/>
      <c r="AM5559" s="318"/>
      <c r="AN5559" s="318"/>
      <c r="AO5559" s="318"/>
      <c r="AP5559" s="318"/>
      <c r="AQ5559" s="318"/>
      <c r="AR5559" s="319"/>
    </row>
    <row r="5560" spans="37:44" ht="30" customHeight="1">
      <c r="AK5560" s="318"/>
      <c r="AL5560" s="318"/>
      <c r="AM5560" s="318"/>
      <c r="AN5560" s="318"/>
      <c r="AO5560" s="318"/>
      <c r="AP5560" s="318"/>
      <c r="AQ5560" s="318"/>
      <c r="AR5560" s="319"/>
    </row>
    <row r="5561" spans="37:44" ht="30" customHeight="1">
      <c r="AK5561" s="318"/>
      <c r="AL5561" s="318"/>
      <c r="AM5561" s="318"/>
      <c r="AN5561" s="318"/>
      <c r="AO5561" s="318"/>
      <c r="AP5561" s="318"/>
      <c r="AQ5561" s="318"/>
      <c r="AR5561" s="319"/>
    </row>
    <row r="5562" spans="37:44" ht="30" customHeight="1">
      <c r="AK5562" s="318"/>
      <c r="AL5562" s="318"/>
      <c r="AM5562" s="318"/>
      <c r="AN5562" s="318"/>
      <c r="AO5562" s="318"/>
      <c r="AP5562" s="318"/>
      <c r="AQ5562" s="318"/>
      <c r="AR5562" s="319"/>
    </row>
    <row r="5563" spans="37:44" ht="30" customHeight="1">
      <c r="AK5563" s="318"/>
      <c r="AL5563" s="318"/>
      <c r="AM5563" s="318"/>
      <c r="AN5563" s="318"/>
      <c r="AO5563" s="318"/>
      <c r="AP5563" s="318"/>
      <c r="AQ5563" s="318"/>
      <c r="AR5563" s="319"/>
    </row>
    <row r="5564" spans="37:44" ht="30" customHeight="1">
      <c r="AK5564" s="318"/>
      <c r="AL5564" s="318"/>
      <c r="AM5564" s="318"/>
      <c r="AN5564" s="318"/>
      <c r="AO5564" s="318"/>
      <c r="AP5564" s="318"/>
      <c r="AQ5564" s="318"/>
      <c r="AR5564" s="319"/>
    </row>
    <row r="5565" spans="37:44" ht="30" customHeight="1">
      <c r="AK5565" s="318"/>
      <c r="AL5565" s="318"/>
      <c r="AM5565" s="318"/>
      <c r="AN5565" s="318"/>
      <c r="AO5565" s="318"/>
      <c r="AP5565" s="318"/>
      <c r="AQ5565" s="318"/>
      <c r="AR5565" s="319"/>
    </row>
    <row r="5566" spans="37:44" ht="30" customHeight="1">
      <c r="AK5566" s="318"/>
      <c r="AL5566" s="318"/>
      <c r="AM5566" s="318"/>
      <c r="AN5566" s="318"/>
      <c r="AO5566" s="318"/>
      <c r="AP5566" s="318"/>
      <c r="AQ5566" s="318"/>
      <c r="AR5566" s="319"/>
    </row>
    <row r="5567" spans="37:44" ht="30" customHeight="1">
      <c r="AK5567" s="318"/>
      <c r="AL5567" s="318"/>
      <c r="AM5567" s="318"/>
      <c r="AN5567" s="318"/>
      <c r="AO5567" s="318"/>
      <c r="AP5567" s="318"/>
      <c r="AQ5567" s="318"/>
      <c r="AR5567" s="319"/>
    </row>
    <row r="5568" spans="37:44" ht="30" customHeight="1">
      <c r="AK5568" s="318"/>
      <c r="AL5568" s="318"/>
      <c r="AM5568" s="318"/>
      <c r="AN5568" s="318"/>
      <c r="AO5568" s="318"/>
      <c r="AP5568" s="318"/>
      <c r="AQ5568" s="318"/>
      <c r="AR5568" s="319"/>
    </row>
    <row r="5569" spans="37:44" ht="30" customHeight="1">
      <c r="AK5569" s="318"/>
      <c r="AL5569" s="318"/>
      <c r="AM5569" s="318"/>
      <c r="AN5569" s="318"/>
      <c r="AO5569" s="318"/>
      <c r="AP5569" s="318"/>
      <c r="AQ5569" s="318"/>
      <c r="AR5569" s="319"/>
    </row>
    <row r="5570" spans="37:44" ht="30" customHeight="1">
      <c r="AK5570" s="318"/>
      <c r="AL5570" s="318"/>
      <c r="AM5570" s="318"/>
      <c r="AN5570" s="318"/>
      <c r="AO5570" s="318"/>
      <c r="AP5570" s="318"/>
      <c r="AQ5570" s="318"/>
      <c r="AR5570" s="319"/>
    </row>
    <row r="5571" spans="37:44" ht="30" customHeight="1">
      <c r="AK5571" s="318"/>
      <c r="AL5571" s="318"/>
      <c r="AM5571" s="318"/>
      <c r="AN5571" s="318"/>
      <c r="AO5571" s="318"/>
      <c r="AP5571" s="318"/>
      <c r="AQ5571" s="318"/>
      <c r="AR5571" s="319"/>
    </row>
    <row r="5572" spans="37:44" ht="30" customHeight="1">
      <c r="AK5572" s="318"/>
      <c r="AL5572" s="318"/>
      <c r="AM5572" s="318"/>
      <c r="AN5572" s="318"/>
      <c r="AO5572" s="318"/>
      <c r="AP5572" s="318"/>
      <c r="AQ5572" s="318"/>
      <c r="AR5572" s="319"/>
    </row>
    <row r="5573" spans="37:44" ht="30" customHeight="1">
      <c r="AK5573" s="318"/>
      <c r="AL5573" s="318"/>
      <c r="AM5573" s="318"/>
      <c r="AN5573" s="318"/>
      <c r="AO5573" s="318"/>
      <c r="AP5573" s="318"/>
      <c r="AQ5573" s="318"/>
      <c r="AR5573" s="319"/>
    </row>
    <row r="5574" spans="37:44" ht="30" customHeight="1">
      <c r="AK5574" s="318"/>
      <c r="AL5574" s="318"/>
      <c r="AM5574" s="318"/>
      <c r="AN5574" s="318"/>
      <c r="AO5574" s="318"/>
      <c r="AP5574" s="318"/>
      <c r="AQ5574" s="318"/>
      <c r="AR5574" s="319"/>
    </row>
    <row r="5575" spans="37:44" ht="30" customHeight="1">
      <c r="AK5575" s="318"/>
      <c r="AL5575" s="318"/>
      <c r="AM5575" s="318"/>
      <c r="AN5575" s="318"/>
      <c r="AO5575" s="318"/>
      <c r="AP5575" s="318"/>
      <c r="AQ5575" s="318"/>
      <c r="AR5575" s="319"/>
    </row>
    <row r="5576" spans="37:44" ht="30" customHeight="1">
      <c r="AK5576" s="318"/>
      <c r="AL5576" s="318"/>
      <c r="AM5576" s="318"/>
      <c r="AN5576" s="318"/>
      <c r="AO5576" s="318"/>
      <c r="AP5576" s="318"/>
      <c r="AQ5576" s="318"/>
      <c r="AR5576" s="319"/>
    </row>
    <row r="5577" spans="37:44" ht="30" customHeight="1">
      <c r="AK5577" s="318"/>
      <c r="AL5577" s="318"/>
      <c r="AM5577" s="318"/>
      <c r="AN5577" s="318"/>
      <c r="AO5577" s="318"/>
      <c r="AP5577" s="318"/>
      <c r="AQ5577" s="318"/>
      <c r="AR5577" s="319"/>
    </row>
    <row r="5578" spans="37:44" ht="30" customHeight="1">
      <c r="AK5578" s="318"/>
      <c r="AL5578" s="318"/>
      <c r="AM5578" s="318"/>
      <c r="AN5578" s="318"/>
      <c r="AO5578" s="318"/>
      <c r="AP5578" s="318"/>
      <c r="AQ5578" s="318"/>
      <c r="AR5578" s="319"/>
    </row>
    <row r="5579" spans="37:44" ht="30" customHeight="1">
      <c r="AK5579" s="318"/>
      <c r="AL5579" s="318"/>
      <c r="AM5579" s="318"/>
      <c r="AN5579" s="318"/>
      <c r="AO5579" s="318"/>
      <c r="AP5579" s="318"/>
      <c r="AQ5579" s="318"/>
      <c r="AR5579" s="319"/>
    </row>
    <row r="5580" spans="37:44" ht="30" customHeight="1">
      <c r="AK5580" s="318"/>
      <c r="AL5580" s="318"/>
      <c r="AM5580" s="318"/>
      <c r="AN5580" s="318"/>
      <c r="AO5580" s="318"/>
      <c r="AP5580" s="318"/>
      <c r="AQ5580" s="318"/>
      <c r="AR5580" s="319"/>
    </row>
    <row r="5581" spans="37:44" ht="30" customHeight="1">
      <c r="AK5581" s="318"/>
      <c r="AL5581" s="318"/>
      <c r="AM5581" s="318"/>
      <c r="AN5581" s="318"/>
      <c r="AO5581" s="318"/>
      <c r="AP5581" s="318"/>
      <c r="AQ5581" s="318"/>
      <c r="AR5581" s="319"/>
    </row>
    <row r="5582" spans="37:44" ht="30" customHeight="1">
      <c r="AK5582" s="318"/>
      <c r="AL5582" s="318"/>
      <c r="AM5582" s="318"/>
      <c r="AN5582" s="318"/>
      <c r="AO5582" s="318"/>
      <c r="AP5582" s="318"/>
      <c r="AQ5582" s="318"/>
      <c r="AR5582" s="319"/>
    </row>
    <row r="5583" spans="37:44" ht="30" customHeight="1">
      <c r="AK5583" s="318"/>
      <c r="AL5583" s="318"/>
      <c r="AM5583" s="318"/>
      <c r="AN5583" s="318"/>
      <c r="AO5583" s="318"/>
      <c r="AP5583" s="318"/>
      <c r="AQ5583" s="318"/>
      <c r="AR5583" s="319"/>
    </row>
    <row r="5584" spans="37:44" ht="30" customHeight="1">
      <c r="AK5584" s="318"/>
      <c r="AL5584" s="318"/>
      <c r="AM5584" s="318"/>
      <c r="AN5584" s="318"/>
      <c r="AO5584" s="318"/>
      <c r="AP5584" s="318"/>
      <c r="AQ5584" s="318"/>
      <c r="AR5584" s="319"/>
    </row>
    <row r="5585" spans="37:44" ht="30" customHeight="1">
      <c r="AK5585" s="318"/>
      <c r="AL5585" s="318"/>
      <c r="AM5585" s="318"/>
      <c r="AN5585" s="318"/>
      <c r="AO5585" s="318"/>
      <c r="AP5585" s="318"/>
      <c r="AQ5585" s="318"/>
      <c r="AR5585" s="319"/>
    </row>
    <row r="5586" spans="37:44" ht="30" customHeight="1">
      <c r="AK5586" s="318"/>
      <c r="AL5586" s="318"/>
      <c r="AM5586" s="318"/>
      <c r="AN5586" s="318"/>
      <c r="AO5586" s="318"/>
      <c r="AP5586" s="318"/>
      <c r="AQ5586" s="318"/>
      <c r="AR5586" s="319"/>
    </row>
    <row r="5587" spans="37:44" ht="30" customHeight="1">
      <c r="AK5587" s="318"/>
      <c r="AL5587" s="318"/>
      <c r="AM5587" s="318"/>
      <c r="AN5587" s="318"/>
      <c r="AO5587" s="318"/>
      <c r="AP5587" s="318"/>
      <c r="AQ5587" s="318"/>
      <c r="AR5587" s="319"/>
    </row>
    <row r="5588" spans="37:44" ht="30" customHeight="1">
      <c r="AK5588" s="318"/>
      <c r="AL5588" s="318"/>
      <c r="AM5588" s="318"/>
      <c r="AN5588" s="318"/>
      <c r="AO5588" s="318"/>
      <c r="AP5588" s="318"/>
      <c r="AQ5588" s="318"/>
      <c r="AR5588" s="319"/>
    </row>
    <row r="5589" spans="37:44" ht="30" customHeight="1">
      <c r="AK5589" s="318"/>
      <c r="AL5589" s="318"/>
      <c r="AM5589" s="318"/>
      <c r="AN5589" s="318"/>
      <c r="AO5589" s="318"/>
      <c r="AP5589" s="318"/>
      <c r="AQ5589" s="318"/>
      <c r="AR5589" s="319"/>
    </row>
    <row r="5590" spans="37:44" ht="30" customHeight="1">
      <c r="AK5590" s="318"/>
      <c r="AL5590" s="318"/>
      <c r="AM5590" s="318"/>
      <c r="AN5590" s="318"/>
      <c r="AO5590" s="318"/>
      <c r="AP5590" s="318"/>
      <c r="AQ5590" s="318"/>
      <c r="AR5590" s="319"/>
    </row>
    <row r="5591" spans="37:44" ht="30" customHeight="1">
      <c r="AK5591" s="318"/>
      <c r="AL5591" s="318"/>
      <c r="AM5591" s="318"/>
      <c r="AN5591" s="318"/>
      <c r="AO5591" s="318"/>
      <c r="AP5591" s="318"/>
      <c r="AQ5591" s="318"/>
      <c r="AR5591" s="319"/>
    </row>
    <row r="5592" spans="37:44" ht="30" customHeight="1">
      <c r="AK5592" s="318"/>
      <c r="AL5592" s="318"/>
      <c r="AM5592" s="318"/>
      <c r="AN5592" s="318"/>
      <c r="AO5592" s="318"/>
      <c r="AP5592" s="318"/>
      <c r="AQ5592" s="318"/>
      <c r="AR5592" s="319"/>
    </row>
    <row r="5593" spans="37:44" ht="30" customHeight="1">
      <c r="AK5593" s="318"/>
      <c r="AL5593" s="318"/>
      <c r="AM5593" s="318"/>
      <c r="AN5593" s="318"/>
      <c r="AO5593" s="318"/>
      <c r="AP5593" s="318"/>
      <c r="AQ5593" s="318"/>
      <c r="AR5593" s="319"/>
    </row>
    <row r="5594" spans="37:44" ht="30" customHeight="1">
      <c r="AK5594" s="318"/>
      <c r="AL5594" s="318"/>
      <c r="AM5594" s="318"/>
      <c r="AN5594" s="318"/>
      <c r="AO5594" s="318"/>
      <c r="AP5594" s="318"/>
      <c r="AQ5594" s="318"/>
      <c r="AR5594" s="319"/>
    </row>
    <row r="5595" spans="37:44" ht="30" customHeight="1">
      <c r="AK5595" s="318"/>
      <c r="AL5595" s="318"/>
      <c r="AM5595" s="318"/>
      <c r="AN5595" s="318"/>
      <c r="AO5595" s="318"/>
      <c r="AP5595" s="318"/>
      <c r="AQ5595" s="318"/>
      <c r="AR5595" s="319"/>
    </row>
    <row r="5596" spans="37:44" ht="30" customHeight="1">
      <c r="AK5596" s="318"/>
      <c r="AL5596" s="318"/>
      <c r="AM5596" s="318"/>
      <c r="AN5596" s="318"/>
      <c r="AO5596" s="318"/>
      <c r="AP5596" s="318"/>
      <c r="AQ5596" s="318"/>
      <c r="AR5596" s="319"/>
    </row>
    <row r="5597" spans="37:44" ht="30" customHeight="1">
      <c r="AK5597" s="318"/>
      <c r="AL5597" s="318"/>
      <c r="AM5597" s="318"/>
      <c r="AN5597" s="318"/>
      <c r="AO5597" s="318"/>
      <c r="AP5597" s="318"/>
      <c r="AQ5597" s="318"/>
      <c r="AR5597" s="319"/>
    </row>
    <row r="5598" spans="37:44" ht="30" customHeight="1">
      <c r="AK5598" s="318"/>
      <c r="AL5598" s="318"/>
      <c r="AM5598" s="318"/>
      <c r="AN5598" s="318"/>
      <c r="AO5598" s="318"/>
      <c r="AP5598" s="318"/>
      <c r="AQ5598" s="318"/>
      <c r="AR5598" s="319"/>
    </row>
    <row r="5599" spans="37:44" ht="30" customHeight="1">
      <c r="AK5599" s="318"/>
      <c r="AL5599" s="318"/>
      <c r="AM5599" s="318"/>
      <c r="AN5599" s="318"/>
      <c r="AO5599" s="318"/>
      <c r="AP5599" s="318"/>
      <c r="AQ5599" s="318"/>
      <c r="AR5599" s="319"/>
    </row>
    <row r="5600" spans="37:44" ht="30" customHeight="1">
      <c r="AK5600" s="318"/>
      <c r="AL5600" s="318"/>
      <c r="AM5600" s="318"/>
      <c r="AN5600" s="318"/>
      <c r="AO5600" s="318"/>
      <c r="AP5600" s="318"/>
      <c r="AQ5600" s="318"/>
      <c r="AR5600" s="319"/>
    </row>
    <row r="5601" spans="37:44" ht="30" customHeight="1">
      <c r="AK5601" s="318"/>
      <c r="AL5601" s="318"/>
      <c r="AM5601" s="318"/>
      <c r="AN5601" s="318"/>
      <c r="AO5601" s="318"/>
      <c r="AP5601" s="318"/>
      <c r="AQ5601" s="318"/>
      <c r="AR5601" s="319"/>
    </row>
    <row r="5602" spans="37:44" ht="30" customHeight="1">
      <c r="AK5602" s="318"/>
      <c r="AL5602" s="318"/>
      <c r="AM5602" s="318"/>
      <c r="AN5602" s="318"/>
      <c r="AO5602" s="318"/>
      <c r="AP5602" s="318"/>
      <c r="AQ5602" s="318"/>
      <c r="AR5602" s="319"/>
    </row>
    <row r="5603" spans="37:44" ht="30" customHeight="1">
      <c r="AK5603" s="318"/>
      <c r="AL5603" s="318"/>
      <c r="AM5603" s="318"/>
      <c r="AN5603" s="318"/>
      <c r="AO5603" s="318"/>
      <c r="AP5603" s="318"/>
      <c r="AQ5603" s="318"/>
      <c r="AR5603" s="319"/>
    </row>
    <row r="5604" spans="37:44" ht="30" customHeight="1">
      <c r="AK5604" s="318"/>
      <c r="AL5604" s="318"/>
      <c r="AM5604" s="318"/>
      <c r="AN5604" s="318"/>
      <c r="AO5604" s="318"/>
      <c r="AP5604" s="318"/>
      <c r="AQ5604" s="318"/>
      <c r="AR5604" s="319"/>
    </row>
    <row r="5605" spans="37:44" ht="30" customHeight="1">
      <c r="AK5605" s="318"/>
      <c r="AL5605" s="318"/>
      <c r="AM5605" s="318"/>
      <c r="AN5605" s="318"/>
      <c r="AO5605" s="318"/>
      <c r="AP5605" s="318"/>
      <c r="AQ5605" s="318"/>
      <c r="AR5605" s="319"/>
    </row>
    <row r="5606" spans="37:44" ht="30" customHeight="1">
      <c r="AK5606" s="318"/>
      <c r="AL5606" s="318"/>
      <c r="AM5606" s="318"/>
      <c r="AN5606" s="318"/>
      <c r="AO5606" s="318"/>
      <c r="AP5606" s="318"/>
      <c r="AQ5606" s="318"/>
      <c r="AR5606" s="319"/>
    </row>
    <row r="5607" spans="37:44" ht="30" customHeight="1">
      <c r="AK5607" s="318"/>
      <c r="AL5607" s="318"/>
      <c r="AM5607" s="318"/>
      <c r="AN5607" s="318"/>
      <c r="AO5607" s="318"/>
      <c r="AP5607" s="318"/>
      <c r="AQ5607" s="318"/>
      <c r="AR5607" s="319"/>
    </row>
    <row r="5608" spans="37:44" ht="30" customHeight="1">
      <c r="AK5608" s="318"/>
      <c r="AL5608" s="318"/>
      <c r="AM5608" s="318"/>
      <c r="AN5608" s="318"/>
      <c r="AO5608" s="318"/>
      <c r="AP5608" s="318"/>
      <c r="AQ5608" s="318"/>
      <c r="AR5608" s="319"/>
    </row>
    <row r="5609" spans="37:44" ht="30" customHeight="1">
      <c r="AK5609" s="318"/>
      <c r="AL5609" s="318"/>
      <c r="AM5609" s="318"/>
      <c r="AN5609" s="318"/>
      <c r="AO5609" s="318"/>
      <c r="AP5609" s="318"/>
      <c r="AQ5609" s="318"/>
      <c r="AR5609" s="319"/>
    </row>
    <row r="5610" spans="37:44" ht="30" customHeight="1">
      <c r="AK5610" s="318"/>
      <c r="AL5610" s="318"/>
      <c r="AM5610" s="318"/>
      <c r="AN5610" s="318"/>
      <c r="AO5610" s="318"/>
      <c r="AP5610" s="318"/>
      <c r="AQ5610" s="318"/>
      <c r="AR5610" s="319"/>
    </row>
    <row r="5611" spans="37:44" ht="30" customHeight="1">
      <c r="AK5611" s="318"/>
      <c r="AL5611" s="318"/>
      <c r="AM5611" s="318"/>
      <c r="AN5611" s="318"/>
      <c r="AO5611" s="318"/>
      <c r="AP5611" s="318"/>
      <c r="AQ5611" s="318"/>
      <c r="AR5611" s="319"/>
    </row>
    <row r="5612" spans="37:44" ht="30" customHeight="1">
      <c r="AK5612" s="318"/>
      <c r="AL5612" s="318"/>
      <c r="AM5612" s="318"/>
      <c r="AN5612" s="318"/>
      <c r="AO5612" s="318"/>
      <c r="AP5612" s="318"/>
      <c r="AQ5612" s="318"/>
      <c r="AR5612" s="319"/>
    </row>
    <row r="5613" spans="37:44" ht="30" customHeight="1">
      <c r="AK5613" s="318"/>
      <c r="AL5613" s="318"/>
      <c r="AM5613" s="318"/>
      <c r="AN5613" s="318"/>
      <c r="AO5613" s="318"/>
      <c r="AP5613" s="318"/>
      <c r="AQ5613" s="318"/>
      <c r="AR5613" s="319"/>
    </row>
    <row r="5614" spans="37:44" ht="30" customHeight="1">
      <c r="AK5614" s="318"/>
      <c r="AL5614" s="318"/>
      <c r="AM5614" s="318"/>
      <c r="AN5614" s="318"/>
      <c r="AO5614" s="318"/>
      <c r="AP5614" s="318"/>
      <c r="AQ5614" s="318"/>
      <c r="AR5614" s="319"/>
    </row>
    <row r="5615" spans="37:44" ht="30" customHeight="1">
      <c r="AK5615" s="318"/>
      <c r="AL5615" s="318"/>
      <c r="AM5615" s="318"/>
      <c r="AN5615" s="318"/>
      <c r="AO5615" s="318"/>
      <c r="AP5615" s="318"/>
      <c r="AQ5615" s="318"/>
      <c r="AR5615" s="319"/>
    </row>
    <row r="5616" spans="37:44" ht="30" customHeight="1">
      <c r="AK5616" s="318"/>
      <c r="AL5616" s="318"/>
      <c r="AM5616" s="318"/>
      <c r="AN5616" s="318"/>
      <c r="AO5616" s="318"/>
      <c r="AP5616" s="318"/>
      <c r="AQ5616" s="318"/>
      <c r="AR5616" s="319"/>
    </row>
    <row r="5617" spans="37:44" ht="30" customHeight="1">
      <c r="AK5617" s="318"/>
      <c r="AL5617" s="318"/>
      <c r="AM5617" s="318"/>
      <c r="AN5617" s="318"/>
      <c r="AO5617" s="318"/>
      <c r="AP5617" s="318"/>
      <c r="AQ5617" s="318"/>
      <c r="AR5617" s="319"/>
    </row>
    <row r="5618" spans="37:44" ht="30" customHeight="1">
      <c r="AK5618" s="318"/>
      <c r="AL5618" s="318"/>
      <c r="AM5618" s="318"/>
      <c r="AN5618" s="318"/>
      <c r="AO5618" s="318"/>
      <c r="AP5618" s="318"/>
      <c r="AQ5618" s="318"/>
      <c r="AR5618" s="319"/>
    </row>
    <row r="5619" spans="37:44" ht="30" customHeight="1">
      <c r="AK5619" s="318"/>
      <c r="AL5619" s="318"/>
      <c r="AM5619" s="318"/>
      <c r="AN5619" s="318"/>
      <c r="AO5619" s="318"/>
      <c r="AP5619" s="318"/>
      <c r="AQ5619" s="318"/>
      <c r="AR5619" s="319"/>
    </row>
    <row r="5620" spans="37:44" ht="30" customHeight="1">
      <c r="AK5620" s="318"/>
      <c r="AL5620" s="318"/>
      <c r="AM5620" s="318"/>
      <c r="AN5620" s="318"/>
      <c r="AO5620" s="318"/>
      <c r="AP5620" s="318"/>
      <c r="AQ5620" s="318"/>
      <c r="AR5620" s="319"/>
    </row>
    <row r="5621" spans="37:44" ht="30" customHeight="1">
      <c r="AK5621" s="318"/>
      <c r="AL5621" s="318"/>
      <c r="AM5621" s="318"/>
      <c r="AN5621" s="318"/>
      <c r="AO5621" s="318"/>
      <c r="AP5621" s="318"/>
      <c r="AQ5621" s="318"/>
      <c r="AR5621" s="319"/>
    </row>
    <row r="5622" spans="37:44" ht="30" customHeight="1">
      <c r="AK5622" s="318"/>
      <c r="AL5622" s="318"/>
      <c r="AM5622" s="318"/>
      <c r="AN5622" s="318"/>
      <c r="AO5622" s="318"/>
      <c r="AP5622" s="318"/>
      <c r="AQ5622" s="318"/>
      <c r="AR5622" s="319"/>
    </row>
    <row r="5623" spans="37:44" ht="30" customHeight="1">
      <c r="AK5623" s="318"/>
      <c r="AL5623" s="318"/>
      <c r="AM5623" s="318"/>
      <c r="AN5623" s="318"/>
      <c r="AO5623" s="318"/>
      <c r="AP5623" s="318"/>
      <c r="AQ5623" s="318"/>
      <c r="AR5623" s="319"/>
    </row>
    <row r="5624" spans="37:44" ht="30" customHeight="1">
      <c r="AK5624" s="318"/>
      <c r="AL5624" s="318"/>
      <c r="AM5624" s="318"/>
      <c r="AN5624" s="318"/>
      <c r="AO5624" s="318"/>
      <c r="AP5624" s="318"/>
      <c r="AQ5624" s="318"/>
      <c r="AR5624" s="319"/>
    </row>
    <row r="5625" spans="37:44" ht="30" customHeight="1">
      <c r="AK5625" s="318"/>
      <c r="AL5625" s="318"/>
      <c r="AM5625" s="318"/>
      <c r="AN5625" s="318"/>
      <c r="AO5625" s="318"/>
      <c r="AP5625" s="318"/>
      <c r="AQ5625" s="318"/>
      <c r="AR5625" s="319"/>
    </row>
    <row r="5626" spans="37:44" ht="30" customHeight="1">
      <c r="AK5626" s="318"/>
      <c r="AL5626" s="318"/>
      <c r="AM5626" s="318"/>
      <c r="AN5626" s="318"/>
      <c r="AO5626" s="318"/>
      <c r="AP5626" s="318"/>
      <c r="AQ5626" s="318"/>
      <c r="AR5626" s="319"/>
    </row>
    <row r="5627" spans="37:44" ht="30" customHeight="1">
      <c r="AK5627" s="318"/>
      <c r="AL5627" s="318"/>
      <c r="AM5627" s="318"/>
      <c r="AN5627" s="318"/>
      <c r="AO5627" s="318"/>
      <c r="AP5627" s="318"/>
      <c r="AQ5627" s="318"/>
      <c r="AR5627" s="319"/>
    </row>
    <row r="5628" spans="37:44" ht="30" customHeight="1">
      <c r="AK5628" s="318"/>
      <c r="AL5628" s="318"/>
      <c r="AM5628" s="318"/>
      <c r="AN5628" s="318"/>
      <c r="AO5628" s="318"/>
      <c r="AP5628" s="318"/>
      <c r="AQ5628" s="318"/>
      <c r="AR5628" s="319"/>
    </row>
    <row r="5629" spans="37:44" ht="30" customHeight="1">
      <c r="AK5629" s="318"/>
      <c r="AL5629" s="318"/>
      <c r="AM5629" s="318"/>
      <c r="AN5629" s="318"/>
      <c r="AO5629" s="318"/>
      <c r="AP5629" s="318"/>
      <c r="AQ5629" s="318"/>
      <c r="AR5629" s="319"/>
    </row>
    <row r="5630" spans="37:44" ht="30" customHeight="1">
      <c r="AK5630" s="318"/>
      <c r="AL5630" s="318"/>
      <c r="AM5630" s="318"/>
      <c r="AN5630" s="318"/>
      <c r="AO5630" s="318"/>
      <c r="AP5630" s="318"/>
      <c r="AQ5630" s="318"/>
      <c r="AR5630" s="319"/>
    </row>
    <row r="5631" spans="37:44" ht="30" customHeight="1">
      <c r="AK5631" s="318"/>
      <c r="AL5631" s="318"/>
      <c r="AM5631" s="318"/>
      <c r="AN5631" s="318"/>
      <c r="AO5631" s="318"/>
      <c r="AP5631" s="318"/>
      <c r="AQ5631" s="318"/>
      <c r="AR5631" s="319"/>
    </row>
    <row r="5632" spans="37:44" ht="30" customHeight="1">
      <c r="AK5632" s="318"/>
      <c r="AL5632" s="318"/>
      <c r="AM5632" s="318"/>
      <c r="AN5632" s="318"/>
      <c r="AO5632" s="318"/>
      <c r="AP5632" s="318"/>
      <c r="AQ5632" s="318"/>
      <c r="AR5632" s="319"/>
    </row>
    <row r="5633" spans="37:44" ht="30" customHeight="1">
      <c r="AK5633" s="318"/>
      <c r="AL5633" s="318"/>
      <c r="AM5633" s="318"/>
      <c r="AN5633" s="318"/>
      <c r="AO5633" s="318"/>
      <c r="AP5633" s="318"/>
      <c r="AQ5633" s="318"/>
      <c r="AR5633" s="319"/>
    </row>
    <row r="5634" spans="37:44" ht="30" customHeight="1">
      <c r="AK5634" s="318"/>
      <c r="AL5634" s="318"/>
      <c r="AM5634" s="318"/>
      <c r="AN5634" s="318"/>
      <c r="AO5634" s="318"/>
      <c r="AP5634" s="318"/>
      <c r="AQ5634" s="318"/>
      <c r="AR5634" s="319"/>
    </row>
    <row r="5635" spans="37:44" ht="30" customHeight="1">
      <c r="AK5635" s="318"/>
      <c r="AL5635" s="318"/>
      <c r="AM5635" s="318"/>
      <c r="AN5635" s="318"/>
      <c r="AO5635" s="318"/>
      <c r="AP5635" s="318"/>
      <c r="AQ5635" s="318"/>
      <c r="AR5635" s="319"/>
    </row>
    <row r="5636" spans="37:44" ht="30" customHeight="1">
      <c r="AK5636" s="318"/>
      <c r="AL5636" s="318"/>
      <c r="AM5636" s="318"/>
      <c r="AN5636" s="318"/>
      <c r="AO5636" s="318"/>
      <c r="AP5636" s="318"/>
      <c r="AQ5636" s="318"/>
      <c r="AR5636" s="319"/>
    </row>
    <row r="5637" spans="37:44" ht="30" customHeight="1">
      <c r="AK5637" s="318"/>
      <c r="AL5637" s="318"/>
      <c r="AM5637" s="318"/>
      <c r="AN5637" s="318"/>
      <c r="AO5637" s="318"/>
      <c r="AP5637" s="318"/>
      <c r="AQ5637" s="318"/>
      <c r="AR5637" s="319"/>
    </row>
    <row r="5638" spans="37:44" ht="30" customHeight="1">
      <c r="AK5638" s="318"/>
      <c r="AL5638" s="318"/>
      <c r="AM5638" s="318"/>
      <c r="AN5638" s="318"/>
      <c r="AO5638" s="318"/>
      <c r="AP5638" s="318"/>
      <c r="AQ5638" s="318"/>
      <c r="AR5638" s="319"/>
    </row>
    <row r="5639" spans="37:44" ht="30" customHeight="1">
      <c r="AK5639" s="318"/>
      <c r="AL5639" s="318"/>
      <c r="AM5639" s="318"/>
      <c r="AN5639" s="318"/>
      <c r="AO5639" s="318"/>
      <c r="AP5639" s="318"/>
      <c r="AQ5639" s="318"/>
      <c r="AR5639" s="319"/>
    </row>
    <row r="5640" spans="37:44" ht="30" customHeight="1">
      <c r="AK5640" s="318"/>
      <c r="AL5640" s="318"/>
      <c r="AM5640" s="318"/>
      <c r="AN5640" s="318"/>
      <c r="AO5640" s="318"/>
      <c r="AP5640" s="318"/>
      <c r="AQ5640" s="318"/>
      <c r="AR5640" s="319"/>
    </row>
    <row r="5641" spans="37:44" ht="30" customHeight="1">
      <c r="AK5641" s="318"/>
      <c r="AL5641" s="318"/>
      <c r="AM5641" s="318"/>
      <c r="AN5641" s="318"/>
      <c r="AO5641" s="318"/>
      <c r="AP5641" s="318"/>
      <c r="AQ5641" s="318"/>
      <c r="AR5641" s="319"/>
    </row>
    <row r="5642" spans="37:44" ht="30" customHeight="1">
      <c r="AK5642" s="318"/>
      <c r="AL5642" s="318"/>
      <c r="AM5642" s="318"/>
      <c r="AN5642" s="318"/>
      <c r="AO5642" s="318"/>
      <c r="AP5642" s="318"/>
      <c r="AQ5642" s="318"/>
      <c r="AR5642" s="319"/>
    </row>
    <row r="5643" spans="37:44" ht="30" customHeight="1">
      <c r="AK5643" s="318"/>
      <c r="AL5643" s="318"/>
      <c r="AM5643" s="318"/>
      <c r="AN5643" s="318"/>
      <c r="AO5643" s="318"/>
      <c r="AP5643" s="318"/>
      <c r="AQ5643" s="318"/>
      <c r="AR5643" s="319"/>
    </row>
    <row r="5644" spans="37:44" ht="30" customHeight="1">
      <c r="AK5644" s="318"/>
      <c r="AL5644" s="318"/>
      <c r="AM5644" s="318"/>
      <c r="AN5644" s="318"/>
      <c r="AO5644" s="318"/>
      <c r="AP5644" s="318"/>
      <c r="AQ5644" s="318"/>
      <c r="AR5644" s="319"/>
    </row>
    <row r="5645" spans="37:44" ht="30" customHeight="1">
      <c r="AK5645" s="318"/>
      <c r="AL5645" s="318"/>
      <c r="AM5645" s="318"/>
      <c r="AN5645" s="318"/>
      <c r="AO5645" s="318"/>
      <c r="AP5645" s="318"/>
      <c r="AQ5645" s="318"/>
      <c r="AR5645" s="319"/>
    </row>
    <row r="5646" spans="37:44" ht="30" customHeight="1">
      <c r="AK5646" s="318"/>
      <c r="AL5646" s="318"/>
      <c r="AM5646" s="318"/>
      <c r="AN5646" s="318"/>
      <c r="AO5646" s="318"/>
      <c r="AP5646" s="318"/>
      <c r="AQ5646" s="318"/>
      <c r="AR5646" s="319"/>
    </row>
    <row r="5647" spans="37:44" ht="30" customHeight="1">
      <c r="AK5647" s="318"/>
      <c r="AL5647" s="318"/>
      <c r="AM5647" s="318"/>
      <c r="AN5647" s="318"/>
      <c r="AO5647" s="318"/>
      <c r="AP5647" s="318"/>
      <c r="AQ5647" s="318"/>
      <c r="AR5647" s="319"/>
    </row>
    <row r="5648" spans="37:44" ht="30" customHeight="1">
      <c r="AK5648" s="318"/>
      <c r="AL5648" s="318"/>
      <c r="AM5648" s="318"/>
      <c r="AN5648" s="318"/>
      <c r="AO5648" s="318"/>
      <c r="AP5648" s="318"/>
      <c r="AQ5648" s="318"/>
      <c r="AR5648" s="319"/>
    </row>
    <row r="5649" spans="37:44" ht="30" customHeight="1">
      <c r="AK5649" s="318"/>
      <c r="AL5649" s="318"/>
      <c r="AM5649" s="318"/>
      <c r="AN5649" s="318"/>
      <c r="AO5649" s="318"/>
      <c r="AP5649" s="318"/>
      <c r="AQ5649" s="318"/>
      <c r="AR5649" s="319"/>
    </row>
    <row r="5650" spans="37:44" ht="30" customHeight="1">
      <c r="AK5650" s="318"/>
      <c r="AL5650" s="318"/>
      <c r="AM5650" s="318"/>
      <c r="AN5650" s="318"/>
      <c r="AO5650" s="318"/>
      <c r="AP5650" s="318"/>
      <c r="AQ5650" s="318"/>
      <c r="AR5650" s="319"/>
    </row>
    <row r="5651" spans="37:44" ht="30" customHeight="1">
      <c r="AK5651" s="318"/>
      <c r="AL5651" s="318"/>
      <c r="AM5651" s="318"/>
      <c r="AN5651" s="318"/>
      <c r="AO5651" s="318"/>
      <c r="AP5651" s="318"/>
      <c r="AQ5651" s="318"/>
      <c r="AR5651" s="319"/>
    </row>
    <row r="5652" spans="37:44" ht="30" customHeight="1">
      <c r="AK5652" s="318"/>
      <c r="AL5652" s="318"/>
      <c r="AM5652" s="318"/>
      <c r="AN5652" s="318"/>
      <c r="AO5652" s="318"/>
      <c r="AP5652" s="318"/>
      <c r="AQ5652" s="318"/>
      <c r="AR5652" s="319"/>
    </row>
    <row r="5653" spans="37:44" ht="30" customHeight="1">
      <c r="AK5653" s="318"/>
      <c r="AL5653" s="318"/>
      <c r="AM5653" s="318"/>
      <c r="AN5653" s="318"/>
      <c r="AO5653" s="318"/>
      <c r="AP5653" s="318"/>
      <c r="AQ5653" s="318"/>
      <c r="AR5653" s="319"/>
    </row>
    <row r="5654" spans="37:44" ht="30" customHeight="1">
      <c r="AK5654" s="318"/>
      <c r="AL5654" s="318"/>
      <c r="AM5654" s="318"/>
      <c r="AN5654" s="318"/>
      <c r="AO5654" s="318"/>
      <c r="AP5654" s="318"/>
      <c r="AQ5654" s="318"/>
      <c r="AR5654" s="319"/>
    </row>
    <row r="5655" spans="37:44" ht="30" customHeight="1">
      <c r="AK5655" s="318"/>
      <c r="AL5655" s="318"/>
      <c r="AM5655" s="318"/>
      <c r="AN5655" s="318"/>
      <c r="AO5655" s="318"/>
      <c r="AP5655" s="318"/>
      <c r="AQ5655" s="318"/>
      <c r="AR5655" s="319"/>
    </row>
    <row r="5656" spans="37:44" ht="30" customHeight="1">
      <c r="AK5656" s="318"/>
      <c r="AL5656" s="318"/>
      <c r="AM5656" s="318"/>
      <c r="AN5656" s="318"/>
      <c r="AO5656" s="318"/>
      <c r="AP5656" s="318"/>
      <c r="AQ5656" s="318"/>
      <c r="AR5656" s="319"/>
    </row>
    <row r="5657" spans="37:44" ht="30" customHeight="1">
      <c r="AK5657" s="318"/>
      <c r="AL5657" s="318"/>
      <c r="AM5657" s="318"/>
      <c r="AN5657" s="318"/>
      <c r="AO5657" s="318"/>
      <c r="AP5657" s="318"/>
      <c r="AQ5657" s="318"/>
      <c r="AR5657" s="319"/>
    </row>
    <row r="5658" spans="37:44" ht="30" customHeight="1">
      <c r="AK5658" s="318"/>
      <c r="AL5658" s="318"/>
      <c r="AM5658" s="318"/>
      <c r="AN5658" s="318"/>
      <c r="AO5658" s="318"/>
      <c r="AP5658" s="318"/>
      <c r="AQ5658" s="318"/>
      <c r="AR5658" s="319"/>
    </row>
    <row r="5659" spans="37:44" ht="30" customHeight="1">
      <c r="AK5659" s="318"/>
      <c r="AL5659" s="318"/>
      <c r="AM5659" s="318"/>
      <c r="AN5659" s="318"/>
      <c r="AO5659" s="318"/>
      <c r="AP5659" s="318"/>
      <c r="AQ5659" s="318"/>
      <c r="AR5659" s="319"/>
    </row>
    <row r="5660" spans="37:44" ht="30" customHeight="1">
      <c r="AK5660" s="318"/>
      <c r="AL5660" s="318"/>
      <c r="AM5660" s="318"/>
      <c r="AN5660" s="318"/>
      <c r="AO5660" s="318"/>
      <c r="AP5660" s="318"/>
      <c r="AQ5660" s="318"/>
      <c r="AR5660" s="319"/>
    </row>
    <row r="5661" spans="37:44" ht="30" customHeight="1">
      <c r="AK5661" s="318"/>
      <c r="AL5661" s="318"/>
      <c r="AM5661" s="318"/>
      <c r="AN5661" s="318"/>
      <c r="AO5661" s="318"/>
      <c r="AP5661" s="318"/>
      <c r="AQ5661" s="318"/>
      <c r="AR5661" s="319"/>
    </row>
    <row r="5662" spans="37:44" ht="30" customHeight="1">
      <c r="AK5662" s="318"/>
      <c r="AL5662" s="318"/>
      <c r="AM5662" s="318"/>
      <c r="AN5662" s="318"/>
      <c r="AO5662" s="318"/>
      <c r="AP5662" s="318"/>
      <c r="AQ5662" s="318"/>
      <c r="AR5662" s="319"/>
    </row>
    <row r="5663" spans="37:44" ht="30" customHeight="1">
      <c r="AK5663" s="318"/>
      <c r="AL5663" s="318"/>
      <c r="AM5663" s="318"/>
      <c r="AN5663" s="318"/>
      <c r="AO5663" s="318"/>
      <c r="AP5663" s="318"/>
      <c r="AQ5663" s="318"/>
      <c r="AR5663" s="319"/>
    </row>
    <row r="5664" spans="37:44" ht="30" customHeight="1">
      <c r="AK5664" s="318"/>
      <c r="AL5664" s="318"/>
      <c r="AM5664" s="318"/>
      <c r="AN5664" s="318"/>
      <c r="AO5664" s="318"/>
      <c r="AP5664" s="318"/>
      <c r="AQ5664" s="318"/>
      <c r="AR5664" s="319"/>
    </row>
    <row r="5665" spans="37:44" ht="30" customHeight="1">
      <c r="AK5665" s="318"/>
      <c r="AL5665" s="318"/>
      <c r="AM5665" s="318"/>
      <c r="AN5665" s="318"/>
      <c r="AO5665" s="318"/>
      <c r="AP5665" s="318"/>
      <c r="AQ5665" s="318"/>
      <c r="AR5665" s="319"/>
    </row>
    <row r="5666" spans="37:44" ht="30" customHeight="1">
      <c r="AK5666" s="318"/>
      <c r="AL5666" s="318"/>
      <c r="AM5666" s="318"/>
      <c r="AN5666" s="318"/>
      <c r="AO5666" s="318"/>
      <c r="AP5666" s="318"/>
      <c r="AQ5666" s="318"/>
      <c r="AR5666" s="319"/>
    </row>
    <row r="5667" spans="37:44" ht="30" customHeight="1">
      <c r="AK5667" s="318"/>
      <c r="AL5667" s="318"/>
      <c r="AM5667" s="318"/>
      <c r="AN5667" s="318"/>
      <c r="AO5667" s="318"/>
      <c r="AP5667" s="318"/>
      <c r="AQ5667" s="318"/>
      <c r="AR5667" s="319"/>
    </row>
    <row r="5668" spans="37:44" ht="30" customHeight="1">
      <c r="AK5668" s="318"/>
      <c r="AL5668" s="318"/>
      <c r="AM5668" s="318"/>
      <c r="AN5668" s="318"/>
      <c r="AO5668" s="318"/>
      <c r="AP5668" s="318"/>
      <c r="AQ5668" s="318"/>
      <c r="AR5668" s="319"/>
    </row>
    <row r="5669" spans="37:44" ht="30" customHeight="1">
      <c r="AK5669" s="318"/>
      <c r="AL5669" s="318"/>
      <c r="AM5669" s="318"/>
      <c r="AN5669" s="318"/>
      <c r="AO5669" s="318"/>
      <c r="AP5669" s="318"/>
      <c r="AQ5669" s="318"/>
      <c r="AR5669" s="319"/>
    </row>
    <row r="5670" spans="37:44" ht="30" customHeight="1">
      <c r="AK5670" s="318"/>
      <c r="AL5670" s="318"/>
      <c r="AM5670" s="318"/>
      <c r="AN5670" s="318"/>
      <c r="AO5670" s="318"/>
      <c r="AP5670" s="318"/>
      <c r="AQ5670" s="318"/>
      <c r="AR5670" s="319"/>
    </row>
    <row r="5671" spans="37:44" ht="30" customHeight="1">
      <c r="AK5671" s="318"/>
      <c r="AL5671" s="318"/>
      <c r="AM5671" s="318"/>
      <c r="AN5671" s="318"/>
      <c r="AO5671" s="318"/>
      <c r="AP5671" s="318"/>
      <c r="AQ5671" s="318"/>
      <c r="AR5671" s="319"/>
    </row>
    <row r="5672" spans="37:44" ht="30" customHeight="1">
      <c r="AK5672" s="318"/>
      <c r="AL5672" s="318"/>
      <c r="AM5672" s="318"/>
      <c r="AN5672" s="318"/>
      <c r="AO5672" s="318"/>
      <c r="AP5672" s="318"/>
      <c r="AQ5672" s="318"/>
      <c r="AR5672" s="319"/>
    </row>
    <row r="5673" spans="37:44" ht="30" customHeight="1">
      <c r="AK5673" s="318"/>
      <c r="AL5673" s="318"/>
      <c r="AM5673" s="318"/>
      <c r="AN5673" s="318"/>
      <c r="AO5673" s="318"/>
      <c r="AP5673" s="318"/>
      <c r="AQ5673" s="318"/>
      <c r="AR5673" s="319"/>
    </row>
    <row r="5674" spans="37:44" ht="30" customHeight="1">
      <c r="AK5674" s="318"/>
      <c r="AL5674" s="318"/>
      <c r="AM5674" s="318"/>
      <c r="AN5674" s="318"/>
      <c r="AO5674" s="318"/>
      <c r="AP5674" s="318"/>
      <c r="AQ5674" s="318"/>
      <c r="AR5674" s="319"/>
    </row>
    <row r="5675" spans="37:44" ht="30" customHeight="1">
      <c r="AK5675" s="318"/>
      <c r="AL5675" s="318"/>
      <c r="AM5675" s="318"/>
      <c r="AN5675" s="318"/>
      <c r="AO5675" s="318"/>
      <c r="AP5675" s="318"/>
      <c r="AQ5675" s="318"/>
      <c r="AR5675" s="319"/>
    </row>
    <row r="5676" spans="37:44" ht="30" customHeight="1">
      <c r="AK5676" s="318"/>
      <c r="AL5676" s="318"/>
      <c r="AM5676" s="318"/>
      <c r="AN5676" s="318"/>
      <c r="AO5676" s="318"/>
      <c r="AP5676" s="318"/>
      <c r="AQ5676" s="318"/>
      <c r="AR5676" s="319"/>
    </row>
    <row r="5677" spans="37:44" ht="30" customHeight="1">
      <c r="AK5677" s="318"/>
      <c r="AL5677" s="318"/>
      <c r="AM5677" s="318"/>
      <c r="AN5677" s="318"/>
      <c r="AO5677" s="318"/>
      <c r="AP5677" s="318"/>
      <c r="AQ5677" s="318"/>
      <c r="AR5677" s="319"/>
    </row>
    <row r="5678" spans="37:44" ht="30" customHeight="1">
      <c r="AK5678" s="318"/>
      <c r="AL5678" s="318"/>
      <c r="AM5678" s="318"/>
      <c r="AN5678" s="318"/>
      <c r="AO5678" s="318"/>
      <c r="AP5678" s="318"/>
      <c r="AQ5678" s="318"/>
      <c r="AR5678" s="319"/>
    </row>
    <row r="5679" spans="37:44" ht="30" customHeight="1">
      <c r="AK5679" s="318"/>
      <c r="AL5679" s="318"/>
      <c r="AM5679" s="318"/>
      <c r="AN5679" s="318"/>
      <c r="AO5679" s="318"/>
      <c r="AP5679" s="318"/>
      <c r="AQ5679" s="318"/>
      <c r="AR5679" s="319"/>
    </row>
    <row r="5680" spans="37:44" ht="30" customHeight="1">
      <c r="AK5680" s="318"/>
      <c r="AL5680" s="318"/>
      <c r="AM5680" s="318"/>
      <c r="AN5680" s="318"/>
      <c r="AO5680" s="318"/>
      <c r="AP5680" s="318"/>
      <c r="AQ5680" s="318"/>
      <c r="AR5680" s="319"/>
    </row>
    <row r="5681" spans="37:44" ht="30" customHeight="1">
      <c r="AK5681" s="318"/>
      <c r="AL5681" s="318"/>
      <c r="AM5681" s="318"/>
      <c r="AN5681" s="318"/>
      <c r="AO5681" s="318"/>
      <c r="AP5681" s="318"/>
      <c r="AQ5681" s="318"/>
      <c r="AR5681" s="319"/>
    </row>
    <row r="5682" spans="37:44" ht="30" customHeight="1">
      <c r="AK5682" s="318"/>
      <c r="AL5682" s="318"/>
      <c r="AM5682" s="318"/>
      <c r="AN5682" s="318"/>
      <c r="AO5682" s="318"/>
      <c r="AP5682" s="318"/>
      <c r="AQ5682" s="318"/>
      <c r="AR5682" s="319"/>
    </row>
    <row r="5683" spans="37:44" ht="30" customHeight="1">
      <c r="AK5683" s="318"/>
      <c r="AL5683" s="318"/>
      <c r="AM5683" s="318"/>
      <c r="AN5683" s="318"/>
      <c r="AO5683" s="318"/>
      <c r="AP5683" s="318"/>
      <c r="AQ5683" s="318"/>
      <c r="AR5683" s="319"/>
    </row>
    <row r="5684" spans="37:44" ht="30" customHeight="1">
      <c r="AK5684" s="318"/>
      <c r="AL5684" s="318"/>
      <c r="AM5684" s="318"/>
      <c r="AN5684" s="318"/>
      <c r="AO5684" s="318"/>
      <c r="AP5684" s="318"/>
      <c r="AQ5684" s="318"/>
      <c r="AR5684" s="319"/>
    </row>
    <row r="5685" spans="37:44" ht="30" customHeight="1">
      <c r="AK5685" s="318"/>
      <c r="AL5685" s="318"/>
      <c r="AM5685" s="318"/>
      <c r="AN5685" s="318"/>
      <c r="AO5685" s="318"/>
      <c r="AP5685" s="318"/>
      <c r="AQ5685" s="318"/>
      <c r="AR5685" s="319"/>
    </row>
    <row r="5686" spans="37:44" ht="30" customHeight="1">
      <c r="AK5686" s="318"/>
      <c r="AL5686" s="318"/>
      <c r="AM5686" s="318"/>
      <c r="AN5686" s="318"/>
      <c r="AO5686" s="318"/>
      <c r="AP5686" s="318"/>
      <c r="AQ5686" s="318"/>
      <c r="AR5686" s="319"/>
    </row>
    <row r="5687" spans="37:44" ht="30" customHeight="1">
      <c r="AK5687" s="318"/>
      <c r="AL5687" s="318"/>
      <c r="AM5687" s="318"/>
      <c r="AN5687" s="318"/>
      <c r="AO5687" s="318"/>
      <c r="AP5687" s="318"/>
      <c r="AQ5687" s="318"/>
      <c r="AR5687" s="319"/>
    </row>
    <row r="5688" spans="37:44" ht="30" customHeight="1">
      <c r="AK5688" s="318"/>
      <c r="AL5688" s="318"/>
      <c r="AM5688" s="318"/>
      <c r="AN5688" s="318"/>
      <c r="AO5688" s="318"/>
      <c r="AP5688" s="318"/>
      <c r="AQ5688" s="318"/>
      <c r="AR5688" s="319"/>
    </row>
    <row r="5689" spans="37:44" ht="30" customHeight="1">
      <c r="AK5689" s="318"/>
      <c r="AL5689" s="318"/>
      <c r="AM5689" s="318"/>
      <c r="AN5689" s="318"/>
      <c r="AO5689" s="318"/>
      <c r="AP5689" s="318"/>
      <c r="AQ5689" s="318"/>
      <c r="AR5689" s="319"/>
    </row>
    <row r="5690" spans="37:44" ht="30" customHeight="1">
      <c r="AK5690" s="318"/>
      <c r="AL5690" s="318"/>
      <c r="AM5690" s="318"/>
      <c r="AN5690" s="318"/>
      <c r="AO5690" s="318"/>
      <c r="AP5690" s="318"/>
      <c r="AQ5690" s="318"/>
      <c r="AR5690" s="319"/>
    </row>
    <row r="5691" spans="37:44" ht="30" customHeight="1">
      <c r="AK5691" s="318"/>
      <c r="AL5691" s="318"/>
      <c r="AM5691" s="318"/>
      <c r="AN5691" s="318"/>
      <c r="AO5691" s="318"/>
      <c r="AP5691" s="318"/>
      <c r="AQ5691" s="318"/>
      <c r="AR5691" s="319"/>
    </row>
    <row r="5692" spans="37:44" ht="30" customHeight="1">
      <c r="AK5692" s="318"/>
      <c r="AL5692" s="318"/>
      <c r="AM5692" s="318"/>
      <c r="AN5692" s="318"/>
      <c r="AO5692" s="318"/>
      <c r="AP5692" s="318"/>
      <c r="AQ5692" s="318"/>
      <c r="AR5692" s="319"/>
    </row>
    <row r="5693" spans="37:44" ht="30" customHeight="1">
      <c r="AK5693" s="318"/>
      <c r="AL5693" s="318"/>
      <c r="AM5693" s="318"/>
      <c r="AN5693" s="318"/>
      <c r="AO5693" s="318"/>
      <c r="AP5693" s="318"/>
      <c r="AQ5693" s="318"/>
      <c r="AR5693" s="319"/>
    </row>
    <row r="5694" spans="37:44" ht="30" customHeight="1">
      <c r="AK5694" s="318"/>
      <c r="AL5694" s="318"/>
      <c r="AM5694" s="318"/>
      <c r="AN5694" s="318"/>
      <c r="AO5694" s="318"/>
      <c r="AP5694" s="318"/>
      <c r="AQ5694" s="318"/>
      <c r="AR5694" s="319"/>
    </row>
    <row r="5695" spans="37:44" ht="30" customHeight="1">
      <c r="AK5695" s="318"/>
      <c r="AL5695" s="318"/>
      <c r="AM5695" s="318"/>
      <c r="AN5695" s="318"/>
      <c r="AO5695" s="318"/>
      <c r="AP5695" s="318"/>
      <c r="AQ5695" s="318"/>
      <c r="AR5695" s="319"/>
    </row>
    <row r="5696" spans="37:44" ht="30" customHeight="1">
      <c r="AK5696" s="318"/>
      <c r="AL5696" s="318"/>
      <c r="AM5696" s="318"/>
      <c r="AN5696" s="318"/>
      <c r="AO5696" s="318"/>
      <c r="AP5696" s="318"/>
      <c r="AQ5696" s="318"/>
      <c r="AR5696" s="319"/>
    </row>
    <row r="5697" spans="37:44" ht="30" customHeight="1">
      <c r="AK5697" s="318"/>
      <c r="AL5697" s="318"/>
      <c r="AM5697" s="318"/>
      <c r="AN5697" s="318"/>
      <c r="AO5697" s="318"/>
      <c r="AP5697" s="318"/>
      <c r="AQ5697" s="318"/>
      <c r="AR5697" s="319"/>
    </row>
    <row r="5698" spans="37:44" ht="30" customHeight="1">
      <c r="AK5698" s="318"/>
      <c r="AL5698" s="318"/>
      <c r="AM5698" s="318"/>
      <c r="AN5698" s="318"/>
      <c r="AO5698" s="318"/>
      <c r="AP5698" s="318"/>
      <c r="AQ5698" s="318"/>
      <c r="AR5698" s="319"/>
    </row>
    <row r="5699" spans="37:44" ht="30" customHeight="1">
      <c r="AK5699" s="318"/>
      <c r="AL5699" s="318"/>
      <c r="AM5699" s="318"/>
      <c r="AN5699" s="318"/>
      <c r="AO5699" s="318"/>
      <c r="AP5699" s="318"/>
      <c r="AQ5699" s="318"/>
      <c r="AR5699" s="319"/>
    </row>
    <row r="5700" spans="37:44" ht="30" customHeight="1">
      <c r="AK5700" s="318"/>
      <c r="AL5700" s="318"/>
      <c r="AM5700" s="318"/>
      <c r="AN5700" s="318"/>
      <c r="AO5700" s="318"/>
      <c r="AP5700" s="318"/>
      <c r="AQ5700" s="318"/>
      <c r="AR5700" s="319"/>
    </row>
    <row r="5701" spans="37:44" ht="30" customHeight="1">
      <c r="AK5701" s="318"/>
      <c r="AL5701" s="318"/>
      <c r="AM5701" s="318"/>
      <c r="AN5701" s="318"/>
      <c r="AO5701" s="318"/>
      <c r="AP5701" s="318"/>
      <c r="AQ5701" s="318"/>
      <c r="AR5701" s="319"/>
    </row>
    <row r="5702" spans="37:44" ht="30" customHeight="1">
      <c r="AK5702" s="318"/>
      <c r="AL5702" s="318"/>
      <c r="AM5702" s="318"/>
      <c r="AN5702" s="318"/>
      <c r="AO5702" s="318"/>
      <c r="AP5702" s="318"/>
      <c r="AQ5702" s="318"/>
      <c r="AR5702" s="319"/>
    </row>
    <row r="5703" spans="37:44" ht="30" customHeight="1">
      <c r="AK5703" s="318"/>
      <c r="AL5703" s="318"/>
      <c r="AM5703" s="318"/>
      <c r="AN5703" s="318"/>
      <c r="AO5703" s="318"/>
      <c r="AP5703" s="318"/>
      <c r="AQ5703" s="318"/>
      <c r="AR5703" s="319"/>
    </row>
    <row r="5704" spans="37:44" ht="30" customHeight="1">
      <c r="AK5704" s="318"/>
      <c r="AL5704" s="318"/>
      <c r="AM5704" s="318"/>
      <c r="AN5704" s="318"/>
      <c r="AO5704" s="318"/>
      <c r="AP5704" s="318"/>
      <c r="AQ5704" s="318"/>
      <c r="AR5704" s="319"/>
    </row>
    <row r="5705" spans="37:44" ht="30" customHeight="1">
      <c r="AK5705" s="318"/>
      <c r="AL5705" s="318"/>
      <c r="AM5705" s="318"/>
      <c r="AN5705" s="318"/>
      <c r="AO5705" s="318"/>
      <c r="AP5705" s="318"/>
      <c r="AQ5705" s="318"/>
      <c r="AR5705" s="319"/>
    </row>
    <row r="5706" spans="37:44" ht="30" customHeight="1">
      <c r="AK5706" s="318"/>
      <c r="AL5706" s="318"/>
      <c r="AM5706" s="318"/>
      <c r="AN5706" s="318"/>
      <c r="AO5706" s="318"/>
      <c r="AP5706" s="318"/>
      <c r="AQ5706" s="318"/>
      <c r="AR5706" s="319"/>
    </row>
    <row r="5707" spans="37:44" ht="30" customHeight="1">
      <c r="AK5707" s="318"/>
      <c r="AL5707" s="318"/>
      <c r="AM5707" s="318"/>
      <c r="AN5707" s="318"/>
      <c r="AO5707" s="318"/>
      <c r="AP5707" s="318"/>
      <c r="AQ5707" s="318"/>
      <c r="AR5707" s="319"/>
    </row>
    <row r="5708" spans="37:44" ht="30" customHeight="1">
      <c r="AK5708" s="318"/>
      <c r="AL5708" s="318"/>
      <c r="AM5708" s="318"/>
      <c r="AN5708" s="318"/>
      <c r="AO5708" s="318"/>
      <c r="AP5708" s="318"/>
      <c r="AQ5708" s="318"/>
      <c r="AR5708" s="319"/>
    </row>
    <row r="5709" spans="37:44" ht="30" customHeight="1">
      <c r="AK5709" s="318"/>
      <c r="AL5709" s="318"/>
      <c r="AM5709" s="318"/>
      <c r="AN5709" s="318"/>
      <c r="AO5709" s="318"/>
      <c r="AP5709" s="318"/>
      <c r="AQ5709" s="318"/>
      <c r="AR5709" s="319"/>
    </row>
    <row r="5710" spans="37:44" ht="30" customHeight="1">
      <c r="AK5710" s="318"/>
      <c r="AL5710" s="318"/>
      <c r="AM5710" s="318"/>
      <c r="AN5710" s="318"/>
      <c r="AO5710" s="318"/>
      <c r="AP5710" s="318"/>
      <c r="AQ5710" s="318"/>
      <c r="AR5710" s="319"/>
    </row>
    <row r="5711" spans="37:44" ht="30" customHeight="1">
      <c r="AK5711" s="318"/>
      <c r="AL5711" s="318"/>
      <c r="AM5711" s="318"/>
      <c r="AN5711" s="318"/>
      <c r="AO5711" s="318"/>
      <c r="AP5711" s="318"/>
      <c r="AQ5711" s="318"/>
      <c r="AR5711" s="319"/>
    </row>
    <row r="5712" spans="37:44" ht="30" customHeight="1">
      <c r="AK5712" s="318"/>
      <c r="AL5712" s="318"/>
      <c r="AM5712" s="318"/>
      <c r="AN5712" s="318"/>
      <c r="AO5712" s="318"/>
      <c r="AP5712" s="318"/>
      <c r="AQ5712" s="318"/>
      <c r="AR5712" s="319"/>
    </row>
    <row r="5713" spans="37:44" ht="30" customHeight="1">
      <c r="AK5713" s="318"/>
      <c r="AL5713" s="318"/>
      <c r="AM5713" s="318"/>
      <c r="AN5713" s="318"/>
      <c r="AO5713" s="318"/>
      <c r="AP5713" s="318"/>
      <c r="AQ5713" s="318"/>
      <c r="AR5713" s="319"/>
    </row>
    <row r="5714" spans="37:44" ht="30" customHeight="1">
      <c r="AK5714" s="318"/>
      <c r="AL5714" s="318"/>
      <c r="AM5714" s="318"/>
      <c r="AN5714" s="318"/>
      <c r="AO5714" s="318"/>
      <c r="AP5714" s="318"/>
      <c r="AQ5714" s="318"/>
      <c r="AR5714" s="319"/>
    </row>
    <row r="5715" spans="37:44" ht="30" customHeight="1">
      <c r="AK5715" s="318"/>
      <c r="AL5715" s="318"/>
      <c r="AM5715" s="318"/>
      <c r="AN5715" s="318"/>
      <c r="AO5715" s="318"/>
      <c r="AP5715" s="318"/>
      <c r="AQ5715" s="318"/>
      <c r="AR5715" s="319"/>
    </row>
    <row r="5716" spans="37:44" ht="30" customHeight="1">
      <c r="AK5716" s="318"/>
      <c r="AL5716" s="318"/>
      <c r="AM5716" s="318"/>
      <c r="AN5716" s="318"/>
      <c r="AO5716" s="318"/>
      <c r="AP5716" s="318"/>
      <c r="AQ5716" s="318"/>
      <c r="AR5716" s="319"/>
    </row>
    <row r="5717" spans="37:44" ht="30" customHeight="1">
      <c r="AK5717" s="318"/>
      <c r="AL5717" s="318"/>
      <c r="AM5717" s="318"/>
      <c r="AN5717" s="318"/>
      <c r="AO5717" s="318"/>
      <c r="AP5717" s="318"/>
      <c r="AQ5717" s="318"/>
      <c r="AR5717" s="319"/>
    </row>
    <row r="5718" spans="37:44" ht="30" customHeight="1">
      <c r="AK5718" s="318"/>
      <c r="AL5718" s="318"/>
      <c r="AM5718" s="318"/>
      <c r="AN5718" s="318"/>
      <c r="AO5718" s="318"/>
      <c r="AP5718" s="318"/>
      <c r="AQ5718" s="318"/>
      <c r="AR5718" s="319"/>
    </row>
    <row r="5719" spans="37:44" ht="30" customHeight="1">
      <c r="AK5719" s="318"/>
      <c r="AL5719" s="318"/>
      <c r="AM5719" s="318"/>
      <c r="AN5719" s="318"/>
      <c r="AO5719" s="318"/>
      <c r="AP5719" s="318"/>
      <c r="AQ5719" s="318"/>
      <c r="AR5719" s="319"/>
    </row>
    <row r="5720" spans="37:44" ht="30" customHeight="1">
      <c r="AK5720" s="318"/>
      <c r="AL5720" s="318"/>
      <c r="AM5720" s="318"/>
      <c r="AN5720" s="318"/>
      <c r="AO5720" s="318"/>
      <c r="AP5720" s="318"/>
      <c r="AQ5720" s="318"/>
      <c r="AR5720" s="319"/>
    </row>
    <row r="5721" spans="37:44" ht="30" customHeight="1">
      <c r="AK5721" s="318"/>
      <c r="AL5721" s="318"/>
      <c r="AM5721" s="318"/>
      <c r="AN5721" s="318"/>
      <c r="AO5721" s="318"/>
      <c r="AP5721" s="318"/>
      <c r="AQ5721" s="318"/>
      <c r="AR5721" s="319"/>
    </row>
    <row r="5722" spans="37:44" ht="30" customHeight="1">
      <c r="AK5722" s="318"/>
      <c r="AL5722" s="318"/>
      <c r="AM5722" s="318"/>
      <c r="AN5722" s="318"/>
      <c r="AO5722" s="318"/>
      <c r="AP5722" s="318"/>
      <c r="AQ5722" s="318"/>
      <c r="AR5722" s="319"/>
    </row>
    <row r="5723" spans="37:44" ht="30" customHeight="1">
      <c r="AK5723" s="318"/>
      <c r="AL5723" s="318"/>
      <c r="AM5723" s="318"/>
      <c r="AN5723" s="318"/>
      <c r="AO5723" s="318"/>
      <c r="AP5723" s="318"/>
      <c r="AQ5723" s="318"/>
      <c r="AR5723" s="319"/>
    </row>
    <row r="5724" spans="37:44" ht="30" customHeight="1">
      <c r="AK5724" s="318"/>
      <c r="AL5724" s="318"/>
      <c r="AM5724" s="318"/>
      <c r="AN5724" s="318"/>
      <c r="AO5724" s="318"/>
      <c r="AP5724" s="318"/>
      <c r="AQ5724" s="318"/>
      <c r="AR5724" s="319"/>
    </row>
    <row r="5725" spans="37:44" ht="30" customHeight="1">
      <c r="AK5725" s="318"/>
      <c r="AL5725" s="318"/>
      <c r="AM5725" s="318"/>
      <c r="AN5725" s="318"/>
      <c r="AO5725" s="318"/>
      <c r="AP5725" s="318"/>
      <c r="AQ5725" s="318"/>
      <c r="AR5725" s="319"/>
    </row>
    <row r="5726" spans="37:44" ht="30" customHeight="1">
      <c r="AK5726" s="318"/>
      <c r="AL5726" s="318"/>
      <c r="AM5726" s="318"/>
      <c r="AN5726" s="318"/>
      <c r="AO5726" s="318"/>
      <c r="AP5726" s="318"/>
      <c r="AQ5726" s="318"/>
      <c r="AR5726" s="319"/>
    </row>
    <row r="5727" spans="37:44" ht="30" customHeight="1">
      <c r="AK5727" s="318"/>
      <c r="AL5727" s="318"/>
      <c r="AM5727" s="318"/>
      <c r="AN5727" s="318"/>
      <c r="AO5727" s="318"/>
      <c r="AP5727" s="318"/>
      <c r="AQ5727" s="318"/>
      <c r="AR5727" s="319"/>
    </row>
    <row r="5728" spans="37:44" ht="30" customHeight="1">
      <c r="AK5728" s="318"/>
      <c r="AL5728" s="318"/>
      <c r="AM5728" s="318"/>
      <c r="AN5728" s="318"/>
      <c r="AO5728" s="318"/>
      <c r="AP5728" s="318"/>
      <c r="AQ5728" s="318"/>
      <c r="AR5728" s="319"/>
    </row>
    <row r="5729" spans="37:44" ht="30" customHeight="1">
      <c r="AK5729" s="318"/>
      <c r="AL5729" s="318"/>
      <c r="AM5729" s="318"/>
      <c r="AN5729" s="318"/>
      <c r="AO5729" s="318"/>
      <c r="AP5729" s="318"/>
      <c r="AQ5729" s="318"/>
      <c r="AR5729" s="319"/>
    </row>
    <row r="5730" spans="37:44" ht="30" customHeight="1">
      <c r="AK5730" s="318"/>
      <c r="AL5730" s="318"/>
      <c r="AM5730" s="318"/>
      <c r="AN5730" s="318"/>
      <c r="AO5730" s="318"/>
      <c r="AP5730" s="318"/>
      <c r="AQ5730" s="318"/>
      <c r="AR5730" s="319"/>
    </row>
    <row r="5731" spans="37:44" ht="30" customHeight="1">
      <c r="AK5731" s="318"/>
      <c r="AL5731" s="318"/>
      <c r="AM5731" s="318"/>
      <c r="AN5731" s="318"/>
      <c r="AO5731" s="318"/>
      <c r="AP5731" s="318"/>
      <c r="AQ5731" s="318"/>
      <c r="AR5731" s="319"/>
    </row>
    <row r="5732" spans="37:44" ht="30" customHeight="1">
      <c r="AK5732" s="318"/>
      <c r="AL5732" s="318"/>
      <c r="AM5732" s="318"/>
      <c r="AN5732" s="318"/>
      <c r="AO5732" s="318"/>
      <c r="AP5732" s="318"/>
      <c r="AQ5732" s="318"/>
      <c r="AR5732" s="319"/>
    </row>
    <row r="5733" spans="37:44" ht="30" customHeight="1">
      <c r="AK5733" s="318"/>
      <c r="AL5733" s="318"/>
      <c r="AM5733" s="318"/>
      <c r="AN5733" s="318"/>
      <c r="AO5733" s="318"/>
      <c r="AP5733" s="318"/>
      <c r="AQ5733" s="318"/>
      <c r="AR5733" s="319"/>
    </row>
    <row r="5734" spans="37:44" ht="30" customHeight="1">
      <c r="AK5734" s="318"/>
      <c r="AL5734" s="318"/>
      <c r="AM5734" s="318"/>
      <c r="AN5734" s="318"/>
      <c r="AO5734" s="318"/>
      <c r="AP5734" s="318"/>
      <c r="AQ5734" s="318"/>
      <c r="AR5734" s="319"/>
    </row>
    <row r="5735" spans="37:44" ht="30" customHeight="1">
      <c r="AK5735" s="318"/>
      <c r="AL5735" s="318"/>
      <c r="AM5735" s="318"/>
      <c r="AN5735" s="318"/>
      <c r="AO5735" s="318"/>
      <c r="AP5735" s="318"/>
      <c r="AQ5735" s="318"/>
      <c r="AR5735" s="319"/>
    </row>
    <row r="5736" spans="37:44" ht="30" customHeight="1">
      <c r="AK5736" s="318"/>
      <c r="AL5736" s="318"/>
      <c r="AM5736" s="318"/>
      <c r="AN5736" s="318"/>
      <c r="AO5736" s="318"/>
      <c r="AP5736" s="318"/>
      <c r="AQ5736" s="318"/>
      <c r="AR5736" s="319"/>
    </row>
    <row r="5737" spans="37:44" ht="30" customHeight="1">
      <c r="AK5737" s="318"/>
      <c r="AL5737" s="318"/>
      <c r="AM5737" s="318"/>
      <c r="AN5737" s="318"/>
      <c r="AO5737" s="318"/>
      <c r="AP5737" s="318"/>
      <c r="AQ5737" s="318"/>
      <c r="AR5737" s="319"/>
    </row>
    <row r="5738" spans="37:44" ht="30" customHeight="1">
      <c r="AK5738" s="318"/>
      <c r="AL5738" s="318"/>
      <c r="AM5738" s="318"/>
      <c r="AN5738" s="318"/>
      <c r="AO5738" s="318"/>
      <c r="AP5738" s="318"/>
      <c r="AQ5738" s="318"/>
      <c r="AR5738" s="319"/>
    </row>
    <row r="5739" spans="37:44" ht="30" customHeight="1">
      <c r="AK5739" s="318"/>
      <c r="AL5739" s="318"/>
      <c r="AM5739" s="318"/>
      <c r="AN5739" s="318"/>
      <c r="AO5739" s="318"/>
      <c r="AP5739" s="318"/>
      <c r="AQ5739" s="318"/>
      <c r="AR5739" s="319"/>
    </row>
    <row r="5740" spans="37:44" ht="30" customHeight="1">
      <c r="AK5740" s="318"/>
      <c r="AL5740" s="318"/>
      <c r="AM5740" s="318"/>
      <c r="AN5740" s="318"/>
      <c r="AO5740" s="318"/>
      <c r="AP5740" s="318"/>
      <c r="AQ5740" s="318"/>
      <c r="AR5740" s="319"/>
    </row>
    <row r="5741" spans="37:44" ht="30" customHeight="1">
      <c r="AK5741" s="318"/>
      <c r="AL5741" s="318"/>
      <c r="AM5741" s="318"/>
      <c r="AN5741" s="318"/>
      <c r="AO5741" s="318"/>
      <c r="AP5741" s="318"/>
      <c r="AQ5741" s="318"/>
      <c r="AR5741" s="319"/>
    </row>
    <row r="5742" spans="37:44" ht="30" customHeight="1">
      <c r="AK5742" s="318"/>
      <c r="AL5742" s="318"/>
      <c r="AM5742" s="318"/>
      <c r="AN5742" s="318"/>
      <c r="AO5742" s="318"/>
      <c r="AP5742" s="318"/>
      <c r="AQ5742" s="318"/>
      <c r="AR5742" s="319"/>
    </row>
    <row r="5743" spans="37:44" ht="30" customHeight="1">
      <c r="AK5743" s="318"/>
      <c r="AL5743" s="318"/>
      <c r="AM5743" s="318"/>
      <c r="AN5743" s="318"/>
      <c r="AO5743" s="318"/>
      <c r="AP5743" s="318"/>
      <c r="AQ5743" s="318"/>
      <c r="AR5743" s="319"/>
    </row>
    <row r="5744" spans="37:44" ht="30" customHeight="1">
      <c r="AK5744" s="318"/>
      <c r="AL5744" s="318"/>
      <c r="AM5744" s="318"/>
      <c r="AN5744" s="318"/>
      <c r="AO5744" s="318"/>
      <c r="AP5744" s="318"/>
      <c r="AQ5744" s="318"/>
      <c r="AR5744" s="319"/>
    </row>
    <row r="5745" spans="37:44" ht="30" customHeight="1">
      <c r="AK5745" s="318"/>
      <c r="AL5745" s="318"/>
      <c r="AM5745" s="318"/>
      <c r="AN5745" s="318"/>
      <c r="AO5745" s="318"/>
      <c r="AP5745" s="318"/>
      <c r="AQ5745" s="318"/>
      <c r="AR5745" s="319"/>
    </row>
    <row r="5746" spans="37:44" ht="30" customHeight="1">
      <c r="AK5746" s="318"/>
      <c r="AL5746" s="318"/>
      <c r="AM5746" s="318"/>
      <c r="AN5746" s="318"/>
      <c r="AO5746" s="318"/>
      <c r="AP5746" s="318"/>
      <c r="AQ5746" s="318"/>
      <c r="AR5746" s="319"/>
    </row>
    <row r="5747" spans="37:44" ht="30" customHeight="1">
      <c r="AK5747" s="318"/>
      <c r="AL5747" s="318"/>
      <c r="AM5747" s="318"/>
      <c r="AN5747" s="318"/>
      <c r="AO5747" s="318"/>
      <c r="AP5747" s="318"/>
      <c r="AQ5747" s="318"/>
      <c r="AR5747" s="319"/>
    </row>
    <row r="5748" spans="37:44" ht="30" customHeight="1">
      <c r="AK5748" s="318"/>
      <c r="AL5748" s="318"/>
      <c r="AM5748" s="318"/>
      <c r="AN5748" s="318"/>
      <c r="AO5748" s="318"/>
      <c r="AP5748" s="318"/>
      <c r="AQ5748" s="318"/>
      <c r="AR5748" s="319"/>
    </row>
    <row r="5749" spans="37:44" ht="30" customHeight="1">
      <c r="AK5749" s="318"/>
      <c r="AL5749" s="318"/>
      <c r="AM5749" s="318"/>
      <c r="AN5749" s="318"/>
      <c r="AO5749" s="318"/>
      <c r="AP5749" s="318"/>
      <c r="AQ5749" s="318"/>
      <c r="AR5749" s="319"/>
    </row>
    <row r="5750" spans="37:44" ht="30" customHeight="1">
      <c r="AK5750" s="318"/>
      <c r="AL5750" s="318"/>
      <c r="AM5750" s="318"/>
      <c r="AN5750" s="318"/>
      <c r="AO5750" s="318"/>
      <c r="AP5750" s="318"/>
      <c r="AQ5750" s="318"/>
      <c r="AR5750" s="319"/>
    </row>
    <row r="5751" spans="37:44" ht="30" customHeight="1">
      <c r="AK5751" s="318"/>
      <c r="AL5751" s="318"/>
      <c r="AM5751" s="318"/>
      <c r="AN5751" s="318"/>
      <c r="AO5751" s="318"/>
      <c r="AP5751" s="318"/>
      <c r="AQ5751" s="318"/>
      <c r="AR5751" s="319"/>
    </row>
    <row r="5752" spans="37:44" ht="30" customHeight="1">
      <c r="AK5752" s="318"/>
      <c r="AL5752" s="318"/>
      <c r="AM5752" s="318"/>
      <c r="AN5752" s="318"/>
      <c r="AO5752" s="318"/>
      <c r="AP5752" s="318"/>
      <c r="AQ5752" s="318"/>
      <c r="AR5752" s="319"/>
    </row>
    <row r="5753" spans="37:44" ht="30" customHeight="1">
      <c r="AK5753" s="318"/>
      <c r="AL5753" s="318"/>
      <c r="AM5753" s="318"/>
      <c r="AN5753" s="318"/>
      <c r="AO5753" s="318"/>
      <c r="AP5753" s="318"/>
      <c r="AQ5753" s="318"/>
      <c r="AR5753" s="319"/>
    </row>
    <row r="5754" spans="37:44" ht="30" customHeight="1">
      <c r="AK5754" s="318"/>
      <c r="AL5754" s="318"/>
      <c r="AM5754" s="318"/>
      <c r="AN5754" s="318"/>
      <c r="AO5754" s="318"/>
      <c r="AP5754" s="318"/>
      <c r="AQ5754" s="318"/>
      <c r="AR5754" s="319"/>
    </row>
    <row r="5755" spans="37:44" ht="30" customHeight="1">
      <c r="AK5755" s="318"/>
      <c r="AL5755" s="318"/>
      <c r="AM5755" s="318"/>
      <c r="AN5755" s="318"/>
      <c r="AO5755" s="318"/>
      <c r="AP5755" s="318"/>
      <c r="AQ5755" s="318"/>
      <c r="AR5755" s="319"/>
    </row>
    <row r="5756" spans="37:44" ht="30" customHeight="1">
      <c r="AK5756" s="318"/>
      <c r="AL5756" s="318"/>
      <c r="AM5756" s="318"/>
      <c r="AN5756" s="318"/>
      <c r="AO5756" s="318"/>
      <c r="AP5756" s="318"/>
      <c r="AQ5756" s="318"/>
      <c r="AR5756" s="319"/>
    </row>
    <row r="5757" spans="37:44" ht="30" customHeight="1">
      <c r="AK5757" s="318"/>
      <c r="AL5757" s="318"/>
      <c r="AM5757" s="318"/>
      <c r="AN5757" s="318"/>
      <c r="AO5757" s="318"/>
      <c r="AP5757" s="318"/>
      <c r="AQ5757" s="318"/>
      <c r="AR5757" s="319"/>
    </row>
    <row r="5758" spans="37:44" ht="30" customHeight="1">
      <c r="AK5758" s="318"/>
      <c r="AL5758" s="318"/>
      <c r="AM5758" s="318"/>
      <c r="AN5758" s="318"/>
      <c r="AO5758" s="318"/>
      <c r="AP5758" s="318"/>
      <c r="AQ5758" s="318"/>
      <c r="AR5758" s="319"/>
    </row>
    <row r="5759" spans="37:44" ht="30" customHeight="1">
      <c r="AK5759" s="318"/>
      <c r="AL5759" s="318"/>
      <c r="AM5759" s="318"/>
      <c r="AN5759" s="318"/>
      <c r="AO5759" s="318"/>
      <c r="AP5759" s="318"/>
      <c r="AQ5759" s="318"/>
      <c r="AR5759" s="319"/>
    </row>
    <row r="5760" spans="37:44" ht="30" customHeight="1">
      <c r="AK5760" s="318"/>
      <c r="AL5760" s="318"/>
      <c r="AM5760" s="318"/>
      <c r="AN5760" s="318"/>
      <c r="AO5760" s="318"/>
      <c r="AP5760" s="318"/>
      <c r="AQ5760" s="318"/>
      <c r="AR5760" s="319"/>
    </row>
    <row r="5761" spans="37:44" ht="30" customHeight="1">
      <c r="AK5761" s="318"/>
      <c r="AL5761" s="318"/>
      <c r="AM5761" s="318"/>
      <c r="AN5761" s="318"/>
      <c r="AO5761" s="318"/>
      <c r="AP5761" s="318"/>
      <c r="AQ5761" s="318"/>
      <c r="AR5761" s="319"/>
    </row>
    <row r="5762" spans="37:44" ht="30" customHeight="1">
      <c r="AK5762" s="318"/>
      <c r="AL5762" s="318"/>
      <c r="AM5762" s="318"/>
      <c r="AN5762" s="318"/>
      <c r="AO5762" s="318"/>
      <c r="AP5762" s="318"/>
      <c r="AQ5762" s="318"/>
      <c r="AR5762" s="319"/>
    </row>
    <row r="5763" spans="37:44" ht="30" customHeight="1">
      <c r="AK5763" s="318"/>
      <c r="AL5763" s="318"/>
      <c r="AM5763" s="318"/>
      <c r="AN5763" s="318"/>
      <c r="AO5763" s="318"/>
      <c r="AP5763" s="318"/>
      <c r="AQ5763" s="318"/>
      <c r="AR5763" s="319"/>
    </row>
    <row r="5764" spans="37:44" ht="30" customHeight="1">
      <c r="AK5764" s="318"/>
      <c r="AL5764" s="318"/>
      <c r="AM5764" s="318"/>
      <c r="AN5764" s="318"/>
      <c r="AO5764" s="318"/>
      <c r="AP5764" s="318"/>
      <c r="AQ5764" s="318"/>
      <c r="AR5764" s="319"/>
    </row>
    <row r="5765" spans="37:44" ht="30" customHeight="1">
      <c r="AK5765" s="318"/>
      <c r="AL5765" s="318"/>
      <c r="AM5765" s="318"/>
      <c r="AN5765" s="318"/>
      <c r="AO5765" s="318"/>
      <c r="AP5765" s="318"/>
      <c r="AQ5765" s="318"/>
      <c r="AR5765" s="319"/>
    </row>
    <row r="5766" spans="37:44" ht="30" customHeight="1">
      <c r="AK5766" s="318"/>
      <c r="AL5766" s="318"/>
      <c r="AM5766" s="318"/>
      <c r="AN5766" s="318"/>
      <c r="AO5766" s="318"/>
      <c r="AP5766" s="318"/>
      <c r="AQ5766" s="318"/>
      <c r="AR5766" s="319"/>
    </row>
    <row r="5767" spans="37:44" ht="30" customHeight="1">
      <c r="AK5767" s="318"/>
      <c r="AL5767" s="318"/>
      <c r="AM5767" s="318"/>
      <c r="AN5767" s="318"/>
      <c r="AO5767" s="318"/>
      <c r="AP5767" s="318"/>
      <c r="AQ5767" s="318"/>
      <c r="AR5767" s="319"/>
    </row>
    <row r="5768" spans="37:44" ht="30" customHeight="1">
      <c r="AK5768" s="318"/>
      <c r="AL5768" s="318"/>
      <c r="AM5768" s="318"/>
      <c r="AN5768" s="318"/>
      <c r="AO5768" s="318"/>
      <c r="AP5768" s="318"/>
      <c r="AQ5768" s="318"/>
      <c r="AR5768" s="319"/>
    </row>
    <row r="5769" spans="37:44" ht="30" customHeight="1">
      <c r="AK5769" s="318"/>
      <c r="AL5769" s="318"/>
      <c r="AM5769" s="318"/>
      <c r="AN5769" s="318"/>
      <c r="AO5769" s="318"/>
      <c r="AP5769" s="318"/>
      <c r="AQ5769" s="318"/>
      <c r="AR5769" s="319"/>
    </row>
    <row r="5770" spans="37:44" ht="30" customHeight="1">
      <c r="AK5770" s="318"/>
      <c r="AL5770" s="318"/>
      <c r="AM5770" s="318"/>
      <c r="AN5770" s="318"/>
      <c r="AO5770" s="318"/>
      <c r="AP5770" s="318"/>
      <c r="AQ5770" s="318"/>
      <c r="AR5770" s="319"/>
    </row>
    <row r="5771" spans="37:44" ht="30" customHeight="1">
      <c r="AK5771" s="318"/>
      <c r="AL5771" s="318"/>
      <c r="AM5771" s="318"/>
      <c r="AN5771" s="318"/>
      <c r="AO5771" s="318"/>
      <c r="AP5771" s="318"/>
      <c r="AQ5771" s="318"/>
      <c r="AR5771" s="319"/>
    </row>
    <row r="5772" spans="37:44" ht="30" customHeight="1">
      <c r="AK5772" s="318"/>
      <c r="AL5772" s="318"/>
      <c r="AM5772" s="318"/>
      <c r="AN5772" s="318"/>
      <c r="AO5772" s="318"/>
      <c r="AP5772" s="318"/>
      <c r="AQ5772" s="318"/>
      <c r="AR5772" s="319"/>
    </row>
    <row r="5773" spans="37:44" ht="30" customHeight="1">
      <c r="AK5773" s="318"/>
      <c r="AL5773" s="318"/>
      <c r="AM5773" s="318"/>
      <c r="AN5773" s="318"/>
      <c r="AO5773" s="318"/>
      <c r="AP5773" s="318"/>
      <c r="AQ5773" s="318"/>
      <c r="AR5773" s="319"/>
    </row>
    <row r="5774" spans="37:44" ht="30" customHeight="1">
      <c r="AK5774" s="318"/>
      <c r="AL5774" s="318"/>
      <c r="AM5774" s="318"/>
      <c r="AN5774" s="318"/>
      <c r="AO5774" s="318"/>
      <c r="AP5774" s="318"/>
      <c r="AQ5774" s="318"/>
      <c r="AR5774" s="319"/>
    </row>
    <row r="5775" spans="37:44" ht="30" customHeight="1">
      <c r="AK5775" s="318"/>
      <c r="AL5775" s="318"/>
      <c r="AM5775" s="318"/>
      <c r="AN5775" s="318"/>
      <c r="AO5775" s="318"/>
      <c r="AP5775" s="318"/>
      <c r="AQ5775" s="318"/>
      <c r="AR5775" s="319"/>
    </row>
    <row r="5776" spans="37:44" ht="30" customHeight="1">
      <c r="AK5776" s="318"/>
      <c r="AL5776" s="318"/>
      <c r="AM5776" s="318"/>
      <c r="AN5776" s="318"/>
      <c r="AO5776" s="318"/>
      <c r="AP5776" s="318"/>
      <c r="AQ5776" s="318"/>
      <c r="AR5776" s="319"/>
    </row>
    <row r="5777" spans="37:44" ht="30" customHeight="1">
      <c r="AK5777" s="318"/>
      <c r="AL5777" s="318"/>
      <c r="AM5777" s="318"/>
      <c r="AN5777" s="318"/>
      <c r="AO5777" s="318"/>
      <c r="AP5777" s="318"/>
      <c r="AQ5777" s="318"/>
      <c r="AR5777" s="319"/>
    </row>
    <row r="5778" spans="37:44" ht="30" customHeight="1">
      <c r="AK5778" s="318"/>
      <c r="AL5778" s="318"/>
      <c r="AM5778" s="318"/>
      <c r="AN5778" s="318"/>
      <c r="AO5778" s="318"/>
      <c r="AP5778" s="318"/>
      <c r="AQ5778" s="318"/>
      <c r="AR5778" s="319"/>
    </row>
    <row r="5779" spans="37:44" ht="30" customHeight="1">
      <c r="AK5779" s="318"/>
      <c r="AL5779" s="318"/>
      <c r="AM5779" s="318"/>
      <c r="AN5779" s="318"/>
      <c r="AO5779" s="318"/>
      <c r="AP5779" s="318"/>
      <c r="AQ5779" s="318"/>
      <c r="AR5779" s="319"/>
    </row>
    <row r="5780" spans="37:44" ht="30" customHeight="1">
      <c r="AK5780" s="318"/>
      <c r="AL5780" s="318"/>
      <c r="AM5780" s="318"/>
      <c r="AN5780" s="318"/>
      <c r="AO5780" s="318"/>
      <c r="AP5780" s="318"/>
      <c r="AQ5780" s="318"/>
      <c r="AR5780" s="319"/>
    </row>
    <row r="5781" spans="37:44" ht="30" customHeight="1">
      <c r="AK5781" s="318"/>
      <c r="AL5781" s="318"/>
      <c r="AM5781" s="318"/>
      <c r="AN5781" s="318"/>
      <c r="AO5781" s="318"/>
      <c r="AP5781" s="318"/>
      <c r="AQ5781" s="318"/>
      <c r="AR5781" s="319"/>
    </row>
    <row r="5782" spans="37:44" ht="30" customHeight="1">
      <c r="AK5782" s="318"/>
      <c r="AL5782" s="318"/>
      <c r="AM5782" s="318"/>
      <c r="AN5782" s="318"/>
      <c r="AO5782" s="318"/>
      <c r="AP5782" s="318"/>
      <c r="AQ5782" s="318"/>
      <c r="AR5782" s="319"/>
    </row>
    <row r="5783" spans="37:44" ht="30" customHeight="1">
      <c r="AK5783" s="318"/>
      <c r="AL5783" s="318"/>
      <c r="AM5783" s="318"/>
      <c r="AN5783" s="318"/>
      <c r="AO5783" s="318"/>
      <c r="AP5783" s="318"/>
      <c r="AQ5783" s="318"/>
      <c r="AR5783" s="319"/>
    </row>
    <row r="5784" spans="37:44" ht="30" customHeight="1">
      <c r="AK5784" s="318"/>
      <c r="AL5784" s="318"/>
      <c r="AM5784" s="318"/>
      <c r="AN5784" s="318"/>
      <c r="AO5784" s="318"/>
      <c r="AP5784" s="318"/>
      <c r="AQ5784" s="318"/>
      <c r="AR5784" s="319"/>
    </row>
    <row r="5785" spans="37:44" ht="30" customHeight="1">
      <c r="AK5785" s="318"/>
      <c r="AL5785" s="318"/>
      <c r="AM5785" s="318"/>
      <c r="AN5785" s="318"/>
      <c r="AO5785" s="318"/>
      <c r="AP5785" s="318"/>
      <c r="AQ5785" s="318"/>
      <c r="AR5785" s="319"/>
    </row>
    <row r="5786" spans="37:44" ht="30" customHeight="1">
      <c r="AK5786" s="318"/>
      <c r="AL5786" s="318"/>
      <c r="AM5786" s="318"/>
      <c r="AN5786" s="318"/>
      <c r="AO5786" s="318"/>
      <c r="AP5786" s="318"/>
      <c r="AQ5786" s="318"/>
      <c r="AR5786" s="319"/>
    </row>
    <row r="5787" spans="37:44" ht="30" customHeight="1">
      <c r="AK5787" s="318"/>
      <c r="AL5787" s="318"/>
      <c r="AM5787" s="318"/>
      <c r="AN5787" s="318"/>
      <c r="AO5787" s="318"/>
      <c r="AP5787" s="318"/>
      <c r="AQ5787" s="318"/>
      <c r="AR5787" s="319"/>
    </row>
    <row r="5788" spans="37:44" ht="30" customHeight="1">
      <c r="AK5788" s="318"/>
      <c r="AL5788" s="318"/>
      <c r="AM5788" s="318"/>
      <c r="AN5788" s="318"/>
      <c r="AO5788" s="318"/>
      <c r="AP5788" s="318"/>
      <c r="AQ5788" s="318"/>
      <c r="AR5788" s="319"/>
    </row>
    <row r="5789" spans="37:44" ht="30" customHeight="1">
      <c r="AK5789" s="318"/>
      <c r="AL5789" s="318"/>
      <c r="AM5789" s="318"/>
      <c r="AN5789" s="318"/>
      <c r="AO5789" s="318"/>
      <c r="AP5789" s="318"/>
      <c r="AQ5789" s="318"/>
      <c r="AR5789" s="319"/>
    </row>
    <row r="5790" spans="37:44" ht="30" customHeight="1">
      <c r="AK5790" s="318"/>
      <c r="AL5790" s="318"/>
      <c r="AM5790" s="318"/>
      <c r="AN5790" s="318"/>
      <c r="AO5790" s="318"/>
      <c r="AP5790" s="318"/>
      <c r="AQ5790" s="318"/>
      <c r="AR5790" s="319"/>
    </row>
    <row r="5791" spans="37:44" ht="30" customHeight="1">
      <c r="AK5791" s="318"/>
      <c r="AL5791" s="318"/>
      <c r="AM5791" s="318"/>
      <c r="AN5791" s="318"/>
      <c r="AO5791" s="318"/>
      <c r="AP5791" s="318"/>
      <c r="AQ5791" s="318"/>
      <c r="AR5791" s="319"/>
    </row>
    <row r="5792" spans="37:44" ht="30" customHeight="1">
      <c r="AK5792" s="318"/>
      <c r="AL5792" s="318"/>
      <c r="AM5792" s="318"/>
      <c r="AN5792" s="318"/>
      <c r="AO5792" s="318"/>
      <c r="AP5792" s="318"/>
      <c r="AQ5792" s="318"/>
      <c r="AR5792" s="319"/>
    </row>
    <row r="5793" spans="37:44" ht="30" customHeight="1">
      <c r="AK5793" s="318"/>
      <c r="AL5793" s="318"/>
      <c r="AM5793" s="318"/>
      <c r="AN5793" s="318"/>
      <c r="AO5793" s="318"/>
      <c r="AP5793" s="318"/>
      <c r="AQ5793" s="318"/>
      <c r="AR5793" s="319"/>
    </row>
    <row r="5794" spans="37:44" ht="30" customHeight="1">
      <c r="AK5794" s="318"/>
      <c r="AL5794" s="318"/>
      <c r="AM5794" s="318"/>
      <c r="AN5794" s="318"/>
      <c r="AO5794" s="318"/>
      <c r="AP5794" s="318"/>
      <c r="AQ5794" s="318"/>
      <c r="AR5794" s="319"/>
    </row>
    <row r="5795" spans="37:44" ht="30" customHeight="1">
      <c r="AK5795" s="318"/>
      <c r="AL5795" s="318"/>
      <c r="AM5795" s="318"/>
      <c r="AN5795" s="318"/>
      <c r="AO5795" s="318"/>
      <c r="AP5795" s="318"/>
      <c r="AQ5795" s="318"/>
      <c r="AR5795" s="319"/>
    </row>
    <row r="5796" spans="37:44" ht="30" customHeight="1">
      <c r="AK5796" s="318"/>
      <c r="AL5796" s="318"/>
      <c r="AM5796" s="318"/>
      <c r="AN5796" s="318"/>
      <c r="AO5796" s="318"/>
      <c r="AP5796" s="318"/>
      <c r="AQ5796" s="318"/>
      <c r="AR5796" s="319"/>
    </row>
    <row r="5797" spans="37:44" ht="30" customHeight="1">
      <c r="AK5797" s="318"/>
      <c r="AL5797" s="318"/>
      <c r="AM5797" s="318"/>
      <c r="AN5797" s="318"/>
      <c r="AO5797" s="318"/>
      <c r="AP5797" s="318"/>
      <c r="AQ5797" s="318"/>
      <c r="AR5797" s="319"/>
    </row>
    <row r="5798" spans="37:44" ht="30" customHeight="1">
      <c r="AK5798" s="318"/>
      <c r="AL5798" s="318"/>
      <c r="AM5798" s="318"/>
      <c r="AN5798" s="318"/>
      <c r="AO5798" s="318"/>
      <c r="AP5798" s="318"/>
      <c r="AQ5798" s="318"/>
      <c r="AR5798" s="319"/>
    </row>
    <row r="5799" spans="37:44" ht="30" customHeight="1">
      <c r="AK5799" s="318"/>
      <c r="AL5799" s="318"/>
      <c r="AM5799" s="318"/>
      <c r="AN5799" s="318"/>
      <c r="AO5799" s="318"/>
      <c r="AP5799" s="318"/>
      <c r="AQ5799" s="318"/>
      <c r="AR5799" s="319"/>
    </row>
    <row r="5800" spans="37:44" ht="30" customHeight="1">
      <c r="AK5800" s="318"/>
      <c r="AL5800" s="318"/>
      <c r="AM5800" s="318"/>
      <c r="AN5800" s="318"/>
      <c r="AO5800" s="318"/>
      <c r="AP5800" s="318"/>
      <c r="AQ5800" s="318"/>
      <c r="AR5800" s="319"/>
    </row>
    <row r="5801" spans="37:44" ht="30" customHeight="1">
      <c r="AK5801" s="318"/>
      <c r="AL5801" s="318"/>
      <c r="AM5801" s="318"/>
      <c r="AN5801" s="318"/>
      <c r="AO5801" s="318"/>
      <c r="AP5801" s="318"/>
      <c r="AQ5801" s="318"/>
      <c r="AR5801" s="319"/>
    </row>
    <row r="5802" spans="37:44" ht="30" customHeight="1">
      <c r="AK5802" s="318"/>
      <c r="AL5802" s="318"/>
      <c r="AM5802" s="318"/>
      <c r="AN5802" s="318"/>
      <c r="AO5802" s="318"/>
      <c r="AP5802" s="318"/>
      <c r="AQ5802" s="318"/>
      <c r="AR5802" s="319"/>
    </row>
    <row r="5803" spans="37:44" ht="30" customHeight="1">
      <c r="AK5803" s="318"/>
      <c r="AL5803" s="318"/>
      <c r="AM5803" s="318"/>
      <c r="AN5803" s="318"/>
      <c r="AO5803" s="318"/>
      <c r="AP5803" s="318"/>
      <c r="AQ5803" s="318"/>
      <c r="AR5803" s="319"/>
    </row>
    <row r="5804" spans="37:44" ht="30" customHeight="1">
      <c r="AK5804" s="318"/>
      <c r="AL5804" s="318"/>
      <c r="AM5804" s="318"/>
      <c r="AN5804" s="318"/>
      <c r="AO5804" s="318"/>
      <c r="AP5804" s="318"/>
      <c r="AQ5804" s="318"/>
      <c r="AR5804" s="319"/>
    </row>
    <row r="5805" spans="37:44" ht="30" customHeight="1">
      <c r="AK5805" s="318"/>
      <c r="AL5805" s="318"/>
      <c r="AM5805" s="318"/>
      <c r="AN5805" s="318"/>
      <c r="AO5805" s="318"/>
      <c r="AP5805" s="318"/>
      <c r="AQ5805" s="318"/>
      <c r="AR5805" s="319"/>
    </row>
    <row r="5806" spans="37:44" ht="30" customHeight="1">
      <c r="AK5806" s="318"/>
      <c r="AL5806" s="318"/>
      <c r="AM5806" s="318"/>
      <c r="AN5806" s="318"/>
      <c r="AO5806" s="318"/>
      <c r="AP5806" s="318"/>
      <c r="AQ5806" s="318"/>
      <c r="AR5806" s="319"/>
    </row>
    <row r="5807" spans="37:44" ht="30" customHeight="1">
      <c r="AK5807" s="318"/>
      <c r="AL5807" s="318"/>
      <c r="AM5807" s="318"/>
      <c r="AN5807" s="318"/>
      <c r="AO5807" s="318"/>
      <c r="AP5807" s="318"/>
      <c r="AQ5807" s="318"/>
      <c r="AR5807" s="319"/>
    </row>
    <row r="5808" spans="37:44" ht="30" customHeight="1">
      <c r="AK5808" s="318"/>
      <c r="AL5808" s="318"/>
      <c r="AM5808" s="318"/>
      <c r="AN5808" s="318"/>
      <c r="AO5808" s="318"/>
      <c r="AP5808" s="318"/>
      <c r="AQ5808" s="318"/>
      <c r="AR5808" s="319"/>
    </row>
    <row r="5809" spans="37:44" ht="30" customHeight="1">
      <c r="AK5809" s="318"/>
      <c r="AL5809" s="318"/>
      <c r="AM5809" s="318"/>
      <c r="AN5809" s="318"/>
      <c r="AO5809" s="318"/>
      <c r="AP5809" s="318"/>
      <c r="AQ5809" s="318"/>
      <c r="AR5809" s="319"/>
    </row>
    <row r="5810" spans="37:44" ht="30" customHeight="1">
      <c r="AK5810" s="318"/>
      <c r="AL5810" s="318"/>
      <c r="AM5810" s="318"/>
      <c r="AN5810" s="318"/>
      <c r="AO5810" s="318"/>
      <c r="AP5810" s="318"/>
      <c r="AQ5810" s="318"/>
      <c r="AR5810" s="319"/>
    </row>
    <row r="5811" spans="37:44" ht="30" customHeight="1">
      <c r="AK5811" s="318"/>
      <c r="AL5811" s="318"/>
      <c r="AM5811" s="318"/>
      <c r="AN5811" s="318"/>
      <c r="AO5811" s="318"/>
      <c r="AP5811" s="318"/>
      <c r="AQ5811" s="318"/>
      <c r="AR5811" s="319"/>
    </row>
    <row r="5812" spans="37:44" ht="30" customHeight="1">
      <c r="AK5812" s="318"/>
      <c r="AL5812" s="318"/>
      <c r="AM5812" s="318"/>
      <c r="AN5812" s="318"/>
      <c r="AO5812" s="318"/>
      <c r="AP5812" s="318"/>
      <c r="AQ5812" s="318"/>
      <c r="AR5812" s="319"/>
    </row>
    <row r="5813" spans="37:44" ht="30" customHeight="1">
      <c r="AK5813" s="318"/>
      <c r="AL5813" s="318"/>
      <c r="AM5813" s="318"/>
      <c r="AN5813" s="318"/>
      <c r="AO5813" s="318"/>
      <c r="AP5813" s="318"/>
      <c r="AQ5813" s="318"/>
      <c r="AR5813" s="319"/>
    </row>
    <row r="5814" spans="37:44" ht="30" customHeight="1">
      <c r="AK5814" s="318"/>
      <c r="AL5814" s="318"/>
      <c r="AM5814" s="318"/>
      <c r="AN5814" s="318"/>
      <c r="AO5814" s="318"/>
      <c r="AP5814" s="318"/>
      <c r="AQ5814" s="318"/>
      <c r="AR5814" s="319"/>
    </row>
    <row r="5815" spans="37:44" ht="30" customHeight="1">
      <c r="AK5815" s="318"/>
      <c r="AL5815" s="318"/>
      <c r="AM5815" s="318"/>
      <c r="AN5815" s="318"/>
      <c r="AO5815" s="318"/>
      <c r="AP5815" s="318"/>
      <c r="AQ5815" s="318"/>
      <c r="AR5815" s="319"/>
    </row>
    <row r="5816" spans="37:44" ht="30" customHeight="1">
      <c r="AK5816" s="318"/>
      <c r="AL5816" s="318"/>
      <c r="AM5816" s="318"/>
      <c r="AN5816" s="318"/>
      <c r="AO5816" s="318"/>
      <c r="AP5816" s="318"/>
      <c r="AQ5816" s="318"/>
      <c r="AR5816" s="319"/>
    </row>
    <row r="5817" spans="37:44" ht="30" customHeight="1">
      <c r="AK5817" s="318"/>
      <c r="AL5817" s="318"/>
      <c r="AM5817" s="318"/>
      <c r="AN5817" s="318"/>
      <c r="AO5817" s="318"/>
      <c r="AP5817" s="318"/>
      <c r="AQ5817" s="318"/>
      <c r="AR5817" s="319"/>
    </row>
    <row r="5818" spans="37:44" ht="30" customHeight="1">
      <c r="AK5818" s="318"/>
      <c r="AL5818" s="318"/>
      <c r="AM5818" s="318"/>
      <c r="AN5818" s="318"/>
      <c r="AO5818" s="318"/>
      <c r="AP5818" s="318"/>
      <c r="AQ5818" s="318"/>
      <c r="AR5818" s="319"/>
    </row>
    <row r="5819" spans="37:44" ht="30" customHeight="1">
      <c r="AK5819" s="318"/>
      <c r="AL5819" s="318"/>
      <c r="AM5819" s="318"/>
      <c r="AN5819" s="318"/>
      <c r="AO5819" s="318"/>
      <c r="AP5819" s="318"/>
      <c r="AQ5819" s="318"/>
      <c r="AR5819" s="319"/>
    </row>
    <row r="5820" spans="37:44" ht="30" customHeight="1">
      <c r="AK5820" s="318"/>
      <c r="AL5820" s="318"/>
      <c r="AM5820" s="318"/>
      <c r="AN5820" s="318"/>
      <c r="AO5820" s="318"/>
      <c r="AP5820" s="318"/>
      <c r="AQ5820" s="318"/>
      <c r="AR5820" s="319"/>
    </row>
    <row r="5821" spans="37:44" ht="30" customHeight="1">
      <c r="AK5821" s="318"/>
      <c r="AL5821" s="318"/>
      <c r="AM5821" s="318"/>
      <c r="AN5821" s="318"/>
      <c r="AO5821" s="318"/>
      <c r="AP5821" s="318"/>
      <c r="AQ5821" s="318"/>
      <c r="AR5821" s="319"/>
    </row>
    <row r="5822" spans="37:44" ht="30" customHeight="1">
      <c r="AK5822" s="318"/>
      <c r="AL5822" s="318"/>
      <c r="AM5822" s="318"/>
      <c r="AN5822" s="318"/>
      <c r="AO5822" s="318"/>
      <c r="AP5822" s="318"/>
      <c r="AQ5822" s="318"/>
      <c r="AR5822" s="319"/>
    </row>
    <row r="5823" spans="37:44" ht="30" customHeight="1">
      <c r="AK5823" s="318"/>
      <c r="AL5823" s="318"/>
      <c r="AM5823" s="318"/>
      <c r="AN5823" s="318"/>
      <c r="AO5823" s="318"/>
      <c r="AP5823" s="318"/>
      <c r="AQ5823" s="318"/>
      <c r="AR5823" s="319"/>
    </row>
    <row r="5824" spans="37:44" ht="30" customHeight="1">
      <c r="AK5824" s="318"/>
      <c r="AL5824" s="318"/>
      <c r="AM5824" s="318"/>
      <c r="AN5824" s="318"/>
      <c r="AO5824" s="318"/>
      <c r="AP5824" s="318"/>
      <c r="AQ5824" s="318"/>
      <c r="AR5824" s="319"/>
    </row>
    <row r="5825" spans="37:44" ht="30" customHeight="1">
      <c r="AK5825" s="318"/>
      <c r="AL5825" s="318"/>
      <c r="AM5825" s="318"/>
      <c r="AN5825" s="318"/>
      <c r="AO5825" s="318"/>
      <c r="AP5825" s="318"/>
      <c r="AQ5825" s="318"/>
      <c r="AR5825" s="319"/>
    </row>
    <row r="5826" spans="37:44" ht="30" customHeight="1">
      <c r="AK5826" s="318"/>
      <c r="AL5826" s="318"/>
      <c r="AM5826" s="318"/>
      <c r="AN5826" s="318"/>
      <c r="AO5826" s="318"/>
      <c r="AP5826" s="318"/>
      <c r="AQ5826" s="318"/>
      <c r="AR5826" s="319"/>
    </row>
    <row r="5827" spans="37:44" ht="30" customHeight="1">
      <c r="AK5827" s="318"/>
      <c r="AL5827" s="318"/>
      <c r="AM5827" s="318"/>
      <c r="AN5827" s="318"/>
      <c r="AO5827" s="318"/>
      <c r="AP5827" s="318"/>
      <c r="AQ5827" s="318"/>
      <c r="AR5827" s="319"/>
    </row>
    <row r="5828" spans="37:44" ht="30" customHeight="1">
      <c r="AK5828" s="318"/>
      <c r="AL5828" s="318"/>
      <c r="AM5828" s="318"/>
      <c r="AN5828" s="318"/>
      <c r="AO5828" s="318"/>
      <c r="AP5828" s="318"/>
      <c r="AQ5828" s="318"/>
      <c r="AR5828" s="319"/>
    </row>
    <row r="5829" spans="37:44" ht="30" customHeight="1">
      <c r="AK5829" s="318"/>
      <c r="AL5829" s="318"/>
      <c r="AM5829" s="318"/>
      <c r="AN5829" s="318"/>
      <c r="AO5829" s="318"/>
      <c r="AP5829" s="318"/>
      <c r="AQ5829" s="318"/>
      <c r="AR5829" s="319"/>
    </row>
    <row r="5830" spans="37:44" ht="30" customHeight="1">
      <c r="AK5830" s="318"/>
      <c r="AL5830" s="318"/>
      <c r="AM5830" s="318"/>
      <c r="AN5830" s="318"/>
      <c r="AO5830" s="318"/>
      <c r="AP5830" s="318"/>
      <c r="AQ5830" s="318"/>
      <c r="AR5830" s="319"/>
    </row>
    <row r="5831" spans="37:44" ht="30" customHeight="1">
      <c r="AK5831" s="318"/>
      <c r="AL5831" s="318"/>
      <c r="AM5831" s="318"/>
      <c r="AN5831" s="318"/>
      <c r="AO5831" s="318"/>
      <c r="AP5831" s="318"/>
      <c r="AQ5831" s="318"/>
      <c r="AR5831" s="319"/>
    </row>
    <row r="5832" spans="37:44" ht="30" customHeight="1">
      <c r="AK5832" s="318"/>
      <c r="AL5832" s="318"/>
      <c r="AM5832" s="318"/>
      <c r="AN5832" s="318"/>
      <c r="AO5832" s="318"/>
      <c r="AP5832" s="318"/>
      <c r="AQ5832" s="318"/>
      <c r="AR5832" s="319"/>
    </row>
    <row r="5833" spans="37:44" ht="30" customHeight="1">
      <c r="AK5833" s="318"/>
      <c r="AL5833" s="318"/>
      <c r="AM5833" s="318"/>
      <c r="AN5833" s="318"/>
      <c r="AO5833" s="318"/>
      <c r="AP5833" s="318"/>
      <c r="AQ5833" s="318"/>
      <c r="AR5833" s="319"/>
    </row>
    <row r="5834" spans="37:44" ht="30" customHeight="1">
      <c r="AK5834" s="318"/>
      <c r="AL5834" s="318"/>
      <c r="AM5834" s="318"/>
      <c r="AN5834" s="318"/>
      <c r="AO5834" s="318"/>
      <c r="AP5834" s="318"/>
      <c r="AQ5834" s="318"/>
      <c r="AR5834" s="319"/>
    </row>
    <row r="5835" spans="37:44" ht="30" customHeight="1">
      <c r="AK5835" s="318"/>
      <c r="AL5835" s="318"/>
      <c r="AM5835" s="318"/>
      <c r="AN5835" s="318"/>
      <c r="AO5835" s="318"/>
      <c r="AP5835" s="318"/>
      <c r="AQ5835" s="318"/>
      <c r="AR5835" s="319"/>
    </row>
    <row r="5836" spans="37:44" ht="30" customHeight="1">
      <c r="AK5836" s="318"/>
      <c r="AL5836" s="318"/>
      <c r="AM5836" s="318"/>
      <c r="AN5836" s="318"/>
      <c r="AO5836" s="318"/>
      <c r="AP5836" s="318"/>
      <c r="AQ5836" s="318"/>
      <c r="AR5836" s="319"/>
    </row>
    <row r="5837" spans="37:44" ht="30" customHeight="1">
      <c r="AK5837" s="318"/>
      <c r="AL5837" s="318"/>
      <c r="AM5837" s="318"/>
      <c r="AN5837" s="318"/>
      <c r="AO5837" s="318"/>
      <c r="AP5837" s="318"/>
      <c r="AQ5837" s="318"/>
      <c r="AR5837" s="319"/>
    </row>
    <row r="5838" spans="37:44" ht="30" customHeight="1">
      <c r="AK5838" s="318"/>
      <c r="AL5838" s="318"/>
      <c r="AM5838" s="318"/>
      <c r="AN5838" s="318"/>
      <c r="AO5838" s="318"/>
      <c r="AP5838" s="318"/>
      <c r="AQ5838" s="318"/>
      <c r="AR5838" s="319"/>
    </row>
    <row r="5839" spans="37:44" ht="30" customHeight="1">
      <c r="AK5839" s="318"/>
      <c r="AL5839" s="318"/>
      <c r="AM5839" s="318"/>
      <c r="AN5839" s="318"/>
      <c r="AO5839" s="318"/>
      <c r="AP5839" s="318"/>
      <c r="AQ5839" s="318"/>
      <c r="AR5839" s="319"/>
    </row>
    <row r="5840" spans="37:44" ht="30" customHeight="1">
      <c r="AK5840" s="318"/>
      <c r="AL5840" s="318"/>
      <c r="AM5840" s="318"/>
      <c r="AN5840" s="318"/>
      <c r="AO5840" s="318"/>
      <c r="AP5840" s="318"/>
      <c r="AQ5840" s="318"/>
      <c r="AR5840" s="319"/>
    </row>
    <row r="5841" spans="37:44" ht="30" customHeight="1">
      <c r="AK5841" s="318"/>
      <c r="AL5841" s="318"/>
      <c r="AM5841" s="318"/>
      <c r="AN5841" s="318"/>
      <c r="AO5841" s="318"/>
      <c r="AP5841" s="318"/>
      <c r="AQ5841" s="318"/>
      <c r="AR5841" s="319"/>
    </row>
    <row r="5842" spans="37:44" ht="30" customHeight="1">
      <c r="AK5842" s="318"/>
      <c r="AL5842" s="318"/>
      <c r="AM5842" s="318"/>
      <c r="AN5842" s="318"/>
      <c r="AO5842" s="318"/>
      <c r="AP5842" s="318"/>
      <c r="AQ5842" s="318"/>
      <c r="AR5842" s="319"/>
    </row>
    <row r="5843" spans="37:44" ht="30" customHeight="1">
      <c r="AK5843" s="318"/>
      <c r="AL5843" s="318"/>
      <c r="AM5843" s="318"/>
      <c r="AN5843" s="318"/>
      <c r="AO5843" s="318"/>
      <c r="AP5843" s="318"/>
      <c r="AQ5843" s="318"/>
      <c r="AR5843" s="319"/>
    </row>
    <row r="5844" spans="37:44" ht="30" customHeight="1">
      <c r="AK5844" s="318"/>
      <c r="AL5844" s="318"/>
      <c r="AM5844" s="318"/>
      <c r="AN5844" s="318"/>
      <c r="AO5844" s="318"/>
      <c r="AP5844" s="318"/>
      <c r="AQ5844" s="318"/>
      <c r="AR5844" s="319"/>
    </row>
    <row r="5845" spans="37:44" ht="30" customHeight="1">
      <c r="AK5845" s="318"/>
      <c r="AL5845" s="318"/>
      <c r="AM5845" s="318"/>
      <c r="AN5845" s="318"/>
      <c r="AO5845" s="318"/>
      <c r="AP5845" s="318"/>
      <c r="AQ5845" s="318"/>
      <c r="AR5845" s="319"/>
    </row>
    <row r="5846" spans="37:44" ht="30" customHeight="1">
      <c r="AK5846" s="318"/>
      <c r="AL5846" s="318"/>
      <c r="AM5846" s="318"/>
      <c r="AN5846" s="318"/>
      <c r="AO5846" s="318"/>
      <c r="AP5846" s="318"/>
      <c r="AQ5846" s="318"/>
      <c r="AR5846" s="319"/>
    </row>
    <row r="5847" spans="37:44" ht="30" customHeight="1">
      <c r="AK5847" s="318"/>
      <c r="AL5847" s="318"/>
      <c r="AM5847" s="318"/>
      <c r="AN5847" s="318"/>
      <c r="AO5847" s="318"/>
      <c r="AP5847" s="318"/>
      <c r="AQ5847" s="318"/>
      <c r="AR5847" s="319"/>
    </row>
    <row r="5848" spans="37:44" ht="30" customHeight="1">
      <c r="AK5848" s="318"/>
      <c r="AL5848" s="318"/>
      <c r="AM5848" s="318"/>
      <c r="AN5848" s="318"/>
      <c r="AO5848" s="318"/>
      <c r="AP5848" s="318"/>
      <c r="AQ5848" s="318"/>
      <c r="AR5848" s="319"/>
    </row>
    <row r="5849" spans="37:44" ht="30" customHeight="1">
      <c r="AK5849" s="318"/>
      <c r="AL5849" s="318"/>
      <c r="AM5849" s="318"/>
      <c r="AN5849" s="318"/>
      <c r="AO5849" s="318"/>
      <c r="AP5849" s="318"/>
      <c r="AQ5849" s="318"/>
      <c r="AR5849" s="319"/>
    </row>
    <row r="5850" spans="37:44" ht="30" customHeight="1">
      <c r="AK5850" s="318"/>
      <c r="AL5850" s="318"/>
      <c r="AM5850" s="318"/>
      <c r="AN5850" s="318"/>
      <c r="AO5850" s="318"/>
      <c r="AP5850" s="318"/>
      <c r="AQ5850" s="318"/>
      <c r="AR5850" s="319"/>
    </row>
    <row r="5851" spans="37:44" ht="30" customHeight="1">
      <c r="AK5851" s="318"/>
      <c r="AL5851" s="318"/>
      <c r="AM5851" s="318"/>
      <c r="AN5851" s="318"/>
      <c r="AO5851" s="318"/>
      <c r="AP5851" s="318"/>
      <c r="AQ5851" s="318"/>
      <c r="AR5851" s="319"/>
    </row>
    <row r="5852" spans="37:44" ht="30" customHeight="1">
      <c r="AK5852" s="318"/>
      <c r="AL5852" s="318"/>
      <c r="AM5852" s="318"/>
      <c r="AN5852" s="318"/>
      <c r="AO5852" s="318"/>
      <c r="AP5852" s="318"/>
      <c r="AQ5852" s="318"/>
      <c r="AR5852" s="319"/>
    </row>
    <row r="5853" spans="37:44" ht="30" customHeight="1">
      <c r="AK5853" s="318"/>
      <c r="AL5853" s="318"/>
      <c r="AM5853" s="318"/>
      <c r="AN5853" s="318"/>
      <c r="AO5853" s="318"/>
      <c r="AP5853" s="318"/>
      <c r="AQ5853" s="318"/>
      <c r="AR5853" s="319"/>
    </row>
    <row r="5854" spans="37:44" ht="30" customHeight="1">
      <c r="AK5854" s="318"/>
      <c r="AL5854" s="318"/>
      <c r="AM5854" s="318"/>
      <c r="AN5854" s="318"/>
      <c r="AO5854" s="318"/>
      <c r="AP5854" s="318"/>
      <c r="AQ5854" s="318"/>
      <c r="AR5854" s="319"/>
    </row>
    <row r="5855" spans="37:44" ht="30" customHeight="1">
      <c r="AK5855" s="318"/>
      <c r="AL5855" s="318"/>
      <c r="AM5855" s="318"/>
      <c r="AN5855" s="318"/>
      <c r="AO5855" s="318"/>
      <c r="AP5855" s="318"/>
      <c r="AQ5855" s="318"/>
      <c r="AR5855" s="319"/>
    </row>
    <row r="5856" spans="37:44" ht="30" customHeight="1">
      <c r="AK5856" s="318"/>
      <c r="AL5856" s="318"/>
      <c r="AM5856" s="318"/>
      <c r="AN5856" s="318"/>
      <c r="AO5856" s="318"/>
      <c r="AP5856" s="318"/>
      <c r="AQ5856" s="318"/>
      <c r="AR5856" s="319"/>
    </row>
    <row r="5857" spans="37:44" ht="30" customHeight="1">
      <c r="AK5857" s="318"/>
      <c r="AL5857" s="318"/>
      <c r="AM5857" s="318"/>
      <c r="AN5857" s="318"/>
      <c r="AO5857" s="318"/>
      <c r="AP5857" s="318"/>
      <c r="AQ5857" s="318"/>
      <c r="AR5857" s="319"/>
    </row>
    <row r="5858" spans="37:44" ht="30" customHeight="1">
      <c r="AK5858" s="318"/>
      <c r="AL5858" s="318"/>
      <c r="AM5858" s="318"/>
      <c r="AN5858" s="318"/>
      <c r="AO5858" s="318"/>
      <c r="AP5858" s="318"/>
      <c r="AQ5858" s="318"/>
      <c r="AR5858" s="319"/>
    </row>
    <row r="5859" spans="37:44" ht="30" customHeight="1">
      <c r="AK5859" s="318"/>
      <c r="AL5859" s="318"/>
      <c r="AM5859" s="318"/>
      <c r="AN5859" s="318"/>
      <c r="AO5859" s="318"/>
      <c r="AP5859" s="318"/>
      <c r="AQ5859" s="318"/>
      <c r="AR5859" s="319"/>
    </row>
    <row r="5860" spans="37:44" ht="30" customHeight="1">
      <c r="AK5860" s="318"/>
      <c r="AL5860" s="318"/>
      <c r="AM5860" s="318"/>
      <c r="AN5860" s="318"/>
      <c r="AO5860" s="318"/>
      <c r="AP5860" s="318"/>
      <c r="AQ5860" s="318"/>
      <c r="AR5860" s="319"/>
    </row>
    <row r="5861" spans="37:44" ht="30" customHeight="1">
      <c r="AK5861" s="318"/>
      <c r="AL5861" s="318"/>
      <c r="AM5861" s="318"/>
      <c r="AN5861" s="318"/>
      <c r="AO5861" s="318"/>
      <c r="AP5861" s="318"/>
      <c r="AQ5861" s="318"/>
      <c r="AR5861" s="319"/>
    </row>
    <row r="5862" spans="37:44" ht="30" customHeight="1">
      <c r="AK5862" s="318"/>
      <c r="AL5862" s="318"/>
      <c r="AM5862" s="318"/>
      <c r="AN5862" s="318"/>
      <c r="AO5862" s="318"/>
      <c r="AP5862" s="318"/>
      <c r="AQ5862" s="318"/>
      <c r="AR5862" s="319"/>
    </row>
    <row r="5863" spans="37:44" ht="30" customHeight="1">
      <c r="AK5863" s="318"/>
      <c r="AL5863" s="318"/>
      <c r="AM5863" s="318"/>
      <c r="AN5863" s="318"/>
      <c r="AO5863" s="318"/>
      <c r="AP5863" s="318"/>
      <c r="AQ5863" s="318"/>
      <c r="AR5863" s="319"/>
    </row>
    <row r="5864" spans="37:44" ht="30" customHeight="1">
      <c r="AK5864" s="318"/>
      <c r="AL5864" s="318"/>
      <c r="AM5864" s="318"/>
      <c r="AN5864" s="318"/>
      <c r="AO5864" s="318"/>
      <c r="AP5864" s="318"/>
      <c r="AQ5864" s="318"/>
      <c r="AR5864" s="319"/>
    </row>
    <row r="5865" spans="37:44" ht="30" customHeight="1">
      <c r="AK5865" s="318"/>
      <c r="AL5865" s="318"/>
      <c r="AM5865" s="318"/>
      <c r="AN5865" s="318"/>
      <c r="AO5865" s="318"/>
      <c r="AP5865" s="318"/>
      <c r="AQ5865" s="318"/>
      <c r="AR5865" s="319"/>
    </row>
    <row r="5866" spans="37:44" ht="30" customHeight="1">
      <c r="AK5866" s="318"/>
      <c r="AL5866" s="318"/>
      <c r="AM5866" s="318"/>
      <c r="AN5866" s="318"/>
      <c r="AO5866" s="318"/>
      <c r="AP5866" s="318"/>
      <c r="AQ5866" s="318"/>
      <c r="AR5866" s="319"/>
    </row>
    <row r="5867" spans="37:44" ht="30" customHeight="1">
      <c r="AK5867" s="318"/>
      <c r="AL5867" s="318"/>
      <c r="AM5867" s="318"/>
      <c r="AN5867" s="318"/>
      <c r="AO5867" s="318"/>
      <c r="AP5867" s="318"/>
      <c r="AQ5867" s="318"/>
      <c r="AR5867" s="319"/>
    </row>
    <row r="5868" spans="37:44" ht="30" customHeight="1">
      <c r="AK5868" s="318"/>
      <c r="AL5868" s="318"/>
      <c r="AM5868" s="318"/>
      <c r="AN5868" s="318"/>
      <c r="AO5868" s="318"/>
      <c r="AP5868" s="318"/>
      <c r="AQ5868" s="318"/>
      <c r="AR5868" s="319"/>
    </row>
    <row r="5869" spans="37:44" ht="30" customHeight="1">
      <c r="AK5869" s="318"/>
      <c r="AL5869" s="318"/>
      <c r="AM5869" s="318"/>
      <c r="AN5869" s="318"/>
      <c r="AO5869" s="318"/>
      <c r="AP5869" s="318"/>
      <c r="AQ5869" s="318"/>
      <c r="AR5869" s="319"/>
    </row>
    <row r="5870" spans="37:44" ht="30" customHeight="1">
      <c r="AK5870" s="318"/>
      <c r="AL5870" s="318"/>
      <c r="AM5870" s="318"/>
      <c r="AN5870" s="318"/>
      <c r="AO5870" s="318"/>
      <c r="AP5870" s="318"/>
      <c r="AQ5870" s="318"/>
      <c r="AR5870" s="319"/>
    </row>
    <row r="5871" spans="37:44" ht="30" customHeight="1">
      <c r="AK5871" s="318"/>
      <c r="AL5871" s="318"/>
      <c r="AM5871" s="318"/>
      <c r="AN5871" s="318"/>
      <c r="AO5871" s="318"/>
      <c r="AP5871" s="318"/>
      <c r="AQ5871" s="318"/>
      <c r="AR5871" s="319"/>
    </row>
    <row r="5872" spans="37:44" ht="30" customHeight="1">
      <c r="AK5872" s="318"/>
      <c r="AL5872" s="318"/>
      <c r="AM5872" s="318"/>
      <c r="AN5872" s="318"/>
      <c r="AO5872" s="318"/>
      <c r="AP5872" s="318"/>
      <c r="AQ5872" s="318"/>
      <c r="AR5872" s="319"/>
    </row>
    <row r="5873" spans="37:44" ht="30" customHeight="1">
      <c r="AK5873" s="318"/>
      <c r="AL5873" s="318"/>
      <c r="AM5873" s="318"/>
      <c r="AN5873" s="318"/>
      <c r="AO5873" s="318"/>
      <c r="AP5873" s="318"/>
      <c r="AQ5873" s="318"/>
      <c r="AR5873" s="319"/>
    </row>
    <row r="5874" spans="37:44" ht="30" customHeight="1">
      <c r="AK5874" s="318"/>
      <c r="AL5874" s="318"/>
      <c r="AM5874" s="318"/>
      <c r="AN5874" s="318"/>
      <c r="AO5874" s="318"/>
      <c r="AP5874" s="318"/>
      <c r="AQ5874" s="318"/>
      <c r="AR5874" s="319"/>
    </row>
    <row r="5875" spans="37:44" ht="30" customHeight="1">
      <c r="AK5875" s="318"/>
      <c r="AL5875" s="318"/>
      <c r="AM5875" s="318"/>
      <c r="AN5875" s="318"/>
      <c r="AO5875" s="318"/>
      <c r="AP5875" s="318"/>
      <c r="AQ5875" s="318"/>
      <c r="AR5875" s="319"/>
    </row>
    <row r="5876" spans="37:44" ht="30" customHeight="1">
      <c r="AK5876" s="318"/>
      <c r="AL5876" s="318"/>
      <c r="AM5876" s="318"/>
      <c r="AN5876" s="318"/>
      <c r="AO5876" s="318"/>
      <c r="AP5876" s="318"/>
      <c r="AQ5876" s="318"/>
      <c r="AR5876" s="319"/>
    </row>
    <row r="5877" spans="37:44" ht="30" customHeight="1">
      <c r="AK5877" s="318"/>
      <c r="AL5877" s="318"/>
      <c r="AM5877" s="318"/>
      <c r="AN5877" s="318"/>
      <c r="AO5877" s="318"/>
      <c r="AP5877" s="318"/>
      <c r="AQ5877" s="318"/>
      <c r="AR5877" s="319"/>
    </row>
    <row r="5878" spans="37:44" ht="30" customHeight="1">
      <c r="AK5878" s="318"/>
      <c r="AL5878" s="318"/>
      <c r="AM5878" s="318"/>
      <c r="AN5878" s="318"/>
      <c r="AO5878" s="318"/>
      <c r="AP5878" s="318"/>
      <c r="AQ5878" s="318"/>
      <c r="AR5878" s="319"/>
    </row>
    <row r="5879" spans="37:44" ht="30" customHeight="1">
      <c r="AK5879" s="318"/>
      <c r="AL5879" s="318"/>
      <c r="AM5879" s="318"/>
      <c r="AN5879" s="318"/>
      <c r="AO5879" s="318"/>
      <c r="AP5879" s="318"/>
      <c r="AQ5879" s="318"/>
      <c r="AR5879" s="319"/>
    </row>
    <row r="5880" spans="37:44" ht="30" customHeight="1">
      <c r="AK5880" s="318"/>
      <c r="AL5880" s="318"/>
      <c r="AM5880" s="318"/>
      <c r="AN5880" s="318"/>
      <c r="AO5880" s="318"/>
      <c r="AP5880" s="318"/>
      <c r="AQ5880" s="318"/>
      <c r="AR5880" s="319"/>
    </row>
    <row r="5881" spans="37:44" ht="30" customHeight="1">
      <c r="AK5881" s="318"/>
      <c r="AL5881" s="318"/>
      <c r="AM5881" s="318"/>
      <c r="AN5881" s="318"/>
      <c r="AO5881" s="318"/>
      <c r="AP5881" s="318"/>
      <c r="AQ5881" s="318"/>
      <c r="AR5881" s="319"/>
    </row>
    <row r="5882" spans="37:44" ht="30" customHeight="1">
      <c r="AK5882" s="318"/>
      <c r="AL5882" s="318"/>
      <c r="AM5882" s="318"/>
      <c r="AN5882" s="318"/>
      <c r="AO5882" s="318"/>
      <c r="AP5882" s="318"/>
      <c r="AQ5882" s="318"/>
      <c r="AR5882" s="319"/>
    </row>
    <row r="5883" spans="37:44" ht="30" customHeight="1">
      <c r="AK5883" s="318"/>
      <c r="AL5883" s="318"/>
      <c r="AM5883" s="318"/>
      <c r="AN5883" s="318"/>
      <c r="AO5883" s="318"/>
      <c r="AP5883" s="318"/>
      <c r="AQ5883" s="318"/>
      <c r="AR5883" s="319"/>
    </row>
    <row r="5884" spans="37:44" ht="30" customHeight="1">
      <c r="AK5884" s="318"/>
      <c r="AL5884" s="318"/>
      <c r="AM5884" s="318"/>
      <c r="AN5884" s="318"/>
      <c r="AO5884" s="318"/>
      <c r="AP5884" s="318"/>
      <c r="AQ5884" s="318"/>
      <c r="AR5884" s="319"/>
    </row>
    <row r="5885" spans="37:44" ht="30" customHeight="1">
      <c r="AK5885" s="318"/>
      <c r="AL5885" s="318"/>
      <c r="AM5885" s="318"/>
      <c r="AN5885" s="318"/>
      <c r="AO5885" s="318"/>
      <c r="AP5885" s="318"/>
      <c r="AQ5885" s="318"/>
      <c r="AR5885" s="319"/>
    </row>
    <row r="5886" spans="37:44" ht="30" customHeight="1">
      <c r="AK5886" s="318"/>
      <c r="AL5886" s="318"/>
      <c r="AM5886" s="318"/>
      <c r="AN5886" s="318"/>
      <c r="AO5886" s="318"/>
      <c r="AP5886" s="318"/>
      <c r="AQ5886" s="318"/>
      <c r="AR5886" s="319"/>
    </row>
    <row r="5887" spans="37:44" ht="30" customHeight="1">
      <c r="AK5887" s="318"/>
      <c r="AL5887" s="318"/>
      <c r="AM5887" s="318"/>
      <c r="AN5887" s="318"/>
      <c r="AO5887" s="318"/>
      <c r="AP5887" s="318"/>
      <c r="AQ5887" s="318"/>
      <c r="AR5887" s="319"/>
    </row>
    <row r="5888" spans="37:44" ht="30" customHeight="1">
      <c r="AK5888" s="318"/>
      <c r="AL5888" s="318"/>
      <c r="AM5888" s="318"/>
      <c r="AN5888" s="318"/>
      <c r="AO5888" s="318"/>
      <c r="AP5888" s="318"/>
      <c r="AQ5888" s="318"/>
      <c r="AR5888" s="319"/>
    </row>
    <row r="5889" spans="37:44" ht="30" customHeight="1">
      <c r="AK5889" s="318"/>
      <c r="AL5889" s="318"/>
      <c r="AM5889" s="318"/>
      <c r="AN5889" s="318"/>
      <c r="AO5889" s="318"/>
      <c r="AP5889" s="318"/>
      <c r="AQ5889" s="318"/>
      <c r="AR5889" s="319"/>
    </row>
    <row r="5890" spans="37:44" ht="30" customHeight="1">
      <c r="AK5890" s="318"/>
      <c r="AL5890" s="318"/>
      <c r="AM5890" s="318"/>
      <c r="AN5890" s="318"/>
      <c r="AO5890" s="318"/>
      <c r="AP5890" s="318"/>
      <c r="AQ5890" s="318"/>
      <c r="AR5890" s="319"/>
    </row>
    <row r="5891" spans="37:44" ht="30" customHeight="1">
      <c r="AK5891" s="318"/>
      <c r="AL5891" s="318"/>
      <c r="AM5891" s="318"/>
      <c r="AN5891" s="318"/>
      <c r="AO5891" s="318"/>
      <c r="AP5891" s="318"/>
      <c r="AQ5891" s="318"/>
      <c r="AR5891" s="319"/>
    </row>
    <row r="5892" spans="37:44" ht="30" customHeight="1">
      <c r="AK5892" s="318"/>
      <c r="AL5892" s="318"/>
      <c r="AM5892" s="318"/>
      <c r="AN5892" s="318"/>
      <c r="AO5892" s="318"/>
      <c r="AP5892" s="318"/>
      <c r="AQ5892" s="318"/>
      <c r="AR5892" s="319"/>
    </row>
    <row r="5893" spans="37:44" ht="30" customHeight="1">
      <c r="AK5893" s="318"/>
      <c r="AL5893" s="318"/>
      <c r="AM5893" s="318"/>
      <c r="AN5893" s="318"/>
      <c r="AO5893" s="318"/>
      <c r="AP5893" s="318"/>
      <c r="AQ5893" s="318"/>
      <c r="AR5893" s="319"/>
    </row>
    <row r="5894" spans="37:44" ht="30" customHeight="1">
      <c r="AK5894" s="318"/>
      <c r="AL5894" s="318"/>
      <c r="AM5894" s="318"/>
      <c r="AN5894" s="318"/>
      <c r="AO5894" s="318"/>
      <c r="AP5894" s="318"/>
      <c r="AQ5894" s="318"/>
      <c r="AR5894" s="319"/>
    </row>
    <row r="5895" spans="37:44" ht="30" customHeight="1">
      <c r="AK5895" s="318"/>
      <c r="AL5895" s="318"/>
      <c r="AM5895" s="318"/>
      <c r="AN5895" s="318"/>
      <c r="AO5895" s="318"/>
      <c r="AP5895" s="318"/>
      <c r="AQ5895" s="318"/>
      <c r="AR5895" s="319"/>
    </row>
    <row r="5896" spans="37:44" ht="30" customHeight="1">
      <c r="AK5896" s="318"/>
      <c r="AL5896" s="318"/>
      <c r="AM5896" s="318"/>
      <c r="AN5896" s="318"/>
      <c r="AO5896" s="318"/>
      <c r="AP5896" s="318"/>
      <c r="AQ5896" s="318"/>
      <c r="AR5896" s="319"/>
    </row>
    <row r="5897" spans="37:44" ht="30" customHeight="1">
      <c r="AK5897" s="318"/>
      <c r="AL5897" s="318"/>
      <c r="AM5897" s="318"/>
      <c r="AN5897" s="318"/>
      <c r="AO5897" s="318"/>
      <c r="AP5897" s="318"/>
      <c r="AQ5897" s="318"/>
      <c r="AR5897" s="319"/>
    </row>
    <row r="5898" spans="37:44" ht="30" customHeight="1">
      <c r="AK5898" s="318"/>
      <c r="AL5898" s="318"/>
      <c r="AM5898" s="318"/>
      <c r="AN5898" s="318"/>
      <c r="AO5898" s="318"/>
      <c r="AP5898" s="318"/>
      <c r="AQ5898" s="318"/>
      <c r="AR5898" s="319"/>
    </row>
    <row r="5899" spans="37:44" ht="30" customHeight="1">
      <c r="AK5899" s="318"/>
      <c r="AL5899" s="318"/>
      <c r="AM5899" s="318"/>
      <c r="AN5899" s="318"/>
      <c r="AO5899" s="318"/>
      <c r="AP5899" s="318"/>
      <c r="AQ5899" s="318"/>
      <c r="AR5899" s="319"/>
    </row>
    <row r="5900" spans="37:44" ht="30" customHeight="1">
      <c r="AK5900" s="318"/>
      <c r="AL5900" s="318"/>
      <c r="AM5900" s="318"/>
      <c r="AN5900" s="318"/>
      <c r="AO5900" s="318"/>
      <c r="AP5900" s="318"/>
      <c r="AQ5900" s="318"/>
      <c r="AR5900" s="319"/>
    </row>
    <row r="5901" spans="37:44" ht="30" customHeight="1">
      <c r="AK5901" s="318"/>
      <c r="AL5901" s="318"/>
      <c r="AM5901" s="318"/>
      <c r="AN5901" s="318"/>
      <c r="AO5901" s="318"/>
      <c r="AP5901" s="318"/>
      <c r="AQ5901" s="318"/>
      <c r="AR5901" s="319"/>
    </row>
    <row r="5902" spans="37:44" ht="30" customHeight="1">
      <c r="AK5902" s="318"/>
      <c r="AL5902" s="318"/>
      <c r="AM5902" s="318"/>
      <c r="AN5902" s="318"/>
      <c r="AO5902" s="318"/>
      <c r="AP5902" s="318"/>
      <c r="AQ5902" s="318"/>
      <c r="AR5902" s="319"/>
    </row>
    <row r="5903" spans="37:44" ht="30" customHeight="1">
      <c r="AK5903" s="318"/>
      <c r="AL5903" s="318"/>
      <c r="AM5903" s="318"/>
      <c r="AN5903" s="318"/>
      <c r="AO5903" s="318"/>
      <c r="AP5903" s="318"/>
      <c r="AQ5903" s="318"/>
      <c r="AR5903" s="319"/>
    </row>
    <row r="5904" spans="37:44" ht="30" customHeight="1">
      <c r="AK5904" s="318"/>
      <c r="AL5904" s="318"/>
      <c r="AM5904" s="318"/>
      <c r="AN5904" s="318"/>
      <c r="AO5904" s="318"/>
      <c r="AP5904" s="318"/>
      <c r="AQ5904" s="318"/>
      <c r="AR5904" s="319"/>
    </row>
    <row r="5905" spans="37:44" ht="30" customHeight="1">
      <c r="AK5905" s="318"/>
      <c r="AL5905" s="318"/>
      <c r="AM5905" s="318"/>
      <c r="AN5905" s="318"/>
      <c r="AO5905" s="318"/>
      <c r="AP5905" s="318"/>
      <c r="AQ5905" s="318"/>
      <c r="AR5905" s="319"/>
    </row>
    <row r="5906" spans="37:44" ht="30" customHeight="1">
      <c r="AK5906" s="318"/>
      <c r="AL5906" s="318"/>
      <c r="AM5906" s="318"/>
      <c r="AN5906" s="318"/>
      <c r="AO5906" s="318"/>
      <c r="AP5906" s="318"/>
      <c r="AQ5906" s="318"/>
      <c r="AR5906" s="319"/>
    </row>
    <row r="5907" spans="37:44" ht="30" customHeight="1">
      <c r="AK5907" s="318"/>
      <c r="AL5907" s="318"/>
      <c r="AM5907" s="318"/>
      <c r="AN5907" s="318"/>
      <c r="AO5907" s="318"/>
      <c r="AP5907" s="318"/>
      <c r="AQ5907" s="318"/>
      <c r="AR5907" s="319"/>
    </row>
    <row r="5908" spans="37:44" ht="30" customHeight="1">
      <c r="AK5908" s="318"/>
      <c r="AL5908" s="318"/>
      <c r="AM5908" s="318"/>
      <c r="AN5908" s="318"/>
      <c r="AO5908" s="318"/>
      <c r="AP5908" s="318"/>
      <c r="AQ5908" s="318"/>
      <c r="AR5908" s="319"/>
    </row>
    <row r="5909" spans="37:44" ht="30" customHeight="1">
      <c r="AK5909" s="318"/>
      <c r="AL5909" s="318"/>
      <c r="AM5909" s="318"/>
      <c r="AN5909" s="318"/>
      <c r="AO5909" s="318"/>
      <c r="AP5909" s="318"/>
      <c r="AQ5909" s="318"/>
      <c r="AR5909" s="319"/>
    </row>
    <row r="5910" spans="37:44" ht="30" customHeight="1">
      <c r="AK5910" s="318"/>
      <c r="AL5910" s="318"/>
      <c r="AM5910" s="318"/>
      <c r="AN5910" s="318"/>
      <c r="AO5910" s="318"/>
      <c r="AP5910" s="318"/>
      <c r="AQ5910" s="318"/>
      <c r="AR5910" s="319"/>
    </row>
    <row r="5911" spans="37:44" ht="30" customHeight="1">
      <c r="AK5911" s="318"/>
      <c r="AL5911" s="318"/>
      <c r="AM5911" s="318"/>
      <c r="AN5911" s="318"/>
      <c r="AO5911" s="318"/>
      <c r="AP5911" s="318"/>
      <c r="AQ5911" s="318"/>
      <c r="AR5911" s="319"/>
    </row>
    <row r="5912" spans="37:44" ht="30" customHeight="1">
      <c r="AK5912" s="318"/>
      <c r="AL5912" s="318"/>
      <c r="AM5912" s="318"/>
      <c r="AN5912" s="318"/>
      <c r="AO5912" s="318"/>
      <c r="AP5912" s="318"/>
      <c r="AQ5912" s="318"/>
      <c r="AR5912" s="319"/>
    </row>
    <row r="5913" spans="37:44" ht="30" customHeight="1">
      <c r="AK5913" s="318"/>
      <c r="AL5913" s="318"/>
      <c r="AM5913" s="318"/>
      <c r="AN5913" s="318"/>
      <c r="AO5913" s="318"/>
      <c r="AP5913" s="318"/>
      <c r="AQ5913" s="318"/>
      <c r="AR5913" s="319"/>
    </row>
    <row r="5914" spans="37:44" ht="30" customHeight="1">
      <c r="AK5914" s="318"/>
      <c r="AL5914" s="318"/>
      <c r="AM5914" s="318"/>
      <c r="AN5914" s="318"/>
      <c r="AO5914" s="318"/>
      <c r="AP5914" s="318"/>
      <c r="AQ5914" s="318"/>
      <c r="AR5914" s="319"/>
    </row>
    <row r="5915" spans="37:44" ht="30" customHeight="1">
      <c r="AK5915" s="318"/>
      <c r="AL5915" s="318"/>
      <c r="AM5915" s="318"/>
      <c r="AN5915" s="318"/>
      <c r="AO5915" s="318"/>
      <c r="AP5915" s="318"/>
      <c r="AQ5915" s="318"/>
      <c r="AR5915" s="319"/>
    </row>
    <row r="5916" spans="37:44" ht="30" customHeight="1">
      <c r="AK5916" s="318"/>
      <c r="AL5916" s="318"/>
      <c r="AM5916" s="318"/>
      <c r="AN5916" s="318"/>
      <c r="AO5916" s="318"/>
      <c r="AP5916" s="318"/>
      <c r="AQ5916" s="318"/>
      <c r="AR5916" s="319"/>
    </row>
    <row r="5917" spans="37:44" ht="30" customHeight="1">
      <c r="AK5917" s="318"/>
      <c r="AL5917" s="318"/>
      <c r="AM5917" s="318"/>
      <c r="AN5917" s="318"/>
      <c r="AO5917" s="318"/>
      <c r="AP5917" s="318"/>
      <c r="AQ5917" s="318"/>
      <c r="AR5917" s="319"/>
    </row>
    <row r="5918" spans="37:44" ht="30" customHeight="1">
      <c r="AK5918" s="318"/>
      <c r="AL5918" s="318"/>
      <c r="AM5918" s="318"/>
      <c r="AN5918" s="318"/>
      <c r="AO5918" s="318"/>
      <c r="AP5918" s="318"/>
      <c r="AQ5918" s="318"/>
      <c r="AR5918" s="319"/>
    </row>
    <row r="5919" spans="37:44" ht="30" customHeight="1">
      <c r="AK5919" s="318"/>
      <c r="AL5919" s="318"/>
      <c r="AM5919" s="318"/>
      <c r="AN5919" s="318"/>
      <c r="AO5919" s="318"/>
      <c r="AP5919" s="318"/>
      <c r="AQ5919" s="318"/>
      <c r="AR5919" s="319"/>
    </row>
    <row r="5920" spans="37:44" ht="30" customHeight="1">
      <c r="AK5920" s="318"/>
      <c r="AL5920" s="318"/>
      <c r="AM5920" s="318"/>
      <c r="AN5920" s="318"/>
      <c r="AO5920" s="318"/>
      <c r="AP5920" s="318"/>
      <c r="AQ5920" s="318"/>
      <c r="AR5920" s="319"/>
    </row>
    <row r="5921" spans="37:44" ht="30" customHeight="1">
      <c r="AK5921" s="318"/>
      <c r="AL5921" s="318"/>
      <c r="AM5921" s="318"/>
      <c r="AN5921" s="318"/>
      <c r="AO5921" s="318"/>
      <c r="AP5921" s="318"/>
      <c r="AQ5921" s="318"/>
      <c r="AR5921" s="319"/>
    </row>
    <row r="5922" spans="37:44" ht="30" customHeight="1">
      <c r="AK5922" s="318"/>
      <c r="AL5922" s="318"/>
      <c r="AM5922" s="318"/>
      <c r="AN5922" s="318"/>
      <c r="AO5922" s="318"/>
      <c r="AP5922" s="318"/>
      <c r="AQ5922" s="318"/>
      <c r="AR5922" s="319"/>
    </row>
    <row r="5923" spans="37:44" ht="30" customHeight="1">
      <c r="AK5923" s="318"/>
      <c r="AL5923" s="318"/>
      <c r="AM5923" s="318"/>
      <c r="AN5923" s="318"/>
      <c r="AO5923" s="318"/>
      <c r="AP5923" s="318"/>
      <c r="AQ5923" s="318"/>
      <c r="AR5923" s="319"/>
    </row>
    <row r="5924" spans="37:44" ht="30" customHeight="1">
      <c r="AK5924" s="318"/>
      <c r="AL5924" s="318"/>
      <c r="AM5924" s="318"/>
      <c r="AN5924" s="318"/>
      <c r="AO5924" s="318"/>
      <c r="AP5924" s="318"/>
      <c r="AQ5924" s="318"/>
      <c r="AR5924" s="319"/>
    </row>
    <row r="5925" spans="37:44" ht="30" customHeight="1">
      <c r="AK5925" s="318"/>
      <c r="AL5925" s="318"/>
      <c r="AM5925" s="318"/>
      <c r="AN5925" s="318"/>
      <c r="AO5925" s="318"/>
      <c r="AP5925" s="318"/>
      <c r="AQ5925" s="318"/>
      <c r="AR5925" s="319"/>
    </row>
    <row r="5926" spans="37:44" ht="30" customHeight="1">
      <c r="AK5926" s="318"/>
      <c r="AL5926" s="318"/>
      <c r="AM5926" s="318"/>
      <c r="AN5926" s="318"/>
      <c r="AO5926" s="318"/>
      <c r="AP5926" s="318"/>
      <c r="AQ5926" s="318"/>
      <c r="AR5926" s="319"/>
    </row>
    <row r="5927" spans="37:44" ht="30" customHeight="1">
      <c r="AK5927" s="318"/>
      <c r="AL5927" s="318"/>
      <c r="AM5927" s="318"/>
      <c r="AN5927" s="318"/>
      <c r="AO5927" s="318"/>
      <c r="AP5927" s="318"/>
      <c r="AQ5927" s="318"/>
      <c r="AR5927" s="319"/>
    </row>
    <row r="5928" spans="37:44" ht="30" customHeight="1">
      <c r="AK5928" s="318"/>
      <c r="AL5928" s="318"/>
      <c r="AM5928" s="318"/>
      <c r="AN5928" s="318"/>
      <c r="AO5928" s="318"/>
      <c r="AP5928" s="318"/>
      <c r="AQ5928" s="318"/>
      <c r="AR5928" s="319"/>
    </row>
    <row r="5929" spans="37:44" ht="30" customHeight="1">
      <c r="AK5929" s="318"/>
      <c r="AL5929" s="318"/>
      <c r="AM5929" s="318"/>
      <c r="AN5929" s="318"/>
      <c r="AO5929" s="318"/>
      <c r="AP5929" s="318"/>
      <c r="AQ5929" s="318"/>
      <c r="AR5929" s="319"/>
    </row>
    <row r="5930" spans="37:44" ht="30" customHeight="1">
      <c r="AK5930" s="318"/>
      <c r="AL5930" s="318"/>
      <c r="AM5930" s="318"/>
      <c r="AN5930" s="318"/>
      <c r="AO5930" s="318"/>
      <c r="AP5930" s="318"/>
      <c r="AQ5930" s="318"/>
      <c r="AR5930" s="319"/>
    </row>
    <row r="5931" spans="37:44" ht="30" customHeight="1">
      <c r="AK5931" s="318"/>
      <c r="AL5931" s="318"/>
      <c r="AM5931" s="318"/>
      <c r="AN5931" s="318"/>
      <c r="AO5931" s="318"/>
      <c r="AP5931" s="318"/>
      <c r="AQ5931" s="318"/>
      <c r="AR5931" s="319"/>
    </row>
    <row r="5932" spans="37:44" ht="30" customHeight="1">
      <c r="AK5932" s="318"/>
      <c r="AL5932" s="318"/>
      <c r="AM5932" s="318"/>
      <c r="AN5932" s="318"/>
      <c r="AO5932" s="318"/>
      <c r="AP5932" s="318"/>
      <c r="AQ5932" s="318"/>
      <c r="AR5932" s="319"/>
    </row>
    <row r="5933" spans="37:44" ht="30" customHeight="1">
      <c r="AK5933" s="318"/>
      <c r="AL5933" s="318"/>
      <c r="AM5933" s="318"/>
      <c r="AN5933" s="318"/>
      <c r="AO5933" s="318"/>
      <c r="AP5933" s="318"/>
      <c r="AQ5933" s="318"/>
      <c r="AR5933" s="319"/>
    </row>
    <row r="5934" spans="37:44" ht="30" customHeight="1">
      <c r="AK5934" s="318"/>
      <c r="AL5934" s="318"/>
      <c r="AM5934" s="318"/>
      <c r="AN5934" s="318"/>
      <c r="AO5934" s="318"/>
      <c r="AP5934" s="318"/>
      <c r="AQ5934" s="318"/>
      <c r="AR5934" s="319"/>
    </row>
    <row r="5935" spans="37:44" ht="30" customHeight="1">
      <c r="AK5935" s="318"/>
      <c r="AL5935" s="318"/>
      <c r="AM5935" s="318"/>
      <c r="AN5935" s="318"/>
      <c r="AO5935" s="318"/>
      <c r="AP5935" s="318"/>
      <c r="AQ5935" s="318"/>
      <c r="AR5935" s="319"/>
    </row>
    <row r="5936" spans="37:44" ht="30" customHeight="1">
      <c r="AK5936" s="318"/>
      <c r="AL5936" s="318"/>
      <c r="AM5936" s="318"/>
      <c r="AN5936" s="318"/>
      <c r="AO5936" s="318"/>
      <c r="AP5936" s="318"/>
      <c r="AQ5936" s="318"/>
      <c r="AR5936" s="319"/>
    </row>
    <row r="5937" spans="37:44" ht="30" customHeight="1">
      <c r="AK5937" s="318"/>
      <c r="AL5937" s="318"/>
      <c r="AM5937" s="318"/>
      <c r="AN5937" s="318"/>
      <c r="AO5937" s="318"/>
      <c r="AP5937" s="318"/>
      <c r="AQ5937" s="318"/>
      <c r="AR5937" s="319"/>
    </row>
    <row r="5938" spans="37:44" ht="30" customHeight="1">
      <c r="AK5938" s="318"/>
      <c r="AL5938" s="318"/>
      <c r="AM5938" s="318"/>
      <c r="AN5938" s="318"/>
      <c r="AO5938" s="318"/>
      <c r="AP5938" s="318"/>
      <c r="AQ5938" s="318"/>
      <c r="AR5938" s="319"/>
    </row>
    <row r="5939" spans="37:44" ht="30" customHeight="1">
      <c r="AK5939" s="318"/>
      <c r="AL5939" s="318"/>
      <c r="AM5939" s="318"/>
      <c r="AN5939" s="318"/>
      <c r="AO5939" s="318"/>
      <c r="AP5939" s="318"/>
      <c r="AQ5939" s="318"/>
      <c r="AR5939" s="319"/>
    </row>
    <row r="5940" spans="37:44" ht="30" customHeight="1">
      <c r="AK5940" s="318"/>
      <c r="AL5940" s="318"/>
      <c r="AM5940" s="318"/>
      <c r="AN5940" s="318"/>
      <c r="AO5940" s="318"/>
      <c r="AP5940" s="318"/>
      <c r="AQ5940" s="318"/>
      <c r="AR5940" s="319"/>
    </row>
    <row r="5941" spans="37:44" ht="30" customHeight="1">
      <c r="AK5941" s="318"/>
      <c r="AL5941" s="318"/>
      <c r="AM5941" s="318"/>
      <c r="AN5941" s="318"/>
      <c r="AO5941" s="318"/>
      <c r="AP5941" s="318"/>
      <c r="AQ5941" s="318"/>
      <c r="AR5941" s="319"/>
    </row>
    <row r="5942" spans="37:44" ht="30" customHeight="1">
      <c r="AK5942" s="318"/>
      <c r="AL5942" s="318"/>
      <c r="AM5942" s="318"/>
      <c r="AN5942" s="318"/>
      <c r="AO5942" s="318"/>
      <c r="AP5942" s="318"/>
      <c r="AQ5942" s="318"/>
      <c r="AR5942" s="319"/>
    </row>
    <row r="5943" spans="37:44" ht="30" customHeight="1">
      <c r="AK5943" s="318"/>
      <c r="AL5943" s="318"/>
      <c r="AM5943" s="318"/>
      <c r="AN5943" s="318"/>
      <c r="AO5943" s="318"/>
      <c r="AP5943" s="318"/>
      <c r="AQ5943" s="318"/>
      <c r="AR5943" s="319"/>
    </row>
    <row r="5944" spans="37:44" ht="30" customHeight="1">
      <c r="AK5944" s="318"/>
      <c r="AL5944" s="318"/>
      <c r="AM5944" s="318"/>
      <c r="AN5944" s="318"/>
      <c r="AO5944" s="318"/>
      <c r="AP5944" s="318"/>
      <c r="AQ5944" s="318"/>
      <c r="AR5944" s="319"/>
    </row>
    <row r="5945" spans="37:44" ht="30" customHeight="1">
      <c r="AK5945" s="318"/>
      <c r="AL5945" s="318"/>
      <c r="AM5945" s="318"/>
      <c r="AN5945" s="318"/>
      <c r="AO5945" s="318"/>
      <c r="AP5945" s="318"/>
      <c r="AQ5945" s="318"/>
      <c r="AR5945" s="319"/>
    </row>
    <row r="5946" spans="37:44" ht="30" customHeight="1">
      <c r="AK5946" s="318"/>
      <c r="AL5946" s="318"/>
      <c r="AM5946" s="318"/>
      <c r="AN5946" s="318"/>
      <c r="AO5946" s="318"/>
      <c r="AP5946" s="318"/>
      <c r="AQ5946" s="318"/>
      <c r="AR5946" s="319"/>
    </row>
    <row r="5947" spans="37:44" ht="30" customHeight="1">
      <c r="AK5947" s="318"/>
      <c r="AL5947" s="318"/>
      <c r="AM5947" s="318"/>
      <c r="AN5947" s="318"/>
      <c r="AO5947" s="318"/>
      <c r="AP5947" s="318"/>
      <c r="AQ5947" s="318"/>
      <c r="AR5947" s="319"/>
    </row>
    <row r="5948" spans="37:44" ht="30" customHeight="1">
      <c r="AK5948" s="318"/>
      <c r="AL5948" s="318"/>
      <c r="AM5948" s="318"/>
      <c r="AN5948" s="318"/>
      <c r="AO5948" s="318"/>
      <c r="AP5948" s="318"/>
      <c r="AQ5948" s="318"/>
      <c r="AR5948" s="319"/>
    </row>
    <row r="5949" spans="37:44" ht="30" customHeight="1">
      <c r="AK5949" s="318"/>
      <c r="AL5949" s="318"/>
      <c r="AM5949" s="318"/>
      <c r="AN5949" s="318"/>
      <c r="AO5949" s="318"/>
      <c r="AP5949" s="318"/>
      <c r="AQ5949" s="318"/>
      <c r="AR5949" s="319"/>
    </row>
    <row r="5950" spans="37:44" ht="30" customHeight="1">
      <c r="AK5950" s="318"/>
      <c r="AL5950" s="318"/>
      <c r="AM5950" s="318"/>
      <c r="AN5950" s="318"/>
      <c r="AO5950" s="318"/>
      <c r="AP5950" s="318"/>
      <c r="AQ5950" s="318"/>
      <c r="AR5950" s="319"/>
    </row>
    <row r="5951" spans="37:44" ht="30" customHeight="1">
      <c r="AK5951" s="318"/>
      <c r="AL5951" s="318"/>
      <c r="AM5951" s="318"/>
      <c r="AN5951" s="318"/>
      <c r="AO5951" s="318"/>
      <c r="AP5951" s="318"/>
      <c r="AQ5951" s="318"/>
      <c r="AR5951" s="319"/>
    </row>
    <row r="5952" spans="37:44" ht="30" customHeight="1">
      <c r="AK5952" s="318"/>
      <c r="AL5952" s="318"/>
      <c r="AM5952" s="318"/>
      <c r="AN5952" s="318"/>
      <c r="AO5952" s="318"/>
      <c r="AP5952" s="318"/>
      <c r="AQ5952" s="318"/>
      <c r="AR5952" s="319"/>
    </row>
    <row r="5953" spans="37:44" ht="30" customHeight="1">
      <c r="AK5953" s="318"/>
      <c r="AL5953" s="318"/>
      <c r="AM5953" s="318"/>
      <c r="AN5953" s="318"/>
      <c r="AO5953" s="318"/>
      <c r="AP5953" s="318"/>
      <c r="AQ5953" s="318"/>
      <c r="AR5953" s="319"/>
    </row>
    <row r="5954" spans="37:44" ht="30" customHeight="1">
      <c r="AK5954" s="318"/>
      <c r="AL5954" s="318"/>
      <c r="AM5954" s="318"/>
      <c r="AN5954" s="318"/>
      <c r="AO5954" s="318"/>
      <c r="AP5954" s="318"/>
      <c r="AQ5954" s="318"/>
      <c r="AR5954" s="319"/>
    </row>
    <row r="5955" spans="37:44" ht="30" customHeight="1">
      <c r="AK5955" s="318"/>
      <c r="AL5955" s="318"/>
      <c r="AM5955" s="318"/>
      <c r="AN5955" s="318"/>
      <c r="AO5955" s="318"/>
      <c r="AP5955" s="318"/>
      <c r="AQ5955" s="318"/>
      <c r="AR5955" s="319"/>
    </row>
    <row r="5956" spans="37:44" ht="30" customHeight="1">
      <c r="AK5956" s="318"/>
      <c r="AL5956" s="318"/>
      <c r="AM5956" s="318"/>
      <c r="AN5956" s="318"/>
      <c r="AO5956" s="318"/>
      <c r="AP5956" s="318"/>
      <c r="AQ5956" s="318"/>
      <c r="AR5956" s="319"/>
    </row>
    <row r="5957" spans="37:44" ht="30" customHeight="1">
      <c r="AK5957" s="318"/>
      <c r="AL5957" s="318"/>
      <c r="AM5957" s="318"/>
      <c r="AN5957" s="318"/>
      <c r="AO5957" s="318"/>
      <c r="AP5957" s="318"/>
      <c r="AQ5957" s="318"/>
      <c r="AR5957" s="319"/>
    </row>
    <row r="5958" spans="37:44" ht="30" customHeight="1">
      <c r="AK5958" s="318"/>
      <c r="AL5958" s="318"/>
      <c r="AM5958" s="318"/>
      <c r="AN5958" s="318"/>
      <c r="AO5958" s="318"/>
      <c r="AP5958" s="318"/>
      <c r="AQ5958" s="318"/>
      <c r="AR5958" s="319"/>
    </row>
    <row r="5959" spans="37:44" ht="30" customHeight="1">
      <c r="AK5959" s="318"/>
      <c r="AL5959" s="318"/>
      <c r="AM5959" s="318"/>
      <c r="AN5959" s="318"/>
      <c r="AO5959" s="318"/>
      <c r="AP5959" s="318"/>
      <c r="AQ5959" s="318"/>
      <c r="AR5959" s="319"/>
    </row>
    <row r="5960" spans="37:44" ht="30" customHeight="1">
      <c r="AK5960" s="318"/>
      <c r="AL5960" s="318"/>
      <c r="AM5960" s="318"/>
      <c r="AN5960" s="318"/>
      <c r="AO5960" s="318"/>
      <c r="AP5960" s="318"/>
      <c r="AQ5960" s="318"/>
      <c r="AR5960" s="319"/>
    </row>
    <row r="5961" spans="37:44" ht="30" customHeight="1">
      <c r="AK5961" s="318"/>
      <c r="AL5961" s="318"/>
      <c r="AM5961" s="318"/>
      <c r="AN5961" s="318"/>
      <c r="AO5961" s="318"/>
      <c r="AP5961" s="318"/>
      <c r="AQ5961" s="318"/>
      <c r="AR5961" s="319"/>
    </row>
    <row r="5962" spans="37:44" ht="30" customHeight="1">
      <c r="AK5962" s="318"/>
      <c r="AL5962" s="318"/>
      <c r="AM5962" s="318"/>
      <c r="AN5962" s="318"/>
      <c r="AO5962" s="318"/>
      <c r="AP5962" s="318"/>
      <c r="AQ5962" s="318"/>
      <c r="AR5962" s="319"/>
    </row>
    <row r="5963" spans="37:44" ht="30" customHeight="1">
      <c r="AK5963" s="318"/>
      <c r="AL5963" s="318"/>
      <c r="AM5963" s="318"/>
      <c r="AN5963" s="318"/>
      <c r="AO5963" s="318"/>
      <c r="AP5963" s="318"/>
      <c r="AQ5963" s="318"/>
      <c r="AR5963" s="319"/>
    </row>
    <row r="5964" spans="37:44" ht="30" customHeight="1">
      <c r="AK5964" s="318"/>
      <c r="AL5964" s="318"/>
      <c r="AM5964" s="318"/>
      <c r="AN5964" s="318"/>
      <c r="AO5964" s="318"/>
      <c r="AP5964" s="318"/>
      <c r="AQ5964" s="318"/>
      <c r="AR5964" s="319"/>
    </row>
    <row r="5965" spans="37:44" ht="30" customHeight="1">
      <c r="AK5965" s="318"/>
      <c r="AL5965" s="318"/>
      <c r="AM5965" s="318"/>
      <c r="AN5965" s="318"/>
      <c r="AO5965" s="318"/>
      <c r="AP5965" s="318"/>
      <c r="AQ5965" s="318"/>
      <c r="AR5965" s="319"/>
    </row>
    <row r="5966" spans="37:44" ht="30" customHeight="1">
      <c r="AK5966" s="318"/>
      <c r="AL5966" s="318"/>
      <c r="AM5966" s="318"/>
      <c r="AN5966" s="318"/>
      <c r="AO5966" s="318"/>
      <c r="AP5966" s="318"/>
      <c r="AQ5966" s="318"/>
      <c r="AR5966" s="319"/>
    </row>
    <row r="5967" spans="37:44" ht="30" customHeight="1">
      <c r="AK5967" s="318"/>
      <c r="AL5967" s="318"/>
      <c r="AM5967" s="318"/>
      <c r="AN5967" s="318"/>
      <c r="AO5967" s="318"/>
      <c r="AP5967" s="318"/>
      <c r="AQ5967" s="318"/>
      <c r="AR5967" s="319"/>
    </row>
    <row r="5968" spans="37:44" ht="30" customHeight="1">
      <c r="AK5968" s="318"/>
      <c r="AL5968" s="318"/>
      <c r="AM5968" s="318"/>
      <c r="AN5968" s="318"/>
      <c r="AO5968" s="318"/>
      <c r="AP5968" s="318"/>
      <c r="AQ5968" s="318"/>
      <c r="AR5968" s="319"/>
    </row>
    <row r="5969" spans="37:44" ht="30" customHeight="1">
      <c r="AK5969" s="318"/>
      <c r="AL5969" s="318"/>
      <c r="AM5969" s="318"/>
      <c r="AN5969" s="318"/>
      <c r="AO5969" s="318"/>
      <c r="AP5969" s="318"/>
      <c r="AQ5969" s="318"/>
      <c r="AR5969" s="319"/>
    </row>
    <row r="5970" spans="37:44" ht="30" customHeight="1">
      <c r="AK5970" s="318"/>
      <c r="AL5970" s="318"/>
      <c r="AM5970" s="318"/>
      <c r="AN5970" s="318"/>
      <c r="AO5970" s="318"/>
      <c r="AP5970" s="318"/>
      <c r="AQ5970" s="318"/>
      <c r="AR5970" s="319"/>
    </row>
    <row r="5971" spans="37:44" ht="30" customHeight="1">
      <c r="AK5971" s="318"/>
      <c r="AL5971" s="318"/>
      <c r="AM5971" s="318"/>
      <c r="AN5971" s="318"/>
      <c r="AO5971" s="318"/>
      <c r="AP5971" s="318"/>
      <c r="AQ5971" s="318"/>
      <c r="AR5971" s="319"/>
    </row>
    <row r="5972" spans="37:44" ht="30" customHeight="1">
      <c r="AK5972" s="318"/>
      <c r="AL5972" s="318"/>
      <c r="AM5972" s="318"/>
      <c r="AN5972" s="318"/>
      <c r="AO5972" s="318"/>
      <c r="AP5972" s="318"/>
      <c r="AQ5972" s="318"/>
      <c r="AR5972" s="319"/>
    </row>
    <row r="5973" spans="37:44" ht="30" customHeight="1">
      <c r="AK5973" s="318"/>
      <c r="AL5973" s="318"/>
      <c r="AM5973" s="318"/>
      <c r="AN5973" s="318"/>
      <c r="AO5973" s="318"/>
      <c r="AP5973" s="318"/>
      <c r="AQ5973" s="318"/>
      <c r="AR5973" s="319"/>
    </row>
    <row r="5974" spans="37:44" ht="30" customHeight="1">
      <c r="AK5974" s="318"/>
      <c r="AL5974" s="318"/>
      <c r="AM5974" s="318"/>
      <c r="AN5974" s="318"/>
      <c r="AO5974" s="318"/>
      <c r="AP5974" s="318"/>
      <c r="AQ5974" s="318"/>
      <c r="AR5974" s="319"/>
    </row>
    <row r="5975" spans="37:44" ht="30" customHeight="1">
      <c r="AK5975" s="318"/>
      <c r="AL5975" s="318"/>
      <c r="AM5975" s="318"/>
      <c r="AN5975" s="318"/>
      <c r="AO5975" s="318"/>
      <c r="AP5975" s="318"/>
      <c r="AQ5975" s="318"/>
      <c r="AR5975" s="319"/>
    </row>
    <row r="5976" spans="37:44" ht="30" customHeight="1">
      <c r="AK5976" s="318"/>
      <c r="AL5976" s="318"/>
      <c r="AM5976" s="318"/>
      <c r="AN5976" s="318"/>
      <c r="AO5976" s="318"/>
      <c r="AP5976" s="318"/>
      <c r="AQ5976" s="318"/>
      <c r="AR5976" s="319"/>
    </row>
    <row r="5977" spans="37:44" ht="30" customHeight="1">
      <c r="AK5977" s="318"/>
      <c r="AL5977" s="318"/>
      <c r="AM5977" s="318"/>
      <c r="AN5977" s="318"/>
      <c r="AO5977" s="318"/>
      <c r="AP5977" s="318"/>
      <c r="AQ5977" s="318"/>
      <c r="AR5977" s="319"/>
    </row>
    <row r="5978" spans="37:44" ht="30" customHeight="1">
      <c r="AK5978" s="318"/>
      <c r="AL5978" s="318"/>
      <c r="AM5978" s="318"/>
      <c r="AN5978" s="318"/>
      <c r="AO5978" s="318"/>
      <c r="AP5978" s="318"/>
      <c r="AQ5978" s="318"/>
      <c r="AR5978" s="319"/>
    </row>
    <row r="5979" spans="37:44" ht="30" customHeight="1">
      <c r="AK5979" s="318"/>
      <c r="AL5979" s="318"/>
      <c r="AM5979" s="318"/>
      <c r="AN5979" s="318"/>
      <c r="AO5979" s="318"/>
      <c r="AP5979" s="318"/>
      <c r="AQ5979" s="318"/>
      <c r="AR5979" s="319"/>
    </row>
    <row r="5980" spans="37:44" ht="30" customHeight="1">
      <c r="AK5980" s="318"/>
      <c r="AL5980" s="318"/>
      <c r="AM5980" s="318"/>
      <c r="AN5980" s="318"/>
      <c r="AO5980" s="318"/>
      <c r="AP5980" s="318"/>
      <c r="AQ5980" s="318"/>
      <c r="AR5980" s="319"/>
    </row>
    <row r="5981" spans="37:44" ht="30" customHeight="1">
      <c r="AK5981" s="318"/>
      <c r="AL5981" s="318"/>
      <c r="AM5981" s="318"/>
      <c r="AN5981" s="318"/>
      <c r="AO5981" s="318"/>
      <c r="AP5981" s="318"/>
      <c r="AQ5981" s="318"/>
      <c r="AR5981" s="319"/>
    </row>
    <row r="5982" spans="37:44" ht="30" customHeight="1">
      <c r="AK5982" s="318"/>
      <c r="AL5982" s="318"/>
      <c r="AM5982" s="318"/>
      <c r="AN5982" s="318"/>
      <c r="AO5982" s="318"/>
      <c r="AP5982" s="318"/>
      <c r="AQ5982" s="318"/>
      <c r="AR5982" s="319"/>
    </row>
    <row r="5983" spans="37:44" ht="30" customHeight="1">
      <c r="AK5983" s="318"/>
      <c r="AL5983" s="318"/>
      <c r="AM5983" s="318"/>
      <c r="AN5983" s="318"/>
      <c r="AO5983" s="318"/>
      <c r="AP5983" s="318"/>
      <c r="AQ5983" s="318"/>
      <c r="AR5983" s="319"/>
    </row>
    <row r="5984" spans="37:44" ht="30" customHeight="1">
      <c r="AK5984" s="318"/>
      <c r="AL5984" s="318"/>
      <c r="AM5984" s="318"/>
      <c r="AN5984" s="318"/>
      <c r="AO5984" s="318"/>
      <c r="AP5984" s="318"/>
      <c r="AQ5984" s="318"/>
      <c r="AR5984" s="319"/>
    </row>
    <row r="5985" spans="37:44" ht="30" customHeight="1">
      <c r="AK5985" s="318"/>
      <c r="AL5985" s="318"/>
      <c r="AM5985" s="318"/>
      <c r="AN5985" s="318"/>
      <c r="AO5985" s="318"/>
      <c r="AP5985" s="318"/>
      <c r="AQ5985" s="318"/>
      <c r="AR5985" s="319"/>
    </row>
    <row r="5986" spans="37:44" ht="30" customHeight="1">
      <c r="AK5986" s="318"/>
      <c r="AL5986" s="318"/>
      <c r="AM5986" s="318"/>
      <c r="AN5986" s="318"/>
      <c r="AO5986" s="318"/>
      <c r="AP5986" s="318"/>
      <c r="AQ5986" s="318"/>
      <c r="AR5986" s="319"/>
    </row>
    <row r="5987" spans="37:44" ht="30" customHeight="1">
      <c r="AK5987" s="318"/>
      <c r="AL5987" s="318"/>
      <c r="AM5987" s="318"/>
      <c r="AN5987" s="318"/>
      <c r="AO5987" s="318"/>
      <c r="AP5987" s="318"/>
      <c r="AQ5987" s="318"/>
      <c r="AR5987" s="319"/>
    </row>
    <row r="5988" spans="37:44" ht="30" customHeight="1">
      <c r="AK5988" s="318"/>
      <c r="AL5988" s="318"/>
      <c r="AM5988" s="318"/>
      <c r="AN5988" s="318"/>
      <c r="AO5988" s="318"/>
      <c r="AP5988" s="318"/>
      <c r="AQ5988" s="318"/>
      <c r="AR5988" s="319"/>
    </row>
    <row r="5989" spans="37:44" ht="30" customHeight="1">
      <c r="AK5989" s="318"/>
      <c r="AL5989" s="318"/>
      <c r="AM5989" s="318"/>
      <c r="AN5989" s="318"/>
      <c r="AO5989" s="318"/>
      <c r="AP5989" s="318"/>
      <c r="AQ5989" s="318"/>
      <c r="AR5989" s="319"/>
    </row>
    <row r="5990" spans="37:44" ht="30" customHeight="1">
      <c r="AK5990" s="318"/>
      <c r="AL5990" s="318"/>
      <c r="AM5990" s="318"/>
      <c r="AN5990" s="318"/>
      <c r="AO5990" s="318"/>
      <c r="AP5990" s="318"/>
      <c r="AQ5990" s="318"/>
      <c r="AR5990" s="319"/>
    </row>
    <row r="5991" spans="37:44" ht="30" customHeight="1">
      <c r="AK5991" s="318"/>
      <c r="AL5991" s="318"/>
      <c r="AM5991" s="318"/>
      <c r="AN5991" s="318"/>
      <c r="AO5991" s="318"/>
      <c r="AP5991" s="318"/>
      <c r="AQ5991" s="318"/>
      <c r="AR5991" s="319"/>
    </row>
    <row r="5992" spans="37:44" ht="30" customHeight="1">
      <c r="AK5992" s="318"/>
      <c r="AL5992" s="318"/>
      <c r="AM5992" s="318"/>
      <c r="AN5992" s="318"/>
      <c r="AO5992" s="318"/>
      <c r="AP5992" s="318"/>
      <c r="AQ5992" s="318"/>
      <c r="AR5992" s="319"/>
    </row>
    <row r="5993" spans="37:44" ht="30" customHeight="1">
      <c r="AK5993" s="318"/>
      <c r="AL5993" s="318"/>
      <c r="AM5993" s="318"/>
      <c r="AN5993" s="318"/>
      <c r="AO5993" s="318"/>
      <c r="AP5993" s="318"/>
      <c r="AQ5993" s="318"/>
      <c r="AR5993" s="319"/>
    </row>
    <row r="5994" spans="37:44" ht="30" customHeight="1">
      <c r="AK5994" s="318"/>
      <c r="AL5994" s="318"/>
      <c r="AM5994" s="318"/>
      <c r="AN5994" s="318"/>
      <c r="AO5994" s="318"/>
      <c r="AP5994" s="318"/>
      <c r="AQ5994" s="318"/>
      <c r="AR5994" s="319"/>
    </row>
    <row r="5995" spans="37:44" ht="30" customHeight="1">
      <c r="AK5995" s="318"/>
      <c r="AL5995" s="318"/>
      <c r="AM5995" s="318"/>
      <c r="AN5995" s="318"/>
      <c r="AO5995" s="318"/>
      <c r="AP5995" s="318"/>
      <c r="AQ5995" s="318"/>
      <c r="AR5995" s="319"/>
    </row>
    <row r="5996" spans="37:44" ht="30" customHeight="1">
      <c r="AK5996" s="318"/>
      <c r="AL5996" s="318"/>
      <c r="AM5996" s="318"/>
      <c r="AN5996" s="318"/>
      <c r="AO5996" s="318"/>
      <c r="AP5996" s="318"/>
      <c r="AQ5996" s="318"/>
      <c r="AR5996" s="319"/>
    </row>
    <row r="5997" spans="37:44" ht="30" customHeight="1">
      <c r="AK5997" s="318"/>
      <c r="AL5997" s="318"/>
      <c r="AM5997" s="318"/>
      <c r="AN5997" s="318"/>
      <c r="AO5997" s="318"/>
      <c r="AP5997" s="318"/>
      <c r="AQ5997" s="318"/>
      <c r="AR5997" s="319"/>
    </row>
    <row r="5998" spans="37:44" ht="30" customHeight="1">
      <c r="AK5998" s="318"/>
      <c r="AL5998" s="318"/>
      <c r="AM5998" s="318"/>
      <c r="AN5998" s="318"/>
      <c r="AO5998" s="318"/>
      <c r="AP5998" s="318"/>
      <c r="AQ5998" s="318"/>
      <c r="AR5998" s="319"/>
    </row>
    <row r="5999" spans="37:44" ht="30" customHeight="1">
      <c r="AK5999" s="318"/>
      <c r="AL5999" s="318"/>
      <c r="AM5999" s="318"/>
      <c r="AN5999" s="318"/>
      <c r="AO5999" s="318"/>
      <c r="AP5999" s="318"/>
      <c r="AQ5999" s="318"/>
      <c r="AR5999" s="319"/>
    </row>
    <row r="6000" spans="37:44" ht="30" customHeight="1">
      <c r="AK6000" s="318"/>
      <c r="AL6000" s="318"/>
      <c r="AM6000" s="318"/>
      <c r="AN6000" s="318"/>
      <c r="AO6000" s="318"/>
      <c r="AP6000" s="318"/>
      <c r="AQ6000" s="318"/>
      <c r="AR6000" s="319"/>
    </row>
    <row r="6001" spans="37:44" ht="30" customHeight="1">
      <c r="AK6001" s="318"/>
      <c r="AL6001" s="318"/>
      <c r="AM6001" s="318"/>
      <c r="AN6001" s="318"/>
      <c r="AO6001" s="318"/>
      <c r="AP6001" s="318"/>
      <c r="AQ6001" s="318"/>
      <c r="AR6001" s="319"/>
    </row>
    <row r="6002" spans="37:44" ht="30" customHeight="1">
      <c r="AK6002" s="318"/>
      <c r="AL6002" s="318"/>
      <c r="AM6002" s="318"/>
      <c r="AN6002" s="318"/>
      <c r="AO6002" s="318"/>
      <c r="AP6002" s="318"/>
      <c r="AQ6002" s="318"/>
      <c r="AR6002" s="319"/>
    </row>
    <row r="6003" spans="37:44" ht="30" customHeight="1">
      <c r="AK6003" s="318"/>
      <c r="AL6003" s="318"/>
      <c r="AM6003" s="318"/>
      <c r="AN6003" s="318"/>
      <c r="AO6003" s="318"/>
      <c r="AP6003" s="318"/>
      <c r="AQ6003" s="318"/>
      <c r="AR6003" s="319"/>
    </row>
    <row r="6004" spans="37:44" ht="30" customHeight="1">
      <c r="AK6004" s="318"/>
      <c r="AL6004" s="318"/>
      <c r="AM6004" s="318"/>
      <c r="AN6004" s="318"/>
      <c r="AO6004" s="318"/>
      <c r="AP6004" s="318"/>
      <c r="AQ6004" s="318"/>
      <c r="AR6004" s="319"/>
    </row>
    <row r="6005" spans="37:44" ht="30" customHeight="1">
      <c r="AK6005" s="318"/>
      <c r="AL6005" s="318"/>
      <c r="AM6005" s="318"/>
      <c r="AN6005" s="318"/>
      <c r="AO6005" s="318"/>
      <c r="AP6005" s="318"/>
      <c r="AQ6005" s="318"/>
      <c r="AR6005" s="319"/>
    </row>
    <row r="6006" spans="37:44" ht="30" customHeight="1">
      <c r="AK6006" s="318"/>
      <c r="AL6006" s="318"/>
      <c r="AM6006" s="318"/>
      <c r="AN6006" s="318"/>
      <c r="AO6006" s="318"/>
      <c r="AP6006" s="318"/>
      <c r="AQ6006" s="318"/>
      <c r="AR6006" s="319"/>
    </row>
    <row r="6007" spans="37:44" ht="30" customHeight="1">
      <c r="AK6007" s="318"/>
      <c r="AL6007" s="318"/>
      <c r="AM6007" s="318"/>
      <c r="AN6007" s="318"/>
      <c r="AO6007" s="318"/>
      <c r="AP6007" s="318"/>
      <c r="AQ6007" s="318"/>
      <c r="AR6007" s="319"/>
    </row>
    <row r="6008" spans="37:44" ht="30" customHeight="1">
      <c r="AK6008" s="318"/>
      <c r="AL6008" s="318"/>
      <c r="AM6008" s="318"/>
      <c r="AN6008" s="318"/>
      <c r="AO6008" s="318"/>
      <c r="AP6008" s="318"/>
      <c r="AQ6008" s="318"/>
      <c r="AR6008" s="319"/>
    </row>
    <row r="6009" spans="37:44" ht="30" customHeight="1">
      <c r="AK6009" s="318"/>
      <c r="AL6009" s="318"/>
      <c r="AM6009" s="318"/>
      <c r="AN6009" s="318"/>
      <c r="AO6009" s="318"/>
      <c r="AP6009" s="318"/>
      <c r="AQ6009" s="318"/>
      <c r="AR6009" s="319"/>
    </row>
    <row r="6010" spans="37:44" ht="30" customHeight="1">
      <c r="AK6010" s="318"/>
      <c r="AL6010" s="318"/>
      <c r="AM6010" s="318"/>
      <c r="AN6010" s="318"/>
      <c r="AO6010" s="318"/>
      <c r="AP6010" s="318"/>
      <c r="AQ6010" s="318"/>
      <c r="AR6010" s="319"/>
    </row>
    <row r="6011" spans="37:44" ht="30" customHeight="1">
      <c r="AK6011" s="318"/>
      <c r="AL6011" s="318"/>
      <c r="AM6011" s="318"/>
      <c r="AN6011" s="318"/>
      <c r="AO6011" s="318"/>
      <c r="AP6011" s="318"/>
      <c r="AQ6011" s="318"/>
      <c r="AR6011" s="319"/>
    </row>
    <row r="6012" spans="37:44" ht="30" customHeight="1">
      <c r="AK6012" s="318"/>
      <c r="AL6012" s="318"/>
      <c r="AM6012" s="318"/>
      <c r="AN6012" s="318"/>
      <c r="AO6012" s="318"/>
      <c r="AP6012" s="318"/>
      <c r="AQ6012" s="318"/>
      <c r="AR6012" s="319"/>
    </row>
    <row r="6013" spans="37:44" ht="30" customHeight="1">
      <c r="AK6013" s="318"/>
      <c r="AL6013" s="318"/>
      <c r="AM6013" s="318"/>
      <c r="AN6013" s="318"/>
      <c r="AO6013" s="318"/>
      <c r="AP6013" s="318"/>
      <c r="AQ6013" s="318"/>
      <c r="AR6013" s="319"/>
    </row>
    <row r="6014" spans="37:44" ht="30" customHeight="1">
      <c r="AK6014" s="318"/>
      <c r="AL6014" s="318"/>
      <c r="AM6014" s="318"/>
      <c r="AN6014" s="318"/>
      <c r="AO6014" s="318"/>
      <c r="AP6014" s="318"/>
      <c r="AQ6014" s="318"/>
      <c r="AR6014" s="319"/>
    </row>
    <row r="6015" spans="37:44" ht="30" customHeight="1">
      <c r="AK6015" s="318"/>
      <c r="AL6015" s="318"/>
      <c r="AM6015" s="318"/>
      <c r="AN6015" s="318"/>
      <c r="AO6015" s="318"/>
      <c r="AP6015" s="318"/>
      <c r="AQ6015" s="318"/>
      <c r="AR6015" s="319"/>
    </row>
    <row r="6016" spans="37:44" ht="30" customHeight="1">
      <c r="AK6016" s="318"/>
      <c r="AL6016" s="318"/>
      <c r="AM6016" s="318"/>
      <c r="AN6016" s="318"/>
      <c r="AO6016" s="318"/>
      <c r="AP6016" s="318"/>
      <c r="AQ6016" s="318"/>
      <c r="AR6016" s="319"/>
    </row>
    <row r="6017" spans="37:44" ht="30" customHeight="1">
      <c r="AK6017" s="318"/>
      <c r="AL6017" s="318"/>
      <c r="AM6017" s="318"/>
      <c r="AN6017" s="318"/>
      <c r="AO6017" s="318"/>
      <c r="AP6017" s="318"/>
      <c r="AQ6017" s="318"/>
      <c r="AR6017" s="319"/>
    </row>
    <row r="6018" spans="37:44" ht="30" customHeight="1">
      <c r="AK6018" s="318"/>
      <c r="AL6018" s="318"/>
      <c r="AM6018" s="318"/>
      <c r="AN6018" s="318"/>
      <c r="AO6018" s="318"/>
      <c r="AP6018" s="318"/>
      <c r="AQ6018" s="318"/>
      <c r="AR6018" s="319"/>
    </row>
    <row r="6019" spans="37:44" ht="30" customHeight="1">
      <c r="AK6019" s="318"/>
      <c r="AL6019" s="318"/>
      <c r="AM6019" s="318"/>
      <c r="AN6019" s="318"/>
      <c r="AO6019" s="318"/>
      <c r="AP6019" s="318"/>
      <c r="AQ6019" s="318"/>
      <c r="AR6019" s="319"/>
    </row>
    <row r="6020" spans="37:44" ht="30" customHeight="1">
      <c r="AK6020" s="318"/>
      <c r="AL6020" s="318"/>
      <c r="AM6020" s="318"/>
      <c r="AN6020" s="318"/>
      <c r="AO6020" s="318"/>
      <c r="AP6020" s="318"/>
      <c r="AQ6020" s="318"/>
      <c r="AR6020" s="319"/>
    </row>
    <row r="6021" spans="37:44" ht="30" customHeight="1">
      <c r="AK6021" s="318"/>
      <c r="AL6021" s="318"/>
      <c r="AM6021" s="318"/>
      <c r="AN6021" s="318"/>
      <c r="AO6021" s="318"/>
      <c r="AP6021" s="318"/>
      <c r="AQ6021" s="318"/>
      <c r="AR6021" s="319"/>
    </row>
    <row r="6022" spans="37:44" ht="30" customHeight="1">
      <c r="AK6022" s="318"/>
      <c r="AL6022" s="318"/>
      <c r="AM6022" s="318"/>
      <c r="AN6022" s="318"/>
      <c r="AO6022" s="318"/>
      <c r="AP6022" s="318"/>
      <c r="AQ6022" s="318"/>
      <c r="AR6022" s="319"/>
    </row>
    <row r="6023" spans="37:44" ht="30" customHeight="1">
      <c r="AK6023" s="318"/>
      <c r="AL6023" s="318"/>
      <c r="AM6023" s="318"/>
      <c r="AN6023" s="318"/>
      <c r="AO6023" s="318"/>
      <c r="AP6023" s="318"/>
      <c r="AQ6023" s="318"/>
      <c r="AR6023" s="319"/>
    </row>
    <row r="6024" spans="37:44" ht="30" customHeight="1">
      <c r="AK6024" s="318"/>
      <c r="AL6024" s="318"/>
      <c r="AM6024" s="318"/>
      <c r="AN6024" s="318"/>
      <c r="AO6024" s="318"/>
      <c r="AP6024" s="318"/>
      <c r="AQ6024" s="318"/>
      <c r="AR6024" s="319"/>
    </row>
    <row r="6025" spans="37:44" ht="30" customHeight="1">
      <c r="AK6025" s="318"/>
      <c r="AL6025" s="318"/>
      <c r="AM6025" s="318"/>
      <c r="AN6025" s="318"/>
      <c r="AO6025" s="318"/>
      <c r="AP6025" s="318"/>
      <c r="AQ6025" s="318"/>
      <c r="AR6025" s="319"/>
    </row>
    <row r="6026" spans="37:44" ht="30" customHeight="1">
      <c r="AK6026" s="318"/>
      <c r="AL6026" s="318"/>
      <c r="AM6026" s="318"/>
      <c r="AN6026" s="318"/>
      <c r="AO6026" s="318"/>
      <c r="AP6026" s="318"/>
      <c r="AQ6026" s="318"/>
      <c r="AR6026" s="319"/>
    </row>
    <row r="6027" spans="37:44" ht="30" customHeight="1">
      <c r="AK6027" s="318"/>
      <c r="AL6027" s="318"/>
      <c r="AM6027" s="318"/>
      <c r="AN6027" s="318"/>
      <c r="AO6027" s="318"/>
      <c r="AP6027" s="318"/>
      <c r="AQ6027" s="318"/>
      <c r="AR6027" s="319"/>
    </row>
    <row r="6028" spans="37:44" ht="30" customHeight="1">
      <c r="AK6028" s="318"/>
      <c r="AL6028" s="318"/>
      <c r="AM6028" s="318"/>
      <c r="AN6028" s="318"/>
      <c r="AO6028" s="318"/>
      <c r="AP6028" s="318"/>
      <c r="AQ6028" s="318"/>
      <c r="AR6028" s="319"/>
    </row>
    <row r="6029" spans="37:44" ht="30" customHeight="1">
      <c r="AK6029" s="318"/>
      <c r="AL6029" s="318"/>
      <c r="AM6029" s="318"/>
      <c r="AN6029" s="318"/>
      <c r="AO6029" s="318"/>
      <c r="AP6029" s="318"/>
      <c r="AQ6029" s="318"/>
      <c r="AR6029" s="319"/>
    </row>
    <row r="6030" spans="37:44" ht="30" customHeight="1">
      <c r="AK6030" s="318"/>
      <c r="AL6030" s="318"/>
      <c r="AM6030" s="318"/>
      <c r="AN6030" s="318"/>
      <c r="AO6030" s="318"/>
      <c r="AP6030" s="318"/>
      <c r="AQ6030" s="318"/>
      <c r="AR6030" s="319"/>
    </row>
    <row r="6031" spans="37:44" ht="30" customHeight="1">
      <c r="AK6031" s="318"/>
      <c r="AL6031" s="318"/>
      <c r="AM6031" s="318"/>
      <c r="AN6031" s="318"/>
      <c r="AO6031" s="318"/>
      <c r="AP6031" s="318"/>
      <c r="AQ6031" s="318"/>
      <c r="AR6031" s="319"/>
    </row>
    <row r="6032" spans="37:44" ht="30" customHeight="1">
      <c r="AK6032" s="318"/>
      <c r="AL6032" s="318"/>
      <c r="AM6032" s="318"/>
      <c r="AN6032" s="318"/>
      <c r="AO6032" s="318"/>
      <c r="AP6032" s="318"/>
      <c r="AQ6032" s="318"/>
      <c r="AR6032" s="319"/>
    </row>
    <row r="6033" spans="37:44" ht="30" customHeight="1">
      <c r="AK6033" s="318"/>
      <c r="AL6033" s="318"/>
      <c r="AM6033" s="318"/>
      <c r="AN6033" s="318"/>
      <c r="AO6033" s="318"/>
      <c r="AP6033" s="318"/>
      <c r="AQ6033" s="318"/>
      <c r="AR6033" s="319"/>
    </row>
    <row r="6034" spans="37:44" ht="30" customHeight="1">
      <c r="AK6034" s="318"/>
      <c r="AL6034" s="318"/>
      <c r="AM6034" s="318"/>
      <c r="AN6034" s="318"/>
      <c r="AO6034" s="318"/>
      <c r="AP6034" s="318"/>
      <c r="AQ6034" s="318"/>
      <c r="AR6034" s="319"/>
    </row>
    <row r="6035" spans="37:44" ht="30" customHeight="1">
      <c r="AK6035" s="318"/>
      <c r="AL6035" s="318"/>
      <c r="AM6035" s="318"/>
      <c r="AN6035" s="318"/>
      <c r="AO6035" s="318"/>
      <c r="AP6035" s="318"/>
      <c r="AQ6035" s="318"/>
      <c r="AR6035" s="319"/>
    </row>
    <row r="6036" spans="37:44" ht="30" customHeight="1">
      <c r="AK6036" s="318"/>
      <c r="AL6036" s="318"/>
      <c r="AM6036" s="318"/>
      <c r="AN6036" s="318"/>
      <c r="AO6036" s="318"/>
      <c r="AP6036" s="318"/>
      <c r="AQ6036" s="318"/>
      <c r="AR6036" s="319"/>
    </row>
    <row r="6037" spans="37:44" ht="30" customHeight="1">
      <c r="AK6037" s="318"/>
      <c r="AL6037" s="318"/>
      <c r="AM6037" s="318"/>
      <c r="AN6037" s="318"/>
      <c r="AO6037" s="318"/>
      <c r="AP6037" s="318"/>
      <c r="AQ6037" s="318"/>
      <c r="AR6037" s="319"/>
    </row>
    <row r="6038" spans="37:44" ht="30" customHeight="1">
      <c r="AK6038" s="318"/>
      <c r="AL6038" s="318"/>
      <c r="AM6038" s="318"/>
      <c r="AN6038" s="318"/>
      <c r="AO6038" s="318"/>
      <c r="AP6038" s="318"/>
      <c r="AQ6038" s="318"/>
      <c r="AR6038" s="319"/>
    </row>
    <row r="6039" spans="37:44" ht="30" customHeight="1">
      <c r="AK6039" s="318"/>
      <c r="AL6039" s="318"/>
      <c r="AM6039" s="318"/>
      <c r="AN6039" s="318"/>
      <c r="AO6039" s="318"/>
      <c r="AP6039" s="318"/>
      <c r="AQ6039" s="318"/>
      <c r="AR6039" s="319"/>
    </row>
    <row r="6040" spans="37:44" ht="30" customHeight="1">
      <c r="AK6040" s="318"/>
      <c r="AL6040" s="318"/>
      <c r="AM6040" s="318"/>
      <c r="AN6040" s="318"/>
      <c r="AO6040" s="318"/>
      <c r="AP6040" s="318"/>
      <c r="AQ6040" s="318"/>
      <c r="AR6040" s="319"/>
    </row>
    <row r="6041" spans="37:44" ht="30" customHeight="1">
      <c r="AK6041" s="318"/>
      <c r="AL6041" s="318"/>
      <c r="AM6041" s="318"/>
      <c r="AN6041" s="318"/>
      <c r="AO6041" s="318"/>
      <c r="AP6041" s="318"/>
      <c r="AQ6041" s="318"/>
      <c r="AR6041" s="319"/>
    </row>
    <row r="6042" spans="37:44" ht="30" customHeight="1">
      <c r="AK6042" s="318"/>
      <c r="AL6042" s="318"/>
      <c r="AM6042" s="318"/>
      <c r="AN6042" s="318"/>
      <c r="AO6042" s="318"/>
      <c r="AP6042" s="318"/>
      <c r="AQ6042" s="318"/>
      <c r="AR6042" s="319"/>
    </row>
    <row r="6043" spans="37:44" ht="30" customHeight="1">
      <c r="AK6043" s="318"/>
      <c r="AL6043" s="318"/>
      <c r="AM6043" s="318"/>
      <c r="AN6043" s="318"/>
      <c r="AO6043" s="318"/>
      <c r="AP6043" s="318"/>
      <c r="AQ6043" s="318"/>
      <c r="AR6043" s="319"/>
    </row>
    <row r="6044" spans="37:44" ht="30" customHeight="1">
      <c r="AK6044" s="318"/>
      <c r="AL6044" s="318"/>
      <c r="AM6044" s="318"/>
      <c r="AN6044" s="318"/>
      <c r="AO6044" s="318"/>
      <c r="AP6044" s="318"/>
      <c r="AQ6044" s="318"/>
      <c r="AR6044" s="319"/>
    </row>
    <row r="6045" spans="37:44" ht="30" customHeight="1">
      <c r="AK6045" s="318"/>
      <c r="AL6045" s="318"/>
      <c r="AM6045" s="318"/>
      <c r="AN6045" s="318"/>
      <c r="AO6045" s="318"/>
      <c r="AP6045" s="318"/>
      <c r="AQ6045" s="318"/>
      <c r="AR6045" s="319"/>
    </row>
    <row r="6046" spans="37:44" ht="30" customHeight="1">
      <c r="AK6046" s="318"/>
      <c r="AL6046" s="318"/>
      <c r="AM6046" s="318"/>
      <c r="AN6046" s="318"/>
      <c r="AO6046" s="318"/>
      <c r="AP6046" s="318"/>
      <c r="AQ6046" s="318"/>
      <c r="AR6046" s="319"/>
    </row>
    <row r="6047" spans="37:44" ht="30" customHeight="1">
      <c r="AK6047" s="318"/>
      <c r="AL6047" s="318"/>
      <c r="AM6047" s="318"/>
      <c r="AN6047" s="318"/>
      <c r="AO6047" s="318"/>
      <c r="AP6047" s="318"/>
      <c r="AQ6047" s="318"/>
      <c r="AR6047" s="319"/>
    </row>
    <row r="6048" spans="37:44" ht="30" customHeight="1">
      <c r="AK6048" s="318"/>
      <c r="AL6048" s="318"/>
      <c r="AM6048" s="318"/>
      <c r="AN6048" s="318"/>
      <c r="AO6048" s="318"/>
      <c r="AP6048" s="318"/>
      <c r="AQ6048" s="318"/>
      <c r="AR6048" s="319"/>
    </row>
    <row r="6049" spans="37:44" ht="30" customHeight="1">
      <c r="AK6049" s="318"/>
      <c r="AL6049" s="318"/>
      <c r="AM6049" s="318"/>
      <c r="AN6049" s="318"/>
      <c r="AO6049" s="318"/>
      <c r="AP6049" s="318"/>
      <c r="AQ6049" s="318"/>
      <c r="AR6049" s="319"/>
    </row>
    <row r="6050" spans="37:44" ht="30" customHeight="1">
      <c r="AK6050" s="318"/>
      <c r="AL6050" s="318"/>
      <c r="AM6050" s="318"/>
      <c r="AN6050" s="318"/>
      <c r="AO6050" s="318"/>
      <c r="AP6050" s="318"/>
      <c r="AQ6050" s="318"/>
      <c r="AR6050" s="319"/>
    </row>
    <row r="6051" spans="37:44" ht="30" customHeight="1">
      <c r="AK6051" s="318"/>
      <c r="AL6051" s="318"/>
      <c r="AM6051" s="318"/>
      <c r="AN6051" s="318"/>
      <c r="AO6051" s="318"/>
      <c r="AP6051" s="318"/>
      <c r="AQ6051" s="318"/>
      <c r="AR6051" s="319"/>
    </row>
    <row r="6052" spans="37:44" ht="30" customHeight="1">
      <c r="AK6052" s="318"/>
      <c r="AL6052" s="318"/>
      <c r="AM6052" s="318"/>
      <c r="AN6052" s="318"/>
      <c r="AO6052" s="318"/>
      <c r="AP6052" s="318"/>
      <c r="AQ6052" s="318"/>
      <c r="AR6052" s="319"/>
    </row>
    <row r="6053" spans="37:44" ht="30" customHeight="1">
      <c r="AK6053" s="318"/>
      <c r="AL6053" s="318"/>
      <c r="AM6053" s="318"/>
      <c r="AN6053" s="318"/>
      <c r="AO6053" s="318"/>
      <c r="AP6053" s="318"/>
      <c r="AQ6053" s="318"/>
      <c r="AR6053" s="319"/>
    </row>
    <row r="6054" spans="37:44" ht="30" customHeight="1">
      <c r="AK6054" s="318"/>
      <c r="AL6054" s="318"/>
      <c r="AM6054" s="318"/>
      <c r="AN6054" s="318"/>
      <c r="AO6054" s="318"/>
      <c r="AP6054" s="318"/>
      <c r="AQ6054" s="318"/>
      <c r="AR6054" s="319"/>
    </row>
    <row r="6055" spans="37:44" ht="30" customHeight="1">
      <c r="AK6055" s="318"/>
      <c r="AL6055" s="318"/>
      <c r="AM6055" s="318"/>
      <c r="AN6055" s="318"/>
      <c r="AO6055" s="318"/>
      <c r="AP6055" s="318"/>
      <c r="AQ6055" s="318"/>
      <c r="AR6055" s="319"/>
    </row>
    <row r="6056" spans="37:44" ht="30" customHeight="1">
      <c r="AK6056" s="318"/>
      <c r="AL6056" s="318"/>
      <c r="AM6056" s="318"/>
      <c r="AN6056" s="318"/>
      <c r="AO6056" s="318"/>
      <c r="AP6056" s="318"/>
      <c r="AQ6056" s="318"/>
      <c r="AR6056" s="319"/>
    </row>
    <row r="6057" spans="37:44" ht="30" customHeight="1">
      <c r="AK6057" s="318"/>
      <c r="AL6057" s="318"/>
      <c r="AM6057" s="318"/>
      <c r="AN6057" s="318"/>
      <c r="AO6057" s="318"/>
      <c r="AP6057" s="318"/>
      <c r="AQ6057" s="318"/>
      <c r="AR6057" s="319"/>
    </row>
    <row r="6058" spans="37:44" ht="30" customHeight="1">
      <c r="AK6058" s="318"/>
      <c r="AL6058" s="318"/>
      <c r="AM6058" s="318"/>
      <c r="AN6058" s="318"/>
      <c r="AO6058" s="318"/>
      <c r="AP6058" s="318"/>
      <c r="AQ6058" s="318"/>
      <c r="AR6058" s="319"/>
    </row>
    <row r="6059" spans="37:44" ht="30" customHeight="1">
      <c r="AK6059" s="318"/>
      <c r="AL6059" s="318"/>
      <c r="AM6059" s="318"/>
      <c r="AN6059" s="318"/>
      <c r="AO6059" s="318"/>
      <c r="AP6059" s="318"/>
      <c r="AQ6059" s="318"/>
      <c r="AR6059" s="319"/>
    </row>
    <row r="6060" spans="37:44" ht="30" customHeight="1">
      <c r="AK6060" s="318"/>
      <c r="AL6060" s="318"/>
      <c r="AM6060" s="318"/>
      <c r="AN6060" s="318"/>
      <c r="AO6060" s="318"/>
      <c r="AP6060" s="318"/>
      <c r="AQ6060" s="318"/>
      <c r="AR6060" s="319"/>
    </row>
    <row r="6061" spans="37:44" ht="30" customHeight="1">
      <c r="AK6061" s="318"/>
      <c r="AL6061" s="318"/>
      <c r="AM6061" s="318"/>
      <c r="AN6061" s="318"/>
      <c r="AO6061" s="318"/>
      <c r="AP6061" s="318"/>
      <c r="AQ6061" s="318"/>
      <c r="AR6061" s="319"/>
    </row>
    <row r="6062" spans="37:44" ht="30" customHeight="1">
      <c r="AK6062" s="318"/>
      <c r="AL6062" s="318"/>
      <c r="AM6062" s="318"/>
      <c r="AN6062" s="318"/>
      <c r="AO6062" s="318"/>
      <c r="AP6062" s="318"/>
      <c r="AQ6062" s="318"/>
      <c r="AR6062" s="319"/>
    </row>
    <row r="6063" spans="37:44" ht="30" customHeight="1">
      <c r="AK6063" s="318"/>
      <c r="AL6063" s="318"/>
      <c r="AM6063" s="318"/>
      <c r="AN6063" s="318"/>
      <c r="AO6063" s="318"/>
      <c r="AP6063" s="318"/>
      <c r="AQ6063" s="318"/>
      <c r="AR6063" s="319"/>
    </row>
    <row r="6064" spans="37:44" ht="30" customHeight="1">
      <c r="AK6064" s="318"/>
      <c r="AL6064" s="318"/>
      <c r="AM6064" s="318"/>
      <c r="AN6064" s="318"/>
      <c r="AO6064" s="318"/>
      <c r="AP6064" s="318"/>
      <c r="AQ6064" s="318"/>
      <c r="AR6064" s="319"/>
    </row>
    <row r="6065" spans="37:44" ht="30" customHeight="1">
      <c r="AK6065" s="318"/>
      <c r="AL6065" s="318"/>
      <c r="AM6065" s="318"/>
      <c r="AN6065" s="318"/>
      <c r="AO6065" s="318"/>
      <c r="AP6065" s="318"/>
      <c r="AQ6065" s="318"/>
      <c r="AR6065" s="319"/>
    </row>
    <row r="6066" spans="37:44" ht="30" customHeight="1">
      <c r="AK6066" s="318"/>
      <c r="AL6066" s="318"/>
      <c r="AM6066" s="318"/>
      <c r="AN6066" s="318"/>
      <c r="AO6066" s="318"/>
      <c r="AP6066" s="318"/>
      <c r="AQ6066" s="318"/>
      <c r="AR6066" s="319"/>
    </row>
    <row r="6067" spans="37:44" ht="30" customHeight="1">
      <c r="AK6067" s="318"/>
      <c r="AL6067" s="318"/>
      <c r="AM6067" s="318"/>
      <c r="AN6067" s="318"/>
      <c r="AO6067" s="318"/>
      <c r="AP6067" s="318"/>
      <c r="AQ6067" s="318"/>
      <c r="AR6067" s="319"/>
    </row>
    <row r="6068" spans="37:44" ht="30" customHeight="1">
      <c r="AK6068" s="318"/>
      <c r="AL6068" s="318"/>
      <c r="AM6068" s="318"/>
      <c r="AN6068" s="318"/>
      <c r="AO6068" s="318"/>
      <c r="AP6068" s="318"/>
      <c r="AQ6068" s="318"/>
      <c r="AR6068" s="319"/>
    </row>
    <row r="6069" spans="37:44" ht="30" customHeight="1">
      <c r="AK6069" s="318"/>
      <c r="AL6069" s="318"/>
      <c r="AM6069" s="318"/>
      <c r="AN6069" s="318"/>
      <c r="AO6069" s="318"/>
      <c r="AP6069" s="318"/>
      <c r="AQ6069" s="318"/>
      <c r="AR6069" s="319"/>
    </row>
    <row r="6070" spans="37:44" ht="30" customHeight="1">
      <c r="AK6070" s="318"/>
      <c r="AL6070" s="318"/>
      <c r="AM6070" s="318"/>
      <c r="AN6070" s="318"/>
      <c r="AO6070" s="318"/>
      <c r="AP6070" s="318"/>
      <c r="AQ6070" s="318"/>
      <c r="AR6070" s="319"/>
    </row>
    <row r="6071" spans="37:44" ht="30" customHeight="1">
      <c r="AK6071" s="318"/>
      <c r="AL6071" s="318"/>
      <c r="AM6071" s="318"/>
      <c r="AN6071" s="318"/>
      <c r="AO6071" s="318"/>
      <c r="AP6071" s="318"/>
      <c r="AQ6071" s="318"/>
      <c r="AR6071" s="319"/>
    </row>
    <row r="6072" spans="37:44" ht="30" customHeight="1">
      <c r="AK6072" s="318"/>
      <c r="AL6072" s="318"/>
      <c r="AM6072" s="318"/>
      <c r="AN6072" s="318"/>
      <c r="AO6072" s="318"/>
      <c r="AP6072" s="318"/>
      <c r="AQ6072" s="318"/>
      <c r="AR6072" s="319"/>
    </row>
    <row r="6073" spans="37:44" ht="30" customHeight="1">
      <c r="AK6073" s="318"/>
      <c r="AL6073" s="318"/>
      <c r="AM6073" s="318"/>
      <c r="AN6073" s="318"/>
      <c r="AO6073" s="318"/>
      <c r="AP6073" s="318"/>
      <c r="AQ6073" s="318"/>
      <c r="AR6073" s="319"/>
    </row>
    <row r="6074" spans="37:44" ht="30" customHeight="1">
      <c r="AK6074" s="318"/>
      <c r="AL6074" s="318"/>
      <c r="AM6074" s="318"/>
      <c r="AN6074" s="318"/>
      <c r="AO6074" s="318"/>
      <c r="AP6074" s="318"/>
      <c r="AQ6074" s="318"/>
      <c r="AR6074" s="319"/>
    </row>
    <row r="6075" spans="37:44" ht="30" customHeight="1">
      <c r="AK6075" s="318"/>
      <c r="AL6075" s="318"/>
      <c r="AM6075" s="318"/>
      <c r="AN6075" s="318"/>
      <c r="AO6075" s="318"/>
      <c r="AP6075" s="318"/>
      <c r="AQ6075" s="318"/>
      <c r="AR6075" s="319"/>
    </row>
    <row r="6076" spans="37:44" ht="30" customHeight="1">
      <c r="AK6076" s="318"/>
      <c r="AL6076" s="318"/>
      <c r="AM6076" s="318"/>
      <c r="AN6076" s="318"/>
      <c r="AO6076" s="318"/>
      <c r="AP6076" s="318"/>
      <c r="AQ6076" s="318"/>
      <c r="AR6076" s="319"/>
    </row>
    <row r="6077" spans="37:44" ht="30" customHeight="1">
      <c r="AK6077" s="318"/>
      <c r="AL6077" s="318"/>
      <c r="AM6077" s="318"/>
      <c r="AN6077" s="318"/>
      <c r="AO6077" s="318"/>
      <c r="AP6077" s="318"/>
      <c r="AQ6077" s="318"/>
      <c r="AR6077" s="319"/>
    </row>
    <row r="6078" spans="37:44" ht="30" customHeight="1">
      <c r="AK6078" s="318"/>
      <c r="AL6078" s="318"/>
      <c r="AM6078" s="318"/>
      <c r="AN6078" s="318"/>
      <c r="AO6078" s="318"/>
      <c r="AP6078" s="318"/>
      <c r="AQ6078" s="318"/>
      <c r="AR6078" s="319"/>
    </row>
    <row r="6079" spans="37:44" ht="30" customHeight="1">
      <c r="AK6079" s="318"/>
      <c r="AL6079" s="318"/>
      <c r="AM6079" s="318"/>
      <c r="AN6079" s="318"/>
      <c r="AO6079" s="318"/>
      <c r="AP6079" s="318"/>
      <c r="AQ6079" s="318"/>
      <c r="AR6079" s="319"/>
    </row>
    <row r="6080" spans="37:44" ht="30" customHeight="1">
      <c r="AK6080" s="318"/>
      <c r="AL6080" s="318"/>
      <c r="AM6080" s="318"/>
      <c r="AN6080" s="318"/>
      <c r="AO6080" s="318"/>
      <c r="AP6080" s="318"/>
      <c r="AQ6080" s="318"/>
      <c r="AR6080" s="319"/>
    </row>
    <row r="6081" spans="37:44" ht="30" customHeight="1">
      <c r="AK6081" s="318"/>
      <c r="AL6081" s="318"/>
      <c r="AM6081" s="318"/>
      <c r="AN6081" s="318"/>
      <c r="AO6081" s="318"/>
      <c r="AP6081" s="318"/>
      <c r="AQ6081" s="318"/>
      <c r="AR6081" s="319"/>
    </row>
    <row r="6082" spans="37:44" ht="30" customHeight="1">
      <c r="AK6082" s="318"/>
      <c r="AL6082" s="318"/>
      <c r="AM6082" s="318"/>
      <c r="AN6082" s="318"/>
      <c r="AO6082" s="318"/>
      <c r="AP6082" s="318"/>
      <c r="AQ6082" s="318"/>
      <c r="AR6082" s="319"/>
    </row>
    <row r="6083" spans="37:44" ht="30" customHeight="1">
      <c r="AK6083" s="318"/>
      <c r="AL6083" s="318"/>
      <c r="AM6083" s="318"/>
      <c r="AN6083" s="318"/>
      <c r="AO6083" s="318"/>
      <c r="AP6083" s="318"/>
      <c r="AQ6083" s="318"/>
      <c r="AR6083" s="319"/>
    </row>
    <row r="6084" spans="37:44" ht="30" customHeight="1">
      <c r="AK6084" s="318"/>
      <c r="AL6084" s="318"/>
      <c r="AM6084" s="318"/>
      <c r="AN6084" s="318"/>
      <c r="AO6084" s="318"/>
      <c r="AP6084" s="318"/>
      <c r="AQ6084" s="318"/>
      <c r="AR6084" s="319"/>
    </row>
    <row r="6085" spans="37:44" ht="30" customHeight="1">
      <c r="AK6085" s="318"/>
      <c r="AL6085" s="318"/>
      <c r="AM6085" s="318"/>
      <c r="AN6085" s="318"/>
      <c r="AO6085" s="318"/>
      <c r="AP6085" s="318"/>
      <c r="AQ6085" s="318"/>
      <c r="AR6085" s="319"/>
    </row>
    <row r="6086" spans="37:44" ht="30" customHeight="1">
      <c r="AK6086" s="318"/>
      <c r="AL6086" s="318"/>
      <c r="AM6086" s="318"/>
      <c r="AN6086" s="318"/>
      <c r="AO6086" s="318"/>
      <c r="AP6086" s="318"/>
      <c r="AQ6086" s="318"/>
      <c r="AR6086" s="319"/>
    </row>
    <row r="6087" spans="37:44" ht="30" customHeight="1">
      <c r="AK6087" s="318"/>
      <c r="AL6087" s="318"/>
      <c r="AM6087" s="318"/>
      <c r="AN6087" s="318"/>
      <c r="AO6087" s="318"/>
      <c r="AP6087" s="318"/>
      <c r="AQ6087" s="318"/>
      <c r="AR6087" s="319"/>
    </row>
    <row r="6088" spans="37:44" ht="30" customHeight="1">
      <c r="AK6088" s="318"/>
      <c r="AL6088" s="318"/>
      <c r="AM6088" s="318"/>
      <c r="AN6088" s="318"/>
      <c r="AO6088" s="318"/>
      <c r="AP6088" s="318"/>
      <c r="AQ6088" s="318"/>
      <c r="AR6088" s="319"/>
    </row>
    <row r="6089" spans="37:44" ht="30" customHeight="1">
      <c r="AK6089" s="318"/>
      <c r="AL6089" s="318"/>
      <c r="AM6089" s="318"/>
      <c r="AN6089" s="318"/>
      <c r="AO6089" s="318"/>
      <c r="AP6089" s="318"/>
      <c r="AQ6089" s="318"/>
      <c r="AR6089" s="319"/>
    </row>
    <row r="6090" spans="37:44" ht="30" customHeight="1">
      <c r="AK6090" s="318"/>
      <c r="AL6090" s="318"/>
      <c r="AM6090" s="318"/>
      <c r="AN6090" s="318"/>
      <c r="AO6090" s="318"/>
      <c r="AP6090" s="318"/>
      <c r="AQ6090" s="318"/>
      <c r="AR6090" s="319"/>
    </row>
    <row r="6091" spans="37:44" ht="30" customHeight="1">
      <c r="AK6091" s="318"/>
      <c r="AL6091" s="318"/>
      <c r="AM6091" s="318"/>
      <c r="AN6091" s="318"/>
      <c r="AO6091" s="318"/>
      <c r="AP6091" s="318"/>
      <c r="AQ6091" s="318"/>
      <c r="AR6091" s="319"/>
    </row>
    <row r="6092" spans="37:44" ht="30" customHeight="1">
      <c r="AK6092" s="318"/>
      <c r="AL6092" s="318"/>
      <c r="AM6092" s="318"/>
      <c r="AN6092" s="318"/>
      <c r="AO6092" s="318"/>
      <c r="AP6092" s="318"/>
      <c r="AQ6092" s="318"/>
      <c r="AR6092" s="319"/>
    </row>
    <row r="6093" spans="37:44" ht="30" customHeight="1">
      <c r="AK6093" s="318"/>
      <c r="AL6093" s="318"/>
      <c r="AM6093" s="318"/>
      <c r="AN6093" s="318"/>
      <c r="AO6093" s="318"/>
      <c r="AP6093" s="318"/>
      <c r="AQ6093" s="318"/>
      <c r="AR6093" s="319"/>
    </row>
    <row r="6094" spans="37:44" ht="30" customHeight="1">
      <c r="AK6094" s="318"/>
      <c r="AL6094" s="318"/>
      <c r="AM6094" s="318"/>
      <c r="AN6094" s="318"/>
      <c r="AO6094" s="318"/>
      <c r="AP6094" s="318"/>
      <c r="AQ6094" s="318"/>
      <c r="AR6094" s="319"/>
    </row>
    <row r="6095" spans="37:44" ht="30" customHeight="1">
      <c r="AK6095" s="318"/>
      <c r="AL6095" s="318"/>
      <c r="AM6095" s="318"/>
      <c r="AN6095" s="318"/>
      <c r="AO6095" s="318"/>
      <c r="AP6095" s="318"/>
      <c r="AQ6095" s="318"/>
      <c r="AR6095" s="319"/>
    </row>
    <row r="6096" spans="37:44" ht="30" customHeight="1">
      <c r="AK6096" s="318"/>
      <c r="AL6096" s="318"/>
      <c r="AM6096" s="318"/>
      <c r="AN6096" s="318"/>
      <c r="AO6096" s="318"/>
      <c r="AP6096" s="318"/>
      <c r="AQ6096" s="318"/>
      <c r="AR6096" s="319"/>
    </row>
    <row r="6097" spans="37:44" ht="30" customHeight="1">
      <c r="AK6097" s="318"/>
      <c r="AL6097" s="318"/>
      <c r="AM6097" s="318"/>
      <c r="AN6097" s="318"/>
      <c r="AO6097" s="318"/>
      <c r="AP6097" s="318"/>
      <c r="AQ6097" s="318"/>
      <c r="AR6097" s="319"/>
    </row>
    <row r="6098" spans="37:44" ht="30" customHeight="1">
      <c r="AK6098" s="318"/>
      <c r="AL6098" s="318"/>
      <c r="AM6098" s="318"/>
      <c r="AN6098" s="318"/>
      <c r="AO6098" s="318"/>
      <c r="AP6098" s="318"/>
      <c r="AQ6098" s="318"/>
      <c r="AR6098" s="319"/>
    </row>
    <row r="6099" spans="37:44" ht="30" customHeight="1">
      <c r="AK6099" s="318"/>
      <c r="AL6099" s="318"/>
      <c r="AM6099" s="318"/>
      <c r="AN6099" s="318"/>
      <c r="AO6099" s="318"/>
      <c r="AP6099" s="318"/>
      <c r="AQ6099" s="318"/>
      <c r="AR6099" s="319"/>
    </row>
    <row r="6100" spans="37:44" ht="30" customHeight="1">
      <c r="AK6100" s="318"/>
      <c r="AL6100" s="318"/>
      <c r="AM6100" s="318"/>
      <c r="AN6100" s="318"/>
      <c r="AO6100" s="318"/>
      <c r="AP6100" s="318"/>
      <c r="AQ6100" s="318"/>
      <c r="AR6100" s="319"/>
    </row>
    <row r="6101" spans="37:44" ht="30" customHeight="1">
      <c r="AK6101" s="318"/>
      <c r="AL6101" s="318"/>
      <c r="AM6101" s="318"/>
      <c r="AN6101" s="318"/>
      <c r="AO6101" s="318"/>
      <c r="AP6101" s="318"/>
      <c r="AQ6101" s="318"/>
      <c r="AR6101" s="319"/>
    </row>
    <row r="6102" spans="37:44" ht="30" customHeight="1">
      <c r="AK6102" s="318"/>
      <c r="AL6102" s="318"/>
      <c r="AM6102" s="318"/>
      <c r="AN6102" s="318"/>
      <c r="AO6102" s="318"/>
      <c r="AP6102" s="318"/>
      <c r="AQ6102" s="318"/>
      <c r="AR6102" s="319"/>
    </row>
    <row r="6103" spans="37:44" ht="30" customHeight="1">
      <c r="AK6103" s="318"/>
      <c r="AL6103" s="318"/>
      <c r="AM6103" s="318"/>
      <c r="AN6103" s="318"/>
      <c r="AO6103" s="318"/>
      <c r="AP6103" s="318"/>
      <c r="AQ6103" s="318"/>
      <c r="AR6103" s="319"/>
    </row>
    <row r="6104" spans="37:44" ht="30" customHeight="1">
      <c r="AK6104" s="318"/>
      <c r="AL6104" s="318"/>
      <c r="AM6104" s="318"/>
      <c r="AN6104" s="318"/>
      <c r="AO6104" s="318"/>
      <c r="AP6104" s="318"/>
      <c r="AQ6104" s="318"/>
      <c r="AR6104" s="319"/>
    </row>
    <row r="6105" spans="37:44" ht="30" customHeight="1">
      <c r="AK6105" s="318"/>
      <c r="AL6105" s="318"/>
      <c r="AM6105" s="318"/>
      <c r="AN6105" s="318"/>
      <c r="AO6105" s="318"/>
      <c r="AP6105" s="318"/>
      <c r="AQ6105" s="318"/>
      <c r="AR6105" s="319"/>
    </row>
    <row r="6106" spans="37:44" ht="30" customHeight="1">
      <c r="AK6106" s="318"/>
      <c r="AL6106" s="318"/>
      <c r="AM6106" s="318"/>
      <c r="AN6106" s="318"/>
      <c r="AO6106" s="318"/>
      <c r="AP6106" s="318"/>
      <c r="AQ6106" s="318"/>
      <c r="AR6106" s="319"/>
    </row>
    <row r="6107" spans="37:44" ht="30" customHeight="1">
      <c r="AK6107" s="318"/>
      <c r="AL6107" s="318"/>
      <c r="AM6107" s="318"/>
      <c r="AN6107" s="318"/>
      <c r="AO6107" s="318"/>
      <c r="AP6107" s="318"/>
      <c r="AQ6107" s="318"/>
      <c r="AR6107" s="319"/>
    </row>
    <row r="6108" spans="37:44" ht="30" customHeight="1">
      <c r="AK6108" s="318"/>
      <c r="AL6108" s="318"/>
      <c r="AM6108" s="318"/>
      <c r="AN6108" s="318"/>
      <c r="AO6108" s="318"/>
      <c r="AP6108" s="318"/>
      <c r="AQ6108" s="318"/>
      <c r="AR6108" s="319"/>
    </row>
    <row r="6109" spans="37:44" ht="30" customHeight="1">
      <c r="AK6109" s="318"/>
      <c r="AL6109" s="318"/>
      <c r="AM6109" s="318"/>
      <c r="AN6109" s="318"/>
      <c r="AO6109" s="318"/>
      <c r="AP6109" s="318"/>
      <c r="AQ6109" s="318"/>
      <c r="AR6109" s="319"/>
    </row>
    <row r="6110" spans="37:44" ht="30" customHeight="1">
      <c r="AK6110" s="318"/>
      <c r="AL6110" s="318"/>
      <c r="AM6110" s="318"/>
      <c r="AN6110" s="318"/>
      <c r="AO6110" s="318"/>
      <c r="AP6110" s="318"/>
      <c r="AQ6110" s="318"/>
      <c r="AR6110" s="319"/>
    </row>
    <row r="6111" spans="37:44" ht="30" customHeight="1">
      <c r="AK6111" s="318"/>
      <c r="AL6111" s="318"/>
      <c r="AM6111" s="318"/>
      <c r="AN6111" s="318"/>
      <c r="AO6111" s="318"/>
      <c r="AP6111" s="318"/>
      <c r="AQ6111" s="318"/>
      <c r="AR6111" s="319"/>
    </row>
    <row r="6112" spans="37:44" ht="30" customHeight="1">
      <c r="AK6112" s="318"/>
      <c r="AL6112" s="318"/>
      <c r="AM6112" s="318"/>
      <c r="AN6112" s="318"/>
      <c r="AO6112" s="318"/>
      <c r="AP6112" s="318"/>
      <c r="AQ6112" s="318"/>
      <c r="AR6112" s="319"/>
    </row>
    <row r="6113" spans="37:44" ht="30" customHeight="1">
      <c r="AK6113" s="318"/>
      <c r="AL6113" s="318"/>
      <c r="AM6113" s="318"/>
      <c r="AN6113" s="318"/>
      <c r="AO6113" s="318"/>
      <c r="AP6113" s="318"/>
      <c r="AQ6113" s="318"/>
      <c r="AR6113" s="319"/>
    </row>
    <row r="6114" spans="37:44" ht="30" customHeight="1">
      <c r="AK6114" s="318"/>
      <c r="AL6114" s="318"/>
      <c r="AM6114" s="318"/>
      <c r="AN6114" s="318"/>
      <c r="AO6114" s="318"/>
      <c r="AP6114" s="318"/>
      <c r="AQ6114" s="318"/>
      <c r="AR6114" s="319"/>
    </row>
    <row r="6115" spans="37:44" ht="30" customHeight="1">
      <c r="AK6115" s="318"/>
      <c r="AL6115" s="318"/>
      <c r="AM6115" s="318"/>
      <c r="AN6115" s="318"/>
      <c r="AO6115" s="318"/>
      <c r="AP6115" s="318"/>
      <c r="AQ6115" s="318"/>
      <c r="AR6115" s="319"/>
    </row>
    <row r="6116" spans="37:44" ht="30" customHeight="1">
      <c r="AK6116" s="318"/>
      <c r="AL6116" s="318"/>
      <c r="AM6116" s="318"/>
      <c r="AN6116" s="318"/>
      <c r="AO6116" s="318"/>
      <c r="AP6116" s="318"/>
      <c r="AQ6116" s="318"/>
      <c r="AR6116" s="319"/>
    </row>
    <row r="6117" spans="37:44" ht="30" customHeight="1">
      <c r="AK6117" s="318"/>
      <c r="AL6117" s="318"/>
      <c r="AM6117" s="318"/>
      <c r="AN6117" s="318"/>
      <c r="AO6117" s="318"/>
      <c r="AP6117" s="318"/>
      <c r="AQ6117" s="318"/>
      <c r="AR6117" s="319"/>
    </row>
    <row r="6118" spans="37:44" ht="30" customHeight="1">
      <c r="AK6118" s="318"/>
      <c r="AL6118" s="318"/>
      <c r="AM6118" s="318"/>
      <c r="AN6118" s="318"/>
      <c r="AO6118" s="318"/>
      <c r="AP6118" s="318"/>
      <c r="AQ6118" s="318"/>
      <c r="AR6118" s="319"/>
    </row>
    <row r="6119" spans="37:44" ht="30" customHeight="1">
      <c r="AK6119" s="318"/>
      <c r="AL6119" s="318"/>
      <c r="AM6119" s="318"/>
      <c r="AN6119" s="318"/>
      <c r="AO6119" s="318"/>
      <c r="AP6119" s="318"/>
      <c r="AQ6119" s="318"/>
      <c r="AR6119" s="319"/>
    </row>
    <row r="6120" spans="37:44" ht="30" customHeight="1">
      <c r="AK6120" s="318"/>
      <c r="AL6120" s="318"/>
      <c r="AM6120" s="318"/>
      <c r="AN6120" s="318"/>
      <c r="AO6120" s="318"/>
      <c r="AP6120" s="318"/>
      <c r="AQ6120" s="318"/>
      <c r="AR6120" s="319"/>
    </row>
    <row r="6121" spans="37:44" ht="30" customHeight="1">
      <c r="AK6121" s="318"/>
      <c r="AL6121" s="318"/>
      <c r="AM6121" s="318"/>
      <c r="AN6121" s="318"/>
      <c r="AO6121" s="318"/>
      <c r="AP6121" s="318"/>
      <c r="AQ6121" s="318"/>
      <c r="AR6121" s="319"/>
    </row>
    <row r="6122" spans="37:44" ht="30" customHeight="1">
      <c r="AK6122" s="318"/>
      <c r="AL6122" s="318"/>
      <c r="AM6122" s="318"/>
      <c r="AN6122" s="318"/>
      <c r="AO6122" s="318"/>
      <c r="AP6122" s="318"/>
      <c r="AQ6122" s="318"/>
      <c r="AR6122" s="319"/>
    </row>
    <row r="6123" spans="37:44" ht="30" customHeight="1">
      <c r="AK6123" s="318"/>
      <c r="AL6123" s="318"/>
      <c r="AM6123" s="318"/>
      <c r="AN6123" s="318"/>
      <c r="AO6123" s="318"/>
      <c r="AP6123" s="318"/>
      <c r="AQ6123" s="318"/>
      <c r="AR6123" s="319"/>
    </row>
    <row r="6124" spans="37:44" ht="30" customHeight="1">
      <c r="AK6124" s="318"/>
      <c r="AL6124" s="318"/>
      <c r="AM6124" s="318"/>
      <c r="AN6124" s="318"/>
      <c r="AO6124" s="318"/>
      <c r="AP6124" s="318"/>
      <c r="AQ6124" s="318"/>
      <c r="AR6124" s="319"/>
    </row>
    <row r="6125" spans="37:44" ht="30" customHeight="1">
      <c r="AK6125" s="318"/>
      <c r="AL6125" s="318"/>
      <c r="AM6125" s="318"/>
      <c r="AN6125" s="318"/>
      <c r="AO6125" s="318"/>
      <c r="AP6125" s="318"/>
      <c r="AQ6125" s="318"/>
      <c r="AR6125" s="319"/>
    </row>
    <row r="6126" spans="37:44" ht="30" customHeight="1">
      <c r="AK6126" s="318"/>
      <c r="AL6126" s="318"/>
      <c r="AM6126" s="318"/>
      <c r="AN6126" s="318"/>
      <c r="AO6126" s="318"/>
      <c r="AP6126" s="318"/>
      <c r="AQ6126" s="318"/>
      <c r="AR6126" s="319"/>
    </row>
    <row r="6127" spans="37:44" ht="30" customHeight="1">
      <c r="AK6127" s="318"/>
      <c r="AL6127" s="318"/>
      <c r="AM6127" s="318"/>
      <c r="AN6127" s="318"/>
      <c r="AO6127" s="318"/>
      <c r="AP6127" s="318"/>
      <c r="AQ6127" s="318"/>
      <c r="AR6127" s="319"/>
    </row>
    <row r="6128" spans="37:44" ht="30" customHeight="1">
      <c r="AK6128" s="318"/>
      <c r="AL6128" s="318"/>
      <c r="AM6128" s="318"/>
      <c r="AN6128" s="318"/>
      <c r="AO6128" s="318"/>
      <c r="AP6128" s="318"/>
      <c r="AQ6128" s="318"/>
      <c r="AR6128" s="319"/>
    </row>
    <row r="6129" spans="37:44" ht="30" customHeight="1">
      <c r="AK6129" s="318"/>
      <c r="AL6129" s="318"/>
      <c r="AM6129" s="318"/>
      <c r="AN6129" s="318"/>
      <c r="AO6129" s="318"/>
      <c r="AP6129" s="318"/>
      <c r="AQ6129" s="318"/>
      <c r="AR6129" s="319"/>
    </row>
    <row r="6130" spans="37:44" ht="30" customHeight="1">
      <c r="AK6130" s="318"/>
      <c r="AL6130" s="318"/>
      <c r="AM6130" s="318"/>
      <c r="AN6130" s="318"/>
      <c r="AO6130" s="318"/>
      <c r="AP6130" s="318"/>
      <c r="AQ6130" s="318"/>
      <c r="AR6130" s="319"/>
    </row>
    <row r="6131" spans="37:44" ht="30" customHeight="1">
      <c r="AK6131" s="318"/>
      <c r="AL6131" s="318"/>
      <c r="AM6131" s="318"/>
      <c r="AN6131" s="318"/>
      <c r="AO6131" s="318"/>
      <c r="AP6131" s="318"/>
      <c r="AQ6131" s="318"/>
      <c r="AR6131" s="319"/>
    </row>
    <row r="6132" spans="37:44" ht="30" customHeight="1">
      <c r="AK6132" s="318"/>
      <c r="AL6132" s="318"/>
      <c r="AM6132" s="318"/>
      <c r="AN6132" s="318"/>
      <c r="AO6132" s="318"/>
      <c r="AP6132" s="318"/>
      <c r="AQ6132" s="318"/>
      <c r="AR6132" s="319"/>
    </row>
    <row r="6133" spans="37:44" ht="30" customHeight="1">
      <c r="AK6133" s="318"/>
      <c r="AL6133" s="318"/>
      <c r="AM6133" s="318"/>
      <c r="AN6133" s="318"/>
      <c r="AO6133" s="318"/>
      <c r="AP6133" s="318"/>
      <c r="AQ6133" s="318"/>
      <c r="AR6133" s="319"/>
    </row>
    <row r="6134" spans="37:44" ht="30" customHeight="1">
      <c r="AK6134" s="318"/>
      <c r="AL6134" s="318"/>
      <c r="AM6134" s="318"/>
      <c r="AN6134" s="318"/>
      <c r="AO6134" s="318"/>
      <c r="AP6134" s="318"/>
      <c r="AQ6134" s="318"/>
      <c r="AR6134" s="319"/>
    </row>
    <row r="6135" spans="37:44" ht="30" customHeight="1">
      <c r="AK6135" s="318"/>
      <c r="AL6135" s="318"/>
      <c r="AM6135" s="318"/>
      <c r="AN6135" s="318"/>
      <c r="AO6135" s="318"/>
      <c r="AP6135" s="318"/>
      <c r="AQ6135" s="318"/>
      <c r="AR6135" s="319"/>
    </row>
    <row r="6136" spans="37:44" ht="30" customHeight="1">
      <c r="AK6136" s="318"/>
      <c r="AL6136" s="318"/>
      <c r="AM6136" s="318"/>
      <c r="AN6136" s="318"/>
      <c r="AO6136" s="318"/>
      <c r="AP6136" s="318"/>
      <c r="AQ6136" s="318"/>
      <c r="AR6136" s="319"/>
    </row>
    <row r="6137" spans="37:44" ht="30" customHeight="1">
      <c r="AK6137" s="318"/>
      <c r="AL6137" s="318"/>
      <c r="AM6137" s="318"/>
      <c r="AN6137" s="318"/>
      <c r="AO6137" s="318"/>
      <c r="AP6137" s="318"/>
      <c r="AQ6137" s="318"/>
      <c r="AR6137" s="319"/>
    </row>
    <row r="6138" spans="37:44" ht="30" customHeight="1">
      <c r="AK6138" s="318"/>
      <c r="AL6138" s="318"/>
      <c r="AM6138" s="318"/>
      <c r="AN6138" s="318"/>
      <c r="AO6138" s="318"/>
      <c r="AP6138" s="318"/>
      <c r="AQ6138" s="318"/>
      <c r="AR6138" s="319"/>
    </row>
    <row r="6139" spans="37:44" ht="30" customHeight="1">
      <c r="AK6139" s="318"/>
      <c r="AL6139" s="318"/>
      <c r="AM6139" s="318"/>
      <c r="AN6139" s="318"/>
      <c r="AO6139" s="318"/>
      <c r="AP6139" s="318"/>
      <c r="AQ6139" s="318"/>
      <c r="AR6139" s="319"/>
    </row>
    <row r="6140" spans="37:44" ht="30" customHeight="1">
      <c r="AK6140" s="318"/>
      <c r="AL6140" s="318"/>
      <c r="AM6140" s="318"/>
      <c r="AN6140" s="318"/>
      <c r="AO6140" s="318"/>
      <c r="AP6140" s="318"/>
      <c r="AQ6140" s="318"/>
      <c r="AR6140" s="319"/>
    </row>
    <row r="6141" spans="37:44" ht="30" customHeight="1">
      <c r="AK6141" s="318"/>
      <c r="AL6141" s="318"/>
      <c r="AM6141" s="318"/>
      <c r="AN6141" s="318"/>
      <c r="AO6141" s="318"/>
      <c r="AP6141" s="318"/>
      <c r="AQ6141" s="318"/>
      <c r="AR6141" s="319"/>
    </row>
    <row r="6142" spans="37:44" ht="30" customHeight="1">
      <c r="AK6142" s="318"/>
      <c r="AL6142" s="318"/>
      <c r="AM6142" s="318"/>
      <c r="AN6142" s="318"/>
      <c r="AO6142" s="318"/>
      <c r="AP6142" s="318"/>
      <c r="AQ6142" s="318"/>
      <c r="AR6142" s="319"/>
    </row>
    <row r="6143" spans="37:44" ht="30" customHeight="1">
      <c r="AK6143" s="318"/>
      <c r="AL6143" s="318"/>
      <c r="AM6143" s="318"/>
      <c r="AN6143" s="318"/>
      <c r="AO6143" s="318"/>
      <c r="AP6143" s="318"/>
      <c r="AQ6143" s="318"/>
      <c r="AR6143" s="319"/>
    </row>
    <row r="6144" spans="37:44" ht="30" customHeight="1">
      <c r="AK6144" s="318"/>
      <c r="AL6144" s="318"/>
      <c r="AM6144" s="318"/>
      <c r="AN6144" s="318"/>
      <c r="AO6144" s="318"/>
      <c r="AP6144" s="318"/>
      <c r="AQ6144" s="318"/>
      <c r="AR6144" s="319"/>
    </row>
    <row r="6145" spans="37:44" ht="30" customHeight="1">
      <c r="AK6145" s="318"/>
      <c r="AL6145" s="318"/>
      <c r="AM6145" s="318"/>
      <c r="AN6145" s="318"/>
      <c r="AO6145" s="318"/>
      <c r="AP6145" s="318"/>
      <c r="AQ6145" s="318"/>
      <c r="AR6145" s="319"/>
    </row>
    <row r="6146" spans="37:44" ht="30" customHeight="1">
      <c r="AK6146" s="318"/>
      <c r="AL6146" s="318"/>
      <c r="AM6146" s="318"/>
      <c r="AN6146" s="318"/>
      <c r="AO6146" s="318"/>
      <c r="AP6146" s="318"/>
      <c r="AQ6146" s="318"/>
      <c r="AR6146" s="319"/>
    </row>
    <row r="6147" spans="37:44" ht="30" customHeight="1">
      <c r="AK6147" s="318"/>
      <c r="AL6147" s="318"/>
      <c r="AM6147" s="318"/>
      <c r="AN6147" s="318"/>
      <c r="AO6147" s="318"/>
      <c r="AP6147" s="318"/>
      <c r="AQ6147" s="318"/>
      <c r="AR6147" s="319"/>
    </row>
    <row r="6148" spans="37:44" ht="30" customHeight="1">
      <c r="AK6148" s="318"/>
      <c r="AL6148" s="318"/>
      <c r="AM6148" s="318"/>
      <c r="AN6148" s="318"/>
      <c r="AO6148" s="318"/>
      <c r="AP6148" s="318"/>
      <c r="AQ6148" s="318"/>
      <c r="AR6148" s="319"/>
    </row>
    <row r="6149" spans="37:44" ht="30" customHeight="1">
      <c r="AK6149" s="318"/>
      <c r="AL6149" s="318"/>
      <c r="AM6149" s="318"/>
      <c r="AN6149" s="318"/>
      <c r="AO6149" s="318"/>
      <c r="AP6149" s="318"/>
      <c r="AQ6149" s="318"/>
      <c r="AR6149" s="319"/>
    </row>
    <row r="6150" spans="37:44" ht="30" customHeight="1">
      <c r="AK6150" s="318"/>
      <c r="AL6150" s="318"/>
      <c r="AM6150" s="318"/>
      <c r="AN6150" s="318"/>
      <c r="AO6150" s="318"/>
      <c r="AP6150" s="318"/>
      <c r="AQ6150" s="318"/>
      <c r="AR6150" s="319"/>
    </row>
    <row r="6151" spans="37:44" ht="30" customHeight="1">
      <c r="AK6151" s="318"/>
      <c r="AL6151" s="318"/>
      <c r="AM6151" s="318"/>
      <c r="AN6151" s="318"/>
      <c r="AO6151" s="318"/>
      <c r="AP6151" s="318"/>
      <c r="AQ6151" s="318"/>
      <c r="AR6151" s="319"/>
    </row>
    <row r="6152" spans="37:44" ht="30" customHeight="1">
      <c r="AK6152" s="318"/>
      <c r="AL6152" s="318"/>
      <c r="AM6152" s="318"/>
      <c r="AN6152" s="318"/>
      <c r="AO6152" s="318"/>
      <c r="AP6152" s="318"/>
      <c r="AQ6152" s="318"/>
      <c r="AR6152" s="319"/>
    </row>
    <row r="6153" spans="37:44" ht="30" customHeight="1">
      <c r="AK6153" s="318"/>
      <c r="AL6153" s="318"/>
      <c r="AM6153" s="318"/>
      <c r="AN6153" s="318"/>
      <c r="AO6153" s="318"/>
      <c r="AP6153" s="318"/>
      <c r="AQ6153" s="318"/>
      <c r="AR6153" s="319"/>
    </row>
    <row r="6154" spans="37:44" ht="30" customHeight="1">
      <c r="AK6154" s="318"/>
      <c r="AL6154" s="318"/>
      <c r="AM6154" s="318"/>
      <c r="AN6154" s="318"/>
      <c r="AO6154" s="318"/>
      <c r="AP6154" s="318"/>
      <c r="AQ6154" s="318"/>
      <c r="AR6154" s="319"/>
    </row>
    <row r="6155" spans="37:44" ht="30" customHeight="1">
      <c r="AK6155" s="318"/>
      <c r="AL6155" s="318"/>
      <c r="AM6155" s="318"/>
      <c r="AN6155" s="318"/>
      <c r="AO6155" s="318"/>
      <c r="AP6155" s="318"/>
      <c r="AQ6155" s="318"/>
      <c r="AR6155" s="319"/>
    </row>
    <row r="6156" spans="37:44" ht="30" customHeight="1">
      <c r="AK6156" s="318"/>
      <c r="AL6156" s="318"/>
      <c r="AM6156" s="318"/>
      <c r="AN6156" s="318"/>
      <c r="AO6156" s="318"/>
      <c r="AP6156" s="318"/>
      <c r="AQ6156" s="318"/>
      <c r="AR6156" s="319"/>
    </row>
    <row r="6157" spans="37:44" ht="30" customHeight="1">
      <c r="AK6157" s="318"/>
      <c r="AL6157" s="318"/>
      <c r="AM6157" s="318"/>
      <c r="AN6157" s="318"/>
      <c r="AO6157" s="318"/>
      <c r="AP6157" s="318"/>
      <c r="AQ6157" s="318"/>
      <c r="AR6157" s="319"/>
    </row>
    <row r="6158" spans="37:44" ht="30" customHeight="1">
      <c r="AK6158" s="318"/>
      <c r="AL6158" s="318"/>
      <c r="AM6158" s="318"/>
      <c r="AN6158" s="318"/>
      <c r="AO6158" s="318"/>
      <c r="AP6158" s="318"/>
      <c r="AQ6158" s="318"/>
      <c r="AR6158" s="319"/>
    </row>
    <row r="6159" spans="37:44" ht="30" customHeight="1">
      <c r="AK6159" s="318"/>
      <c r="AL6159" s="318"/>
      <c r="AM6159" s="318"/>
      <c r="AN6159" s="318"/>
      <c r="AO6159" s="318"/>
      <c r="AP6159" s="318"/>
      <c r="AQ6159" s="318"/>
      <c r="AR6159" s="319"/>
    </row>
    <row r="6160" spans="37:44" ht="30" customHeight="1">
      <c r="AK6160" s="318"/>
      <c r="AL6160" s="318"/>
      <c r="AM6160" s="318"/>
      <c r="AN6160" s="318"/>
      <c r="AO6160" s="318"/>
      <c r="AP6160" s="318"/>
      <c r="AQ6160" s="318"/>
      <c r="AR6160" s="319"/>
    </row>
    <row r="6161" spans="37:44" ht="30" customHeight="1">
      <c r="AK6161" s="318"/>
      <c r="AL6161" s="318"/>
      <c r="AM6161" s="318"/>
      <c r="AN6161" s="318"/>
      <c r="AO6161" s="318"/>
      <c r="AP6161" s="318"/>
      <c r="AQ6161" s="318"/>
      <c r="AR6161" s="319"/>
    </row>
    <row r="6162" spans="37:44" ht="30" customHeight="1">
      <c r="AK6162" s="318"/>
      <c r="AL6162" s="318"/>
      <c r="AM6162" s="318"/>
      <c r="AN6162" s="318"/>
      <c r="AO6162" s="318"/>
      <c r="AP6162" s="318"/>
      <c r="AQ6162" s="318"/>
      <c r="AR6162" s="319"/>
    </row>
    <row r="6163" spans="37:44" ht="30" customHeight="1">
      <c r="AK6163" s="318"/>
      <c r="AL6163" s="318"/>
      <c r="AM6163" s="318"/>
      <c r="AN6163" s="318"/>
      <c r="AO6163" s="318"/>
      <c r="AP6163" s="318"/>
      <c r="AQ6163" s="318"/>
      <c r="AR6163" s="319"/>
    </row>
    <row r="6164" spans="37:44" ht="30" customHeight="1">
      <c r="AK6164" s="318"/>
      <c r="AL6164" s="318"/>
      <c r="AM6164" s="318"/>
      <c r="AN6164" s="318"/>
      <c r="AO6164" s="318"/>
      <c r="AP6164" s="318"/>
      <c r="AQ6164" s="318"/>
      <c r="AR6164" s="319"/>
    </row>
    <row r="6165" spans="37:44" ht="30" customHeight="1">
      <c r="AK6165" s="318"/>
      <c r="AL6165" s="318"/>
      <c r="AM6165" s="318"/>
      <c r="AN6165" s="318"/>
      <c r="AO6165" s="318"/>
      <c r="AP6165" s="318"/>
      <c r="AQ6165" s="318"/>
      <c r="AR6165" s="319"/>
    </row>
    <row r="6166" spans="37:44" ht="30" customHeight="1">
      <c r="AK6166" s="318"/>
      <c r="AL6166" s="318"/>
      <c r="AM6166" s="318"/>
      <c r="AN6166" s="318"/>
      <c r="AO6166" s="318"/>
      <c r="AP6166" s="318"/>
      <c r="AQ6166" s="318"/>
      <c r="AR6166" s="319"/>
    </row>
    <row r="6167" spans="37:44" ht="30" customHeight="1">
      <c r="AK6167" s="318"/>
      <c r="AL6167" s="318"/>
      <c r="AM6167" s="318"/>
      <c r="AN6167" s="318"/>
      <c r="AO6167" s="318"/>
      <c r="AP6167" s="318"/>
      <c r="AQ6167" s="318"/>
      <c r="AR6167" s="319"/>
    </row>
    <row r="6168" spans="37:44" ht="30" customHeight="1">
      <c r="AK6168" s="318"/>
      <c r="AL6168" s="318"/>
      <c r="AM6168" s="318"/>
      <c r="AN6168" s="318"/>
      <c r="AO6168" s="318"/>
      <c r="AP6168" s="318"/>
      <c r="AQ6168" s="318"/>
      <c r="AR6168" s="319"/>
    </row>
    <row r="6169" spans="37:44" ht="30" customHeight="1">
      <c r="AK6169" s="318"/>
      <c r="AL6169" s="318"/>
      <c r="AM6169" s="318"/>
      <c r="AN6169" s="318"/>
      <c r="AO6169" s="318"/>
      <c r="AP6169" s="318"/>
      <c r="AQ6169" s="318"/>
      <c r="AR6169" s="319"/>
    </row>
    <row r="6170" spans="37:44" ht="30" customHeight="1">
      <c r="AK6170" s="318"/>
      <c r="AL6170" s="318"/>
      <c r="AM6170" s="318"/>
      <c r="AN6170" s="318"/>
      <c r="AO6170" s="318"/>
      <c r="AP6170" s="318"/>
      <c r="AQ6170" s="318"/>
      <c r="AR6170" s="319"/>
    </row>
    <row r="6171" spans="37:44" ht="30" customHeight="1">
      <c r="AK6171" s="318"/>
      <c r="AL6171" s="318"/>
      <c r="AM6171" s="318"/>
      <c r="AN6171" s="318"/>
      <c r="AO6171" s="318"/>
      <c r="AP6171" s="318"/>
      <c r="AQ6171" s="318"/>
      <c r="AR6171" s="319"/>
    </row>
    <row r="6172" spans="37:44" ht="30" customHeight="1">
      <c r="AK6172" s="318"/>
      <c r="AL6172" s="318"/>
      <c r="AM6172" s="318"/>
      <c r="AN6172" s="318"/>
      <c r="AO6172" s="318"/>
      <c r="AP6172" s="318"/>
      <c r="AQ6172" s="318"/>
      <c r="AR6172" s="319"/>
    </row>
    <row r="6173" spans="37:44" ht="30" customHeight="1">
      <c r="AK6173" s="318"/>
      <c r="AL6173" s="318"/>
      <c r="AM6173" s="318"/>
      <c r="AN6173" s="318"/>
      <c r="AO6173" s="318"/>
      <c r="AP6173" s="318"/>
      <c r="AQ6173" s="318"/>
      <c r="AR6173" s="319"/>
    </row>
    <row r="6174" spans="37:44" ht="30" customHeight="1">
      <c r="AK6174" s="318"/>
      <c r="AL6174" s="318"/>
      <c r="AM6174" s="318"/>
      <c r="AN6174" s="318"/>
      <c r="AO6174" s="318"/>
      <c r="AP6174" s="318"/>
      <c r="AQ6174" s="318"/>
      <c r="AR6174" s="319"/>
    </row>
    <row r="6175" spans="37:44" ht="30" customHeight="1">
      <c r="AK6175" s="318"/>
      <c r="AL6175" s="318"/>
      <c r="AM6175" s="318"/>
      <c r="AN6175" s="318"/>
      <c r="AO6175" s="318"/>
      <c r="AP6175" s="318"/>
      <c r="AQ6175" s="318"/>
      <c r="AR6175" s="319"/>
    </row>
    <row r="6176" spans="37:44" ht="30" customHeight="1">
      <c r="AK6176" s="318"/>
      <c r="AL6176" s="318"/>
      <c r="AM6176" s="318"/>
      <c r="AN6176" s="318"/>
      <c r="AO6176" s="318"/>
      <c r="AP6176" s="318"/>
      <c r="AQ6176" s="318"/>
      <c r="AR6176" s="319"/>
    </row>
    <row r="6177" spans="37:44" ht="30" customHeight="1">
      <c r="AK6177" s="318"/>
      <c r="AL6177" s="318"/>
      <c r="AM6177" s="318"/>
      <c r="AN6177" s="318"/>
      <c r="AO6177" s="318"/>
      <c r="AP6177" s="318"/>
      <c r="AQ6177" s="318"/>
      <c r="AR6177" s="319"/>
    </row>
    <row r="6178" spans="37:44" ht="30" customHeight="1">
      <c r="AK6178" s="318"/>
      <c r="AL6178" s="318"/>
      <c r="AM6178" s="318"/>
      <c r="AN6178" s="318"/>
      <c r="AO6178" s="318"/>
      <c r="AP6178" s="318"/>
      <c r="AQ6178" s="318"/>
      <c r="AR6178" s="319"/>
    </row>
    <row r="6179" spans="37:44" ht="30" customHeight="1">
      <c r="AK6179" s="318"/>
      <c r="AL6179" s="318"/>
      <c r="AM6179" s="318"/>
      <c r="AN6179" s="318"/>
      <c r="AO6179" s="318"/>
      <c r="AP6179" s="318"/>
      <c r="AQ6179" s="318"/>
      <c r="AR6179" s="319"/>
    </row>
    <row r="6180" spans="37:44" ht="30" customHeight="1">
      <c r="AK6180" s="318"/>
      <c r="AL6180" s="318"/>
      <c r="AM6180" s="318"/>
      <c r="AN6180" s="318"/>
      <c r="AO6180" s="318"/>
      <c r="AP6180" s="318"/>
      <c r="AQ6180" s="318"/>
      <c r="AR6180" s="319"/>
    </row>
    <row r="6181" spans="37:44" ht="30" customHeight="1">
      <c r="AK6181" s="318"/>
      <c r="AL6181" s="318"/>
      <c r="AM6181" s="318"/>
      <c r="AN6181" s="318"/>
      <c r="AO6181" s="318"/>
      <c r="AP6181" s="318"/>
      <c r="AQ6181" s="318"/>
      <c r="AR6181" s="319"/>
    </row>
    <row r="6182" spans="37:44" ht="30" customHeight="1">
      <c r="AK6182" s="318"/>
      <c r="AL6182" s="318"/>
      <c r="AM6182" s="318"/>
      <c r="AN6182" s="318"/>
      <c r="AO6182" s="318"/>
      <c r="AP6182" s="318"/>
      <c r="AQ6182" s="318"/>
      <c r="AR6182" s="319"/>
    </row>
    <row r="6183" spans="37:44" ht="30" customHeight="1">
      <c r="AK6183" s="318"/>
      <c r="AL6183" s="318"/>
      <c r="AM6183" s="318"/>
      <c r="AN6183" s="318"/>
      <c r="AO6183" s="318"/>
      <c r="AP6183" s="318"/>
      <c r="AQ6183" s="318"/>
      <c r="AR6183" s="319"/>
    </row>
    <row r="6184" spans="37:44" ht="30" customHeight="1">
      <c r="AK6184" s="318"/>
      <c r="AL6184" s="318"/>
      <c r="AM6184" s="318"/>
      <c r="AN6184" s="318"/>
      <c r="AO6184" s="318"/>
      <c r="AP6184" s="318"/>
      <c r="AQ6184" s="318"/>
      <c r="AR6184" s="319"/>
    </row>
    <row r="6185" spans="37:44" ht="30" customHeight="1">
      <c r="AK6185" s="318"/>
      <c r="AL6185" s="318"/>
      <c r="AM6185" s="318"/>
      <c r="AN6185" s="318"/>
      <c r="AO6185" s="318"/>
      <c r="AP6185" s="318"/>
      <c r="AQ6185" s="318"/>
      <c r="AR6185" s="319"/>
    </row>
    <row r="6186" spans="37:44" ht="30" customHeight="1">
      <c r="AK6186" s="318"/>
      <c r="AL6186" s="318"/>
      <c r="AM6186" s="318"/>
      <c r="AN6186" s="318"/>
      <c r="AO6186" s="318"/>
      <c r="AP6186" s="318"/>
      <c r="AQ6186" s="318"/>
      <c r="AR6186" s="319"/>
    </row>
    <row r="6187" spans="37:44" ht="30" customHeight="1">
      <c r="AK6187" s="318"/>
      <c r="AL6187" s="318"/>
      <c r="AM6187" s="318"/>
      <c r="AN6187" s="318"/>
      <c r="AO6187" s="318"/>
      <c r="AP6187" s="318"/>
      <c r="AQ6187" s="318"/>
      <c r="AR6187" s="319"/>
    </row>
    <row r="6188" spans="37:44" ht="30" customHeight="1">
      <c r="AK6188" s="318"/>
      <c r="AL6188" s="318"/>
      <c r="AM6188" s="318"/>
      <c r="AN6188" s="318"/>
      <c r="AO6188" s="318"/>
      <c r="AP6188" s="318"/>
      <c r="AQ6188" s="318"/>
      <c r="AR6188" s="319"/>
    </row>
    <row r="6189" spans="37:44" ht="30" customHeight="1">
      <c r="AK6189" s="318"/>
      <c r="AL6189" s="318"/>
      <c r="AM6189" s="318"/>
      <c r="AN6189" s="318"/>
      <c r="AO6189" s="318"/>
      <c r="AP6189" s="318"/>
      <c r="AQ6189" s="318"/>
      <c r="AR6189" s="319"/>
    </row>
    <row r="6190" spans="37:44" ht="30" customHeight="1">
      <c r="AK6190" s="318"/>
      <c r="AL6190" s="318"/>
      <c r="AM6190" s="318"/>
      <c r="AN6190" s="318"/>
      <c r="AO6190" s="318"/>
      <c r="AP6190" s="318"/>
      <c r="AQ6190" s="318"/>
      <c r="AR6190" s="319"/>
    </row>
    <row r="6191" spans="37:44" ht="30" customHeight="1">
      <c r="AK6191" s="318"/>
      <c r="AL6191" s="318"/>
      <c r="AM6191" s="318"/>
      <c r="AN6191" s="318"/>
      <c r="AO6191" s="318"/>
      <c r="AP6191" s="318"/>
      <c r="AQ6191" s="318"/>
      <c r="AR6191" s="319"/>
    </row>
    <row r="6192" spans="37:44" ht="30" customHeight="1">
      <c r="AK6192" s="318"/>
      <c r="AL6192" s="318"/>
      <c r="AM6192" s="318"/>
      <c r="AN6192" s="318"/>
      <c r="AO6192" s="318"/>
      <c r="AP6192" s="318"/>
      <c r="AQ6192" s="318"/>
      <c r="AR6192" s="319"/>
    </row>
    <row r="6193" spans="37:44" ht="30" customHeight="1">
      <c r="AK6193" s="318"/>
      <c r="AL6193" s="318"/>
      <c r="AM6193" s="318"/>
      <c r="AN6193" s="318"/>
      <c r="AO6193" s="318"/>
      <c r="AP6193" s="318"/>
      <c r="AQ6193" s="318"/>
      <c r="AR6193" s="319"/>
    </row>
    <row r="6194" spans="37:44" ht="30" customHeight="1">
      <c r="AK6194" s="318"/>
      <c r="AL6194" s="318"/>
      <c r="AM6194" s="318"/>
      <c r="AN6194" s="318"/>
      <c r="AO6194" s="318"/>
      <c r="AP6194" s="318"/>
      <c r="AQ6194" s="318"/>
      <c r="AR6194" s="319"/>
    </row>
    <row r="6195" spans="37:44" ht="30" customHeight="1">
      <c r="AK6195" s="318"/>
      <c r="AL6195" s="318"/>
      <c r="AM6195" s="318"/>
      <c r="AN6195" s="318"/>
      <c r="AO6195" s="318"/>
      <c r="AP6195" s="318"/>
      <c r="AQ6195" s="318"/>
      <c r="AR6195" s="319"/>
    </row>
    <row r="6196" spans="37:44" ht="30" customHeight="1">
      <c r="AK6196" s="318"/>
      <c r="AL6196" s="318"/>
      <c r="AM6196" s="318"/>
      <c r="AN6196" s="318"/>
      <c r="AO6196" s="318"/>
      <c r="AP6196" s="318"/>
      <c r="AQ6196" s="318"/>
      <c r="AR6196" s="319"/>
    </row>
    <row r="6197" spans="37:44" ht="30" customHeight="1">
      <c r="AK6197" s="318"/>
      <c r="AL6197" s="318"/>
      <c r="AM6197" s="318"/>
      <c r="AN6197" s="318"/>
      <c r="AO6197" s="318"/>
      <c r="AP6197" s="318"/>
      <c r="AQ6197" s="318"/>
      <c r="AR6197" s="319"/>
    </row>
    <row r="6198" spans="37:44" ht="30" customHeight="1">
      <c r="AK6198" s="318"/>
      <c r="AL6198" s="318"/>
      <c r="AM6198" s="318"/>
      <c r="AN6198" s="318"/>
      <c r="AO6198" s="318"/>
      <c r="AP6198" s="318"/>
      <c r="AQ6198" s="318"/>
      <c r="AR6198" s="319"/>
    </row>
    <row r="6199" spans="37:44" ht="30" customHeight="1">
      <c r="AK6199" s="318"/>
      <c r="AL6199" s="318"/>
      <c r="AM6199" s="318"/>
      <c r="AN6199" s="318"/>
      <c r="AO6199" s="318"/>
      <c r="AP6199" s="318"/>
      <c r="AQ6199" s="318"/>
      <c r="AR6199" s="319"/>
    </row>
    <row r="6200" spans="37:44" ht="30" customHeight="1">
      <c r="AK6200" s="318"/>
      <c r="AL6200" s="318"/>
      <c r="AM6200" s="318"/>
      <c r="AN6200" s="318"/>
      <c r="AO6200" s="318"/>
      <c r="AP6200" s="318"/>
      <c r="AQ6200" s="318"/>
      <c r="AR6200" s="319"/>
    </row>
    <row r="6201" spans="37:44" ht="30" customHeight="1">
      <c r="AK6201" s="318"/>
      <c r="AL6201" s="318"/>
      <c r="AM6201" s="318"/>
      <c r="AN6201" s="318"/>
      <c r="AO6201" s="318"/>
      <c r="AP6201" s="318"/>
      <c r="AQ6201" s="318"/>
      <c r="AR6201" s="319"/>
    </row>
    <row r="6202" spans="37:44" ht="30" customHeight="1">
      <c r="AK6202" s="318"/>
      <c r="AL6202" s="318"/>
      <c r="AM6202" s="318"/>
      <c r="AN6202" s="318"/>
      <c r="AO6202" s="318"/>
      <c r="AP6202" s="318"/>
      <c r="AQ6202" s="318"/>
      <c r="AR6202" s="319"/>
    </row>
    <row r="6203" spans="37:44" ht="30" customHeight="1">
      <c r="AK6203" s="318"/>
      <c r="AL6203" s="318"/>
      <c r="AM6203" s="318"/>
      <c r="AN6203" s="318"/>
      <c r="AO6203" s="318"/>
      <c r="AP6203" s="318"/>
      <c r="AQ6203" s="318"/>
      <c r="AR6203" s="319"/>
    </row>
    <row r="6204" spans="37:44" ht="30" customHeight="1">
      <c r="AK6204" s="318"/>
      <c r="AL6204" s="318"/>
      <c r="AM6204" s="318"/>
      <c r="AN6204" s="318"/>
      <c r="AO6204" s="318"/>
      <c r="AP6204" s="318"/>
      <c r="AQ6204" s="318"/>
      <c r="AR6204" s="319"/>
    </row>
    <row r="6205" spans="37:44" ht="30" customHeight="1">
      <c r="AK6205" s="318"/>
      <c r="AL6205" s="318"/>
      <c r="AM6205" s="318"/>
      <c r="AN6205" s="318"/>
      <c r="AO6205" s="318"/>
      <c r="AP6205" s="318"/>
      <c r="AQ6205" s="318"/>
      <c r="AR6205" s="319"/>
    </row>
    <row r="6206" spans="37:44" ht="30" customHeight="1">
      <c r="AK6206" s="318"/>
      <c r="AL6206" s="318"/>
      <c r="AM6206" s="318"/>
      <c r="AN6206" s="318"/>
      <c r="AO6206" s="318"/>
      <c r="AP6206" s="318"/>
      <c r="AQ6206" s="318"/>
      <c r="AR6206" s="319"/>
    </row>
    <row r="6207" spans="37:44" ht="30" customHeight="1">
      <c r="AK6207" s="318"/>
      <c r="AL6207" s="318"/>
      <c r="AM6207" s="318"/>
      <c r="AN6207" s="318"/>
      <c r="AO6207" s="318"/>
      <c r="AP6207" s="318"/>
      <c r="AQ6207" s="318"/>
      <c r="AR6207" s="319"/>
    </row>
    <row r="6208" spans="37:44" ht="30" customHeight="1">
      <c r="AK6208" s="318"/>
      <c r="AL6208" s="318"/>
      <c r="AM6208" s="318"/>
      <c r="AN6208" s="318"/>
      <c r="AO6208" s="318"/>
      <c r="AP6208" s="318"/>
      <c r="AQ6208" s="318"/>
      <c r="AR6208" s="319"/>
    </row>
    <row r="6209" spans="37:44" ht="30" customHeight="1">
      <c r="AK6209" s="318"/>
      <c r="AL6209" s="318"/>
      <c r="AM6209" s="318"/>
      <c r="AN6209" s="318"/>
      <c r="AO6209" s="318"/>
      <c r="AP6209" s="318"/>
      <c r="AQ6209" s="318"/>
      <c r="AR6209" s="319"/>
    </row>
    <row r="6210" spans="37:44" ht="30" customHeight="1">
      <c r="AK6210" s="318"/>
      <c r="AL6210" s="318"/>
      <c r="AM6210" s="318"/>
      <c r="AN6210" s="318"/>
      <c r="AO6210" s="318"/>
      <c r="AP6210" s="318"/>
      <c r="AQ6210" s="318"/>
      <c r="AR6210" s="319"/>
    </row>
    <row r="6211" spans="37:44" ht="30" customHeight="1">
      <c r="AK6211" s="318"/>
      <c r="AL6211" s="318"/>
      <c r="AM6211" s="318"/>
      <c r="AN6211" s="318"/>
      <c r="AO6211" s="318"/>
      <c r="AP6211" s="318"/>
      <c r="AQ6211" s="318"/>
      <c r="AR6211" s="319"/>
    </row>
    <row r="6212" spans="37:44" ht="30" customHeight="1">
      <c r="AK6212" s="318"/>
      <c r="AL6212" s="318"/>
      <c r="AM6212" s="318"/>
      <c r="AN6212" s="318"/>
      <c r="AO6212" s="318"/>
      <c r="AP6212" s="318"/>
      <c r="AQ6212" s="318"/>
      <c r="AR6212" s="319"/>
    </row>
    <row r="6213" spans="37:44" ht="30" customHeight="1">
      <c r="AK6213" s="318"/>
      <c r="AL6213" s="318"/>
      <c r="AM6213" s="318"/>
      <c r="AN6213" s="318"/>
      <c r="AO6213" s="318"/>
      <c r="AP6213" s="318"/>
      <c r="AQ6213" s="318"/>
      <c r="AR6213" s="319"/>
    </row>
    <row r="6214" spans="37:44" ht="30" customHeight="1">
      <c r="AK6214" s="318"/>
      <c r="AL6214" s="318"/>
      <c r="AM6214" s="318"/>
      <c r="AN6214" s="318"/>
      <c r="AO6214" s="318"/>
      <c r="AP6214" s="318"/>
      <c r="AQ6214" s="318"/>
      <c r="AR6214" s="319"/>
    </row>
    <row r="6215" spans="37:44" ht="30" customHeight="1">
      <c r="AK6215" s="318"/>
      <c r="AL6215" s="318"/>
      <c r="AM6215" s="318"/>
      <c r="AN6215" s="318"/>
      <c r="AO6215" s="318"/>
      <c r="AP6215" s="318"/>
      <c r="AQ6215" s="318"/>
      <c r="AR6215" s="319"/>
    </row>
    <row r="6216" spans="37:44" ht="30" customHeight="1">
      <c r="AK6216" s="318"/>
      <c r="AL6216" s="318"/>
      <c r="AM6216" s="318"/>
      <c r="AN6216" s="318"/>
      <c r="AO6216" s="318"/>
      <c r="AP6216" s="318"/>
      <c r="AQ6216" s="318"/>
      <c r="AR6216" s="319"/>
    </row>
    <row r="6217" spans="37:44" ht="30" customHeight="1">
      <c r="AK6217" s="318"/>
      <c r="AL6217" s="318"/>
      <c r="AM6217" s="318"/>
      <c r="AN6217" s="318"/>
      <c r="AO6217" s="318"/>
      <c r="AP6217" s="318"/>
      <c r="AQ6217" s="318"/>
      <c r="AR6217" s="319"/>
    </row>
    <row r="6218" spans="37:44" ht="30" customHeight="1">
      <c r="AK6218" s="318"/>
      <c r="AL6218" s="318"/>
      <c r="AM6218" s="318"/>
      <c r="AN6218" s="318"/>
      <c r="AO6218" s="318"/>
      <c r="AP6218" s="318"/>
      <c r="AQ6218" s="318"/>
      <c r="AR6218" s="319"/>
    </row>
    <row r="6219" spans="37:44" ht="30" customHeight="1">
      <c r="AK6219" s="318"/>
      <c r="AL6219" s="318"/>
      <c r="AM6219" s="318"/>
      <c r="AN6219" s="318"/>
      <c r="AO6219" s="318"/>
      <c r="AP6219" s="318"/>
      <c r="AQ6219" s="318"/>
      <c r="AR6219" s="319"/>
    </row>
    <row r="6220" spans="37:44" ht="30" customHeight="1">
      <c r="AK6220" s="318"/>
      <c r="AL6220" s="318"/>
      <c r="AM6220" s="318"/>
      <c r="AN6220" s="318"/>
      <c r="AO6220" s="318"/>
      <c r="AP6220" s="318"/>
      <c r="AQ6220" s="318"/>
      <c r="AR6220" s="319"/>
    </row>
    <row r="6221" spans="37:44" ht="30" customHeight="1">
      <c r="AK6221" s="318"/>
      <c r="AL6221" s="318"/>
      <c r="AM6221" s="318"/>
      <c r="AN6221" s="318"/>
      <c r="AO6221" s="318"/>
      <c r="AP6221" s="318"/>
      <c r="AQ6221" s="318"/>
      <c r="AR6221" s="319"/>
    </row>
    <row r="6222" spans="37:44" ht="30" customHeight="1">
      <c r="AK6222" s="318"/>
      <c r="AL6222" s="318"/>
      <c r="AM6222" s="318"/>
      <c r="AN6222" s="318"/>
      <c r="AO6222" s="318"/>
      <c r="AP6222" s="318"/>
      <c r="AQ6222" s="318"/>
      <c r="AR6222" s="319"/>
    </row>
    <row r="6223" spans="37:44" ht="30" customHeight="1">
      <c r="AK6223" s="318"/>
      <c r="AL6223" s="318"/>
      <c r="AM6223" s="318"/>
      <c r="AN6223" s="318"/>
      <c r="AO6223" s="318"/>
      <c r="AP6223" s="318"/>
      <c r="AQ6223" s="318"/>
      <c r="AR6223" s="319"/>
    </row>
    <row r="6224" spans="37:44" ht="30" customHeight="1">
      <c r="AK6224" s="318"/>
      <c r="AL6224" s="318"/>
      <c r="AM6224" s="318"/>
      <c r="AN6224" s="318"/>
      <c r="AO6224" s="318"/>
      <c r="AP6224" s="318"/>
      <c r="AQ6224" s="318"/>
      <c r="AR6224" s="319"/>
    </row>
    <row r="6225" spans="37:44" ht="30" customHeight="1">
      <c r="AK6225" s="318"/>
      <c r="AL6225" s="318"/>
      <c r="AM6225" s="318"/>
      <c r="AN6225" s="318"/>
      <c r="AO6225" s="318"/>
      <c r="AP6225" s="318"/>
      <c r="AQ6225" s="318"/>
      <c r="AR6225" s="319"/>
    </row>
    <row r="6226" spans="37:44" ht="30" customHeight="1">
      <c r="AK6226" s="318"/>
      <c r="AL6226" s="318"/>
      <c r="AM6226" s="318"/>
      <c r="AN6226" s="318"/>
      <c r="AO6226" s="318"/>
      <c r="AP6226" s="318"/>
      <c r="AQ6226" s="318"/>
      <c r="AR6226" s="319"/>
    </row>
    <row r="6227" spans="37:44" ht="30" customHeight="1">
      <c r="AK6227" s="318"/>
      <c r="AL6227" s="318"/>
      <c r="AM6227" s="318"/>
      <c r="AN6227" s="318"/>
      <c r="AO6227" s="318"/>
      <c r="AP6227" s="318"/>
      <c r="AQ6227" s="318"/>
      <c r="AR6227" s="319"/>
    </row>
    <row r="6228" spans="37:44" ht="30" customHeight="1">
      <c r="AK6228" s="318"/>
      <c r="AL6228" s="318"/>
      <c r="AM6228" s="318"/>
      <c r="AN6228" s="318"/>
      <c r="AO6228" s="318"/>
      <c r="AP6228" s="318"/>
      <c r="AQ6228" s="318"/>
      <c r="AR6228" s="319"/>
    </row>
    <row r="6229" spans="37:44" ht="30" customHeight="1">
      <c r="AK6229" s="318"/>
      <c r="AL6229" s="318"/>
      <c r="AM6229" s="318"/>
      <c r="AN6229" s="318"/>
      <c r="AO6229" s="318"/>
      <c r="AP6229" s="318"/>
      <c r="AQ6229" s="318"/>
      <c r="AR6229" s="319"/>
    </row>
    <row r="6230" spans="37:44" ht="30" customHeight="1">
      <c r="AK6230" s="318"/>
      <c r="AL6230" s="318"/>
      <c r="AM6230" s="318"/>
      <c r="AN6230" s="318"/>
      <c r="AO6230" s="318"/>
      <c r="AP6230" s="318"/>
      <c r="AQ6230" s="318"/>
      <c r="AR6230" s="319"/>
    </row>
    <row r="6231" spans="37:44" ht="30" customHeight="1">
      <c r="AK6231" s="318"/>
      <c r="AL6231" s="318"/>
      <c r="AM6231" s="318"/>
      <c r="AN6231" s="318"/>
      <c r="AO6231" s="318"/>
      <c r="AP6231" s="318"/>
      <c r="AQ6231" s="318"/>
      <c r="AR6231" s="319"/>
    </row>
    <row r="6232" spans="37:44" ht="30" customHeight="1">
      <c r="AK6232" s="318"/>
      <c r="AL6232" s="318"/>
      <c r="AM6232" s="318"/>
      <c r="AN6232" s="318"/>
      <c r="AO6232" s="318"/>
      <c r="AP6232" s="318"/>
      <c r="AQ6232" s="318"/>
      <c r="AR6232" s="319"/>
    </row>
    <row r="6233" spans="37:44" ht="30" customHeight="1">
      <c r="AK6233" s="318"/>
      <c r="AL6233" s="318"/>
      <c r="AM6233" s="318"/>
      <c r="AN6233" s="318"/>
      <c r="AO6233" s="318"/>
      <c r="AP6233" s="318"/>
      <c r="AQ6233" s="318"/>
      <c r="AR6233" s="319"/>
    </row>
    <row r="6234" spans="37:44" ht="30" customHeight="1">
      <c r="AK6234" s="318"/>
      <c r="AL6234" s="318"/>
      <c r="AM6234" s="318"/>
      <c r="AN6234" s="318"/>
      <c r="AO6234" s="318"/>
      <c r="AP6234" s="318"/>
      <c r="AQ6234" s="318"/>
      <c r="AR6234" s="319"/>
    </row>
    <row r="6235" spans="37:44" ht="30" customHeight="1">
      <c r="AK6235" s="318"/>
      <c r="AL6235" s="318"/>
      <c r="AM6235" s="318"/>
      <c r="AN6235" s="318"/>
      <c r="AO6235" s="318"/>
      <c r="AP6235" s="318"/>
      <c r="AQ6235" s="318"/>
      <c r="AR6235" s="319"/>
    </row>
    <row r="6236" spans="37:44" ht="30" customHeight="1">
      <c r="AK6236" s="318"/>
      <c r="AL6236" s="318"/>
      <c r="AM6236" s="318"/>
      <c r="AN6236" s="318"/>
      <c r="AO6236" s="318"/>
      <c r="AP6236" s="318"/>
      <c r="AQ6236" s="318"/>
      <c r="AR6236" s="319"/>
    </row>
    <row r="6237" spans="37:44" ht="30" customHeight="1">
      <c r="AK6237" s="318"/>
      <c r="AL6237" s="318"/>
      <c r="AM6237" s="318"/>
      <c r="AN6237" s="318"/>
      <c r="AO6237" s="318"/>
      <c r="AP6237" s="318"/>
      <c r="AQ6237" s="318"/>
      <c r="AR6237" s="319"/>
    </row>
    <row r="6238" spans="37:44" ht="30" customHeight="1">
      <c r="AK6238" s="318"/>
      <c r="AL6238" s="318"/>
      <c r="AM6238" s="318"/>
      <c r="AN6238" s="318"/>
      <c r="AO6238" s="318"/>
      <c r="AP6238" s="318"/>
      <c r="AQ6238" s="318"/>
      <c r="AR6238" s="319"/>
    </row>
    <row r="6239" spans="37:44" ht="30" customHeight="1">
      <c r="AK6239" s="318"/>
      <c r="AL6239" s="318"/>
      <c r="AM6239" s="318"/>
      <c r="AN6239" s="318"/>
      <c r="AO6239" s="318"/>
      <c r="AP6239" s="318"/>
      <c r="AQ6239" s="318"/>
      <c r="AR6239" s="319"/>
    </row>
    <row r="6240" spans="37:44" ht="30" customHeight="1">
      <c r="AK6240" s="318"/>
      <c r="AL6240" s="318"/>
      <c r="AM6240" s="318"/>
      <c r="AN6240" s="318"/>
      <c r="AO6240" s="318"/>
      <c r="AP6240" s="318"/>
      <c r="AQ6240" s="318"/>
      <c r="AR6240" s="319"/>
    </row>
    <row r="6241" spans="37:44" ht="30" customHeight="1">
      <c r="AK6241" s="318"/>
      <c r="AL6241" s="318"/>
      <c r="AM6241" s="318"/>
      <c r="AN6241" s="318"/>
      <c r="AO6241" s="318"/>
      <c r="AP6241" s="318"/>
      <c r="AQ6241" s="318"/>
      <c r="AR6241" s="319"/>
    </row>
    <row r="6242" spans="37:44" ht="30" customHeight="1">
      <c r="AK6242" s="318"/>
      <c r="AL6242" s="318"/>
      <c r="AM6242" s="318"/>
      <c r="AN6242" s="318"/>
      <c r="AO6242" s="318"/>
      <c r="AP6242" s="318"/>
      <c r="AQ6242" s="318"/>
      <c r="AR6242" s="319"/>
    </row>
    <row r="6243" spans="37:44" ht="30" customHeight="1">
      <c r="AK6243" s="318"/>
      <c r="AL6243" s="318"/>
      <c r="AM6243" s="318"/>
      <c r="AN6243" s="318"/>
      <c r="AO6243" s="318"/>
      <c r="AP6243" s="318"/>
      <c r="AQ6243" s="318"/>
      <c r="AR6243" s="319"/>
    </row>
    <row r="6244" spans="37:44" ht="30" customHeight="1">
      <c r="AK6244" s="318"/>
      <c r="AL6244" s="318"/>
      <c r="AM6244" s="318"/>
      <c r="AN6244" s="318"/>
      <c r="AO6244" s="318"/>
      <c r="AP6244" s="318"/>
      <c r="AQ6244" s="318"/>
      <c r="AR6244" s="319"/>
    </row>
    <row r="6245" spans="37:44" ht="30" customHeight="1">
      <c r="AK6245" s="318"/>
      <c r="AL6245" s="318"/>
      <c r="AM6245" s="318"/>
      <c r="AN6245" s="318"/>
      <c r="AO6245" s="318"/>
      <c r="AP6245" s="318"/>
      <c r="AQ6245" s="318"/>
      <c r="AR6245" s="319"/>
    </row>
    <row r="6246" spans="37:44" ht="30" customHeight="1">
      <c r="AK6246" s="318"/>
      <c r="AL6246" s="318"/>
      <c r="AM6246" s="318"/>
      <c r="AN6246" s="318"/>
      <c r="AO6246" s="318"/>
      <c r="AP6246" s="318"/>
      <c r="AQ6246" s="318"/>
      <c r="AR6246" s="319"/>
    </row>
    <row r="6247" spans="37:44" ht="30" customHeight="1">
      <c r="AK6247" s="318"/>
      <c r="AL6247" s="318"/>
      <c r="AM6247" s="318"/>
      <c r="AN6247" s="318"/>
      <c r="AO6247" s="318"/>
      <c r="AP6247" s="318"/>
      <c r="AQ6247" s="318"/>
      <c r="AR6247" s="319"/>
    </row>
    <row r="6248" spans="37:44" ht="30" customHeight="1">
      <c r="AK6248" s="318"/>
      <c r="AL6248" s="318"/>
      <c r="AM6248" s="318"/>
      <c r="AN6248" s="318"/>
      <c r="AO6248" s="318"/>
      <c r="AP6248" s="318"/>
      <c r="AQ6248" s="318"/>
      <c r="AR6248" s="319"/>
    </row>
    <row r="6249" spans="37:44" ht="30" customHeight="1">
      <c r="AK6249" s="318"/>
      <c r="AL6249" s="318"/>
      <c r="AM6249" s="318"/>
      <c r="AN6249" s="318"/>
      <c r="AO6249" s="318"/>
      <c r="AP6249" s="318"/>
      <c r="AQ6249" s="318"/>
      <c r="AR6249" s="319"/>
    </row>
    <row r="6250" spans="37:44" ht="30" customHeight="1">
      <c r="AK6250" s="318"/>
      <c r="AL6250" s="318"/>
      <c r="AM6250" s="318"/>
      <c r="AN6250" s="318"/>
      <c r="AO6250" s="318"/>
      <c r="AP6250" s="318"/>
      <c r="AQ6250" s="318"/>
      <c r="AR6250" s="319"/>
    </row>
    <row r="6251" spans="37:44" ht="30" customHeight="1">
      <c r="AK6251" s="318"/>
      <c r="AL6251" s="318"/>
      <c r="AM6251" s="318"/>
      <c r="AN6251" s="318"/>
      <c r="AO6251" s="318"/>
      <c r="AP6251" s="318"/>
      <c r="AQ6251" s="318"/>
      <c r="AR6251" s="319"/>
    </row>
    <row r="6252" spans="37:44" ht="30" customHeight="1">
      <c r="AK6252" s="318"/>
      <c r="AL6252" s="318"/>
      <c r="AM6252" s="318"/>
      <c r="AN6252" s="318"/>
      <c r="AO6252" s="318"/>
      <c r="AP6252" s="318"/>
      <c r="AQ6252" s="318"/>
      <c r="AR6252" s="319"/>
    </row>
    <row r="6253" spans="37:44" ht="30" customHeight="1">
      <c r="AK6253" s="318"/>
      <c r="AL6253" s="318"/>
      <c r="AM6253" s="318"/>
      <c r="AN6253" s="318"/>
      <c r="AO6253" s="318"/>
      <c r="AP6253" s="318"/>
      <c r="AQ6253" s="318"/>
      <c r="AR6253" s="319"/>
    </row>
    <row r="6254" spans="37:44" ht="30" customHeight="1">
      <c r="AK6254" s="318"/>
      <c r="AL6254" s="318"/>
      <c r="AM6254" s="318"/>
      <c r="AN6254" s="318"/>
      <c r="AO6254" s="318"/>
      <c r="AP6254" s="318"/>
      <c r="AQ6254" s="318"/>
      <c r="AR6254" s="319"/>
    </row>
    <row r="6255" spans="37:44" ht="30" customHeight="1">
      <c r="AK6255" s="318"/>
      <c r="AL6255" s="318"/>
      <c r="AM6255" s="318"/>
      <c r="AN6255" s="318"/>
      <c r="AO6255" s="318"/>
      <c r="AP6255" s="318"/>
      <c r="AQ6255" s="318"/>
      <c r="AR6255" s="319"/>
    </row>
    <row r="6256" spans="37:44" ht="30" customHeight="1">
      <c r="AK6256" s="318"/>
      <c r="AL6256" s="318"/>
      <c r="AM6256" s="318"/>
      <c r="AN6256" s="318"/>
      <c r="AO6256" s="318"/>
      <c r="AP6256" s="318"/>
      <c r="AQ6256" s="318"/>
      <c r="AR6256" s="319"/>
    </row>
    <row r="6257" spans="37:44" ht="30" customHeight="1">
      <c r="AK6257" s="318"/>
      <c r="AL6257" s="318"/>
      <c r="AM6257" s="318"/>
      <c r="AN6257" s="318"/>
      <c r="AO6257" s="318"/>
      <c r="AP6257" s="318"/>
      <c r="AQ6257" s="318"/>
      <c r="AR6257" s="319"/>
    </row>
    <row r="6258" spans="37:44" ht="30" customHeight="1">
      <c r="AK6258" s="318"/>
      <c r="AL6258" s="318"/>
      <c r="AM6258" s="318"/>
      <c r="AN6258" s="318"/>
      <c r="AO6258" s="318"/>
      <c r="AP6258" s="318"/>
      <c r="AQ6258" s="318"/>
      <c r="AR6258" s="319"/>
    </row>
    <row r="6259" spans="37:44" ht="30" customHeight="1">
      <c r="AK6259" s="318"/>
      <c r="AL6259" s="318"/>
      <c r="AM6259" s="318"/>
      <c r="AN6259" s="318"/>
      <c r="AO6259" s="318"/>
      <c r="AP6259" s="318"/>
      <c r="AQ6259" s="318"/>
      <c r="AR6259" s="319"/>
    </row>
    <row r="6260" spans="37:44" ht="30" customHeight="1">
      <c r="AK6260" s="318"/>
      <c r="AL6260" s="318"/>
      <c r="AM6260" s="318"/>
      <c r="AN6260" s="318"/>
      <c r="AO6260" s="318"/>
      <c r="AP6260" s="318"/>
      <c r="AQ6260" s="318"/>
      <c r="AR6260" s="319"/>
    </row>
    <row r="6261" spans="37:44" ht="30" customHeight="1">
      <c r="AK6261" s="318"/>
      <c r="AL6261" s="318"/>
      <c r="AM6261" s="318"/>
      <c r="AN6261" s="318"/>
      <c r="AO6261" s="318"/>
      <c r="AP6261" s="318"/>
      <c r="AQ6261" s="318"/>
      <c r="AR6261" s="319"/>
    </row>
    <row r="6262" spans="37:44" ht="30" customHeight="1">
      <c r="AK6262" s="318"/>
      <c r="AL6262" s="318"/>
      <c r="AM6262" s="318"/>
      <c r="AN6262" s="318"/>
      <c r="AO6262" s="318"/>
      <c r="AP6262" s="318"/>
      <c r="AQ6262" s="318"/>
      <c r="AR6262" s="319"/>
    </row>
    <row r="6263" spans="37:44" ht="30" customHeight="1">
      <c r="AK6263" s="318"/>
      <c r="AL6263" s="318"/>
      <c r="AM6263" s="318"/>
      <c r="AN6263" s="318"/>
      <c r="AO6263" s="318"/>
      <c r="AP6263" s="318"/>
      <c r="AQ6263" s="318"/>
      <c r="AR6263" s="319"/>
    </row>
    <row r="6264" spans="37:44" ht="30" customHeight="1">
      <c r="AK6264" s="318"/>
      <c r="AL6264" s="318"/>
      <c r="AM6264" s="318"/>
      <c r="AN6264" s="318"/>
      <c r="AO6264" s="318"/>
      <c r="AP6264" s="318"/>
      <c r="AQ6264" s="318"/>
      <c r="AR6264" s="319"/>
    </row>
    <row r="6265" spans="37:44" ht="30" customHeight="1">
      <c r="AK6265" s="318"/>
      <c r="AL6265" s="318"/>
      <c r="AM6265" s="318"/>
      <c r="AN6265" s="318"/>
      <c r="AO6265" s="318"/>
      <c r="AP6265" s="318"/>
      <c r="AQ6265" s="318"/>
      <c r="AR6265" s="319"/>
    </row>
    <row r="6266" spans="37:44" ht="30" customHeight="1">
      <c r="AK6266" s="318"/>
      <c r="AL6266" s="318"/>
      <c r="AM6266" s="318"/>
      <c r="AN6266" s="318"/>
      <c r="AO6266" s="318"/>
      <c r="AP6266" s="318"/>
      <c r="AQ6266" s="318"/>
      <c r="AR6266" s="319"/>
    </row>
    <row r="6267" spans="37:44" ht="30" customHeight="1">
      <c r="AK6267" s="318"/>
      <c r="AL6267" s="318"/>
      <c r="AM6267" s="318"/>
      <c r="AN6267" s="318"/>
      <c r="AO6267" s="318"/>
      <c r="AP6267" s="318"/>
      <c r="AQ6267" s="318"/>
      <c r="AR6267" s="319"/>
    </row>
    <row r="6268" spans="37:44" ht="30" customHeight="1">
      <c r="AK6268" s="318"/>
      <c r="AL6268" s="318"/>
      <c r="AM6268" s="318"/>
      <c r="AN6268" s="318"/>
      <c r="AO6268" s="318"/>
      <c r="AP6268" s="318"/>
      <c r="AQ6268" s="318"/>
      <c r="AR6268" s="319"/>
    </row>
    <row r="6269" spans="37:44" ht="30" customHeight="1">
      <c r="AK6269" s="318"/>
      <c r="AL6269" s="318"/>
      <c r="AM6269" s="318"/>
      <c r="AN6269" s="318"/>
      <c r="AO6269" s="318"/>
      <c r="AP6269" s="318"/>
      <c r="AQ6269" s="318"/>
      <c r="AR6269" s="319"/>
    </row>
    <row r="6270" spans="37:44" ht="30" customHeight="1">
      <c r="AK6270" s="318"/>
      <c r="AL6270" s="318"/>
      <c r="AM6270" s="318"/>
      <c r="AN6270" s="318"/>
      <c r="AO6270" s="318"/>
      <c r="AP6270" s="318"/>
      <c r="AQ6270" s="318"/>
      <c r="AR6270" s="319"/>
    </row>
    <row r="6271" spans="37:44" ht="30" customHeight="1">
      <c r="AK6271" s="318"/>
      <c r="AL6271" s="318"/>
      <c r="AM6271" s="318"/>
      <c r="AN6271" s="318"/>
      <c r="AO6271" s="318"/>
      <c r="AP6271" s="318"/>
      <c r="AQ6271" s="318"/>
      <c r="AR6271" s="319"/>
    </row>
    <row r="6272" spans="37:44" ht="30" customHeight="1">
      <c r="AK6272" s="318"/>
      <c r="AL6272" s="318"/>
      <c r="AM6272" s="318"/>
      <c r="AN6272" s="318"/>
      <c r="AO6272" s="318"/>
      <c r="AP6272" s="318"/>
      <c r="AQ6272" s="318"/>
      <c r="AR6272" s="319"/>
    </row>
    <row r="6273" spans="37:44" ht="30" customHeight="1">
      <c r="AK6273" s="318"/>
      <c r="AL6273" s="318"/>
      <c r="AM6273" s="318"/>
      <c r="AN6273" s="318"/>
      <c r="AO6273" s="318"/>
      <c r="AP6273" s="318"/>
      <c r="AQ6273" s="318"/>
      <c r="AR6273" s="319"/>
    </row>
    <row r="6274" spans="37:44" ht="30" customHeight="1">
      <c r="AK6274" s="318"/>
      <c r="AL6274" s="318"/>
      <c r="AM6274" s="318"/>
      <c r="AN6274" s="318"/>
      <c r="AO6274" s="318"/>
      <c r="AP6274" s="318"/>
      <c r="AQ6274" s="318"/>
      <c r="AR6274" s="319"/>
    </row>
    <row r="6275" spans="37:44" ht="30" customHeight="1">
      <c r="AK6275" s="318"/>
      <c r="AL6275" s="318"/>
      <c r="AM6275" s="318"/>
      <c r="AN6275" s="318"/>
      <c r="AO6275" s="318"/>
      <c r="AP6275" s="318"/>
      <c r="AQ6275" s="318"/>
      <c r="AR6275" s="319"/>
    </row>
    <row r="6276" spans="37:44" ht="30" customHeight="1">
      <c r="AK6276" s="318"/>
      <c r="AL6276" s="318"/>
      <c r="AM6276" s="318"/>
      <c r="AN6276" s="318"/>
      <c r="AO6276" s="318"/>
      <c r="AP6276" s="318"/>
      <c r="AQ6276" s="318"/>
      <c r="AR6276" s="319"/>
    </row>
    <row r="6277" spans="37:44" ht="30" customHeight="1">
      <c r="AK6277" s="318"/>
      <c r="AL6277" s="318"/>
      <c r="AM6277" s="318"/>
      <c r="AN6277" s="318"/>
      <c r="AO6277" s="318"/>
      <c r="AP6277" s="318"/>
      <c r="AQ6277" s="318"/>
      <c r="AR6277" s="319"/>
    </row>
    <row r="6278" spans="37:44" ht="30" customHeight="1">
      <c r="AK6278" s="318"/>
      <c r="AL6278" s="318"/>
      <c r="AM6278" s="318"/>
      <c r="AN6278" s="318"/>
      <c r="AO6278" s="318"/>
      <c r="AP6278" s="318"/>
      <c r="AQ6278" s="318"/>
      <c r="AR6278" s="319"/>
    </row>
    <row r="6279" spans="37:44" ht="30" customHeight="1">
      <c r="AK6279" s="318"/>
      <c r="AL6279" s="318"/>
      <c r="AM6279" s="318"/>
      <c r="AN6279" s="318"/>
      <c r="AO6279" s="318"/>
      <c r="AP6279" s="318"/>
      <c r="AQ6279" s="318"/>
      <c r="AR6279" s="319"/>
    </row>
    <row r="6280" spans="37:44" ht="30" customHeight="1">
      <c r="AK6280" s="318"/>
      <c r="AL6280" s="318"/>
      <c r="AM6280" s="318"/>
      <c r="AN6280" s="318"/>
      <c r="AO6280" s="318"/>
      <c r="AP6280" s="318"/>
      <c r="AQ6280" s="318"/>
      <c r="AR6280" s="319"/>
    </row>
    <row r="6281" spans="37:44" ht="30" customHeight="1">
      <c r="AK6281" s="318"/>
      <c r="AL6281" s="318"/>
      <c r="AM6281" s="318"/>
      <c r="AN6281" s="318"/>
      <c r="AO6281" s="318"/>
      <c r="AP6281" s="318"/>
      <c r="AQ6281" s="318"/>
      <c r="AR6281" s="319"/>
    </row>
    <row r="6282" spans="37:44" ht="30" customHeight="1">
      <c r="AK6282" s="318"/>
      <c r="AL6282" s="318"/>
      <c r="AM6282" s="318"/>
      <c r="AN6282" s="318"/>
      <c r="AO6282" s="318"/>
      <c r="AP6282" s="318"/>
      <c r="AQ6282" s="318"/>
      <c r="AR6282" s="319"/>
    </row>
    <row r="6283" spans="37:44" ht="30" customHeight="1">
      <c r="AK6283" s="318"/>
      <c r="AL6283" s="318"/>
      <c r="AM6283" s="318"/>
      <c r="AN6283" s="318"/>
      <c r="AO6283" s="318"/>
      <c r="AP6283" s="318"/>
      <c r="AQ6283" s="318"/>
      <c r="AR6283" s="319"/>
    </row>
    <row r="6284" spans="37:44" ht="30" customHeight="1">
      <c r="AK6284" s="318"/>
      <c r="AL6284" s="318"/>
      <c r="AM6284" s="318"/>
      <c r="AN6284" s="318"/>
      <c r="AO6284" s="318"/>
      <c r="AP6284" s="318"/>
      <c r="AQ6284" s="318"/>
      <c r="AR6284" s="319"/>
    </row>
    <row r="6285" spans="37:44" ht="30" customHeight="1">
      <c r="AK6285" s="318"/>
      <c r="AL6285" s="318"/>
      <c r="AM6285" s="318"/>
      <c r="AN6285" s="318"/>
      <c r="AO6285" s="318"/>
      <c r="AP6285" s="318"/>
      <c r="AQ6285" s="318"/>
      <c r="AR6285" s="319"/>
    </row>
    <row r="6286" spans="37:44" ht="30" customHeight="1">
      <c r="AK6286" s="318"/>
      <c r="AL6286" s="318"/>
      <c r="AM6286" s="318"/>
      <c r="AN6286" s="318"/>
      <c r="AO6286" s="318"/>
      <c r="AP6286" s="318"/>
      <c r="AQ6286" s="318"/>
      <c r="AR6286" s="319"/>
    </row>
    <row r="6287" spans="37:44" ht="30" customHeight="1">
      <c r="AK6287" s="318"/>
      <c r="AL6287" s="318"/>
      <c r="AM6287" s="318"/>
      <c r="AN6287" s="318"/>
      <c r="AO6287" s="318"/>
      <c r="AP6287" s="318"/>
      <c r="AQ6287" s="318"/>
      <c r="AR6287" s="319"/>
    </row>
    <row r="6288" spans="37:44" ht="30" customHeight="1">
      <c r="AK6288" s="318"/>
      <c r="AL6288" s="318"/>
      <c r="AM6288" s="318"/>
      <c r="AN6288" s="318"/>
      <c r="AO6288" s="318"/>
      <c r="AP6288" s="318"/>
      <c r="AQ6288" s="318"/>
      <c r="AR6288" s="319"/>
    </row>
    <row r="6289" spans="37:44" ht="30" customHeight="1">
      <c r="AK6289" s="318"/>
      <c r="AL6289" s="318"/>
      <c r="AM6289" s="318"/>
      <c r="AN6289" s="318"/>
      <c r="AO6289" s="318"/>
      <c r="AP6289" s="318"/>
      <c r="AQ6289" s="318"/>
      <c r="AR6289" s="319"/>
    </row>
    <row r="6290" spans="37:44" ht="30" customHeight="1">
      <c r="AK6290" s="318"/>
      <c r="AL6290" s="318"/>
      <c r="AM6290" s="318"/>
      <c r="AN6290" s="318"/>
      <c r="AO6290" s="318"/>
      <c r="AP6290" s="318"/>
      <c r="AQ6290" s="318"/>
      <c r="AR6290" s="319"/>
    </row>
    <row r="6291" spans="37:44" ht="30" customHeight="1">
      <c r="AK6291" s="318"/>
      <c r="AL6291" s="318"/>
      <c r="AM6291" s="318"/>
      <c r="AN6291" s="318"/>
      <c r="AO6291" s="318"/>
      <c r="AP6291" s="318"/>
      <c r="AQ6291" s="318"/>
      <c r="AR6291" s="319"/>
    </row>
    <row r="6292" spans="37:44" ht="30" customHeight="1">
      <c r="AK6292" s="318"/>
      <c r="AL6292" s="318"/>
      <c r="AM6292" s="318"/>
      <c r="AN6292" s="318"/>
      <c r="AO6292" s="318"/>
      <c r="AP6292" s="318"/>
      <c r="AQ6292" s="318"/>
      <c r="AR6292" s="319"/>
    </row>
    <row r="6293" spans="37:44" ht="30" customHeight="1">
      <c r="AK6293" s="318"/>
      <c r="AL6293" s="318"/>
      <c r="AM6293" s="318"/>
      <c r="AN6293" s="318"/>
      <c r="AO6293" s="318"/>
      <c r="AP6293" s="318"/>
      <c r="AQ6293" s="318"/>
      <c r="AR6293" s="319"/>
    </row>
    <row r="6294" spans="37:44" ht="30" customHeight="1">
      <c r="AK6294" s="318"/>
      <c r="AL6294" s="318"/>
      <c r="AM6294" s="318"/>
      <c r="AN6294" s="318"/>
      <c r="AO6294" s="318"/>
      <c r="AP6294" s="318"/>
      <c r="AQ6294" s="318"/>
      <c r="AR6294" s="319"/>
    </row>
    <row r="6295" spans="37:44" ht="30" customHeight="1">
      <c r="AK6295" s="318"/>
      <c r="AL6295" s="318"/>
      <c r="AM6295" s="318"/>
      <c r="AN6295" s="318"/>
      <c r="AO6295" s="318"/>
      <c r="AP6295" s="318"/>
      <c r="AQ6295" s="318"/>
      <c r="AR6295" s="319"/>
    </row>
    <row r="6296" spans="37:44" ht="30" customHeight="1">
      <c r="AK6296" s="318"/>
      <c r="AL6296" s="318"/>
      <c r="AM6296" s="318"/>
      <c r="AN6296" s="318"/>
      <c r="AO6296" s="318"/>
      <c r="AP6296" s="318"/>
      <c r="AQ6296" s="318"/>
      <c r="AR6296" s="319"/>
    </row>
    <row r="6297" spans="37:44" ht="30" customHeight="1">
      <c r="AK6297" s="318"/>
      <c r="AL6297" s="318"/>
      <c r="AM6297" s="318"/>
      <c r="AN6297" s="318"/>
      <c r="AO6297" s="318"/>
      <c r="AP6297" s="318"/>
      <c r="AQ6297" s="318"/>
      <c r="AR6297" s="319"/>
    </row>
    <row r="6298" spans="37:44" ht="30" customHeight="1">
      <c r="AK6298" s="318"/>
      <c r="AL6298" s="318"/>
      <c r="AM6298" s="318"/>
      <c r="AN6298" s="318"/>
      <c r="AO6298" s="318"/>
      <c r="AP6298" s="318"/>
      <c r="AQ6298" s="318"/>
      <c r="AR6298" s="319"/>
    </row>
    <row r="6299" spans="37:44" ht="30" customHeight="1">
      <c r="AK6299" s="318"/>
      <c r="AL6299" s="318"/>
      <c r="AM6299" s="318"/>
      <c r="AN6299" s="318"/>
      <c r="AO6299" s="318"/>
      <c r="AP6299" s="318"/>
      <c r="AQ6299" s="318"/>
      <c r="AR6299" s="319"/>
    </row>
    <row r="6300" spans="37:44" ht="30" customHeight="1">
      <c r="AK6300" s="318"/>
      <c r="AL6300" s="318"/>
      <c r="AM6300" s="318"/>
      <c r="AN6300" s="318"/>
      <c r="AO6300" s="318"/>
      <c r="AP6300" s="318"/>
      <c r="AQ6300" s="318"/>
      <c r="AR6300" s="319"/>
    </row>
    <row r="6301" spans="37:44" ht="30" customHeight="1">
      <c r="AK6301" s="318"/>
      <c r="AL6301" s="318"/>
      <c r="AM6301" s="318"/>
      <c r="AN6301" s="318"/>
      <c r="AO6301" s="318"/>
      <c r="AP6301" s="318"/>
      <c r="AQ6301" s="318"/>
      <c r="AR6301" s="319"/>
    </row>
    <row r="6302" spans="37:44" ht="30" customHeight="1">
      <c r="AK6302" s="318"/>
      <c r="AL6302" s="318"/>
      <c r="AM6302" s="318"/>
      <c r="AN6302" s="318"/>
      <c r="AO6302" s="318"/>
      <c r="AP6302" s="318"/>
      <c r="AQ6302" s="318"/>
      <c r="AR6302" s="319"/>
    </row>
    <row r="6303" spans="37:44" ht="30" customHeight="1">
      <c r="AK6303" s="318"/>
      <c r="AL6303" s="318"/>
      <c r="AM6303" s="318"/>
      <c r="AN6303" s="318"/>
      <c r="AO6303" s="318"/>
      <c r="AP6303" s="318"/>
      <c r="AQ6303" s="318"/>
      <c r="AR6303" s="319"/>
    </row>
    <row r="6304" spans="37:44" ht="30" customHeight="1">
      <c r="AK6304" s="318"/>
      <c r="AL6304" s="318"/>
      <c r="AM6304" s="318"/>
      <c r="AN6304" s="318"/>
      <c r="AO6304" s="318"/>
      <c r="AP6304" s="318"/>
      <c r="AQ6304" s="318"/>
      <c r="AR6304" s="319"/>
    </row>
    <row r="6305" spans="37:44" ht="30" customHeight="1">
      <c r="AK6305" s="318"/>
      <c r="AL6305" s="318"/>
      <c r="AM6305" s="318"/>
      <c r="AN6305" s="318"/>
      <c r="AO6305" s="318"/>
      <c r="AP6305" s="318"/>
      <c r="AQ6305" s="318"/>
      <c r="AR6305" s="319"/>
    </row>
    <row r="6306" spans="37:44" ht="30" customHeight="1">
      <c r="AK6306" s="318"/>
      <c r="AL6306" s="318"/>
      <c r="AM6306" s="318"/>
      <c r="AN6306" s="318"/>
      <c r="AO6306" s="318"/>
      <c r="AP6306" s="318"/>
      <c r="AQ6306" s="318"/>
      <c r="AR6306" s="319"/>
    </row>
    <row r="6307" spans="37:44" ht="30" customHeight="1">
      <c r="AK6307" s="318"/>
      <c r="AL6307" s="318"/>
      <c r="AM6307" s="318"/>
      <c r="AN6307" s="318"/>
      <c r="AO6307" s="318"/>
      <c r="AP6307" s="318"/>
      <c r="AQ6307" s="318"/>
      <c r="AR6307" s="319"/>
    </row>
    <row r="6308" spans="37:44" ht="30" customHeight="1">
      <c r="AK6308" s="318"/>
      <c r="AL6308" s="318"/>
      <c r="AM6308" s="318"/>
      <c r="AN6308" s="318"/>
      <c r="AO6308" s="318"/>
      <c r="AP6308" s="318"/>
      <c r="AQ6308" s="318"/>
      <c r="AR6308" s="319"/>
    </row>
    <row r="6309" spans="37:44" ht="30" customHeight="1">
      <c r="AK6309" s="318"/>
      <c r="AL6309" s="318"/>
      <c r="AM6309" s="318"/>
      <c r="AN6309" s="318"/>
      <c r="AO6309" s="318"/>
      <c r="AP6309" s="318"/>
      <c r="AQ6309" s="318"/>
      <c r="AR6309" s="319"/>
    </row>
    <row r="6310" spans="37:44" ht="30" customHeight="1">
      <c r="AK6310" s="318"/>
      <c r="AL6310" s="318"/>
      <c r="AM6310" s="318"/>
      <c r="AN6310" s="318"/>
      <c r="AO6310" s="318"/>
      <c r="AP6310" s="318"/>
      <c r="AQ6310" s="318"/>
      <c r="AR6310" s="319"/>
    </row>
    <row r="6311" spans="37:44" ht="30" customHeight="1">
      <c r="AK6311" s="318"/>
      <c r="AL6311" s="318"/>
      <c r="AM6311" s="318"/>
      <c r="AN6311" s="318"/>
      <c r="AO6311" s="318"/>
      <c r="AP6311" s="318"/>
      <c r="AQ6311" s="318"/>
      <c r="AR6311" s="319"/>
    </row>
    <row r="6312" spans="37:44" ht="30" customHeight="1">
      <c r="AK6312" s="318"/>
      <c r="AL6312" s="318"/>
      <c r="AM6312" s="318"/>
      <c r="AN6312" s="318"/>
      <c r="AO6312" s="318"/>
      <c r="AP6312" s="318"/>
      <c r="AQ6312" s="318"/>
      <c r="AR6312" s="319"/>
    </row>
    <row r="6313" spans="37:44" ht="30" customHeight="1">
      <c r="AK6313" s="318"/>
      <c r="AL6313" s="318"/>
      <c r="AM6313" s="318"/>
      <c r="AN6313" s="318"/>
      <c r="AO6313" s="318"/>
      <c r="AP6313" s="318"/>
      <c r="AQ6313" s="318"/>
      <c r="AR6313" s="319"/>
    </row>
    <row r="6314" spans="37:44" ht="30" customHeight="1">
      <c r="AK6314" s="318"/>
      <c r="AL6314" s="318"/>
      <c r="AM6314" s="318"/>
      <c r="AN6314" s="318"/>
      <c r="AO6314" s="318"/>
      <c r="AP6314" s="318"/>
      <c r="AQ6314" s="318"/>
      <c r="AR6314" s="319"/>
    </row>
    <row r="6315" spans="37:44" ht="30" customHeight="1">
      <c r="AK6315" s="318"/>
      <c r="AL6315" s="318"/>
      <c r="AM6315" s="318"/>
      <c r="AN6315" s="318"/>
      <c r="AO6315" s="318"/>
      <c r="AP6315" s="318"/>
      <c r="AQ6315" s="318"/>
      <c r="AR6315" s="319"/>
    </row>
    <row r="6316" spans="37:44" ht="30" customHeight="1">
      <c r="AK6316" s="318"/>
      <c r="AL6316" s="318"/>
      <c r="AM6316" s="318"/>
      <c r="AN6316" s="318"/>
      <c r="AO6316" s="318"/>
      <c r="AP6316" s="318"/>
      <c r="AQ6316" s="318"/>
      <c r="AR6316" s="319"/>
    </row>
    <row r="6317" spans="37:44" ht="30" customHeight="1">
      <c r="AK6317" s="318"/>
      <c r="AL6317" s="318"/>
      <c r="AM6317" s="318"/>
      <c r="AN6317" s="318"/>
      <c r="AO6317" s="318"/>
      <c r="AP6317" s="318"/>
      <c r="AQ6317" s="318"/>
      <c r="AR6317" s="319"/>
    </row>
    <row r="6318" spans="37:44" ht="30" customHeight="1">
      <c r="AK6318" s="318"/>
      <c r="AL6318" s="318"/>
      <c r="AM6318" s="318"/>
      <c r="AN6318" s="318"/>
      <c r="AO6318" s="318"/>
      <c r="AP6318" s="318"/>
      <c r="AQ6318" s="318"/>
      <c r="AR6318" s="319"/>
    </row>
    <row r="6319" spans="37:44" ht="30" customHeight="1">
      <c r="AK6319" s="318"/>
      <c r="AL6319" s="318"/>
      <c r="AM6319" s="318"/>
      <c r="AN6319" s="318"/>
      <c r="AO6319" s="318"/>
      <c r="AP6319" s="318"/>
      <c r="AQ6319" s="318"/>
      <c r="AR6319" s="319"/>
    </row>
    <row r="6320" spans="37:44" ht="30" customHeight="1">
      <c r="AK6320" s="318"/>
      <c r="AL6320" s="318"/>
      <c r="AM6320" s="318"/>
      <c r="AN6320" s="318"/>
      <c r="AO6320" s="318"/>
      <c r="AP6320" s="318"/>
      <c r="AQ6320" s="318"/>
      <c r="AR6320" s="319"/>
    </row>
    <row r="6321" spans="37:44" ht="30" customHeight="1">
      <c r="AK6321" s="318"/>
      <c r="AL6321" s="318"/>
      <c r="AM6321" s="318"/>
      <c r="AN6321" s="318"/>
      <c r="AO6321" s="318"/>
      <c r="AP6321" s="318"/>
      <c r="AQ6321" s="318"/>
      <c r="AR6321" s="319"/>
    </row>
    <row r="6322" spans="37:44" ht="30" customHeight="1">
      <c r="AK6322" s="318"/>
      <c r="AL6322" s="318"/>
      <c r="AM6322" s="318"/>
      <c r="AN6322" s="318"/>
      <c r="AO6322" s="318"/>
      <c r="AP6322" s="318"/>
      <c r="AQ6322" s="318"/>
      <c r="AR6322" s="319"/>
    </row>
    <row r="6323" spans="37:44" ht="30" customHeight="1">
      <c r="AK6323" s="318"/>
      <c r="AL6323" s="318"/>
      <c r="AM6323" s="318"/>
      <c r="AN6323" s="318"/>
      <c r="AO6323" s="318"/>
      <c r="AP6323" s="318"/>
      <c r="AQ6323" s="318"/>
      <c r="AR6323" s="319"/>
    </row>
    <row r="6324" spans="37:44" ht="30" customHeight="1">
      <c r="AK6324" s="318"/>
      <c r="AL6324" s="318"/>
      <c r="AM6324" s="318"/>
      <c r="AN6324" s="318"/>
      <c r="AO6324" s="318"/>
      <c r="AP6324" s="318"/>
      <c r="AQ6324" s="318"/>
      <c r="AR6324" s="319"/>
    </row>
    <row r="6325" spans="37:44" ht="30" customHeight="1">
      <c r="AK6325" s="318"/>
      <c r="AL6325" s="318"/>
      <c r="AM6325" s="318"/>
      <c r="AN6325" s="318"/>
      <c r="AO6325" s="318"/>
      <c r="AP6325" s="318"/>
      <c r="AQ6325" s="318"/>
      <c r="AR6325" s="319"/>
    </row>
    <row r="6326" spans="37:44" ht="30" customHeight="1">
      <c r="AK6326" s="318"/>
      <c r="AL6326" s="318"/>
      <c r="AM6326" s="318"/>
      <c r="AN6326" s="318"/>
      <c r="AO6326" s="318"/>
      <c r="AP6326" s="318"/>
      <c r="AQ6326" s="318"/>
      <c r="AR6326" s="319"/>
    </row>
    <row r="6327" spans="37:44" ht="30" customHeight="1">
      <c r="AK6327" s="318"/>
      <c r="AL6327" s="318"/>
      <c r="AM6327" s="318"/>
      <c r="AN6327" s="318"/>
      <c r="AO6327" s="318"/>
      <c r="AP6327" s="318"/>
      <c r="AQ6327" s="318"/>
      <c r="AR6327" s="319"/>
    </row>
    <row r="6328" spans="37:44" ht="30" customHeight="1">
      <c r="AK6328" s="318"/>
      <c r="AL6328" s="318"/>
      <c r="AM6328" s="318"/>
      <c r="AN6328" s="318"/>
      <c r="AO6328" s="318"/>
      <c r="AP6328" s="318"/>
      <c r="AQ6328" s="318"/>
      <c r="AR6328" s="319"/>
    </row>
    <row r="6329" spans="37:44" ht="30" customHeight="1">
      <c r="AK6329" s="318"/>
      <c r="AL6329" s="318"/>
      <c r="AM6329" s="318"/>
      <c r="AN6329" s="318"/>
      <c r="AO6329" s="318"/>
      <c r="AP6329" s="318"/>
      <c r="AQ6329" s="318"/>
      <c r="AR6329" s="319"/>
    </row>
    <row r="6330" spans="37:44" ht="30" customHeight="1">
      <c r="AK6330" s="318"/>
      <c r="AL6330" s="318"/>
      <c r="AM6330" s="318"/>
      <c r="AN6330" s="318"/>
      <c r="AO6330" s="318"/>
      <c r="AP6330" s="318"/>
      <c r="AQ6330" s="318"/>
      <c r="AR6330" s="319"/>
    </row>
    <row r="6331" spans="37:44" ht="30" customHeight="1">
      <c r="AK6331" s="318"/>
      <c r="AL6331" s="318"/>
      <c r="AM6331" s="318"/>
      <c r="AN6331" s="318"/>
      <c r="AO6331" s="318"/>
      <c r="AP6331" s="318"/>
      <c r="AQ6331" s="318"/>
      <c r="AR6331" s="319"/>
    </row>
    <row r="6332" spans="37:44" ht="30" customHeight="1">
      <c r="AK6332" s="318"/>
      <c r="AL6332" s="318"/>
      <c r="AM6332" s="318"/>
      <c r="AN6332" s="318"/>
      <c r="AO6332" s="318"/>
      <c r="AP6332" s="318"/>
      <c r="AQ6332" s="318"/>
      <c r="AR6332" s="319"/>
    </row>
    <row r="6333" spans="37:44" ht="30" customHeight="1">
      <c r="AK6333" s="318"/>
      <c r="AL6333" s="318"/>
      <c r="AM6333" s="318"/>
      <c r="AN6333" s="318"/>
      <c r="AO6333" s="318"/>
      <c r="AP6333" s="318"/>
      <c r="AQ6333" s="318"/>
      <c r="AR6333" s="319"/>
    </row>
    <row r="6334" spans="37:44" ht="30" customHeight="1">
      <c r="AK6334" s="318"/>
      <c r="AL6334" s="318"/>
      <c r="AM6334" s="318"/>
      <c r="AN6334" s="318"/>
      <c r="AO6334" s="318"/>
      <c r="AP6334" s="318"/>
      <c r="AQ6334" s="318"/>
      <c r="AR6334" s="319"/>
    </row>
    <row r="6335" spans="37:44" ht="30" customHeight="1">
      <c r="AK6335" s="318"/>
      <c r="AL6335" s="318"/>
      <c r="AM6335" s="318"/>
      <c r="AN6335" s="318"/>
      <c r="AO6335" s="318"/>
      <c r="AP6335" s="318"/>
      <c r="AQ6335" s="318"/>
      <c r="AR6335" s="319"/>
    </row>
    <row r="6336" spans="37:44" ht="30" customHeight="1">
      <c r="AK6336" s="318"/>
      <c r="AL6336" s="318"/>
      <c r="AM6336" s="318"/>
      <c r="AN6336" s="318"/>
      <c r="AO6336" s="318"/>
      <c r="AP6336" s="318"/>
      <c r="AQ6336" s="318"/>
      <c r="AR6336" s="319"/>
    </row>
    <row r="6337" spans="37:44" ht="30" customHeight="1">
      <c r="AK6337" s="318"/>
      <c r="AL6337" s="318"/>
      <c r="AM6337" s="318"/>
      <c r="AN6337" s="318"/>
      <c r="AO6337" s="318"/>
      <c r="AP6337" s="318"/>
      <c r="AQ6337" s="318"/>
      <c r="AR6337" s="319"/>
    </row>
    <row r="6338" spans="37:44" ht="30" customHeight="1">
      <c r="AK6338" s="318"/>
      <c r="AL6338" s="318"/>
      <c r="AM6338" s="318"/>
      <c r="AN6338" s="318"/>
      <c r="AO6338" s="318"/>
      <c r="AP6338" s="318"/>
      <c r="AQ6338" s="318"/>
      <c r="AR6338" s="319"/>
    </row>
    <row r="6339" spans="37:44" ht="30" customHeight="1">
      <c r="AK6339" s="318"/>
      <c r="AL6339" s="318"/>
      <c r="AM6339" s="318"/>
      <c r="AN6339" s="318"/>
      <c r="AO6339" s="318"/>
      <c r="AP6339" s="318"/>
      <c r="AQ6339" s="318"/>
      <c r="AR6339" s="319"/>
    </row>
    <row r="6340" spans="37:44" ht="30" customHeight="1">
      <c r="AK6340" s="318"/>
      <c r="AL6340" s="318"/>
      <c r="AM6340" s="318"/>
      <c r="AN6340" s="318"/>
      <c r="AO6340" s="318"/>
      <c r="AP6340" s="318"/>
      <c r="AQ6340" s="318"/>
      <c r="AR6340" s="319"/>
    </row>
    <row r="6341" spans="37:44" ht="30" customHeight="1">
      <c r="AK6341" s="318"/>
      <c r="AL6341" s="318"/>
      <c r="AM6341" s="318"/>
      <c r="AN6341" s="318"/>
      <c r="AO6341" s="318"/>
      <c r="AP6341" s="318"/>
      <c r="AQ6341" s="318"/>
      <c r="AR6341" s="319"/>
    </row>
    <row r="6342" spans="37:44" ht="30" customHeight="1">
      <c r="AK6342" s="318"/>
      <c r="AL6342" s="318"/>
      <c r="AM6342" s="318"/>
      <c r="AN6342" s="318"/>
      <c r="AO6342" s="318"/>
      <c r="AP6342" s="318"/>
      <c r="AQ6342" s="318"/>
      <c r="AR6342" s="319"/>
    </row>
    <row r="6343" spans="37:44" ht="30" customHeight="1">
      <c r="AK6343" s="318"/>
      <c r="AL6343" s="318"/>
      <c r="AM6343" s="318"/>
      <c r="AN6343" s="318"/>
      <c r="AO6343" s="318"/>
      <c r="AP6343" s="318"/>
      <c r="AQ6343" s="318"/>
      <c r="AR6343" s="319"/>
    </row>
    <row r="6344" spans="37:44" ht="30" customHeight="1">
      <c r="AK6344" s="318"/>
      <c r="AL6344" s="318"/>
      <c r="AM6344" s="318"/>
      <c r="AN6344" s="318"/>
      <c r="AO6344" s="318"/>
      <c r="AP6344" s="318"/>
      <c r="AQ6344" s="318"/>
      <c r="AR6344" s="319"/>
    </row>
    <row r="6345" spans="37:44" ht="30" customHeight="1">
      <c r="AK6345" s="318"/>
      <c r="AL6345" s="318"/>
      <c r="AM6345" s="318"/>
      <c r="AN6345" s="318"/>
      <c r="AO6345" s="318"/>
      <c r="AP6345" s="318"/>
      <c r="AQ6345" s="318"/>
      <c r="AR6345" s="319"/>
    </row>
    <row r="6346" spans="37:44" ht="30" customHeight="1">
      <c r="AK6346" s="318"/>
      <c r="AL6346" s="318"/>
      <c r="AM6346" s="318"/>
      <c r="AN6346" s="318"/>
      <c r="AO6346" s="318"/>
      <c r="AP6346" s="318"/>
      <c r="AQ6346" s="318"/>
      <c r="AR6346" s="319"/>
    </row>
    <row r="6347" spans="37:44" ht="30" customHeight="1">
      <c r="AK6347" s="318"/>
      <c r="AL6347" s="318"/>
      <c r="AM6347" s="318"/>
      <c r="AN6347" s="318"/>
      <c r="AO6347" s="318"/>
      <c r="AP6347" s="318"/>
      <c r="AQ6347" s="318"/>
      <c r="AR6347" s="319"/>
    </row>
    <row r="6348" spans="37:44" ht="30" customHeight="1">
      <c r="AK6348" s="318"/>
      <c r="AL6348" s="318"/>
      <c r="AM6348" s="318"/>
      <c r="AN6348" s="318"/>
      <c r="AO6348" s="318"/>
      <c r="AP6348" s="318"/>
      <c r="AQ6348" s="318"/>
      <c r="AR6348" s="319"/>
    </row>
    <row r="6349" spans="37:44" ht="30" customHeight="1">
      <c r="AK6349" s="318"/>
      <c r="AL6349" s="318"/>
      <c r="AM6349" s="318"/>
      <c r="AN6349" s="318"/>
      <c r="AO6349" s="318"/>
      <c r="AP6349" s="318"/>
      <c r="AQ6349" s="318"/>
      <c r="AR6349" s="319"/>
    </row>
    <row r="6350" spans="37:44" ht="30" customHeight="1">
      <c r="AK6350" s="318"/>
      <c r="AL6350" s="318"/>
      <c r="AM6350" s="318"/>
      <c r="AN6350" s="318"/>
      <c r="AO6350" s="318"/>
      <c r="AP6350" s="318"/>
      <c r="AQ6350" s="318"/>
      <c r="AR6350" s="319"/>
    </row>
    <row r="6351" spans="37:44" ht="30" customHeight="1">
      <c r="AK6351" s="318"/>
      <c r="AL6351" s="318"/>
      <c r="AM6351" s="318"/>
      <c r="AN6351" s="318"/>
      <c r="AO6351" s="318"/>
      <c r="AP6351" s="318"/>
      <c r="AQ6351" s="318"/>
      <c r="AR6351" s="319"/>
    </row>
    <row r="6352" spans="37:44" ht="30" customHeight="1">
      <c r="AK6352" s="318"/>
      <c r="AL6352" s="318"/>
      <c r="AM6352" s="318"/>
      <c r="AN6352" s="318"/>
      <c r="AO6352" s="318"/>
      <c r="AP6352" s="318"/>
      <c r="AQ6352" s="318"/>
      <c r="AR6352" s="319"/>
    </row>
    <row r="6353" spans="37:44" ht="30" customHeight="1">
      <c r="AK6353" s="318"/>
      <c r="AL6353" s="318"/>
      <c r="AM6353" s="318"/>
      <c r="AN6353" s="318"/>
      <c r="AO6353" s="318"/>
      <c r="AP6353" s="318"/>
      <c r="AQ6353" s="318"/>
      <c r="AR6353" s="319"/>
    </row>
    <row r="6354" spans="37:44" ht="30" customHeight="1">
      <c r="AK6354" s="318"/>
      <c r="AL6354" s="318"/>
      <c r="AM6354" s="318"/>
      <c r="AN6354" s="318"/>
      <c r="AO6354" s="318"/>
      <c r="AP6354" s="318"/>
      <c r="AQ6354" s="318"/>
      <c r="AR6354" s="319"/>
    </row>
    <row r="6355" spans="37:44" ht="30" customHeight="1">
      <c r="AK6355" s="318"/>
      <c r="AL6355" s="318"/>
      <c r="AM6355" s="318"/>
      <c r="AN6355" s="318"/>
      <c r="AO6355" s="318"/>
      <c r="AP6355" s="318"/>
      <c r="AQ6355" s="318"/>
      <c r="AR6355" s="319"/>
    </row>
    <row r="6356" spans="37:44" ht="30" customHeight="1">
      <c r="AK6356" s="318"/>
      <c r="AL6356" s="318"/>
      <c r="AM6356" s="318"/>
      <c r="AN6356" s="318"/>
      <c r="AO6356" s="318"/>
      <c r="AP6356" s="318"/>
      <c r="AQ6356" s="318"/>
      <c r="AR6356" s="319"/>
    </row>
    <row r="6357" spans="37:44" ht="30" customHeight="1">
      <c r="AK6357" s="318"/>
      <c r="AL6357" s="318"/>
      <c r="AM6357" s="318"/>
      <c r="AN6357" s="318"/>
      <c r="AO6357" s="318"/>
      <c r="AP6357" s="318"/>
      <c r="AQ6357" s="318"/>
      <c r="AR6357" s="319"/>
    </row>
    <row r="6358" spans="37:44" ht="30" customHeight="1">
      <c r="AK6358" s="318"/>
      <c r="AL6358" s="318"/>
      <c r="AM6358" s="318"/>
      <c r="AN6358" s="318"/>
      <c r="AO6358" s="318"/>
      <c r="AP6358" s="318"/>
      <c r="AQ6358" s="318"/>
      <c r="AR6358" s="319"/>
    </row>
    <row r="6359" spans="37:44" ht="30" customHeight="1">
      <c r="AK6359" s="318"/>
      <c r="AL6359" s="318"/>
      <c r="AM6359" s="318"/>
      <c r="AN6359" s="318"/>
      <c r="AO6359" s="318"/>
      <c r="AP6359" s="318"/>
      <c r="AQ6359" s="318"/>
      <c r="AR6359" s="319"/>
    </row>
    <row r="6360" spans="37:44" ht="30" customHeight="1">
      <c r="AK6360" s="318"/>
      <c r="AL6360" s="318"/>
      <c r="AM6360" s="318"/>
      <c r="AN6360" s="318"/>
      <c r="AO6360" s="318"/>
      <c r="AP6360" s="318"/>
      <c r="AQ6360" s="318"/>
      <c r="AR6360" s="319"/>
    </row>
    <row r="6361" spans="37:44" ht="30" customHeight="1">
      <c r="AK6361" s="318"/>
      <c r="AL6361" s="318"/>
      <c r="AM6361" s="318"/>
      <c r="AN6361" s="318"/>
      <c r="AO6361" s="318"/>
      <c r="AP6361" s="318"/>
      <c r="AQ6361" s="318"/>
      <c r="AR6361" s="319"/>
    </row>
    <row r="6362" spans="37:44" ht="30" customHeight="1">
      <c r="AK6362" s="318"/>
      <c r="AL6362" s="318"/>
      <c r="AM6362" s="318"/>
      <c r="AN6362" s="318"/>
      <c r="AO6362" s="318"/>
      <c r="AP6362" s="318"/>
      <c r="AQ6362" s="318"/>
      <c r="AR6362" s="319"/>
    </row>
    <row r="6363" spans="37:44" ht="30" customHeight="1">
      <c r="AK6363" s="318"/>
      <c r="AL6363" s="318"/>
      <c r="AM6363" s="318"/>
      <c r="AN6363" s="318"/>
      <c r="AO6363" s="318"/>
      <c r="AP6363" s="318"/>
      <c r="AQ6363" s="318"/>
      <c r="AR6363" s="319"/>
    </row>
    <row r="6364" spans="37:44" ht="30" customHeight="1">
      <c r="AK6364" s="318"/>
      <c r="AL6364" s="318"/>
      <c r="AM6364" s="318"/>
      <c r="AN6364" s="318"/>
      <c r="AO6364" s="318"/>
      <c r="AP6364" s="318"/>
      <c r="AQ6364" s="318"/>
      <c r="AR6364" s="319"/>
    </row>
    <row r="6365" spans="37:44" ht="30" customHeight="1">
      <c r="AK6365" s="318"/>
      <c r="AL6365" s="318"/>
      <c r="AM6365" s="318"/>
      <c r="AN6365" s="318"/>
      <c r="AO6365" s="318"/>
      <c r="AP6365" s="318"/>
      <c r="AQ6365" s="318"/>
      <c r="AR6365" s="319"/>
    </row>
    <row r="6366" spans="37:44" ht="30" customHeight="1">
      <c r="AK6366" s="318"/>
      <c r="AL6366" s="318"/>
      <c r="AM6366" s="318"/>
      <c r="AN6366" s="318"/>
      <c r="AO6366" s="318"/>
      <c r="AP6366" s="318"/>
      <c r="AQ6366" s="318"/>
      <c r="AR6366" s="319"/>
    </row>
    <row r="6367" spans="37:44" ht="30" customHeight="1">
      <c r="AK6367" s="318"/>
      <c r="AL6367" s="318"/>
      <c r="AM6367" s="318"/>
      <c r="AN6367" s="318"/>
      <c r="AO6367" s="318"/>
      <c r="AP6367" s="318"/>
      <c r="AQ6367" s="318"/>
      <c r="AR6367" s="319"/>
    </row>
    <row r="6368" spans="37:44" ht="30" customHeight="1">
      <c r="AK6368" s="318"/>
      <c r="AL6368" s="318"/>
      <c r="AM6368" s="318"/>
      <c r="AN6368" s="318"/>
      <c r="AO6368" s="318"/>
      <c r="AP6368" s="318"/>
      <c r="AQ6368" s="318"/>
      <c r="AR6368" s="319"/>
    </row>
    <row r="6369" spans="37:44" ht="30" customHeight="1">
      <c r="AK6369" s="318"/>
      <c r="AL6369" s="318"/>
      <c r="AM6369" s="318"/>
      <c r="AN6369" s="318"/>
      <c r="AO6369" s="318"/>
      <c r="AP6369" s="318"/>
      <c r="AQ6369" s="318"/>
      <c r="AR6369" s="319"/>
    </row>
    <row r="6370" spans="37:44" ht="30" customHeight="1">
      <c r="AK6370" s="318"/>
      <c r="AL6370" s="318"/>
      <c r="AM6370" s="318"/>
      <c r="AN6370" s="318"/>
      <c r="AO6370" s="318"/>
      <c r="AP6370" s="318"/>
      <c r="AQ6370" s="318"/>
      <c r="AR6370" s="319"/>
    </row>
    <row r="6371" spans="37:44" ht="30" customHeight="1">
      <c r="AK6371" s="318"/>
      <c r="AL6371" s="318"/>
      <c r="AM6371" s="318"/>
      <c r="AN6371" s="318"/>
      <c r="AO6371" s="318"/>
      <c r="AP6371" s="318"/>
      <c r="AQ6371" s="318"/>
      <c r="AR6371" s="319"/>
    </row>
    <row r="6372" spans="37:44" ht="30" customHeight="1">
      <c r="AK6372" s="318"/>
      <c r="AL6372" s="318"/>
      <c r="AM6372" s="318"/>
      <c r="AN6372" s="318"/>
      <c r="AO6372" s="318"/>
      <c r="AP6372" s="318"/>
      <c r="AQ6372" s="318"/>
      <c r="AR6372" s="319"/>
    </row>
    <row r="6373" spans="37:44" ht="30" customHeight="1">
      <c r="AK6373" s="318"/>
      <c r="AL6373" s="318"/>
      <c r="AM6373" s="318"/>
      <c r="AN6373" s="318"/>
      <c r="AO6373" s="318"/>
      <c r="AP6373" s="318"/>
      <c r="AQ6373" s="318"/>
      <c r="AR6373" s="319"/>
    </row>
    <row r="6374" spans="37:44" ht="30" customHeight="1">
      <c r="AK6374" s="318"/>
      <c r="AL6374" s="318"/>
      <c r="AM6374" s="318"/>
      <c r="AN6374" s="318"/>
      <c r="AO6374" s="318"/>
      <c r="AP6374" s="318"/>
      <c r="AQ6374" s="318"/>
      <c r="AR6374" s="319"/>
    </row>
    <row r="6375" spans="37:44" ht="30" customHeight="1">
      <c r="AK6375" s="318"/>
      <c r="AL6375" s="318"/>
      <c r="AM6375" s="318"/>
      <c r="AN6375" s="318"/>
      <c r="AO6375" s="318"/>
      <c r="AP6375" s="318"/>
      <c r="AQ6375" s="318"/>
      <c r="AR6375" s="319"/>
    </row>
    <row r="6376" spans="37:44" ht="30" customHeight="1">
      <c r="AK6376" s="318"/>
      <c r="AL6376" s="318"/>
      <c r="AM6376" s="318"/>
      <c r="AN6376" s="318"/>
      <c r="AO6376" s="318"/>
      <c r="AP6376" s="318"/>
      <c r="AQ6376" s="318"/>
      <c r="AR6376" s="319"/>
    </row>
    <row r="6377" spans="37:44" ht="30" customHeight="1">
      <c r="AK6377" s="318"/>
      <c r="AL6377" s="318"/>
      <c r="AM6377" s="318"/>
      <c r="AN6377" s="318"/>
      <c r="AO6377" s="318"/>
      <c r="AP6377" s="318"/>
      <c r="AQ6377" s="318"/>
      <c r="AR6377" s="319"/>
    </row>
    <row r="6378" spans="37:44" ht="30" customHeight="1">
      <c r="AK6378" s="318"/>
      <c r="AL6378" s="318"/>
      <c r="AM6378" s="318"/>
      <c r="AN6378" s="318"/>
      <c r="AO6378" s="318"/>
      <c r="AP6378" s="318"/>
      <c r="AQ6378" s="318"/>
      <c r="AR6378" s="319"/>
    </row>
    <row r="6379" spans="37:44" ht="30" customHeight="1">
      <c r="AK6379" s="318"/>
      <c r="AL6379" s="318"/>
      <c r="AM6379" s="318"/>
      <c r="AN6379" s="318"/>
      <c r="AO6379" s="318"/>
      <c r="AP6379" s="318"/>
      <c r="AQ6379" s="318"/>
      <c r="AR6379" s="319"/>
    </row>
    <row r="6380" spans="37:44" ht="30" customHeight="1">
      <c r="AK6380" s="318"/>
      <c r="AL6380" s="318"/>
      <c r="AM6380" s="318"/>
      <c r="AN6380" s="318"/>
      <c r="AO6380" s="318"/>
      <c r="AP6380" s="318"/>
      <c r="AQ6380" s="318"/>
      <c r="AR6380" s="319"/>
    </row>
    <row r="6381" spans="37:44" ht="30" customHeight="1">
      <c r="AK6381" s="318"/>
      <c r="AL6381" s="318"/>
      <c r="AM6381" s="318"/>
      <c r="AN6381" s="318"/>
      <c r="AO6381" s="318"/>
      <c r="AP6381" s="318"/>
      <c r="AQ6381" s="318"/>
      <c r="AR6381" s="319"/>
    </row>
    <row r="6382" spans="37:44" ht="30" customHeight="1">
      <c r="AK6382" s="318"/>
      <c r="AL6382" s="318"/>
      <c r="AM6382" s="318"/>
      <c r="AN6382" s="318"/>
      <c r="AO6382" s="318"/>
      <c r="AP6382" s="318"/>
      <c r="AQ6382" s="318"/>
      <c r="AR6382" s="319"/>
    </row>
    <row r="6383" spans="37:44" ht="30" customHeight="1">
      <c r="AK6383" s="318"/>
      <c r="AL6383" s="318"/>
      <c r="AM6383" s="318"/>
      <c r="AN6383" s="318"/>
      <c r="AO6383" s="318"/>
      <c r="AP6383" s="318"/>
      <c r="AQ6383" s="318"/>
      <c r="AR6383" s="319"/>
    </row>
    <row r="6384" spans="37:44" ht="30" customHeight="1">
      <c r="AK6384" s="318"/>
      <c r="AL6384" s="318"/>
      <c r="AM6384" s="318"/>
      <c r="AN6384" s="318"/>
      <c r="AO6384" s="318"/>
      <c r="AP6384" s="318"/>
      <c r="AQ6384" s="318"/>
      <c r="AR6384" s="319"/>
    </row>
    <row r="6385" spans="37:44" ht="30" customHeight="1">
      <c r="AK6385" s="318"/>
      <c r="AL6385" s="318"/>
      <c r="AM6385" s="318"/>
      <c r="AN6385" s="318"/>
      <c r="AO6385" s="318"/>
      <c r="AP6385" s="318"/>
      <c r="AQ6385" s="318"/>
      <c r="AR6385" s="319"/>
    </row>
    <row r="6386" spans="37:44" ht="30" customHeight="1">
      <c r="AK6386" s="318"/>
      <c r="AL6386" s="318"/>
      <c r="AM6386" s="318"/>
      <c r="AN6386" s="318"/>
      <c r="AO6386" s="318"/>
      <c r="AP6386" s="318"/>
      <c r="AQ6386" s="318"/>
      <c r="AR6386" s="319"/>
    </row>
    <row r="6387" spans="37:44" ht="30" customHeight="1">
      <c r="AK6387" s="318"/>
      <c r="AL6387" s="318"/>
      <c r="AM6387" s="318"/>
      <c r="AN6387" s="318"/>
      <c r="AO6387" s="318"/>
      <c r="AP6387" s="318"/>
      <c r="AQ6387" s="318"/>
      <c r="AR6387" s="319"/>
    </row>
    <row r="6388" spans="37:44" ht="30" customHeight="1">
      <c r="AK6388" s="318"/>
      <c r="AL6388" s="318"/>
      <c r="AM6388" s="318"/>
      <c r="AN6388" s="318"/>
      <c r="AO6388" s="318"/>
      <c r="AP6388" s="318"/>
      <c r="AQ6388" s="318"/>
      <c r="AR6388" s="319"/>
    </row>
    <row r="6389" spans="37:44" ht="30" customHeight="1">
      <c r="AK6389" s="318"/>
      <c r="AL6389" s="318"/>
      <c r="AM6389" s="318"/>
      <c r="AN6389" s="318"/>
      <c r="AO6389" s="318"/>
      <c r="AP6389" s="318"/>
      <c r="AQ6389" s="318"/>
      <c r="AR6389" s="319"/>
    </row>
    <row r="6390" spans="37:44" ht="30" customHeight="1">
      <c r="AK6390" s="318"/>
      <c r="AL6390" s="318"/>
      <c r="AM6390" s="318"/>
      <c r="AN6390" s="318"/>
      <c r="AO6390" s="318"/>
      <c r="AP6390" s="318"/>
      <c r="AQ6390" s="318"/>
      <c r="AR6390" s="319"/>
    </row>
    <row r="6391" spans="37:44" ht="30" customHeight="1">
      <c r="AK6391" s="318"/>
      <c r="AL6391" s="318"/>
      <c r="AM6391" s="318"/>
      <c r="AN6391" s="318"/>
      <c r="AO6391" s="318"/>
      <c r="AP6391" s="318"/>
      <c r="AQ6391" s="318"/>
      <c r="AR6391" s="319"/>
    </row>
    <row r="6392" spans="37:44" ht="30" customHeight="1">
      <c r="AK6392" s="318"/>
      <c r="AL6392" s="318"/>
      <c r="AM6392" s="318"/>
      <c r="AN6392" s="318"/>
      <c r="AO6392" s="318"/>
      <c r="AP6392" s="318"/>
      <c r="AQ6392" s="318"/>
      <c r="AR6392" s="319"/>
    </row>
    <row r="6393" spans="37:44" ht="30" customHeight="1">
      <c r="AK6393" s="318"/>
      <c r="AL6393" s="318"/>
      <c r="AM6393" s="318"/>
      <c r="AN6393" s="318"/>
      <c r="AO6393" s="318"/>
      <c r="AP6393" s="318"/>
      <c r="AQ6393" s="318"/>
      <c r="AR6393" s="319"/>
    </row>
    <row r="6394" spans="37:44" ht="30" customHeight="1">
      <c r="AK6394" s="318"/>
      <c r="AL6394" s="318"/>
      <c r="AM6394" s="318"/>
      <c r="AN6394" s="318"/>
      <c r="AO6394" s="318"/>
      <c r="AP6394" s="318"/>
      <c r="AQ6394" s="318"/>
      <c r="AR6394" s="319"/>
    </row>
    <row r="6395" spans="37:44" ht="30" customHeight="1">
      <c r="AK6395" s="318"/>
      <c r="AL6395" s="318"/>
      <c r="AM6395" s="318"/>
      <c r="AN6395" s="318"/>
      <c r="AO6395" s="318"/>
      <c r="AP6395" s="318"/>
      <c r="AQ6395" s="318"/>
      <c r="AR6395" s="319"/>
    </row>
    <row r="6396" spans="37:44" ht="30" customHeight="1">
      <c r="AK6396" s="318"/>
      <c r="AL6396" s="318"/>
      <c r="AM6396" s="318"/>
      <c r="AN6396" s="318"/>
      <c r="AO6396" s="318"/>
      <c r="AP6396" s="318"/>
      <c r="AQ6396" s="318"/>
      <c r="AR6396" s="319"/>
    </row>
    <row r="6397" spans="37:44" ht="30" customHeight="1">
      <c r="AK6397" s="318"/>
      <c r="AL6397" s="318"/>
      <c r="AM6397" s="318"/>
      <c r="AN6397" s="318"/>
      <c r="AO6397" s="318"/>
      <c r="AP6397" s="318"/>
      <c r="AQ6397" s="318"/>
      <c r="AR6397" s="319"/>
    </row>
    <row r="6398" spans="37:44" ht="30" customHeight="1">
      <c r="AK6398" s="318"/>
      <c r="AL6398" s="318"/>
      <c r="AM6398" s="318"/>
      <c r="AN6398" s="318"/>
      <c r="AO6398" s="318"/>
      <c r="AP6398" s="318"/>
      <c r="AQ6398" s="318"/>
      <c r="AR6398" s="319"/>
    </row>
    <row r="6399" spans="37:44" ht="30" customHeight="1">
      <c r="AK6399" s="318"/>
      <c r="AL6399" s="318"/>
      <c r="AM6399" s="318"/>
      <c r="AN6399" s="318"/>
      <c r="AO6399" s="318"/>
      <c r="AP6399" s="318"/>
      <c r="AQ6399" s="318"/>
      <c r="AR6399" s="319"/>
    </row>
    <row r="6400" spans="37:44" ht="30" customHeight="1">
      <c r="AK6400" s="318"/>
      <c r="AL6400" s="318"/>
      <c r="AM6400" s="318"/>
      <c r="AN6400" s="318"/>
      <c r="AO6400" s="318"/>
      <c r="AP6400" s="318"/>
      <c r="AQ6400" s="318"/>
      <c r="AR6400" s="319"/>
    </row>
    <row r="6401" spans="37:44" ht="30" customHeight="1">
      <c r="AK6401" s="318"/>
      <c r="AL6401" s="318"/>
      <c r="AM6401" s="318"/>
      <c r="AN6401" s="318"/>
      <c r="AO6401" s="318"/>
      <c r="AP6401" s="318"/>
      <c r="AQ6401" s="318"/>
      <c r="AR6401" s="319"/>
    </row>
    <row r="6402" spans="37:44" ht="30" customHeight="1">
      <c r="AK6402" s="318"/>
      <c r="AL6402" s="318"/>
      <c r="AM6402" s="318"/>
      <c r="AN6402" s="318"/>
      <c r="AO6402" s="318"/>
      <c r="AP6402" s="318"/>
      <c r="AQ6402" s="318"/>
      <c r="AR6402" s="319"/>
    </row>
    <row r="6403" spans="37:44" ht="30" customHeight="1">
      <c r="AK6403" s="318"/>
      <c r="AL6403" s="318"/>
      <c r="AM6403" s="318"/>
      <c r="AN6403" s="318"/>
      <c r="AO6403" s="318"/>
      <c r="AP6403" s="318"/>
      <c r="AQ6403" s="318"/>
      <c r="AR6403" s="319"/>
    </row>
    <row r="6404" spans="37:44" ht="30" customHeight="1">
      <c r="AK6404" s="318"/>
      <c r="AL6404" s="318"/>
      <c r="AM6404" s="318"/>
      <c r="AN6404" s="318"/>
      <c r="AO6404" s="318"/>
      <c r="AP6404" s="318"/>
      <c r="AQ6404" s="318"/>
      <c r="AR6404" s="319"/>
    </row>
    <row r="6405" spans="37:44" ht="30" customHeight="1">
      <c r="AK6405" s="318"/>
      <c r="AL6405" s="318"/>
      <c r="AM6405" s="318"/>
      <c r="AN6405" s="318"/>
      <c r="AO6405" s="318"/>
      <c r="AP6405" s="318"/>
      <c r="AQ6405" s="318"/>
      <c r="AR6405" s="319"/>
    </row>
    <row r="6406" spans="37:44" ht="30" customHeight="1">
      <c r="AK6406" s="318"/>
      <c r="AL6406" s="318"/>
      <c r="AM6406" s="318"/>
      <c r="AN6406" s="318"/>
      <c r="AO6406" s="318"/>
      <c r="AP6406" s="318"/>
      <c r="AQ6406" s="318"/>
      <c r="AR6406" s="319"/>
    </row>
    <row r="6407" spans="37:44" ht="30" customHeight="1">
      <c r="AK6407" s="318"/>
      <c r="AL6407" s="318"/>
      <c r="AM6407" s="318"/>
      <c r="AN6407" s="318"/>
      <c r="AO6407" s="318"/>
      <c r="AP6407" s="318"/>
      <c r="AQ6407" s="318"/>
      <c r="AR6407" s="319"/>
    </row>
    <row r="6408" spans="37:44" ht="30" customHeight="1">
      <c r="AK6408" s="318"/>
      <c r="AL6408" s="318"/>
      <c r="AM6408" s="318"/>
      <c r="AN6408" s="318"/>
      <c r="AO6408" s="318"/>
      <c r="AP6408" s="318"/>
      <c r="AQ6408" s="318"/>
      <c r="AR6408" s="319"/>
    </row>
    <row r="6409" spans="37:44" ht="30" customHeight="1">
      <c r="AK6409" s="318"/>
      <c r="AL6409" s="318"/>
      <c r="AM6409" s="318"/>
      <c r="AN6409" s="318"/>
      <c r="AO6409" s="318"/>
      <c r="AP6409" s="318"/>
      <c r="AQ6409" s="318"/>
      <c r="AR6409" s="319"/>
    </row>
    <row r="6410" spans="37:44" ht="30" customHeight="1">
      <c r="AK6410" s="318"/>
      <c r="AL6410" s="318"/>
      <c r="AM6410" s="318"/>
      <c r="AN6410" s="318"/>
      <c r="AO6410" s="318"/>
      <c r="AP6410" s="318"/>
      <c r="AQ6410" s="318"/>
      <c r="AR6410" s="319"/>
    </row>
    <row r="6411" spans="37:44" ht="30" customHeight="1">
      <c r="AK6411" s="318"/>
      <c r="AL6411" s="318"/>
      <c r="AM6411" s="318"/>
      <c r="AN6411" s="318"/>
      <c r="AO6411" s="318"/>
      <c r="AP6411" s="318"/>
      <c r="AQ6411" s="318"/>
      <c r="AR6411" s="319"/>
    </row>
    <row r="6412" spans="37:44" ht="30" customHeight="1">
      <c r="AK6412" s="318"/>
      <c r="AL6412" s="318"/>
      <c r="AM6412" s="318"/>
      <c r="AN6412" s="318"/>
      <c r="AO6412" s="318"/>
      <c r="AP6412" s="318"/>
      <c r="AQ6412" s="318"/>
      <c r="AR6412" s="319"/>
    </row>
    <row r="6413" spans="37:44" ht="30" customHeight="1">
      <c r="AK6413" s="318"/>
      <c r="AL6413" s="318"/>
      <c r="AM6413" s="318"/>
      <c r="AN6413" s="318"/>
      <c r="AO6413" s="318"/>
      <c r="AP6413" s="318"/>
      <c r="AQ6413" s="318"/>
      <c r="AR6413" s="319"/>
    </row>
    <row r="6414" spans="37:44" ht="30" customHeight="1">
      <c r="AK6414" s="318"/>
      <c r="AL6414" s="318"/>
      <c r="AM6414" s="318"/>
      <c r="AN6414" s="318"/>
      <c r="AO6414" s="318"/>
      <c r="AP6414" s="318"/>
      <c r="AQ6414" s="318"/>
      <c r="AR6414" s="319"/>
    </row>
    <row r="6415" spans="37:44" ht="30" customHeight="1">
      <c r="AK6415" s="318"/>
      <c r="AL6415" s="318"/>
      <c r="AM6415" s="318"/>
      <c r="AN6415" s="318"/>
      <c r="AO6415" s="318"/>
      <c r="AP6415" s="318"/>
      <c r="AQ6415" s="318"/>
      <c r="AR6415" s="319"/>
    </row>
    <row r="6416" spans="37:44" ht="30" customHeight="1">
      <c r="AK6416" s="318"/>
      <c r="AL6416" s="318"/>
      <c r="AM6416" s="318"/>
      <c r="AN6416" s="318"/>
      <c r="AO6416" s="318"/>
      <c r="AP6416" s="318"/>
      <c r="AQ6416" s="318"/>
      <c r="AR6416" s="319"/>
    </row>
    <row r="6417" spans="37:44" ht="30" customHeight="1">
      <c r="AK6417" s="318"/>
      <c r="AL6417" s="318"/>
      <c r="AM6417" s="318"/>
      <c r="AN6417" s="318"/>
      <c r="AO6417" s="318"/>
      <c r="AP6417" s="318"/>
      <c r="AQ6417" s="318"/>
      <c r="AR6417" s="319"/>
    </row>
    <row r="6418" spans="37:44" ht="30" customHeight="1">
      <c r="AK6418" s="318"/>
      <c r="AL6418" s="318"/>
      <c r="AM6418" s="318"/>
      <c r="AN6418" s="318"/>
      <c r="AO6418" s="318"/>
      <c r="AP6418" s="318"/>
      <c r="AQ6418" s="318"/>
      <c r="AR6418" s="319"/>
    </row>
    <row r="6419" spans="37:44" ht="30" customHeight="1">
      <c r="AK6419" s="318"/>
      <c r="AL6419" s="318"/>
      <c r="AM6419" s="318"/>
      <c r="AN6419" s="318"/>
      <c r="AO6419" s="318"/>
      <c r="AP6419" s="318"/>
      <c r="AQ6419" s="318"/>
      <c r="AR6419" s="319"/>
    </row>
    <row r="6420" spans="37:44" ht="30" customHeight="1">
      <c r="AK6420" s="318"/>
      <c r="AL6420" s="318"/>
      <c r="AM6420" s="318"/>
      <c r="AN6420" s="318"/>
      <c r="AO6420" s="318"/>
      <c r="AP6420" s="318"/>
      <c r="AQ6420" s="318"/>
      <c r="AR6420" s="319"/>
    </row>
    <row r="6421" spans="37:44" ht="30" customHeight="1">
      <c r="AK6421" s="318"/>
      <c r="AL6421" s="318"/>
      <c r="AM6421" s="318"/>
      <c r="AN6421" s="318"/>
      <c r="AO6421" s="318"/>
      <c r="AP6421" s="318"/>
      <c r="AQ6421" s="318"/>
      <c r="AR6421" s="319"/>
    </row>
    <row r="6422" spans="37:44" ht="30" customHeight="1">
      <c r="AK6422" s="318"/>
      <c r="AL6422" s="318"/>
      <c r="AM6422" s="318"/>
      <c r="AN6422" s="318"/>
      <c r="AO6422" s="318"/>
      <c r="AP6422" s="318"/>
      <c r="AQ6422" s="318"/>
      <c r="AR6422" s="319"/>
    </row>
    <row r="6423" spans="37:44" ht="30" customHeight="1">
      <c r="AK6423" s="318"/>
      <c r="AL6423" s="318"/>
      <c r="AM6423" s="318"/>
      <c r="AN6423" s="318"/>
      <c r="AO6423" s="318"/>
      <c r="AP6423" s="318"/>
      <c r="AQ6423" s="318"/>
      <c r="AR6423" s="319"/>
    </row>
    <row r="6424" spans="37:44" ht="30" customHeight="1">
      <c r="AK6424" s="318"/>
      <c r="AL6424" s="318"/>
      <c r="AM6424" s="318"/>
      <c r="AN6424" s="318"/>
      <c r="AO6424" s="318"/>
      <c r="AP6424" s="318"/>
      <c r="AQ6424" s="318"/>
      <c r="AR6424" s="319"/>
    </row>
    <row r="6425" spans="37:44" ht="30" customHeight="1">
      <c r="AK6425" s="318"/>
      <c r="AL6425" s="318"/>
      <c r="AM6425" s="318"/>
      <c r="AN6425" s="318"/>
      <c r="AO6425" s="318"/>
      <c r="AP6425" s="318"/>
      <c r="AQ6425" s="318"/>
      <c r="AR6425" s="319"/>
    </row>
    <row r="6426" spans="37:44" ht="30" customHeight="1">
      <c r="AK6426" s="318"/>
      <c r="AL6426" s="318"/>
      <c r="AM6426" s="318"/>
      <c r="AN6426" s="318"/>
      <c r="AO6426" s="318"/>
      <c r="AP6426" s="318"/>
      <c r="AQ6426" s="318"/>
      <c r="AR6426" s="319"/>
    </row>
    <row r="6427" spans="37:44" ht="30" customHeight="1">
      <c r="AK6427" s="318"/>
      <c r="AL6427" s="318"/>
      <c r="AM6427" s="318"/>
      <c r="AN6427" s="318"/>
      <c r="AO6427" s="318"/>
      <c r="AP6427" s="318"/>
      <c r="AQ6427" s="318"/>
      <c r="AR6427" s="319"/>
    </row>
    <row r="6428" spans="37:44" ht="30" customHeight="1">
      <c r="AK6428" s="318"/>
      <c r="AL6428" s="318"/>
      <c r="AM6428" s="318"/>
      <c r="AN6428" s="318"/>
      <c r="AO6428" s="318"/>
      <c r="AP6428" s="318"/>
      <c r="AQ6428" s="318"/>
      <c r="AR6428" s="319"/>
    </row>
    <row r="6429" spans="37:44" ht="30" customHeight="1">
      <c r="AK6429" s="318"/>
      <c r="AL6429" s="318"/>
      <c r="AM6429" s="318"/>
      <c r="AN6429" s="318"/>
      <c r="AO6429" s="318"/>
      <c r="AP6429" s="318"/>
      <c r="AQ6429" s="318"/>
      <c r="AR6429" s="319"/>
    </row>
    <row r="6430" spans="37:44" ht="30" customHeight="1">
      <c r="AK6430" s="318"/>
      <c r="AL6430" s="318"/>
      <c r="AM6430" s="318"/>
      <c r="AN6430" s="318"/>
      <c r="AO6430" s="318"/>
      <c r="AP6430" s="318"/>
      <c r="AQ6430" s="318"/>
      <c r="AR6430" s="319"/>
    </row>
    <row r="6431" spans="37:44" ht="30" customHeight="1">
      <c r="AK6431" s="318"/>
      <c r="AL6431" s="318"/>
      <c r="AM6431" s="318"/>
      <c r="AN6431" s="318"/>
      <c r="AO6431" s="318"/>
      <c r="AP6431" s="318"/>
      <c r="AQ6431" s="318"/>
      <c r="AR6431" s="319"/>
    </row>
    <row r="6432" spans="37:44" ht="30" customHeight="1">
      <c r="AK6432" s="318"/>
      <c r="AL6432" s="318"/>
      <c r="AM6432" s="318"/>
      <c r="AN6432" s="318"/>
      <c r="AO6432" s="318"/>
      <c r="AP6432" s="318"/>
      <c r="AQ6432" s="318"/>
      <c r="AR6432" s="319"/>
    </row>
    <row r="6433" spans="37:44" ht="30" customHeight="1">
      <c r="AK6433" s="318"/>
      <c r="AL6433" s="318"/>
      <c r="AM6433" s="318"/>
      <c r="AN6433" s="318"/>
      <c r="AO6433" s="318"/>
      <c r="AP6433" s="318"/>
      <c r="AQ6433" s="318"/>
      <c r="AR6433" s="319"/>
    </row>
    <row r="6434" spans="37:44" ht="30" customHeight="1">
      <c r="AK6434" s="318"/>
      <c r="AL6434" s="318"/>
      <c r="AM6434" s="318"/>
      <c r="AN6434" s="318"/>
      <c r="AO6434" s="318"/>
      <c r="AP6434" s="318"/>
      <c r="AQ6434" s="318"/>
      <c r="AR6434" s="319"/>
    </row>
    <row r="6435" spans="37:44" ht="30" customHeight="1">
      <c r="AK6435" s="318"/>
      <c r="AL6435" s="318"/>
      <c r="AM6435" s="318"/>
      <c r="AN6435" s="318"/>
      <c r="AO6435" s="318"/>
      <c r="AP6435" s="318"/>
      <c r="AQ6435" s="318"/>
      <c r="AR6435" s="319"/>
    </row>
    <row r="6436" spans="37:44" ht="30" customHeight="1">
      <c r="AK6436" s="318"/>
      <c r="AL6436" s="318"/>
      <c r="AM6436" s="318"/>
      <c r="AN6436" s="318"/>
      <c r="AO6436" s="318"/>
      <c r="AP6436" s="318"/>
      <c r="AQ6436" s="318"/>
      <c r="AR6436" s="319"/>
    </row>
    <row r="6437" spans="37:44" ht="30" customHeight="1">
      <c r="AK6437" s="318"/>
      <c r="AL6437" s="318"/>
      <c r="AM6437" s="318"/>
      <c r="AN6437" s="318"/>
      <c r="AO6437" s="318"/>
      <c r="AP6437" s="318"/>
      <c r="AQ6437" s="318"/>
      <c r="AR6437" s="319"/>
    </row>
    <row r="6438" spans="37:44" ht="30" customHeight="1">
      <c r="AK6438" s="318"/>
      <c r="AL6438" s="318"/>
      <c r="AM6438" s="318"/>
      <c r="AN6438" s="318"/>
      <c r="AO6438" s="318"/>
      <c r="AP6438" s="318"/>
      <c r="AQ6438" s="318"/>
      <c r="AR6438" s="319"/>
    </row>
    <row r="6439" spans="37:44" ht="30" customHeight="1">
      <c r="AK6439" s="318"/>
      <c r="AL6439" s="318"/>
      <c r="AM6439" s="318"/>
      <c r="AN6439" s="318"/>
      <c r="AO6439" s="318"/>
      <c r="AP6439" s="318"/>
      <c r="AQ6439" s="318"/>
      <c r="AR6439" s="319"/>
    </row>
    <row r="6440" spans="37:44" ht="30" customHeight="1">
      <c r="AK6440" s="318"/>
      <c r="AL6440" s="318"/>
      <c r="AM6440" s="318"/>
      <c r="AN6440" s="318"/>
      <c r="AO6440" s="318"/>
      <c r="AP6440" s="318"/>
      <c r="AQ6440" s="318"/>
      <c r="AR6440" s="319"/>
    </row>
    <row r="6441" spans="37:44" ht="30" customHeight="1">
      <c r="AK6441" s="318"/>
      <c r="AL6441" s="318"/>
      <c r="AM6441" s="318"/>
      <c r="AN6441" s="318"/>
      <c r="AO6441" s="318"/>
      <c r="AP6441" s="318"/>
      <c r="AQ6441" s="318"/>
      <c r="AR6441" s="319"/>
    </row>
    <row r="6442" spans="37:44" ht="30" customHeight="1">
      <c r="AK6442" s="318"/>
      <c r="AL6442" s="318"/>
      <c r="AM6442" s="318"/>
      <c r="AN6442" s="318"/>
      <c r="AO6442" s="318"/>
      <c r="AP6442" s="318"/>
      <c r="AQ6442" s="318"/>
      <c r="AR6442" s="319"/>
    </row>
    <row r="6443" spans="37:44" ht="30" customHeight="1">
      <c r="AK6443" s="318"/>
      <c r="AL6443" s="318"/>
      <c r="AM6443" s="318"/>
      <c r="AN6443" s="318"/>
      <c r="AO6443" s="318"/>
      <c r="AP6443" s="318"/>
      <c r="AQ6443" s="318"/>
      <c r="AR6443" s="319"/>
    </row>
    <row r="6444" spans="37:44" ht="30" customHeight="1">
      <c r="AK6444" s="318"/>
      <c r="AL6444" s="318"/>
      <c r="AM6444" s="318"/>
      <c r="AN6444" s="318"/>
      <c r="AO6444" s="318"/>
      <c r="AP6444" s="318"/>
      <c r="AQ6444" s="318"/>
      <c r="AR6444" s="319"/>
    </row>
    <row r="6445" spans="37:44" ht="30" customHeight="1">
      <c r="AK6445" s="318"/>
      <c r="AL6445" s="318"/>
      <c r="AM6445" s="318"/>
      <c r="AN6445" s="318"/>
      <c r="AO6445" s="318"/>
      <c r="AP6445" s="318"/>
      <c r="AQ6445" s="318"/>
      <c r="AR6445" s="319"/>
    </row>
    <row r="6446" spans="37:44" ht="30" customHeight="1">
      <c r="AK6446" s="318"/>
      <c r="AL6446" s="318"/>
      <c r="AM6446" s="318"/>
      <c r="AN6446" s="318"/>
      <c r="AO6446" s="318"/>
      <c r="AP6446" s="318"/>
      <c r="AQ6446" s="318"/>
      <c r="AR6446" s="319"/>
    </row>
    <row r="6447" spans="37:44" ht="30" customHeight="1">
      <c r="AK6447" s="318"/>
      <c r="AL6447" s="318"/>
      <c r="AM6447" s="318"/>
      <c r="AN6447" s="318"/>
      <c r="AO6447" s="318"/>
      <c r="AP6447" s="318"/>
      <c r="AQ6447" s="318"/>
      <c r="AR6447" s="319"/>
    </row>
    <row r="6448" spans="37:44" ht="30" customHeight="1">
      <c r="AK6448" s="318"/>
      <c r="AL6448" s="318"/>
      <c r="AM6448" s="318"/>
      <c r="AN6448" s="318"/>
      <c r="AO6448" s="318"/>
      <c r="AP6448" s="318"/>
      <c r="AQ6448" s="318"/>
      <c r="AR6448" s="319"/>
    </row>
    <row r="6449" spans="37:44" ht="30" customHeight="1">
      <c r="AK6449" s="318"/>
      <c r="AL6449" s="318"/>
      <c r="AM6449" s="318"/>
      <c r="AN6449" s="318"/>
      <c r="AO6449" s="318"/>
      <c r="AP6449" s="318"/>
      <c r="AQ6449" s="318"/>
      <c r="AR6449" s="319"/>
    </row>
    <row r="6450" spans="37:44" ht="30" customHeight="1">
      <c r="AK6450" s="318"/>
      <c r="AL6450" s="318"/>
      <c r="AM6450" s="318"/>
      <c r="AN6450" s="318"/>
      <c r="AO6450" s="318"/>
      <c r="AP6450" s="318"/>
      <c r="AQ6450" s="318"/>
      <c r="AR6450" s="319"/>
    </row>
    <row r="6451" spans="37:44" ht="30" customHeight="1">
      <c r="AK6451" s="318"/>
      <c r="AL6451" s="318"/>
      <c r="AM6451" s="318"/>
      <c r="AN6451" s="318"/>
      <c r="AO6451" s="318"/>
      <c r="AP6451" s="318"/>
      <c r="AQ6451" s="318"/>
      <c r="AR6451" s="319"/>
    </row>
    <row r="6452" spans="37:44" ht="30" customHeight="1">
      <c r="AK6452" s="318"/>
      <c r="AL6452" s="318"/>
      <c r="AM6452" s="318"/>
      <c r="AN6452" s="318"/>
      <c r="AO6452" s="318"/>
      <c r="AP6452" s="318"/>
      <c r="AQ6452" s="318"/>
      <c r="AR6452" s="319"/>
    </row>
    <row r="6453" spans="37:44" ht="30" customHeight="1">
      <c r="AK6453" s="318"/>
      <c r="AL6453" s="318"/>
      <c r="AM6453" s="318"/>
      <c r="AN6453" s="318"/>
      <c r="AO6453" s="318"/>
      <c r="AP6453" s="318"/>
      <c r="AQ6453" s="318"/>
      <c r="AR6453" s="319"/>
    </row>
    <row r="6454" spans="37:44" ht="30" customHeight="1">
      <c r="AK6454" s="318"/>
      <c r="AL6454" s="318"/>
      <c r="AM6454" s="318"/>
      <c r="AN6454" s="318"/>
      <c r="AO6454" s="318"/>
      <c r="AP6454" s="318"/>
      <c r="AQ6454" s="318"/>
      <c r="AR6454" s="319"/>
    </row>
    <row r="6455" spans="37:44" ht="30" customHeight="1">
      <c r="AK6455" s="318"/>
      <c r="AL6455" s="318"/>
      <c r="AM6455" s="318"/>
      <c r="AN6455" s="318"/>
      <c r="AO6455" s="318"/>
      <c r="AP6455" s="318"/>
      <c r="AQ6455" s="318"/>
      <c r="AR6455" s="319"/>
    </row>
    <row r="6456" spans="37:44" ht="30" customHeight="1">
      <c r="AK6456" s="318"/>
      <c r="AL6456" s="318"/>
      <c r="AM6456" s="318"/>
      <c r="AN6456" s="318"/>
      <c r="AO6456" s="318"/>
      <c r="AP6456" s="318"/>
      <c r="AQ6456" s="318"/>
      <c r="AR6456" s="319"/>
    </row>
    <row r="6457" spans="37:44" ht="30" customHeight="1">
      <c r="AK6457" s="318"/>
      <c r="AL6457" s="318"/>
      <c r="AM6457" s="318"/>
      <c r="AN6457" s="318"/>
      <c r="AO6457" s="318"/>
      <c r="AP6457" s="318"/>
      <c r="AQ6457" s="318"/>
      <c r="AR6457" s="319"/>
    </row>
    <row r="6458" spans="37:44" ht="30" customHeight="1">
      <c r="AK6458" s="318"/>
      <c r="AL6458" s="318"/>
      <c r="AM6458" s="318"/>
      <c r="AN6458" s="318"/>
      <c r="AO6458" s="318"/>
      <c r="AP6458" s="318"/>
      <c r="AQ6458" s="318"/>
      <c r="AR6458" s="319"/>
    </row>
    <row r="6459" spans="37:44" ht="30" customHeight="1">
      <c r="AK6459" s="318"/>
      <c r="AL6459" s="318"/>
      <c r="AM6459" s="318"/>
      <c r="AN6459" s="318"/>
      <c r="AO6459" s="318"/>
      <c r="AP6459" s="318"/>
      <c r="AQ6459" s="318"/>
      <c r="AR6459" s="319"/>
    </row>
    <row r="6460" spans="37:44" ht="30" customHeight="1">
      <c r="AK6460" s="318"/>
      <c r="AL6460" s="318"/>
      <c r="AM6460" s="318"/>
      <c r="AN6460" s="318"/>
      <c r="AO6460" s="318"/>
      <c r="AP6460" s="318"/>
      <c r="AQ6460" s="318"/>
      <c r="AR6460" s="319"/>
    </row>
    <row r="6461" spans="37:44" ht="30" customHeight="1">
      <c r="AK6461" s="318"/>
      <c r="AL6461" s="318"/>
      <c r="AM6461" s="318"/>
      <c r="AN6461" s="318"/>
      <c r="AO6461" s="318"/>
      <c r="AP6461" s="318"/>
      <c r="AQ6461" s="318"/>
      <c r="AR6461" s="319"/>
    </row>
    <row r="6462" spans="37:44" ht="30" customHeight="1">
      <c r="AK6462" s="318"/>
      <c r="AL6462" s="318"/>
      <c r="AM6462" s="318"/>
      <c r="AN6462" s="318"/>
      <c r="AO6462" s="318"/>
      <c r="AP6462" s="318"/>
      <c r="AQ6462" s="318"/>
      <c r="AR6462" s="319"/>
    </row>
    <row r="6463" spans="37:44" ht="30" customHeight="1">
      <c r="AK6463" s="318"/>
      <c r="AL6463" s="318"/>
      <c r="AM6463" s="318"/>
      <c r="AN6463" s="318"/>
      <c r="AO6463" s="318"/>
      <c r="AP6463" s="318"/>
      <c r="AQ6463" s="318"/>
      <c r="AR6463" s="319"/>
    </row>
    <row r="6464" spans="37:44" ht="30" customHeight="1">
      <c r="AK6464" s="318"/>
      <c r="AL6464" s="318"/>
      <c r="AM6464" s="318"/>
      <c r="AN6464" s="318"/>
      <c r="AO6464" s="318"/>
      <c r="AP6464" s="318"/>
      <c r="AQ6464" s="318"/>
      <c r="AR6464" s="319"/>
    </row>
    <row r="6465" spans="37:44" ht="30" customHeight="1">
      <c r="AK6465" s="318"/>
      <c r="AL6465" s="318"/>
      <c r="AM6465" s="318"/>
      <c r="AN6465" s="318"/>
      <c r="AO6465" s="318"/>
      <c r="AP6465" s="318"/>
      <c r="AQ6465" s="318"/>
      <c r="AR6465" s="319"/>
    </row>
    <row r="6466" spans="37:44" ht="30" customHeight="1">
      <c r="AK6466" s="318"/>
      <c r="AL6466" s="318"/>
      <c r="AM6466" s="318"/>
      <c r="AN6466" s="318"/>
      <c r="AO6466" s="318"/>
      <c r="AP6466" s="318"/>
      <c r="AQ6466" s="318"/>
      <c r="AR6466" s="319"/>
    </row>
    <row r="6467" spans="37:44" ht="30" customHeight="1">
      <c r="AK6467" s="318"/>
      <c r="AL6467" s="318"/>
      <c r="AM6467" s="318"/>
      <c r="AN6467" s="318"/>
      <c r="AO6467" s="318"/>
      <c r="AP6467" s="318"/>
      <c r="AQ6467" s="318"/>
      <c r="AR6467" s="319"/>
    </row>
    <row r="6468" spans="37:44" ht="30" customHeight="1">
      <c r="AK6468" s="318"/>
      <c r="AL6468" s="318"/>
      <c r="AM6468" s="318"/>
      <c r="AN6468" s="318"/>
      <c r="AO6468" s="318"/>
      <c r="AP6468" s="318"/>
      <c r="AQ6468" s="318"/>
      <c r="AR6468" s="319"/>
    </row>
    <row r="6469" spans="37:44" ht="30" customHeight="1">
      <c r="AK6469" s="318"/>
      <c r="AL6469" s="318"/>
      <c r="AM6469" s="318"/>
      <c r="AN6469" s="318"/>
      <c r="AO6469" s="318"/>
      <c r="AP6469" s="318"/>
      <c r="AQ6469" s="318"/>
      <c r="AR6469" s="319"/>
    </row>
    <row r="6470" spans="37:44" ht="30" customHeight="1">
      <c r="AK6470" s="318"/>
      <c r="AL6470" s="318"/>
      <c r="AM6470" s="318"/>
      <c r="AN6470" s="318"/>
      <c r="AO6470" s="318"/>
      <c r="AP6470" s="318"/>
      <c r="AQ6470" s="318"/>
      <c r="AR6470" s="319"/>
    </row>
    <row r="6471" spans="37:44" ht="30" customHeight="1">
      <c r="AK6471" s="318"/>
      <c r="AL6471" s="318"/>
      <c r="AM6471" s="318"/>
      <c r="AN6471" s="318"/>
      <c r="AO6471" s="318"/>
      <c r="AP6471" s="318"/>
      <c r="AQ6471" s="318"/>
      <c r="AR6471" s="319"/>
    </row>
    <row r="6472" spans="37:44" ht="30" customHeight="1">
      <c r="AK6472" s="318"/>
      <c r="AL6472" s="318"/>
      <c r="AM6472" s="318"/>
      <c r="AN6472" s="318"/>
      <c r="AO6472" s="318"/>
      <c r="AP6472" s="318"/>
      <c r="AQ6472" s="318"/>
      <c r="AR6472" s="319"/>
    </row>
    <row r="6473" spans="37:44" ht="30" customHeight="1">
      <c r="AK6473" s="318"/>
      <c r="AL6473" s="318"/>
      <c r="AM6473" s="318"/>
      <c r="AN6473" s="318"/>
      <c r="AO6473" s="318"/>
      <c r="AP6473" s="318"/>
      <c r="AQ6473" s="318"/>
      <c r="AR6473" s="319"/>
    </row>
    <row r="6474" spans="37:44" ht="30" customHeight="1">
      <c r="AK6474" s="318"/>
      <c r="AL6474" s="318"/>
      <c r="AM6474" s="318"/>
      <c r="AN6474" s="318"/>
      <c r="AO6474" s="318"/>
      <c r="AP6474" s="318"/>
      <c r="AQ6474" s="318"/>
      <c r="AR6474" s="319"/>
    </row>
    <row r="6475" spans="37:44" ht="30" customHeight="1">
      <c r="AK6475" s="318"/>
      <c r="AL6475" s="318"/>
      <c r="AM6475" s="318"/>
      <c r="AN6475" s="318"/>
      <c r="AO6475" s="318"/>
      <c r="AP6475" s="318"/>
      <c r="AQ6475" s="318"/>
      <c r="AR6475" s="319"/>
    </row>
    <row r="6476" spans="37:44" ht="30" customHeight="1">
      <c r="AK6476" s="318"/>
      <c r="AL6476" s="318"/>
      <c r="AM6476" s="318"/>
      <c r="AN6476" s="318"/>
      <c r="AO6476" s="318"/>
      <c r="AP6476" s="318"/>
      <c r="AQ6476" s="318"/>
      <c r="AR6476" s="319"/>
    </row>
    <row r="6477" spans="37:44" ht="30" customHeight="1">
      <c r="AK6477" s="318"/>
      <c r="AL6477" s="318"/>
      <c r="AM6477" s="318"/>
      <c r="AN6477" s="318"/>
      <c r="AO6477" s="318"/>
      <c r="AP6477" s="318"/>
      <c r="AQ6477" s="318"/>
      <c r="AR6477" s="319"/>
    </row>
    <row r="6478" spans="37:44" ht="30" customHeight="1">
      <c r="AK6478" s="318"/>
      <c r="AL6478" s="318"/>
      <c r="AM6478" s="318"/>
      <c r="AN6478" s="318"/>
      <c r="AO6478" s="318"/>
      <c r="AP6478" s="318"/>
      <c r="AQ6478" s="318"/>
      <c r="AR6478" s="319"/>
    </row>
    <row r="6479" spans="37:44" ht="30" customHeight="1">
      <c r="AK6479" s="318"/>
      <c r="AL6479" s="318"/>
      <c r="AM6479" s="318"/>
      <c r="AN6479" s="318"/>
      <c r="AO6479" s="318"/>
      <c r="AP6479" s="318"/>
      <c r="AQ6479" s="318"/>
      <c r="AR6479" s="319"/>
    </row>
    <row r="6480" spans="37:44" ht="30" customHeight="1">
      <c r="AK6480" s="318"/>
      <c r="AL6480" s="318"/>
      <c r="AM6480" s="318"/>
      <c r="AN6480" s="318"/>
      <c r="AO6480" s="318"/>
      <c r="AP6480" s="318"/>
      <c r="AQ6480" s="318"/>
      <c r="AR6480" s="319"/>
    </row>
    <row r="6481" spans="37:44" ht="30" customHeight="1">
      <c r="AK6481" s="318"/>
      <c r="AL6481" s="318"/>
      <c r="AM6481" s="318"/>
      <c r="AN6481" s="318"/>
      <c r="AO6481" s="318"/>
      <c r="AP6481" s="318"/>
      <c r="AQ6481" s="318"/>
      <c r="AR6481" s="319"/>
    </row>
    <row r="6482" spans="37:44" ht="30" customHeight="1">
      <c r="AK6482" s="318"/>
      <c r="AL6482" s="318"/>
      <c r="AM6482" s="318"/>
      <c r="AN6482" s="318"/>
      <c r="AO6482" s="318"/>
      <c r="AP6482" s="318"/>
      <c r="AQ6482" s="318"/>
      <c r="AR6482" s="319"/>
    </row>
    <row r="6483" spans="37:44" ht="30" customHeight="1">
      <c r="AK6483" s="318"/>
      <c r="AL6483" s="318"/>
      <c r="AM6483" s="318"/>
      <c r="AN6483" s="318"/>
      <c r="AO6483" s="318"/>
      <c r="AP6483" s="318"/>
      <c r="AQ6483" s="318"/>
      <c r="AR6483" s="319"/>
    </row>
    <row r="6484" spans="37:44" ht="30" customHeight="1">
      <c r="AK6484" s="318"/>
      <c r="AL6484" s="318"/>
      <c r="AM6484" s="318"/>
      <c r="AN6484" s="318"/>
      <c r="AO6484" s="318"/>
      <c r="AP6484" s="318"/>
      <c r="AQ6484" s="318"/>
      <c r="AR6484" s="319"/>
    </row>
    <row r="6485" spans="37:44" ht="30" customHeight="1">
      <c r="AK6485" s="318"/>
      <c r="AL6485" s="318"/>
      <c r="AM6485" s="318"/>
      <c r="AN6485" s="318"/>
      <c r="AO6485" s="318"/>
      <c r="AP6485" s="318"/>
      <c r="AQ6485" s="318"/>
      <c r="AR6485" s="319"/>
    </row>
    <row r="6486" spans="37:44" ht="30" customHeight="1">
      <c r="AK6486" s="318"/>
      <c r="AL6486" s="318"/>
      <c r="AM6486" s="318"/>
      <c r="AN6486" s="318"/>
      <c r="AO6486" s="318"/>
      <c r="AP6486" s="318"/>
      <c r="AQ6486" s="318"/>
      <c r="AR6486" s="319"/>
    </row>
    <row r="6487" spans="37:44" ht="30" customHeight="1">
      <c r="AK6487" s="318"/>
      <c r="AL6487" s="318"/>
      <c r="AM6487" s="318"/>
      <c r="AN6487" s="318"/>
      <c r="AO6487" s="318"/>
      <c r="AP6487" s="318"/>
      <c r="AQ6487" s="318"/>
      <c r="AR6487" s="319"/>
    </row>
    <row r="6488" spans="37:44" ht="30" customHeight="1">
      <c r="AK6488" s="318"/>
      <c r="AL6488" s="318"/>
      <c r="AM6488" s="318"/>
      <c r="AN6488" s="318"/>
      <c r="AO6488" s="318"/>
      <c r="AP6488" s="318"/>
      <c r="AQ6488" s="318"/>
      <c r="AR6488" s="319"/>
    </row>
    <row r="6489" spans="37:44" ht="30" customHeight="1">
      <c r="AK6489" s="318"/>
      <c r="AL6489" s="318"/>
      <c r="AM6489" s="318"/>
      <c r="AN6489" s="318"/>
      <c r="AO6489" s="318"/>
      <c r="AP6489" s="318"/>
      <c r="AQ6489" s="318"/>
      <c r="AR6489" s="319"/>
    </row>
    <row r="6490" spans="37:44" ht="30" customHeight="1">
      <c r="AK6490" s="318"/>
      <c r="AL6490" s="318"/>
      <c r="AM6490" s="318"/>
      <c r="AN6490" s="318"/>
      <c r="AO6490" s="318"/>
      <c r="AP6490" s="318"/>
      <c r="AQ6490" s="318"/>
      <c r="AR6490" s="319"/>
    </row>
    <row r="6491" spans="37:44" ht="30" customHeight="1">
      <c r="AK6491" s="318"/>
      <c r="AL6491" s="318"/>
      <c r="AM6491" s="318"/>
      <c r="AN6491" s="318"/>
      <c r="AO6491" s="318"/>
      <c r="AP6491" s="318"/>
      <c r="AQ6491" s="318"/>
      <c r="AR6491" s="319"/>
    </row>
    <row r="6492" spans="37:44" ht="30" customHeight="1">
      <c r="AK6492" s="318"/>
      <c r="AL6492" s="318"/>
      <c r="AM6492" s="318"/>
      <c r="AN6492" s="318"/>
      <c r="AO6492" s="318"/>
      <c r="AP6492" s="318"/>
      <c r="AQ6492" s="318"/>
      <c r="AR6492" s="319"/>
    </row>
    <row r="6493" spans="37:44" ht="30" customHeight="1">
      <c r="AK6493" s="318"/>
      <c r="AL6493" s="318"/>
      <c r="AM6493" s="318"/>
      <c r="AN6493" s="318"/>
      <c r="AO6493" s="318"/>
      <c r="AP6493" s="318"/>
      <c r="AQ6493" s="318"/>
      <c r="AR6493" s="319"/>
    </row>
    <row r="6494" spans="37:44" ht="30" customHeight="1">
      <c r="AK6494" s="318"/>
      <c r="AL6494" s="318"/>
      <c r="AM6494" s="318"/>
      <c r="AN6494" s="318"/>
      <c r="AO6494" s="318"/>
      <c r="AP6494" s="318"/>
      <c r="AQ6494" s="318"/>
      <c r="AR6494" s="319"/>
    </row>
    <row r="6495" spans="37:44" ht="30" customHeight="1">
      <c r="AK6495" s="318"/>
      <c r="AL6495" s="318"/>
      <c r="AM6495" s="318"/>
      <c r="AN6495" s="318"/>
      <c r="AO6495" s="318"/>
      <c r="AP6495" s="318"/>
      <c r="AQ6495" s="318"/>
      <c r="AR6495" s="319"/>
    </row>
    <row r="6496" spans="37:44" ht="30" customHeight="1">
      <c r="AK6496" s="318"/>
      <c r="AL6496" s="318"/>
      <c r="AM6496" s="318"/>
      <c r="AN6496" s="318"/>
      <c r="AO6496" s="318"/>
      <c r="AP6496" s="318"/>
      <c r="AQ6496" s="318"/>
      <c r="AR6496" s="319"/>
    </row>
    <row r="6497" spans="37:44" ht="30" customHeight="1">
      <c r="AK6497" s="318"/>
      <c r="AL6497" s="318"/>
      <c r="AM6497" s="318"/>
      <c r="AN6497" s="318"/>
      <c r="AO6497" s="318"/>
      <c r="AP6497" s="318"/>
      <c r="AQ6497" s="318"/>
      <c r="AR6497" s="319"/>
    </row>
    <row r="6498" spans="37:44" ht="30" customHeight="1">
      <c r="AK6498" s="318"/>
      <c r="AL6498" s="318"/>
      <c r="AM6498" s="318"/>
      <c r="AN6498" s="318"/>
      <c r="AO6498" s="318"/>
      <c r="AP6498" s="318"/>
      <c r="AQ6498" s="318"/>
      <c r="AR6498" s="319"/>
    </row>
    <row r="6499" spans="37:44" ht="30" customHeight="1">
      <c r="AK6499" s="318"/>
      <c r="AL6499" s="318"/>
      <c r="AM6499" s="318"/>
      <c r="AN6499" s="318"/>
      <c r="AO6499" s="318"/>
      <c r="AP6499" s="318"/>
      <c r="AQ6499" s="318"/>
      <c r="AR6499" s="319"/>
    </row>
    <row r="6500" spans="37:44" ht="30" customHeight="1">
      <c r="AK6500" s="318"/>
      <c r="AL6500" s="318"/>
      <c r="AM6500" s="318"/>
      <c r="AN6500" s="318"/>
      <c r="AO6500" s="318"/>
      <c r="AP6500" s="318"/>
      <c r="AQ6500" s="318"/>
      <c r="AR6500" s="319"/>
    </row>
    <row r="6501" spans="37:44" ht="30" customHeight="1">
      <c r="AK6501" s="318"/>
      <c r="AL6501" s="318"/>
      <c r="AM6501" s="318"/>
      <c r="AN6501" s="318"/>
      <c r="AO6501" s="318"/>
      <c r="AP6501" s="318"/>
      <c r="AQ6501" s="318"/>
      <c r="AR6501" s="319"/>
    </row>
    <row r="6502" spans="37:44" ht="30" customHeight="1">
      <c r="AK6502" s="318"/>
      <c r="AL6502" s="318"/>
      <c r="AM6502" s="318"/>
      <c r="AN6502" s="318"/>
      <c r="AO6502" s="318"/>
      <c r="AP6502" s="318"/>
      <c r="AQ6502" s="318"/>
      <c r="AR6502" s="319"/>
    </row>
    <row r="6503" spans="37:44" ht="30" customHeight="1">
      <c r="AK6503" s="318"/>
      <c r="AL6503" s="318"/>
      <c r="AM6503" s="318"/>
      <c r="AN6503" s="318"/>
      <c r="AO6503" s="318"/>
      <c r="AP6503" s="318"/>
      <c r="AQ6503" s="318"/>
      <c r="AR6503" s="319"/>
    </row>
    <row r="6504" spans="37:44" ht="30" customHeight="1">
      <c r="AK6504" s="318"/>
      <c r="AL6504" s="318"/>
      <c r="AM6504" s="318"/>
      <c r="AN6504" s="318"/>
      <c r="AO6504" s="318"/>
      <c r="AP6504" s="318"/>
      <c r="AQ6504" s="318"/>
      <c r="AR6504" s="319"/>
    </row>
    <row r="6505" spans="37:44" ht="30" customHeight="1">
      <c r="AK6505" s="318"/>
      <c r="AL6505" s="318"/>
      <c r="AM6505" s="318"/>
      <c r="AN6505" s="318"/>
      <c r="AO6505" s="318"/>
      <c r="AP6505" s="318"/>
      <c r="AQ6505" s="318"/>
      <c r="AR6505" s="319"/>
    </row>
    <row r="6506" spans="37:44" ht="30" customHeight="1">
      <c r="AK6506" s="318"/>
      <c r="AL6506" s="318"/>
      <c r="AM6506" s="318"/>
      <c r="AN6506" s="318"/>
      <c r="AO6506" s="318"/>
      <c r="AP6506" s="318"/>
      <c r="AQ6506" s="318"/>
      <c r="AR6506" s="319"/>
    </row>
    <row r="6507" spans="37:44" ht="30" customHeight="1">
      <c r="AK6507" s="318"/>
      <c r="AL6507" s="318"/>
      <c r="AM6507" s="318"/>
      <c r="AN6507" s="318"/>
      <c r="AO6507" s="318"/>
      <c r="AP6507" s="318"/>
      <c r="AQ6507" s="318"/>
      <c r="AR6507" s="319"/>
    </row>
    <row r="6508" spans="37:44" ht="30" customHeight="1">
      <c r="AK6508" s="318"/>
      <c r="AL6508" s="318"/>
      <c r="AM6508" s="318"/>
      <c r="AN6508" s="318"/>
      <c r="AO6508" s="318"/>
      <c r="AP6508" s="318"/>
      <c r="AQ6508" s="318"/>
      <c r="AR6508" s="319"/>
    </row>
    <row r="6509" spans="37:44" ht="30" customHeight="1">
      <c r="AK6509" s="318"/>
      <c r="AL6509" s="318"/>
      <c r="AM6509" s="318"/>
      <c r="AN6509" s="318"/>
      <c r="AO6509" s="318"/>
      <c r="AP6509" s="318"/>
      <c r="AQ6509" s="318"/>
      <c r="AR6509" s="319"/>
    </row>
    <row r="6510" spans="37:44" ht="30" customHeight="1">
      <c r="AK6510" s="318"/>
      <c r="AL6510" s="318"/>
      <c r="AM6510" s="318"/>
      <c r="AN6510" s="318"/>
      <c r="AO6510" s="318"/>
      <c r="AP6510" s="318"/>
      <c r="AQ6510" s="318"/>
      <c r="AR6510" s="319"/>
    </row>
    <row r="6511" spans="37:44" ht="30" customHeight="1">
      <c r="AK6511" s="318"/>
      <c r="AL6511" s="318"/>
      <c r="AM6511" s="318"/>
      <c r="AN6511" s="318"/>
      <c r="AO6511" s="318"/>
      <c r="AP6511" s="318"/>
      <c r="AQ6511" s="318"/>
      <c r="AR6511" s="319"/>
    </row>
    <row r="6512" spans="37:44" ht="30" customHeight="1">
      <c r="AK6512" s="318"/>
      <c r="AL6512" s="318"/>
      <c r="AM6512" s="318"/>
      <c r="AN6512" s="318"/>
      <c r="AO6512" s="318"/>
      <c r="AP6512" s="318"/>
      <c r="AQ6512" s="318"/>
      <c r="AR6512" s="319"/>
    </row>
    <row r="6513" spans="37:44" ht="30" customHeight="1">
      <c r="AK6513" s="318"/>
      <c r="AL6513" s="318"/>
      <c r="AM6513" s="318"/>
      <c r="AN6513" s="318"/>
      <c r="AO6513" s="318"/>
      <c r="AP6513" s="318"/>
      <c r="AQ6513" s="318"/>
      <c r="AR6513" s="319"/>
    </row>
    <row r="6514" spans="37:44" ht="30" customHeight="1">
      <c r="AK6514" s="318"/>
      <c r="AL6514" s="318"/>
      <c r="AM6514" s="318"/>
      <c r="AN6514" s="318"/>
      <c r="AO6514" s="318"/>
      <c r="AP6514" s="318"/>
      <c r="AQ6514" s="318"/>
      <c r="AR6514" s="319"/>
    </row>
    <row r="6515" spans="37:44" ht="30" customHeight="1">
      <c r="AK6515" s="318"/>
      <c r="AL6515" s="318"/>
      <c r="AM6515" s="318"/>
      <c r="AN6515" s="318"/>
      <c r="AO6515" s="318"/>
      <c r="AP6515" s="318"/>
      <c r="AQ6515" s="318"/>
      <c r="AR6515" s="319"/>
    </row>
    <row r="6516" spans="37:44" ht="30" customHeight="1">
      <c r="AK6516" s="318"/>
      <c r="AL6516" s="318"/>
      <c r="AM6516" s="318"/>
      <c r="AN6516" s="318"/>
      <c r="AO6516" s="318"/>
      <c r="AP6516" s="318"/>
      <c r="AQ6516" s="318"/>
      <c r="AR6516" s="319"/>
    </row>
    <row r="6517" spans="37:44" ht="30" customHeight="1">
      <c r="AK6517" s="318"/>
      <c r="AL6517" s="318"/>
      <c r="AM6517" s="318"/>
      <c r="AN6517" s="318"/>
      <c r="AO6517" s="318"/>
      <c r="AP6517" s="318"/>
      <c r="AQ6517" s="318"/>
      <c r="AR6517" s="319"/>
    </row>
    <row r="6518" spans="37:44" ht="30" customHeight="1">
      <c r="AK6518" s="318"/>
      <c r="AL6518" s="318"/>
      <c r="AM6518" s="318"/>
      <c r="AN6518" s="318"/>
      <c r="AO6518" s="318"/>
      <c r="AP6518" s="318"/>
      <c r="AQ6518" s="318"/>
      <c r="AR6518" s="319"/>
    </row>
    <row r="6519" spans="37:44" ht="30" customHeight="1">
      <c r="AK6519" s="318"/>
      <c r="AL6519" s="318"/>
      <c r="AM6519" s="318"/>
      <c r="AN6519" s="318"/>
      <c r="AO6519" s="318"/>
      <c r="AP6519" s="318"/>
      <c r="AQ6519" s="318"/>
      <c r="AR6519" s="319"/>
    </row>
    <row r="6520" spans="37:44" ht="30" customHeight="1">
      <c r="AK6520" s="318"/>
      <c r="AL6520" s="318"/>
      <c r="AM6520" s="318"/>
      <c r="AN6520" s="318"/>
      <c r="AO6520" s="318"/>
      <c r="AP6520" s="318"/>
      <c r="AQ6520" s="318"/>
      <c r="AR6520" s="319"/>
    </row>
    <row r="6521" spans="37:44" ht="30" customHeight="1">
      <c r="AK6521" s="318"/>
      <c r="AL6521" s="318"/>
      <c r="AM6521" s="318"/>
      <c r="AN6521" s="318"/>
      <c r="AO6521" s="318"/>
      <c r="AP6521" s="318"/>
      <c r="AQ6521" s="318"/>
      <c r="AR6521" s="319"/>
    </row>
    <row r="6522" spans="37:44" ht="30" customHeight="1">
      <c r="AK6522" s="318"/>
      <c r="AL6522" s="318"/>
      <c r="AM6522" s="318"/>
      <c r="AN6522" s="318"/>
      <c r="AO6522" s="318"/>
      <c r="AP6522" s="318"/>
      <c r="AQ6522" s="318"/>
      <c r="AR6522" s="319"/>
    </row>
    <row r="6523" spans="37:44" ht="30" customHeight="1">
      <c r="AK6523" s="318"/>
      <c r="AL6523" s="318"/>
      <c r="AM6523" s="318"/>
      <c r="AN6523" s="318"/>
      <c r="AO6523" s="318"/>
      <c r="AP6523" s="318"/>
      <c r="AQ6523" s="318"/>
      <c r="AR6523" s="319"/>
    </row>
    <row r="6524" spans="37:44" ht="30" customHeight="1">
      <c r="AK6524" s="318"/>
      <c r="AL6524" s="318"/>
      <c r="AM6524" s="318"/>
      <c r="AN6524" s="318"/>
      <c r="AO6524" s="318"/>
      <c r="AP6524" s="318"/>
      <c r="AQ6524" s="318"/>
      <c r="AR6524" s="319"/>
    </row>
    <row r="6525" spans="37:44" ht="30" customHeight="1">
      <c r="AK6525" s="318"/>
      <c r="AL6525" s="318"/>
      <c r="AM6525" s="318"/>
      <c r="AN6525" s="318"/>
      <c r="AO6525" s="318"/>
      <c r="AP6525" s="318"/>
      <c r="AQ6525" s="318"/>
      <c r="AR6525" s="319"/>
    </row>
    <row r="6526" spans="37:44" ht="30" customHeight="1">
      <c r="AK6526" s="318"/>
      <c r="AL6526" s="318"/>
      <c r="AM6526" s="318"/>
      <c r="AN6526" s="318"/>
      <c r="AO6526" s="318"/>
      <c r="AP6526" s="318"/>
      <c r="AQ6526" s="318"/>
      <c r="AR6526" s="319"/>
    </row>
    <row r="6527" spans="37:44" ht="30" customHeight="1">
      <c r="AK6527" s="318"/>
      <c r="AL6527" s="318"/>
      <c r="AM6527" s="318"/>
      <c r="AN6527" s="318"/>
      <c r="AO6527" s="318"/>
      <c r="AP6527" s="318"/>
      <c r="AQ6527" s="318"/>
      <c r="AR6527" s="319"/>
    </row>
    <row r="6528" spans="37:44" ht="30" customHeight="1">
      <c r="AK6528" s="318"/>
      <c r="AL6528" s="318"/>
      <c r="AM6528" s="318"/>
      <c r="AN6528" s="318"/>
      <c r="AO6528" s="318"/>
      <c r="AP6528" s="318"/>
      <c r="AQ6528" s="318"/>
      <c r="AR6528" s="319"/>
    </row>
    <row r="6529" spans="37:44" ht="30" customHeight="1">
      <c r="AK6529" s="318"/>
      <c r="AL6529" s="318"/>
      <c r="AM6529" s="318"/>
      <c r="AN6529" s="318"/>
      <c r="AO6529" s="318"/>
      <c r="AP6529" s="318"/>
      <c r="AQ6529" s="318"/>
      <c r="AR6529" s="319"/>
    </row>
    <row r="6530" spans="37:44" ht="30" customHeight="1">
      <c r="AK6530" s="318"/>
      <c r="AL6530" s="318"/>
      <c r="AM6530" s="318"/>
      <c r="AN6530" s="318"/>
      <c r="AO6530" s="318"/>
      <c r="AP6530" s="318"/>
      <c r="AQ6530" s="318"/>
      <c r="AR6530" s="319"/>
    </row>
    <row r="6531" spans="37:44" ht="30" customHeight="1">
      <c r="AK6531" s="318"/>
      <c r="AL6531" s="318"/>
      <c r="AM6531" s="318"/>
      <c r="AN6531" s="318"/>
      <c r="AO6531" s="318"/>
      <c r="AP6531" s="318"/>
      <c r="AQ6531" s="318"/>
      <c r="AR6531" s="319"/>
    </row>
    <row r="6532" spans="37:44" ht="30" customHeight="1">
      <c r="AK6532" s="318"/>
      <c r="AL6532" s="318"/>
      <c r="AM6532" s="318"/>
      <c r="AN6532" s="318"/>
      <c r="AO6532" s="318"/>
      <c r="AP6532" s="318"/>
      <c r="AQ6532" s="318"/>
      <c r="AR6532" s="319"/>
    </row>
    <row r="6533" spans="37:44" ht="30" customHeight="1">
      <c r="AK6533" s="318"/>
      <c r="AL6533" s="318"/>
      <c r="AM6533" s="318"/>
      <c r="AN6533" s="318"/>
      <c r="AO6533" s="318"/>
      <c r="AP6533" s="318"/>
      <c r="AQ6533" s="318"/>
      <c r="AR6533" s="319"/>
    </row>
    <row r="6534" spans="37:44" ht="30" customHeight="1">
      <c r="AK6534" s="318"/>
      <c r="AL6534" s="318"/>
      <c r="AM6534" s="318"/>
      <c r="AN6534" s="318"/>
      <c r="AO6534" s="318"/>
      <c r="AP6534" s="318"/>
      <c r="AQ6534" s="318"/>
      <c r="AR6534" s="319"/>
    </row>
    <row r="6535" spans="37:44" ht="30" customHeight="1">
      <c r="AK6535" s="318"/>
      <c r="AL6535" s="318"/>
      <c r="AM6535" s="318"/>
      <c r="AN6535" s="318"/>
      <c r="AO6535" s="318"/>
      <c r="AP6535" s="318"/>
      <c r="AQ6535" s="318"/>
      <c r="AR6535" s="319"/>
    </row>
    <row r="6536" spans="37:44" ht="30" customHeight="1">
      <c r="AK6536" s="318"/>
      <c r="AL6536" s="318"/>
      <c r="AM6536" s="318"/>
      <c r="AN6536" s="318"/>
      <c r="AO6536" s="318"/>
      <c r="AP6536" s="318"/>
      <c r="AQ6536" s="318"/>
      <c r="AR6536" s="319"/>
    </row>
    <row r="6537" spans="37:44" ht="30" customHeight="1">
      <c r="AK6537" s="318"/>
      <c r="AL6537" s="318"/>
      <c r="AM6537" s="318"/>
      <c r="AN6537" s="318"/>
      <c r="AO6537" s="318"/>
      <c r="AP6537" s="318"/>
      <c r="AQ6537" s="318"/>
      <c r="AR6537" s="319"/>
    </row>
    <row r="6538" spans="37:44" ht="30" customHeight="1">
      <c r="AK6538" s="318"/>
      <c r="AL6538" s="318"/>
      <c r="AM6538" s="318"/>
      <c r="AN6538" s="318"/>
      <c r="AO6538" s="318"/>
      <c r="AP6538" s="318"/>
      <c r="AQ6538" s="318"/>
      <c r="AR6538" s="319"/>
    </row>
    <row r="6539" spans="37:44" ht="30" customHeight="1">
      <c r="AK6539" s="318"/>
      <c r="AL6539" s="318"/>
      <c r="AM6539" s="318"/>
      <c r="AN6539" s="318"/>
      <c r="AO6539" s="318"/>
      <c r="AP6539" s="318"/>
      <c r="AQ6539" s="318"/>
      <c r="AR6539" s="319"/>
    </row>
    <row r="6540" spans="37:44" ht="30" customHeight="1">
      <c r="AK6540" s="318"/>
      <c r="AL6540" s="318"/>
      <c r="AM6540" s="318"/>
      <c r="AN6540" s="318"/>
      <c r="AO6540" s="318"/>
      <c r="AP6540" s="318"/>
      <c r="AQ6540" s="318"/>
      <c r="AR6540" s="319"/>
    </row>
    <row r="6541" spans="37:44" ht="30" customHeight="1">
      <c r="AK6541" s="318"/>
      <c r="AL6541" s="318"/>
      <c r="AM6541" s="318"/>
      <c r="AN6541" s="318"/>
      <c r="AO6541" s="318"/>
      <c r="AP6541" s="318"/>
      <c r="AQ6541" s="318"/>
      <c r="AR6541" s="319"/>
    </row>
    <row r="6542" spans="37:44" ht="30" customHeight="1">
      <c r="AK6542" s="318"/>
      <c r="AL6542" s="318"/>
      <c r="AM6542" s="318"/>
      <c r="AN6542" s="318"/>
      <c r="AO6542" s="318"/>
      <c r="AP6542" s="318"/>
      <c r="AQ6542" s="318"/>
      <c r="AR6542" s="319"/>
    </row>
    <row r="6543" spans="37:44" ht="30" customHeight="1">
      <c r="AK6543" s="318"/>
      <c r="AL6543" s="318"/>
      <c r="AM6543" s="318"/>
      <c r="AN6543" s="318"/>
      <c r="AO6543" s="318"/>
      <c r="AP6543" s="318"/>
      <c r="AQ6543" s="318"/>
      <c r="AR6543" s="319"/>
    </row>
    <row r="6544" spans="37:44" ht="30" customHeight="1">
      <c r="AK6544" s="318"/>
      <c r="AL6544" s="318"/>
      <c r="AM6544" s="318"/>
      <c r="AN6544" s="318"/>
      <c r="AO6544" s="318"/>
      <c r="AP6544" s="318"/>
      <c r="AQ6544" s="318"/>
      <c r="AR6544" s="319"/>
    </row>
    <row r="6545" spans="37:44" ht="30" customHeight="1">
      <c r="AK6545" s="318"/>
      <c r="AL6545" s="318"/>
      <c r="AM6545" s="318"/>
      <c r="AN6545" s="318"/>
      <c r="AO6545" s="318"/>
      <c r="AP6545" s="318"/>
      <c r="AQ6545" s="318"/>
      <c r="AR6545" s="319"/>
    </row>
    <row r="6546" spans="37:44" ht="30" customHeight="1">
      <c r="AK6546" s="318"/>
      <c r="AL6546" s="318"/>
      <c r="AM6546" s="318"/>
      <c r="AN6546" s="318"/>
      <c r="AO6546" s="318"/>
      <c r="AP6546" s="318"/>
      <c r="AQ6546" s="318"/>
      <c r="AR6546" s="319"/>
    </row>
    <row r="6547" spans="37:44" ht="30" customHeight="1">
      <c r="AK6547" s="318"/>
      <c r="AL6547" s="318"/>
      <c r="AM6547" s="318"/>
      <c r="AN6547" s="318"/>
      <c r="AO6547" s="318"/>
      <c r="AP6547" s="318"/>
      <c r="AQ6547" s="318"/>
      <c r="AR6547" s="319"/>
    </row>
    <row r="6548" spans="37:44" ht="30" customHeight="1">
      <c r="AK6548" s="318"/>
      <c r="AL6548" s="318"/>
      <c r="AM6548" s="318"/>
      <c r="AN6548" s="318"/>
      <c r="AO6548" s="318"/>
      <c r="AP6548" s="318"/>
      <c r="AQ6548" s="318"/>
      <c r="AR6548" s="319"/>
    </row>
    <row r="6549" spans="37:44" ht="30" customHeight="1">
      <c r="AK6549" s="318"/>
      <c r="AL6549" s="318"/>
      <c r="AM6549" s="318"/>
      <c r="AN6549" s="318"/>
      <c r="AO6549" s="318"/>
      <c r="AP6549" s="318"/>
      <c r="AQ6549" s="318"/>
      <c r="AR6549" s="319"/>
    </row>
    <row r="6550" spans="37:44" ht="30" customHeight="1">
      <c r="AK6550" s="318"/>
      <c r="AL6550" s="318"/>
      <c r="AM6550" s="318"/>
      <c r="AN6550" s="318"/>
      <c r="AO6550" s="318"/>
      <c r="AP6550" s="318"/>
      <c r="AQ6550" s="318"/>
      <c r="AR6550" s="319"/>
    </row>
    <row r="6551" spans="37:44" ht="30" customHeight="1">
      <c r="AK6551" s="318"/>
      <c r="AL6551" s="318"/>
      <c r="AM6551" s="318"/>
      <c r="AN6551" s="318"/>
      <c r="AO6551" s="318"/>
      <c r="AP6551" s="318"/>
      <c r="AQ6551" s="318"/>
      <c r="AR6551" s="319"/>
    </row>
    <row r="6552" spans="37:44" ht="30" customHeight="1">
      <c r="AK6552" s="318"/>
      <c r="AL6552" s="318"/>
      <c r="AM6552" s="318"/>
      <c r="AN6552" s="318"/>
      <c r="AO6552" s="318"/>
      <c r="AP6552" s="318"/>
      <c r="AQ6552" s="318"/>
      <c r="AR6552" s="319"/>
    </row>
    <row r="6553" spans="37:44" ht="30" customHeight="1">
      <c r="AK6553" s="318"/>
      <c r="AL6553" s="318"/>
      <c r="AM6553" s="318"/>
      <c r="AN6553" s="318"/>
      <c r="AO6553" s="318"/>
      <c r="AP6553" s="318"/>
      <c r="AQ6553" s="318"/>
      <c r="AR6553" s="319"/>
    </row>
    <row r="6554" spans="37:44" ht="30" customHeight="1">
      <c r="AK6554" s="318"/>
      <c r="AL6554" s="318"/>
      <c r="AM6554" s="318"/>
      <c r="AN6554" s="318"/>
      <c r="AO6554" s="318"/>
      <c r="AP6554" s="318"/>
      <c r="AQ6554" s="318"/>
      <c r="AR6554" s="319"/>
    </row>
    <row r="6555" spans="37:44" ht="30" customHeight="1">
      <c r="AK6555" s="318"/>
      <c r="AL6555" s="318"/>
      <c r="AM6555" s="318"/>
      <c r="AN6555" s="318"/>
      <c r="AO6555" s="318"/>
      <c r="AP6555" s="318"/>
      <c r="AQ6555" s="318"/>
      <c r="AR6555" s="319"/>
    </row>
    <row r="6556" spans="37:44" ht="30" customHeight="1">
      <c r="AK6556" s="318"/>
      <c r="AL6556" s="318"/>
      <c r="AM6556" s="318"/>
      <c r="AN6556" s="318"/>
      <c r="AO6556" s="318"/>
      <c r="AP6556" s="318"/>
      <c r="AQ6556" s="318"/>
      <c r="AR6556" s="319"/>
    </row>
    <row r="6557" spans="37:44" ht="30" customHeight="1">
      <c r="AK6557" s="318"/>
      <c r="AL6557" s="318"/>
      <c r="AM6557" s="318"/>
      <c r="AN6557" s="318"/>
      <c r="AO6557" s="318"/>
      <c r="AP6557" s="318"/>
      <c r="AQ6557" s="318"/>
      <c r="AR6557" s="319"/>
    </row>
    <row r="6558" spans="37:44" ht="30" customHeight="1">
      <c r="AK6558" s="318"/>
      <c r="AL6558" s="318"/>
      <c r="AM6558" s="318"/>
      <c r="AN6558" s="318"/>
      <c r="AO6558" s="318"/>
      <c r="AP6558" s="318"/>
      <c r="AQ6558" s="318"/>
      <c r="AR6558" s="319"/>
    </row>
    <row r="6559" spans="37:44" ht="30" customHeight="1">
      <c r="AK6559" s="318"/>
      <c r="AL6559" s="318"/>
      <c r="AM6559" s="318"/>
      <c r="AN6559" s="318"/>
      <c r="AO6559" s="318"/>
      <c r="AP6559" s="318"/>
      <c r="AQ6559" s="318"/>
      <c r="AR6559" s="319"/>
    </row>
    <row r="6560" spans="37:44" ht="30" customHeight="1">
      <c r="AK6560" s="318"/>
      <c r="AL6560" s="318"/>
      <c r="AM6560" s="318"/>
      <c r="AN6560" s="318"/>
      <c r="AO6560" s="318"/>
      <c r="AP6560" s="318"/>
      <c r="AQ6560" s="318"/>
      <c r="AR6560" s="319"/>
    </row>
    <row r="6561" spans="37:44" ht="30" customHeight="1">
      <c r="AK6561" s="318"/>
      <c r="AL6561" s="318"/>
      <c r="AM6561" s="318"/>
      <c r="AN6561" s="318"/>
      <c r="AO6561" s="318"/>
      <c r="AP6561" s="318"/>
      <c r="AQ6561" s="318"/>
      <c r="AR6561" s="319"/>
    </row>
    <row r="6562" spans="37:44" ht="30" customHeight="1">
      <c r="AK6562" s="318"/>
      <c r="AL6562" s="318"/>
      <c r="AM6562" s="318"/>
      <c r="AN6562" s="318"/>
      <c r="AO6562" s="318"/>
      <c r="AP6562" s="318"/>
      <c r="AQ6562" s="318"/>
      <c r="AR6562" s="319"/>
    </row>
    <row r="6563" spans="37:44" ht="30" customHeight="1">
      <c r="AK6563" s="318"/>
      <c r="AL6563" s="318"/>
      <c r="AM6563" s="318"/>
      <c r="AN6563" s="318"/>
      <c r="AO6563" s="318"/>
      <c r="AP6563" s="318"/>
      <c r="AQ6563" s="318"/>
      <c r="AR6563" s="319"/>
    </row>
    <row r="6564" spans="37:44" ht="30" customHeight="1">
      <c r="AK6564" s="318"/>
      <c r="AL6564" s="318"/>
      <c r="AM6564" s="318"/>
      <c r="AN6564" s="318"/>
      <c r="AO6564" s="318"/>
      <c r="AP6564" s="318"/>
      <c r="AQ6564" s="318"/>
      <c r="AR6564" s="319"/>
    </row>
    <row r="6565" spans="37:44" ht="30" customHeight="1">
      <c r="AK6565" s="318"/>
      <c r="AL6565" s="318"/>
      <c r="AM6565" s="318"/>
      <c r="AN6565" s="318"/>
      <c r="AO6565" s="318"/>
      <c r="AP6565" s="318"/>
      <c r="AQ6565" s="318"/>
      <c r="AR6565" s="319"/>
    </row>
    <row r="6566" spans="37:44" ht="30" customHeight="1">
      <c r="AK6566" s="318"/>
      <c r="AL6566" s="318"/>
      <c r="AM6566" s="318"/>
      <c r="AN6566" s="318"/>
      <c r="AO6566" s="318"/>
      <c r="AP6566" s="318"/>
      <c r="AQ6566" s="318"/>
      <c r="AR6566" s="319"/>
    </row>
    <row r="6567" spans="37:44" ht="30" customHeight="1">
      <c r="AK6567" s="318"/>
      <c r="AL6567" s="318"/>
      <c r="AM6567" s="318"/>
      <c r="AN6567" s="318"/>
      <c r="AO6567" s="318"/>
      <c r="AP6567" s="318"/>
      <c r="AQ6567" s="318"/>
      <c r="AR6567" s="319"/>
    </row>
    <row r="6568" spans="37:44" ht="30" customHeight="1">
      <c r="AK6568" s="318"/>
      <c r="AL6568" s="318"/>
      <c r="AM6568" s="318"/>
      <c r="AN6568" s="318"/>
      <c r="AO6568" s="318"/>
      <c r="AP6568" s="318"/>
      <c r="AQ6568" s="318"/>
      <c r="AR6568" s="319"/>
    </row>
    <row r="6569" spans="37:44" ht="30" customHeight="1">
      <c r="AK6569" s="318"/>
      <c r="AL6569" s="318"/>
      <c r="AM6569" s="318"/>
      <c r="AN6569" s="318"/>
      <c r="AO6569" s="318"/>
      <c r="AP6569" s="318"/>
      <c r="AQ6569" s="318"/>
      <c r="AR6569" s="319"/>
    </row>
    <row r="6570" spans="37:44" ht="30" customHeight="1">
      <c r="AK6570" s="318"/>
      <c r="AL6570" s="318"/>
      <c r="AM6570" s="318"/>
      <c r="AN6570" s="318"/>
      <c r="AO6570" s="318"/>
      <c r="AP6570" s="318"/>
      <c r="AQ6570" s="318"/>
      <c r="AR6570" s="319"/>
    </row>
    <row r="6571" spans="37:44" ht="30" customHeight="1">
      <c r="AK6571" s="318"/>
      <c r="AL6571" s="318"/>
      <c r="AM6571" s="318"/>
      <c r="AN6571" s="318"/>
      <c r="AO6571" s="318"/>
      <c r="AP6571" s="318"/>
      <c r="AQ6571" s="318"/>
      <c r="AR6571" s="319"/>
    </row>
    <row r="6572" spans="37:44" ht="30" customHeight="1">
      <c r="AK6572" s="318"/>
      <c r="AL6572" s="318"/>
      <c r="AM6572" s="318"/>
      <c r="AN6572" s="318"/>
      <c r="AO6572" s="318"/>
      <c r="AP6572" s="318"/>
      <c r="AQ6572" s="318"/>
      <c r="AR6572" s="319"/>
    </row>
    <row r="6573" spans="37:44" ht="30" customHeight="1">
      <c r="AK6573" s="318"/>
      <c r="AL6573" s="318"/>
      <c r="AM6573" s="318"/>
      <c r="AN6573" s="318"/>
      <c r="AO6573" s="318"/>
      <c r="AP6573" s="318"/>
      <c r="AQ6573" s="318"/>
      <c r="AR6573" s="319"/>
    </row>
    <row r="6574" spans="37:44" ht="30" customHeight="1">
      <c r="AK6574" s="318"/>
      <c r="AL6574" s="318"/>
      <c r="AM6574" s="318"/>
      <c r="AN6574" s="318"/>
      <c r="AO6574" s="318"/>
      <c r="AP6574" s="318"/>
      <c r="AQ6574" s="318"/>
      <c r="AR6574" s="319"/>
    </row>
    <row r="6575" spans="37:44" ht="30" customHeight="1">
      <c r="AK6575" s="318"/>
      <c r="AL6575" s="318"/>
      <c r="AM6575" s="318"/>
      <c r="AN6575" s="318"/>
      <c r="AO6575" s="318"/>
      <c r="AP6575" s="318"/>
      <c r="AQ6575" s="318"/>
      <c r="AR6575" s="319"/>
    </row>
    <row r="6576" spans="37:44" ht="30" customHeight="1">
      <c r="AK6576" s="318"/>
      <c r="AL6576" s="318"/>
      <c r="AM6576" s="318"/>
      <c r="AN6576" s="318"/>
      <c r="AO6576" s="318"/>
      <c r="AP6576" s="318"/>
      <c r="AQ6576" s="318"/>
      <c r="AR6576" s="319"/>
    </row>
    <row r="6577" spans="37:44" ht="30" customHeight="1">
      <c r="AK6577" s="318"/>
      <c r="AL6577" s="318"/>
      <c r="AM6577" s="318"/>
      <c r="AN6577" s="318"/>
      <c r="AO6577" s="318"/>
      <c r="AP6577" s="318"/>
      <c r="AQ6577" s="318"/>
      <c r="AR6577" s="319"/>
    </row>
    <row r="6578" spans="37:44" ht="30" customHeight="1">
      <c r="AK6578" s="318"/>
      <c r="AL6578" s="318"/>
      <c r="AM6578" s="318"/>
      <c r="AN6578" s="318"/>
      <c r="AO6578" s="318"/>
      <c r="AP6578" s="318"/>
      <c r="AQ6578" s="318"/>
      <c r="AR6578" s="319"/>
    </row>
    <row r="6579" spans="37:44" ht="30" customHeight="1">
      <c r="AK6579" s="318"/>
      <c r="AL6579" s="318"/>
      <c r="AM6579" s="318"/>
      <c r="AN6579" s="318"/>
      <c r="AO6579" s="318"/>
      <c r="AP6579" s="318"/>
      <c r="AQ6579" s="318"/>
      <c r="AR6579" s="319"/>
    </row>
    <row r="6580" spans="37:44" ht="30" customHeight="1">
      <c r="AK6580" s="318"/>
      <c r="AL6580" s="318"/>
      <c r="AM6580" s="318"/>
      <c r="AN6580" s="318"/>
      <c r="AO6580" s="318"/>
      <c r="AP6580" s="318"/>
      <c r="AQ6580" s="318"/>
      <c r="AR6580" s="319"/>
    </row>
    <row r="6581" spans="37:44" ht="30" customHeight="1">
      <c r="AK6581" s="318"/>
      <c r="AL6581" s="318"/>
      <c r="AM6581" s="318"/>
      <c r="AN6581" s="318"/>
      <c r="AO6581" s="318"/>
      <c r="AP6581" s="318"/>
      <c r="AQ6581" s="318"/>
      <c r="AR6581" s="319"/>
    </row>
    <row r="6582" spans="37:44" ht="30" customHeight="1">
      <c r="AK6582" s="318"/>
      <c r="AL6582" s="318"/>
      <c r="AM6582" s="318"/>
      <c r="AN6582" s="318"/>
      <c r="AO6582" s="318"/>
      <c r="AP6582" s="318"/>
      <c r="AQ6582" s="318"/>
      <c r="AR6582" s="319"/>
    </row>
    <row r="6583" spans="37:44" ht="30" customHeight="1">
      <c r="AK6583" s="318"/>
      <c r="AL6583" s="318"/>
      <c r="AM6583" s="318"/>
      <c r="AN6583" s="318"/>
      <c r="AO6583" s="318"/>
      <c r="AP6583" s="318"/>
      <c r="AQ6583" s="318"/>
      <c r="AR6583" s="319"/>
    </row>
    <row r="6584" spans="37:44" ht="30" customHeight="1">
      <c r="AK6584" s="318"/>
      <c r="AL6584" s="318"/>
      <c r="AM6584" s="318"/>
      <c r="AN6584" s="318"/>
      <c r="AO6584" s="318"/>
      <c r="AP6584" s="318"/>
      <c r="AQ6584" s="318"/>
      <c r="AR6584" s="319"/>
    </row>
    <row r="6585" spans="37:44" ht="30" customHeight="1">
      <c r="AK6585" s="318"/>
      <c r="AL6585" s="318"/>
      <c r="AM6585" s="318"/>
      <c r="AN6585" s="318"/>
      <c r="AO6585" s="318"/>
      <c r="AP6585" s="318"/>
      <c r="AQ6585" s="318"/>
      <c r="AR6585" s="319"/>
    </row>
    <row r="6586" spans="37:44" ht="30" customHeight="1">
      <c r="AK6586" s="318"/>
      <c r="AL6586" s="318"/>
      <c r="AM6586" s="318"/>
      <c r="AN6586" s="318"/>
      <c r="AO6586" s="318"/>
      <c r="AP6586" s="318"/>
      <c r="AQ6586" s="318"/>
      <c r="AR6586" s="319"/>
    </row>
    <row r="6587" spans="37:44" ht="30" customHeight="1">
      <c r="AK6587" s="318"/>
      <c r="AL6587" s="318"/>
      <c r="AM6587" s="318"/>
      <c r="AN6587" s="318"/>
      <c r="AO6587" s="318"/>
      <c r="AP6587" s="318"/>
      <c r="AQ6587" s="318"/>
      <c r="AR6587" s="319"/>
    </row>
    <row r="6588" spans="37:44" ht="30" customHeight="1">
      <c r="AK6588" s="318"/>
      <c r="AL6588" s="318"/>
      <c r="AM6588" s="318"/>
      <c r="AN6588" s="318"/>
      <c r="AO6588" s="318"/>
      <c r="AP6588" s="318"/>
      <c r="AQ6588" s="318"/>
      <c r="AR6588" s="319"/>
    </row>
    <row r="6589" spans="37:44" ht="30" customHeight="1">
      <c r="AK6589" s="318"/>
      <c r="AL6589" s="318"/>
      <c r="AM6589" s="318"/>
      <c r="AN6589" s="318"/>
      <c r="AO6589" s="318"/>
      <c r="AP6589" s="318"/>
      <c r="AQ6589" s="318"/>
      <c r="AR6589" s="319"/>
    </row>
    <row r="6590" spans="37:44" ht="30" customHeight="1">
      <c r="AK6590" s="318"/>
      <c r="AL6590" s="318"/>
      <c r="AM6590" s="318"/>
      <c r="AN6590" s="318"/>
      <c r="AO6590" s="318"/>
      <c r="AP6590" s="318"/>
      <c r="AQ6590" s="318"/>
      <c r="AR6590" s="319"/>
    </row>
    <row r="6591" spans="37:44" ht="30" customHeight="1">
      <c r="AK6591" s="318"/>
      <c r="AL6591" s="318"/>
      <c r="AM6591" s="318"/>
      <c r="AN6591" s="318"/>
      <c r="AO6591" s="318"/>
      <c r="AP6591" s="318"/>
      <c r="AQ6591" s="318"/>
      <c r="AR6591" s="319"/>
    </row>
    <row r="6592" spans="37:44" ht="30" customHeight="1">
      <c r="AK6592" s="318"/>
      <c r="AL6592" s="318"/>
      <c r="AM6592" s="318"/>
      <c r="AN6592" s="318"/>
      <c r="AO6592" s="318"/>
      <c r="AP6592" s="318"/>
      <c r="AQ6592" s="318"/>
      <c r="AR6592" s="319"/>
    </row>
    <row r="6593" spans="37:44" ht="30" customHeight="1">
      <c r="AK6593" s="318"/>
      <c r="AL6593" s="318"/>
      <c r="AM6593" s="318"/>
      <c r="AN6593" s="318"/>
      <c r="AO6593" s="318"/>
      <c r="AP6593" s="318"/>
      <c r="AQ6593" s="318"/>
      <c r="AR6593" s="319"/>
    </row>
    <row r="6594" spans="37:44" ht="30" customHeight="1">
      <c r="AK6594" s="318"/>
      <c r="AL6594" s="318"/>
      <c r="AM6594" s="318"/>
      <c r="AN6594" s="318"/>
      <c r="AO6594" s="318"/>
      <c r="AP6594" s="318"/>
      <c r="AQ6594" s="318"/>
      <c r="AR6594" s="319"/>
    </row>
    <row r="6595" spans="37:44" ht="30" customHeight="1">
      <c r="AK6595" s="318"/>
      <c r="AL6595" s="318"/>
      <c r="AM6595" s="318"/>
      <c r="AN6595" s="318"/>
      <c r="AO6595" s="318"/>
      <c r="AP6595" s="318"/>
      <c r="AQ6595" s="318"/>
      <c r="AR6595" s="319"/>
    </row>
    <row r="6596" spans="37:44" ht="30" customHeight="1">
      <c r="AK6596" s="318"/>
      <c r="AL6596" s="318"/>
      <c r="AM6596" s="318"/>
      <c r="AN6596" s="318"/>
      <c r="AO6596" s="318"/>
      <c r="AP6596" s="318"/>
      <c r="AQ6596" s="318"/>
      <c r="AR6596" s="319"/>
    </row>
    <row r="6597" spans="37:44" ht="30" customHeight="1">
      <c r="AK6597" s="318"/>
      <c r="AL6597" s="318"/>
      <c r="AM6597" s="318"/>
      <c r="AN6597" s="318"/>
      <c r="AO6597" s="318"/>
      <c r="AP6597" s="318"/>
      <c r="AQ6597" s="318"/>
      <c r="AR6597" s="319"/>
    </row>
    <row r="6598" spans="37:44" ht="30" customHeight="1">
      <c r="AK6598" s="318"/>
      <c r="AL6598" s="318"/>
      <c r="AM6598" s="318"/>
      <c r="AN6598" s="318"/>
      <c r="AO6598" s="318"/>
      <c r="AP6598" s="318"/>
      <c r="AQ6598" s="318"/>
      <c r="AR6598" s="319"/>
    </row>
    <row r="6599" spans="37:44" ht="30" customHeight="1">
      <c r="AK6599" s="318"/>
      <c r="AL6599" s="318"/>
      <c r="AM6599" s="318"/>
      <c r="AN6599" s="318"/>
      <c r="AO6599" s="318"/>
      <c r="AP6599" s="318"/>
      <c r="AQ6599" s="318"/>
      <c r="AR6599" s="319"/>
    </row>
    <row r="6600" spans="37:44" ht="30" customHeight="1">
      <c r="AK6600" s="318"/>
      <c r="AL6600" s="318"/>
      <c r="AM6600" s="318"/>
      <c r="AN6600" s="318"/>
      <c r="AO6600" s="318"/>
      <c r="AP6600" s="318"/>
      <c r="AQ6600" s="318"/>
      <c r="AR6600" s="319"/>
    </row>
    <row r="6601" spans="37:44" ht="30" customHeight="1">
      <c r="AK6601" s="318"/>
      <c r="AL6601" s="318"/>
      <c r="AM6601" s="318"/>
      <c r="AN6601" s="318"/>
      <c r="AO6601" s="318"/>
      <c r="AP6601" s="318"/>
      <c r="AQ6601" s="318"/>
      <c r="AR6601" s="319"/>
    </row>
    <row r="6602" spans="37:44" ht="30" customHeight="1">
      <c r="AK6602" s="318"/>
      <c r="AL6602" s="318"/>
      <c r="AM6602" s="318"/>
      <c r="AN6602" s="318"/>
      <c r="AO6602" s="318"/>
      <c r="AP6602" s="318"/>
      <c r="AQ6602" s="318"/>
      <c r="AR6602" s="319"/>
    </row>
    <row r="6603" spans="37:44" ht="30" customHeight="1">
      <c r="AK6603" s="318"/>
      <c r="AL6603" s="318"/>
      <c r="AM6603" s="318"/>
      <c r="AN6603" s="318"/>
      <c r="AO6603" s="318"/>
      <c r="AP6603" s="318"/>
      <c r="AQ6603" s="318"/>
      <c r="AR6603" s="319"/>
    </row>
    <row r="6604" spans="37:44" ht="30" customHeight="1">
      <c r="AK6604" s="318"/>
      <c r="AL6604" s="318"/>
      <c r="AM6604" s="318"/>
      <c r="AN6604" s="318"/>
      <c r="AO6604" s="318"/>
      <c r="AP6604" s="318"/>
      <c r="AQ6604" s="318"/>
      <c r="AR6604" s="319"/>
    </row>
    <row r="6605" spans="37:44" ht="30" customHeight="1">
      <c r="AK6605" s="318"/>
      <c r="AL6605" s="318"/>
      <c r="AM6605" s="318"/>
      <c r="AN6605" s="318"/>
      <c r="AO6605" s="318"/>
      <c r="AP6605" s="318"/>
      <c r="AQ6605" s="318"/>
      <c r="AR6605" s="319"/>
    </row>
    <row r="6606" spans="37:44" ht="30" customHeight="1">
      <c r="AK6606" s="318"/>
      <c r="AL6606" s="318"/>
      <c r="AM6606" s="318"/>
      <c r="AN6606" s="318"/>
      <c r="AO6606" s="318"/>
      <c r="AP6606" s="318"/>
      <c r="AQ6606" s="318"/>
      <c r="AR6606" s="319"/>
    </row>
    <row r="6607" spans="37:44" ht="30" customHeight="1">
      <c r="AK6607" s="318"/>
      <c r="AL6607" s="318"/>
      <c r="AM6607" s="318"/>
      <c r="AN6607" s="318"/>
      <c r="AO6607" s="318"/>
      <c r="AP6607" s="318"/>
      <c r="AQ6607" s="318"/>
      <c r="AR6607" s="319"/>
    </row>
    <row r="6608" spans="37:44" ht="30" customHeight="1">
      <c r="AK6608" s="318"/>
      <c r="AL6608" s="318"/>
      <c r="AM6608" s="318"/>
      <c r="AN6608" s="318"/>
      <c r="AO6608" s="318"/>
      <c r="AP6608" s="318"/>
      <c r="AQ6608" s="318"/>
      <c r="AR6608" s="319"/>
    </row>
    <row r="6609" spans="37:44" ht="30" customHeight="1">
      <c r="AK6609" s="318"/>
      <c r="AL6609" s="318"/>
      <c r="AM6609" s="318"/>
      <c r="AN6609" s="318"/>
      <c r="AO6609" s="318"/>
      <c r="AP6609" s="318"/>
      <c r="AQ6609" s="318"/>
      <c r="AR6609" s="319"/>
    </row>
    <row r="6610" spans="37:44" ht="30" customHeight="1">
      <c r="AK6610" s="318"/>
      <c r="AL6610" s="318"/>
      <c r="AM6610" s="318"/>
      <c r="AN6610" s="318"/>
      <c r="AO6610" s="318"/>
      <c r="AP6610" s="318"/>
      <c r="AQ6610" s="318"/>
      <c r="AR6610" s="319"/>
    </row>
    <row r="6611" spans="37:44" ht="30" customHeight="1">
      <c r="AK6611" s="318"/>
      <c r="AL6611" s="318"/>
      <c r="AM6611" s="318"/>
      <c r="AN6611" s="318"/>
      <c r="AO6611" s="318"/>
      <c r="AP6611" s="318"/>
      <c r="AQ6611" s="318"/>
      <c r="AR6611" s="319"/>
    </row>
    <row r="6612" spans="37:44" ht="30" customHeight="1">
      <c r="AK6612" s="318"/>
      <c r="AL6612" s="318"/>
      <c r="AM6612" s="318"/>
      <c r="AN6612" s="318"/>
      <c r="AO6612" s="318"/>
      <c r="AP6612" s="318"/>
      <c r="AQ6612" s="318"/>
      <c r="AR6612" s="319"/>
    </row>
    <row r="6613" spans="37:44" ht="30" customHeight="1">
      <c r="AK6613" s="318"/>
      <c r="AL6613" s="318"/>
      <c r="AM6613" s="318"/>
      <c r="AN6613" s="318"/>
      <c r="AO6613" s="318"/>
      <c r="AP6613" s="318"/>
      <c r="AQ6613" s="318"/>
      <c r="AR6613" s="319"/>
    </row>
    <row r="6614" spans="37:44" ht="30" customHeight="1">
      <c r="AK6614" s="318"/>
      <c r="AL6614" s="318"/>
      <c r="AM6614" s="318"/>
      <c r="AN6614" s="318"/>
      <c r="AO6614" s="318"/>
      <c r="AP6614" s="318"/>
      <c r="AQ6614" s="318"/>
      <c r="AR6614" s="319"/>
    </row>
    <row r="6615" spans="37:44" ht="30" customHeight="1">
      <c r="AK6615" s="318"/>
      <c r="AL6615" s="318"/>
      <c r="AM6615" s="318"/>
      <c r="AN6615" s="318"/>
      <c r="AO6615" s="318"/>
      <c r="AP6615" s="318"/>
      <c r="AQ6615" s="318"/>
      <c r="AR6615" s="319"/>
    </row>
    <row r="6616" spans="37:44" ht="30" customHeight="1">
      <c r="AK6616" s="318"/>
      <c r="AL6616" s="318"/>
      <c r="AM6616" s="318"/>
      <c r="AN6616" s="318"/>
      <c r="AO6616" s="318"/>
      <c r="AP6616" s="318"/>
      <c r="AQ6616" s="318"/>
      <c r="AR6616" s="319"/>
    </row>
    <row r="6617" spans="37:44" ht="30" customHeight="1">
      <c r="AK6617" s="318"/>
      <c r="AL6617" s="318"/>
      <c r="AM6617" s="318"/>
      <c r="AN6617" s="318"/>
      <c r="AO6617" s="318"/>
      <c r="AP6617" s="318"/>
      <c r="AQ6617" s="318"/>
      <c r="AR6617" s="319"/>
    </row>
    <row r="6618" spans="37:44" ht="30" customHeight="1">
      <c r="AK6618" s="318"/>
      <c r="AL6618" s="318"/>
      <c r="AM6618" s="318"/>
      <c r="AN6618" s="318"/>
      <c r="AO6618" s="318"/>
      <c r="AP6618" s="318"/>
      <c r="AQ6618" s="318"/>
      <c r="AR6618" s="319"/>
    </row>
    <row r="6619" spans="37:44" ht="30" customHeight="1">
      <c r="AK6619" s="318"/>
      <c r="AL6619" s="318"/>
      <c r="AM6619" s="318"/>
      <c r="AN6619" s="318"/>
      <c r="AO6619" s="318"/>
      <c r="AP6619" s="318"/>
      <c r="AQ6619" s="318"/>
      <c r="AR6619" s="319"/>
    </row>
    <row r="6620" spans="37:44" ht="30" customHeight="1">
      <c r="AK6620" s="318"/>
      <c r="AL6620" s="318"/>
      <c r="AM6620" s="318"/>
      <c r="AN6620" s="318"/>
      <c r="AO6620" s="318"/>
      <c r="AP6620" s="318"/>
      <c r="AQ6620" s="318"/>
      <c r="AR6620" s="319"/>
    </row>
    <row r="6621" spans="37:44" ht="30" customHeight="1">
      <c r="AK6621" s="318"/>
      <c r="AL6621" s="318"/>
      <c r="AM6621" s="318"/>
      <c r="AN6621" s="318"/>
      <c r="AO6621" s="318"/>
      <c r="AP6621" s="318"/>
      <c r="AQ6621" s="318"/>
      <c r="AR6621" s="319"/>
    </row>
    <row r="6622" spans="37:44" ht="30" customHeight="1">
      <c r="AK6622" s="318"/>
      <c r="AL6622" s="318"/>
      <c r="AM6622" s="318"/>
      <c r="AN6622" s="318"/>
      <c r="AO6622" s="318"/>
      <c r="AP6622" s="318"/>
      <c r="AQ6622" s="318"/>
      <c r="AR6622" s="319"/>
    </row>
    <row r="6623" spans="37:44" ht="30" customHeight="1">
      <c r="AK6623" s="318"/>
      <c r="AL6623" s="318"/>
      <c r="AM6623" s="318"/>
      <c r="AN6623" s="318"/>
      <c r="AO6623" s="318"/>
      <c r="AP6623" s="318"/>
      <c r="AQ6623" s="318"/>
      <c r="AR6623" s="319"/>
    </row>
    <row r="6624" spans="37:44" ht="30" customHeight="1">
      <c r="AK6624" s="318"/>
      <c r="AL6624" s="318"/>
      <c r="AM6624" s="318"/>
      <c r="AN6624" s="318"/>
      <c r="AO6624" s="318"/>
      <c r="AP6624" s="318"/>
      <c r="AQ6624" s="318"/>
      <c r="AR6624" s="319"/>
    </row>
    <row r="6625" spans="37:44" ht="30" customHeight="1">
      <c r="AK6625" s="318"/>
      <c r="AL6625" s="318"/>
      <c r="AM6625" s="318"/>
      <c r="AN6625" s="318"/>
      <c r="AO6625" s="318"/>
      <c r="AP6625" s="318"/>
      <c r="AQ6625" s="318"/>
      <c r="AR6625" s="319"/>
    </row>
    <row r="6626" spans="37:44" ht="30" customHeight="1">
      <c r="AK6626" s="318"/>
      <c r="AL6626" s="318"/>
      <c r="AM6626" s="318"/>
      <c r="AN6626" s="318"/>
      <c r="AO6626" s="318"/>
      <c r="AP6626" s="318"/>
      <c r="AQ6626" s="318"/>
      <c r="AR6626" s="319"/>
    </row>
    <row r="6627" spans="37:44" ht="30" customHeight="1">
      <c r="AK6627" s="318"/>
      <c r="AL6627" s="318"/>
      <c r="AM6627" s="318"/>
      <c r="AN6627" s="318"/>
      <c r="AO6627" s="318"/>
      <c r="AP6627" s="318"/>
      <c r="AQ6627" s="318"/>
      <c r="AR6627" s="319"/>
    </row>
    <row r="6628" spans="37:44" ht="30" customHeight="1">
      <c r="AK6628" s="318"/>
      <c r="AL6628" s="318"/>
      <c r="AM6628" s="318"/>
      <c r="AN6628" s="318"/>
      <c r="AO6628" s="318"/>
      <c r="AP6628" s="318"/>
      <c r="AQ6628" s="318"/>
      <c r="AR6628" s="319"/>
    </row>
    <row r="6629" spans="37:44" ht="30" customHeight="1">
      <c r="AK6629" s="318"/>
      <c r="AL6629" s="318"/>
      <c r="AM6629" s="318"/>
      <c r="AN6629" s="318"/>
      <c r="AO6629" s="318"/>
      <c r="AP6629" s="318"/>
      <c r="AQ6629" s="318"/>
      <c r="AR6629" s="319"/>
    </row>
    <row r="6630" spans="37:44" ht="30" customHeight="1">
      <c r="AK6630" s="318"/>
      <c r="AL6630" s="318"/>
      <c r="AM6630" s="318"/>
      <c r="AN6630" s="318"/>
      <c r="AO6630" s="318"/>
      <c r="AP6630" s="318"/>
      <c r="AQ6630" s="318"/>
      <c r="AR6630" s="319"/>
    </row>
    <row r="6631" spans="37:44" ht="30" customHeight="1">
      <c r="AK6631" s="318"/>
      <c r="AL6631" s="318"/>
      <c r="AM6631" s="318"/>
      <c r="AN6631" s="318"/>
      <c r="AO6631" s="318"/>
      <c r="AP6631" s="318"/>
      <c r="AQ6631" s="318"/>
      <c r="AR6631" s="319"/>
    </row>
    <row r="6632" spans="37:44" ht="30" customHeight="1">
      <c r="AK6632" s="318"/>
      <c r="AL6632" s="318"/>
      <c r="AM6632" s="318"/>
      <c r="AN6632" s="318"/>
      <c r="AO6632" s="318"/>
      <c r="AP6632" s="318"/>
      <c r="AQ6632" s="318"/>
      <c r="AR6632" s="319"/>
    </row>
    <row r="6633" spans="37:44" ht="30" customHeight="1">
      <c r="AK6633" s="318"/>
      <c r="AL6633" s="318"/>
      <c r="AM6633" s="318"/>
      <c r="AN6633" s="318"/>
      <c r="AO6633" s="318"/>
      <c r="AP6633" s="318"/>
      <c r="AQ6633" s="318"/>
      <c r="AR6633" s="319"/>
    </row>
    <row r="6634" spans="37:44" ht="30" customHeight="1">
      <c r="AK6634" s="318"/>
      <c r="AL6634" s="318"/>
      <c r="AM6634" s="318"/>
      <c r="AN6634" s="318"/>
      <c r="AO6634" s="318"/>
      <c r="AP6634" s="318"/>
      <c r="AQ6634" s="318"/>
      <c r="AR6634" s="319"/>
    </row>
    <row r="6635" spans="37:44" ht="30" customHeight="1">
      <c r="AK6635" s="318"/>
      <c r="AL6635" s="318"/>
      <c r="AM6635" s="318"/>
      <c r="AN6635" s="318"/>
      <c r="AO6635" s="318"/>
      <c r="AP6635" s="318"/>
      <c r="AQ6635" s="318"/>
      <c r="AR6635" s="319"/>
    </row>
    <row r="6636" spans="37:44" ht="30" customHeight="1">
      <c r="AK6636" s="318"/>
      <c r="AL6636" s="318"/>
      <c r="AM6636" s="318"/>
      <c r="AN6636" s="318"/>
      <c r="AO6636" s="318"/>
      <c r="AP6636" s="318"/>
      <c r="AQ6636" s="318"/>
      <c r="AR6636" s="319"/>
    </row>
    <row r="6637" spans="37:44" ht="30" customHeight="1">
      <c r="AK6637" s="318"/>
      <c r="AL6637" s="318"/>
      <c r="AM6637" s="318"/>
      <c r="AN6637" s="318"/>
      <c r="AO6637" s="318"/>
      <c r="AP6637" s="318"/>
      <c r="AQ6637" s="318"/>
      <c r="AR6637" s="319"/>
    </row>
    <row r="6638" spans="37:44" ht="30" customHeight="1">
      <c r="AK6638" s="318"/>
      <c r="AL6638" s="318"/>
      <c r="AM6638" s="318"/>
      <c r="AN6638" s="318"/>
      <c r="AO6638" s="318"/>
      <c r="AP6638" s="318"/>
      <c r="AQ6638" s="318"/>
      <c r="AR6638" s="319"/>
    </row>
    <row r="6639" spans="37:44" ht="30" customHeight="1">
      <c r="AK6639" s="318"/>
      <c r="AL6639" s="318"/>
      <c r="AM6639" s="318"/>
      <c r="AN6639" s="318"/>
      <c r="AO6639" s="318"/>
      <c r="AP6639" s="318"/>
      <c r="AQ6639" s="318"/>
      <c r="AR6639" s="319"/>
    </row>
    <row r="6640" spans="37:44" ht="30" customHeight="1">
      <c r="AK6640" s="318"/>
      <c r="AL6640" s="318"/>
      <c r="AM6640" s="318"/>
      <c r="AN6640" s="318"/>
      <c r="AO6640" s="318"/>
      <c r="AP6640" s="318"/>
      <c r="AQ6640" s="318"/>
      <c r="AR6640" s="319"/>
    </row>
    <row r="6641" spans="37:44" ht="30" customHeight="1">
      <c r="AK6641" s="318"/>
      <c r="AL6641" s="318"/>
      <c r="AM6641" s="318"/>
      <c r="AN6641" s="318"/>
      <c r="AO6641" s="318"/>
      <c r="AP6641" s="318"/>
      <c r="AQ6641" s="318"/>
      <c r="AR6641" s="319"/>
    </row>
    <row r="6642" spans="37:44" ht="30" customHeight="1">
      <c r="AK6642" s="318"/>
      <c r="AL6642" s="318"/>
      <c r="AM6642" s="318"/>
      <c r="AN6642" s="318"/>
      <c r="AO6642" s="318"/>
      <c r="AP6642" s="318"/>
      <c r="AQ6642" s="318"/>
      <c r="AR6642" s="319"/>
    </row>
    <row r="6643" spans="37:44" ht="30" customHeight="1">
      <c r="AK6643" s="318"/>
      <c r="AL6643" s="318"/>
      <c r="AM6643" s="318"/>
      <c r="AN6643" s="318"/>
      <c r="AO6643" s="318"/>
      <c r="AP6643" s="318"/>
      <c r="AQ6643" s="318"/>
      <c r="AR6643" s="319"/>
    </row>
    <row r="6644" spans="37:44" ht="30" customHeight="1">
      <c r="AK6644" s="318"/>
      <c r="AL6644" s="318"/>
      <c r="AM6644" s="318"/>
      <c r="AN6644" s="318"/>
      <c r="AO6644" s="318"/>
      <c r="AP6644" s="318"/>
      <c r="AQ6644" s="318"/>
      <c r="AR6644" s="319"/>
    </row>
    <row r="6645" spans="37:44" ht="30" customHeight="1">
      <c r="AK6645" s="318"/>
      <c r="AL6645" s="318"/>
      <c r="AM6645" s="318"/>
      <c r="AN6645" s="318"/>
      <c r="AO6645" s="318"/>
      <c r="AP6645" s="318"/>
      <c r="AQ6645" s="318"/>
      <c r="AR6645" s="319"/>
    </row>
    <row r="6646" spans="37:44" ht="30" customHeight="1">
      <c r="AK6646" s="318"/>
      <c r="AL6646" s="318"/>
      <c r="AM6646" s="318"/>
      <c r="AN6646" s="318"/>
      <c r="AO6646" s="318"/>
      <c r="AP6646" s="318"/>
      <c r="AQ6646" s="318"/>
      <c r="AR6646" s="319"/>
    </row>
    <row r="6647" spans="37:44" ht="30" customHeight="1">
      <c r="AK6647" s="318"/>
      <c r="AL6647" s="318"/>
      <c r="AM6647" s="318"/>
      <c r="AN6647" s="318"/>
      <c r="AO6647" s="318"/>
      <c r="AP6647" s="318"/>
      <c r="AQ6647" s="318"/>
      <c r="AR6647" s="319"/>
    </row>
    <row r="6648" spans="37:44" ht="30" customHeight="1">
      <c r="AK6648" s="318"/>
      <c r="AL6648" s="318"/>
      <c r="AM6648" s="318"/>
      <c r="AN6648" s="318"/>
      <c r="AO6648" s="318"/>
      <c r="AP6648" s="318"/>
      <c r="AQ6648" s="318"/>
      <c r="AR6648" s="319"/>
    </row>
    <row r="6649" spans="37:44" ht="30" customHeight="1">
      <c r="AK6649" s="318"/>
      <c r="AL6649" s="318"/>
      <c r="AM6649" s="318"/>
      <c r="AN6649" s="318"/>
      <c r="AO6649" s="318"/>
      <c r="AP6649" s="318"/>
      <c r="AQ6649" s="318"/>
      <c r="AR6649" s="319"/>
    </row>
    <row r="6650" spans="37:44" ht="30" customHeight="1">
      <c r="AK6650" s="318"/>
      <c r="AL6650" s="318"/>
      <c r="AM6650" s="318"/>
      <c r="AN6650" s="318"/>
      <c r="AO6650" s="318"/>
      <c r="AP6650" s="318"/>
      <c r="AQ6650" s="318"/>
      <c r="AR6650" s="319"/>
    </row>
    <row r="6651" spans="37:44" ht="30" customHeight="1">
      <c r="AK6651" s="318"/>
      <c r="AL6651" s="318"/>
      <c r="AM6651" s="318"/>
      <c r="AN6651" s="318"/>
      <c r="AO6651" s="318"/>
      <c r="AP6651" s="318"/>
      <c r="AQ6651" s="318"/>
      <c r="AR6651" s="319"/>
    </row>
    <row r="6652" spans="37:44" ht="30" customHeight="1">
      <c r="AK6652" s="318"/>
      <c r="AL6652" s="318"/>
      <c r="AM6652" s="318"/>
      <c r="AN6652" s="318"/>
      <c r="AO6652" s="318"/>
      <c r="AP6652" s="318"/>
      <c r="AQ6652" s="318"/>
      <c r="AR6652" s="319"/>
    </row>
    <row r="6653" spans="37:44" ht="30" customHeight="1">
      <c r="AK6653" s="318"/>
      <c r="AL6653" s="318"/>
      <c r="AM6653" s="318"/>
      <c r="AN6653" s="318"/>
      <c r="AO6653" s="318"/>
      <c r="AP6653" s="318"/>
      <c r="AQ6653" s="318"/>
      <c r="AR6653" s="319"/>
    </row>
    <row r="6654" spans="37:44" ht="30" customHeight="1">
      <c r="AK6654" s="318"/>
      <c r="AL6654" s="318"/>
      <c r="AM6654" s="318"/>
      <c r="AN6654" s="318"/>
      <c r="AO6654" s="318"/>
      <c r="AP6654" s="318"/>
      <c r="AQ6654" s="318"/>
      <c r="AR6654" s="319"/>
    </row>
    <row r="6655" spans="37:44" ht="30" customHeight="1">
      <c r="AK6655" s="318"/>
      <c r="AL6655" s="318"/>
      <c r="AM6655" s="318"/>
      <c r="AN6655" s="318"/>
      <c r="AO6655" s="318"/>
      <c r="AP6655" s="318"/>
      <c r="AQ6655" s="318"/>
      <c r="AR6655" s="319"/>
    </row>
    <row r="6656" spans="37:44" ht="30" customHeight="1">
      <c r="AK6656" s="318"/>
      <c r="AL6656" s="318"/>
      <c r="AM6656" s="318"/>
      <c r="AN6656" s="318"/>
      <c r="AO6656" s="318"/>
      <c r="AP6656" s="318"/>
      <c r="AQ6656" s="318"/>
      <c r="AR6656" s="319"/>
    </row>
    <row r="6657" spans="37:44" ht="30" customHeight="1">
      <c r="AK6657" s="318"/>
      <c r="AL6657" s="318"/>
      <c r="AM6657" s="318"/>
      <c r="AN6657" s="318"/>
      <c r="AO6657" s="318"/>
      <c r="AP6657" s="318"/>
      <c r="AQ6657" s="318"/>
      <c r="AR6657" s="319"/>
    </row>
    <row r="6658" spans="37:44" ht="30" customHeight="1">
      <c r="AK6658" s="318"/>
      <c r="AL6658" s="318"/>
      <c r="AM6658" s="318"/>
      <c r="AN6658" s="318"/>
      <c r="AO6658" s="318"/>
      <c r="AP6658" s="318"/>
      <c r="AQ6658" s="318"/>
      <c r="AR6658" s="319"/>
    </row>
    <row r="6659" spans="37:44" ht="30" customHeight="1">
      <c r="AK6659" s="318"/>
      <c r="AL6659" s="318"/>
      <c r="AM6659" s="318"/>
      <c r="AN6659" s="318"/>
      <c r="AO6659" s="318"/>
      <c r="AP6659" s="318"/>
      <c r="AQ6659" s="318"/>
      <c r="AR6659" s="319"/>
    </row>
    <row r="6660" spans="37:44" ht="30" customHeight="1">
      <c r="AK6660" s="318"/>
      <c r="AL6660" s="318"/>
      <c r="AM6660" s="318"/>
      <c r="AN6660" s="318"/>
      <c r="AO6660" s="318"/>
      <c r="AP6660" s="318"/>
      <c r="AQ6660" s="318"/>
      <c r="AR6660" s="319"/>
    </row>
    <row r="6661" spans="37:44" ht="30" customHeight="1">
      <c r="AK6661" s="318"/>
      <c r="AL6661" s="318"/>
      <c r="AM6661" s="318"/>
      <c r="AN6661" s="318"/>
      <c r="AO6661" s="318"/>
      <c r="AP6661" s="318"/>
      <c r="AQ6661" s="318"/>
      <c r="AR6661" s="319"/>
    </row>
    <row r="6662" spans="37:44" ht="30" customHeight="1">
      <c r="AK6662" s="318"/>
      <c r="AL6662" s="318"/>
      <c r="AM6662" s="318"/>
      <c r="AN6662" s="318"/>
      <c r="AO6662" s="318"/>
      <c r="AP6662" s="318"/>
      <c r="AQ6662" s="318"/>
      <c r="AR6662" s="319"/>
    </row>
    <row r="6663" spans="37:44" ht="30" customHeight="1">
      <c r="AK6663" s="318"/>
      <c r="AL6663" s="318"/>
      <c r="AM6663" s="318"/>
      <c r="AN6663" s="318"/>
      <c r="AO6663" s="318"/>
      <c r="AP6663" s="318"/>
      <c r="AQ6663" s="318"/>
      <c r="AR6663" s="319"/>
    </row>
    <row r="6664" spans="37:44" ht="30" customHeight="1">
      <c r="AK6664" s="318"/>
      <c r="AL6664" s="318"/>
      <c r="AM6664" s="318"/>
      <c r="AN6664" s="318"/>
      <c r="AO6664" s="318"/>
      <c r="AP6664" s="318"/>
      <c r="AQ6664" s="318"/>
      <c r="AR6664" s="319"/>
    </row>
    <row r="6665" spans="37:44" ht="30" customHeight="1">
      <c r="AK6665" s="318"/>
      <c r="AL6665" s="318"/>
      <c r="AM6665" s="318"/>
      <c r="AN6665" s="318"/>
      <c r="AO6665" s="318"/>
      <c r="AP6665" s="318"/>
      <c r="AQ6665" s="318"/>
      <c r="AR6665" s="319"/>
    </row>
    <row r="6666" spans="37:44" ht="30" customHeight="1">
      <c r="AK6666" s="318"/>
      <c r="AL6666" s="318"/>
      <c r="AM6666" s="318"/>
      <c r="AN6666" s="318"/>
      <c r="AO6666" s="318"/>
      <c r="AP6666" s="318"/>
      <c r="AQ6666" s="318"/>
      <c r="AR6666" s="319"/>
    </row>
    <row r="6667" spans="37:44" ht="30" customHeight="1">
      <c r="AK6667" s="318"/>
      <c r="AL6667" s="318"/>
      <c r="AM6667" s="318"/>
      <c r="AN6667" s="318"/>
      <c r="AO6667" s="318"/>
      <c r="AP6667" s="318"/>
      <c r="AQ6667" s="318"/>
      <c r="AR6667" s="319"/>
    </row>
    <row r="6668" spans="37:44" ht="30" customHeight="1">
      <c r="AK6668" s="318"/>
      <c r="AL6668" s="318"/>
      <c r="AM6668" s="318"/>
      <c r="AN6668" s="318"/>
      <c r="AO6668" s="318"/>
      <c r="AP6668" s="318"/>
      <c r="AQ6668" s="318"/>
      <c r="AR6668" s="319"/>
    </row>
    <row r="6669" spans="37:44" ht="30" customHeight="1">
      <c r="AK6669" s="318"/>
      <c r="AL6669" s="318"/>
      <c r="AM6669" s="318"/>
      <c r="AN6669" s="318"/>
      <c r="AO6669" s="318"/>
      <c r="AP6669" s="318"/>
      <c r="AQ6669" s="318"/>
      <c r="AR6669" s="319"/>
    </row>
    <row r="6670" spans="37:44" ht="30" customHeight="1">
      <c r="AK6670" s="318"/>
      <c r="AL6670" s="318"/>
      <c r="AM6670" s="318"/>
      <c r="AN6670" s="318"/>
      <c r="AO6670" s="318"/>
      <c r="AP6670" s="318"/>
      <c r="AQ6670" s="318"/>
      <c r="AR6670" s="319"/>
    </row>
    <row r="6671" spans="37:44" ht="30" customHeight="1">
      <c r="AK6671" s="318"/>
      <c r="AL6671" s="318"/>
      <c r="AM6671" s="318"/>
      <c r="AN6671" s="318"/>
      <c r="AO6671" s="318"/>
      <c r="AP6671" s="318"/>
      <c r="AQ6671" s="318"/>
      <c r="AR6671" s="319"/>
    </row>
    <row r="6672" spans="37:44" ht="30" customHeight="1">
      <c r="AK6672" s="318"/>
      <c r="AL6672" s="318"/>
      <c r="AM6672" s="318"/>
      <c r="AN6672" s="318"/>
      <c r="AO6672" s="318"/>
      <c r="AP6672" s="318"/>
      <c r="AQ6672" s="318"/>
      <c r="AR6672" s="319"/>
    </row>
    <row r="6673" spans="37:44" ht="30" customHeight="1">
      <c r="AK6673" s="318"/>
      <c r="AL6673" s="318"/>
      <c r="AM6673" s="318"/>
      <c r="AN6673" s="318"/>
      <c r="AO6673" s="318"/>
      <c r="AP6673" s="318"/>
      <c r="AQ6673" s="318"/>
      <c r="AR6673" s="319"/>
    </row>
    <row r="6674" spans="37:44" ht="30" customHeight="1">
      <c r="AK6674" s="318"/>
      <c r="AL6674" s="318"/>
      <c r="AM6674" s="318"/>
      <c r="AN6674" s="318"/>
      <c r="AO6674" s="318"/>
      <c r="AP6674" s="318"/>
      <c r="AQ6674" s="318"/>
      <c r="AR6674" s="319"/>
    </row>
    <row r="6675" spans="37:44" ht="30" customHeight="1">
      <c r="AK6675" s="318"/>
      <c r="AL6675" s="318"/>
      <c r="AM6675" s="318"/>
      <c r="AN6675" s="318"/>
      <c r="AO6675" s="318"/>
      <c r="AP6675" s="318"/>
      <c r="AQ6675" s="318"/>
      <c r="AR6675" s="319"/>
    </row>
    <row r="6676" spans="37:44" ht="30" customHeight="1">
      <c r="AK6676" s="318"/>
      <c r="AL6676" s="318"/>
      <c r="AM6676" s="318"/>
      <c r="AN6676" s="318"/>
      <c r="AO6676" s="318"/>
      <c r="AP6676" s="318"/>
      <c r="AQ6676" s="318"/>
      <c r="AR6676" s="319"/>
    </row>
    <row r="6677" spans="37:44" ht="30" customHeight="1">
      <c r="AK6677" s="318"/>
      <c r="AL6677" s="318"/>
      <c r="AM6677" s="318"/>
      <c r="AN6677" s="318"/>
      <c r="AO6677" s="318"/>
      <c r="AP6677" s="318"/>
      <c r="AQ6677" s="318"/>
      <c r="AR6677" s="319"/>
    </row>
    <row r="6678" spans="37:44" ht="30" customHeight="1">
      <c r="AK6678" s="318"/>
      <c r="AL6678" s="318"/>
      <c r="AM6678" s="318"/>
      <c r="AN6678" s="318"/>
      <c r="AO6678" s="318"/>
      <c r="AP6678" s="318"/>
      <c r="AQ6678" s="318"/>
      <c r="AR6678" s="319"/>
    </row>
    <row r="6679" spans="37:44" ht="30" customHeight="1">
      <c r="AK6679" s="318"/>
      <c r="AL6679" s="318"/>
      <c r="AM6679" s="318"/>
      <c r="AN6679" s="318"/>
      <c r="AO6679" s="318"/>
      <c r="AP6679" s="318"/>
      <c r="AQ6679" s="318"/>
      <c r="AR6679" s="319"/>
    </row>
    <row r="6680" spans="37:44" ht="30" customHeight="1">
      <c r="AK6680" s="318"/>
      <c r="AL6680" s="318"/>
      <c r="AM6680" s="318"/>
      <c r="AN6680" s="318"/>
      <c r="AO6680" s="318"/>
      <c r="AP6680" s="318"/>
      <c r="AQ6680" s="318"/>
      <c r="AR6680" s="319"/>
    </row>
    <row r="6681" spans="37:44" ht="30" customHeight="1">
      <c r="AK6681" s="318"/>
      <c r="AL6681" s="318"/>
      <c r="AM6681" s="318"/>
      <c r="AN6681" s="318"/>
      <c r="AO6681" s="318"/>
      <c r="AP6681" s="318"/>
      <c r="AQ6681" s="318"/>
      <c r="AR6681" s="319"/>
    </row>
    <row r="6682" spans="37:44" ht="30" customHeight="1">
      <c r="AK6682" s="318"/>
      <c r="AL6682" s="318"/>
      <c r="AM6682" s="318"/>
      <c r="AN6682" s="318"/>
      <c r="AO6682" s="318"/>
      <c r="AP6682" s="318"/>
      <c r="AQ6682" s="318"/>
      <c r="AR6682" s="319"/>
    </row>
    <row r="6683" spans="37:44" ht="30" customHeight="1">
      <c r="AK6683" s="318"/>
      <c r="AL6683" s="318"/>
      <c r="AM6683" s="318"/>
      <c r="AN6683" s="318"/>
      <c r="AO6683" s="318"/>
      <c r="AP6683" s="318"/>
      <c r="AQ6683" s="318"/>
      <c r="AR6683" s="319"/>
    </row>
    <row r="6684" spans="37:44" ht="30" customHeight="1">
      <c r="AK6684" s="318"/>
      <c r="AL6684" s="318"/>
      <c r="AM6684" s="318"/>
      <c r="AN6684" s="318"/>
      <c r="AO6684" s="318"/>
      <c r="AP6684" s="318"/>
      <c r="AQ6684" s="318"/>
      <c r="AR6684" s="319"/>
    </row>
    <row r="6685" spans="37:44" ht="30" customHeight="1">
      <c r="AK6685" s="318"/>
      <c r="AL6685" s="318"/>
      <c r="AM6685" s="318"/>
      <c r="AN6685" s="318"/>
      <c r="AO6685" s="318"/>
      <c r="AP6685" s="318"/>
      <c r="AQ6685" s="318"/>
      <c r="AR6685" s="319"/>
    </row>
    <row r="6686" spans="37:44" ht="30" customHeight="1">
      <c r="AK6686" s="318"/>
      <c r="AL6686" s="318"/>
      <c r="AM6686" s="318"/>
      <c r="AN6686" s="318"/>
      <c r="AO6686" s="318"/>
      <c r="AP6686" s="318"/>
      <c r="AQ6686" s="318"/>
      <c r="AR6686" s="319"/>
    </row>
    <row r="6687" spans="37:44" ht="30" customHeight="1">
      <c r="AK6687" s="318"/>
      <c r="AL6687" s="318"/>
      <c r="AM6687" s="318"/>
      <c r="AN6687" s="318"/>
      <c r="AO6687" s="318"/>
      <c r="AP6687" s="318"/>
      <c r="AQ6687" s="318"/>
      <c r="AR6687" s="319"/>
    </row>
    <row r="6688" spans="37:44" ht="30" customHeight="1">
      <c r="AK6688" s="318"/>
      <c r="AL6688" s="318"/>
      <c r="AM6688" s="318"/>
      <c r="AN6688" s="318"/>
      <c r="AO6688" s="318"/>
      <c r="AP6688" s="318"/>
      <c r="AQ6688" s="318"/>
      <c r="AR6688" s="319"/>
    </row>
    <row r="6689" spans="37:44" ht="30" customHeight="1">
      <c r="AK6689" s="318"/>
      <c r="AL6689" s="318"/>
      <c r="AM6689" s="318"/>
      <c r="AN6689" s="318"/>
      <c r="AO6689" s="318"/>
      <c r="AP6689" s="318"/>
      <c r="AQ6689" s="318"/>
      <c r="AR6689" s="319"/>
    </row>
    <row r="6690" spans="37:44" ht="30" customHeight="1">
      <c r="AK6690" s="318"/>
      <c r="AL6690" s="318"/>
      <c r="AM6690" s="318"/>
      <c r="AN6690" s="318"/>
      <c r="AO6690" s="318"/>
      <c r="AP6690" s="318"/>
      <c r="AQ6690" s="318"/>
      <c r="AR6690" s="319"/>
    </row>
    <row r="6691" spans="37:44" ht="30" customHeight="1">
      <c r="AK6691" s="318"/>
      <c r="AL6691" s="318"/>
      <c r="AM6691" s="318"/>
      <c r="AN6691" s="318"/>
      <c r="AO6691" s="318"/>
      <c r="AP6691" s="318"/>
      <c r="AQ6691" s="318"/>
      <c r="AR6691" s="319"/>
    </row>
    <row r="6692" spans="37:44" ht="30" customHeight="1">
      <c r="AK6692" s="318"/>
      <c r="AL6692" s="318"/>
      <c r="AM6692" s="318"/>
      <c r="AN6692" s="318"/>
      <c r="AO6692" s="318"/>
      <c r="AP6692" s="318"/>
      <c r="AQ6692" s="318"/>
      <c r="AR6692" s="319"/>
    </row>
    <row r="6693" spans="37:44" ht="30" customHeight="1">
      <c r="AK6693" s="318"/>
      <c r="AL6693" s="318"/>
      <c r="AM6693" s="318"/>
      <c r="AN6693" s="318"/>
      <c r="AO6693" s="318"/>
      <c r="AP6693" s="318"/>
      <c r="AQ6693" s="318"/>
      <c r="AR6693" s="319"/>
    </row>
    <row r="6694" spans="37:44" ht="30" customHeight="1">
      <c r="AK6694" s="318"/>
      <c r="AL6694" s="318"/>
      <c r="AM6694" s="318"/>
      <c r="AN6694" s="318"/>
      <c r="AO6694" s="318"/>
      <c r="AP6694" s="318"/>
      <c r="AQ6694" s="318"/>
      <c r="AR6694" s="319"/>
    </row>
    <row r="6695" spans="37:44" ht="30" customHeight="1">
      <c r="AK6695" s="318"/>
      <c r="AL6695" s="318"/>
      <c r="AM6695" s="318"/>
      <c r="AN6695" s="318"/>
      <c r="AO6695" s="318"/>
      <c r="AP6695" s="318"/>
      <c r="AQ6695" s="318"/>
      <c r="AR6695" s="319"/>
    </row>
    <row r="6696" spans="37:44" ht="30" customHeight="1">
      <c r="AK6696" s="318"/>
      <c r="AL6696" s="318"/>
      <c r="AM6696" s="318"/>
      <c r="AN6696" s="318"/>
      <c r="AO6696" s="318"/>
      <c r="AP6696" s="318"/>
      <c r="AQ6696" s="318"/>
      <c r="AR6696" s="319"/>
    </row>
    <row r="6697" spans="37:44" ht="30" customHeight="1">
      <c r="AK6697" s="318"/>
      <c r="AL6697" s="318"/>
      <c r="AM6697" s="318"/>
      <c r="AN6697" s="318"/>
      <c r="AO6697" s="318"/>
      <c r="AP6697" s="318"/>
      <c r="AQ6697" s="318"/>
      <c r="AR6697" s="319"/>
    </row>
    <row r="6698" spans="37:44" ht="30" customHeight="1">
      <c r="AK6698" s="318"/>
      <c r="AL6698" s="318"/>
      <c r="AM6698" s="318"/>
      <c r="AN6698" s="318"/>
      <c r="AO6698" s="318"/>
      <c r="AP6698" s="318"/>
      <c r="AQ6698" s="318"/>
      <c r="AR6698" s="319"/>
    </row>
    <row r="6699" spans="37:44" ht="30" customHeight="1">
      <c r="AK6699" s="318"/>
      <c r="AL6699" s="318"/>
      <c r="AM6699" s="318"/>
      <c r="AN6699" s="318"/>
      <c r="AO6699" s="318"/>
      <c r="AP6699" s="318"/>
      <c r="AQ6699" s="318"/>
      <c r="AR6699" s="319"/>
    </row>
    <row r="6700" spans="37:44" ht="30" customHeight="1">
      <c r="AK6700" s="318"/>
      <c r="AL6700" s="318"/>
      <c r="AM6700" s="318"/>
      <c r="AN6700" s="318"/>
      <c r="AO6700" s="318"/>
      <c r="AP6700" s="318"/>
      <c r="AQ6700" s="318"/>
      <c r="AR6700" s="319"/>
    </row>
    <row r="6701" spans="37:44" ht="30" customHeight="1">
      <c r="AK6701" s="318"/>
      <c r="AL6701" s="318"/>
      <c r="AM6701" s="318"/>
      <c r="AN6701" s="318"/>
      <c r="AO6701" s="318"/>
      <c r="AP6701" s="318"/>
      <c r="AQ6701" s="318"/>
      <c r="AR6701" s="319"/>
    </row>
    <row r="6702" spans="37:44" ht="30" customHeight="1">
      <c r="AK6702" s="318"/>
      <c r="AL6702" s="318"/>
      <c r="AM6702" s="318"/>
      <c r="AN6702" s="318"/>
      <c r="AO6702" s="318"/>
      <c r="AP6702" s="318"/>
      <c r="AQ6702" s="318"/>
      <c r="AR6702" s="319"/>
    </row>
    <row r="6703" spans="37:44" ht="30" customHeight="1">
      <c r="AK6703" s="318"/>
      <c r="AL6703" s="318"/>
      <c r="AM6703" s="318"/>
      <c r="AN6703" s="318"/>
      <c r="AO6703" s="318"/>
      <c r="AP6703" s="318"/>
      <c r="AQ6703" s="318"/>
      <c r="AR6703" s="319"/>
    </row>
    <row r="6704" spans="37:44" ht="30" customHeight="1">
      <c r="AK6704" s="318"/>
      <c r="AL6704" s="318"/>
      <c r="AM6704" s="318"/>
      <c r="AN6704" s="318"/>
      <c r="AO6704" s="318"/>
      <c r="AP6704" s="318"/>
      <c r="AQ6704" s="318"/>
      <c r="AR6704" s="319"/>
    </row>
    <row r="6705" spans="37:44" ht="30" customHeight="1">
      <c r="AK6705" s="318"/>
      <c r="AL6705" s="318"/>
      <c r="AM6705" s="318"/>
      <c r="AN6705" s="318"/>
      <c r="AO6705" s="318"/>
      <c r="AP6705" s="318"/>
      <c r="AQ6705" s="318"/>
      <c r="AR6705" s="319"/>
    </row>
    <row r="6706" spans="37:44" ht="30" customHeight="1">
      <c r="AK6706" s="318"/>
      <c r="AL6706" s="318"/>
      <c r="AM6706" s="318"/>
      <c r="AN6706" s="318"/>
      <c r="AO6706" s="318"/>
      <c r="AP6706" s="318"/>
      <c r="AQ6706" s="318"/>
      <c r="AR6706" s="319"/>
    </row>
    <row r="6707" spans="37:44" ht="30" customHeight="1">
      <c r="AK6707" s="318"/>
      <c r="AL6707" s="318"/>
      <c r="AM6707" s="318"/>
      <c r="AN6707" s="318"/>
      <c r="AO6707" s="318"/>
      <c r="AP6707" s="318"/>
      <c r="AQ6707" s="318"/>
      <c r="AR6707" s="319"/>
    </row>
    <row r="6708" spans="37:44" ht="30" customHeight="1">
      <c r="AK6708" s="318"/>
      <c r="AL6708" s="318"/>
      <c r="AM6708" s="318"/>
      <c r="AN6708" s="318"/>
      <c r="AO6708" s="318"/>
      <c r="AP6708" s="318"/>
      <c r="AQ6708" s="318"/>
      <c r="AR6708" s="319"/>
    </row>
    <row r="6709" spans="37:44" ht="30" customHeight="1">
      <c r="AK6709" s="318"/>
      <c r="AL6709" s="318"/>
      <c r="AM6709" s="318"/>
      <c r="AN6709" s="318"/>
      <c r="AO6709" s="318"/>
      <c r="AP6709" s="318"/>
      <c r="AQ6709" s="318"/>
      <c r="AR6709" s="319"/>
    </row>
    <row r="6710" spans="37:44" ht="30" customHeight="1">
      <c r="AK6710" s="318"/>
      <c r="AL6710" s="318"/>
      <c r="AM6710" s="318"/>
      <c r="AN6710" s="318"/>
      <c r="AO6710" s="318"/>
      <c r="AP6710" s="318"/>
      <c r="AQ6710" s="318"/>
      <c r="AR6710" s="319"/>
    </row>
    <row r="6711" spans="37:44" ht="30" customHeight="1">
      <c r="AK6711" s="318"/>
      <c r="AL6711" s="318"/>
      <c r="AM6711" s="318"/>
      <c r="AN6711" s="318"/>
      <c r="AO6711" s="318"/>
      <c r="AP6711" s="318"/>
      <c r="AQ6711" s="318"/>
      <c r="AR6711" s="319"/>
    </row>
    <row r="6712" spans="37:44" ht="30" customHeight="1">
      <c r="AK6712" s="318"/>
      <c r="AL6712" s="318"/>
      <c r="AM6712" s="318"/>
      <c r="AN6712" s="318"/>
      <c r="AO6712" s="318"/>
      <c r="AP6712" s="318"/>
      <c r="AQ6712" s="318"/>
      <c r="AR6712" s="319"/>
    </row>
    <row r="6713" spans="37:44" ht="30" customHeight="1">
      <c r="AK6713" s="318"/>
      <c r="AL6713" s="318"/>
      <c r="AM6713" s="318"/>
      <c r="AN6713" s="318"/>
      <c r="AO6713" s="318"/>
      <c r="AP6713" s="318"/>
      <c r="AQ6713" s="318"/>
      <c r="AR6713" s="319"/>
    </row>
    <row r="6714" spans="37:44" ht="30" customHeight="1">
      <c r="AK6714" s="318"/>
      <c r="AL6714" s="318"/>
      <c r="AM6714" s="318"/>
      <c r="AN6714" s="318"/>
      <c r="AO6714" s="318"/>
      <c r="AP6714" s="318"/>
      <c r="AQ6714" s="318"/>
      <c r="AR6714" s="319"/>
    </row>
    <row r="6715" spans="37:44" ht="30" customHeight="1">
      <c r="AK6715" s="318"/>
      <c r="AL6715" s="318"/>
      <c r="AM6715" s="318"/>
      <c r="AN6715" s="318"/>
      <c r="AO6715" s="318"/>
      <c r="AP6715" s="318"/>
      <c r="AQ6715" s="318"/>
      <c r="AR6715" s="319"/>
    </row>
    <row r="6716" spans="37:44" ht="30" customHeight="1">
      <c r="AK6716" s="318"/>
      <c r="AL6716" s="318"/>
      <c r="AM6716" s="318"/>
      <c r="AN6716" s="318"/>
      <c r="AO6716" s="318"/>
      <c r="AP6716" s="318"/>
      <c r="AQ6716" s="318"/>
      <c r="AR6716" s="319"/>
    </row>
    <row r="6717" spans="37:44" ht="30" customHeight="1">
      <c r="AK6717" s="318"/>
      <c r="AL6717" s="318"/>
      <c r="AM6717" s="318"/>
      <c r="AN6717" s="318"/>
      <c r="AO6717" s="318"/>
      <c r="AP6717" s="318"/>
      <c r="AQ6717" s="318"/>
      <c r="AR6717" s="319"/>
    </row>
    <row r="6718" spans="37:44" ht="30" customHeight="1">
      <c r="AK6718" s="318"/>
      <c r="AL6718" s="318"/>
      <c r="AM6718" s="318"/>
      <c r="AN6718" s="318"/>
      <c r="AO6718" s="318"/>
      <c r="AP6718" s="318"/>
      <c r="AQ6718" s="318"/>
      <c r="AR6718" s="319"/>
    </row>
    <row r="6719" spans="37:44" ht="30" customHeight="1">
      <c r="AK6719" s="318"/>
      <c r="AL6719" s="318"/>
      <c r="AM6719" s="318"/>
      <c r="AN6719" s="318"/>
      <c r="AO6719" s="318"/>
      <c r="AP6719" s="318"/>
      <c r="AQ6719" s="318"/>
      <c r="AR6719" s="319"/>
    </row>
    <row r="6720" spans="37:44" ht="30" customHeight="1">
      <c r="AK6720" s="318"/>
      <c r="AL6720" s="318"/>
      <c r="AM6720" s="318"/>
      <c r="AN6720" s="318"/>
      <c r="AO6720" s="318"/>
      <c r="AP6720" s="318"/>
      <c r="AQ6720" s="318"/>
      <c r="AR6720" s="319"/>
    </row>
    <row r="6721" spans="37:44" ht="30" customHeight="1">
      <c r="AK6721" s="318"/>
      <c r="AL6721" s="318"/>
      <c r="AM6721" s="318"/>
      <c r="AN6721" s="318"/>
      <c r="AO6721" s="318"/>
      <c r="AP6721" s="318"/>
      <c r="AQ6721" s="318"/>
      <c r="AR6721" s="319"/>
    </row>
    <row r="6722" spans="37:44" ht="30" customHeight="1">
      <c r="AK6722" s="318"/>
      <c r="AL6722" s="318"/>
      <c r="AM6722" s="318"/>
      <c r="AN6722" s="318"/>
      <c r="AO6722" s="318"/>
      <c r="AP6722" s="318"/>
      <c r="AQ6722" s="318"/>
      <c r="AR6722" s="319"/>
    </row>
    <row r="6723" spans="37:44" ht="30" customHeight="1">
      <c r="AK6723" s="318"/>
      <c r="AL6723" s="318"/>
      <c r="AM6723" s="318"/>
      <c r="AN6723" s="318"/>
      <c r="AO6723" s="318"/>
      <c r="AP6723" s="318"/>
      <c r="AQ6723" s="318"/>
      <c r="AR6723" s="319"/>
    </row>
    <row r="6724" spans="37:44" ht="30" customHeight="1">
      <c r="AK6724" s="318"/>
      <c r="AL6724" s="318"/>
      <c r="AM6724" s="318"/>
      <c r="AN6724" s="318"/>
      <c r="AO6724" s="318"/>
      <c r="AP6724" s="318"/>
      <c r="AQ6724" s="318"/>
      <c r="AR6724" s="319"/>
    </row>
    <row r="6725" spans="37:44" ht="30" customHeight="1">
      <c r="AK6725" s="318"/>
      <c r="AL6725" s="318"/>
      <c r="AM6725" s="318"/>
      <c r="AN6725" s="318"/>
      <c r="AO6725" s="318"/>
      <c r="AP6725" s="318"/>
      <c r="AQ6725" s="318"/>
      <c r="AR6725" s="319"/>
    </row>
    <row r="6726" spans="37:44" ht="30" customHeight="1">
      <c r="AK6726" s="318"/>
      <c r="AL6726" s="318"/>
      <c r="AM6726" s="318"/>
      <c r="AN6726" s="318"/>
      <c r="AO6726" s="318"/>
      <c r="AP6726" s="318"/>
      <c r="AQ6726" s="318"/>
      <c r="AR6726" s="319"/>
    </row>
    <row r="6727" spans="37:44" ht="30" customHeight="1">
      <c r="AK6727" s="318"/>
      <c r="AL6727" s="318"/>
      <c r="AM6727" s="318"/>
      <c r="AN6727" s="318"/>
      <c r="AO6727" s="318"/>
      <c r="AP6727" s="318"/>
      <c r="AQ6727" s="318"/>
      <c r="AR6727" s="319"/>
    </row>
    <row r="6728" spans="37:44" ht="30" customHeight="1">
      <c r="AK6728" s="318"/>
      <c r="AL6728" s="318"/>
      <c r="AM6728" s="318"/>
      <c r="AN6728" s="318"/>
      <c r="AO6728" s="318"/>
      <c r="AP6728" s="318"/>
      <c r="AQ6728" s="318"/>
      <c r="AR6728" s="319"/>
    </row>
    <row r="6729" spans="37:44" ht="30" customHeight="1">
      <c r="AK6729" s="318"/>
      <c r="AL6729" s="318"/>
      <c r="AM6729" s="318"/>
      <c r="AN6729" s="318"/>
      <c r="AO6729" s="318"/>
      <c r="AP6729" s="318"/>
      <c r="AQ6729" s="318"/>
      <c r="AR6729" s="319"/>
    </row>
    <row r="6730" spans="37:44" ht="30" customHeight="1">
      <c r="AK6730" s="318"/>
      <c r="AL6730" s="318"/>
      <c r="AM6730" s="318"/>
      <c r="AN6730" s="318"/>
      <c r="AO6730" s="318"/>
      <c r="AP6730" s="318"/>
      <c r="AQ6730" s="318"/>
      <c r="AR6730" s="319"/>
    </row>
    <row r="6731" spans="37:44" ht="30" customHeight="1">
      <c r="AK6731" s="318"/>
      <c r="AL6731" s="318"/>
      <c r="AM6731" s="318"/>
      <c r="AN6731" s="318"/>
      <c r="AO6731" s="318"/>
      <c r="AP6731" s="318"/>
      <c r="AQ6731" s="318"/>
      <c r="AR6731" s="319"/>
    </row>
    <row r="6732" spans="37:44" ht="30" customHeight="1">
      <c r="AK6732" s="318"/>
      <c r="AL6732" s="318"/>
      <c r="AM6732" s="318"/>
      <c r="AN6732" s="318"/>
      <c r="AO6732" s="318"/>
      <c r="AP6732" s="318"/>
      <c r="AQ6732" s="318"/>
      <c r="AR6732" s="319"/>
    </row>
    <row r="6733" spans="37:44" ht="30" customHeight="1">
      <c r="AK6733" s="318"/>
      <c r="AL6733" s="318"/>
      <c r="AM6733" s="318"/>
      <c r="AN6733" s="318"/>
      <c r="AO6733" s="318"/>
      <c r="AP6733" s="318"/>
      <c r="AQ6733" s="318"/>
      <c r="AR6733" s="319"/>
    </row>
    <row r="6734" spans="37:44" ht="30" customHeight="1">
      <c r="AK6734" s="318"/>
      <c r="AL6734" s="318"/>
      <c r="AM6734" s="318"/>
      <c r="AN6734" s="318"/>
      <c r="AO6734" s="318"/>
      <c r="AP6734" s="318"/>
      <c r="AQ6734" s="318"/>
      <c r="AR6734" s="319"/>
    </row>
    <row r="6735" spans="37:44" ht="30" customHeight="1">
      <c r="AK6735" s="318"/>
      <c r="AL6735" s="318"/>
      <c r="AM6735" s="318"/>
      <c r="AN6735" s="318"/>
      <c r="AO6735" s="318"/>
      <c r="AP6735" s="318"/>
      <c r="AQ6735" s="318"/>
      <c r="AR6735" s="319"/>
    </row>
    <row r="6736" spans="37:44" ht="30" customHeight="1">
      <c r="AK6736" s="318"/>
      <c r="AL6736" s="318"/>
      <c r="AM6736" s="318"/>
      <c r="AN6736" s="318"/>
      <c r="AO6736" s="318"/>
      <c r="AP6736" s="318"/>
      <c r="AQ6736" s="318"/>
      <c r="AR6736" s="319"/>
    </row>
    <row r="6737" spans="37:44" ht="30" customHeight="1">
      <c r="AK6737" s="318"/>
      <c r="AL6737" s="318"/>
      <c r="AM6737" s="318"/>
      <c r="AN6737" s="318"/>
      <c r="AO6737" s="318"/>
      <c r="AP6737" s="318"/>
      <c r="AQ6737" s="318"/>
      <c r="AR6737" s="319"/>
    </row>
    <row r="6738" spans="37:44" ht="30" customHeight="1">
      <c r="AK6738" s="318"/>
      <c r="AL6738" s="318"/>
      <c r="AM6738" s="318"/>
      <c r="AN6738" s="318"/>
      <c r="AO6738" s="318"/>
      <c r="AP6738" s="318"/>
      <c r="AQ6738" s="318"/>
      <c r="AR6738" s="319"/>
    </row>
    <row r="6739" spans="37:44" ht="30" customHeight="1">
      <c r="AK6739" s="318"/>
      <c r="AL6739" s="318"/>
      <c r="AM6739" s="318"/>
      <c r="AN6739" s="318"/>
      <c r="AO6739" s="318"/>
      <c r="AP6739" s="318"/>
      <c r="AQ6739" s="318"/>
      <c r="AR6739" s="319"/>
    </row>
    <row r="6740" spans="37:44" ht="30" customHeight="1">
      <c r="AK6740" s="318"/>
      <c r="AL6740" s="318"/>
      <c r="AM6740" s="318"/>
      <c r="AN6740" s="318"/>
      <c r="AO6740" s="318"/>
      <c r="AP6740" s="318"/>
      <c r="AQ6740" s="318"/>
      <c r="AR6740" s="319"/>
    </row>
    <row r="6741" spans="37:44" ht="30" customHeight="1">
      <c r="AK6741" s="318"/>
      <c r="AL6741" s="318"/>
      <c r="AM6741" s="318"/>
      <c r="AN6741" s="318"/>
      <c r="AO6741" s="318"/>
      <c r="AP6741" s="318"/>
      <c r="AQ6741" s="318"/>
      <c r="AR6741" s="319"/>
    </row>
    <row r="6742" spans="37:44" ht="30" customHeight="1">
      <c r="AK6742" s="318"/>
      <c r="AL6742" s="318"/>
      <c r="AM6742" s="318"/>
      <c r="AN6742" s="318"/>
      <c r="AO6742" s="318"/>
      <c r="AP6742" s="318"/>
      <c r="AQ6742" s="318"/>
      <c r="AR6742" s="319"/>
    </row>
    <row r="6743" spans="37:44" ht="30" customHeight="1">
      <c r="AK6743" s="318"/>
      <c r="AL6743" s="318"/>
      <c r="AM6743" s="318"/>
      <c r="AN6743" s="318"/>
      <c r="AO6743" s="318"/>
      <c r="AP6743" s="318"/>
      <c r="AQ6743" s="318"/>
      <c r="AR6743" s="319"/>
    </row>
    <row r="6744" spans="37:44" ht="30" customHeight="1">
      <c r="AK6744" s="318"/>
      <c r="AL6744" s="318"/>
      <c r="AM6744" s="318"/>
      <c r="AN6744" s="318"/>
      <c r="AO6744" s="318"/>
      <c r="AP6744" s="318"/>
      <c r="AQ6744" s="318"/>
      <c r="AR6744" s="319"/>
    </row>
    <row r="6745" spans="37:44" ht="30" customHeight="1">
      <c r="AK6745" s="318"/>
      <c r="AL6745" s="318"/>
      <c r="AM6745" s="318"/>
      <c r="AN6745" s="318"/>
      <c r="AO6745" s="318"/>
      <c r="AP6745" s="318"/>
      <c r="AQ6745" s="318"/>
      <c r="AR6745" s="319"/>
    </row>
    <row r="6746" spans="37:44" ht="30" customHeight="1">
      <c r="AK6746" s="318"/>
      <c r="AL6746" s="318"/>
      <c r="AM6746" s="318"/>
      <c r="AN6746" s="318"/>
      <c r="AO6746" s="318"/>
      <c r="AP6746" s="318"/>
      <c r="AQ6746" s="318"/>
      <c r="AR6746" s="319"/>
    </row>
    <row r="6747" spans="37:44" ht="30" customHeight="1">
      <c r="AK6747" s="318"/>
      <c r="AL6747" s="318"/>
      <c r="AM6747" s="318"/>
      <c r="AN6747" s="318"/>
      <c r="AO6747" s="318"/>
      <c r="AP6747" s="318"/>
      <c r="AQ6747" s="318"/>
      <c r="AR6747" s="319"/>
    </row>
    <row r="6748" spans="37:44" ht="30" customHeight="1">
      <c r="AK6748" s="318"/>
      <c r="AL6748" s="318"/>
      <c r="AM6748" s="318"/>
      <c r="AN6748" s="318"/>
      <c r="AO6748" s="318"/>
      <c r="AP6748" s="318"/>
      <c r="AQ6748" s="318"/>
      <c r="AR6748" s="319"/>
    </row>
    <row r="6749" spans="37:44" ht="30" customHeight="1">
      <c r="AK6749" s="318"/>
      <c r="AL6749" s="318"/>
      <c r="AM6749" s="318"/>
      <c r="AN6749" s="318"/>
      <c r="AO6749" s="318"/>
      <c r="AP6749" s="318"/>
      <c r="AQ6749" s="318"/>
      <c r="AR6749" s="319"/>
    </row>
    <row r="6750" spans="37:44" ht="30" customHeight="1">
      <c r="AK6750" s="318"/>
      <c r="AL6750" s="318"/>
      <c r="AM6750" s="318"/>
      <c r="AN6750" s="318"/>
      <c r="AO6750" s="318"/>
      <c r="AP6750" s="318"/>
      <c r="AQ6750" s="318"/>
      <c r="AR6750" s="319"/>
    </row>
    <row r="6751" spans="37:44" ht="30" customHeight="1">
      <c r="AK6751" s="318"/>
      <c r="AL6751" s="318"/>
      <c r="AM6751" s="318"/>
      <c r="AN6751" s="318"/>
      <c r="AO6751" s="318"/>
      <c r="AP6751" s="318"/>
      <c r="AQ6751" s="318"/>
      <c r="AR6751" s="319"/>
    </row>
    <row r="6752" spans="37:44" ht="30" customHeight="1">
      <c r="AK6752" s="318"/>
      <c r="AL6752" s="318"/>
      <c r="AM6752" s="318"/>
      <c r="AN6752" s="318"/>
      <c r="AO6752" s="318"/>
      <c r="AP6752" s="318"/>
      <c r="AQ6752" s="318"/>
      <c r="AR6752" s="319"/>
    </row>
    <row r="6753" spans="37:44" ht="30" customHeight="1">
      <c r="AK6753" s="318"/>
      <c r="AL6753" s="318"/>
      <c r="AM6753" s="318"/>
      <c r="AN6753" s="318"/>
      <c r="AO6753" s="318"/>
      <c r="AP6753" s="318"/>
      <c r="AQ6753" s="318"/>
      <c r="AR6753" s="319"/>
    </row>
    <row r="6754" spans="37:44" ht="30" customHeight="1">
      <c r="AK6754" s="318"/>
      <c r="AL6754" s="318"/>
      <c r="AM6754" s="318"/>
      <c r="AN6754" s="318"/>
      <c r="AO6754" s="318"/>
      <c r="AP6754" s="318"/>
      <c r="AQ6754" s="318"/>
      <c r="AR6754" s="319"/>
    </row>
    <row r="6755" spans="37:44" ht="30" customHeight="1">
      <c r="AK6755" s="318"/>
      <c r="AL6755" s="318"/>
      <c r="AM6755" s="318"/>
      <c r="AN6755" s="318"/>
      <c r="AO6755" s="318"/>
      <c r="AP6755" s="318"/>
      <c r="AQ6755" s="318"/>
      <c r="AR6755" s="319"/>
    </row>
    <row r="6756" spans="37:44" ht="30" customHeight="1">
      <c r="AK6756" s="318"/>
      <c r="AL6756" s="318"/>
      <c r="AM6756" s="318"/>
      <c r="AN6756" s="318"/>
      <c r="AO6756" s="318"/>
      <c r="AP6756" s="318"/>
      <c r="AQ6756" s="318"/>
      <c r="AR6756" s="319"/>
    </row>
    <row r="6757" spans="37:44" ht="30" customHeight="1">
      <c r="AK6757" s="318"/>
      <c r="AL6757" s="318"/>
      <c r="AM6757" s="318"/>
      <c r="AN6757" s="318"/>
      <c r="AO6757" s="318"/>
      <c r="AP6757" s="318"/>
      <c r="AQ6757" s="318"/>
      <c r="AR6757" s="319"/>
    </row>
    <row r="6758" spans="37:44" ht="30" customHeight="1">
      <c r="AK6758" s="318"/>
      <c r="AL6758" s="318"/>
      <c r="AM6758" s="318"/>
      <c r="AN6758" s="318"/>
      <c r="AO6758" s="318"/>
      <c r="AP6758" s="318"/>
      <c r="AQ6758" s="318"/>
      <c r="AR6758" s="319"/>
    </row>
    <row r="6759" spans="37:44" ht="30" customHeight="1">
      <c r="AK6759" s="318"/>
      <c r="AL6759" s="318"/>
      <c r="AM6759" s="318"/>
      <c r="AN6759" s="318"/>
      <c r="AO6759" s="318"/>
      <c r="AP6759" s="318"/>
      <c r="AQ6759" s="318"/>
      <c r="AR6759" s="319"/>
    </row>
    <row r="6760" spans="37:44" ht="30" customHeight="1">
      <c r="AK6760" s="318"/>
      <c r="AL6760" s="318"/>
      <c r="AM6760" s="318"/>
      <c r="AN6760" s="318"/>
      <c r="AO6760" s="318"/>
      <c r="AP6760" s="318"/>
      <c r="AQ6760" s="318"/>
      <c r="AR6760" s="319"/>
    </row>
    <row r="6761" spans="37:44" ht="30" customHeight="1">
      <c r="AK6761" s="318"/>
      <c r="AL6761" s="318"/>
      <c r="AM6761" s="318"/>
      <c r="AN6761" s="318"/>
      <c r="AO6761" s="318"/>
      <c r="AP6761" s="318"/>
      <c r="AQ6761" s="318"/>
      <c r="AR6761" s="319"/>
    </row>
    <row r="6762" spans="37:44" ht="30" customHeight="1">
      <c r="AK6762" s="318"/>
      <c r="AL6762" s="318"/>
      <c r="AM6762" s="318"/>
      <c r="AN6762" s="318"/>
      <c r="AO6762" s="318"/>
      <c r="AP6762" s="318"/>
      <c r="AQ6762" s="318"/>
      <c r="AR6762" s="319"/>
    </row>
    <row r="6763" spans="37:44" ht="30" customHeight="1">
      <c r="AK6763" s="318"/>
      <c r="AL6763" s="318"/>
      <c r="AM6763" s="318"/>
      <c r="AN6763" s="318"/>
      <c r="AO6763" s="318"/>
      <c r="AP6763" s="318"/>
      <c r="AQ6763" s="318"/>
      <c r="AR6763" s="319"/>
    </row>
    <row r="6764" spans="37:44" ht="30" customHeight="1">
      <c r="AK6764" s="318"/>
      <c r="AL6764" s="318"/>
      <c r="AM6764" s="318"/>
      <c r="AN6764" s="318"/>
      <c r="AO6764" s="318"/>
      <c r="AP6764" s="318"/>
      <c r="AQ6764" s="318"/>
      <c r="AR6764" s="319"/>
    </row>
    <row r="6765" spans="37:44" ht="30" customHeight="1">
      <c r="AK6765" s="318"/>
      <c r="AL6765" s="318"/>
      <c r="AM6765" s="318"/>
      <c r="AN6765" s="318"/>
      <c r="AO6765" s="318"/>
      <c r="AP6765" s="318"/>
      <c r="AQ6765" s="318"/>
      <c r="AR6765" s="319"/>
    </row>
    <row r="6766" spans="37:44" ht="30" customHeight="1">
      <c r="AK6766" s="318"/>
      <c r="AL6766" s="318"/>
      <c r="AM6766" s="318"/>
      <c r="AN6766" s="318"/>
      <c r="AO6766" s="318"/>
      <c r="AP6766" s="318"/>
      <c r="AQ6766" s="318"/>
      <c r="AR6766" s="319"/>
    </row>
    <row r="6767" spans="37:44" ht="30" customHeight="1">
      <c r="AK6767" s="318"/>
      <c r="AL6767" s="318"/>
      <c r="AM6767" s="318"/>
      <c r="AN6767" s="318"/>
      <c r="AO6767" s="318"/>
      <c r="AP6767" s="318"/>
      <c r="AQ6767" s="318"/>
      <c r="AR6767" s="319"/>
    </row>
    <row r="6768" spans="37:44" ht="30" customHeight="1">
      <c r="AK6768" s="318"/>
      <c r="AL6768" s="318"/>
      <c r="AM6768" s="318"/>
      <c r="AN6768" s="318"/>
      <c r="AO6768" s="318"/>
      <c r="AP6768" s="318"/>
      <c r="AQ6768" s="318"/>
      <c r="AR6768" s="319"/>
    </row>
    <row r="6769" spans="37:44" ht="30" customHeight="1">
      <c r="AK6769" s="318"/>
      <c r="AL6769" s="318"/>
      <c r="AM6769" s="318"/>
      <c r="AN6769" s="318"/>
      <c r="AO6769" s="318"/>
      <c r="AP6769" s="318"/>
      <c r="AQ6769" s="318"/>
      <c r="AR6769" s="319"/>
    </row>
    <row r="6770" spans="37:44" ht="30" customHeight="1">
      <c r="AK6770" s="318"/>
      <c r="AL6770" s="318"/>
      <c r="AM6770" s="318"/>
      <c r="AN6770" s="318"/>
      <c r="AO6770" s="318"/>
      <c r="AP6770" s="318"/>
      <c r="AQ6770" s="318"/>
      <c r="AR6770" s="319"/>
    </row>
    <row r="6771" spans="37:44" ht="30" customHeight="1">
      <c r="AK6771" s="318"/>
      <c r="AL6771" s="318"/>
      <c r="AM6771" s="318"/>
      <c r="AN6771" s="318"/>
      <c r="AO6771" s="318"/>
      <c r="AP6771" s="318"/>
      <c r="AQ6771" s="318"/>
      <c r="AR6771" s="319"/>
    </row>
    <row r="6772" spans="37:44" ht="30" customHeight="1">
      <c r="AK6772" s="318"/>
      <c r="AL6772" s="318"/>
      <c r="AM6772" s="318"/>
      <c r="AN6772" s="318"/>
      <c r="AO6772" s="318"/>
      <c r="AP6772" s="318"/>
      <c r="AQ6772" s="318"/>
      <c r="AR6772" s="319"/>
    </row>
    <row r="6773" spans="37:44" ht="30" customHeight="1">
      <c r="AK6773" s="318"/>
      <c r="AL6773" s="318"/>
      <c r="AM6773" s="318"/>
      <c r="AN6773" s="318"/>
      <c r="AO6773" s="318"/>
      <c r="AP6773" s="318"/>
      <c r="AQ6773" s="318"/>
      <c r="AR6773" s="319"/>
    </row>
    <row r="6774" spans="37:44" ht="30" customHeight="1">
      <c r="AK6774" s="318"/>
      <c r="AL6774" s="318"/>
      <c r="AM6774" s="318"/>
      <c r="AN6774" s="318"/>
      <c r="AO6774" s="318"/>
      <c r="AP6774" s="318"/>
      <c r="AQ6774" s="318"/>
      <c r="AR6774" s="319"/>
    </row>
    <row r="6775" spans="37:44" ht="30" customHeight="1">
      <c r="AK6775" s="318"/>
      <c r="AL6775" s="318"/>
      <c r="AM6775" s="318"/>
      <c r="AN6775" s="318"/>
      <c r="AO6775" s="318"/>
      <c r="AP6775" s="318"/>
      <c r="AQ6775" s="318"/>
      <c r="AR6775" s="319"/>
    </row>
    <row r="6776" spans="37:44" ht="30" customHeight="1">
      <c r="AK6776" s="318"/>
      <c r="AL6776" s="318"/>
      <c r="AM6776" s="318"/>
      <c r="AN6776" s="318"/>
      <c r="AO6776" s="318"/>
      <c r="AP6776" s="318"/>
      <c r="AQ6776" s="318"/>
      <c r="AR6776" s="319"/>
    </row>
    <row r="6777" spans="37:44" ht="30" customHeight="1">
      <c r="AK6777" s="318"/>
      <c r="AL6777" s="318"/>
      <c r="AM6777" s="318"/>
      <c r="AN6777" s="318"/>
      <c r="AO6777" s="318"/>
      <c r="AP6777" s="318"/>
      <c r="AQ6777" s="318"/>
      <c r="AR6777" s="319"/>
    </row>
    <row r="6778" spans="37:44" ht="30" customHeight="1">
      <c r="AK6778" s="318"/>
      <c r="AL6778" s="318"/>
      <c r="AM6778" s="318"/>
      <c r="AN6778" s="318"/>
      <c r="AO6778" s="318"/>
      <c r="AP6778" s="318"/>
      <c r="AQ6778" s="318"/>
      <c r="AR6778" s="319"/>
    </row>
    <row r="6779" spans="37:44" ht="30" customHeight="1">
      <c r="AK6779" s="318"/>
      <c r="AL6779" s="318"/>
      <c r="AM6779" s="318"/>
      <c r="AN6779" s="318"/>
      <c r="AO6779" s="318"/>
      <c r="AP6779" s="318"/>
      <c r="AQ6779" s="318"/>
      <c r="AR6779" s="319"/>
    </row>
    <row r="6780" spans="37:44" ht="30" customHeight="1">
      <c r="AK6780" s="318"/>
      <c r="AL6780" s="318"/>
      <c r="AM6780" s="318"/>
      <c r="AN6780" s="318"/>
      <c r="AO6780" s="318"/>
      <c r="AP6780" s="318"/>
      <c r="AQ6780" s="318"/>
      <c r="AR6780" s="319"/>
    </row>
    <row r="6781" spans="37:44" ht="30" customHeight="1">
      <c r="AK6781" s="318"/>
      <c r="AL6781" s="318"/>
      <c r="AM6781" s="318"/>
      <c r="AN6781" s="318"/>
      <c r="AO6781" s="318"/>
      <c r="AP6781" s="318"/>
      <c r="AQ6781" s="318"/>
      <c r="AR6781" s="319"/>
    </row>
    <row r="6782" spans="37:44" ht="30" customHeight="1">
      <c r="AK6782" s="318"/>
      <c r="AL6782" s="318"/>
      <c r="AM6782" s="318"/>
      <c r="AN6782" s="318"/>
      <c r="AO6782" s="318"/>
      <c r="AP6782" s="318"/>
      <c r="AQ6782" s="318"/>
      <c r="AR6782" s="319"/>
    </row>
    <row r="6783" spans="37:44" ht="30" customHeight="1">
      <c r="AK6783" s="318"/>
      <c r="AL6783" s="318"/>
      <c r="AM6783" s="318"/>
      <c r="AN6783" s="318"/>
      <c r="AO6783" s="318"/>
      <c r="AP6783" s="318"/>
      <c r="AQ6783" s="318"/>
      <c r="AR6783" s="319"/>
    </row>
    <row r="6784" spans="37:44" ht="30" customHeight="1">
      <c r="AK6784" s="318"/>
      <c r="AL6784" s="318"/>
      <c r="AM6784" s="318"/>
      <c r="AN6784" s="318"/>
      <c r="AO6784" s="318"/>
      <c r="AP6784" s="318"/>
      <c r="AQ6784" s="318"/>
      <c r="AR6784" s="319"/>
    </row>
    <row r="6785" spans="37:44" ht="30" customHeight="1">
      <c r="AK6785" s="318"/>
      <c r="AL6785" s="318"/>
      <c r="AM6785" s="318"/>
      <c r="AN6785" s="318"/>
      <c r="AO6785" s="318"/>
      <c r="AP6785" s="318"/>
      <c r="AQ6785" s="318"/>
      <c r="AR6785" s="319"/>
    </row>
    <row r="6786" spans="37:44" ht="30" customHeight="1">
      <c r="AK6786" s="318"/>
      <c r="AL6786" s="318"/>
      <c r="AM6786" s="318"/>
      <c r="AN6786" s="318"/>
      <c r="AO6786" s="318"/>
      <c r="AP6786" s="318"/>
      <c r="AQ6786" s="318"/>
      <c r="AR6786" s="319"/>
    </row>
    <row r="6787" spans="37:44" ht="30" customHeight="1">
      <c r="AK6787" s="318"/>
      <c r="AL6787" s="318"/>
      <c r="AM6787" s="318"/>
      <c r="AN6787" s="318"/>
      <c r="AO6787" s="318"/>
      <c r="AP6787" s="318"/>
      <c r="AQ6787" s="318"/>
      <c r="AR6787" s="319"/>
    </row>
    <row r="6788" spans="37:44" ht="30" customHeight="1">
      <c r="AK6788" s="318"/>
      <c r="AL6788" s="318"/>
      <c r="AM6788" s="318"/>
      <c r="AN6788" s="318"/>
      <c r="AO6788" s="318"/>
      <c r="AP6788" s="318"/>
      <c r="AQ6788" s="318"/>
      <c r="AR6788" s="319"/>
    </row>
    <row r="6789" spans="37:44" ht="30" customHeight="1">
      <c r="AK6789" s="318"/>
      <c r="AL6789" s="318"/>
      <c r="AM6789" s="318"/>
      <c r="AN6789" s="318"/>
      <c r="AO6789" s="318"/>
      <c r="AP6789" s="318"/>
      <c r="AQ6789" s="318"/>
      <c r="AR6789" s="319"/>
    </row>
    <row r="6790" spans="37:44" ht="30" customHeight="1">
      <c r="AK6790" s="318"/>
      <c r="AL6790" s="318"/>
      <c r="AM6790" s="318"/>
      <c r="AN6790" s="318"/>
      <c r="AO6790" s="318"/>
      <c r="AP6790" s="318"/>
      <c r="AQ6790" s="318"/>
      <c r="AR6790" s="319"/>
    </row>
    <row r="6791" spans="37:44" ht="30" customHeight="1">
      <c r="AK6791" s="318"/>
      <c r="AL6791" s="318"/>
      <c r="AM6791" s="318"/>
      <c r="AN6791" s="318"/>
      <c r="AO6791" s="318"/>
      <c r="AP6791" s="318"/>
      <c r="AQ6791" s="318"/>
      <c r="AR6791" s="319"/>
    </row>
    <row r="6792" spans="37:44" ht="30" customHeight="1">
      <c r="AK6792" s="318"/>
      <c r="AL6792" s="318"/>
      <c r="AM6792" s="318"/>
      <c r="AN6792" s="318"/>
      <c r="AO6792" s="318"/>
      <c r="AP6792" s="318"/>
      <c r="AQ6792" s="318"/>
      <c r="AR6792" s="319"/>
    </row>
    <row r="6793" spans="37:44" ht="30" customHeight="1">
      <c r="AK6793" s="318"/>
      <c r="AL6793" s="318"/>
      <c r="AM6793" s="318"/>
      <c r="AN6793" s="318"/>
      <c r="AO6793" s="318"/>
      <c r="AP6793" s="318"/>
      <c r="AQ6793" s="318"/>
      <c r="AR6793" s="319"/>
    </row>
    <row r="6794" spans="37:44" ht="30" customHeight="1">
      <c r="AK6794" s="318"/>
      <c r="AL6794" s="318"/>
      <c r="AM6794" s="318"/>
      <c r="AN6794" s="318"/>
      <c r="AO6794" s="318"/>
      <c r="AP6794" s="318"/>
      <c r="AQ6794" s="318"/>
      <c r="AR6794" s="319"/>
    </row>
    <row r="6795" spans="37:44" ht="30" customHeight="1">
      <c r="AK6795" s="318"/>
      <c r="AL6795" s="318"/>
      <c r="AM6795" s="318"/>
      <c r="AN6795" s="318"/>
      <c r="AO6795" s="318"/>
      <c r="AP6795" s="318"/>
      <c r="AQ6795" s="318"/>
      <c r="AR6795" s="319"/>
    </row>
    <row r="6796" spans="37:44" ht="30" customHeight="1">
      <c r="AK6796" s="318"/>
      <c r="AL6796" s="318"/>
      <c r="AM6796" s="318"/>
      <c r="AN6796" s="318"/>
      <c r="AO6796" s="318"/>
      <c r="AP6796" s="318"/>
      <c r="AQ6796" s="318"/>
      <c r="AR6796" s="319"/>
    </row>
    <row r="6797" spans="37:44" ht="30" customHeight="1">
      <c r="AK6797" s="318"/>
      <c r="AL6797" s="318"/>
      <c r="AM6797" s="318"/>
      <c r="AN6797" s="318"/>
      <c r="AO6797" s="318"/>
      <c r="AP6797" s="318"/>
      <c r="AQ6797" s="318"/>
      <c r="AR6797" s="319"/>
    </row>
    <row r="6798" spans="37:44" ht="30" customHeight="1">
      <c r="AK6798" s="318"/>
      <c r="AL6798" s="318"/>
      <c r="AM6798" s="318"/>
      <c r="AN6798" s="318"/>
      <c r="AO6798" s="318"/>
      <c r="AP6798" s="318"/>
      <c r="AQ6798" s="318"/>
      <c r="AR6798" s="319"/>
    </row>
    <row r="6799" spans="37:44" ht="30" customHeight="1">
      <c r="AK6799" s="318"/>
      <c r="AL6799" s="318"/>
      <c r="AM6799" s="318"/>
      <c r="AN6799" s="318"/>
      <c r="AO6799" s="318"/>
      <c r="AP6799" s="318"/>
      <c r="AQ6799" s="318"/>
      <c r="AR6799" s="319"/>
    </row>
    <row r="6800" spans="37:44" ht="30" customHeight="1">
      <c r="AK6800" s="318"/>
      <c r="AL6800" s="318"/>
      <c r="AM6800" s="318"/>
      <c r="AN6800" s="318"/>
      <c r="AO6800" s="318"/>
      <c r="AP6800" s="318"/>
      <c r="AQ6800" s="318"/>
      <c r="AR6800" s="319"/>
    </row>
    <row r="6801" spans="37:44" ht="30" customHeight="1">
      <c r="AK6801" s="318"/>
      <c r="AL6801" s="318"/>
      <c r="AM6801" s="318"/>
      <c r="AN6801" s="318"/>
      <c r="AO6801" s="318"/>
      <c r="AP6801" s="318"/>
      <c r="AQ6801" s="318"/>
      <c r="AR6801" s="319"/>
    </row>
    <row r="6802" spans="37:44" ht="30" customHeight="1">
      <c r="AK6802" s="318"/>
      <c r="AL6802" s="318"/>
      <c r="AM6802" s="318"/>
      <c r="AN6802" s="318"/>
      <c r="AO6802" s="318"/>
      <c r="AP6802" s="318"/>
      <c r="AQ6802" s="318"/>
      <c r="AR6802" s="319"/>
    </row>
    <row r="6803" spans="37:44" ht="30" customHeight="1">
      <c r="AK6803" s="318"/>
      <c r="AL6803" s="318"/>
      <c r="AM6803" s="318"/>
      <c r="AN6803" s="318"/>
      <c r="AO6803" s="318"/>
      <c r="AP6803" s="318"/>
      <c r="AQ6803" s="318"/>
      <c r="AR6803" s="319"/>
    </row>
    <row r="6804" spans="37:44" ht="30" customHeight="1">
      <c r="AK6804" s="318"/>
      <c r="AL6804" s="318"/>
      <c r="AM6804" s="318"/>
      <c r="AN6804" s="318"/>
      <c r="AO6804" s="318"/>
      <c r="AP6804" s="318"/>
      <c r="AQ6804" s="318"/>
      <c r="AR6804" s="319"/>
    </row>
    <row r="6805" spans="37:44" ht="30" customHeight="1">
      <c r="AK6805" s="318"/>
      <c r="AL6805" s="318"/>
      <c r="AM6805" s="318"/>
      <c r="AN6805" s="318"/>
      <c r="AO6805" s="318"/>
      <c r="AP6805" s="318"/>
      <c r="AQ6805" s="318"/>
      <c r="AR6805" s="319"/>
    </row>
    <row r="6806" spans="37:44" ht="30" customHeight="1">
      <c r="AK6806" s="318"/>
      <c r="AL6806" s="318"/>
      <c r="AM6806" s="318"/>
      <c r="AN6806" s="318"/>
      <c r="AO6806" s="318"/>
      <c r="AP6806" s="318"/>
      <c r="AQ6806" s="318"/>
      <c r="AR6806" s="319"/>
    </row>
    <row r="6807" spans="37:44" ht="30" customHeight="1">
      <c r="AK6807" s="318"/>
      <c r="AL6807" s="318"/>
      <c r="AM6807" s="318"/>
      <c r="AN6807" s="318"/>
      <c r="AO6807" s="318"/>
      <c r="AP6807" s="318"/>
      <c r="AQ6807" s="318"/>
      <c r="AR6807" s="319"/>
    </row>
    <row r="6808" spans="37:44" ht="30" customHeight="1">
      <c r="AK6808" s="318"/>
      <c r="AL6808" s="318"/>
      <c r="AM6808" s="318"/>
      <c r="AN6808" s="318"/>
      <c r="AO6808" s="318"/>
      <c r="AP6808" s="318"/>
      <c r="AQ6808" s="318"/>
      <c r="AR6808" s="319"/>
    </row>
    <row r="6809" spans="37:44" ht="30" customHeight="1">
      <c r="AK6809" s="318"/>
      <c r="AL6809" s="318"/>
      <c r="AM6809" s="318"/>
      <c r="AN6809" s="318"/>
      <c r="AO6809" s="318"/>
      <c r="AP6809" s="318"/>
      <c r="AQ6809" s="318"/>
      <c r="AR6809" s="319"/>
    </row>
    <row r="6810" spans="37:44" ht="30" customHeight="1">
      <c r="AK6810" s="318"/>
      <c r="AL6810" s="318"/>
      <c r="AM6810" s="318"/>
      <c r="AN6810" s="318"/>
      <c r="AO6810" s="318"/>
      <c r="AP6810" s="318"/>
      <c r="AQ6810" s="318"/>
      <c r="AR6810" s="319"/>
    </row>
    <row r="6811" spans="37:44" ht="30" customHeight="1">
      <c r="AK6811" s="318"/>
      <c r="AL6811" s="318"/>
      <c r="AM6811" s="318"/>
      <c r="AN6811" s="318"/>
      <c r="AO6811" s="318"/>
      <c r="AP6811" s="318"/>
      <c r="AQ6811" s="318"/>
      <c r="AR6811" s="319"/>
    </row>
    <row r="6812" spans="37:44" ht="30" customHeight="1">
      <c r="AK6812" s="318"/>
      <c r="AL6812" s="318"/>
      <c r="AM6812" s="318"/>
      <c r="AN6812" s="318"/>
      <c r="AO6812" s="318"/>
      <c r="AP6812" s="318"/>
      <c r="AQ6812" s="318"/>
      <c r="AR6812" s="319"/>
    </row>
    <row r="6813" spans="37:44" ht="30" customHeight="1">
      <c r="AK6813" s="318"/>
      <c r="AL6813" s="318"/>
      <c r="AM6813" s="318"/>
      <c r="AN6813" s="318"/>
      <c r="AO6813" s="318"/>
      <c r="AP6813" s="318"/>
      <c r="AQ6813" s="318"/>
      <c r="AR6813" s="319"/>
    </row>
    <row r="6814" spans="37:44" ht="30" customHeight="1">
      <c r="AK6814" s="318"/>
      <c r="AL6814" s="318"/>
      <c r="AM6814" s="318"/>
      <c r="AN6814" s="318"/>
      <c r="AO6814" s="318"/>
      <c r="AP6814" s="318"/>
      <c r="AQ6814" s="318"/>
      <c r="AR6814" s="319"/>
    </row>
    <row r="6815" spans="37:44" ht="30" customHeight="1">
      <c r="AK6815" s="318"/>
      <c r="AL6815" s="318"/>
      <c r="AM6815" s="318"/>
      <c r="AN6815" s="318"/>
      <c r="AO6815" s="318"/>
      <c r="AP6815" s="318"/>
      <c r="AQ6815" s="318"/>
      <c r="AR6815" s="319"/>
    </row>
    <row r="6816" spans="37:44" ht="30" customHeight="1">
      <c r="AK6816" s="318"/>
      <c r="AL6816" s="318"/>
      <c r="AM6816" s="318"/>
      <c r="AN6816" s="318"/>
      <c r="AO6816" s="318"/>
      <c r="AP6816" s="318"/>
      <c r="AQ6816" s="318"/>
      <c r="AR6816" s="319"/>
    </row>
    <row r="6817" spans="37:44" ht="30" customHeight="1">
      <c r="AK6817" s="318"/>
      <c r="AL6817" s="318"/>
      <c r="AM6817" s="318"/>
      <c r="AN6817" s="318"/>
      <c r="AO6817" s="318"/>
      <c r="AP6817" s="318"/>
      <c r="AQ6817" s="318"/>
      <c r="AR6817" s="319"/>
    </row>
    <row r="6818" spans="37:44" ht="30" customHeight="1">
      <c r="AK6818" s="318"/>
      <c r="AL6818" s="318"/>
      <c r="AM6818" s="318"/>
      <c r="AN6818" s="318"/>
      <c r="AO6818" s="318"/>
      <c r="AP6818" s="318"/>
      <c r="AQ6818" s="318"/>
      <c r="AR6818" s="319"/>
    </row>
    <row r="6819" spans="37:44" ht="30" customHeight="1">
      <c r="AK6819" s="318"/>
      <c r="AL6819" s="318"/>
      <c r="AM6819" s="318"/>
      <c r="AN6819" s="318"/>
      <c r="AO6819" s="318"/>
      <c r="AP6819" s="318"/>
      <c r="AQ6819" s="318"/>
      <c r="AR6819" s="319"/>
    </row>
    <row r="6820" spans="37:44" ht="30" customHeight="1">
      <c r="AK6820" s="318"/>
      <c r="AL6820" s="318"/>
      <c r="AM6820" s="318"/>
      <c r="AN6820" s="318"/>
      <c r="AO6820" s="318"/>
      <c r="AP6820" s="318"/>
      <c r="AQ6820" s="318"/>
      <c r="AR6820" s="319"/>
    </row>
    <row r="6821" spans="37:44" ht="30" customHeight="1">
      <c r="AK6821" s="318"/>
      <c r="AL6821" s="318"/>
      <c r="AM6821" s="318"/>
      <c r="AN6821" s="318"/>
      <c r="AO6821" s="318"/>
      <c r="AP6821" s="318"/>
      <c r="AQ6821" s="318"/>
      <c r="AR6821" s="319"/>
    </row>
    <row r="6822" spans="37:44" ht="30" customHeight="1">
      <c r="AK6822" s="318"/>
      <c r="AL6822" s="318"/>
      <c r="AM6822" s="318"/>
      <c r="AN6822" s="318"/>
      <c r="AO6822" s="318"/>
      <c r="AP6822" s="318"/>
      <c r="AQ6822" s="318"/>
      <c r="AR6822" s="319"/>
    </row>
    <row r="6823" spans="37:44" ht="30" customHeight="1">
      <c r="AK6823" s="318"/>
      <c r="AL6823" s="318"/>
      <c r="AM6823" s="318"/>
      <c r="AN6823" s="318"/>
      <c r="AO6823" s="318"/>
      <c r="AP6823" s="318"/>
      <c r="AQ6823" s="318"/>
      <c r="AR6823" s="319"/>
    </row>
    <row r="6824" spans="37:44" ht="30" customHeight="1">
      <c r="AK6824" s="318"/>
      <c r="AL6824" s="318"/>
      <c r="AM6824" s="318"/>
      <c r="AN6824" s="318"/>
      <c r="AO6824" s="318"/>
      <c r="AP6824" s="318"/>
      <c r="AQ6824" s="318"/>
      <c r="AR6824" s="319"/>
    </row>
    <row r="6825" spans="37:44" ht="30" customHeight="1">
      <c r="AK6825" s="318"/>
      <c r="AL6825" s="318"/>
      <c r="AM6825" s="318"/>
      <c r="AN6825" s="318"/>
      <c r="AO6825" s="318"/>
      <c r="AP6825" s="318"/>
      <c r="AQ6825" s="318"/>
      <c r="AR6825" s="319"/>
    </row>
    <row r="6826" spans="37:44" ht="30" customHeight="1">
      <c r="AK6826" s="318"/>
      <c r="AL6826" s="318"/>
      <c r="AM6826" s="318"/>
      <c r="AN6826" s="318"/>
      <c r="AO6826" s="318"/>
      <c r="AP6826" s="318"/>
      <c r="AQ6826" s="318"/>
      <c r="AR6826" s="319"/>
    </row>
    <row r="6827" spans="37:44" ht="30" customHeight="1">
      <c r="AK6827" s="318"/>
      <c r="AL6827" s="318"/>
      <c r="AM6827" s="318"/>
      <c r="AN6827" s="318"/>
      <c r="AO6827" s="318"/>
      <c r="AP6827" s="318"/>
      <c r="AQ6827" s="318"/>
      <c r="AR6827" s="319"/>
    </row>
    <row r="6828" spans="37:44" ht="30" customHeight="1">
      <c r="AK6828" s="318"/>
      <c r="AL6828" s="318"/>
      <c r="AM6828" s="318"/>
      <c r="AN6828" s="318"/>
      <c r="AO6828" s="318"/>
      <c r="AP6828" s="318"/>
      <c r="AQ6828" s="318"/>
      <c r="AR6828" s="319"/>
    </row>
    <row r="6829" spans="37:44" ht="30" customHeight="1">
      <c r="AK6829" s="318"/>
      <c r="AL6829" s="318"/>
      <c r="AM6829" s="318"/>
      <c r="AN6829" s="318"/>
      <c r="AO6829" s="318"/>
      <c r="AP6829" s="318"/>
      <c r="AQ6829" s="318"/>
      <c r="AR6829" s="319"/>
    </row>
    <row r="6830" spans="37:44" ht="30" customHeight="1">
      <c r="AK6830" s="318"/>
      <c r="AL6830" s="318"/>
      <c r="AM6830" s="318"/>
      <c r="AN6830" s="318"/>
      <c r="AO6830" s="318"/>
      <c r="AP6830" s="318"/>
      <c r="AQ6830" s="318"/>
      <c r="AR6830" s="319"/>
    </row>
    <row r="6831" spans="37:44" ht="30" customHeight="1">
      <c r="AK6831" s="318"/>
      <c r="AL6831" s="318"/>
      <c r="AM6831" s="318"/>
      <c r="AN6831" s="318"/>
      <c r="AO6831" s="318"/>
      <c r="AP6831" s="318"/>
      <c r="AQ6831" s="318"/>
      <c r="AR6831" s="319"/>
    </row>
    <row r="6832" spans="37:44" ht="30" customHeight="1">
      <c r="AK6832" s="318"/>
      <c r="AL6832" s="318"/>
      <c r="AM6832" s="318"/>
      <c r="AN6832" s="318"/>
      <c r="AO6832" s="318"/>
      <c r="AP6832" s="318"/>
      <c r="AQ6832" s="318"/>
      <c r="AR6832" s="319"/>
    </row>
    <row r="6833" spans="37:44" ht="30" customHeight="1">
      <c r="AK6833" s="318"/>
      <c r="AL6833" s="318"/>
      <c r="AM6833" s="318"/>
      <c r="AN6833" s="318"/>
      <c r="AO6833" s="318"/>
      <c r="AP6833" s="318"/>
      <c r="AQ6833" s="318"/>
      <c r="AR6833" s="319"/>
    </row>
    <row r="6834" spans="37:44" ht="30" customHeight="1">
      <c r="AK6834" s="318"/>
      <c r="AL6834" s="318"/>
      <c r="AM6834" s="318"/>
      <c r="AN6834" s="318"/>
      <c r="AO6834" s="318"/>
      <c r="AP6834" s="318"/>
      <c r="AQ6834" s="318"/>
      <c r="AR6834" s="319"/>
    </row>
    <row r="6835" spans="37:44" ht="30" customHeight="1">
      <c r="AK6835" s="318"/>
      <c r="AL6835" s="318"/>
      <c r="AM6835" s="318"/>
      <c r="AN6835" s="318"/>
      <c r="AO6835" s="318"/>
      <c r="AP6835" s="318"/>
      <c r="AQ6835" s="318"/>
      <c r="AR6835" s="319"/>
    </row>
    <row r="6836" spans="37:44" ht="30" customHeight="1">
      <c r="AK6836" s="318"/>
      <c r="AL6836" s="318"/>
      <c r="AM6836" s="318"/>
      <c r="AN6836" s="318"/>
      <c r="AO6836" s="318"/>
      <c r="AP6836" s="318"/>
      <c r="AQ6836" s="318"/>
      <c r="AR6836" s="319"/>
    </row>
    <row r="6837" spans="37:44" ht="30" customHeight="1">
      <c r="AK6837" s="318"/>
      <c r="AL6837" s="318"/>
      <c r="AM6837" s="318"/>
      <c r="AN6837" s="318"/>
      <c r="AO6837" s="318"/>
      <c r="AP6837" s="318"/>
      <c r="AQ6837" s="318"/>
      <c r="AR6837" s="319"/>
    </row>
    <row r="6838" spans="37:44" ht="30" customHeight="1">
      <c r="AK6838" s="318"/>
      <c r="AL6838" s="318"/>
      <c r="AM6838" s="318"/>
      <c r="AN6838" s="318"/>
      <c r="AO6838" s="318"/>
      <c r="AP6838" s="318"/>
      <c r="AQ6838" s="318"/>
      <c r="AR6838" s="319"/>
    </row>
    <row r="6839" spans="37:44" ht="30" customHeight="1">
      <c r="AK6839" s="318"/>
      <c r="AL6839" s="318"/>
      <c r="AM6839" s="318"/>
      <c r="AN6839" s="318"/>
      <c r="AO6839" s="318"/>
      <c r="AP6839" s="318"/>
      <c r="AQ6839" s="318"/>
      <c r="AR6839" s="319"/>
    </row>
    <row r="6840" spans="37:44" ht="30" customHeight="1">
      <c r="AK6840" s="318"/>
      <c r="AL6840" s="318"/>
      <c r="AM6840" s="318"/>
      <c r="AN6840" s="318"/>
      <c r="AO6840" s="318"/>
      <c r="AP6840" s="318"/>
      <c r="AQ6840" s="318"/>
      <c r="AR6840" s="319"/>
    </row>
    <row r="6841" spans="37:44" ht="30" customHeight="1">
      <c r="AK6841" s="318"/>
      <c r="AL6841" s="318"/>
      <c r="AM6841" s="318"/>
      <c r="AN6841" s="318"/>
      <c r="AO6841" s="318"/>
      <c r="AP6841" s="318"/>
      <c r="AQ6841" s="318"/>
      <c r="AR6841" s="319"/>
    </row>
    <row r="6842" spans="37:44" ht="30" customHeight="1">
      <c r="AK6842" s="318"/>
      <c r="AL6842" s="318"/>
      <c r="AM6842" s="318"/>
      <c r="AN6842" s="318"/>
      <c r="AO6842" s="318"/>
      <c r="AP6842" s="318"/>
      <c r="AQ6842" s="318"/>
      <c r="AR6842" s="319"/>
    </row>
    <row r="6843" spans="37:44" ht="30" customHeight="1">
      <c r="AK6843" s="318"/>
      <c r="AL6843" s="318"/>
      <c r="AM6843" s="318"/>
      <c r="AN6843" s="318"/>
      <c r="AO6843" s="318"/>
      <c r="AP6843" s="318"/>
      <c r="AQ6843" s="318"/>
      <c r="AR6843" s="319"/>
    </row>
    <row r="6844" spans="37:44" ht="30" customHeight="1">
      <c r="AK6844" s="318"/>
      <c r="AL6844" s="318"/>
      <c r="AM6844" s="318"/>
      <c r="AN6844" s="318"/>
      <c r="AO6844" s="318"/>
      <c r="AP6844" s="318"/>
      <c r="AQ6844" s="318"/>
      <c r="AR6844" s="319"/>
    </row>
    <row r="6845" spans="37:44" ht="30" customHeight="1">
      <c r="AK6845" s="318"/>
      <c r="AL6845" s="318"/>
      <c r="AM6845" s="318"/>
      <c r="AN6845" s="318"/>
      <c r="AO6845" s="318"/>
      <c r="AP6845" s="318"/>
      <c r="AQ6845" s="318"/>
      <c r="AR6845" s="319"/>
    </row>
    <row r="6846" spans="37:44" ht="30" customHeight="1">
      <c r="AK6846" s="318"/>
      <c r="AL6846" s="318"/>
      <c r="AM6846" s="318"/>
      <c r="AN6846" s="318"/>
      <c r="AO6846" s="318"/>
      <c r="AP6846" s="318"/>
      <c r="AQ6846" s="318"/>
      <c r="AR6846" s="319"/>
    </row>
    <row r="6847" spans="37:44" ht="30" customHeight="1">
      <c r="AK6847" s="318"/>
      <c r="AL6847" s="318"/>
      <c r="AM6847" s="318"/>
      <c r="AN6847" s="318"/>
      <c r="AO6847" s="318"/>
      <c r="AP6847" s="318"/>
      <c r="AQ6847" s="318"/>
      <c r="AR6847" s="319"/>
    </row>
    <row r="6848" spans="37:44" ht="30" customHeight="1">
      <c r="AK6848" s="318"/>
      <c r="AL6848" s="318"/>
      <c r="AM6848" s="318"/>
      <c r="AN6848" s="318"/>
      <c r="AO6848" s="318"/>
      <c r="AP6848" s="318"/>
      <c r="AQ6848" s="318"/>
      <c r="AR6848" s="319"/>
    </row>
    <row r="6849" spans="37:44" ht="30" customHeight="1">
      <c r="AK6849" s="318"/>
      <c r="AL6849" s="318"/>
      <c r="AM6849" s="318"/>
      <c r="AN6849" s="318"/>
      <c r="AO6849" s="318"/>
      <c r="AP6849" s="318"/>
      <c r="AQ6849" s="318"/>
      <c r="AR6849" s="319"/>
    </row>
    <row r="6850" spans="37:44" ht="30" customHeight="1">
      <c r="AK6850" s="318"/>
      <c r="AL6850" s="318"/>
      <c r="AM6850" s="318"/>
      <c r="AN6850" s="318"/>
      <c r="AO6850" s="318"/>
      <c r="AP6850" s="318"/>
      <c r="AQ6850" s="318"/>
      <c r="AR6850" s="319"/>
    </row>
    <row r="6851" spans="37:44" ht="30" customHeight="1">
      <c r="AK6851" s="318"/>
      <c r="AL6851" s="318"/>
      <c r="AM6851" s="318"/>
      <c r="AN6851" s="318"/>
      <c r="AO6851" s="318"/>
      <c r="AP6851" s="318"/>
      <c r="AQ6851" s="318"/>
      <c r="AR6851" s="319"/>
    </row>
    <row r="6852" spans="37:44" ht="30" customHeight="1">
      <c r="AK6852" s="318"/>
      <c r="AL6852" s="318"/>
      <c r="AM6852" s="318"/>
      <c r="AN6852" s="318"/>
      <c r="AO6852" s="318"/>
      <c r="AP6852" s="318"/>
      <c r="AQ6852" s="318"/>
      <c r="AR6852" s="319"/>
    </row>
    <row r="6853" spans="37:44" ht="30" customHeight="1">
      <c r="AK6853" s="318"/>
      <c r="AL6853" s="318"/>
      <c r="AM6853" s="318"/>
      <c r="AN6853" s="318"/>
      <c r="AO6853" s="318"/>
      <c r="AP6853" s="318"/>
      <c r="AQ6853" s="318"/>
      <c r="AR6853" s="319"/>
    </row>
    <row r="6854" spans="37:44" ht="30" customHeight="1">
      <c r="AK6854" s="318"/>
      <c r="AL6854" s="318"/>
      <c r="AM6854" s="318"/>
      <c r="AN6854" s="318"/>
      <c r="AO6854" s="318"/>
      <c r="AP6854" s="318"/>
      <c r="AQ6854" s="318"/>
      <c r="AR6854" s="319"/>
    </row>
    <row r="6855" spans="37:44" ht="30" customHeight="1">
      <c r="AK6855" s="318"/>
      <c r="AL6855" s="318"/>
      <c r="AM6855" s="318"/>
      <c r="AN6855" s="318"/>
      <c r="AO6855" s="318"/>
      <c r="AP6855" s="318"/>
      <c r="AQ6855" s="318"/>
      <c r="AR6855" s="319"/>
    </row>
    <row r="6856" spans="37:44" ht="30" customHeight="1">
      <c r="AK6856" s="318"/>
      <c r="AL6856" s="318"/>
      <c r="AM6856" s="318"/>
      <c r="AN6856" s="318"/>
      <c r="AO6856" s="318"/>
      <c r="AP6856" s="318"/>
      <c r="AQ6856" s="318"/>
      <c r="AR6856" s="319"/>
    </row>
    <row r="6857" spans="37:44" ht="30" customHeight="1">
      <c r="AK6857" s="318"/>
      <c r="AL6857" s="318"/>
      <c r="AM6857" s="318"/>
      <c r="AN6857" s="318"/>
      <c r="AO6857" s="318"/>
      <c r="AP6857" s="318"/>
      <c r="AQ6857" s="318"/>
      <c r="AR6857" s="319"/>
    </row>
    <row r="6858" spans="37:44" ht="30" customHeight="1">
      <c r="AK6858" s="318"/>
      <c r="AL6858" s="318"/>
      <c r="AM6858" s="318"/>
      <c r="AN6858" s="318"/>
      <c r="AO6858" s="318"/>
      <c r="AP6858" s="318"/>
      <c r="AQ6858" s="318"/>
      <c r="AR6858" s="319"/>
    </row>
    <row r="6859" spans="37:44" ht="30" customHeight="1">
      <c r="AK6859" s="318"/>
      <c r="AL6859" s="318"/>
      <c r="AM6859" s="318"/>
      <c r="AN6859" s="318"/>
      <c r="AO6859" s="318"/>
      <c r="AP6859" s="318"/>
      <c r="AQ6859" s="318"/>
      <c r="AR6859" s="319"/>
    </row>
    <row r="6860" spans="37:44" ht="30" customHeight="1">
      <c r="AK6860" s="318"/>
      <c r="AL6860" s="318"/>
      <c r="AM6860" s="318"/>
      <c r="AN6860" s="318"/>
      <c r="AO6860" s="318"/>
      <c r="AP6860" s="318"/>
      <c r="AQ6860" s="318"/>
      <c r="AR6860" s="319"/>
    </row>
    <row r="6861" spans="37:44" ht="30" customHeight="1">
      <c r="AK6861" s="318"/>
      <c r="AL6861" s="318"/>
      <c r="AM6861" s="318"/>
      <c r="AN6861" s="318"/>
      <c r="AO6861" s="318"/>
      <c r="AP6861" s="318"/>
      <c r="AQ6861" s="318"/>
      <c r="AR6861" s="319"/>
    </row>
    <row r="6862" spans="37:44" ht="30" customHeight="1">
      <c r="AK6862" s="318"/>
      <c r="AL6862" s="318"/>
      <c r="AM6862" s="318"/>
      <c r="AN6862" s="318"/>
      <c r="AO6862" s="318"/>
      <c r="AP6862" s="318"/>
      <c r="AQ6862" s="318"/>
      <c r="AR6862" s="319"/>
    </row>
    <row r="6863" spans="37:44" ht="30" customHeight="1">
      <c r="AK6863" s="318"/>
      <c r="AL6863" s="318"/>
      <c r="AM6863" s="318"/>
      <c r="AN6863" s="318"/>
      <c r="AO6863" s="318"/>
      <c r="AP6863" s="318"/>
      <c r="AQ6863" s="318"/>
      <c r="AR6863" s="319"/>
    </row>
    <row r="6864" spans="37:44" ht="30" customHeight="1">
      <c r="AK6864" s="318"/>
      <c r="AL6864" s="318"/>
      <c r="AM6864" s="318"/>
      <c r="AN6864" s="318"/>
      <c r="AO6864" s="318"/>
      <c r="AP6864" s="318"/>
      <c r="AQ6864" s="318"/>
      <c r="AR6864" s="319"/>
    </row>
    <row r="6865" spans="37:44" ht="30" customHeight="1">
      <c r="AK6865" s="318"/>
      <c r="AL6865" s="318"/>
      <c r="AM6865" s="318"/>
      <c r="AN6865" s="318"/>
      <c r="AO6865" s="318"/>
      <c r="AP6865" s="318"/>
      <c r="AQ6865" s="318"/>
      <c r="AR6865" s="319"/>
    </row>
    <row r="6866" spans="37:44" ht="30" customHeight="1">
      <c r="AK6866" s="318"/>
      <c r="AL6866" s="318"/>
      <c r="AM6866" s="318"/>
      <c r="AN6866" s="318"/>
      <c r="AO6866" s="318"/>
      <c r="AP6866" s="318"/>
      <c r="AQ6866" s="318"/>
      <c r="AR6866" s="319"/>
    </row>
    <row r="6867" spans="37:44" ht="30" customHeight="1">
      <c r="AK6867" s="318"/>
      <c r="AL6867" s="318"/>
      <c r="AM6867" s="318"/>
      <c r="AN6867" s="318"/>
      <c r="AO6867" s="318"/>
      <c r="AP6867" s="318"/>
      <c r="AQ6867" s="318"/>
      <c r="AR6867" s="319"/>
    </row>
    <row r="6868" spans="37:44" ht="30" customHeight="1">
      <c r="AK6868" s="318"/>
      <c r="AL6868" s="318"/>
      <c r="AM6868" s="318"/>
      <c r="AN6868" s="318"/>
      <c r="AO6868" s="318"/>
      <c r="AP6868" s="318"/>
      <c r="AQ6868" s="318"/>
      <c r="AR6868" s="319"/>
    </row>
    <row r="6869" spans="37:44" ht="30" customHeight="1">
      <c r="AK6869" s="318"/>
      <c r="AL6869" s="318"/>
      <c r="AM6869" s="318"/>
      <c r="AN6869" s="318"/>
      <c r="AO6869" s="318"/>
      <c r="AP6869" s="318"/>
      <c r="AQ6869" s="318"/>
      <c r="AR6869" s="319"/>
    </row>
    <row r="6870" spans="37:44" ht="30" customHeight="1">
      <c r="AK6870" s="318"/>
      <c r="AL6870" s="318"/>
      <c r="AM6870" s="318"/>
      <c r="AN6870" s="318"/>
      <c r="AO6870" s="318"/>
      <c r="AP6870" s="318"/>
      <c r="AQ6870" s="318"/>
      <c r="AR6870" s="319"/>
    </row>
    <row r="6871" spans="37:44" ht="30" customHeight="1">
      <c r="AK6871" s="318"/>
      <c r="AL6871" s="318"/>
      <c r="AM6871" s="318"/>
      <c r="AN6871" s="318"/>
      <c r="AO6871" s="318"/>
      <c r="AP6871" s="318"/>
      <c r="AQ6871" s="318"/>
      <c r="AR6871" s="319"/>
    </row>
    <row r="6872" spans="37:44" ht="30" customHeight="1">
      <c r="AK6872" s="318"/>
      <c r="AL6872" s="318"/>
      <c r="AM6872" s="318"/>
      <c r="AN6872" s="318"/>
      <c r="AO6872" s="318"/>
      <c r="AP6872" s="318"/>
      <c r="AQ6872" s="318"/>
      <c r="AR6872" s="319"/>
    </row>
    <row r="6873" spans="37:44" ht="30" customHeight="1">
      <c r="AK6873" s="318"/>
      <c r="AL6873" s="318"/>
      <c r="AM6873" s="318"/>
      <c r="AN6873" s="318"/>
      <c r="AO6873" s="318"/>
      <c r="AP6873" s="318"/>
      <c r="AQ6873" s="318"/>
      <c r="AR6873" s="319"/>
    </row>
    <row r="6874" spans="37:44" ht="30" customHeight="1">
      <c r="AK6874" s="318"/>
      <c r="AL6874" s="318"/>
      <c r="AM6874" s="318"/>
      <c r="AN6874" s="318"/>
      <c r="AO6874" s="318"/>
      <c r="AP6874" s="318"/>
      <c r="AQ6874" s="318"/>
      <c r="AR6874" s="319"/>
    </row>
    <row r="6875" spans="37:44" ht="30" customHeight="1">
      <c r="AK6875" s="318"/>
      <c r="AL6875" s="318"/>
      <c r="AM6875" s="318"/>
      <c r="AN6875" s="318"/>
      <c r="AO6875" s="318"/>
      <c r="AP6875" s="318"/>
      <c r="AQ6875" s="318"/>
      <c r="AR6875" s="319"/>
    </row>
    <row r="6876" spans="37:44" ht="30" customHeight="1">
      <c r="AK6876" s="318"/>
      <c r="AL6876" s="318"/>
      <c r="AM6876" s="318"/>
      <c r="AN6876" s="318"/>
      <c r="AO6876" s="318"/>
      <c r="AP6876" s="318"/>
      <c r="AQ6876" s="318"/>
      <c r="AR6876" s="319"/>
    </row>
    <row r="6877" spans="37:44" ht="30" customHeight="1">
      <c r="AK6877" s="318"/>
      <c r="AL6877" s="318"/>
      <c r="AM6877" s="318"/>
      <c r="AN6877" s="318"/>
      <c r="AO6877" s="318"/>
      <c r="AP6877" s="318"/>
      <c r="AQ6877" s="318"/>
      <c r="AR6877" s="319"/>
    </row>
    <row r="6878" spans="37:44" ht="30" customHeight="1">
      <c r="AK6878" s="318"/>
      <c r="AL6878" s="318"/>
      <c r="AM6878" s="318"/>
      <c r="AN6878" s="318"/>
      <c r="AO6878" s="318"/>
      <c r="AP6878" s="318"/>
      <c r="AQ6878" s="318"/>
      <c r="AR6878" s="319"/>
    </row>
    <row r="6879" spans="37:44" ht="30" customHeight="1">
      <c r="AK6879" s="318"/>
      <c r="AL6879" s="318"/>
      <c r="AM6879" s="318"/>
      <c r="AN6879" s="318"/>
      <c r="AO6879" s="318"/>
      <c r="AP6879" s="318"/>
      <c r="AQ6879" s="318"/>
      <c r="AR6879" s="319"/>
    </row>
    <row r="6880" spans="37:44" ht="30" customHeight="1">
      <c r="AK6880" s="318"/>
      <c r="AL6880" s="318"/>
      <c r="AM6880" s="318"/>
      <c r="AN6880" s="318"/>
      <c r="AO6880" s="318"/>
      <c r="AP6880" s="318"/>
      <c r="AQ6880" s="318"/>
      <c r="AR6880" s="319"/>
    </row>
    <row r="6881" spans="37:44" ht="30" customHeight="1">
      <c r="AK6881" s="318"/>
      <c r="AL6881" s="318"/>
      <c r="AM6881" s="318"/>
      <c r="AN6881" s="318"/>
      <c r="AO6881" s="318"/>
      <c r="AP6881" s="318"/>
      <c r="AQ6881" s="318"/>
      <c r="AR6881" s="319"/>
    </row>
    <row r="6882" spans="37:44" ht="30" customHeight="1">
      <c r="AK6882" s="318"/>
      <c r="AL6882" s="318"/>
      <c r="AM6882" s="318"/>
      <c r="AN6882" s="318"/>
      <c r="AO6882" s="318"/>
      <c r="AP6882" s="318"/>
      <c r="AQ6882" s="318"/>
      <c r="AR6882" s="319"/>
    </row>
    <row r="6883" spans="37:44" ht="30" customHeight="1">
      <c r="AK6883" s="318"/>
      <c r="AL6883" s="318"/>
      <c r="AM6883" s="318"/>
      <c r="AN6883" s="318"/>
      <c r="AO6883" s="318"/>
      <c r="AP6883" s="318"/>
      <c r="AQ6883" s="318"/>
      <c r="AR6883" s="319"/>
    </row>
    <row r="6884" spans="37:44" ht="30" customHeight="1">
      <c r="AK6884" s="318"/>
      <c r="AL6884" s="318"/>
      <c r="AM6884" s="318"/>
      <c r="AN6884" s="318"/>
      <c r="AO6884" s="318"/>
      <c r="AP6884" s="318"/>
      <c r="AQ6884" s="318"/>
      <c r="AR6884" s="319"/>
    </row>
    <row r="6885" spans="37:44" ht="30" customHeight="1">
      <c r="AK6885" s="318"/>
      <c r="AL6885" s="318"/>
      <c r="AM6885" s="318"/>
      <c r="AN6885" s="318"/>
      <c r="AO6885" s="318"/>
      <c r="AP6885" s="318"/>
      <c r="AQ6885" s="318"/>
      <c r="AR6885" s="319"/>
    </row>
    <row r="6886" spans="37:44" ht="30" customHeight="1">
      <c r="AK6886" s="318"/>
      <c r="AL6886" s="318"/>
      <c r="AM6886" s="318"/>
      <c r="AN6886" s="318"/>
      <c r="AO6886" s="318"/>
      <c r="AP6886" s="318"/>
      <c r="AQ6886" s="318"/>
      <c r="AR6886" s="319"/>
    </row>
    <row r="6887" spans="37:44" ht="30" customHeight="1">
      <c r="AK6887" s="318"/>
      <c r="AL6887" s="318"/>
      <c r="AM6887" s="318"/>
      <c r="AN6887" s="318"/>
      <c r="AO6887" s="318"/>
      <c r="AP6887" s="318"/>
      <c r="AQ6887" s="318"/>
      <c r="AR6887" s="319"/>
    </row>
    <row r="6888" spans="37:44" ht="30" customHeight="1">
      <c r="AK6888" s="318"/>
      <c r="AL6888" s="318"/>
      <c r="AM6888" s="318"/>
      <c r="AN6888" s="318"/>
      <c r="AO6888" s="318"/>
      <c r="AP6888" s="318"/>
      <c r="AQ6888" s="318"/>
      <c r="AR6888" s="319"/>
    </row>
    <row r="6889" spans="37:44" ht="30" customHeight="1">
      <c r="AK6889" s="318"/>
      <c r="AL6889" s="318"/>
      <c r="AM6889" s="318"/>
      <c r="AN6889" s="318"/>
      <c r="AO6889" s="318"/>
      <c r="AP6889" s="318"/>
      <c r="AQ6889" s="318"/>
      <c r="AR6889" s="319"/>
    </row>
    <row r="6890" spans="37:44" ht="30" customHeight="1">
      <c r="AK6890" s="318"/>
      <c r="AL6890" s="318"/>
      <c r="AM6890" s="318"/>
      <c r="AN6890" s="318"/>
      <c r="AO6890" s="318"/>
      <c r="AP6890" s="318"/>
      <c r="AQ6890" s="318"/>
      <c r="AR6890" s="319"/>
    </row>
    <row r="6891" spans="37:44" ht="30" customHeight="1">
      <c r="AK6891" s="318"/>
      <c r="AL6891" s="318"/>
      <c r="AM6891" s="318"/>
      <c r="AN6891" s="318"/>
      <c r="AO6891" s="318"/>
      <c r="AP6891" s="318"/>
      <c r="AQ6891" s="318"/>
      <c r="AR6891" s="319"/>
    </row>
    <row r="6892" spans="37:44" ht="30" customHeight="1">
      <c r="AK6892" s="318"/>
      <c r="AL6892" s="318"/>
      <c r="AM6892" s="318"/>
      <c r="AN6892" s="318"/>
      <c r="AO6892" s="318"/>
      <c r="AP6892" s="318"/>
      <c r="AQ6892" s="318"/>
      <c r="AR6892" s="319"/>
    </row>
    <row r="6893" spans="37:44" ht="30" customHeight="1">
      <c r="AK6893" s="318"/>
      <c r="AL6893" s="318"/>
      <c r="AM6893" s="318"/>
      <c r="AN6893" s="318"/>
      <c r="AO6893" s="318"/>
      <c r="AP6893" s="318"/>
      <c r="AQ6893" s="318"/>
      <c r="AR6893" s="319"/>
    </row>
    <row r="6894" spans="37:44" ht="30" customHeight="1">
      <c r="AK6894" s="318"/>
      <c r="AL6894" s="318"/>
      <c r="AM6894" s="318"/>
      <c r="AN6894" s="318"/>
      <c r="AO6894" s="318"/>
      <c r="AP6894" s="318"/>
      <c r="AQ6894" s="318"/>
      <c r="AR6894" s="319"/>
    </row>
    <row r="6895" spans="37:44" ht="30" customHeight="1">
      <c r="AK6895" s="318"/>
      <c r="AL6895" s="318"/>
      <c r="AM6895" s="318"/>
      <c r="AN6895" s="318"/>
      <c r="AO6895" s="318"/>
      <c r="AP6895" s="318"/>
      <c r="AQ6895" s="318"/>
      <c r="AR6895" s="319"/>
    </row>
    <row r="6896" spans="37:44" ht="30" customHeight="1">
      <c r="AK6896" s="318"/>
      <c r="AL6896" s="318"/>
      <c r="AM6896" s="318"/>
      <c r="AN6896" s="318"/>
      <c r="AO6896" s="318"/>
      <c r="AP6896" s="318"/>
      <c r="AQ6896" s="318"/>
      <c r="AR6896" s="319"/>
    </row>
    <row r="6897" spans="37:44" ht="30" customHeight="1">
      <c r="AK6897" s="318"/>
      <c r="AL6897" s="318"/>
      <c r="AM6897" s="318"/>
      <c r="AN6897" s="318"/>
      <c r="AO6897" s="318"/>
      <c r="AP6897" s="318"/>
      <c r="AQ6897" s="318"/>
      <c r="AR6897" s="319"/>
    </row>
    <row r="6898" spans="37:44" ht="30" customHeight="1">
      <c r="AK6898" s="318"/>
      <c r="AL6898" s="318"/>
      <c r="AM6898" s="318"/>
      <c r="AN6898" s="318"/>
      <c r="AO6898" s="318"/>
      <c r="AP6898" s="318"/>
      <c r="AQ6898" s="318"/>
      <c r="AR6898" s="319"/>
    </row>
    <row r="6899" spans="37:44" ht="30" customHeight="1">
      <c r="AK6899" s="318"/>
      <c r="AL6899" s="318"/>
      <c r="AM6899" s="318"/>
      <c r="AN6899" s="318"/>
      <c r="AO6899" s="318"/>
      <c r="AP6899" s="318"/>
      <c r="AQ6899" s="318"/>
      <c r="AR6899" s="319"/>
    </row>
    <row r="6900" spans="37:44" ht="30" customHeight="1">
      <c r="AK6900" s="318"/>
      <c r="AL6900" s="318"/>
      <c r="AM6900" s="318"/>
      <c r="AN6900" s="318"/>
      <c r="AO6900" s="318"/>
      <c r="AP6900" s="318"/>
      <c r="AQ6900" s="318"/>
      <c r="AR6900" s="319"/>
    </row>
    <row r="6901" spans="37:44" ht="30" customHeight="1">
      <c r="AK6901" s="318"/>
      <c r="AL6901" s="318"/>
      <c r="AM6901" s="318"/>
      <c r="AN6901" s="318"/>
      <c r="AO6901" s="318"/>
      <c r="AP6901" s="318"/>
      <c r="AQ6901" s="318"/>
      <c r="AR6901" s="319"/>
    </row>
    <row r="6902" spans="37:44" ht="30" customHeight="1">
      <c r="AK6902" s="318"/>
      <c r="AL6902" s="318"/>
      <c r="AM6902" s="318"/>
      <c r="AN6902" s="318"/>
      <c r="AO6902" s="318"/>
      <c r="AP6902" s="318"/>
      <c r="AQ6902" s="318"/>
      <c r="AR6902" s="319"/>
    </row>
    <row r="6903" spans="37:44" ht="30" customHeight="1">
      <c r="AK6903" s="318"/>
      <c r="AL6903" s="318"/>
      <c r="AM6903" s="318"/>
      <c r="AN6903" s="318"/>
      <c r="AO6903" s="318"/>
      <c r="AP6903" s="318"/>
      <c r="AQ6903" s="318"/>
      <c r="AR6903" s="319"/>
    </row>
    <row r="6904" spans="37:44" ht="30" customHeight="1">
      <c r="AK6904" s="318"/>
      <c r="AL6904" s="318"/>
      <c r="AM6904" s="318"/>
      <c r="AN6904" s="318"/>
      <c r="AO6904" s="318"/>
      <c r="AP6904" s="318"/>
      <c r="AQ6904" s="318"/>
      <c r="AR6904" s="319"/>
    </row>
    <row r="6905" spans="37:44" ht="30" customHeight="1">
      <c r="AK6905" s="318"/>
      <c r="AL6905" s="318"/>
      <c r="AM6905" s="318"/>
      <c r="AN6905" s="318"/>
      <c r="AO6905" s="318"/>
      <c r="AP6905" s="318"/>
      <c r="AQ6905" s="318"/>
      <c r="AR6905" s="319"/>
    </row>
    <row r="6906" spans="37:44" ht="30" customHeight="1">
      <c r="AK6906" s="318"/>
      <c r="AL6906" s="318"/>
      <c r="AM6906" s="318"/>
      <c r="AN6906" s="318"/>
      <c r="AO6906" s="318"/>
      <c r="AP6906" s="318"/>
      <c r="AQ6906" s="318"/>
      <c r="AR6906" s="319"/>
    </row>
    <row r="6907" spans="37:44" ht="30" customHeight="1">
      <c r="AK6907" s="318"/>
      <c r="AL6907" s="318"/>
      <c r="AM6907" s="318"/>
      <c r="AN6907" s="318"/>
      <c r="AO6907" s="318"/>
      <c r="AP6907" s="318"/>
      <c r="AQ6907" s="318"/>
      <c r="AR6907" s="319"/>
    </row>
    <row r="6908" spans="37:44" ht="30" customHeight="1">
      <c r="AK6908" s="318"/>
      <c r="AL6908" s="318"/>
      <c r="AM6908" s="318"/>
      <c r="AN6908" s="318"/>
      <c r="AO6908" s="318"/>
      <c r="AP6908" s="318"/>
      <c r="AQ6908" s="318"/>
      <c r="AR6908" s="319"/>
    </row>
    <row r="6909" spans="37:44" ht="30" customHeight="1">
      <c r="AK6909" s="318"/>
      <c r="AL6909" s="318"/>
      <c r="AM6909" s="318"/>
      <c r="AN6909" s="318"/>
      <c r="AO6909" s="318"/>
      <c r="AP6909" s="318"/>
      <c r="AQ6909" s="318"/>
      <c r="AR6909" s="319"/>
    </row>
    <row r="6910" spans="37:44" ht="30" customHeight="1">
      <c r="AK6910" s="318"/>
      <c r="AL6910" s="318"/>
      <c r="AM6910" s="318"/>
      <c r="AN6910" s="318"/>
      <c r="AO6910" s="318"/>
      <c r="AP6910" s="318"/>
      <c r="AQ6910" s="318"/>
      <c r="AR6910" s="319"/>
    </row>
    <row r="6911" spans="37:44" ht="30" customHeight="1">
      <c r="AK6911" s="318"/>
      <c r="AL6911" s="318"/>
      <c r="AM6911" s="318"/>
      <c r="AN6911" s="318"/>
      <c r="AO6911" s="318"/>
      <c r="AP6911" s="318"/>
      <c r="AQ6911" s="318"/>
      <c r="AR6911" s="319"/>
    </row>
    <row r="6912" spans="37:44" ht="30" customHeight="1">
      <c r="AK6912" s="318"/>
      <c r="AL6912" s="318"/>
      <c r="AM6912" s="318"/>
      <c r="AN6912" s="318"/>
      <c r="AO6912" s="318"/>
      <c r="AP6912" s="318"/>
      <c r="AQ6912" s="318"/>
      <c r="AR6912" s="319"/>
    </row>
    <row r="6913" spans="37:44" ht="30" customHeight="1">
      <c r="AK6913" s="318"/>
      <c r="AL6913" s="318"/>
      <c r="AM6913" s="318"/>
      <c r="AN6913" s="318"/>
      <c r="AO6913" s="318"/>
      <c r="AP6913" s="318"/>
      <c r="AQ6913" s="318"/>
      <c r="AR6913" s="319"/>
    </row>
    <row r="6914" spans="37:44" ht="30" customHeight="1">
      <c r="AK6914" s="318"/>
      <c r="AL6914" s="318"/>
      <c r="AM6914" s="318"/>
      <c r="AN6914" s="318"/>
      <c r="AO6914" s="318"/>
      <c r="AP6914" s="318"/>
      <c r="AQ6914" s="318"/>
      <c r="AR6914" s="319"/>
    </row>
    <row r="6915" spans="37:44" ht="30" customHeight="1">
      <c r="AK6915" s="318"/>
      <c r="AL6915" s="318"/>
      <c r="AM6915" s="318"/>
      <c r="AN6915" s="318"/>
      <c r="AO6915" s="318"/>
      <c r="AP6915" s="318"/>
      <c r="AQ6915" s="318"/>
      <c r="AR6915" s="319"/>
    </row>
    <row r="6916" spans="37:44" ht="30" customHeight="1">
      <c r="AK6916" s="318"/>
      <c r="AL6916" s="318"/>
      <c r="AM6916" s="318"/>
      <c r="AN6916" s="318"/>
      <c r="AO6916" s="318"/>
      <c r="AP6916" s="318"/>
      <c r="AQ6916" s="318"/>
      <c r="AR6916" s="319"/>
    </row>
    <row r="6917" spans="37:44" ht="30" customHeight="1">
      <c r="AK6917" s="318"/>
      <c r="AL6917" s="318"/>
      <c r="AM6917" s="318"/>
      <c r="AN6917" s="318"/>
      <c r="AO6917" s="318"/>
      <c r="AP6917" s="318"/>
      <c r="AQ6917" s="318"/>
      <c r="AR6917" s="319"/>
    </row>
    <row r="6918" spans="37:44" ht="30" customHeight="1">
      <c r="AK6918" s="318"/>
      <c r="AL6918" s="318"/>
      <c r="AM6918" s="318"/>
      <c r="AN6918" s="318"/>
      <c r="AO6918" s="318"/>
      <c r="AP6918" s="318"/>
      <c r="AQ6918" s="318"/>
      <c r="AR6918" s="319"/>
    </row>
    <row r="6919" spans="37:44" ht="30" customHeight="1">
      <c r="AK6919" s="318"/>
      <c r="AL6919" s="318"/>
      <c r="AM6919" s="318"/>
      <c r="AN6919" s="318"/>
      <c r="AO6919" s="318"/>
      <c r="AP6919" s="318"/>
      <c r="AQ6919" s="318"/>
      <c r="AR6919" s="319"/>
    </row>
    <row r="6920" spans="37:44" ht="30" customHeight="1">
      <c r="AK6920" s="318"/>
      <c r="AL6920" s="318"/>
      <c r="AM6920" s="318"/>
      <c r="AN6920" s="318"/>
      <c r="AO6920" s="318"/>
      <c r="AP6920" s="318"/>
      <c r="AQ6920" s="318"/>
      <c r="AR6920" s="319"/>
    </row>
    <row r="6921" spans="37:44" ht="30" customHeight="1">
      <c r="AK6921" s="318"/>
      <c r="AL6921" s="318"/>
      <c r="AM6921" s="318"/>
      <c r="AN6921" s="318"/>
      <c r="AO6921" s="318"/>
      <c r="AP6921" s="318"/>
      <c r="AQ6921" s="318"/>
      <c r="AR6921" s="319"/>
    </row>
    <row r="6922" spans="37:44" ht="30" customHeight="1">
      <c r="AK6922" s="318"/>
      <c r="AL6922" s="318"/>
      <c r="AM6922" s="318"/>
      <c r="AN6922" s="318"/>
      <c r="AO6922" s="318"/>
      <c r="AP6922" s="318"/>
      <c r="AQ6922" s="318"/>
      <c r="AR6922" s="319"/>
    </row>
    <row r="6923" spans="37:44" ht="30" customHeight="1">
      <c r="AK6923" s="318"/>
      <c r="AL6923" s="318"/>
      <c r="AM6923" s="318"/>
      <c r="AN6923" s="318"/>
      <c r="AO6923" s="318"/>
      <c r="AP6923" s="318"/>
      <c r="AQ6923" s="318"/>
      <c r="AR6923" s="319"/>
    </row>
    <row r="6924" spans="37:44" ht="30" customHeight="1">
      <c r="AK6924" s="318"/>
      <c r="AL6924" s="318"/>
      <c r="AM6924" s="318"/>
      <c r="AN6924" s="318"/>
      <c r="AO6924" s="318"/>
      <c r="AP6924" s="318"/>
      <c r="AQ6924" s="318"/>
      <c r="AR6924" s="319"/>
    </row>
    <row r="6925" spans="37:44" ht="30" customHeight="1">
      <c r="AK6925" s="318"/>
      <c r="AL6925" s="318"/>
      <c r="AM6925" s="318"/>
      <c r="AN6925" s="318"/>
      <c r="AO6925" s="318"/>
      <c r="AP6925" s="318"/>
      <c r="AQ6925" s="318"/>
      <c r="AR6925" s="319"/>
    </row>
    <row r="6926" spans="37:44" ht="30" customHeight="1">
      <c r="AK6926" s="318"/>
      <c r="AL6926" s="318"/>
      <c r="AM6926" s="318"/>
      <c r="AN6926" s="318"/>
      <c r="AO6926" s="318"/>
      <c r="AP6926" s="318"/>
      <c r="AQ6926" s="318"/>
      <c r="AR6926" s="319"/>
    </row>
    <row r="6927" spans="37:44" ht="30" customHeight="1">
      <c r="AK6927" s="318"/>
      <c r="AL6927" s="318"/>
      <c r="AM6927" s="318"/>
      <c r="AN6927" s="318"/>
      <c r="AO6927" s="318"/>
      <c r="AP6927" s="318"/>
      <c r="AQ6927" s="318"/>
      <c r="AR6927" s="319"/>
    </row>
    <row r="6928" spans="37:44" ht="30" customHeight="1">
      <c r="AK6928" s="318"/>
      <c r="AL6928" s="318"/>
      <c r="AM6928" s="318"/>
      <c r="AN6928" s="318"/>
      <c r="AO6928" s="318"/>
      <c r="AP6928" s="318"/>
      <c r="AQ6928" s="318"/>
      <c r="AR6928" s="319"/>
    </row>
    <row r="6929" spans="37:44" ht="30" customHeight="1">
      <c r="AK6929" s="318"/>
      <c r="AL6929" s="318"/>
      <c r="AM6929" s="318"/>
      <c r="AN6929" s="318"/>
      <c r="AO6929" s="318"/>
      <c r="AP6929" s="318"/>
      <c r="AQ6929" s="318"/>
      <c r="AR6929" s="319"/>
    </row>
    <row r="6930" spans="37:44" ht="30" customHeight="1">
      <c r="AK6930" s="318"/>
      <c r="AL6930" s="318"/>
      <c r="AM6930" s="318"/>
      <c r="AN6930" s="318"/>
      <c r="AO6930" s="318"/>
      <c r="AP6930" s="318"/>
      <c r="AQ6930" s="318"/>
      <c r="AR6930" s="319"/>
    </row>
    <row r="6931" spans="37:44" ht="30" customHeight="1">
      <c r="AK6931" s="318"/>
      <c r="AL6931" s="318"/>
      <c r="AM6931" s="318"/>
      <c r="AN6931" s="318"/>
      <c r="AO6931" s="318"/>
      <c r="AP6931" s="318"/>
      <c r="AQ6931" s="318"/>
      <c r="AR6931" s="319"/>
    </row>
    <row r="6932" spans="37:44" ht="30" customHeight="1">
      <c r="AK6932" s="318"/>
      <c r="AL6932" s="318"/>
      <c r="AM6932" s="318"/>
      <c r="AN6932" s="318"/>
      <c r="AO6932" s="318"/>
      <c r="AP6932" s="318"/>
      <c r="AQ6932" s="318"/>
      <c r="AR6932" s="319"/>
    </row>
    <row r="6933" spans="37:44" ht="30" customHeight="1">
      <c r="AK6933" s="318"/>
      <c r="AL6933" s="318"/>
      <c r="AM6933" s="318"/>
      <c r="AN6933" s="318"/>
      <c r="AO6933" s="318"/>
      <c r="AP6933" s="318"/>
      <c r="AQ6933" s="318"/>
      <c r="AR6933" s="319"/>
    </row>
    <row r="6934" spans="37:44" ht="30" customHeight="1">
      <c r="AK6934" s="318"/>
      <c r="AL6934" s="318"/>
      <c r="AM6934" s="318"/>
      <c r="AN6934" s="318"/>
      <c r="AO6934" s="318"/>
      <c r="AP6934" s="318"/>
      <c r="AQ6934" s="318"/>
      <c r="AR6934" s="319"/>
    </row>
    <row r="6935" spans="37:44" ht="30" customHeight="1">
      <c r="AK6935" s="318"/>
      <c r="AL6935" s="318"/>
      <c r="AM6935" s="318"/>
      <c r="AN6935" s="318"/>
      <c r="AO6935" s="318"/>
      <c r="AP6935" s="318"/>
      <c r="AQ6935" s="318"/>
      <c r="AR6935" s="319"/>
    </row>
    <row r="6936" spans="37:44" ht="30" customHeight="1">
      <c r="AK6936" s="318"/>
      <c r="AL6936" s="318"/>
      <c r="AM6936" s="318"/>
      <c r="AN6936" s="318"/>
      <c r="AO6936" s="318"/>
      <c r="AP6936" s="318"/>
      <c r="AQ6936" s="318"/>
      <c r="AR6936" s="319"/>
    </row>
    <row r="6937" spans="37:44" ht="30" customHeight="1">
      <c r="AK6937" s="318"/>
      <c r="AL6937" s="318"/>
      <c r="AM6937" s="318"/>
      <c r="AN6937" s="318"/>
      <c r="AO6937" s="318"/>
      <c r="AP6937" s="318"/>
      <c r="AQ6937" s="318"/>
      <c r="AR6937" s="319"/>
    </row>
    <row r="6938" spans="37:44" ht="30" customHeight="1">
      <c r="AK6938" s="318"/>
      <c r="AL6938" s="318"/>
      <c r="AM6938" s="318"/>
      <c r="AN6938" s="318"/>
      <c r="AO6938" s="318"/>
      <c r="AP6938" s="318"/>
      <c r="AQ6938" s="318"/>
      <c r="AR6938" s="319"/>
    </row>
    <row r="6939" spans="37:44" ht="30" customHeight="1">
      <c r="AK6939" s="318"/>
      <c r="AL6939" s="318"/>
      <c r="AM6939" s="318"/>
      <c r="AN6939" s="318"/>
      <c r="AO6939" s="318"/>
      <c r="AP6939" s="318"/>
      <c r="AQ6939" s="318"/>
      <c r="AR6939" s="319"/>
    </row>
    <row r="6940" spans="37:44" ht="30" customHeight="1">
      <c r="AK6940" s="318"/>
      <c r="AL6940" s="318"/>
      <c r="AM6940" s="318"/>
      <c r="AN6940" s="318"/>
      <c r="AO6940" s="318"/>
      <c r="AP6940" s="318"/>
      <c r="AQ6940" s="318"/>
      <c r="AR6940" s="319"/>
    </row>
    <row r="6941" spans="37:44" ht="30" customHeight="1">
      <c r="AK6941" s="318"/>
      <c r="AL6941" s="318"/>
      <c r="AM6941" s="318"/>
      <c r="AN6941" s="318"/>
      <c r="AO6941" s="318"/>
      <c r="AP6941" s="318"/>
      <c r="AQ6941" s="318"/>
      <c r="AR6941" s="319"/>
    </row>
    <row r="6942" spans="37:44" ht="30" customHeight="1">
      <c r="AK6942" s="318"/>
      <c r="AL6942" s="318"/>
      <c r="AM6942" s="318"/>
      <c r="AN6942" s="318"/>
      <c r="AO6942" s="318"/>
      <c r="AP6942" s="318"/>
      <c r="AQ6942" s="318"/>
      <c r="AR6942" s="319"/>
    </row>
    <row r="6943" spans="37:44" ht="30" customHeight="1">
      <c r="AK6943" s="318"/>
      <c r="AL6943" s="318"/>
      <c r="AM6943" s="318"/>
      <c r="AN6943" s="318"/>
      <c r="AO6943" s="318"/>
      <c r="AP6943" s="318"/>
      <c r="AQ6943" s="318"/>
      <c r="AR6943" s="319"/>
    </row>
    <row r="6944" spans="37:44" ht="30" customHeight="1">
      <c r="AK6944" s="318"/>
      <c r="AL6944" s="318"/>
      <c r="AM6944" s="318"/>
      <c r="AN6944" s="318"/>
      <c r="AO6944" s="318"/>
      <c r="AP6944" s="318"/>
      <c r="AQ6944" s="318"/>
      <c r="AR6944" s="319"/>
    </row>
    <row r="6945" spans="37:44" ht="30" customHeight="1">
      <c r="AK6945" s="318"/>
      <c r="AL6945" s="318"/>
      <c r="AM6945" s="318"/>
      <c r="AN6945" s="318"/>
      <c r="AO6945" s="318"/>
      <c r="AP6945" s="318"/>
      <c r="AQ6945" s="318"/>
      <c r="AR6945" s="319"/>
    </row>
    <row r="6946" spans="37:44" ht="30" customHeight="1">
      <c r="AK6946" s="318"/>
      <c r="AL6946" s="318"/>
      <c r="AM6946" s="318"/>
      <c r="AN6946" s="318"/>
      <c r="AO6946" s="318"/>
      <c r="AP6946" s="318"/>
      <c r="AQ6946" s="318"/>
      <c r="AR6946" s="319"/>
    </row>
    <row r="6947" spans="37:44" ht="30" customHeight="1">
      <c r="AK6947" s="318"/>
      <c r="AL6947" s="318"/>
      <c r="AM6947" s="318"/>
      <c r="AN6947" s="318"/>
      <c r="AO6947" s="318"/>
      <c r="AP6947" s="318"/>
      <c r="AQ6947" s="318"/>
      <c r="AR6947" s="319"/>
    </row>
    <row r="6948" spans="37:44" ht="30" customHeight="1">
      <c r="AK6948" s="318"/>
      <c r="AL6948" s="318"/>
      <c r="AM6948" s="318"/>
      <c r="AN6948" s="318"/>
      <c r="AO6948" s="318"/>
      <c r="AP6948" s="318"/>
      <c r="AQ6948" s="318"/>
      <c r="AR6948" s="319"/>
    </row>
    <row r="6949" spans="37:44" ht="30" customHeight="1">
      <c r="AK6949" s="318"/>
      <c r="AL6949" s="318"/>
      <c r="AM6949" s="318"/>
      <c r="AN6949" s="318"/>
      <c r="AO6949" s="318"/>
      <c r="AP6949" s="318"/>
      <c r="AQ6949" s="318"/>
      <c r="AR6949" s="319"/>
    </row>
    <row r="6950" spans="37:44" ht="30" customHeight="1">
      <c r="AK6950" s="318"/>
      <c r="AL6950" s="318"/>
      <c r="AM6950" s="318"/>
      <c r="AN6950" s="318"/>
      <c r="AO6950" s="318"/>
      <c r="AP6950" s="318"/>
      <c r="AQ6950" s="318"/>
      <c r="AR6950" s="319"/>
    </row>
    <row r="6951" spans="37:44" ht="30" customHeight="1">
      <c r="AK6951" s="318"/>
      <c r="AL6951" s="318"/>
      <c r="AM6951" s="318"/>
      <c r="AN6951" s="318"/>
      <c r="AO6951" s="318"/>
      <c r="AP6951" s="318"/>
      <c r="AQ6951" s="318"/>
      <c r="AR6951" s="319"/>
    </row>
    <row r="6952" spans="37:44" ht="30" customHeight="1">
      <c r="AK6952" s="318"/>
      <c r="AL6952" s="318"/>
      <c r="AM6952" s="318"/>
      <c r="AN6952" s="318"/>
      <c r="AO6952" s="318"/>
      <c r="AP6952" s="318"/>
      <c r="AQ6952" s="318"/>
      <c r="AR6952" s="319"/>
    </row>
    <row r="6953" spans="37:44" ht="30" customHeight="1">
      <c r="AK6953" s="318"/>
      <c r="AL6953" s="318"/>
      <c r="AM6953" s="318"/>
      <c r="AN6953" s="318"/>
      <c r="AO6953" s="318"/>
      <c r="AP6953" s="318"/>
      <c r="AQ6953" s="318"/>
      <c r="AR6953" s="319"/>
    </row>
    <row r="6954" spans="37:44" ht="30" customHeight="1">
      <c r="AK6954" s="318"/>
      <c r="AL6954" s="318"/>
      <c r="AM6954" s="318"/>
      <c r="AN6954" s="318"/>
      <c r="AO6954" s="318"/>
      <c r="AP6954" s="318"/>
      <c r="AQ6954" s="318"/>
      <c r="AR6954" s="319"/>
    </row>
    <row r="6955" spans="37:44" ht="30" customHeight="1">
      <c r="AK6955" s="318"/>
      <c r="AL6955" s="318"/>
      <c r="AM6955" s="318"/>
      <c r="AN6955" s="318"/>
      <c r="AO6955" s="318"/>
      <c r="AP6955" s="318"/>
      <c r="AQ6955" s="318"/>
      <c r="AR6955" s="319"/>
    </row>
    <row r="6956" spans="37:44" ht="30" customHeight="1">
      <c r="AK6956" s="318"/>
      <c r="AL6956" s="318"/>
      <c r="AM6956" s="318"/>
      <c r="AN6956" s="318"/>
      <c r="AO6956" s="318"/>
      <c r="AP6956" s="318"/>
      <c r="AQ6956" s="318"/>
      <c r="AR6956" s="319"/>
    </row>
    <row r="6957" spans="37:44" ht="30" customHeight="1">
      <c r="AK6957" s="318"/>
      <c r="AL6957" s="318"/>
      <c r="AM6957" s="318"/>
      <c r="AN6957" s="318"/>
      <c r="AO6957" s="318"/>
      <c r="AP6957" s="318"/>
      <c r="AQ6957" s="318"/>
      <c r="AR6957" s="319"/>
    </row>
    <row r="6958" spans="37:44" ht="30" customHeight="1">
      <c r="AK6958" s="318"/>
      <c r="AL6958" s="318"/>
      <c r="AM6958" s="318"/>
      <c r="AN6958" s="318"/>
      <c r="AO6958" s="318"/>
      <c r="AP6958" s="318"/>
      <c r="AQ6958" s="318"/>
      <c r="AR6958" s="319"/>
    </row>
    <row r="6959" spans="37:44" ht="30" customHeight="1">
      <c r="AK6959" s="318"/>
      <c r="AL6959" s="318"/>
      <c r="AM6959" s="318"/>
      <c r="AN6959" s="318"/>
      <c r="AO6959" s="318"/>
      <c r="AP6959" s="318"/>
      <c r="AQ6959" s="318"/>
      <c r="AR6959" s="319"/>
    </row>
    <row r="6960" spans="37:44" ht="30" customHeight="1">
      <c r="AK6960" s="318"/>
      <c r="AL6960" s="318"/>
      <c r="AM6960" s="318"/>
      <c r="AN6960" s="318"/>
      <c r="AO6960" s="318"/>
      <c r="AP6960" s="318"/>
      <c r="AQ6960" s="318"/>
      <c r="AR6960" s="319"/>
    </row>
    <row r="6961" spans="37:44" ht="30" customHeight="1">
      <c r="AK6961" s="318"/>
      <c r="AL6961" s="318"/>
      <c r="AM6961" s="318"/>
      <c r="AN6961" s="318"/>
      <c r="AO6961" s="318"/>
      <c r="AP6961" s="318"/>
      <c r="AQ6961" s="318"/>
      <c r="AR6961" s="319"/>
    </row>
    <row r="6962" spans="37:44" ht="30" customHeight="1">
      <c r="AK6962" s="318"/>
      <c r="AL6962" s="318"/>
      <c r="AM6962" s="318"/>
      <c r="AN6962" s="318"/>
      <c r="AO6962" s="318"/>
      <c r="AP6962" s="318"/>
      <c r="AQ6962" s="318"/>
      <c r="AR6962" s="319"/>
    </row>
    <row r="6963" spans="37:44" ht="30" customHeight="1">
      <c r="AK6963" s="318"/>
      <c r="AL6963" s="318"/>
      <c r="AM6963" s="318"/>
      <c r="AN6963" s="318"/>
      <c r="AO6963" s="318"/>
      <c r="AP6963" s="318"/>
      <c r="AQ6963" s="318"/>
      <c r="AR6963" s="319"/>
    </row>
    <row r="6964" spans="37:44" ht="30" customHeight="1">
      <c r="AK6964" s="318"/>
      <c r="AL6964" s="318"/>
      <c r="AM6964" s="318"/>
      <c r="AN6964" s="318"/>
      <c r="AO6964" s="318"/>
      <c r="AP6964" s="318"/>
      <c r="AQ6964" s="318"/>
      <c r="AR6964" s="319"/>
    </row>
    <row r="6965" spans="37:44" ht="30" customHeight="1">
      <c r="AK6965" s="318"/>
      <c r="AL6965" s="318"/>
      <c r="AM6965" s="318"/>
      <c r="AN6965" s="318"/>
      <c r="AO6965" s="318"/>
      <c r="AP6965" s="318"/>
      <c r="AQ6965" s="318"/>
      <c r="AR6965" s="319"/>
    </row>
    <row r="6966" spans="37:44" ht="30" customHeight="1">
      <c r="AK6966" s="318"/>
      <c r="AL6966" s="318"/>
      <c r="AM6966" s="318"/>
      <c r="AN6966" s="318"/>
      <c r="AO6966" s="318"/>
      <c r="AP6966" s="318"/>
      <c r="AQ6966" s="318"/>
      <c r="AR6966" s="319"/>
    </row>
    <row r="6967" spans="37:44" ht="30" customHeight="1">
      <c r="AK6967" s="318"/>
      <c r="AL6967" s="318"/>
      <c r="AM6967" s="318"/>
      <c r="AN6967" s="318"/>
      <c r="AO6967" s="318"/>
      <c r="AP6967" s="318"/>
      <c r="AQ6967" s="318"/>
      <c r="AR6967" s="319"/>
    </row>
    <row r="6968" spans="37:44" ht="30" customHeight="1">
      <c r="AK6968" s="318"/>
      <c r="AL6968" s="318"/>
      <c r="AM6968" s="318"/>
      <c r="AN6968" s="318"/>
      <c r="AO6968" s="318"/>
      <c r="AP6968" s="318"/>
      <c r="AQ6968" s="318"/>
      <c r="AR6968" s="319"/>
    </row>
    <row r="6969" spans="37:44" ht="30" customHeight="1">
      <c r="AK6969" s="318"/>
      <c r="AL6969" s="318"/>
      <c r="AM6969" s="318"/>
      <c r="AN6969" s="318"/>
      <c r="AO6969" s="318"/>
      <c r="AP6969" s="318"/>
      <c r="AQ6969" s="318"/>
      <c r="AR6969" s="319"/>
    </row>
    <row r="6970" spans="37:44" ht="30" customHeight="1">
      <c r="AK6970" s="318"/>
      <c r="AL6970" s="318"/>
      <c r="AM6970" s="318"/>
      <c r="AN6970" s="318"/>
      <c r="AO6970" s="318"/>
      <c r="AP6970" s="318"/>
      <c r="AQ6970" s="318"/>
      <c r="AR6970" s="319"/>
    </row>
    <row r="6971" spans="37:44" ht="30" customHeight="1">
      <c r="AK6971" s="318"/>
      <c r="AL6971" s="318"/>
      <c r="AM6971" s="318"/>
      <c r="AN6971" s="318"/>
      <c r="AO6971" s="318"/>
      <c r="AP6971" s="318"/>
      <c r="AQ6971" s="318"/>
      <c r="AR6971" s="319"/>
    </row>
    <row r="6972" spans="37:44" ht="30" customHeight="1">
      <c r="AK6972" s="318"/>
      <c r="AL6972" s="318"/>
      <c r="AM6972" s="318"/>
      <c r="AN6972" s="318"/>
      <c r="AO6972" s="318"/>
      <c r="AP6972" s="318"/>
      <c r="AQ6972" s="318"/>
      <c r="AR6972" s="319"/>
    </row>
    <row r="6973" spans="37:44" ht="30" customHeight="1">
      <c r="AK6973" s="318"/>
      <c r="AL6973" s="318"/>
      <c r="AM6973" s="318"/>
      <c r="AN6973" s="318"/>
      <c r="AO6973" s="318"/>
      <c r="AP6973" s="318"/>
      <c r="AQ6973" s="318"/>
      <c r="AR6973" s="319"/>
    </row>
    <row r="6974" spans="37:44" ht="30" customHeight="1">
      <c r="AK6974" s="318"/>
      <c r="AL6974" s="318"/>
      <c r="AM6974" s="318"/>
      <c r="AN6974" s="318"/>
      <c r="AO6974" s="318"/>
      <c r="AP6974" s="318"/>
      <c r="AQ6974" s="318"/>
      <c r="AR6974" s="319"/>
    </row>
    <row r="6975" spans="37:44" ht="30" customHeight="1">
      <c r="AK6975" s="318"/>
      <c r="AL6975" s="318"/>
      <c r="AM6975" s="318"/>
      <c r="AN6975" s="318"/>
      <c r="AO6975" s="318"/>
      <c r="AP6975" s="318"/>
      <c r="AQ6975" s="318"/>
      <c r="AR6975" s="319"/>
    </row>
    <row r="6976" spans="37:44" ht="30" customHeight="1">
      <c r="AK6976" s="318"/>
      <c r="AL6976" s="318"/>
      <c r="AM6976" s="318"/>
      <c r="AN6976" s="318"/>
      <c r="AO6976" s="318"/>
      <c r="AP6976" s="318"/>
      <c r="AQ6976" s="318"/>
      <c r="AR6976" s="319"/>
    </row>
    <row r="6977" spans="37:44" ht="30" customHeight="1">
      <c r="AK6977" s="318"/>
      <c r="AL6977" s="318"/>
      <c r="AM6977" s="318"/>
      <c r="AN6977" s="318"/>
      <c r="AO6977" s="318"/>
      <c r="AP6977" s="318"/>
      <c r="AQ6977" s="318"/>
      <c r="AR6977" s="319"/>
    </row>
    <row r="6978" spans="37:44" ht="30" customHeight="1">
      <c r="AK6978" s="318"/>
      <c r="AL6978" s="318"/>
      <c r="AM6978" s="318"/>
      <c r="AN6978" s="318"/>
      <c r="AO6978" s="318"/>
      <c r="AP6978" s="318"/>
      <c r="AQ6978" s="318"/>
      <c r="AR6978" s="319"/>
    </row>
    <row r="6979" spans="37:44" ht="30" customHeight="1">
      <c r="AK6979" s="318"/>
      <c r="AL6979" s="318"/>
      <c r="AM6979" s="318"/>
      <c r="AN6979" s="318"/>
      <c r="AO6979" s="318"/>
      <c r="AP6979" s="318"/>
      <c r="AQ6979" s="318"/>
      <c r="AR6979" s="319"/>
    </row>
    <row r="6980" spans="37:44" ht="30" customHeight="1">
      <c r="AK6980" s="318"/>
      <c r="AL6980" s="318"/>
      <c r="AM6980" s="318"/>
      <c r="AN6980" s="318"/>
      <c r="AO6980" s="318"/>
      <c r="AP6980" s="318"/>
      <c r="AQ6980" s="318"/>
      <c r="AR6980" s="319"/>
    </row>
    <row r="6981" spans="37:44" ht="30" customHeight="1">
      <c r="AK6981" s="318"/>
      <c r="AL6981" s="318"/>
      <c r="AM6981" s="318"/>
      <c r="AN6981" s="318"/>
      <c r="AO6981" s="318"/>
      <c r="AP6981" s="318"/>
      <c r="AQ6981" s="318"/>
      <c r="AR6981" s="319"/>
    </row>
    <row r="6982" spans="37:44" ht="30" customHeight="1">
      <c r="AK6982" s="318"/>
      <c r="AL6982" s="318"/>
      <c r="AM6982" s="318"/>
      <c r="AN6982" s="318"/>
      <c r="AO6982" s="318"/>
      <c r="AP6982" s="318"/>
      <c r="AQ6982" s="318"/>
      <c r="AR6982" s="319"/>
    </row>
    <row r="6983" spans="37:44" ht="30" customHeight="1">
      <c r="AK6983" s="318"/>
      <c r="AL6983" s="318"/>
      <c r="AM6983" s="318"/>
      <c r="AN6983" s="318"/>
      <c r="AO6983" s="318"/>
      <c r="AP6983" s="318"/>
      <c r="AQ6983" s="318"/>
      <c r="AR6983" s="319"/>
    </row>
    <row r="6984" spans="37:44" ht="30" customHeight="1">
      <c r="AK6984" s="318"/>
      <c r="AL6984" s="318"/>
      <c r="AM6984" s="318"/>
      <c r="AN6984" s="318"/>
      <c r="AO6984" s="318"/>
      <c r="AP6984" s="318"/>
      <c r="AQ6984" s="318"/>
      <c r="AR6984" s="319"/>
    </row>
    <row r="6985" spans="37:44" ht="30" customHeight="1">
      <c r="AK6985" s="318"/>
      <c r="AL6985" s="318"/>
      <c r="AM6985" s="318"/>
      <c r="AN6985" s="318"/>
      <c r="AO6985" s="318"/>
      <c r="AP6985" s="318"/>
      <c r="AQ6985" s="318"/>
      <c r="AR6985" s="319"/>
    </row>
    <row r="6986" spans="37:44" ht="30" customHeight="1">
      <c r="AK6986" s="318"/>
      <c r="AL6986" s="318"/>
      <c r="AM6986" s="318"/>
      <c r="AN6986" s="318"/>
      <c r="AO6986" s="318"/>
      <c r="AP6986" s="318"/>
      <c r="AQ6986" s="318"/>
      <c r="AR6986" s="319"/>
    </row>
    <row r="6987" spans="37:44" ht="30" customHeight="1">
      <c r="AK6987" s="318"/>
      <c r="AL6987" s="318"/>
      <c r="AM6987" s="318"/>
      <c r="AN6987" s="318"/>
      <c r="AO6987" s="318"/>
      <c r="AP6987" s="318"/>
      <c r="AQ6987" s="318"/>
      <c r="AR6987" s="319"/>
    </row>
    <row r="6988" spans="37:44" ht="30" customHeight="1">
      <c r="AK6988" s="318"/>
      <c r="AL6988" s="318"/>
      <c r="AM6988" s="318"/>
      <c r="AN6988" s="318"/>
      <c r="AO6988" s="318"/>
      <c r="AP6988" s="318"/>
      <c r="AQ6988" s="318"/>
      <c r="AR6988" s="319"/>
    </row>
    <row r="6989" spans="37:44" ht="30" customHeight="1">
      <c r="AK6989" s="318"/>
      <c r="AL6989" s="318"/>
      <c r="AM6989" s="318"/>
      <c r="AN6989" s="318"/>
      <c r="AO6989" s="318"/>
      <c r="AP6989" s="318"/>
      <c r="AQ6989" s="318"/>
      <c r="AR6989" s="319"/>
    </row>
    <row r="6990" spans="37:44" ht="30" customHeight="1">
      <c r="AK6990" s="318"/>
      <c r="AL6990" s="318"/>
      <c r="AM6990" s="318"/>
      <c r="AN6990" s="318"/>
      <c r="AO6990" s="318"/>
      <c r="AP6990" s="318"/>
      <c r="AQ6990" s="318"/>
      <c r="AR6990" s="319"/>
    </row>
    <row r="6991" spans="37:44" ht="30" customHeight="1">
      <c r="AK6991" s="318"/>
      <c r="AL6991" s="318"/>
      <c r="AM6991" s="318"/>
      <c r="AN6991" s="318"/>
      <c r="AO6991" s="318"/>
      <c r="AP6991" s="318"/>
      <c r="AQ6991" s="318"/>
      <c r="AR6991" s="319"/>
    </row>
    <row r="6992" spans="37:44" ht="30" customHeight="1">
      <c r="AK6992" s="318"/>
      <c r="AL6992" s="318"/>
      <c r="AM6992" s="318"/>
      <c r="AN6992" s="318"/>
      <c r="AO6992" s="318"/>
      <c r="AP6992" s="318"/>
      <c r="AQ6992" s="318"/>
      <c r="AR6992" s="319"/>
    </row>
    <row r="6993" spans="37:44" ht="30" customHeight="1">
      <c r="AK6993" s="318"/>
      <c r="AL6993" s="318"/>
      <c r="AM6993" s="318"/>
      <c r="AN6993" s="318"/>
      <c r="AO6993" s="318"/>
      <c r="AP6993" s="318"/>
      <c r="AQ6993" s="318"/>
      <c r="AR6993" s="319"/>
    </row>
    <row r="6994" spans="37:44" ht="30" customHeight="1">
      <c r="AK6994" s="318"/>
      <c r="AL6994" s="318"/>
      <c r="AM6994" s="318"/>
      <c r="AN6994" s="318"/>
      <c r="AO6994" s="318"/>
      <c r="AP6994" s="318"/>
      <c r="AQ6994" s="318"/>
      <c r="AR6994" s="319"/>
    </row>
    <row r="6995" spans="37:44" ht="30" customHeight="1">
      <c r="AK6995" s="318"/>
      <c r="AL6995" s="318"/>
      <c r="AM6995" s="318"/>
      <c r="AN6995" s="318"/>
      <c r="AO6995" s="318"/>
      <c r="AP6995" s="318"/>
      <c r="AQ6995" s="318"/>
      <c r="AR6995" s="319"/>
    </row>
    <row r="6996" spans="37:44" ht="30" customHeight="1">
      <c r="AK6996" s="318"/>
      <c r="AL6996" s="318"/>
      <c r="AM6996" s="318"/>
      <c r="AN6996" s="318"/>
      <c r="AO6996" s="318"/>
      <c r="AP6996" s="318"/>
      <c r="AQ6996" s="318"/>
      <c r="AR6996" s="319"/>
    </row>
    <row r="6997" spans="37:44" ht="30" customHeight="1">
      <c r="AK6997" s="318"/>
      <c r="AL6997" s="318"/>
      <c r="AM6997" s="318"/>
      <c r="AN6997" s="318"/>
      <c r="AO6997" s="318"/>
      <c r="AP6997" s="318"/>
      <c r="AQ6997" s="318"/>
      <c r="AR6997" s="319"/>
    </row>
    <row r="6998" spans="37:44" ht="30" customHeight="1">
      <c r="AK6998" s="318"/>
      <c r="AL6998" s="318"/>
      <c r="AM6998" s="318"/>
      <c r="AN6998" s="318"/>
      <c r="AO6998" s="318"/>
      <c r="AP6998" s="318"/>
      <c r="AQ6998" s="318"/>
      <c r="AR6998" s="319"/>
    </row>
    <row r="6999" spans="37:44" ht="30" customHeight="1">
      <c r="AK6999" s="318"/>
      <c r="AL6999" s="318"/>
      <c r="AM6999" s="318"/>
      <c r="AN6999" s="318"/>
      <c r="AO6999" s="318"/>
      <c r="AP6999" s="318"/>
      <c r="AQ6999" s="318"/>
      <c r="AR6999" s="319"/>
    </row>
    <row r="7000" spans="37:44" ht="30" customHeight="1">
      <c r="AK7000" s="318"/>
      <c r="AL7000" s="318"/>
      <c r="AM7000" s="318"/>
      <c r="AN7000" s="318"/>
      <c r="AO7000" s="318"/>
      <c r="AP7000" s="318"/>
      <c r="AQ7000" s="318"/>
      <c r="AR7000" s="319"/>
    </row>
    <row r="7001" spans="37:44" ht="30" customHeight="1">
      <c r="AK7001" s="318"/>
      <c r="AL7001" s="318"/>
      <c r="AM7001" s="318"/>
      <c r="AN7001" s="318"/>
      <c r="AO7001" s="318"/>
      <c r="AP7001" s="318"/>
      <c r="AQ7001" s="318"/>
      <c r="AR7001" s="319"/>
    </row>
    <row r="7002" spans="37:44" ht="30" customHeight="1">
      <c r="AK7002" s="318"/>
      <c r="AL7002" s="318"/>
      <c r="AM7002" s="318"/>
      <c r="AN7002" s="318"/>
      <c r="AO7002" s="318"/>
      <c r="AP7002" s="318"/>
      <c r="AQ7002" s="318"/>
      <c r="AR7002" s="319"/>
    </row>
    <row r="7003" spans="37:44" ht="30" customHeight="1">
      <c r="AK7003" s="318"/>
      <c r="AL7003" s="318"/>
      <c r="AM7003" s="318"/>
      <c r="AN7003" s="318"/>
      <c r="AO7003" s="318"/>
      <c r="AP7003" s="318"/>
      <c r="AQ7003" s="318"/>
      <c r="AR7003" s="319"/>
    </row>
    <row r="7004" spans="37:44" ht="30" customHeight="1">
      <c r="AK7004" s="318"/>
      <c r="AL7004" s="318"/>
      <c r="AM7004" s="318"/>
      <c r="AN7004" s="318"/>
      <c r="AO7004" s="318"/>
      <c r="AP7004" s="318"/>
      <c r="AQ7004" s="318"/>
      <c r="AR7004" s="319"/>
    </row>
    <row r="7005" spans="37:44" ht="30" customHeight="1">
      <c r="AK7005" s="318"/>
      <c r="AL7005" s="318"/>
      <c r="AM7005" s="318"/>
      <c r="AN7005" s="318"/>
      <c r="AO7005" s="318"/>
      <c r="AP7005" s="318"/>
      <c r="AQ7005" s="318"/>
      <c r="AR7005" s="319"/>
    </row>
    <row r="7006" spans="37:44" ht="30" customHeight="1">
      <c r="AK7006" s="318"/>
      <c r="AL7006" s="318"/>
      <c r="AM7006" s="318"/>
      <c r="AN7006" s="318"/>
      <c r="AO7006" s="318"/>
      <c r="AP7006" s="318"/>
      <c r="AQ7006" s="318"/>
      <c r="AR7006" s="319"/>
    </row>
    <row r="7007" spans="37:44" ht="30" customHeight="1">
      <c r="AK7007" s="318"/>
      <c r="AL7007" s="318"/>
      <c r="AM7007" s="318"/>
      <c r="AN7007" s="318"/>
      <c r="AO7007" s="318"/>
      <c r="AP7007" s="318"/>
      <c r="AQ7007" s="318"/>
      <c r="AR7007" s="319"/>
    </row>
    <row r="7008" spans="37:44" ht="30" customHeight="1">
      <c r="AK7008" s="318"/>
      <c r="AL7008" s="318"/>
      <c r="AM7008" s="318"/>
      <c r="AN7008" s="318"/>
      <c r="AO7008" s="318"/>
      <c r="AP7008" s="318"/>
      <c r="AQ7008" s="318"/>
      <c r="AR7008" s="319"/>
    </row>
    <row r="7009" spans="37:44" ht="30" customHeight="1">
      <c r="AK7009" s="318"/>
      <c r="AL7009" s="318"/>
      <c r="AM7009" s="318"/>
      <c r="AN7009" s="318"/>
      <c r="AO7009" s="318"/>
      <c r="AP7009" s="318"/>
      <c r="AQ7009" s="318"/>
      <c r="AR7009" s="319"/>
    </row>
    <row r="7010" spans="37:44" ht="30" customHeight="1">
      <c r="AK7010" s="318"/>
      <c r="AL7010" s="318"/>
      <c r="AM7010" s="318"/>
      <c r="AN7010" s="318"/>
      <c r="AO7010" s="318"/>
      <c r="AP7010" s="318"/>
      <c r="AQ7010" s="318"/>
      <c r="AR7010" s="319"/>
    </row>
    <row r="7011" spans="37:44" ht="30" customHeight="1">
      <c r="AK7011" s="318"/>
      <c r="AL7011" s="318"/>
      <c r="AM7011" s="318"/>
      <c r="AN7011" s="318"/>
      <c r="AO7011" s="318"/>
      <c r="AP7011" s="318"/>
      <c r="AQ7011" s="318"/>
      <c r="AR7011" s="319"/>
    </row>
    <row r="7012" spans="37:44" ht="30" customHeight="1">
      <c r="AK7012" s="318"/>
      <c r="AL7012" s="318"/>
      <c r="AM7012" s="318"/>
      <c r="AN7012" s="318"/>
      <c r="AO7012" s="318"/>
      <c r="AP7012" s="318"/>
      <c r="AQ7012" s="318"/>
      <c r="AR7012" s="319"/>
    </row>
    <row r="7013" spans="37:44" ht="30" customHeight="1">
      <c r="AK7013" s="318"/>
      <c r="AL7013" s="318"/>
      <c r="AM7013" s="318"/>
      <c r="AN7013" s="318"/>
      <c r="AO7013" s="318"/>
      <c r="AP7013" s="318"/>
      <c r="AQ7013" s="318"/>
      <c r="AR7013" s="319"/>
    </row>
    <row r="7014" spans="37:44" ht="30" customHeight="1">
      <c r="AK7014" s="318"/>
      <c r="AL7014" s="318"/>
      <c r="AM7014" s="318"/>
      <c r="AN7014" s="318"/>
      <c r="AO7014" s="318"/>
      <c r="AP7014" s="318"/>
      <c r="AQ7014" s="318"/>
      <c r="AR7014" s="319"/>
    </row>
    <row r="7015" spans="37:44" ht="30" customHeight="1">
      <c r="AK7015" s="318"/>
      <c r="AL7015" s="318"/>
      <c r="AM7015" s="318"/>
      <c r="AN7015" s="318"/>
      <c r="AO7015" s="318"/>
      <c r="AP7015" s="318"/>
      <c r="AQ7015" s="318"/>
      <c r="AR7015" s="319"/>
    </row>
    <row r="7016" spans="37:44" ht="30" customHeight="1">
      <c r="AK7016" s="318"/>
      <c r="AL7016" s="318"/>
      <c r="AM7016" s="318"/>
      <c r="AN7016" s="318"/>
      <c r="AO7016" s="318"/>
      <c r="AP7016" s="318"/>
      <c r="AQ7016" s="318"/>
      <c r="AR7016" s="319"/>
    </row>
    <row r="7017" spans="37:44" ht="30" customHeight="1">
      <c r="AK7017" s="318"/>
      <c r="AL7017" s="318"/>
      <c r="AM7017" s="318"/>
      <c r="AN7017" s="318"/>
      <c r="AO7017" s="318"/>
      <c r="AP7017" s="318"/>
      <c r="AQ7017" s="318"/>
      <c r="AR7017" s="319"/>
    </row>
    <row r="7018" spans="37:44" ht="30" customHeight="1">
      <c r="AK7018" s="318"/>
      <c r="AL7018" s="318"/>
      <c r="AM7018" s="318"/>
      <c r="AN7018" s="318"/>
      <c r="AO7018" s="318"/>
      <c r="AP7018" s="318"/>
      <c r="AQ7018" s="318"/>
      <c r="AR7018" s="319"/>
    </row>
    <row r="7019" spans="37:44" ht="30" customHeight="1">
      <c r="AK7019" s="318"/>
      <c r="AL7019" s="318"/>
      <c r="AM7019" s="318"/>
      <c r="AN7019" s="318"/>
      <c r="AO7019" s="318"/>
      <c r="AP7019" s="318"/>
      <c r="AQ7019" s="318"/>
      <c r="AR7019" s="319"/>
    </row>
    <row r="7020" spans="37:44" ht="30" customHeight="1">
      <c r="AK7020" s="318"/>
      <c r="AL7020" s="318"/>
      <c r="AM7020" s="318"/>
      <c r="AN7020" s="318"/>
      <c r="AO7020" s="318"/>
      <c r="AP7020" s="318"/>
      <c r="AQ7020" s="318"/>
      <c r="AR7020" s="319"/>
    </row>
    <row r="7021" spans="37:44" ht="30" customHeight="1">
      <c r="AK7021" s="318"/>
      <c r="AL7021" s="318"/>
      <c r="AM7021" s="318"/>
      <c r="AN7021" s="318"/>
      <c r="AO7021" s="318"/>
      <c r="AP7021" s="318"/>
      <c r="AQ7021" s="318"/>
      <c r="AR7021" s="319"/>
    </row>
    <row r="7022" spans="37:44" ht="30" customHeight="1">
      <c r="AK7022" s="318"/>
      <c r="AL7022" s="318"/>
      <c r="AM7022" s="318"/>
      <c r="AN7022" s="318"/>
      <c r="AO7022" s="318"/>
      <c r="AP7022" s="318"/>
      <c r="AQ7022" s="318"/>
      <c r="AR7022" s="319"/>
    </row>
    <row r="7023" spans="37:44" ht="30" customHeight="1">
      <c r="AK7023" s="318"/>
      <c r="AL7023" s="318"/>
      <c r="AM7023" s="318"/>
      <c r="AN7023" s="318"/>
      <c r="AO7023" s="318"/>
      <c r="AP7023" s="318"/>
      <c r="AQ7023" s="318"/>
      <c r="AR7023" s="319"/>
    </row>
    <row r="7024" spans="37:44" ht="30" customHeight="1">
      <c r="AK7024" s="318"/>
      <c r="AL7024" s="318"/>
      <c r="AM7024" s="318"/>
      <c r="AN7024" s="318"/>
      <c r="AO7024" s="318"/>
      <c r="AP7024" s="318"/>
      <c r="AQ7024" s="318"/>
      <c r="AR7024" s="319"/>
    </row>
    <row r="7025" spans="37:44" ht="30" customHeight="1">
      <c r="AK7025" s="318"/>
      <c r="AL7025" s="318"/>
      <c r="AM7025" s="318"/>
      <c r="AN7025" s="318"/>
      <c r="AO7025" s="318"/>
      <c r="AP7025" s="318"/>
      <c r="AQ7025" s="318"/>
      <c r="AR7025" s="319"/>
    </row>
    <row r="7026" spans="37:44" ht="30" customHeight="1">
      <c r="AK7026" s="318"/>
      <c r="AL7026" s="318"/>
      <c r="AM7026" s="318"/>
      <c r="AN7026" s="318"/>
      <c r="AO7026" s="318"/>
      <c r="AP7026" s="318"/>
      <c r="AQ7026" s="318"/>
      <c r="AR7026" s="319"/>
    </row>
    <row r="7027" spans="37:44" ht="30" customHeight="1">
      <c r="AK7027" s="318"/>
      <c r="AL7027" s="318"/>
      <c r="AM7027" s="318"/>
      <c r="AN7027" s="318"/>
      <c r="AO7027" s="318"/>
      <c r="AP7027" s="318"/>
      <c r="AQ7027" s="318"/>
      <c r="AR7027" s="319"/>
    </row>
    <row r="7028" spans="37:44" ht="30" customHeight="1">
      <c r="AK7028" s="318"/>
      <c r="AL7028" s="318"/>
      <c r="AM7028" s="318"/>
      <c r="AN7028" s="318"/>
      <c r="AO7028" s="318"/>
      <c r="AP7028" s="318"/>
      <c r="AQ7028" s="318"/>
      <c r="AR7028" s="319"/>
    </row>
    <row r="7029" spans="37:44" ht="30" customHeight="1">
      <c r="AK7029" s="318"/>
      <c r="AL7029" s="318"/>
      <c r="AM7029" s="318"/>
      <c r="AN7029" s="318"/>
      <c r="AO7029" s="318"/>
      <c r="AP7029" s="318"/>
      <c r="AQ7029" s="318"/>
      <c r="AR7029" s="319"/>
    </row>
    <row r="7030" spans="37:44" ht="30" customHeight="1">
      <c r="AK7030" s="318"/>
      <c r="AL7030" s="318"/>
      <c r="AM7030" s="318"/>
      <c r="AN7030" s="318"/>
      <c r="AO7030" s="318"/>
      <c r="AP7030" s="318"/>
      <c r="AQ7030" s="318"/>
      <c r="AR7030" s="319"/>
    </row>
    <row r="7031" spans="37:44" ht="30" customHeight="1">
      <c r="AK7031" s="318"/>
      <c r="AL7031" s="318"/>
      <c r="AM7031" s="318"/>
      <c r="AN7031" s="318"/>
      <c r="AO7031" s="318"/>
      <c r="AP7031" s="318"/>
      <c r="AQ7031" s="318"/>
      <c r="AR7031" s="319"/>
    </row>
    <row r="7032" spans="37:44" ht="30" customHeight="1">
      <c r="AK7032" s="318"/>
      <c r="AL7032" s="318"/>
      <c r="AM7032" s="318"/>
      <c r="AN7032" s="318"/>
      <c r="AO7032" s="318"/>
      <c r="AP7032" s="318"/>
      <c r="AQ7032" s="318"/>
      <c r="AR7032" s="319"/>
    </row>
    <row r="7033" spans="37:44" ht="30" customHeight="1">
      <c r="AK7033" s="318"/>
      <c r="AL7033" s="318"/>
      <c r="AM7033" s="318"/>
      <c r="AN7033" s="318"/>
      <c r="AO7033" s="318"/>
      <c r="AP7033" s="318"/>
      <c r="AQ7033" s="318"/>
      <c r="AR7033" s="319"/>
    </row>
    <row r="7034" spans="37:44" ht="30" customHeight="1">
      <c r="AK7034" s="318"/>
      <c r="AL7034" s="318"/>
      <c r="AM7034" s="318"/>
      <c r="AN7034" s="318"/>
      <c r="AO7034" s="318"/>
      <c r="AP7034" s="318"/>
      <c r="AQ7034" s="318"/>
      <c r="AR7034" s="319"/>
    </row>
    <row r="7035" spans="37:44" ht="30" customHeight="1">
      <c r="AK7035" s="318"/>
      <c r="AL7035" s="318"/>
      <c r="AM7035" s="318"/>
      <c r="AN7035" s="318"/>
      <c r="AO7035" s="318"/>
      <c r="AP7035" s="318"/>
      <c r="AQ7035" s="318"/>
      <c r="AR7035" s="319"/>
    </row>
    <row r="7036" spans="37:44" ht="30" customHeight="1">
      <c r="AK7036" s="318"/>
      <c r="AL7036" s="318"/>
      <c r="AM7036" s="318"/>
      <c r="AN7036" s="318"/>
      <c r="AO7036" s="318"/>
      <c r="AP7036" s="318"/>
      <c r="AQ7036" s="318"/>
      <c r="AR7036" s="319"/>
    </row>
    <row r="7037" spans="37:44" ht="30" customHeight="1">
      <c r="AK7037" s="318"/>
      <c r="AL7037" s="318"/>
      <c r="AM7037" s="318"/>
      <c r="AN7037" s="318"/>
      <c r="AO7037" s="318"/>
      <c r="AP7037" s="318"/>
      <c r="AQ7037" s="318"/>
      <c r="AR7037" s="319"/>
    </row>
    <row r="7038" spans="37:44" ht="30" customHeight="1">
      <c r="AK7038" s="318"/>
      <c r="AL7038" s="318"/>
      <c r="AM7038" s="318"/>
      <c r="AN7038" s="318"/>
      <c r="AO7038" s="318"/>
      <c r="AP7038" s="318"/>
      <c r="AQ7038" s="318"/>
      <c r="AR7038" s="319"/>
    </row>
    <row r="7039" spans="37:44" ht="30" customHeight="1">
      <c r="AK7039" s="318"/>
      <c r="AL7039" s="318"/>
      <c r="AM7039" s="318"/>
      <c r="AN7039" s="318"/>
      <c r="AO7039" s="318"/>
      <c r="AP7039" s="318"/>
      <c r="AQ7039" s="318"/>
      <c r="AR7039" s="319"/>
    </row>
    <row r="7040" spans="37:44" ht="30" customHeight="1">
      <c r="AK7040" s="318"/>
      <c r="AL7040" s="318"/>
      <c r="AM7040" s="318"/>
      <c r="AN7040" s="318"/>
      <c r="AO7040" s="318"/>
      <c r="AP7040" s="318"/>
      <c r="AQ7040" s="318"/>
      <c r="AR7040" s="319"/>
    </row>
    <row r="7041" spans="37:44" ht="30" customHeight="1">
      <c r="AK7041" s="318"/>
      <c r="AL7041" s="318"/>
      <c r="AM7041" s="318"/>
      <c r="AN7041" s="318"/>
      <c r="AO7041" s="318"/>
      <c r="AP7041" s="318"/>
      <c r="AQ7041" s="318"/>
      <c r="AR7041" s="319"/>
    </row>
    <row r="7042" spans="37:44" ht="30" customHeight="1">
      <c r="AK7042" s="318"/>
      <c r="AL7042" s="318"/>
      <c r="AM7042" s="318"/>
      <c r="AN7042" s="318"/>
      <c r="AO7042" s="318"/>
      <c r="AP7042" s="318"/>
      <c r="AQ7042" s="318"/>
      <c r="AR7042" s="319"/>
    </row>
    <row r="7043" spans="37:44" ht="30" customHeight="1">
      <c r="AK7043" s="318"/>
      <c r="AL7043" s="318"/>
      <c r="AM7043" s="318"/>
      <c r="AN7043" s="318"/>
      <c r="AO7043" s="318"/>
      <c r="AP7043" s="318"/>
      <c r="AQ7043" s="318"/>
      <c r="AR7043" s="319"/>
    </row>
    <row r="7044" spans="37:44" ht="30" customHeight="1">
      <c r="AK7044" s="318"/>
      <c r="AL7044" s="318"/>
      <c r="AM7044" s="318"/>
      <c r="AN7044" s="318"/>
      <c r="AO7044" s="318"/>
      <c r="AP7044" s="318"/>
      <c r="AQ7044" s="318"/>
      <c r="AR7044" s="319"/>
    </row>
    <row r="7045" spans="37:44" ht="30" customHeight="1">
      <c r="AK7045" s="318"/>
      <c r="AL7045" s="318"/>
      <c r="AM7045" s="318"/>
      <c r="AN7045" s="318"/>
      <c r="AO7045" s="318"/>
      <c r="AP7045" s="318"/>
      <c r="AQ7045" s="318"/>
      <c r="AR7045" s="319"/>
    </row>
    <row r="7046" spans="37:44" ht="30" customHeight="1">
      <c r="AK7046" s="318"/>
      <c r="AL7046" s="318"/>
      <c r="AM7046" s="318"/>
      <c r="AN7046" s="318"/>
      <c r="AO7046" s="318"/>
      <c r="AP7046" s="318"/>
      <c r="AQ7046" s="318"/>
      <c r="AR7046" s="319"/>
    </row>
    <row r="7047" spans="37:44" ht="30" customHeight="1">
      <c r="AK7047" s="318"/>
      <c r="AL7047" s="318"/>
      <c r="AM7047" s="318"/>
      <c r="AN7047" s="318"/>
      <c r="AO7047" s="318"/>
      <c r="AP7047" s="318"/>
      <c r="AQ7047" s="318"/>
      <c r="AR7047" s="319"/>
    </row>
    <row r="7048" spans="37:44" ht="30" customHeight="1">
      <c r="AK7048" s="318"/>
      <c r="AL7048" s="318"/>
      <c r="AM7048" s="318"/>
      <c r="AN7048" s="318"/>
      <c r="AO7048" s="318"/>
      <c r="AP7048" s="318"/>
      <c r="AQ7048" s="318"/>
      <c r="AR7048" s="319"/>
    </row>
    <row r="7049" spans="37:44" ht="30" customHeight="1">
      <c r="AK7049" s="318"/>
      <c r="AL7049" s="318"/>
      <c r="AM7049" s="318"/>
      <c r="AN7049" s="318"/>
      <c r="AO7049" s="318"/>
      <c r="AP7049" s="318"/>
      <c r="AQ7049" s="318"/>
      <c r="AR7049" s="319"/>
    </row>
    <row r="7050" spans="37:44" ht="30" customHeight="1">
      <c r="AK7050" s="318"/>
      <c r="AL7050" s="318"/>
      <c r="AM7050" s="318"/>
      <c r="AN7050" s="318"/>
      <c r="AO7050" s="318"/>
      <c r="AP7050" s="318"/>
      <c r="AQ7050" s="318"/>
      <c r="AR7050" s="319"/>
    </row>
    <row r="7051" spans="37:44" ht="30" customHeight="1">
      <c r="AK7051" s="318"/>
      <c r="AL7051" s="318"/>
      <c r="AM7051" s="318"/>
      <c r="AN7051" s="318"/>
      <c r="AO7051" s="318"/>
      <c r="AP7051" s="318"/>
      <c r="AQ7051" s="318"/>
      <c r="AR7051" s="319"/>
    </row>
    <row r="7052" spans="37:44" ht="30" customHeight="1">
      <c r="AK7052" s="318"/>
      <c r="AL7052" s="318"/>
      <c r="AM7052" s="318"/>
      <c r="AN7052" s="318"/>
      <c r="AO7052" s="318"/>
      <c r="AP7052" s="318"/>
      <c r="AQ7052" s="318"/>
      <c r="AR7052" s="319"/>
    </row>
    <row r="7053" spans="37:44" ht="30" customHeight="1">
      <c r="AK7053" s="318"/>
      <c r="AL7053" s="318"/>
      <c r="AM7053" s="318"/>
      <c r="AN7053" s="318"/>
      <c r="AO7053" s="318"/>
      <c r="AP7053" s="318"/>
      <c r="AQ7053" s="318"/>
      <c r="AR7053" s="319"/>
    </row>
    <row r="7054" spans="37:44" ht="30" customHeight="1">
      <c r="AK7054" s="318"/>
      <c r="AL7054" s="318"/>
      <c r="AM7054" s="318"/>
      <c r="AN7054" s="318"/>
      <c r="AO7054" s="318"/>
      <c r="AP7054" s="318"/>
      <c r="AQ7054" s="318"/>
      <c r="AR7054" s="319"/>
    </row>
    <row r="7055" spans="37:44" ht="30" customHeight="1">
      <c r="AK7055" s="318"/>
      <c r="AL7055" s="318"/>
      <c r="AM7055" s="318"/>
      <c r="AN7055" s="318"/>
      <c r="AO7055" s="318"/>
      <c r="AP7055" s="318"/>
      <c r="AQ7055" s="318"/>
      <c r="AR7055" s="319"/>
    </row>
    <row r="7056" spans="37:44" ht="30" customHeight="1">
      <c r="AK7056" s="318"/>
      <c r="AL7056" s="318"/>
      <c r="AM7056" s="318"/>
      <c r="AN7056" s="318"/>
      <c r="AO7056" s="318"/>
      <c r="AP7056" s="318"/>
      <c r="AQ7056" s="318"/>
      <c r="AR7056" s="319"/>
    </row>
    <row r="7057" spans="37:44" ht="30" customHeight="1">
      <c r="AK7057" s="318"/>
      <c r="AL7057" s="318"/>
      <c r="AM7057" s="318"/>
      <c r="AN7057" s="318"/>
      <c r="AO7057" s="318"/>
      <c r="AP7057" s="318"/>
      <c r="AQ7057" s="318"/>
      <c r="AR7057" s="319"/>
    </row>
    <row r="7058" spans="37:44" ht="30" customHeight="1">
      <c r="AK7058" s="318"/>
      <c r="AL7058" s="318"/>
      <c r="AM7058" s="318"/>
      <c r="AN7058" s="318"/>
      <c r="AO7058" s="318"/>
      <c r="AP7058" s="318"/>
      <c r="AQ7058" s="318"/>
      <c r="AR7058" s="319"/>
    </row>
    <row r="7059" spans="37:44" ht="30" customHeight="1">
      <c r="AK7059" s="318"/>
      <c r="AL7059" s="318"/>
      <c r="AM7059" s="318"/>
      <c r="AN7059" s="318"/>
      <c r="AO7059" s="318"/>
      <c r="AP7059" s="318"/>
      <c r="AQ7059" s="318"/>
      <c r="AR7059" s="319"/>
    </row>
    <row r="7060" spans="37:44" ht="30" customHeight="1">
      <c r="AK7060" s="318"/>
      <c r="AL7060" s="318"/>
      <c r="AM7060" s="318"/>
      <c r="AN7060" s="318"/>
      <c r="AO7060" s="318"/>
      <c r="AP7060" s="318"/>
      <c r="AQ7060" s="318"/>
      <c r="AR7060" s="319"/>
    </row>
    <row r="7061" spans="37:44" ht="30" customHeight="1">
      <c r="AK7061" s="318"/>
      <c r="AL7061" s="318"/>
      <c r="AM7061" s="318"/>
      <c r="AN7061" s="318"/>
      <c r="AO7061" s="318"/>
      <c r="AP7061" s="318"/>
      <c r="AQ7061" s="318"/>
      <c r="AR7061" s="319"/>
    </row>
    <row r="7062" spans="37:44" ht="30" customHeight="1">
      <c r="AK7062" s="318"/>
      <c r="AL7062" s="318"/>
      <c r="AM7062" s="318"/>
      <c r="AN7062" s="318"/>
      <c r="AO7062" s="318"/>
      <c r="AP7062" s="318"/>
      <c r="AQ7062" s="318"/>
      <c r="AR7062" s="319"/>
    </row>
    <row r="7063" spans="37:44" ht="30" customHeight="1">
      <c r="AK7063" s="318"/>
      <c r="AL7063" s="318"/>
      <c r="AM7063" s="318"/>
      <c r="AN7063" s="318"/>
      <c r="AO7063" s="318"/>
      <c r="AP7063" s="318"/>
      <c r="AQ7063" s="318"/>
      <c r="AR7063" s="319"/>
    </row>
    <row r="7064" spans="37:44" ht="30" customHeight="1">
      <c r="AK7064" s="318"/>
      <c r="AL7064" s="318"/>
      <c r="AM7064" s="318"/>
      <c r="AN7064" s="318"/>
      <c r="AO7064" s="318"/>
      <c r="AP7064" s="318"/>
      <c r="AQ7064" s="318"/>
      <c r="AR7064" s="319"/>
    </row>
    <row r="7065" spans="37:44" ht="30" customHeight="1">
      <c r="AK7065" s="318"/>
      <c r="AL7065" s="318"/>
      <c r="AM7065" s="318"/>
      <c r="AN7065" s="318"/>
      <c r="AO7065" s="318"/>
      <c r="AP7065" s="318"/>
      <c r="AQ7065" s="318"/>
      <c r="AR7065" s="319"/>
    </row>
    <row r="7066" spans="37:44" ht="30" customHeight="1">
      <c r="AK7066" s="318"/>
      <c r="AL7066" s="318"/>
      <c r="AM7066" s="318"/>
      <c r="AN7066" s="318"/>
      <c r="AO7066" s="318"/>
      <c r="AP7066" s="318"/>
      <c r="AQ7066" s="318"/>
      <c r="AR7066" s="319"/>
    </row>
    <row r="7067" spans="37:44" ht="30" customHeight="1">
      <c r="AK7067" s="318"/>
      <c r="AL7067" s="318"/>
      <c r="AM7067" s="318"/>
      <c r="AN7067" s="318"/>
      <c r="AO7067" s="318"/>
      <c r="AP7067" s="318"/>
      <c r="AQ7067" s="318"/>
      <c r="AR7067" s="319"/>
    </row>
    <row r="7068" spans="37:44" ht="30" customHeight="1">
      <c r="AK7068" s="318"/>
      <c r="AL7068" s="318"/>
      <c r="AM7068" s="318"/>
      <c r="AN7068" s="318"/>
      <c r="AO7068" s="318"/>
      <c r="AP7068" s="318"/>
      <c r="AQ7068" s="318"/>
      <c r="AR7068" s="319"/>
    </row>
    <row r="7069" spans="37:44" ht="30" customHeight="1">
      <c r="AK7069" s="318"/>
      <c r="AL7069" s="318"/>
      <c r="AM7069" s="318"/>
      <c r="AN7069" s="318"/>
      <c r="AO7069" s="318"/>
      <c r="AP7069" s="318"/>
      <c r="AQ7069" s="318"/>
      <c r="AR7069" s="319"/>
    </row>
    <row r="7070" spans="37:44" ht="30" customHeight="1">
      <c r="AK7070" s="318"/>
      <c r="AL7070" s="318"/>
      <c r="AM7070" s="318"/>
      <c r="AN7070" s="318"/>
      <c r="AO7070" s="318"/>
      <c r="AP7070" s="318"/>
      <c r="AQ7070" s="318"/>
      <c r="AR7070" s="319"/>
    </row>
    <row r="7071" spans="37:44" ht="30" customHeight="1">
      <c r="AK7071" s="318"/>
      <c r="AL7071" s="318"/>
      <c r="AM7071" s="318"/>
      <c r="AN7071" s="318"/>
      <c r="AO7071" s="318"/>
      <c r="AP7071" s="318"/>
      <c r="AQ7071" s="318"/>
      <c r="AR7071" s="319"/>
    </row>
    <row r="7072" spans="37:44" ht="30" customHeight="1">
      <c r="AK7072" s="318"/>
      <c r="AL7072" s="318"/>
      <c r="AM7072" s="318"/>
      <c r="AN7072" s="318"/>
      <c r="AO7072" s="318"/>
      <c r="AP7072" s="318"/>
      <c r="AQ7072" s="318"/>
      <c r="AR7072" s="319"/>
    </row>
    <row r="7073" spans="37:44" ht="30" customHeight="1">
      <c r="AK7073" s="318"/>
      <c r="AL7073" s="318"/>
      <c r="AM7073" s="318"/>
      <c r="AN7073" s="318"/>
      <c r="AO7073" s="318"/>
      <c r="AP7073" s="318"/>
      <c r="AQ7073" s="318"/>
      <c r="AR7073" s="319"/>
    </row>
    <row r="7074" spans="37:44" ht="30" customHeight="1">
      <c r="AK7074" s="318"/>
      <c r="AL7074" s="318"/>
      <c r="AM7074" s="318"/>
      <c r="AN7074" s="318"/>
      <c r="AO7074" s="318"/>
      <c r="AP7074" s="318"/>
      <c r="AQ7074" s="318"/>
      <c r="AR7074" s="319"/>
    </row>
    <row r="7075" spans="37:44" ht="30" customHeight="1">
      <c r="AK7075" s="318"/>
      <c r="AL7075" s="318"/>
      <c r="AM7075" s="318"/>
      <c r="AN7075" s="318"/>
      <c r="AO7075" s="318"/>
      <c r="AP7075" s="318"/>
      <c r="AQ7075" s="318"/>
      <c r="AR7075" s="319"/>
    </row>
    <row r="7076" spans="37:44" ht="30" customHeight="1">
      <c r="AK7076" s="318"/>
      <c r="AL7076" s="318"/>
      <c r="AM7076" s="318"/>
      <c r="AN7076" s="318"/>
      <c r="AO7076" s="318"/>
      <c r="AP7076" s="318"/>
      <c r="AQ7076" s="318"/>
      <c r="AR7076" s="319"/>
    </row>
    <row r="7077" spans="37:44" ht="30" customHeight="1">
      <c r="AK7077" s="318"/>
      <c r="AL7077" s="318"/>
      <c r="AM7077" s="318"/>
      <c r="AN7077" s="318"/>
      <c r="AO7077" s="318"/>
      <c r="AP7077" s="318"/>
      <c r="AQ7077" s="318"/>
      <c r="AR7077" s="319"/>
    </row>
    <row r="7078" spans="37:44" ht="30" customHeight="1">
      <c r="AK7078" s="318"/>
      <c r="AL7078" s="318"/>
      <c r="AM7078" s="318"/>
      <c r="AN7078" s="318"/>
      <c r="AO7078" s="318"/>
      <c r="AP7078" s="318"/>
      <c r="AQ7078" s="318"/>
      <c r="AR7078" s="319"/>
    </row>
    <row r="7079" spans="37:44" ht="30" customHeight="1">
      <c r="AK7079" s="318"/>
      <c r="AL7079" s="318"/>
      <c r="AM7079" s="318"/>
      <c r="AN7079" s="318"/>
      <c r="AO7079" s="318"/>
      <c r="AP7079" s="318"/>
      <c r="AQ7079" s="318"/>
      <c r="AR7079" s="319"/>
    </row>
    <row r="7080" spans="37:44" ht="30" customHeight="1">
      <c r="AK7080" s="318"/>
      <c r="AL7080" s="318"/>
      <c r="AM7080" s="318"/>
      <c r="AN7080" s="318"/>
      <c r="AO7080" s="318"/>
      <c r="AP7080" s="318"/>
      <c r="AQ7080" s="318"/>
      <c r="AR7080" s="319"/>
    </row>
    <row r="7081" spans="37:44" ht="30" customHeight="1">
      <c r="AK7081" s="318"/>
      <c r="AL7081" s="318"/>
      <c r="AM7081" s="318"/>
      <c r="AN7081" s="318"/>
      <c r="AO7081" s="318"/>
      <c r="AP7081" s="318"/>
      <c r="AQ7081" s="318"/>
      <c r="AR7081" s="319"/>
    </row>
    <row r="7082" spans="37:44" ht="30" customHeight="1">
      <c r="AK7082" s="318"/>
      <c r="AL7082" s="318"/>
      <c r="AM7082" s="318"/>
      <c r="AN7082" s="318"/>
      <c r="AO7082" s="318"/>
      <c r="AP7082" s="318"/>
      <c r="AQ7082" s="318"/>
      <c r="AR7082" s="319"/>
    </row>
    <row r="7083" spans="37:44" ht="30" customHeight="1">
      <c r="AK7083" s="318"/>
      <c r="AL7083" s="318"/>
      <c r="AM7083" s="318"/>
      <c r="AN7083" s="318"/>
      <c r="AO7083" s="318"/>
      <c r="AP7083" s="318"/>
      <c r="AQ7083" s="318"/>
      <c r="AR7083" s="319"/>
    </row>
    <row r="7084" spans="37:44" ht="30" customHeight="1">
      <c r="AK7084" s="318"/>
      <c r="AL7084" s="318"/>
      <c r="AM7084" s="318"/>
      <c r="AN7084" s="318"/>
      <c r="AO7084" s="318"/>
      <c r="AP7084" s="318"/>
      <c r="AQ7084" s="318"/>
      <c r="AR7084" s="319"/>
    </row>
    <row r="7085" spans="37:44" ht="30" customHeight="1">
      <c r="AK7085" s="318"/>
      <c r="AL7085" s="318"/>
      <c r="AM7085" s="318"/>
      <c r="AN7085" s="318"/>
      <c r="AO7085" s="318"/>
      <c r="AP7085" s="318"/>
      <c r="AQ7085" s="318"/>
      <c r="AR7085" s="319"/>
    </row>
    <row r="7086" spans="37:44" ht="30" customHeight="1">
      <c r="AK7086" s="318"/>
      <c r="AL7086" s="318"/>
      <c r="AM7086" s="318"/>
      <c r="AN7086" s="318"/>
      <c r="AO7086" s="318"/>
      <c r="AP7086" s="318"/>
      <c r="AQ7086" s="318"/>
      <c r="AR7086" s="319"/>
    </row>
    <row r="7087" spans="37:44" ht="30" customHeight="1">
      <c r="AK7087" s="318"/>
      <c r="AL7087" s="318"/>
      <c r="AM7087" s="318"/>
      <c r="AN7087" s="318"/>
      <c r="AO7087" s="318"/>
      <c r="AP7087" s="318"/>
      <c r="AQ7087" s="318"/>
      <c r="AR7087" s="319"/>
    </row>
    <row r="7088" spans="37:44" ht="30" customHeight="1">
      <c r="AK7088" s="318"/>
      <c r="AL7088" s="318"/>
      <c r="AM7088" s="318"/>
      <c r="AN7088" s="318"/>
      <c r="AO7088" s="318"/>
      <c r="AP7088" s="318"/>
      <c r="AQ7088" s="318"/>
      <c r="AR7088" s="319"/>
    </row>
    <row r="7089" spans="37:44" ht="30" customHeight="1">
      <c r="AK7089" s="318"/>
      <c r="AL7089" s="318"/>
      <c r="AM7089" s="318"/>
      <c r="AN7089" s="318"/>
      <c r="AO7089" s="318"/>
      <c r="AP7089" s="318"/>
      <c r="AQ7089" s="318"/>
      <c r="AR7089" s="319"/>
    </row>
    <row r="7090" spans="37:44" ht="30" customHeight="1">
      <c r="AK7090" s="318"/>
      <c r="AL7090" s="318"/>
      <c r="AM7090" s="318"/>
      <c r="AN7090" s="318"/>
      <c r="AO7090" s="318"/>
      <c r="AP7090" s="318"/>
      <c r="AQ7090" s="318"/>
      <c r="AR7090" s="319"/>
    </row>
    <row r="7091" spans="37:44" ht="30" customHeight="1">
      <c r="AK7091" s="318"/>
      <c r="AL7091" s="318"/>
      <c r="AM7091" s="318"/>
      <c r="AN7091" s="318"/>
      <c r="AO7091" s="318"/>
      <c r="AP7091" s="318"/>
      <c r="AQ7091" s="318"/>
      <c r="AR7091" s="319"/>
    </row>
    <row r="7092" spans="37:44" ht="30" customHeight="1">
      <c r="AK7092" s="318"/>
      <c r="AL7092" s="318"/>
      <c r="AM7092" s="318"/>
      <c r="AN7092" s="318"/>
      <c r="AO7092" s="318"/>
      <c r="AP7092" s="318"/>
      <c r="AQ7092" s="318"/>
      <c r="AR7092" s="319"/>
    </row>
    <row r="7093" spans="37:44" ht="30" customHeight="1">
      <c r="AK7093" s="318"/>
      <c r="AL7093" s="318"/>
      <c r="AM7093" s="318"/>
      <c r="AN7093" s="318"/>
      <c r="AO7093" s="318"/>
      <c r="AP7093" s="318"/>
      <c r="AQ7093" s="318"/>
      <c r="AR7093" s="319"/>
    </row>
    <row r="7094" spans="37:44" ht="30" customHeight="1">
      <c r="AK7094" s="318"/>
      <c r="AL7094" s="318"/>
      <c r="AM7094" s="318"/>
      <c r="AN7094" s="318"/>
      <c r="AO7094" s="318"/>
      <c r="AP7094" s="318"/>
      <c r="AQ7094" s="318"/>
      <c r="AR7094" s="319"/>
    </row>
    <row r="7095" spans="37:44" ht="30" customHeight="1">
      <c r="AK7095" s="318"/>
      <c r="AL7095" s="318"/>
      <c r="AM7095" s="318"/>
      <c r="AN7095" s="318"/>
      <c r="AO7095" s="318"/>
      <c r="AP7095" s="318"/>
      <c r="AQ7095" s="318"/>
      <c r="AR7095" s="319"/>
    </row>
    <row r="7096" spans="37:44" ht="30" customHeight="1">
      <c r="AK7096" s="318"/>
      <c r="AL7096" s="318"/>
      <c r="AM7096" s="318"/>
      <c r="AN7096" s="318"/>
      <c r="AO7096" s="318"/>
      <c r="AP7096" s="318"/>
      <c r="AQ7096" s="318"/>
      <c r="AR7096" s="319"/>
    </row>
    <row r="7097" spans="37:44" ht="30" customHeight="1">
      <c r="AK7097" s="318"/>
      <c r="AL7097" s="318"/>
      <c r="AM7097" s="318"/>
      <c r="AN7097" s="318"/>
      <c r="AO7097" s="318"/>
      <c r="AP7097" s="318"/>
      <c r="AQ7097" s="318"/>
      <c r="AR7097" s="319"/>
    </row>
    <row r="7098" spans="37:44" ht="30" customHeight="1">
      <c r="AK7098" s="318"/>
      <c r="AL7098" s="318"/>
      <c r="AM7098" s="318"/>
      <c r="AN7098" s="318"/>
      <c r="AO7098" s="318"/>
      <c r="AP7098" s="318"/>
      <c r="AQ7098" s="318"/>
      <c r="AR7098" s="319"/>
    </row>
    <row r="7099" spans="37:44" ht="30" customHeight="1">
      <c r="AK7099" s="318"/>
      <c r="AL7099" s="318"/>
      <c r="AM7099" s="318"/>
      <c r="AN7099" s="318"/>
      <c r="AO7099" s="318"/>
      <c r="AP7099" s="318"/>
      <c r="AQ7099" s="318"/>
      <c r="AR7099" s="319"/>
    </row>
    <row r="7100" spans="37:44" ht="30" customHeight="1">
      <c r="AK7100" s="318"/>
      <c r="AL7100" s="318"/>
      <c r="AM7100" s="318"/>
      <c r="AN7100" s="318"/>
      <c r="AO7100" s="318"/>
      <c r="AP7100" s="318"/>
      <c r="AQ7100" s="318"/>
      <c r="AR7100" s="319"/>
    </row>
    <row r="7101" spans="37:44" ht="30" customHeight="1">
      <c r="AK7101" s="318"/>
      <c r="AL7101" s="318"/>
      <c r="AM7101" s="318"/>
      <c r="AN7101" s="318"/>
      <c r="AO7101" s="318"/>
      <c r="AP7101" s="318"/>
      <c r="AQ7101" s="318"/>
      <c r="AR7101" s="319"/>
    </row>
    <row r="7102" spans="37:44" ht="30" customHeight="1">
      <c r="AK7102" s="318"/>
      <c r="AL7102" s="318"/>
      <c r="AM7102" s="318"/>
      <c r="AN7102" s="318"/>
      <c r="AO7102" s="318"/>
      <c r="AP7102" s="318"/>
      <c r="AQ7102" s="318"/>
      <c r="AR7102" s="319"/>
    </row>
    <row r="7103" spans="37:44" ht="30" customHeight="1">
      <c r="AK7103" s="318"/>
      <c r="AL7103" s="318"/>
      <c r="AM7103" s="318"/>
      <c r="AN7103" s="318"/>
      <c r="AO7103" s="318"/>
      <c r="AP7103" s="318"/>
      <c r="AQ7103" s="318"/>
      <c r="AR7103" s="319"/>
    </row>
    <row r="7104" spans="37:44" ht="30" customHeight="1">
      <c r="AK7104" s="318"/>
      <c r="AL7104" s="318"/>
      <c r="AM7104" s="318"/>
      <c r="AN7104" s="318"/>
      <c r="AO7104" s="318"/>
      <c r="AP7104" s="318"/>
      <c r="AQ7104" s="318"/>
      <c r="AR7104" s="319"/>
    </row>
    <row r="7105" spans="37:44" ht="30" customHeight="1">
      <c r="AK7105" s="318"/>
      <c r="AL7105" s="318"/>
      <c r="AM7105" s="318"/>
      <c r="AN7105" s="318"/>
      <c r="AO7105" s="318"/>
      <c r="AP7105" s="318"/>
      <c r="AQ7105" s="318"/>
      <c r="AR7105" s="319"/>
    </row>
    <row r="7106" spans="37:44" ht="30" customHeight="1">
      <c r="AK7106" s="318"/>
      <c r="AL7106" s="318"/>
      <c r="AM7106" s="318"/>
      <c r="AN7106" s="318"/>
      <c r="AO7106" s="318"/>
      <c r="AP7106" s="318"/>
      <c r="AQ7106" s="318"/>
      <c r="AR7106" s="319"/>
    </row>
    <row r="7107" spans="37:44" ht="30" customHeight="1">
      <c r="AK7107" s="318"/>
      <c r="AL7107" s="318"/>
      <c r="AM7107" s="318"/>
      <c r="AN7107" s="318"/>
      <c r="AO7107" s="318"/>
      <c r="AP7107" s="318"/>
      <c r="AQ7107" s="318"/>
      <c r="AR7107" s="319"/>
    </row>
    <row r="7108" spans="37:44" ht="30" customHeight="1">
      <c r="AK7108" s="318"/>
      <c r="AL7108" s="318"/>
      <c r="AM7108" s="318"/>
      <c r="AN7108" s="318"/>
      <c r="AO7108" s="318"/>
      <c r="AP7108" s="318"/>
      <c r="AQ7108" s="318"/>
      <c r="AR7108" s="319"/>
    </row>
    <row r="7109" spans="37:44" ht="30" customHeight="1">
      <c r="AK7109" s="318"/>
      <c r="AL7109" s="318"/>
      <c r="AM7109" s="318"/>
      <c r="AN7109" s="318"/>
      <c r="AO7109" s="318"/>
      <c r="AP7109" s="318"/>
      <c r="AQ7109" s="318"/>
      <c r="AR7109" s="319"/>
    </row>
    <row r="7110" spans="37:44" ht="30" customHeight="1">
      <c r="AK7110" s="318"/>
      <c r="AL7110" s="318"/>
      <c r="AM7110" s="318"/>
      <c r="AN7110" s="318"/>
      <c r="AO7110" s="318"/>
      <c r="AP7110" s="318"/>
      <c r="AQ7110" s="318"/>
      <c r="AR7110" s="319"/>
    </row>
    <row r="7111" spans="37:44" ht="30" customHeight="1">
      <c r="AK7111" s="318"/>
      <c r="AL7111" s="318"/>
      <c r="AM7111" s="318"/>
      <c r="AN7111" s="318"/>
      <c r="AO7111" s="318"/>
      <c r="AP7111" s="318"/>
      <c r="AQ7111" s="318"/>
      <c r="AR7111" s="319"/>
    </row>
    <row r="7112" spans="37:44" ht="30" customHeight="1">
      <c r="AK7112" s="318"/>
      <c r="AL7112" s="318"/>
      <c r="AM7112" s="318"/>
      <c r="AN7112" s="318"/>
      <c r="AO7112" s="318"/>
      <c r="AP7112" s="318"/>
      <c r="AQ7112" s="318"/>
      <c r="AR7112" s="319"/>
    </row>
    <row r="7113" spans="37:44" ht="30" customHeight="1">
      <c r="AK7113" s="318"/>
      <c r="AL7113" s="318"/>
      <c r="AM7113" s="318"/>
      <c r="AN7113" s="318"/>
      <c r="AO7113" s="318"/>
      <c r="AP7113" s="318"/>
      <c r="AQ7113" s="318"/>
      <c r="AR7113" s="319"/>
    </row>
    <row r="7114" spans="37:44" ht="30" customHeight="1">
      <c r="AK7114" s="318"/>
      <c r="AL7114" s="318"/>
      <c r="AM7114" s="318"/>
      <c r="AN7114" s="318"/>
      <c r="AO7114" s="318"/>
      <c r="AP7114" s="318"/>
      <c r="AQ7114" s="318"/>
      <c r="AR7114" s="319"/>
    </row>
    <row r="7115" spans="37:44" ht="30" customHeight="1">
      <c r="AK7115" s="318"/>
      <c r="AL7115" s="318"/>
      <c r="AM7115" s="318"/>
      <c r="AN7115" s="318"/>
      <c r="AO7115" s="318"/>
      <c r="AP7115" s="318"/>
      <c r="AQ7115" s="318"/>
      <c r="AR7115" s="319"/>
    </row>
    <row r="7116" spans="37:44" ht="30" customHeight="1">
      <c r="AK7116" s="318"/>
      <c r="AL7116" s="318"/>
      <c r="AM7116" s="318"/>
      <c r="AN7116" s="318"/>
      <c r="AO7116" s="318"/>
      <c r="AP7116" s="318"/>
      <c r="AQ7116" s="318"/>
      <c r="AR7116" s="319"/>
    </row>
    <row r="7117" spans="37:44" ht="30" customHeight="1">
      <c r="AK7117" s="318"/>
      <c r="AL7117" s="318"/>
      <c r="AM7117" s="318"/>
      <c r="AN7117" s="318"/>
      <c r="AO7117" s="318"/>
      <c r="AP7117" s="318"/>
      <c r="AQ7117" s="318"/>
      <c r="AR7117" s="319"/>
    </row>
    <row r="7118" spans="37:44" ht="30" customHeight="1">
      <c r="AK7118" s="318"/>
      <c r="AL7118" s="318"/>
      <c r="AM7118" s="318"/>
      <c r="AN7118" s="318"/>
      <c r="AO7118" s="318"/>
      <c r="AP7118" s="318"/>
      <c r="AQ7118" s="318"/>
      <c r="AR7118" s="319"/>
    </row>
    <row r="7119" spans="37:44" ht="30" customHeight="1">
      <c r="AK7119" s="318"/>
      <c r="AL7119" s="318"/>
      <c r="AM7119" s="318"/>
      <c r="AN7119" s="318"/>
      <c r="AO7119" s="318"/>
      <c r="AP7119" s="318"/>
      <c r="AQ7119" s="318"/>
      <c r="AR7119" s="319"/>
    </row>
    <row r="7120" spans="37:44" ht="30" customHeight="1">
      <c r="AK7120" s="318"/>
      <c r="AL7120" s="318"/>
      <c r="AM7120" s="318"/>
      <c r="AN7120" s="318"/>
      <c r="AO7120" s="318"/>
      <c r="AP7120" s="318"/>
      <c r="AQ7120" s="318"/>
      <c r="AR7120" s="319"/>
    </row>
    <row r="7121" spans="37:44" ht="30" customHeight="1">
      <c r="AK7121" s="318"/>
      <c r="AL7121" s="318"/>
      <c r="AM7121" s="318"/>
      <c r="AN7121" s="318"/>
      <c r="AO7121" s="318"/>
      <c r="AP7121" s="318"/>
      <c r="AQ7121" s="318"/>
      <c r="AR7121" s="319"/>
    </row>
    <row r="7122" spans="37:44" ht="30" customHeight="1">
      <c r="AK7122" s="318"/>
      <c r="AL7122" s="318"/>
      <c r="AM7122" s="318"/>
      <c r="AN7122" s="318"/>
      <c r="AO7122" s="318"/>
      <c r="AP7122" s="318"/>
      <c r="AQ7122" s="318"/>
      <c r="AR7122" s="319"/>
    </row>
    <row r="7123" spans="37:44" ht="30" customHeight="1">
      <c r="AK7123" s="318"/>
      <c r="AL7123" s="318"/>
      <c r="AM7123" s="318"/>
      <c r="AN7123" s="318"/>
      <c r="AO7123" s="318"/>
      <c r="AP7123" s="318"/>
      <c r="AQ7123" s="318"/>
      <c r="AR7123" s="319"/>
    </row>
    <row r="7124" spans="37:44" ht="30" customHeight="1">
      <c r="AK7124" s="318"/>
      <c r="AL7124" s="318"/>
      <c r="AM7124" s="318"/>
      <c r="AN7124" s="318"/>
      <c r="AO7124" s="318"/>
      <c r="AP7124" s="318"/>
      <c r="AQ7124" s="318"/>
      <c r="AR7124" s="319"/>
    </row>
    <row r="7125" spans="37:44" ht="30" customHeight="1">
      <c r="AK7125" s="318"/>
      <c r="AL7125" s="318"/>
      <c r="AM7125" s="318"/>
      <c r="AN7125" s="318"/>
      <c r="AO7125" s="318"/>
      <c r="AP7125" s="318"/>
      <c r="AQ7125" s="318"/>
      <c r="AR7125" s="319"/>
    </row>
    <row r="7126" spans="37:44" ht="30" customHeight="1">
      <c r="AK7126" s="318"/>
      <c r="AL7126" s="318"/>
      <c r="AM7126" s="318"/>
      <c r="AN7126" s="318"/>
      <c r="AO7126" s="318"/>
      <c r="AP7126" s="318"/>
      <c r="AQ7126" s="318"/>
      <c r="AR7126" s="319"/>
    </row>
    <row r="7127" spans="37:44" ht="30" customHeight="1">
      <c r="AK7127" s="318"/>
      <c r="AL7127" s="318"/>
      <c r="AM7127" s="318"/>
      <c r="AN7127" s="318"/>
      <c r="AO7127" s="318"/>
      <c r="AP7127" s="318"/>
      <c r="AQ7127" s="318"/>
      <c r="AR7127" s="319"/>
    </row>
    <row r="7128" spans="37:44" ht="30" customHeight="1">
      <c r="AK7128" s="318"/>
      <c r="AL7128" s="318"/>
      <c r="AM7128" s="318"/>
      <c r="AN7128" s="318"/>
      <c r="AO7128" s="318"/>
      <c r="AP7128" s="318"/>
      <c r="AQ7128" s="318"/>
      <c r="AR7128" s="319"/>
    </row>
    <row r="7129" spans="37:44" ht="30" customHeight="1">
      <c r="AK7129" s="318"/>
      <c r="AL7129" s="318"/>
      <c r="AM7129" s="318"/>
      <c r="AN7129" s="318"/>
      <c r="AO7129" s="318"/>
      <c r="AP7129" s="318"/>
      <c r="AQ7129" s="318"/>
      <c r="AR7129" s="319"/>
    </row>
    <row r="7130" spans="37:44" ht="30" customHeight="1">
      <c r="AK7130" s="318"/>
      <c r="AL7130" s="318"/>
      <c r="AM7130" s="318"/>
      <c r="AN7130" s="318"/>
      <c r="AO7130" s="318"/>
      <c r="AP7130" s="318"/>
      <c r="AQ7130" s="318"/>
      <c r="AR7130" s="319"/>
    </row>
    <row r="7131" spans="37:44" ht="30" customHeight="1">
      <c r="AK7131" s="318"/>
      <c r="AL7131" s="318"/>
      <c r="AM7131" s="318"/>
      <c r="AN7131" s="318"/>
      <c r="AO7131" s="318"/>
      <c r="AP7131" s="318"/>
      <c r="AQ7131" s="318"/>
      <c r="AR7131" s="319"/>
    </row>
    <row r="7132" spans="37:44" ht="30" customHeight="1">
      <c r="AK7132" s="318"/>
      <c r="AL7132" s="318"/>
      <c r="AM7132" s="318"/>
      <c r="AN7132" s="318"/>
      <c r="AO7132" s="318"/>
      <c r="AP7132" s="318"/>
      <c r="AQ7132" s="318"/>
      <c r="AR7132" s="319"/>
    </row>
    <row r="7133" spans="37:44" ht="30" customHeight="1">
      <c r="AK7133" s="318"/>
      <c r="AL7133" s="318"/>
      <c r="AM7133" s="318"/>
      <c r="AN7133" s="318"/>
      <c r="AO7133" s="318"/>
      <c r="AP7133" s="318"/>
      <c r="AQ7133" s="318"/>
      <c r="AR7133" s="319"/>
    </row>
    <row r="7134" spans="37:44" ht="30" customHeight="1">
      <c r="AK7134" s="318"/>
      <c r="AL7134" s="318"/>
      <c r="AM7134" s="318"/>
      <c r="AN7134" s="318"/>
      <c r="AO7134" s="318"/>
      <c r="AP7134" s="318"/>
      <c r="AQ7134" s="318"/>
      <c r="AR7134" s="319"/>
    </row>
    <row r="7135" spans="37:44" ht="30" customHeight="1">
      <c r="AK7135" s="318"/>
      <c r="AL7135" s="318"/>
      <c r="AM7135" s="318"/>
      <c r="AN7135" s="318"/>
      <c r="AO7135" s="318"/>
      <c r="AP7135" s="318"/>
      <c r="AQ7135" s="318"/>
      <c r="AR7135" s="319"/>
    </row>
    <row r="7136" spans="37:44" ht="30" customHeight="1">
      <c r="AK7136" s="318"/>
      <c r="AL7136" s="318"/>
      <c r="AM7136" s="318"/>
      <c r="AN7136" s="318"/>
      <c r="AO7136" s="318"/>
      <c r="AP7136" s="318"/>
      <c r="AQ7136" s="318"/>
      <c r="AR7136" s="319"/>
    </row>
    <row r="7137" spans="37:44" ht="30" customHeight="1">
      <c r="AK7137" s="318"/>
      <c r="AL7137" s="318"/>
      <c r="AM7137" s="318"/>
      <c r="AN7137" s="318"/>
      <c r="AO7137" s="318"/>
      <c r="AP7137" s="318"/>
      <c r="AQ7137" s="318"/>
      <c r="AR7137" s="319"/>
    </row>
    <row r="7138" spans="37:44" ht="30" customHeight="1">
      <c r="AK7138" s="318"/>
      <c r="AL7138" s="318"/>
      <c r="AM7138" s="318"/>
      <c r="AN7138" s="318"/>
      <c r="AO7138" s="318"/>
      <c r="AP7138" s="318"/>
      <c r="AQ7138" s="318"/>
      <c r="AR7138" s="319"/>
    </row>
    <row r="7139" spans="37:44" ht="30" customHeight="1">
      <c r="AK7139" s="318"/>
      <c r="AL7139" s="318"/>
      <c r="AM7139" s="318"/>
      <c r="AN7139" s="318"/>
      <c r="AO7139" s="318"/>
      <c r="AP7139" s="318"/>
      <c r="AQ7139" s="318"/>
      <c r="AR7139" s="319"/>
    </row>
    <row r="7140" spans="37:44" ht="30" customHeight="1">
      <c r="AK7140" s="318"/>
      <c r="AL7140" s="318"/>
      <c r="AM7140" s="318"/>
      <c r="AN7140" s="318"/>
      <c r="AO7140" s="318"/>
      <c r="AP7140" s="318"/>
      <c r="AQ7140" s="318"/>
      <c r="AR7140" s="319"/>
    </row>
    <row r="7141" spans="37:44" ht="30" customHeight="1">
      <c r="AK7141" s="318"/>
      <c r="AL7141" s="318"/>
      <c r="AM7141" s="318"/>
      <c r="AN7141" s="318"/>
      <c r="AO7141" s="318"/>
      <c r="AP7141" s="318"/>
      <c r="AQ7141" s="318"/>
      <c r="AR7141" s="319"/>
    </row>
    <row r="7142" spans="37:44" ht="30" customHeight="1">
      <c r="AK7142" s="318"/>
      <c r="AL7142" s="318"/>
      <c r="AM7142" s="318"/>
      <c r="AN7142" s="318"/>
      <c r="AO7142" s="318"/>
      <c r="AP7142" s="318"/>
      <c r="AQ7142" s="318"/>
      <c r="AR7142" s="319"/>
    </row>
    <row r="7143" spans="37:44" ht="30" customHeight="1">
      <c r="AK7143" s="318"/>
      <c r="AL7143" s="318"/>
      <c r="AM7143" s="318"/>
      <c r="AN7143" s="318"/>
      <c r="AO7143" s="318"/>
      <c r="AP7143" s="318"/>
      <c r="AQ7143" s="318"/>
      <c r="AR7143" s="319"/>
    </row>
    <row r="7144" spans="37:44" ht="30" customHeight="1">
      <c r="AK7144" s="318"/>
      <c r="AL7144" s="318"/>
      <c r="AM7144" s="318"/>
      <c r="AN7144" s="318"/>
      <c r="AO7144" s="318"/>
      <c r="AP7144" s="318"/>
      <c r="AQ7144" s="318"/>
      <c r="AR7144" s="319"/>
    </row>
    <row r="7145" spans="37:44" ht="30" customHeight="1">
      <c r="AK7145" s="318"/>
      <c r="AL7145" s="318"/>
      <c r="AM7145" s="318"/>
      <c r="AN7145" s="318"/>
      <c r="AO7145" s="318"/>
      <c r="AP7145" s="318"/>
      <c r="AQ7145" s="318"/>
      <c r="AR7145" s="319"/>
    </row>
    <row r="7146" spans="37:44" ht="30" customHeight="1">
      <c r="AK7146" s="318"/>
      <c r="AL7146" s="318"/>
      <c r="AM7146" s="318"/>
      <c r="AN7146" s="318"/>
      <c r="AO7146" s="318"/>
      <c r="AP7146" s="318"/>
      <c r="AQ7146" s="318"/>
      <c r="AR7146" s="319"/>
    </row>
    <row r="7147" spans="37:44" ht="30" customHeight="1">
      <c r="AK7147" s="318"/>
      <c r="AL7147" s="318"/>
      <c r="AM7147" s="318"/>
      <c r="AN7147" s="318"/>
      <c r="AO7147" s="318"/>
      <c r="AP7147" s="318"/>
      <c r="AQ7147" s="318"/>
      <c r="AR7147" s="319"/>
    </row>
    <row r="7148" spans="37:44" ht="30" customHeight="1">
      <c r="AK7148" s="318"/>
      <c r="AL7148" s="318"/>
      <c r="AM7148" s="318"/>
      <c r="AN7148" s="318"/>
      <c r="AO7148" s="318"/>
      <c r="AP7148" s="318"/>
      <c r="AQ7148" s="318"/>
      <c r="AR7148" s="319"/>
    </row>
    <row r="7149" spans="37:44" ht="30" customHeight="1">
      <c r="AK7149" s="318"/>
      <c r="AL7149" s="318"/>
      <c r="AM7149" s="318"/>
      <c r="AN7149" s="318"/>
      <c r="AO7149" s="318"/>
      <c r="AP7149" s="318"/>
      <c r="AQ7149" s="318"/>
      <c r="AR7149" s="319"/>
    </row>
    <row r="7150" spans="37:44" ht="30" customHeight="1">
      <c r="AK7150" s="318"/>
      <c r="AL7150" s="318"/>
      <c r="AM7150" s="318"/>
      <c r="AN7150" s="318"/>
      <c r="AO7150" s="318"/>
      <c r="AP7150" s="318"/>
      <c r="AQ7150" s="318"/>
      <c r="AR7150" s="319"/>
    </row>
    <row r="7151" spans="37:44" ht="30" customHeight="1">
      <c r="AK7151" s="318"/>
      <c r="AL7151" s="318"/>
      <c r="AM7151" s="318"/>
      <c r="AN7151" s="318"/>
      <c r="AO7151" s="318"/>
      <c r="AP7151" s="318"/>
      <c r="AQ7151" s="318"/>
      <c r="AR7151" s="319"/>
    </row>
    <row r="7152" spans="37:44" ht="30" customHeight="1">
      <c r="AK7152" s="318"/>
      <c r="AL7152" s="318"/>
      <c r="AM7152" s="318"/>
      <c r="AN7152" s="318"/>
      <c r="AO7152" s="318"/>
      <c r="AP7152" s="318"/>
      <c r="AQ7152" s="318"/>
      <c r="AR7152" s="319"/>
    </row>
    <row r="7153" spans="37:44" ht="30" customHeight="1">
      <c r="AK7153" s="318"/>
      <c r="AL7153" s="318"/>
      <c r="AM7153" s="318"/>
      <c r="AN7153" s="318"/>
      <c r="AO7153" s="318"/>
      <c r="AP7153" s="318"/>
      <c r="AQ7153" s="318"/>
      <c r="AR7153" s="319"/>
    </row>
    <row r="7154" spans="37:44" ht="30" customHeight="1">
      <c r="AK7154" s="318"/>
      <c r="AL7154" s="318"/>
      <c r="AM7154" s="318"/>
      <c r="AN7154" s="318"/>
      <c r="AO7154" s="318"/>
      <c r="AP7154" s="318"/>
      <c r="AQ7154" s="318"/>
      <c r="AR7154" s="319"/>
    </row>
    <row r="7155" spans="37:44" ht="30" customHeight="1">
      <c r="AK7155" s="318"/>
      <c r="AL7155" s="318"/>
      <c r="AM7155" s="318"/>
      <c r="AN7155" s="318"/>
      <c r="AO7155" s="318"/>
      <c r="AP7155" s="318"/>
      <c r="AQ7155" s="318"/>
      <c r="AR7155" s="319"/>
    </row>
    <row r="7156" spans="37:44" ht="30" customHeight="1">
      <c r="AK7156" s="318"/>
      <c r="AL7156" s="318"/>
      <c r="AM7156" s="318"/>
      <c r="AN7156" s="318"/>
      <c r="AO7156" s="318"/>
      <c r="AP7156" s="318"/>
      <c r="AQ7156" s="318"/>
      <c r="AR7156" s="319"/>
    </row>
    <row r="7157" spans="37:44" ht="30" customHeight="1">
      <c r="AK7157" s="318"/>
      <c r="AL7157" s="318"/>
      <c r="AM7157" s="318"/>
      <c r="AN7157" s="318"/>
      <c r="AO7157" s="318"/>
      <c r="AP7157" s="318"/>
      <c r="AQ7157" s="318"/>
      <c r="AR7157" s="319"/>
    </row>
    <row r="7158" spans="37:44" ht="30" customHeight="1">
      <c r="AK7158" s="318"/>
      <c r="AL7158" s="318"/>
      <c r="AM7158" s="318"/>
      <c r="AN7158" s="318"/>
      <c r="AO7158" s="318"/>
      <c r="AP7158" s="318"/>
      <c r="AQ7158" s="318"/>
      <c r="AR7158" s="319"/>
    </row>
    <row r="7159" spans="37:44" ht="30" customHeight="1">
      <c r="AK7159" s="318"/>
      <c r="AL7159" s="318"/>
      <c r="AM7159" s="318"/>
      <c r="AN7159" s="318"/>
      <c r="AO7159" s="318"/>
      <c r="AP7159" s="318"/>
      <c r="AQ7159" s="318"/>
      <c r="AR7159" s="319"/>
    </row>
    <row r="7160" spans="37:44" ht="30" customHeight="1">
      <c r="AK7160" s="318"/>
      <c r="AL7160" s="318"/>
      <c r="AM7160" s="318"/>
      <c r="AN7160" s="318"/>
      <c r="AO7160" s="318"/>
      <c r="AP7160" s="318"/>
      <c r="AQ7160" s="318"/>
      <c r="AR7160" s="319"/>
    </row>
    <row r="7161" spans="37:44" ht="30" customHeight="1">
      <c r="AK7161" s="318"/>
      <c r="AL7161" s="318"/>
      <c r="AM7161" s="318"/>
      <c r="AN7161" s="318"/>
      <c r="AO7161" s="318"/>
      <c r="AP7161" s="318"/>
      <c r="AQ7161" s="318"/>
      <c r="AR7161" s="319"/>
    </row>
    <row r="7162" spans="37:44" ht="30" customHeight="1">
      <c r="AK7162" s="318"/>
      <c r="AL7162" s="318"/>
      <c r="AM7162" s="318"/>
      <c r="AN7162" s="318"/>
      <c r="AO7162" s="318"/>
      <c r="AP7162" s="318"/>
      <c r="AQ7162" s="318"/>
      <c r="AR7162" s="319"/>
    </row>
    <row r="7163" spans="37:44" ht="30" customHeight="1">
      <c r="AK7163" s="318"/>
      <c r="AL7163" s="318"/>
      <c r="AM7163" s="318"/>
      <c r="AN7163" s="318"/>
      <c r="AO7163" s="318"/>
      <c r="AP7163" s="318"/>
      <c r="AQ7163" s="318"/>
      <c r="AR7163" s="319"/>
    </row>
    <row r="7164" spans="37:44" ht="30" customHeight="1">
      <c r="AK7164" s="318"/>
      <c r="AL7164" s="318"/>
      <c r="AM7164" s="318"/>
      <c r="AN7164" s="318"/>
      <c r="AO7164" s="318"/>
      <c r="AP7164" s="318"/>
      <c r="AQ7164" s="318"/>
      <c r="AR7164" s="319"/>
    </row>
    <row r="7165" spans="37:44" ht="30" customHeight="1">
      <c r="AK7165" s="318"/>
      <c r="AL7165" s="318"/>
      <c r="AM7165" s="318"/>
      <c r="AN7165" s="318"/>
      <c r="AO7165" s="318"/>
      <c r="AP7165" s="318"/>
      <c r="AQ7165" s="318"/>
      <c r="AR7165" s="319"/>
    </row>
    <row r="7166" spans="37:44" ht="30" customHeight="1">
      <c r="AK7166" s="318"/>
      <c r="AL7166" s="318"/>
      <c r="AM7166" s="318"/>
      <c r="AN7166" s="318"/>
      <c r="AO7166" s="318"/>
      <c r="AP7166" s="318"/>
      <c r="AQ7166" s="318"/>
      <c r="AR7166" s="319"/>
    </row>
    <row r="7167" spans="37:44" ht="30" customHeight="1">
      <c r="AK7167" s="318"/>
      <c r="AL7167" s="318"/>
      <c r="AM7167" s="318"/>
      <c r="AN7167" s="318"/>
      <c r="AO7167" s="318"/>
      <c r="AP7167" s="318"/>
      <c r="AQ7167" s="318"/>
      <c r="AR7167" s="319"/>
    </row>
    <row r="7168" spans="37:44" ht="30" customHeight="1">
      <c r="AK7168" s="318"/>
      <c r="AL7168" s="318"/>
      <c r="AM7168" s="318"/>
      <c r="AN7168" s="318"/>
      <c r="AO7168" s="318"/>
      <c r="AP7168" s="318"/>
      <c r="AQ7168" s="318"/>
      <c r="AR7168" s="319"/>
    </row>
    <row r="7169" spans="37:44" ht="30" customHeight="1">
      <c r="AK7169" s="318"/>
      <c r="AL7169" s="318"/>
      <c r="AM7169" s="318"/>
      <c r="AN7169" s="318"/>
      <c r="AO7169" s="318"/>
      <c r="AP7169" s="318"/>
      <c r="AQ7169" s="318"/>
      <c r="AR7169" s="319"/>
    </row>
    <row r="7170" spans="37:44" ht="30" customHeight="1">
      <c r="AK7170" s="318"/>
      <c r="AL7170" s="318"/>
      <c r="AM7170" s="318"/>
      <c r="AN7170" s="318"/>
      <c r="AO7170" s="318"/>
      <c r="AP7170" s="318"/>
      <c r="AQ7170" s="318"/>
      <c r="AR7170" s="319"/>
    </row>
    <row r="7171" spans="37:44" ht="30" customHeight="1">
      <c r="AK7171" s="318"/>
      <c r="AL7171" s="318"/>
      <c r="AM7171" s="318"/>
      <c r="AN7171" s="318"/>
      <c r="AO7171" s="318"/>
      <c r="AP7171" s="318"/>
      <c r="AQ7171" s="318"/>
      <c r="AR7171" s="319"/>
    </row>
    <row r="7172" spans="37:44" ht="30" customHeight="1">
      <c r="AK7172" s="318"/>
      <c r="AL7172" s="318"/>
      <c r="AM7172" s="318"/>
      <c r="AN7172" s="318"/>
      <c r="AO7172" s="318"/>
      <c r="AP7172" s="318"/>
      <c r="AQ7172" s="318"/>
      <c r="AR7172" s="319"/>
    </row>
    <row r="7173" spans="37:44" ht="30" customHeight="1">
      <c r="AK7173" s="318"/>
      <c r="AL7173" s="318"/>
      <c r="AM7173" s="318"/>
      <c r="AN7173" s="318"/>
      <c r="AO7173" s="318"/>
      <c r="AP7173" s="318"/>
      <c r="AQ7173" s="318"/>
      <c r="AR7173" s="319"/>
    </row>
    <row r="7174" spans="37:44" ht="30" customHeight="1">
      <c r="AK7174" s="318"/>
      <c r="AL7174" s="318"/>
      <c r="AM7174" s="318"/>
      <c r="AN7174" s="318"/>
      <c r="AO7174" s="318"/>
      <c r="AP7174" s="318"/>
      <c r="AQ7174" s="318"/>
      <c r="AR7174" s="319"/>
    </row>
    <row r="7175" spans="37:44" ht="30" customHeight="1">
      <c r="AK7175" s="318"/>
      <c r="AL7175" s="318"/>
      <c r="AM7175" s="318"/>
      <c r="AN7175" s="318"/>
      <c r="AO7175" s="318"/>
      <c r="AP7175" s="318"/>
      <c r="AQ7175" s="318"/>
      <c r="AR7175" s="319"/>
    </row>
    <row r="7176" spans="37:44" ht="30" customHeight="1">
      <c r="AK7176" s="318"/>
      <c r="AL7176" s="318"/>
      <c r="AM7176" s="318"/>
      <c r="AN7176" s="318"/>
      <c r="AO7176" s="318"/>
      <c r="AP7176" s="318"/>
      <c r="AQ7176" s="318"/>
      <c r="AR7176" s="319"/>
    </row>
    <row r="7177" spans="37:44" ht="30" customHeight="1">
      <c r="AK7177" s="318"/>
      <c r="AL7177" s="318"/>
      <c r="AM7177" s="318"/>
      <c r="AN7177" s="318"/>
      <c r="AO7177" s="318"/>
      <c r="AP7177" s="318"/>
      <c r="AQ7177" s="318"/>
      <c r="AR7177" s="319"/>
    </row>
    <row r="7178" spans="37:44" ht="30" customHeight="1">
      <c r="AK7178" s="318"/>
      <c r="AL7178" s="318"/>
      <c r="AM7178" s="318"/>
      <c r="AN7178" s="318"/>
      <c r="AO7178" s="318"/>
      <c r="AP7178" s="318"/>
      <c r="AQ7178" s="318"/>
      <c r="AR7178" s="319"/>
    </row>
    <row r="7179" spans="37:44" ht="30" customHeight="1">
      <c r="AK7179" s="318"/>
      <c r="AL7179" s="318"/>
      <c r="AM7179" s="318"/>
      <c r="AN7179" s="318"/>
      <c r="AO7179" s="318"/>
      <c r="AP7179" s="318"/>
      <c r="AQ7179" s="318"/>
      <c r="AR7179" s="319"/>
    </row>
    <row r="7180" spans="37:44" ht="30" customHeight="1">
      <c r="AK7180" s="318"/>
      <c r="AL7180" s="318"/>
      <c r="AM7180" s="318"/>
      <c r="AN7180" s="318"/>
      <c r="AO7180" s="318"/>
      <c r="AP7180" s="318"/>
      <c r="AQ7180" s="318"/>
      <c r="AR7180" s="319"/>
    </row>
    <row r="7181" spans="37:44" ht="30" customHeight="1">
      <c r="AK7181" s="318"/>
      <c r="AL7181" s="318"/>
      <c r="AM7181" s="318"/>
      <c r="AN7181" s="318"/>
      <c r="AO7181" s="318"/>
      <c r="AP7181" s="318"/>
      <c r="AQ7181" s="318"/>
      <c r="AR7181" s="319"/>
    </row>
    <row r="7182" spans="37:44" ht="30" customHeight="1">
      <c r="AK7182" s="318"/>
      <c r="AL7182" s="318"/>
      <c r="AM7182" s="318"/>
      <c r="AN7182" s="318"/>
      <c r="AO7182" s="318"/>
      <c r="AP7182" s="318"/>
      <c r="AQ7182" s="318"/>
      <c r="AR7182" s="319"/>
    </row>
    <row r="7183" spans="37:44" ht="30" customHeight="1">
      <c r="AK7183" s="318"/>
      <c r="AL7183" s="318"/>
      <c r="AM7183" s="318"/>
      <c r="AN7183" s="318"/>
      <c r="AO7183" s="318"/>
      <c r="AP7183" s="318"/>
      <c r="AQ7183" s="318"/>
      <c r="AR7183" s="319"/>
    </row>
    <row r="7184" spans="37:44" ht="30" customHeight="1">
      <c r="AK7184" s="318"/>
      <c r="AL7184" s="318"/>
      <c r="AM7184" s="318"/>
      <c r="AN7184" s="318"/>
      <c r="AO7184" s="318"/>
      <c r="AP7184" s="318"/>
      <c r="AQ7184" s="318"/>
      <c r="AR7184" s="319"/>
    </row>
    <row r="7185" spans="37:44" ht="30" customHeight="1">
      <c r="AK7185" s="318"/>
      <c r="AL7185" s="318"/>
      <c r="AM7185" s="318"/>
      <c r="AN7185" s="318"/>
      <c r="AO7185" s="318"/>
      <c r="AP7185" s="318"/>
      <c r="AQ7185" s="318"/>
      <c r="AR7185" s="319"/>
    </row>
    <row r="7186" spans="37:44" ht="30" customHeight="1">
      <c r="AK7186" s="318"/>
      <c r="AL7186" s="318"/>
      <c r="AM7186" s="318"/>
      <c r="AN7186" s="318"/>
      <c r="AO7186" s="318"/>
      <c r="AP7186" s="318"/>
      <c r="AQ7186" s="318"/>
      <c r="AR7186" s="319"/>
    </row>
    <row r="7187" spans="37:44" ht="30" customHeight="1">
      <c r="AK7187" s="318"/>
      <c r="AL7187" s="318"/>
      <c r="AM7187" s="318"/>
      <c r="AN7187" s="318"/>
      <c r="AO7187" s="318"/>
      <c r="AP7187" s="318"/>
      <c r="AQ7187" s="318"/>
      <c r="AR7187" s="319"/>
    </row>
    <row r="7188" spans="37:44" ht="30" customHeight="1">
      <c r="AK7188" s="318"/>
      <c r="AL7188" s="318"/>
      <c r="AM7188" s="318"/>
      <c r="AN7188" s="318"/>
      <c r="AO7188" s="318"/>
      <c r="AP7188" s="318"/>
      <c r="AQ7188" s="318"/>
      <c r="AR7188" s="319"/>
    </row>
    <row r="7189" spans="37:44" ht="30" customHeight="1">
      <c r="AK7189" s="318"/>
      <c r="AL7189" s="318"/>
      <c r="AM7189" s="318"/>
      <c r="AN7189" s="318"/>
      <c r="AO7189" s="318"/>
      <c r="AP7189" s="318"/>
      <c r="AQ7189" s="318"/>
      <c r="AR7189" s="319"/>
    </row>
    <row r="7190" spans="37:44" ht="30" customHeight="1">
      <c r="AK7190" s="318"/>
      <c r="AL7190" s="318"/>
      <c r="AM7190" s="318"/>
      <c r="AN7190" s="318"/>
      <c r="AO7190" s="318"/>
      <c r="AP7190" s="318"/>
      <c r="AQ7190" s="318"/>
      <c r="AR7190" s="319"/>
    </row>
    <row r="7191" spans="37:44" ht="30" customHeight="1">
      <c r="AK7191" s="318"/>
      <c r="AL7191" s="318"/>
      <c r="AM7191" s="318"/>
      <c r="AN7191" s="318"/>
      <c r="AO7191" s="318"/>
      <c r="AP7191" s="318"/>
      <c r="AQ7191" s="318"/>
      <c r="AR7191" s="319"/>
    </row>
    <row r="7192" spans="37:44" ht="30" customHeight="1">
      <c r="AK7192" s="318"/>
      <c r="AL7192" s="318"/>
      <c r="AM7192" s="318"/>
      <c r="AN7192" s="318"/>
      <c r="AO7192" s="318"/>
      <c r="AP7192" s="318"/>
      <c r="AQ7192" s="318"/>
      <c r="AR7192" s="319"/>
    </row>
    <row r="7193" spans="37:44" ht="30" customHeight="1">
      <c r="AK7193" s="318"/>
      <c r="AL7193" s="318"/>
      <c r="AM7193" s="318"/>
      <c r="AN7193" s="318"/>
      <c r="AO7193" s="318"/>
      <c r="AP7193" s="318"/>
      <c r="AQ7193" s="318"/>
      <c r="AR7193" s="319"/>
    </row>
    <row r="7194" spans="37:44" ht="30" customHeight="1">
      <c r="AK7194" s="318"/>
      <c r="AL7194" s="318"/>
      <c r="AM7194" s="318"/>
      <c r="AN7194" s="318"/>
      <c r="AO7194" s="318"/>
      <c r="AP7194" s="318"/>
      <c r="AQ7194" s="318"/>
      <c r="AR7194" s="319"/>
    </row>
    <row r="7195" spans="37:44" ht="30" customHeight="1">
      <c r="AK7195" s="318"/>
      <c r="AL7195" s="318"/>
      <c r="AM7195" s="318"/>
      <c r="AN7195" s="318"/>
      <c r="AO7195" s="318"/>
      <c r="AP7195" s="318"/>
      <c r="AQ7195" s="318"/>
      <c r="AR7195" s="319"/>
    </row>
    <row r="7196" spans="37:44" ht="30" customHeight="1">
      <c r="AK7196" s="318"/>
      <c r="AL7196" s="318"/>
      <c r="AM7196" s="318"/>
      <c r="AN7196" s="318"/>
      <c r="AO7196" s="318"/>
      <c r="AP7196" s="318"/>
      <c r="AQ7196" s="318"/>
      <c r="AR7196" s="319"/>
    </row>
    <row r="7197" spans="37:44" ht="30" customHeight="1">
      <c r="AK7197" s="318"/>
      <c r="AL7197" s="318"/>
      <c r="AM7197" s="318"/>
      <c r="AN7197" s="318"/>
      <c r="AO7197" s="318"/>
      <c r="AP7197" s="318"/>
      <c r="AQ7197" s="318"/>
      <c r="AR7197" s="319"/>
    </row>
    <row r="7198" spans="37:44" ht="30" customHeight="1">
      <c r="AK7198" s="318"/>
      <c r="AL7198" s="318"/>
      <c r="AM7198" s="318"/>
      <c r="AN7198" s="318"/>
      <c r="AO7198" s="318"/>
      <c r="AP7198" s="318"/>
      <c r="AQ7198" s="318"/>
      <c r="AR7198" s="319"/>
    </row>
    <row r="7199" spans="37:44" ht="30" customHeight="1">
      <c r="AK7199" s="318"/>
      <c r="AL7199" s="318"/>
      <c r="AM7199" s="318"/>
      <c r="AN7199" s="318"/>
      <c r="AO7199" s="318"/>
      <c r="AP7199" s="318"/>
      <c r="AQ7199" s="318"/>
      <c r="AR7199" s="319"/>
    </row>
    <row r="7200" spans="37:44" ht="30" customHeight="1">
      <c r="AK7200" s="318"/>
      <c r="AL7200" s="318"/>
      <c r="AM7200" s="318"/>
      <c r="AN7200" s="318"/>
      <c r="AO7200" s="318"/>
      <c r="AP7200" s="318"/>
      <c r="AQ7200" s="318"/>
      <c r="AR7200" s="319"/>
    </row>
    <row r="7201" spans="37:44" ht="30" customHeight="1">
      <c r="AK7201" s="318"/>
      <c r="AL7201" s="318"/>
      <c r="AM7201" s="318"/>
      <c r="AN7201" s="318"/>
      <c r="AO7201" s="318"/>
      <c r="AP7201" s="318"/>
      <c r="AQ7201" s="318"/>
      <c r="AR7201" s="319"/>
    </row>
    <row r="7202" spans="37:44" ht="30" customHeight="1">
      <c r="AK7202" s="318"/>
      <c r="AL7202" s="318"/>
      <c r="AM7202" s="318"/>
      <c r="AN7202" s="318"/>
      <c r="AO7202" s="318"/>
      <c r="AP7202" s="318"/>
      <c r="AQ7202" s="318"/>
      <c r="AR7202" s="319"/>
    </row>
    <row r="7203" spans="37:44" ht="30" customHeight="1">
      <c r="AK7203" s="318"/>
      <c r="AL7203" s="318"/>
      <c r="AM7203" s="318"/>
      <c r="AN7203" s="318"/>
      <c r="AO7203" s="318"/>
      <c r="AP7203" s="318"/>
      <c r="AQ7203" s="318"/>
      <c r="AR7203" s="319"/>
    </row>
    <row r="7204" spans="37:44" ht="30" customHeight="1">
      <c r="AK7204" s="318"/>
      <c r="AL7204" s="318"/>
      <c r="AM7204" s="318"/>
      <c r="AN7204" s="318"/>
      <c r="AO7204" s="318"/>
      <c r="AP7204" s="318"/>
      <c r="AQ7204" s="318"/>
      <c r="AR7204" s="319"/>
    </row>
    <row r="7205" spans="37:44" ht="30" customHeight="1">
      <c r="AK7205" s="318"/>
      <c r="AL7205" s="318"/>
      <c r="AM7205" s="318"/>
      <c r="AN7205" s="318"/>
      <c r="AO7205" s="318"/>
      <c r="AP7205" s="318"/>
      <c r="AQ7205" s="318"/>
      <c r="AR7205" s="319"/>
    </row>
    <row r="7206" spans="37:44" ht="30" customHeight="1">
      <c r="AK7206" s="318"/>
      <c r="AL7206" s="318"/>
      <c r="AM7206" s="318"/>
      <c r="AN7206" s="318"/>
      <c r="AO7206" s="318"/>
      <c r="AP7206" s="318"/>
      <c r="AQ7206" s="318"/>
      <c r="AR7206" s="319"/>
    </row>
    <row r="7207" spans="37:44" ht="30" customHeight="1">
      <c r="AK7207" s="318"/>
      <c r="AL7207" s="318"/>
      <c r="AM7207" s="318"/>
      <c r="AN7207" s="318"/>
      <c r="AO7207" s="318"/>
      <c r="AP7207" s="318"/>
      <c r="AQ7207" s="318"/>
      <c r="AR7207" s="319"/>
    </row>
    <row r="7208" spans="37:44" ht="30" customHeight="1">
      <c r="AK7208" s="318"/>
      <c r="AL7208" s="318"/>
      <c r="AM7208" s="318"/>
      <c r="AN7208" s="318"/>
      <c r="AO7208" s="318"/>
      <c r="AP7208" s="318"/>
      <c r="AQ7208" s="318"/>
      <c r="AR7208" s="319"/>
    </row>
    <row r="7209" spans="37:44" ht="30" customHeight="1">
      <c r="AK7209" s="318"/>
      <c r="AL7209" s="318"/>
      <c r="AM7209" s="318"/>
      <c r="AN7209" s="318"/>
      <c r="AO7209" s="318"/>
      <c r="AP7209" s="318"/>
      <c r="AQ7209" s="318"/>
      <c r="AR7209" s="319"/>
    </row>
    <row r="7210" spans="37:44" ht="30" customHeight="1">
      <c r="AK7210" s="318"/>
      <c r="AL7210" s="318"/>
      <c r="AM7210" s="318"/>
      <c r="AN7210" s="318"/>
      <c r="AO7210" s="318"/>
      <c r="AP7210" s="318"/>
      <c r="AQ7210" s="318"/>
      <c r="AR7210" s="319"/>
    </row>
    <row r="7211" spans="37:44" ht="30" customHeight="1">
      <c r="AK7211" s="318"/>
      <c r="AL7211" s="318"/>
      <c r="AM7211" s="318"/>
      <c r="AN7211" s="318"/>
      <c r="AO7211" s="318"/>
      <c r="AP7211" s="318"/>
      <c r="AQ7211" s="318"/>
      <c r="AR7211" s="319"/>
    </row>
    <row r="7212" spans="37:44" ht="30" customHeight="1">
      <c r="AK7212" s="318"/>
      <c r="AL7212" s="318"/>
      <c r="AM7212" s="318"/>
      <c r="AN7212" s="318"/>
      <c r="AO7212" s="318"/>
      <c r="AP7212" s="318"/>
      <c r="AQ7212" s="318"/>
      <c r="AR7212" s="319"/>
    </row>
    <row r="7213" spans="37:44" ht="30" customHeight="1">
      <c r="AK7213" s="318"/>
      <c r="AL7213" s="318"/>
      <c r="AM7213" s="318"/>
      <c r="AN7213" s="318"/>
      <c r="AO7213" s="318"/>
      <c r="AP7213" s="318"/>
      <c r="AQ7213" s="318"/>
      <c r="AR7213" s="319"/>
    </row>
    <row r="7214" spans="37:44" ht="30" customHeight="1">
      <c r="AK7214" s="318"/>
      <c r="AL7214" s="318"/>
      <c r="AM7214" s="318"/>
      <c r="AN7214" s="318"/>
      <c r="AO7214" s="318"/>
      <c r="AP7214" s="318"/>
      <c r="AQ7214" s="318"/>
      <c r="AR7214" s="319"/>
    </row>
    <row r="7215" spans="37:44" ht="30" customHeight="1">
      <c r="AK7215" s="318"/>
      <c r="AL7215" s="318"/>
      <c r="AM7215" s="318"/>
      <c r="AN7215" s="318"/>
      <c r="AO7215" s="318"/>
      <c r="AP7215" s="318"/>
      <c r="AQ7215" s="318"/>
      <c r="AR7215" s="319"/>
    </row>
    <row r="7216" spans="37:44" ht="30" customHeight="1">
      <c r="AK7216" s="318"/>
      <c r="AL7216" s="318"/>
      <c r="AM7216" s="318"/>
      <c r="AN7216" s="318"/>
      <c r="AO7216" s="318"/>
      <c r="AP7216" s="318"/>
      <c r="AQ7216" s="318"/>
      <c r="AR7216" s="319"/>
    </row>
    <row r="7217" spans="37:44" ht="30" customHeight="1">
      <c r="AK7217" s="318"/>
      <c r="AL7217" s="318"/>
      <c r="AM7217" s="318"/>
      <c r="AN7217" s="318"/>
      <c r="AO7217" s="318"/>
      <c r="AP7217" s="318"/>
      <c r="AQ7217" s="318"/>
      <c r="AR7217" s="319"/>
    </row>
    <row r="7218" spans="37:44" ht="30" customHeight="1">
      <c r="AK7218" s="318"/>
      <c r="AL7218" s="318"/>
      <c r="AM7218" s="318"/>
      <c r="AN7218" s="318"/>
      <c r="AO7218" s="318"/>
      <c r="AP7218" s="318"/>
      <c r="AQ7218" s="318"/>
      <c r="AR7218" s="319"/>
    </row>
    <row r="7219" spans="37:44" ht="30" customHeight="1">
      <c r="AK7219" s="318"/>
      <c r="AL7219" s="318"/>
      <c r="AM7219" s="318"/>
      <c r="AN7219" s="318"/>
      <c r="AO7219" s="318"/>
      <c r="AP7219" s="318"/>
      <c r="AQ7219" s="318"/>
      <c r="AR7219" s="319"/>
    </row>
    <row r="7220" spans="37:44" ht="30" customHeight="1">
      <c r="AK7220" s="318"/>
      <c r="AL7220" s="318"/>
      <c r="AM7220" s="318"/>
      <c r="AN7220" s="318"/>
      <c r="AO7220" s="318"/>
      <c r="AP7220" s="318"/>
      <c r="AQ7220" s="318"/>
      <c r="AR7220" s="319"/>
    </row>
    <row r="7221" spans="37:44" ht="30" customHeight="1">
      <c r="AK7221" s="318"/>
      <c r="AL7221" s="318"/>
      <c r="AM7221" s="318"/>
      <c r="AN7221" s="318"/>
      <c r="AO7221" s="318"/>
      <c r="AP7221" s="318"/>
      <c r="AQ7221" s="318"/>
      <c r="AR7221" s="319"/>
    </row>
    <row r="7222" spans="37:44" ht="30" customHeight="1">
      <c r="AK7222" s="318"/>
      <c r="AL7222" s="318"/>
      <c r="AM7222" s="318"/>
      <c r="AN7222" s="318"/>
      <c r="AO7222" s="318"/>
      <c r="AP7222" s="318"/>
      <c r="AQ7222" s="318"/>
      <c r="AR7222" s="319"/>
    </row>
    <row r="7223" spans="37:44" ht="30" customHeight="1">
      <c r="AK7223" s="318"/>
      <c r="AL7223" s="318"/>
      <c r="AM7223" s="318"/>
      <c r="AN7223" s="318"/>
      <c r="AO7223" s="318"/>
      <c r="AP7223" s="318"/>
      <c r="AQ7223" s="318"/>
      <c r="AR7223" s="319"/>
    </row>
    <row r="7224" spans="37:44" ht="30" customHeight="1">
      <c r="AK7224" s="318"/>
      <c r="AL7224" s="318"/>
      <c r="AM7224" s="318"/>
      <c r="AN7224" s="318"/>
      <c r="AO7224" s="318"/>
      <c r="AP7224" s="318"/>
      <c r="AQ7224" s="318"/>
      <c r="AR7224" s="319"/>
    </row>
    <row r="7225" spans="37:44" ht="30" customHeight="1">
      <c r="AK7225" s="318"/>
      <c r="AL7225" s="318"/>
      <c r="AM7225" s="318"/>
      <c r="AN7225" s="318"/>
      <c r="AO7225" s="318"/>
      <c r="AP7225" s="318"/>
      <c r="AQ7225" s="318"/>
      <c r="AR7225" s="319"/>
    </row>
    <row r="7226" spans="37:44" ht="30" customHeight="1">
      <c r="AK7226" s="318"/>
      <c r="AL7226" s="318"/>
      <c r="AM7226" s="318"/>
      <c r="AN7226" s="318"/>
      <c r="AO7226" s="318"/>
      <c r="AP7226" s="318"/>
      <c r="AQ7226" s="318"/>
      <c r="AR7226" s="319"/>
    </row>
    <row r="7227" spans="37:44" ht="30" customHeight="1">
      <c r="AK7227" s="318"/>
      <c r="AL7227" s="318"/>
      <c r="AM7227" s="318"/>
      <c r="AN7227" s="318"/>
      <c r="AO7227" s="318"/>
      <c r="AP7227" s="318"/>
      <c r="AQ7227" s="318"/>
      <c r="AR7227" s="319"/>
    </row>
    <row r="7228" spans="37:44" ht="30" customHeight="1">
      <c r="AK7228" s="318"/>
      <c r="AL7228" s="318"/>
      <c r="AM7228" s="318"/>
      <c r="AN7228" s="318"/>
      <c r="AO7228" s="318"/>
      <c r="AP7228" s="318"/>
      <c r="AQ7228" s="318"/>
      <c r="AR7228" s="319"/>
    </row>
    <row r="7229" spans="37:44" ht="30" customHeight="1">
      <c r="AK7229" s="318"/>
      <c r="AL7229" s="318"/>
      <c r="AM7229" s="318"/>
      <c r="AN7229" s="318"/>
      <c r="AO7229" s="318"/>
      <c r="AP7229" s="318"/>
      <c r="AQ7229" s="318"/>
      <c r="AR7229" s="319"/>
    </row>
    <row r="7230" spans="37:44" ht="30" customHeight="1">
      <c r="AK7230" s="318"/>
      <c r="AL7230" s="318"/>
      <c r="AM7230" s="318"/>
      <c r="AN7230" s="318"/>
      <c r="AO7230" s="318"/>
      <c r="AP7230" s="318"/>
      <c r="AQ7230" s="318"/>
      <c r="AR7230" s="319"/>
    </row>
    <row r="7231" spans="37:44" ht="30" customHeight="1">
      <c r="AK7231" s="318"/>
      <c r="AL7231" s="318"/>
      <c r="AM7231" s="318"/>
      <c r="AN7231" s="318"/>
      <c r="AO7231" s="318"/>
      <c r="AP7231" s="318"/>
      <c r="AQ7231" s="318"/>
      <c r="AR7231" s="319"/>
    </row>
    <row r="7232" spans="37:44" ht="30" customHeight="1">
      <c r="AK7232" s="318"/>
      <c r="AL7232" s="318"/>
      <c r="AM7232" s="318"/>
      <c r="AN7232" s="318"/>
      <c r="AO7232" s="318"/>
      <c r="AP7232" s="318"/>
      <c r="AQ7232" s="318"/>
      <c r="AR7232" s="319"/>
    </row>
    <row r="7233" spans="37:44" ht="30" customHeight="1">
      <c r="AK7233" s="318"/>
      <c r="AL7233" s="318"/>
      <c r="AM7233" s="318"/>
      <c r="AN7233" s="318"/>
      <c r="AO7233" s="318"/>
      <c r="AP7233" s="318"/>
      <c r="AQ7233" s="318"/>
      <c r="AR7233" s="319"/>
    </row>
    <row r="7234" spans="37:44" ht="30" customHeight="1">
      <c r="AK7234" s="318"/>
      <c r="AL7234" s="318"/>
      <c r="AM7234" s="318"/>
      <c r="AN7234" s="318"/>
      <c r="AO7234" s="318"/>
      <c r="AP7234" s="318"/>
      <c r="AQ7234" s="318"/>
      <c r="AR7234" s="319"/>
    </row>
    <row r="7235" spans="37:44" ht="30" customHeight="1">
      <c r="AK7235" s="318"/>
      <c r="AL7235" s="318"/>
      <c r="AM7235" s="318"/>
      <c r="AN7235" s="318"/>
      <c r="AO7235" s="318"/>
      <c r="AP7235" s="318"/>
      <c r="AQ7235" s="318"/>
      <c r="AR7235" s="319"/>
    </row>
    <row r="7236" spans="37:44" ht="30" customHeight="1">
      <c r="AK7236" s="318"/>
      <c r="AL7236" s="318"/>
      <c r="AM7236" s="318"/>
      <c r="AN7236" s="318"/>
      <c r="AO7236" s="318"/>
      <c r="AP7236" s="318"/>
      <c r="AQ7236" s="318"/>
      <c r="AR7236" s="319"/>
    </row>
    <row r="7237" spans="37:44" ht="30" customHeight="1">
      <c r="AK7237" s="318"/>
      <c r="AL7237" s="318"/>
      <c r="AM7237" s="318"/>
      <c r="AN7237" s="318"/>
      <c r="AO7237" s="318"/>
      <c r="AP7237" s="318"/>
      <c r="AQ7237" s="318"/>
      <c r="AR7237" s="319"/>
    </row>
    <row r="7238" spans="37:44" ht="30" customHeight="1">
      <c r="AK7238" s="318"/>
      <c r="AL7238" s="318"/>
      <c r="AM7238" s="318"/>
      <c r="AN7238" s="318"/>
      <c r="AO7238" s="318"/>
      <c r="AP7238" s="318"/>
      <c r="AQ7238" s="318"/>
      <c r="AR7238" s="319"/>
    </row>
    <row r="7239" spans="37:44" ht="30" customHeight="1">
      <c r="AK7239" s="318"/>
      <c r="AL7239" s="318"/>
      <c r="AM7239" s="318"/>
      <c r="AN7239" s="318"/>
      <c r="AO7239" s="318"/>
      <c r="AP7239" s="318"/>
      <c r="AQ7239" s="318"/>
      <c r="AR7239" s="319"/>
    </row>
    <row r="7240" spans="37:44" ht="30" customHeight="1">
      <c r="AK7240" s="318"/>
      <c r="AL7240" s="318"/>
      <c r="AM7240" s="318"/>
      <c r="AN7240" s="318"/>
      <c r="AO7240" s="318"/>
      <c r="AP7240" s="318"/>
      <c r="AQ7240" s="318"/>
      <c r="AR7240" s="319"/>
    </row>
    <row r="7241" spans="37:44" ht="30" customHeight="1">
      <c r="AK7241" s="318"/>
      <c r="AL7241" s="318"/>
      <c r="AM7241" s="318"/>
      <c r="AN7241" s="318"/>
      <c r="AO7241" s="318"/>
      <c r="AP7241" s="318"/>
      <c r="AQ7241" s="318"/>
      <c r="AR7241" s="319"/>
    </row>
    <row r="7242" spans="37:44" ht="30" customHeight="1">
      <c r="AK7242" s="318"/>
      <c r="AL7242" s="318"/>
      <c r="AM7242" s="318"/>
      <c r="AN7242" s="318"/>
      <c r="AO7242" s="318"/>
      <c r="AP7242" s="318"/>
      <c r="AQ7242" s="318"/>
      <c r="AR7242" s="319"/>
    </row>
    <row r="7243" spans="37:44" ht="30" customHeight="1">
      <c r="AK7243" s="318"/>
      <c r="AL7243" s="318"/>
      <c r="AM7243" s="318"/>
      <c r="AN7243" s="318"/>
      <c r="AO7243" s="318"/>
      <c r="AP7243" s="318"/>
      <c r="AQ7243" s="318"/>
      <c r="AR7243" s="319"/>
    </row>
    <row r="7244" spans="37:44" ht="30" customHeight="1">
      <c r="AK7244" s="318"/>
      <c r="AL7244" s="318"/>
      <c r="AM7244" s="318"/>
      <c r="AN7244" s="318"/>
      <c r="AO7244" s="318"/>
      <c r="AP7244" s="318"/>
      <c r="AQ7244" s="318"/>
      <c r="AR7244" s="319"/>
    </row>
    <row r="7245" spans="37:44" ht="30" customHeight="1">
      <c r="AK7245" s="318"/>
      <c r="AL7245" s="318"/>
      <c r="AM7245" s="318"/>
      <c r="AN7245" s="318"/>
      <c r="AO7245" s="318"/>
      <c r="AP7245" s="318"/>
      <c r="AQ7245" s="318"/>
      <c r="AR7245" s="319"/>
    </row>
    <row r="7246" spans="37:44" ht="30" customHeight="1">
      <c r="AK7246" s="318"/>
      <c r="AL7246" s="318"/>
      <c r="AM7246" s="318"/>
      <c r="AN7246" s="318"/>
      <c r="AO7246" s="318"/>
      <c r="AP7246" s="318"/>
      <c r="AQ7246" s="318"/>
      <c r="AR7246" s="319"/>
    </row>
    <row r="7247" spans="37:44" ht="30" customHeight="1">
      <c r="AK7247" s="318"/>
      <c r="AL7247" s="318"/>
      <c r="AM7247" s="318"/>
      <c r="AN7247" s="318"/>
      <c r="AO7247" s="318"/>
      <c r="AP7247" s="318"/>
      <c r="AQ7247" s="318"/>
      <c r="AR7247" s="319"/>
    </row>
    <row r="7248" spans="37:44" ht="30" customHeight="1">
      <c r="AK7248" s="318"/>
      <c r="AL7248" s="318"/>
      <c r="AM7248" s="318"/>
      <c r="AN7248" s="318"/>
      <c r="AO7248" s="318"/>
      <c r="AP7248" s="318"/>
      <c r="AQ7248" s="318"/>
      <c r="AR7248" s="319"/>
    </row>
    <row r="7249" spans="37:44" ht="30" customHeight="1">
      <c r="AK7249" s="318"/>
      <c r="AL7249" s="318"/>
      <c r="AM7249" s="318"/>
      <c r="AN7249" s="318"/>
      <c r="AO7249" s="318"/>
      <c r="AP7249" s="318"/>
      <c r="AQ7249" s="318"/>
      <c r="AR7249" s="319"/>
    </row>
    <row r="7250" spans="37:44" ht="30" customHeight="1">
      <c r="AK7250" s="318"/>
      <c r="AL7250" s="318"/>
      <c r="AM7250" s="318"/>
      <c r="AN7250" s="318"/>
      <c r="AO7250" s="318"/>
      <c r="AP7250" s="318"/>
      <c r="AQ7250" s="318"/>
      <c r="AR7250" s="319"/>
    </row>
    <row r="7251" spans="37:44" ht="30" customHeight="1">
      <c r="AK7251" s="318"/>
      <c r="AL7251" s="318"/>
      <c r="AM7251" s="318"/>
      <c r="AN7251" s="318"/>
      <c r="AO7251" s="318"/>
      <c r="AP7251" s="318"/>
      <c r="AQ7251" s="318"/>
      <c r="AR7251" s="319"/>
    </row>
    <row r="7252" spans="37:44" ht="30" customHeight="1">
      <c r="AK7252" s="318"/>
      <c r="AL7252" s="318"/>
      <c r="AM7252" s="318"/>
      <c r="AN7252" s="318"/>
      <c r="AO7252" s="318"/>
      <c r="AP7252" s="318"/>
      <c r="AQ7252" s="318"/>
      <c r="AR7252" s="319"/>
    </row>
    <row r="7253" spans="37:44" ht="30" customHeight="1">
      <c r="AK7253" s="318"/>
      <c r="AL7253" s="318"/>
      <c r="AM7253" s="318"/>
      <c r="AN7253" s="318"/>
      <c r="AO7253" s="318"/>
      <c r="AP7253" s="318"/>
      <c r="AQ7253" s="318"/>
      <c r="AR7253" s="319"/>
    </row>
    <row r="7254" spans="37:44" ht="30" customHeight="1">
      <c r="AK7254" s="318"/>
      <c r="AL7254" s="318"/>
      <c r="AM7254" s="318"/>
      <c r="AN7254" s="318"/>
      <c r="AO7254" s="318"/>
      <c r="AP7254" s="318"/>
      <c r="AQ7254" s="318"/>
      <c r="AR7254" s="319"/>
    </row>
    <row r="7255" spans="37:44" ht="30" customHeight="1">
      <c r="AK7255" s="318"/>
      <c r="AL7255" s="318"/>
      <c r="AM7255" s="318"/>
      <c r="AN7255" s="318"/>
      <c r="AO7255" s="318"/>
      <c r="AP7255" s="318"/>
      <c r="AQ7255" s="318"/>
      <c r="AR7255" s="319"/>
    </row>
    <row r="7256" spans="37:44" ht="30" customHeight="1">
      <c r="AK7256" s="318"/>
      <c r="AL7256" s="318"/>
      <c r="AM7256" s="318"/>
      <c r="AN7256" s="318"/>
      <c r="AO7256" s="318"/>
      <c r="AP7256" s="318"/>
      <c r="AQ7256" s="318"/>
      <c r="AR7256" s="319"/>
    </row>
    <row r="7257" spans="37:44" ht="30" customHeight="1">
      <c r="AK7257" s="318"/>
      <c r="AL7257" s="318"/>
      <c r="AM7257" s="318"/>
      <c r="AN7257" s="318"/>
      <c r="AO7257" s="318"/>
      <c r="AP7257" s="318"/>
      <c r="AQ7257" s="318"/>
      <c r="AR7257" s="319"/>
    </row>
    <row r="7258" spans="37:44" ht="30" customHeight="1">
      <c r="AK7258" s="318"/>
      <c r="AL7258" s="318"/>
      <c r="AM7258" s="318"/>
      <c r="AN7258" s="318"/>
      <c r="AO7258" s="318"/>
      <c r="AP7258" s="318"/>
      <c r="AQ7258" s="318"/>
      <c r="AR7258" s="319"/>
    </row>
    <row r="7259" spans="37:44" ht="30" customHeight="1">
      <c r="AK7259" s="318"/>
      <c r="AL7259" s="318"/>
      <c r="AM7259" s="318"/>
      <c r="AN7259" s="318"/>
      <c r="AO7259" s="318"/>
      <c r="AP7259" s="318"/>
      <c r="AQ7259" s="318"/>
      <c r="AR7259" s="319"/>
    </row>
    <row r="7260" spans="37:44" ht="30" customHeight="1">
      <c r="AK7260" s="318"/>
      <c r="AL7260" s="318"/>
      <c r="AM7260" s="318"/>
      <c r="AN7260" s="318"/>
      <c r="AO7260" s="318"/>
      <c r="AP7260" s="318"/>
      <c r="AQ7260" s="318"/>
      <c r="AR7260" s="319"/>
    </row>
    <row r="7261" spans="37:44" ht="30" customHeight="1">
      <c r="AK7261" s="318"/>
      <c r="AL7261" s="318"/>
      <c r="AM7261" s="318"/>
      <c r="AN7261" s="318"/>
      <c r="AO7261" s="318"/>
      <c r="AP7261" s="318"/>
      <c r="AQ7261" s="318"/>
      <c r="AR7261" s="319"/>
    </row>
    <row r="7262" spans="37:44" ht="30" customHeight="1">
      <c r="AK7262" s="318"/>
      <c r="AL7262" s="318"/>
      <c r="AM7262" s="318"/>
      <c r="AN7262" s="318"/>
      <c r="AO7262" s="318"/>
      <c r="AP7262" s="318"/>
      <c r="AQ7262" s="318"/>
      <c r="AR7262" s="319"/>
    </row>
    <row r="7263" spans="37:44" ht="30" customHeight="1">
      <c r="AK7263" s="318"/>
      <c r="AL7263" s="318"/>
      <c r="AM7263" s="318"/>
      <c r="AN7263" s="318"/>
      <c r="AO7263" s="318"/>
      <c r="AP7263" s="318"/>
      <c r="AQ7263" s="318"/>
      <c r="AR7263" s="319"/>
    </row>
    <row r="7264" spans="37:44" ht="30" customHeight="1">
      <c r="AK7264" s="318"/>
      <c r="AL7264" s="318"/>
      <c r="AM7264" s="318"/>
      <c r="AN7264" s="318"/>
      <c r="AO7264" s="318"/>
      <c r="AP7264" s="318"/>
      <c r="AQ7264" s="318"/>
      <c r="AR7264" s="319"/>
    </row>
    <row r="7265" spans="37:44" ht="30" customHeight="1">
      <c r="AK7265" s="318"/>
      <c r="AL7265" s="318"/>
      <c r="AM7265" s="318"/>
      <c r="AN7265" s="318"/>
      <c r="AO7265" s="318"/>
      <c r="AP7265" s="318"/>
      <c r="AQ7265" s="318"/>
      <c r="AR7265" s="319"/>
    </row>
    <row r="7266" spans="37:44" ht="30" customHeight="1">
      <c r="AK7266" s="318"/>
      <c r="AL7266" s="318"/>
      <c r="AM7266" s="318"/>
      <c r="AN7266" s="318"/>
      <c r="AO7266" s="318"/>
      <c r="AP7266" s="318"/>
      <c r="AQ7266" s="318"/>
      <c r="AR7266" s="319"/>
    </row>
    <row r="7267" spans="37:44" ht="30" customHeight="1">
      <c r="AK7267" s="318"/>
      <c r="AL7267" s="318"/>
      <c r="AM7267" s="318"/>
      <c r="AN7267" s="318"/>
      <c r="AO7267" s="318"/>
      <c r="AP7267" s="318"/>
      <c r="AQ7267" s="318"/>
      <c r="AR7267" s="319"/>
    </row>
    <row r="7268" spans="37:44" ht="30" customHeight="1">
      <c r="AK7268" s="318"/>
      <c r="AL7268" s="318"/>
      <c r="AM7268" s="318"/>
      <c r="AN7268" s="318"/>
      <c r="AO7268" s="318"/>
      <c r="AP7268" s="318"/>
      <c r="AQ7268" s="318"/>
      <c r="AR7268" s="319"/>
    </row>
    <row r="7269" spans="37:44" ht="30" customHeight="1">
      <c r="AK7269" s="318"/>
      <c r="AL7269" s="318"/>
      <c r="AM7269" s="318"/>
      <c r="AN7269" s="318"/>
      <c r="AO7269" s="318"/>
      <c r="AP7269" s="318"/>
      <c r="AQ7269" s="318"/>
      <c r="AR7269" s="319"/>
    </row>
    <row r="7270" spans="37:44" ht="30" customHeight="1">
      <c r="AK7270" s="318"/>
      <c r="AL7270" s="318"/>
      <c r="AM7270" s="318"/>
      <c r="AN7270" s="318"/>
      <c r="AO7270" s="318"/>
      <c r="AP7270" s="318"/>
      <c r="AQ7270" s="318"/>
      <c r="AR7270" s="319"/>
    </row>
    <row r="7271" spans="37:44" ht="30" customHeight="1">
      <c r="AK7271" s="318"/>
      <c r="AL7271" s="318"/>
      <c r="AM7271" s="318"/>
      <c r="AN7271" s="318"/>
      <c r="AO7271" s="318"/>
      <c r="AP7271" s="318"/>
      <c r="AQ7271" s="318"/>
      <c r="AR7271" s="319"/>
    </row>
    <row r="7272" spans="37:44" ht="30" customHeight="1">
      <c r="AK7272" s="318"/>
      <c r="AL7272" s="318"/>
      <c r="AM7272" s="318"/>
      <c r="AN7272" s="318"/>
      <c r="AO7272" s="318"/>
      <c r="AP7272" s="318"/>
      <c r="AQ7272" s="318"/>
      <c r="AR7272" s="319"/>
    </row>
    <row r="7273" spans="37:44" ht="30" customHeight="1">
      <c r="AK7273" s="318"/>
      <c r="AL7273" s="318"/>
      <c r="AM7273" s="318"/>
      <c r="AN7273" s="318"/>
      <c r="AO7273" s="318"/>
      <c r="AP7273" s="318"/>
      <c r="AQ7273" s="318"/>
      <c r="AR7273" s="319"/>
    </row>
    <row r="7274" spans="37:44" ht="30" customHeight="1">
      <c r="AK7274" s="318"/>
      <c r="AL7274" s="318"/>
      <c r="AM7274" s="318"/>
      <c r="AN7274" s="318"/>
      <c r="AO7274" s="318"/>
      <c r="AP7274" s="318"/>
      <c r="AQ7274" s="318"/>
      <c r="AR7274" s="319"/>
    </row>
    <row r="7275" spans="37:44" ht="30" customHeight="1">
      <c r="AK7275" s="318"/>
      <c r="AL7275" s="318"/>
      <c r="AM7275" s="318"/>
      <c r="AN7275" s="318"/>
      <c r="AO7275" s="318"/>
      <c r="AP7275" s="318"/>
      <c r="AQ7275" s="318"/>
      <c r="AR7275" s="319"/>
    </row>
    <row r="7276" spans="37:44" ht="30" customHeight="1">
      <c r="AK7276" s="318"/>
      <c r="AL7276" s="318"/>
      <c r="AM7276" s="318"/>
      <c r="AN7276" s="318"/>
      <c r="AO7276" s="318"/>
      <c r="AP7276" s="318"/>
      <c r="AQ7276" s="318"/>
      <c r="AR7276" s="319"/>
    </row>
    <row r="7277" spans="37:44" ht="30" customHeight="1">
      <c r="AK7277" s="318"/>
      <c r="AL7277" s="318"/>
      <c r="AM7277" s="318"/>
      <c r="AN7277" s="318"/>
      <c r="AO7277" s="318"/>
      <c r="AP7277" s="318"/>
      <c r="AQ7277" s="318"/>
      <c r="AR7277" s="319"/>
    </row>
    <row r="7278" spans="37:44" ht="30" customHeight="1">
      <c r="AK7278" s="318"/>
      <c r="AL7278" s="318"/>
      <c r="AM7278" s="318"/>
      <c r="AN7278" s="318"/>
      <c r="AO7278" s="318"/>
      <c r="AP7278" s="318"/>
      <c r="AQ7278" s="318"/>
      <c r="AR7278" s="319"/>
    </row>
    <row r="7279" spans="37:44" ht="30" customHeight="1">
      <c r="AK7279" s="318"/>
      <c r="AL7279" s="318"/>
      <c r="AM7279" s="318"/>
      <c r="AN7279" s="318"/>
      <c r="AO7279" s="318"/>
      <c r="AP7279" s="318"/>
      <c r="AQ7279" s="318"/>
      <c r="AR7279" s="319"/>
    </row>
    <row r="7280" spans="37:44" ht="30" customHeight="1">
      <c r="AK7280" s="318"/>
      <c r="AL7280" s="318"/>
      <c r="AM7280" s="318"/>
      <c r="AN7280" s="318"/>
      <c r="AO7280" s="318"/>
      <c r="AP7280" s="318"/>
      <c r="AQ7280" s="318"/>
      <c r="AR7280" s="319"/>
    </row>
    <row r="7281" spans="37:44" ht="30" customHeight="1">
      <c r="AK7281" s="318"/>
      <c r="AL7281" s="318"/>
      <c r="AM7281" s="318"/>
      <c r="AN7281" s="318"/>
      <c r="AO7281" s="318"/>
      <c r="AP7281" s="318"/>
      <c r="AQ7281" s="318"/>
      <c r="AR7281" s="319"/>
    </row>
    <row r="7282" spans="37:44" ht="30" customHeight="1">
      <c r="AK7282" s="318"/>
      <c r="AL7282" s="318"/>
      <c r="AM7282" s="318"/>
      <c r="AN7282" s="318"/>
      <c r="AO7282" s="318"/>
      <c r="AP7282" s="318"/>
      <c r="AQ7282" s="318"/>
      <c r="AR7282" s="319"/>
    </row>
    <row r="7283" spans="37:44" ht="30" customHeight="1">
      <c r="AK7283" s="318"/>
      <c r="AL7283" s="318"/>
      <c r="AM7283" s="318"/>
      <c r="AN7283" s="318"/>
      <c r="AO7283" s="318"/>
      <c r="AP7283" s="318"/>
      <c r="AQ7283" s="318"/>
      <c r="AR7283" s="319"/>
    </row>
    <row r="7284" spans="37:44" ht="30" customHeight="1">
      <c r="AK7284" s="318"/>
      <c r="AL7284" s="318"/>
      <c r="AM7284" s="318"/>
      <c r="AN7284" s="318"/>
      <c r="AO7284" s="318"/>
      <c r="AP7284" s="318"/>
      <c r="AQ7284" s="318"/>
      <c r="AR7284" s="319"/>
    </row>
    <row r="7285" spans="37:44" ht="30" customHeight="1">
      <c r="AK7285" s="318"/>
      <c r="AL7285" s="318"/>
      <c r="AM7285" s="318"/>
      <c r="AN7285" s="318"/>
      <c r="AO7285" s="318"/>
      <c r="AP7285" s="318"/>
      <c r="AQ7285" s="318"/>
      <c r="AR7285" s="319"/>
    </row>
    <row r="7286" spans="37:44" ht="30" customHeight="1">
      <c r="AK7286" s="318"/>
      <c r="AL7286" s="318"/>
      <c r="AM7286" s="318"/>
      <c r="AN7286" s="318"/>
      <c r="AO7286" s="318"/>
      <c r="AP7286" s="318"/>
      <c r="AQ7286" s="318"/>
      <c r="AR7286" s="319"/>
    </row>
    <row r="7287" spans="37:44" ht="30" customHeight="1">
      <c r="AK7287" s="318"/>
      <c r="AL7287" s="318"/>
      <c r="AM7287" s="318"/>
      <c r="AN7287" s="318"/>
      <c r="AO7287" s="318"/>
      <c r="AP7287" s="318"/>
      <c r="AQ7287" s="318"/>
      <c r="AR7287" s="319"/>
    </row>
    <row r="7288" spans="37:44" ht="30" customHeight="1">
      <c r="AK7288" s="318"/>
      <c r="AL7288" s="318"/>
      <c r="AM7288" s="318"/>
      <c r="AN7288" s="318"/>
      <c r="AO7288" s="318"/>
      <c r="AP7288" s="318"/>
      <c r="AQ7288" s="318"/>
      <c r="AR7288" s="319"/>
    </row>
    <row r="7289" spans="37:44" ht="30" customHeight="1">
      <c r="AK7289" s="318"/>
      <c r="AL7289" s="318"/>
      <c r="AM7289" s="318"/>
      <c r="AN7289" s="318"/>
      <c r="AO7289" s="318"/>
      <c r="AP7289" s="318"/>
      <c r="AQ7289" s="318"/>
      <c r="AR7289" s="319"/>
    </row>
    <row r="7290" spans="37:44" ht="30" customHeight="1">
      <c r="AK7290" s="318"/>
      <c r="AL7290" s="318"/>
      <c r="AM7290" s="318"/>
      <c r="AN7290" s="318"/>
      <c r="AO7290" s="318"/>
      <c r="AP7290" s="318"/>
      <c r="AQ7290" s="318"/>
      <c r="AR7290" s="319"/>
    </row>
    <row r="7291" spans="37:44" ht="30" customHeight="1">
      <c r="AK7291" s="318"/>
      <c r="AL7291" s="318"/>
      <c r="AM7291" s="318"/>
      <c r="AN7291" s="318"/>
      <c r="AO7291" s="318"/>
      <c r="AP7291" s="318"/>
      <c r="AQ7291" s="318"/>
      <c r="AR7291" s="319"/>
    </row>
    <row r="7292" spans="37:44" ht="30" customHeight="1">
      <c r="AK7292" s="318"/>
      <c r="AL7292" s="318"/>
      <c r="AM7292" s="318"/>
      <c r="AN7292" s="318"/>
      <c r="AO7292" s="318"/>
      <c r="AP7292" s="318"/>
      <c r="AQ7292" s="318"/>
      <c r="AR7292" s="319"/>
    </row>
    <row r="7293" spans="37:44" ht="30" customHeight="1">
      <c r="AK7293" s="318"/>
      <c r="AL7293" s="318"/>
      <c r="AM7293" s="318"/>
      <c r="AN7293" s="318"/>
      <c r="AO7293" s="318"/>
      <c r="AP7293" s="318"/>
      <c r="AQ7293" s="318"/>
      <c r="AR7293" s="319"/>
    </row>
    <row r="7294" spans="37:44" ht="30" customHeight="1">
      <c r="AK7294" s="318"/>
      <c r="AL7294" s="318"/>
      <c r="AM7294" s="318"/>
      <c r="AN7294" s="318"/>
      <c r="AO7294" s="318"/>
      <c r="AP7294" s="318"/>
      <c r="AQ7294" s="318"/>
      <c r="AR7294" s="319"/>
    </row>
    <row r="7295" spans="37:44" ht="30" customHeight="1">
      <c r="AK7295" s="318"/>
      <c r="AL7295" s="318"/>
      <c r="AM7295" s="318"/>
      <c r="AN7295" s="318"/>
      <c r="AO7295" s="318"/>
      <c r="AP7295" s="318"/>
      <c r="AQ7295" s="318"/>
      <c r="AR7295" s="319"/>
    </row>
    <row r="7296" spans="37:44" ht="30" customHeight="1">
      <c r="AK7296" s="318"/>
      <c r="AL7296" s="318"/>
      <c r="AM7296" s="318"/>
      <c r="AN7296" s="318"/>
      <c r="AO7296" s="318"/>
      <c r="AP7296" s="318"/>
      <c r="AQ7296" s="318"/>
      <c r="AR7296" s="319"/>
    </row>
    <row r="7297" spans="37:44" ht="30" customHeight="1">
      <c r="AK7297" s="318"/>
      <c r="AL7297" s="318"/>
      <c r="AM7297" s="318"/>
      <c r="AN7297" s="318"/>
      <c r="AO7297" s="318"/>
      <c r="AP7297" s="318"/>
      <c r="AQ7297" s="318"/>
      <c r="AR7297" s="319"/>
    </row>
    <row r="7298" spans="37:44" ht="30" customHeight="1">
      <c r="AK7298" s="318"/>
      <c r="AL7298" s="318"/>
      <c r="AM7298" s="318"/>
      <c r="AN7298" s="318"/>
      <c r="AO7298" s="318"/>
      <c r="AP7298" s="318"/>
      <c r="AQ7298" s="318"/>
      <c r="AR7298" s="319"/>
    </row>
    <row r="7299" spans="37:44" ht="30" customHeight="1">
      <c r="AK7299" s="318"/>
      <c r="AL7299" s="318"/>
      <c r="AM7299" s="318"/>
      <c r="AN7299" s="318"/>
      <c r="AO7299" s="318"/>
      <c r="AP7299" s="318"/>
      <c r="AQ7299" s="318"/>
      <c r="AR7299" s="319"/>
    </row>
    <row r="7300" spans="37:44" ht="30" customHeight="1">
      <c r="AK7300" s="318"/>
      <c r="AL7300" s="318"/>
      <c r="AM7300" s="318"/>
      <c r="AN7300" s="318"/>
      <c r="AO7300" s="318"/>
      <c r="AP7300" s="318"/>
      <c r="AQ7300" s="318"/>
      <c r="AR7300" s="319"/>
    </row>
    <row r="7301" spans="37:44" ht="30" customHeight="1">
      <c r="AK7301" s="318"/>
      <c r="AL7301" s="318"/>
      <c r="AM7301" s="318"/>
      <c r="AN7301" s="318"/>
      <c r="AO7301" s="318"/>
      <c r="AP7301" s="318"/>
      <c r="AQ7301" s="318"/>
      <c r="AR7301" s="319"/>
    </row>
    <row r="7302" spans="37:44" ht="30" customHeight="1">
      <c r="AK7302" s="318"/>
      <c r="AL7302" s="318"/>
      <c r="AM7302" s="318"/>
      <c r="AN7302" s="318"/>
      <c r="AO7302" s="318"/>
      <c r="AP7302" s="318"/>
      <c r="AQ7302" s="318"/>
      <c r="AR7302" s="319"/>
    </row>
    <row r="7303" spans="37:44" ht="30" customHeight="1">
      <c r="AK7303" s="318"/>
      <c r="AL7303" s="318"/>
      <c r="AM7303" s="318"/>
      <c r="AN7303" s="318"/>
      <c r="AO7303" s="318"/>
      <c r="AP7303" s="318"/>
      <c r="AQ7303" s="318"/>
      <c r="AR7303" s="319"/>
    </row>
    <row r="7304" spans="37:44" ht="30" customHeight="1">
      <c r="AK7304" s="318"/>
      <c r="AL7304" s="318"/>
      <c r="AM7304" s="318"/>
      <c r="AN7304" s="318"/>
      <c r="AO7304" s="318"/>
      <c r="AP7304" s="318"/>
      <c r="AQ7304" s="318"/>
      <c r="AR7304" s="319"/>
    </row>
    <row r="7305" spans="37:44" ht="30" customHeight="1">
      <c r="AK7305" s="318"/>
      <c r="AL7305" s="318"/>
      <c r="AM7305" s="318"/>
      <c r="AN7305" s="318"/>
      <c r="AO7305" s="318"/>
      <c r="AP7305" s="318"/>
      <c r="AQ7305" s="318"/>
      <c r="AR7305" s="319"/>
    </row>
    <row r="7306" spans="37:44" ht="30" customHeight="1">
      <c r="AK7306" s="318"/>
      <c r="AL7306" s="318"/>
      <c r="AM7306" s="318"/>
      <c r="AN7306" s="318"/>
      <c r="AO7306" s="318"/>
      <c r="AP7306" s="318"/>
      <c r="AQ7306" s="318"/>
      <c r="AR7306" s="319"/>
    </row>
    <row r="7307" spans="37:44" ht="30" customHeight="1">
      <c r="AK7307" s="318"/>
      <c r="AL7307" s="318"/>
      <c r="AM7307" s="318"/>
      <c r="AN7307" s="318"/>
      <c r="AO7307" s="318"/>
      <c r="AP7307" s="318"/>
      <c r="AQ7307" s="318"/>
      <c r="AR7307" s="319"/>
    </row>
    <row r="7308" spans="37:44" ht="30" customHeight="1">
      <c r="AK7308" s="318"/>
      <c r="AL7308" s="318"/>
      <c r="AM7308" s="318"/>
      <c r="AN7308" s="318"/>
      <c r="AO7308" s="318"/>
      <c r="AP7308" s="318"/>
      <c r="AQ7308" s="318"/>
      <c r="AR7308" s="319"/>
    </row>
    <row r="7309" spans="37:44" ht="30" customHeight="1">
      <c r="AK7309" s="318"/>
      <c r="AL7309" s="318"/>
      <c r="AM7309" s="318"/>
      <c r="AN7309" s="318"/>
      <c r="AO7309" s="318"/>
      <c r="AP7309" s="318"/>
      <c r="AQ7309" s="318"/>
      <c r="AR7309" s="319"/>
    </row>
    <row r="7310" spans="37:44" ht="30" customHeight="1">
      <c r="AK7310" s="318"/>
      <c r="AL7310" s="318"/>
      <c r="AM7310" s="318"/>
      <c r="AN7310" s="318"/>
      <c r="AO7310" s="318"/>
      <c r="AP7310" s="318"/>
      <c r="AQ7310" s="318"/>
      <c r="AR7310" s="319"/>
    </row>
    <row r="7311" spans="37:44" ht="30" customHeight="1">
      <c r="AK7311" s="318"/>
      <c r="AL7311" s="318"/>
      <c r="AM7311" s="318"/>
      <c r="AN7311" s="318"/>
      <c r="AO7311" s="318"/>
      <c r="AP7311" s="318"/>
      <c r="AQ7311" s="318"/>
      <c r="AR7311" s="319"/>
    </row>
    <row r="7312" spans="37:44" ht="30" customHeight="1">
      <c r="AK7312" s="318"/>
      <c r="AL7312" s="318"/>
      <c r="AM7312" s="318"/>
      <c r="AN7312" s="318"/>
      <c r="AO7312" s="318"/>
      <c r="AP7312" s="318"/>
      <c r="AQ7312" s="318"/>
      <c r="AR7312" s="319"/>
    </row>
    <row r="7313" spans="37:44" ht="30" customHeight="1">
      <c r="AK7313" s="318"/>
      <c r="AL7313" s="318"/>
      <c r="AM7313" s="318"/>
      <c r="AN7313" s="318"/>
      <c r="AO7313" s="318"/>
      <c r="AP7313" s="318"/>
      <c r="AQ7313" s="318"/>
      <c r="AR7313" s="319"/>
    </row>
    <row r="7314" spans="37:44" ht="30" customHeight="1">
      <c r="AK7314" s="318"/>
      <c r="AL7314" s="318"/>
      <c r="AM7314" s="318"/>
      <c r="AN7314" s="318"/>
      <c r="AO7314" s="318"/>
      <c r="AP7314" s="318"/>
      <c r="AQ7314" s="318"/>
      <c r="AR7314" s="319"/>
    </row>
    <row r="7315" spans="37:44" ht="30" customHeight="1">
      <c r="AK7315" s="318"/>
      <c r="AL7315" s="318"/>
      <c r="AM7315" s="318"/>
      <c r="AN7315" s="318"/>
      <c r="AO7315" s="318"/>
      <c r="AP7315" s="318"/>
      <c r="AQ7315" s="318"/>
      <c r="AR7315" s="319"/>
    </row>
    <row r="7316" spans="37:44" ht="30" customHeight="1">
      <c r="AK7316" s="318"/>
      <c r="AL7316" s="318"/>
      <c r="AM7316" s="318"/>
      <c r="AN7316" s="318"/>
      <c r="AO7316" s="318"/>
      <c r="AP7316" s="318"/>
      <c r="AQ7316" s="318"/>
      <c r="AR7316" s="319"/>
    </row>
    <row r="7317" spans="37:44" ht="30" customHeight="1">
      <c r="AK7317" s="318"/>
      <c r="AL7317" s="318"/>
      <c r="AM7317" s="318"/>
      <c r="AN7317" s="318"/>
      <c r="AO7317" s="318"/>
      <c r="AP7317" s="318"/>
      <c r="AQ7317" s="318"/>
      <c r="AR7317" s="319"/>
    </row>
    <row r="7318" spans="37:44" ht="30" customHeight="1">
      <c r="AK7318" s="318"/>
      <c r="AL7318" s="318"/>
      <c r="AM7318" s="318"/>
      <c r="AN7318" s="318"/>
      <c r="AO7318" s="318"/>
      <c r="AP7318" s="318"/>
      <c r="AQ7318" s="318"/>
      <c r="AR7318" s="319"/>
    </row>
    <row r="7319" spans="37:44" ht="30" customHeight="1">
      <c r="AK7319" s="318"/>
      <c r="AL7319" s="318"/>
      <c r="AM7319" s="318"/>
      <c r="AN7319" s="318"/>
      <c r="AO7319" s="318"/>
      <c r="AP7319" s="318"/>
      <c r="AQ7319" s="318"/>
      <c r="AR7319" s="319"/>
    </row>
    <row r="7320" spans="37:44" ht="30" customHeight="1">
      <c r="AK7320" s="318"/>
      <c r="AL7320" s="318"/>
      <c r="AM7320" s="318"/>
      <c r="AN7320" s="318"/>
      <c r="AO7320" s="318"/>
      <c r="AP7320" s="318"/>
      <c r="AQ7320" s="318"/>
      <c r="AR7320" s="319"/>
    </row>
    <row r="7321" spans="37:44" ht="30" customHeight="1">
      <c r="AK7321" s="318"/>
      <c r="AL7321" s="318"/>
      <c r="AM7321" s="318"/>
      <c r="AN7321" s="318"/>
      <c r="AO7321" s="318"/>
      <c r="AP7321" s="318"/>
      <c r="AQ7321" s="318"/>
      <c r="AR7321" s="319"/>
    </row>
    <row r="7322" spans="37:44" ht="30" customHeight="1">
      <c r="AK7322" s="318"/>
      <c r="AL7322" s="318"/>
      <c r="AM7322" s="318"/>
      <c r="AN7322" s="318"/>
      <c r="AO7322" s="318"/>
      <c r="AP7322" s="318"/>
      <c r="AQ7322" s="318"/>
      <c r="AR7322" s="319"/>
    </row>
    <row r="7323" spans="37:44" ht="30" customHeight="1">
      <c r="AK7323" s="318"/>
      <c r="AL7323" s="318"/>
      <c r="AM7323" s="318"/>
      <c r="AN7323" s="318"/>
      <c r="AO7323" s="318"/>
      <c r="AP7323" s="318"/>
      <c r="AQ7323" s="318"/>
      <c r="AR7323" s="319"/>
    </row>
    <row r="7324" spans="37:44" ht="30" customHeight="1">
      <c r="AK7324" s="318"/>
      <c r="AL7324" s="318"/>
      <c r="AM7324" s="318"/>
      <c r="AN7324" s="318"/>
      <c r="AO7324" s="318"/>
      <c r="AP7324" s="318"/>
      <c r="AQ7324" s="318"/>
      <c r="AR7324" s="319"/>
    </row>
    <row r="7325" spans="37:44" ht="30" customHeight="1">
      <c r="AK7325" s="318"/>
      <c r="AL7325" s="318"/>
      <c r="AM7325" s="318"/>
      <c r="AN7325" s="318"/>
      <c r="AO7325" s="318"/>
      <c r="AP7325" s="318"/>
      <c r="AQ7325" s="318"/>
      <c r="AR7325" s="319"/>
    </row>
    <row r="7326" spans="37:44" ht="30" customHeight="1">
      <c r="AK7326" s="318"/>
      <c r="AL7326" s="318"/>
      <c r="AM7326" s="318"/>
      <c r="AN7326" s="318"/>
      <c r="AO7326" s="318"/>
      <c r="AP7326" s="318"/>
      <c r="AQ7326" s="318"/>
      <c r="AR7326" s="319"/>
    </row>
    <row r="7327" spans="37:44" ht="30" customHeight="1">
      <c r="AK7327" s="318"/>
      <c r="AL7327" s="318"/>
      <c r="AM7327" s="318"/>
      <c r="AN7327" s="318"/>
      <c r="AO7327" s="318"/>
      <c r="AP7327" s="318"/>
      <c r="AQ7327" s="318"/>
      <c r="AR7327" s="319"/>
    </row>
    <row r="7328" spans="37:44" ht="30" customHeight="1">
      <c r="AK7328" s="318"/>
      <c r="AL7328" s="318"/>
      <c r="AM7328" s="318"/>
      <c r="AN7328" s="318"/>
      <c r="AO7328" s="318"/>
      <c r="AP7328" s="318"/>
      <c r="AQ7328" s="318"/>
      <c r="AR7328" s="319"/>
    </row>
    <row r="7329" spans="37:44" ht="30" customHeight="1">
      <c r="AK7329" s="318"/>
      <c r="AL7329" s="318"/>
      <c r="AM7329" s="318"/>
      <c r="AN7329" s="318"/>
      <c r="AO7329" s="318"/>
      <c r="AP7329" s="318"/>
      <c r="AQ7329" s="318"/>
      <c r="AR7329" s="319"/>
    </row>
    <row r="7330" spans="37:44" ht="30" customHeight="1">
      <c r="AK7330" s="318"/>
      <c r="AL7330" s="318"/>
      <c r="AM7330" s="318"/>
      <c r="AN7330" s="318"/>
      <c r="AO7330" s="318"/>
      <c r="AP7330" s="318"/>
      <c r="AQ7330" s="318"/>
      <c r="AR7330" s="319"/>
    </row>
    <row r="7331" spans="37:44" ht="30" customHeight="1">
      <c r="AK7331" s="318"/>
      <c r="AL7331" s="318"/>
      <c r="AM7331" s="318"/>
      <c r="AN7331" s="318"/>
      <c r="AO7331" s="318"/>
      <c r="AP7331" s="318"/>
      <c r="AQ7331" s="318"/>
      <c r="AR7331" s="319"/>
    </row>
    <row r="7332" spans="37:44" ht="30" customHeight="1">
      <c r="AK7332" s="318"/>
      <c r="AL7332" s="318"/>
      <c r="AM7332" s="318"/>
      <c r="AN7332" s="318"/>
      <c r="AO7332" s="318"/>
      <c r="AP7332" s="318"/>
      <c r="AQ7332" s="318"/>
      <c r="AR7332" s="319"/>
    </row>
    <row r="7333" spans="37:44" ht="30" customHeight="1">
      <c r="AK7333" s="318"/>
      <c r="AL7333" s="318"/>
      <c r="AM7333" s="318"/>
      <c r="AN7333" s="318"/>
      <c r="AO7333" s="318"/>
      <c r="AP7333" s="318"/>
      <c r="AQ7333" s="318"/>
      <c r="AR7333" s="319"/>
    </row>
    <row r="7334" spans="37:44" ht="30" customHeight="1">
      <c r="AK7334" s="318"/>
      <c r="AL7334" s="318"/>
      <c r="AM7334" s="318"/>
      <c r="AN7334" s="318"/>
      <c r="AO7334" s="318"/>
      <c r="AP7334" s="318"/>
      <c r="AQ7334" s="318"/>
      <c r="AR7334" s="319"/>
    </row>
    <row r="7335" spans="37:44" ht="30" customHeight="1">
      <c r="AK7335" s="318"/>
      <c r="AL7335" s="318"/>
      <c r="AM7335" s="318"/>
      <c r="AN7335" s="318"/>
      <c r="AO7335" s="318"/>
      <c r="AP7335" s="318"/>
      <c r="AQ7335" s="318"/>
      <c r="AR7335" s="319"/>
    </row>
    <row r="7336" spans="37:44" ht="30" customHeight="1">
      <c r="AK7336" s="318"/>
      <c r="AL7336" s="318"/>
      <c r="AM7336" s="318"/>
      <c r="AN7336" s="318"/>
      <c r="AO7336" s="318"/>
      <c r="AP7336" s="318"/>
      <c r="AQ7336" s="318"/>
      <c r="AR7336" s="319"/>
    </row>
    <row r="7337" spans="37:44" ht="30" customHeight="1">
      <c r="AK7337" s="318"/>
      <c r="AL7337" s="318"/>
      <c r="AM7337" s="318"/>
      <c r="AN7337" s="318"/>
      <c r="AO7337" s="318"/>
      <c r="AP7337" s="318"/>
      <c r="AQ7337" s="318"/>
      <c r="AR7337" s="319"/>
    </row>
    <row r="7338" spans="37:44" ht="30" customHeight="1">
      <c r="AK7338" s="318"/>
      <c r="AL7338" s="318"/>
      <c r="AM7338" s="318"/>
      <c r="AN7338" s="318"/>
      <c r="AO7338" s="318"/>
      <c r="AP7338" s="318"/>
      <c r="AQ7338" s="318"/>
      <c r="AR7338" s="319"/>
    </row>
    <row r="7339" spans="37:44" ht="30" customHeight="1">
      <c r="AK7339" s="318"/>
      <c r="AL7339" s="318"/>
      <c r="AM7339" s="318"/>
      <c r="AN7339" s="318"/>
      <c r="AO7339" s="318"/>
      <c r="AP7339" s="318"/>
      <c r="AQ7339" s="318"/>
      <c r="AR7339" s="319"/>
    </row>
    <row r="7340" spans="37:44" ht="30" customHeight="1">
      <c r="AK7340" s="318"/>
      <c r="AL7340" s="318"/>
      <c r="AM7340" s="318"/>
      <c r="AN7340" s="318"/>
      <c r="AO7340" s="318"/>
      <c r="AP7340" s="318"/>
      <c r="AQ7340" s="318"/>
      <c r="AR7340" s="319"/>
    </row>
    <row r="7341" spans="37:44" ht="30" customHeight="1">
      <c r="AK7341" s="318"/>
      <c r="AL7341" s="318"/>
      <c r="AM7341" s="318"/>
      <c r="AN7341" s="318"/>
      <c r="AO7341" s="318"/>
      <c r="AP7341" s="318"/>
      <c r="AQ7341" s="318"/>
      <c r="AR7341" s="319"/>
    </row>
    <row r="7342" spans="37:44" ht="30" customHeight="1">
      <c r="AK7342" s="318"/>
      <c r="AL7342" s="318"/>
      <c r="AM7342" s="318"/>
      <c r="AN7342" s="318"/>
      <c r="AO7342" s="318"/>
      <c r="AP7342" s="318"/>
      <c r="AQ7342" s="318"/>
      <c r="AR7342" s="319"/>
    </row>
    <row r="7343" spans="37:44" ht="30" customHeight="1">
      <c r="AK7343" s="318"/>
      <c r="AL7343" s="318"/>
      <c r="AM7343" s="318"/>
      <c r="AN7343" s="318"/>
      <c r="AO7343" s="318"/>
      <c r="AP7343" s="318"/>
      <c r="AQ7343" s="318"/>
      <c r="AR7343" s="319"/>
    </row>
    <row r="7344" spans="37:44" ht="30" customHeight="1">
      <c r="AK7344" s="318"/>
      <c r="AL7344" s="318"/>
      <c r="AM7344" s="318"/>
      <c r="AN7344" s="318"/>
      <c r="AO7344" s="318"/>
      <c r="AP7344" s="318"/>
      <c r="AQ7344" s="318"/>
      <c r="AR7344" s="319"/>
    </row>
    <row r="7345" spans="37:44" ht="30" customHeight="1">
      <c r="AK7345" s="318"/>
      <c r="AL7345" s="318"/>
      <c r="AM7345" s="318"/>
      <c r="AN7345" s="318"/>
      <c r="AO7345" s="318"/>
      <c r="AP7345" s="318"/>
      <c r="AQ7345" s="318"/>
      <c r="AR7345" s="319"/>
    </row>
    <row r="7346" spans="37:44" ht="30" customHeight="1">
      <c r="AK7346" s="318"/>
      <c r="AL7346" s="318"/>
      <c r="AM7346" s="318"/>
      <c r="AN7346" s="318"/>
      <c r="AO7346" s="318"/>
      <c r="AP7346" s="318"/>
      <c r="AQ7346" s="318"/>
      <c r="AR7346" s="319"/>
    </row>
    <row r="7347" spans="37:44" ht="30" customHeight="1">
      <c r="AK7347" s="318"/>
      <c r="AL7347" s="318"/>
      <c r="AM7347" s="318"/>
      <c r="AN7347" s="318"/>
      <c r="AO7347" s="318"/>
      <c r="AP7347" s="318"/>
      <c r="AQ7347" s="318"/>
      <c r="AR7347" s="319"/>
    </row>
    <row r="7348" spans="37:44" ht="30" customHeight="1">
      <c r="AK7348" s="318"/>
      <c r="AL7348" s="318"/>
      <c r="AM7348" s="318"/>
      <c r="AN7348" s="318"/>
      <c r="AO7348" s="318"/>
      <c r="AP7348" s="318"/>
      <c r="AQ7348" s="318"/>
      <c r="AR7348" s="319"/>
    </row>
    <row r="7349" spans="37:44" ht="30" customHeight="1">
      <c r="AK7349" s="318"/>
      <c r="AL7349" s="318"/>
      <c r="AM7349" s="318"/>
      <c r="AN7349" s="318"/>
      <c r="AO7349" s="318"/>
      <c r="AP7349" s="318"/>
      <c r="AQ7349" s="318"/>
      <c r="AR7349" s="319"/>
    </row>
    <row r="7350" spans="37:44" ht="30" customHeight="1">
      <c r="AK7350" s="318"/>
      <c r="AL7350" s="318"/>
      <c r="AM7350" s="318"/>
      <c r="AN7350" s="318"/>
      <c r="AO7350" s="318"/>
      <c r="AP7350" s="318"/>
      <c r="AQ7350" s="318"/>
      <c r="AR7350" s="319"/>
    </row>
    <row r="7351" spans="37:44" ht="30" customHeight="1">
      <c r="AK7351" s="318"/>
      <c r="AL7351" s="318"/>
      <c r="AM7351" s="318"/>
      <c r="AN7351" s="318"/>
      <c r="AO7351" s="318"/>
      <c r="AP7351" s="318"/>
      <c r="AQ7351" s="318"/>
      <c r="AR7351" s="319"/>
    </row>
    <row r="7352" spans="37:44" ht="30" customHeight="1">
      <c r="AK7352" s="318"/>
      <c r="AL7352" s="318"/>
      <c r="AM7352" s="318"/>
      <c r="AN7352" s="318"/>
      <c r="AO7352" s="318"/>
      <c r="AP7352" s="318"/>
      <c r="AQ7352" s="318"/>
      <c r="AR7352" s="319"/>
    </row>
    <row r="7353" spans="37:44" ht="30" customHeight="1">
      <c r="AK7353" s="318"/>
      <c r="AL7353" s="318"/>
      <c r="AM7353" s="318"/>
      <c r="AN7353" s="318"/>
      <c r="AO7353" s="318"/>
      <c r="AP7353" s="318"/>
      <c r="AQ7353" s="318"/>
      <c r="AR7353" s="319"/>
    </row>
    <row r="7354" spans="37:44" ht="30" customHeight="1">
      <c r="AK7354" s="318"/>
      <c r="AL7354" s="318"/>
      <c r="AM7354" s="318"/>
      <c r="AN7354" s="318"/>
      <c r="AO7354" s="318"/>
      <c r="AP7354" s="318"/>
      <c r="AQ7354" s="318"/>
      <c r="AR7354" s="319"/>
    </row>
    <row r="7355" spans="37:44" ht="30" customHeight="1">
      <c r="AK7355" s="318"/>
      <c r="AL7355" s="318"/>
      <c r="AM7355" s="318"/>
      <c r="AN7355" s="318"/>
      <c r="AO7355" s="318"/>
      <c r="AP7355" s="318"/>
      <c r="AQ7355" s="318"/>
      <c r="AR7355" s="319"/>
    </row>
    <row r="7356" spans="37:44" ht="30" customHeight="1">
      <c r="AK7356" s="318"/>
      <c r="AL7356" s="318"/>
      <c r="AM7356" s="318"/>
      <c r="AN7356" s="318"/>
      <c r="AO7356" s="318"/>
      <c r="AP7356" s="318"/>
      <c r="AQ7356" s="318"/>
      <c r="AR7356" s="319"/>
    </row>
    <row r="7357" spans="37:44" ht="30" customHeight="1">
      <c r="AK7357" s="318"/>
      <c r="AL7357" s="318"/>
      <c r="AM7357" s="318"/>
      <c r="AN7357" s="318"/>
      <c r="AO7357" s="318"/>
      <c r="AP7357" s="318"/>
      <c r="AQ7357" s="318"/>
      <c r="AR7357" s="319"/>
    </row>
    <row r="7358" spans="37:44" ht="30" customHeight="1">
      <c r="AK7358" s="318"/>
      <c r="AL7358" s="318"/>
      <c r="AM7358" s="318"/>
      <c r="AN7358" s="318"/>
      <c r="AO7358" s="318"/>
      <c r="AP7358" s="318"/>
      <c r="AQ7358" s="318"/>
      <c r="AR7358" s="319"/>
    </row>
    <row r="7359" spans="37:44" ht="30" customHeight="1">
      <c r="AK7359" s="318"/>
      <c r="AL7359" s="318"/>
      <c r="AM7359" s="318"/>
      <c r="AN7359" s="318"/>
      <c r="AO7359" s="318"/>
      <c r="AP7359" s="318"/>
      <c r="AQ7359" s="318"/>
      <c r="AR7359" s="319"/>
    </row>
    <row r="7360" spans="37:44" ht="30" customHeight="1">
      <c r="AK7360" s="318"/>
      <c r="AL7360" s="318"/>
      <c r="AM7360" s="318"/>
      <c r="AN7360" s="318"/>
      <c r="AO7360" s="318"/>
      <c r="AP7360" s="318"/>
      <c r="AQ7360" s="318"/>
      <c r="AR7360" s="319"/>
    </row>
    <row r="7361" spans="37:44" ht="30" customHeight="1">
      <c r="AK7361" s="318"/>
      <c r="AL7361" s="318"/>
      <c r="AM7361" s="318"/>
      <c r="AN7361" s="318"/>
      <c r="AO7361" s="318"/>
      <c r="AP7361" s="318"/>
      <c r="AQ7361" s="318"/>
      <c r="AR7361" s="319"/>
    </row>
    <row r="7362" spans="37:44" ht="30" customHeight="1">
      <c r="AK7362" s="318"/>
      <c r="AL7362" s="318"/>
      <c r="AM7362" s="318"/>
      <c r="AN7362" s="318"/>
      <c r="AO7362" s="318"/>
      <c r="AP7362" s="318"/>
      <c r="AQ7362" s="318"/>
      <c r="AR7362" s="319"/>
    </row>
    <row r="7363" spans="37:44" ht="30" customHeight="1">
      <c r="AK7363" s="318"/>
      <c r="AL7363" s="318"/>
      <c r="AM7363" s="318"/>
      <c r="AN7363" s="318"/>
      <c r="AO7363" s="318"/>
      <c r="AP7363" s="318"/>
      <c r="AQ7363" s="318"/>
      <c r="AR7363" s="319"/>
    </row>
    <row r="7364" spans="37:44" ht="30" customHeight="1">
      <c r="AK7364" s="318"/>
      <c r="AL7364" s="318"/>
      <c r="AM7364" s="318"/>
      <c r="AN7364" s="318"/>
      <c r="AO7364" s="318"/>
      <c r="AP7364" s="318"/>
      <c r="AQ7364" s="318"/>
      <c r="AR7364" s="319"/>
    </row>
    <row r="7365" spans="37:44" ht="30" customHeight="1">
      <c r="AK7365" s="318"/>
      <c r="AL7365" s="318"/>
      <c r="AM7365" s="318"/>
      <c r="AN7365" s="318"/>
      <c r="AO7365" s="318"/>
      <c r="AP7365" s="318"/>
      <c r="AQ7365" s="318"/>
      <c r="AR7365" s="319"/>
    </row>
    <row r="7366" spans="37:44" ht="30" customHeight="1">
      <c r="AK7366" s="318"/>
      <c r="AL7366" s="318"/>
      <c r="AM7366" s="318"/>
      <c r="AN7366" s="318"/>
      <c r="AO7366" s="318"/>
      <c r="AP7366" s="318"/>
      <c r="AQ7366" s="318"/>
      <c r="AR7366" s="319"/>
    </row>
    <row r="7367" spans="37:44" ht="30" customHeight="1">
      <c r="AK7367" s="318"/>
      <c r="AL7367" s="318"/>
      <c r="AM7367" s="318"/>
      <c r="AN7367" s="318"/>
      <c r="AO7367" s="318"/>
      <c r="AP7367" s="318"/>
      <c r="AQ7367" s="318"/>
      <c r="AR7367" s="319"/>
    </row>
    <row r="7368" spans="37:44" ht="30" customHeight="1">
      <c r="AK7368" s="318"/>
      <c r="AL7368" s="318"/>
      <c r="AM7368" s="318"/>
      <c r="AN7368" s="318"/>
      <c r="AO7368" s="318"/>
      <c r="AP7368" s="318"/>
      <c r="AQ7368" s="318"/>
      <c r="AR7368" s="319"/>
    </row>
    <row r="7369" spans="37:44" ht="30" customHeight="1">
      <c r="AK7369" s="318"/>
      <c r="AL7369" s="318"/>
      <c r="AM7369" s="318"/>
      <c r="AN7369" s="318"/>
      <c r="AO7369" s="318"/>
      <c r="AP7369" s="318"/>
      <c r="AQ7369" s="318"/>
      <c r="AR7369" s="319"/>
    </row>
    <row r="7370" spans="37:44" ht="30" customHeight="1">
      <c r="AK7370" s="318"/>
      <c r="AL7370" s="318"/>
      <c r="AM7370" s="318"/>
      <c r="AN7370" s="318"/>
      <c r="AO7370" s="318"/>
      <c r="AP7370" s="318"/>
      <c r="AQ7370" s="318"/>
      <c r="AR7370" s="319"/>
    </row>
    <row r="7371" spans="37:44" ht="30" customHeight="1">
      <c r="AK7371" s="318"/>
      <c r="AL7371" s="318"/>
      <c r="AM7371" s="318"/>
      <c r="AN7371" s="318"/>
      <c r="AO7371" s="318"/>
      <c r="AP7371" s="318"/>
      <c r="AQ7371" s="318"/>
      <c r="AR7371" s="319"/>
    </row>
    <row r="7372" spans="37:44" ht="30" customHeight="1">
      <c r="AK7372" s="318"/>
      <c r="AL7372" s="318"/>
      <c r="AM7372" s="318"/>
      <c r="AN7372" s="318"/>
      <c r="AO7372" s="318"/>
      <c r="AP7372" s="318"/>
      <c r="AQ7372" s="318"/>
      <c r="AR7372" s="319"/>
    </row>
    <row r="7373" spans="37:44" ht="30" customHeight="1">
      <c r="AK7373" s="318"/>
      <c r="AL7373" s="318"/>
      <c r="AM7373" s="318"/>
      <c r="AN7373" s="318"/>
      <c r="AO7373" s="318"/>
      <c r="AP7373" s="318"/>
      <c r="AQ7373" s="318"/>
      <c r="AR7373" s="319"/>
    </row>
    <row r="7374" spans="37:44" ht="30" customHeight="1">
      <c r="AK7374" s="318"/>
      <c r="AL7374" s="318"/>
      <c r="AM7374" s="318"/>
      <c r="AN7374" s="318"/>
      <c r="AO7374" s="318"/>
      <c r="AP7374" s="318"/>
      <c r="AQ7374" s="318"/>
      <c r="AR7374" s="319"/>
    </row>
    <row r="7375" spans="37:44" ht="30" customHeight="1">
      <c r="AK7375" s="318"/>
      <c r="AL7375" s="318"/>
      <c r="AM7375" s="318"/>
      <c r="AN7375" s="318"/>
      <c r="AO7375" s="318"/>
      <c r="AP7375" s="318"/>
      <c r="AQ7375" s="318"/>
      <c r="AR7375" s="319"/>
    </row>
    <row r="7376" spans="37:44" ht="30" customHeight="1">
      <c r="AK7376" s="318"/>
      <c r="AL7376" s="318"/>
      <c r="AM7376" s="318"/>
      <c r="AN7376" s="318"/>
      <c r="AO7376" s="318"/>
      <c r="AP7376" s="318"/>
      <c r="AQ7376" s="318"/>
      <c r="AR7376" s="319"/>
    </row>
    <row r="7377" spans="37:44" ht="30" customHeight="1">
      <c r="AK7377" s="318"/>
      <c r="AL7377" s="318"/>
      <c r="AM7377" s="318"/>
      <c r="AN7377" s="318"/>
      <c r="AO7377" s="318"/>
      <c r="AP7377" s="318"/>
      <c r="AQ7377" s="318"/>
      <c r="AR7377" s="319"/>
    </row>
    <row r="7378" spans="37:44" ht="30" customHeight="1">
      <c r="AK7378" s="318"/>
      <c r="AL7378" s="318"/>
      <c r="AM7378" s="318"/>
      <c r="AN7378" s="318"/>
      <c r="AO7378" s="318"/>
      <c r="AP7378" s="318"/>
      <c r="AQ7378" s="318"/>
      <c r="AR7378" s="319"/>
    </row>
    <row r="7379" spans="37:44" ht="30" customHeight="1">
      <c r="AK7379" s="318"/>
      <c r="AL7379" s="318"/>
      <c r="AM7379" s="318"/>
      <c r="AN7379" s="318"/>
      <c r="AO7379" s="318"/>
      <c r="AP7379" s="318"/>
      <c r="AQ7379" s="318"/>
      <c r="AR7379" s="319"/>
    </row>
    <row r="7380" spans="37:44" ht="30" customHeight="1">
      <c r="AK7380" s="318"/>
      <c r="AL7380" s="318"/>
      <c r="AM7380" s="318"/>
      <c r="AN7380" s="318"/>
      <c r="AO7380" s="318"/>
      <c r="AP7380" s="318"/>
      <c r="AQ7380" s="318"/>
      <c r="AR7380" s="319"/>
    </row>
    <row r="7381" spans="37:44" ht="30" customHeight="1">
      <c r="AK7381" s="318"/>
      <c r="AL7381" s="318"/>
      <c r="AM7381" s="318"/>
      <c r="AN7381" s="318"/>
      <c r="AO7381" s="318"/>
      <c r="AP7381" s="318"/>
      <c r="AQ7381" s="318"/>
      <c r="AR7381" s="319"/>
    </row>
    <row r="7382" spans="37:44" ht="30" customHeight="1">
      <c r="AK7382" s="318"/>
      <c r="AL7382" s="318"/>
      <c r="AM7382" s="318"/>
      <c r="AN7382" s="318"/>
      <c r="AO7382" s="318"/>
      <c r="AP7382" s="318"/>
      <c r="AQ7382" s="318"/>
      <c r="AR7382" s="319"/>
    </row>
    <row r="7383" spans="37:44" ht="30" customHeight="1">
      <c r="AK7383" s="318"/>
      <c r="AL7383" s="318"/>
      <c r="AM7383" s="318"/>
      <c r="AN7383" s="318"/>
      <c r="AO7383" s="318"/>
      <c r="AP7383" s="318"/>
      <c r="AQ7383" s="318"/>
      <c r="AR7383" s="319"/>
    </row>
    <row r="7384" spans="37:44" ht="30" customHeight="1">
      <c r="AK7384" s="318"/>
      <c r="AL7384" s="318"/>
      <c r="AM7384" s="318"/>
      <c r="AN7384" s="318"/>
      <c r="AO7384" s="318"/>
      <c r="AP7384" s="318"/>
      <c r="AQ7384" s="318"/>
      <c r="AR7384" s="319"/>
    </row>
    <row r="7385" spans="37:44" ht="30" customHeight="1">
      <c r="AK7385" s="318"/>
      <c r="AL7385" s="318"/>
      <c r="AM7385" s="318"/>
      <c r="AN7385" s="318"/>
      <c r="AO7385" s="318"/>
      <c r="AP7385" s="318"/>
      <c r="AQ7385" s="318"/>
      <c r="AR7385" s="319"/>
    </row>
    <row r="7386" spans="37:44" ht="30" customHeight="1">
      <c r="AK7386" s="318"/>
      <c r="AL7386" s="318"/>
      <c r="AM7386" s="318"/>
      <c r="AN7386" s="318"/>
      <c r="AO7386" s="318"/>
      <c r="AP7386" s="318"/>
      <c r="AQ7386" s="318"/>
      <c r="AR7386" s="319"/>
    </row>
    <row r="7387" spans="37:44" ht="30" customHeight="1">
      <c r="AK7387" s="318"/>
      <c r="AL7387" s="318"/>
      <c r="AM7387" s="318"/>
      <c r="AN7387" s="318"/>
      <c r="AO7387" s="318"/>
      <c r="AP7387" s="318"/>
      <c r="AQ7387" s="318"/>
      <c r="AR7387" s="319"/>
    </row>
    <row r="7388" spans="37:44" ht="30" customHeight="1">
      <c r="AK7388" s="318"/>
      <c r="AL7388" s="318"/>
      <c r="AM7388" s="318"/>
      <c r="AN7388" s="318"/>
      <c r="AO7388" s="318"/>
      <c r="AP7388" s="318"/>
      <c r="AQ7388" s="318"/>
      <c r="AR7388" s="319"/>
    </row>
    <row r="7389" spans="37:44" ht="30" customHeight="1">
      <c r="AK7389" s="318"/>
      <c r="AL7389" s="318"/>
      <c r="AM7389" s="318"/>
      <c r="AN7389" s="318"/>
      <c r="AO7389" s="318"/>
      <c r="AP7389" s="318"/>
      <c r="AQ7389" s="318"/>
      <c r="AR7389" s="319"/>
    </row>
    <row r="7390" spans="37:44" ht="30" customHeight="1">
      <c r="AK7390" s="318"/>
      <c r="AL7390" s="318"/>
      <c r="AM7390" s="318"/>
      <c r="AN7390" s="318"/>
      <c r="AO7390" s="318"/>
      <c r="AP7390" s="318"/>
      <c r="AQ7390" s="318"/>
      <c r="AR7390" s="319"/>
    </row>
    <row r="7391" spans="37:44" ht="30" customHeight="1">
      <c r="AK7391" s="318"/>
      <c r="AL7391" s="318"/>
      <c r="AM7391" s="318"/>
      <c r="AN7391" s="318"/>
      <c r="AO7391" s="318"/>
      <c r="AP7391" s="318"/>
      <c r="AQ7391" s="318"/>
      <c r="AR7391" s="319"/>
    </row>
    <row r="7392" spans="37:44" ht="30" customHeight="1">
      <c r="AK7392" s="318"/>
      <c r="AL7392" s="318"/>
      <c r="AM7392" s="318"/>
      <c r="AN7392" s="318"/>
      <c r="AO7392" s="318"/>
      <c r="AP7392" s="318"/>
      <c r="AQ7392" s="318"/>
      <c r="AR7392" s="319"/>
    </row>
    <row r="7393" spans="37:44" ht="30" customHeight="1">
      <c r="AK7393" s="318"/>
      <c r="AL7393" s="318"/>
      <c r="AM7393" s="318"/>
      <c r="AN7393" s="318"/>
      <c r="AO7393" s="318"/>
      <c r="AP7393" s="318"/>
      <c r="AQ7393" s="318"/>
      <c r="AR7393" s="319"/>
    </row>
    <row r="7394" spans="37:44" ht="30" customHeight="1">
      <c r="AK7394" s="318"/>
      <c r="AL7394" s="318"/>
      <c r="AM7394" s="318"/>
      <c r="AN7394" s="318"/>
      <c r="AO7394" s="318"/>
      <c r="AP7394" s="318"/>
      <c r="AQ7394" s="318"/>
      <c r="AR7394" s="319"/>
    </row>
    <row r="7395" spans="37:44" ht="30" customHeight="1">
      <c r="AK7395" s="318"/>
      <c r="AL7395" s="318"/>
      <c r="AM7395" s="318"/>
      <c r="AN7395" s="318"/>
      <c r="AO7395" s="318"/>
      <c r="AP7395" s="318"/>
      <c r="AQ7395" s="318"/>
      <c r="AR7395" s="319"/>
    </row>
    <row r="7396" spans="37:44" ht="30" customHeight="1">
      <c r="AK7396" s="318"/>
      <c r="AL7396" s="318"/>
      <c r="AM7396" s="318"/>
      <c r="AN7396" s="318"/>
      <c r="AO7396" s="318"/>
      <c r="AP7396" s="318"/>
      <c r="AQ7396" s="318"/>
      <c r="AR7396" s="319"/>
    </row>
    <row r="7397" spans="37:44" ht="30" customHeight="1">
      <c r="AK7397" s="318"/>
      <c r="AL7397" s="318"/>
      <c r="AM7397" s="318"/>
      <c r="AN7397" s="318"/>
      <c r="AO7397" s="318"/>
      <c r="AP7397" s="318"/>
      <c r="AQ7397" s="318"/>
      <c r="AR7397" s="319"/>
    </row>
    <row r="7398" spans="37:44" ht="30" customHeight="1">
      <c r="AK7398" s="318"/>
      <c r="AL7398" s="318"/>
      <c r="AM7398" s="318"/>
      <c r="AN7398" s="318"/>
      <c r="AO7398" s="318"/>
      <c r="AP7398" s="318"/>
      <c r="AQ7398" s="318"/>
      <c r="AR7398" s="319"/>
    </row>
    <row r="7399" spans="37:44" ht="30" customHeight="1">
      <c r="AK7399" s="318"/>
      <c r="AL7399" s="318"/>
      <c r="AM7399" s="318"/>
      <c r="AN7399" s="318"/>
      <c r="AO7399" s="318"/>
      <c r="AP7399" s="318"/>
      <c r="AQ7399" s="318"/>
      <c r="AR7399" s="319"/>
    </row>
    <row r="7400" spans="37:44" ht="30" customHeight="1">
      <c r="AK7400" s="318"/>
      <c r="AL7400" s="318"/>
      <c r="AM7400" s="318"/>
      <c r="AN7400" s="318"/>
      <c r="AO7400" s="318"/>
      <c r="AP7400" s="318"/>
      <c r="AQ7400" s="318"/>
      <c r="AR7400" s="319"/>
    </row>
    <row r="7401" spans="37:44" ht="30" customHeight="1">
      <c r="AK7401" s="318"/>
      <c r="AL7401" s="318"/>
      <c r="AM7401" s="318"/>
      <c r="AN7401" s="318"/>
      <c r="AO7401" s="318"/>
      <c r="AP7401" s="318"/>
      <c r="AQ7401" s="318"/>
      <c r="AR7401" s="319"/>
    </row>
    <row r="7402" spans="37:44" ht="30" customHeight="1">
      <c r="AK7402" s="318"/>
      <c r="AL7402" s="318"/>
      <c r="AM7402" s="318"/>
      <c r="AN7402" s="318"/>
      <c r="AO7402" s="318"/>
      <c r="AP7402" s="318"/>
      <c r="AQ7402" s="318"/>
      <c r="AR7402" s="319"/>
    </row>
    <row r="7403" spans="37:44" ht="30" customHeight="1">
      <c r="AK7403" s="318"/>
      <c r="AL7403" s="318"/>
      <c r="AM7403" s="318"/>
      <c r="AN7403" s="318"/>
      <c r="AO7403" s="318"/>
      <c r="AP7403" s="318"/>
      <c r="AQ7403" s="318"/>
      <c r="AR7403" s="319"/>
    </row>
    <row r="7404" spans="37:44" ht="30" customHeight="1">
      <c r="AK7404" s="318"/>
      <c r="AL7404" s="318"/>
      <c r="AM7404" s="318"/>
      <c r="AN7404" s="318"/>
      <c r="AO7404" s="318"/>
      <c r="AP7404" s="318"/>
      <c r="AQ7404" s="318"/>
      <c r="AR7404" s="319"/>
    </row>
    <row r="7405" spans="37:44" ht="30" customHeight="1">
      <c r="AK7405" s="318"/>
      <c r="AL7405" s="318"/>
      <c r="AM7405" s="318"/>
      <c r="AN7405" s="318"/>
      <c r="AO7405" s="318"/>
      <c r="AP7405" s="318"/>
      <c r="AQ7405" s="318"/>
      <c r="AR7405" s="319"/>
    </row>
    <row r="7406" spans="37:44" ht="30" customHeight="1">
      <c r="AK7406" s="318"/>
      <c r="AL7406" s="318"/>
      <c r="AM7406" s="318"/>
      <c r="AN7406" s="318"/>
      <c r="AO7406" s="318"/>
      <c r="AP7406" s="318"/>
      <c r="AQ7406" s="318"/>
      <c r="AR7406" s="319"/>
    </row>
    <row r="7407" spans="37:44" ht="30" customHeight="1">
      <c r="AK7407" s="318"/>
      <c r="AL7407" s="318"/>
      <c r="AM7407" s="318"/>
      <c r="AN7407" s="318"/>
      <c r="AO7407" s="318"/>
      <c r="AP7407" s="318"/>
      <c r="AQ7407" s="318"/>
      <c r="AR7407" s="319"/>
    </row>
    <row r="7408" spans="37:44" ht="30" customHeight="1">
      <c r="AK7408" s="318"/>
      <c r="AL7408" s="318"/>
      <c r="AM7408" s="318"/>
      <c r="AN7408" s="318"/>
      <c r="AO7408" s="318"/>
      <c r="AP7408" s="318"/>
      <c r="AQ7408" s="318"/>
      <c r="AR7408" s="319"/>
    </row>
    <row r="7409" spans="37:44" ht="30" customHeight="1">
      <c r="AK7409" s="318"/>
      <c r="AL7409" s="318"/>
      <c r="AM7409" s="318"/>
      <c r="AN7409" s="318"/>
      <c r="AO7409" s="318"/>
      <c r="AP7409" s="318"/>
      <c r="AQ7409" s="318"/>
      <c r="AR7409" s="319"/>
    </row>
    <row r="7410" spans="37:44" ht="30" customHeight="1">
      <c r="AK7410" s="318"/>
      <c r="AL7410" s="318"/>
      <c r="AM7410" s="318"/>
      <c r="AN7410" s="318"/>
      <c r="AO7410" s="318"/>
      <c r="AP7410" s="318"/>
      <c r="AQ7410" s="318"/>
      <c r="AR7410" s="319"/>
    </row>
    <row r="7411" spans="37:44" ht="30" customHeight="1">
      <c r="AK7411" s="318"/>
      <c r="AL7411" s="318"/>
      <c r="AM7411" s="318"/>
      <c r="AN7411" s="318"/>
      <c r="AO7411" s="318"/>
      <c r="AP7411" s="318"/>
      <c r="AQ7411" s="318"/>
      <c r="AR7411" s="319"/>
    </row>
    <row r="7412" spans="37:44" ht="30" customHeight="1">
      <c r="AK7412" s="318"/>
      <c r="AL7412" s="318"/>
      <c r="AM7412" s="318"/>
      <c r="AN7412" s="318"/>
      <c r="AO7412" s="318"/>
      <c r="AP7412" s="318"/>
      <c r="AQ7412" s="318"/>
      <c r="AR7412" s="319"/>
    </row>
    <row r="7413" spans="37:44" ht="30" customHeight="1">
      <c r="AK7413" s="318"/>
      <c r="AL7413" s="318"/>
      <c r="AM7413" s="318"/>
      <c r="AN7413" s="318"/>
      <c r="AO7413" s="318"/>
      <c r="AP7413" s="318"/>
      <c r="AQ7413" s="318"/>
      <c r="AR7413" s="319"/>
    </row>
    <row r="7414" spans="37:44" ht="30" customHeight="1">
      <c r="AK7414" s="318"/>
      <c r="AL7414" s="318"/>
      <c r="AM7414" s="318"/>
      <c r="AN7414" s="318"/>
      <c r="AO7414" s="318"/>
      <c r="AP7414" s="318"/>
      <c r="AQ7414" s="318"/>
      <c r="AR7414" s="319"/>
    </row>
    <row r="7415" spans="37:44" ht="30" customHeight="1">
      <c r="AK7415" s="318"/>
      <c r="AL7415" s="318"/>
      <c r="AM7415" s="318"/>
      <c r="AN7415" s="318"/>
      <c r="AO7415" s="318"/>
      <c r="AP7415" s="318"/>
      <c r="AQ7415" s="318"/>
      <c r="AR7415" s="319"/>
    </row>
    <row r="7416" spans="37:44" ht="30" customHeight="1">
      <c r="AK7416" s="318"/>
      <c r="AL7416" s="318"/>
      <c r="AM7416" s="318"/>
      <c r="AN7416" s="318"/>
      <c r="AO7416" s="318"/>
      <c r="AP7416" s="318"/>
      <c r="AQ7416" s="318"/>
      <c r="AR7416" s="319"/>
    </row>
    <row r="7417" spans="37:44" ht="30" customHeight="1">
      <c r="AK7417" s="318"/>
      <c r="AL7417" s="318"/>
      <c r="AM7417" s="318"/>
      <c r="AN7417" s="318"/>
      <c r="AO7417" s="318"/>
      <c r="AP7417" s="318"/>
      <c r="AQ7417" s="318"/>
      <c r="AR7417" s="319"/>
    </row>
    <row r="7418" spans="37:44" ht="30" customHeight="1">
      <c r="AK7418" s="318"/>
      <c r="AL7418" s="318"/>
      <c r="AM7418" s="318"/>
      <c r="AN7418" s="318"/>
      <c r="AO7418" s="318"/>
      <c r="AP7418" s="318"/>
      <c r="AQ7418" s="318"/>
      <c r="AR7418" s="319"/>
    </row>
    <row r="7419" spans="37:44" ht="30" customHeight="1">
      <c r="AK7419" s="318"/>
      <c r="AL7419" s="318"/>
      <c r="AM7419" s="318"/>
      <c r="AN7419" s="318"/>
      <c r="AO7419" s="318"/>
      <c r="AP7419" s="318"/>
      <c r="AQ7419" s="318"/>
      <c r="AR7419" s="319"/>
    </row>
    <row r="7420" spans="37:44" ht="30" customHeight="1">
      <c r="AK7420" s="318"/>
      <c r="AL7420" s="318"/>
      <c r="AM7420" s="318"/>
      <c r="AN7420" s="318"/>
      <c r="AO7420" s="318"/>
      <c r="AP7420" s="318"/>
      <c r="AQ7420" s="318"/>
      <c r="AR7420" s="319"/>
    </row>
    <row r="7421" spans="37:44" ht="30" customHeight="1">
      <c r="AK7421" s="318"/>
      <c r="AL7421" s="318"/>
      <c r="AM7421" s="318"/>
      <c r="AN7421" s="318"/>
      <c r="AO7421" s="318"/>
      <c r="AP7421" s="318"/>
      <c r="AQ7421" s="318"/>
      <c r="AR7421" s="319"/>
    </row>
    <row r="7422" spans="37:44" ht="30" customHeight="1">
      <c r="AK7422" s="318"/>
      <c r="AL7422" s="318"/>
      <c r="AM7422" s="318"/>
      <c r="AN7422" s="318"/>
      <c r="AO7422" s="318"/>
      <c r="AP7422" s="318"/>
      <c r="AQ7422" s="318"/>
      <c r="AR7422" s="319"/>
    </row>
    <row r="7423" spans="37:44" ht="30" customHeight="1">
      <c r="AK7423" s="318"/>
      <c r="AL7423" s="318"/>
      <c r="AM7423" s="318"/>
      <c r="AN7423" s="318"/>
      <c r="AO7423" s="318"/>
      <c r="AP7423" s="318"/>
      <c r="AQ7423" s="318"/>
      <c r="AR7423" s="319"/>
    </row>
    <row r="7424" spans="37:44" ht="30" customHeight="1">
      <c r="AK7424" s="318"/>
      <c r="AL7424" s="318"/>
      <c r="AM7424" s="318"/>
      <c r="AN7424" s="318"/>
      <c r="AO7424" s="318"/>
      <c r="AP7424" s="318"/>
      <c r="AQ7424" s="318"/>
      <c r="AR7424" s="319"/>
    </row>
    <row r="7425" spans="37:44" ht="30" customHeight="1">
      <c r="AK7425" s="318"/>
      <c r="AL7425" s="318"/>
      <c r="AM7425" s="318"/>
      <c r="AN7425" s="318"/>
      <c r="AO7425" s="318"/>
      <c r="AP7425" s="318"/>
      <c r="AQ7425" s="318"/>
      <c r="AR7425" s="319"/>
    </row>
    <row r="7426" spans="37:44" ht="30" customHeight="1">
      <c r="AK7426" s="318"/>
      <c r="AL7426" s="318"/>
      <c r="AM7426" s="318"/>
      <c r="AN7426" s="318"/>
      <c r="AO7426" s="318"/>
      <c r="AP7426" s="318"/>
      <c r="AQ7426" s="318"/>
      <c r="AR7426" s="319"/>
    </row>
    <row r="7427" spans="37:44" ht="30" customHeight="1">
      <c r="AK7427" s="318"/>
      <c r="AL7427" s="318"/>
      <c r="AM7427" s="318"/>
      <c r="AN7427" s="318"/>
      <c r="AO7427" s="318"/>
      <c r="AP7427" s="318"/>
      <c r="AQ7427" s="318"/>
      <c r="AR7427" s="319"/>
    </row>
    <row r="7428" spans="37:44" ht="30" customHeight="1">
      <c r="AK7428" s="318"/>
      <c r="AL7428" s="318"/>
      <c r="AM7428" s="318"/>
      <c r="AN7428" s="318"/>
      <c r="AO7428" s="318"/>
      <c r="AP7428" s="318"/>
      <c r="AQ7428" s="318"/>
      <c r="AR7428" s="319"/>
    </row>
    <row r="7429" spans="37:44" ht="30" customHeight="1">
      <c r="AK7429" s="318"/>
      <c r="AL7429" s="318"/>
      <c r="AM7429" s="318"/>
      <c r="AN7429" s="318"/>
      <c r="AO7429" s="318"/>
      <c r="AP7429" s="318"/>
      <c r="AQ7429" s="318"/>
      <c r="AR7429" s="319"/>
    </row>
    <row r="7430" spans="37:44" ht="30" customHeight="1">
      <c r="AK7430" s="318"/>
      <c r="AL7430" s="318"/>
      <c r="AM7430" s="318"/>
      <c r="AN7430" s="318"/>
      <c r="AO7430" s="318"/>
      <c r="AP7430" s="318"/>
      <c r="AQ7430" s="318"/>
      <c r="AR7430" s="319"/>
    </row>
    <row r="7431" spans="37:44" ht="30" customHeight="1">
      <c r="AK7431" s="318"/>
      <c r="AL7431" s="318"/>
      <c r="AM7431" s="318"/>
      <c r="AN7431" s="318"/>
      <c r="AO7431" s="318"/>
      <c r="AP7431" s="318"/>
      <c r="AQ7431" s="318"/>
      <c r="AR7431" s="319"/>
    </row>
    <row r="7432" spans="37:44" ht="30" customHeight="1">
      <c r="AK7432" s="318"/>
      <c r="AL7432" s="318"/>
      <c r="AM7432" s="318"/>
      <c r="AN7432" s="318"/>
      <c r="AO7432" s="318"/>
      <c r="AP7432" s="318"/>
      <c r="AQ7432" s="318"/>
      <c r="AR7432" s="319"/>
    </row>
    <row r="7433" spans="37:44" ht="30" customHeight="1">
      <c r="AK7433" s="318"/>
      <c r="AL7433" s="318"/>
      <c r="AM7433" s="318"/>
      <c r="AN7433" s="318"/>
      <c r="AO7433" s="318"/>
      <c r="AP7433" s="318"/>
      <c r="AQ7433" s="318"/>
      <c r="AR7433" s="319"/>
    </row>
    <row r="7434" spans="37:44" ht="30" customHeight="1">
      <c r="AK7434" s="318"/>
      <c r="AL7434" s="318"/>
      <c r="AM7434" s="318"/>
      <c r="AN7434" s="318"/>
      <c r="AO7434" s="318"/>
      <c r="AP7434" s="318"/>
      <c r="AQ7434" s="318"/>
      <c r="AR7434" s="319"/>
    </row>
    <row r="7435" spans="37:44" ht="30" customHeight="1">
      <c r="AK7435" s="318"/>
      <c r="AL7435" s="318"/>
      <c r="AM7435" s="318"/>
      <c r="AN7435" s="318"/>
      <c r="AO7435" s="318"/>
      <c r="AP7435" s="318"/>
      <c r="AQ7435" s="318"/>
      <c r="AR7435" s="319"/>
    </row>
    <row r="7436" spans="37:44" ht="30" customHeight="1">
      <c r="AK7436" s="318"/>
      <c r="AL7436" s="318"/>
      <c r="AM7436" s="318"/>
      <c r="AN7436" s="318"/>
      <c r="AO7436" s="318"/>
      <c r="AP7436" s="318"/>
      <c r="AQ7436" s="318"/>
      <c r="AR7436" s="319"/>
    </row>
    <row r="7437" spans="37:44" ht="30" customHeight="1">
      <c r="AK7437" s="318"/>
      <c r="AL7437" s="318"/>
      <c r="AM7437" s="318"/>
      <c r="AN7437" s="318"/>
      <c r="AO7437" s="318"/>
      <c r="AP7437" s="318"/>
      <c r="AQ7437" s="318"/>
      <c r="AR7437" s="319"/>
    </row>
    <row r="7438" spans="37:44" ht="30" customHeight="1">
      <c r="AK7438" s="318"/>
      <c r="AL7438" s="318"/>
      <c r="AM7438" s="318"/>
      <c r="AN7438" s="318"/>
      <c r="AO7438" s="318"/>
      <c r="AP7438" s="318"/>
      <c r="AQ7438" s="318"/>
      <c r="AR7438" s="319"/>
    </row>
    <row r="7439" spans="37:44" ht="30" customHeight="1">
      <c r="AK7439" s="318"/>
      <c r="AL7439" s="318"/>
      <c r="AM7439" s="318"/>
      <c r="AN7439" s="318"/>
      <c r="AO7439" s="318"/>
      <c r="AP7439" s="318"/>
      <c r="AQ7439" s="318"/>
      <c r="AR7439" s="319"/>
    </row>
    <row r="7440" spans="37:44" ht="30" customHeight="1">
      <c r="AK7440" s="318"/>
      <c r="AL7440" s="318"/>
      <c r="AM7440" s="318"/>
      <c r="AN7440" s="318"/>
      <c r="AO7440" s="318"/>
      <c r="AP7440" s="318"/>
      <c r="AQ7440" s="318"/>
      <c r="AR7440" s="319"/>
    </row>
    <row r="7441" spans="37:44" ht="30" customHeight="1">
      <c r="AK7441" s="318"/>
      <c r="AL7441" s="318"/>
      <c r="AM7441" s="318"/>
      <c r="AN7441" s="318"/>
      <c r="AO7441" s="318"/>
      <c r="AP7441" s="318"/>
      <c r="AQ7441" s="318"/>
      <c r="AR7441" s="319"/>
    </row>
    <row r="7442" spans="37:44" ht="30" customHeight="1">
      <c r="AK7442" s="318"/>
      <c r="AL7442" s="318"/>
      <c r="AM7442" s="318"/>
      <c r="AN7442" s="318"/>
      <c r="AO7442" s="318"/>
      <c r="AP7442" s="318"/>
      <c r="AQ7442" s="318"/>
      <c r="AR7442" s="319"/>
    </row>
    <row r="7443" spans="37:44" ht="30" customHeight="1">
      <c r="AK7443" s="318"/>
      <c r="AL7443" s="318"/>
      <c r="AM7443" s="318"/>
      <c r="AN7443" s="318"/>
      <c r="AO7443" s="318"/>
      <c r="AP7443" s="318"/>
      <c r="AQ7443" s="318"/>
      <c r="AR7443" s="319"/>
    </row>
    <row r="7444" spans="37:44" ht="30" customHeight="1">
      <c r="AK7444" s="318"/>
      <c r="AL7444" s="318"/>
      <c r="AM7444" s="318"/>
      <c r="AN7444" s="318"/>
      <c r="AO7444" s="318"/>
      <c r="AP7444" s="318"/>
      <c r="AQ7444" s="318"/>
      <c r="AR7444" s="319"/>
    </row>
    <row r="7445" spans="37:44" ht="30" customHeight="1">
      <c r="AK7445" s="318"/>
      <c r="AL7445" s="318"/>
      <c r="AM7445" s="318"/>
      <c r="AN7445" s="318"/>
      <c r="AO7445" s="318"/>
      <c r="AP7445" s="318"/>
      <c r="AQ7445" s="318"/>
      <c r="AR7445" s="319"/>
    </row>
    <row r="7446" spans="37:44" ht="30" customHeight="1">
      <c r="AK7446" s="318"/>
      <c r="AL7446" s="318"/>
      <c r="AM7446" s="318"/>
      <c r="AN7446" s="318"/>
      <c r="AO7446" s="318"/>
      <c r="AP7446" s="318"/>
      <c r="AQ7446" s="318"/>
      <c r="AR7446" s="319"/>
    </row>
    <row r="7447" spans="37:44" ht="30" customHeight="1">
      <c r="AK7447" s="318"/>
      <c r="AL7447" s="318"/>
      <c r="AM7447" s="318"/>
      <c r="AN7447" s="318"/>
      <c r="AO7447" s="318"/>
      <c r="AP7447" s="318"/>
      <c r="AQ7447" s="318"/>
      <c r="AR7447" s="319"/>
    </row>
    <row r="7448" spans="37:44" ht="30" customHeight="1">
      <c r="AK7448" s="318"/>
      <c r="AL7448" s="318"/>
      <c r="AM7448" s="318"/>
      <c r="AN7448" s="318"/>
      <c r="AO7448" s="318"/>
      <c r="AP7448" s="318"/>
      <c r="AQ7448" s="318"/>
      <c r="AR7448" s="319"/>
    </row>
    <row r="7449" spans="37:44" ht="30" customHeight="1">
      <c r="AK7449" s="318"/>
      <c r="AL7449" s="318"/>
      <c r="AM7449" s="318"/>
      <c r="AN7449" s="318"/>
      <c r="AO7449" s="318"/>
      <c r="AP7449" s="318"/>
      <c r="AQ7449" s="318"/>
      <c r="AR7449" s="319"/>
    </row>
    <row r="7450" spans="37:44" ht="30" customHeight="1">
      <c r="AK7450" s="318"/>
      <c r="AL7450" s="318"/>
      <c r="AM7450" s="318"/>
      <c r="AN7450" s="318"/>
      <c r="AO7450" s="318"/>
      <c r="AP7450" s="318"/>
      <c r="AQ7450" s="318"/>
      <c r="AR7450" s="319"/>
    </row>
    <row r="7451" spans="37:44" ht="30" customHeight="1">
      <c r="AK7451" s="318"/>
      <c r="AL7451" s="318"/>
      <c r="AM7451" s="318"/>
      <c r="AN7451" s="318"/>
      <c r="AO7451" s="318"/>
      <c r="AP7451" s="318"/>
      <c r="AQ7451" s="318"/>
      <c r="AR7451" s="319"/>
    </row>
    <row r="7452" spans="37:44" ht="30" customHeight="1">
      <c r="AK7452" s="318"/>
      <c r="AL7452" s="318"/>
      <c r="AM7452" s="318"/>
      <c r="AN7452" s="318"/>
      <c r="AO7452" s="318"/>
      <c r="AP7452" s="318"/>
      <c r="AQ7452" s="318"/>
      <c r="AR7452" s="319"/>
    </row>
    <row r="7453" spans="37:44" ht="30" customHeight="1">
      <c r="AK7453" s="318"/>
      <c r="AL7453" s="318"/>
      <c r="AM7453" s="318"/>
      <c r="AN7453" s="318"/>
      <c r="AO7453" s="318"/>
      <c r="AP7453" s="318"/>
      <c r="AQ7453" s="318"/>
      <c r="AR7453" s="319"/>
    </row>
    <row r="7454" spans="37:44" ht="30" customHeight="1">
      <c r="AK7454" s="318"/>
      <c r="AL7454" s="318"/>
      <c r="AM7454" s="318"/>
      <c r="AN7454" s="318"/>
      <c r="AO7454" s="318"/>
      <c r="AP7454" s="318"/>
      <c r="AQ7454" s="318"/>
      <c r="AR7454" s="319"/>
    </row>
    <row r="7455" spans="37:44" ht="30" customHeight="1">
      <c r="AK7455" s="318"/>
      <c r="AL7455" s="318"/>
      <c r="AM7455" s="318"/>
      <c r="AN7455" s="318"/>
      <c r="AO7455" s="318"/>
      <c r="AP7455" s="318"/>
      <c r="AQ7455" s="318"/>
      <c r="AR7455" s="319"/>
    </row>
    <row r="7456" spans="37:44" ht="30" customHeight="1">
      <c r="AK7456" s="318"/>
      <c r="AL7456" s="318"/>
      <c r="AM7456" s="318"/>
      <c r="AN7456" s="318"/>
      <c r="AO7456" s="318"/>
      <c r="AP7456" s="318"/>
      <c r="AQ7456" s="318"/>
      <c r="AR7456" s="319"/>
    </row>
    <row r="7457" spans="37:44" ht="30" customHeight="1">
      <c r="AK7457" s="318"/>
      <c r="AL7457" s="318"/>
      <c r="AM7457" s="318"/>
      <c r="AN7457" s="318"/>
      <c r="AO7457" s="318"/>
      <c r="AP7457" s="318"/>
      <c r="AQ7457" s="318"/>
      <c r="AR7457" s="319"/>
    </row>
    <row r="7458" spans="37:44" ht="30" customHeight="1">
      <c r="AK7458" s="318"/>
      <c r="AL7458" s="318"/>
      <c r="AM7458" s="318"/>
      <c r="AN7458" s="318"/>
      <c r="AO7458" s="318"/>
      <c r="AP7458" s="318"/>
      <c r="AQ7458" s="318"/>
      <c r="AR7458" s="319"/>
    </row>
    <row r="7459" spans="37:44" ht="30" customHeight="1">
      <c r="AK7459" s="318"/>
      <c r="AL7459" s="318"/>
      <c r="AM7459" s="318"/>
      <c r="AN7459" s="318"/>
      <c r="AO7459" s="318"/>
      <c r="AP7459" s="318"/>
      <c r="AQ7459" s="318"/>
      <c r="AR7459" s="319"/>
    </row>
    <row r="7460" spans="37:44" ht="30" customHeight="1">
      <c r="AK7460" s="318"/>
      <c r="AL7460" s="318"/>
      <c r="AM7460" s="318"/>
      <c r="AN7460" s="318"/>
      <c r="AO7460" s="318"/>
      <c r="AP7460" s="318"/>
      <c r="AQ7460" s="318"/>
      <c r="AR7460" s="319"/>
    </row>
    <row r="7461" spans="37:44" ht="30" customHeight="1">
      <c r="AK7461" s="318"/>
      <c r="AL7461" s="318"/>
      <c r="AM7461" s="318"/>
      <c r="AN7461" s="318"/>
      <c r="AO7461" s="318"/>
      <c r="AP7461" s="318"/>
      <c r="AQ7461" s="318"/>
      <c r="AR7461" s="319"/>
    </row>
    <row r="7462" spans="37:44" ht="30" customHeight="1">
      <c r="AK7462" s="318"/>
      <c r="AL7462" s="318"/>
      <c r="AM7462" s="318"/>
      <c r="AN7462" s="318"/>
      <c r="AO7462" s="318"/>
      <c r="AP7462" s="318"/>
      <c r="AQ7462" s="318"/>
      <c r="AR7462" s="319"/>
    </row>
    <row r="7463" spans="37:44" ht="30" customHeight="1">
      <c r="AK7463" s="318"/>
      <c r="AL7463" s="318"/>
      <c r="AM7463" s="318"/>
      <c r="AN7463" s="318"/>
      <c r="AO7463" s="318"/>
      <c r="AP7463" s="318"/>
      <c r="AQ7463" s="318"/>
      <c r="AR7463" s="319"/>
    </row>
    <row r="7464" spans="37:44" ht="30" customHeight="1">
      <c r="AK7464" s="318"/>
      <c r="AL7464" s="318"/>
      <c r="AM7464" s="318"/>
      <c r="AN7464" s="318"/>
      <c r="AO7464" s="318"/>
      <c r="AP7464" s="318"/>
      <c r="AQ7464" s="318"/>
      <c r="AR7464" s="319"/>
    </row>
    <row r="7465" spans="37:44" ht="30" customHeight="1">
      <c r="AK7465" s="318"/>
      <c r="AL7465" s="318"/>
      <c r="AM7465" s="318"/>
      <c r="AN7465" s="318"/>
      <c r="AO7465" s="318"/>
      <c r="AP7465" s="318"/>
      <c r="AQ7465" s="318"/>
      <c r="AR7465" s="319"/>
    </row>
    <row r="7466" spans="37:44" ht="30" customHeight="1">
      <c r="AK7466" s="318"/>
      <c r="AL7466" s="318"/>
      <c r="AM7466" s="318"/>
      <c r="AN7466" s="318"/>
      <c r="AO7466" s="318"/>
      <c r="AP7466" s="318"/>
      <c r="AQ7466" s="318"/>
      <c r="AR7466" s="319"/>
    </row>
    <row r="7467" spans="37:44" ht="30" customHeight="1">
      <c r="AK7467" s="318"/>
      <c r="AL7467" s="318"/>
      <c r="AM7467" s="318"/>
      <c r="AN7467" s="318"/>
      <c r="AO7467" s="318"/>
      <c r="AP7467" s="318"/>
      <c r="AQ7467" s="318"/>
      <c r="AR7467" s="319"/>
    </row>
    <row r="7468" spans="37:44" ht="30" customHeight="1">
      <c r="AK7468" s="318"/>
      <c r="AL7468" s="318"/>
      <c r="AM7468" s="318"/>
      <c r="AN7468" s="318"/>
      <c r="AO7468" s="318"/>
      <c r="AP7468" s="318"/>
      <c r="AQ7468" s="318"/>
      <c r="AR7468" s="319"/>
    </row>
    <row r="7469" spans="37:44" ht="30" customHeight="1">
      <c r="AK7469" s="318"/>
      <c r="AL7469" s="318"/>
      <c r="AM7469" s="318"/>
      <c r="AN7469" s="318"/>
      <c r="AO7469" s="318"/>
      <c r="AP7469" s="318"/>
      <c r="AQ7469" s="318"/>
      <c r="AR7469" s="319"/>
    </row>
    <row r="7470" spans="37:44" ht="30" customHeight="1">
      <c r="AK7470" s="318"/>
      <c r="AL7470" s="318"/>
      <c r="AM7470" s="318"/>
      <c r="AN7470" s="318"/>
      <c r="AO7470" s="318"/>
      <c r="AP7470" s="318"/>
      <c r="AQ7470" s="318"/>
      <c r="AR7470" s="319"/>
    </row>
    <row r="7471" spans="37:44" ht="30" customHeight="1">
      <c r="AK7471" s="318"/>
      <c r="AL7471" s="318"/>
      <c r="AM7471" s="318"/>
      <c r="AN7471" s="318"/>
      <c r="AO7471" s="318"/>
      <c r="AP7471" s="318"/>
      <c r="AQ7471" s="318"/>
      <c r="AR7471" s="319"/>
    </row>
    <row r="7472" spans="37:44" ht="30" customHeight="1">
      <c r="AK7472" s="318"/>
      <c r="AL7472" s="318"/>
      <c r="AM7472" s="318"/>
      <c r="AN7472" s="318"/>
      <c r="AO7472" s="318"/>
      <c r="AP7472" s="318"/>
      <c r="AQ7472" s="318"/>
      <c r="AR7472" s="319"/>
    </row>
    <row r="7473" spans="37:44" ht="30" customHeight="1">
      <c r="AK7473" s="318"/>
      <c r="AL7473" s="318"/>
      <c r="AM7473" s="318"/>
      <c r="AN7473" s="318"/>
      <c r="AO7473" s="318"/>
      <c r="AP7473" s="318"/>
      <c r="AQ7473" s="318"/>
      <c r="AR7473" s="319"/>
    </row>
    <row r="7474" spans="37:44" ht="30" customHeight="1">
      <c r="AK7474" s="318"/>
      <c r="AL7474" s="318"/>
      <c r="AM7474" s="318"/>
      <c r="AN7474" s="318"/>
      <c r="AO7474" s="318"/>
      <c r="AP7474" s="318"/>
      <c r="AQ7474" s="318"/>
      <c r="AR7474" s="319"/>
    </row>
    <row r="7475" spans="37:44" ht="30" customHeight="1">
      <c r="AK7475" s="318"/>
      <c r="AL7475" s="318"/>
      <c r="AM7475" s="318"/>
      <c r="AN7475" s="318"/>
      <c r="AO7475" s="318"/>
      <c r="AP7475" s="318"/>
      <c r="AQ7475" s="318"/>
      <c r="AR7475" s="319"/>
    </row>
    <row r="7476" spans="37:44" ht="30" customHeight="1">
      <c r="AK7476" s="318"/>
      <c r="AL7476" s="318"/>
      <c r="AM7476" s="318"/>
      <c r="AN7476" s="318"/>
      <c r="AO7476" s="318"/>
      <c r="AP7476" s="318"/>
      <c r="AQ7476" s="318"/>
      <c r="AR7476" s="319"/>
    </row>
    <row r="7477" spans="37:44" ht="30" customHeight="1">
      <c r="AK7477" s="318"/>
      <c r="AL7477" s="318"/>
      <c r="AM7477" s="318"/>
      <c r="AN7477" s="318"/>
      <c r="AO7477" s="318"/>
      <c r="AP7477" s="318"/>
      <c r="AQ7477" s="318"/>
      <c r="AR7477" s="319"/>
    </row>
    <row r="7478" spans="37:44" ht="30" customHeight="1">
      <c r="AK7478" s="318"/>
      <c r="AL7478" s="318"/>
      <c r="AM7478" s="318"/>
      <c r="AN7478" s="318"/>
      <c r="AO7478" s="318"/>
      <c r="AP7478" s="318"/>
      <c r="AQ7478" s="318"/>
      <c r="AR7478" s="319"/>
    </row>
    <row r="7479" spans="37:44" ht="30" customHeight="1">
      <c r="AK7479" s="318"/>
      <c r="AL7479" s="318"/>
      <c r="AM7479" s="318"/>
      <c r="AN7479" s="318"/>
      <c r="AO7479" s="318"/>
      <c r="AP7479" s="318"/>
      <c r="AQ7479" s="318"/>
      <c r="AR7479" s="319"/>
    </row>
    <row r="7480" spans="37:44" ht="30" customHeight="1">
      <c r="AK7480" s="318"/>
      <c r="AL7480" s="318"/>
      <c r="AM7480" s="318"/>
      <c r="AN7480" s="318"/>
      <c r="AO7480" s="318"/>
      <c r="AP7480" s="318"/>
      <c r="AQ7480" s="318"/>
      <c r="AR7480" s="319"/>
    </row>
    <row r="7481" spans="37:44" ht="30" customHeight="1">
      <c r="AK7481" s="318"/>
      <c r="AL7481" s="318"/>
      <c r="AM7481" s="318"/>
      <c r="AN7481" s="318"/>
      <c r="AO7481" s="318"/>
      <c r="AP7481" s="318"/>
      <c r="AQ7481" s="318"/>
      <c r="AR7481" s="319"/>
    </row>
    <row r="7482" spans="37:44" ht="30" customHeight="1">
      <c r="AK7482" s="318"/>
      <c r="AL7482" s="318"/>
      <c r="AM7482" s="318"/>
      <c r="AN7482" s="318"/>
      <c r="AO7482" s="318"/>
      <c r="AP7482" s="318"/>
      <c r="AQ7482" s="318"/>
      <c r="AR7482" s="319"/>
    </row>
    <row r="7483" spans="37:44" ht="30" customHeight="1">
      <c r="AK7483" s="318"/>
      <c r="AL7483" s="318"/>
      <c r="AM7483" s="318"/>
      <c r="AN7483" s="318"/>
      <c r="AO7483" s="318"/>
      <c r="AP7483" s="318"/>
      <c r="AQ7483" s="318"/>
      <c r="AR7483" s="319"/>
    </row>
    <row r="7484" spans="37:44" ht="30" customHeight="1">
      <c r="AK7484" s="318"/>
      <c r="AL7484" s="318"/>
      <c r="AM7484" s="318"/>
      <c r="AN7484" s="318"/>
      <c r="AO7484" s="318"/>
      <c r="AP7484" s="318"/>
      <c r="AQ7484" s="318"/>
      <c r="AR7484" s="319"/>
    </row>
    <row r="7485" spans="37:44" ht="30" customHeight="1">
      <c r="AK7485" s="318"/>
      <c r="AL7485" s="318"/>
      <c r="AM7485" s="318"/>
      <c r="AN7485" s="318"/>
      <c r="AO7485" s="318"/>
      <c r="AP7485" s="318"/>
      <c r="AQ7485" s="318"/>
      <c r="AR7485" s="319"/>
    </row>
    <row r="7486" spans="37:44" ht="30" customHeight="1">
      <c r="AK7486" s="318"/>
      <c r="AL7486" s="318"/>
      <c r="AM7486" s="318"/>
      <c r="AN7486" s="318"/>
      <c r="AO7486" s="318"/>
      <c r="AP7486" s="318"/>
      <c r="AQ7486" s="318"/>
      <c r="AR7486" s="319"/>
    </row>
    <row r="7487" spans="37:44" ht="30" customHeight="1">
      <c r="AK7487" s="318"/>
      <c r="AL7487" s="318"/>
      <c r="AM7487" s="318"/>
      <c r="AN7487" s="318"/>
      <c r="AO7487" s="318"/>
      <c r="AP7487" s="318"/>
      <c r="AQ7487" s="318"/>
      <c r="AR7487" s="319"/>
    </row>
    <row r="7488" spans="37:44" ht="30" customHeight="1">
      <c r="AK7488" s="318"/>
      <c r="AL7488" s="318"/>
      <c r="AM7488" s="318"/>
      <c r="AN7488" s="318"/>
      <c r="AO7488" s="318"/>
      <c r="AP7488" s="318"/>
      <c r="AQ7488" s="318"/>
      <c r="AR7488" s="319"/>
    </row>
    <row r="7489" spans="37:44" ht="30" customHeight="1">
      <c r="AK7489" s="318"/>
      <c r="AL7489" s="318"/>
      <c r="AM7489" s="318"/>
      <c r="AN7489" s="318"/>
      <c r="AO7489" s="318"/>
      <c r="AP7489" s="318"/>
      <c r="AQ7489" s="318"/>
      <c r="AR7489" s="319"/>
    </row>
    <row r="7490" spans="37:44" ht="30" customHeight="1">
      <c r="AK7490" s="318"/>
      <c r="AL7490" s="318"/>
      <c r="AM7490" s="318"/>
      <c r="AN7490" s="318"/>
      <c r="AO7490" s="318"/>
      <c r="AP7490" s="318"/>
      <c r="AQ7490" s="318"/>
      <c r="AR7490" s="319"/>
    </row>
    <row r="7491" spans="37:44" ht="30" customHeight="1">
      <c r="AK7491" s="318"/>
      <c r="AL7491" s="318"/>
      <c r="AM7491" s="318"/>
      <c r="AN7491" s="318"/>
      <c r="AO7491" s="318"/>
      <c r="AP7491" s="318"/>
      <c r="AQ7491" s="318"/>
      <c r="AR7491" s="319"/>
    </row>
    <row r="7492" spans="37:44" ht="30" customHeight="1">
      <c r="AK7492" s="318"/>
      <c r="AL7492" s="318"/>
      <c r="AM7492" s="318"/>
      <c r="AN7492" s="318"/>
      <c r="AO7492" s="318"/>
      <c r="AP7492" s="318"/>
      <c r="AQ7492" s="318"/>
      <c r="AR7492" s="319"/>
    </row>
    <row r="7493" spans="37:44" ht="30" customHeight="1">
      <c r="AK7493" s="318"/>
      <c r="AL7493" s="318"/>
      <c r="AM7493" s="318"/>
      <c r="AN7493" s="318"/>
      <c r="AO7493" s="318"/>
      <c r="AP7493" s="318"/>
      <c r="AQ7493" s="318"/>
      <c r="AR7493" s="319"/>
    </row>
    <row r="7494" spans="37:44" ht="30" customHeight="1">
      <c r="AK7494" s="318"/>
      <c r="AL7494" s="318"/>
      <c r="AM7494" s="318"/>
      <c r="AN7494" s="318"/>
      <c r="AO7494" s="318"/>
      <c r="AP7494" s="318"/>
      <c r="AQ7494" s="318"/>
      <c r="AR7494" s="319"/>
    </row>
    <row r="7495" spans="37:44" ht="30" customHeight="1">
      <c r="AK7495" s="318"/>
      <c r="AL7495" s="318"/>
      <c r="AM7495" s="318"/>
      <c r="AN7495" s="318"/>
      <c r="AO7495" s="318"/>
      <c r="AP7495" s="318"/>
      <c r="AQ7495" s="318"/>
      <c r="AR7495" s="319"/>
    </row>
    <row r="7496" spans="37:44" ht="30" customHeight="1">
      <c r="AK7496" s="318"/>
      <c r="AL7496" s="318"/>
      <c r="AM7496" s="318"/>
      <c r="AN7496" s="318"/>
      <c r="AO7496" s="318"/>
      <c r="AP7496" s="318"/>
      <c r="AQ7496" s="318"/>
      <c r="AR7496" s="319"/>
    </row>
    <row r="7497" spans="37:44" ht="30" customHeight="1">
      <c r="AK7497" s="318"/>
      <c r="AL7497" s="318"/>
      <c r="AM7497" s="318"/>
      <c r="AN7497" s="318"/>
      <c r="AO7497" s="318"/>
      <c r="AP7497" s="318"/>
      <c r="AQ7497" s="318"/>
      <c r="AR7497" s="319"/>
    </row>
    <row r="7498" spans="37:44" ht="30" customHeight="1">
      <c r="AK7498" s="318"/>
      <c r="AL7498" s="318"/>
      <c r="AM7498" s="318"/>
      <c r="AN7498" s="318"/>
      <c r="AO7498" s="318"/>
      <c r="AP7498" s="318"/>
      <c r="AQ7498" s="318"/>
      <c r="AR7498" s="319"/>
    </row>
    <row r="7499" spans="37:44" ht="30" customHeight="1">
      <c r="AK7499" s="318"/>
      <c r="AL7499" s="318"/>
      <c r="AM7499" s="318"/>
      <c r="AN7499" s="318"/>
      <c r="AO7499" s="318"/>
      <c r="AP7499" s="318"/>
      <c r="AQ7499" s="318"/>
      <c r="AR7499" s="319"/>
    </row>
    <row r="7500" spans="37:44" ht="30" customHeight="1">
      <c r="AK7500" s="318"/>
      <c r="AL7500" s="318"/>
      <c r="AM7500" s="318"/>
      <c r="AN7500" s="318"/>
      <c r="AO7500" s="318"/>
      <c r="AP7500" s="318"/>
      <c r="AQ7500" s="318"/>
      <c r="AR7500" s="319"/>
    </row>
    <row r="7501" spans="37:44" ht="30" customHeight="1">
      <c r="AK7501" s="318"/>
      <c r="AL7501" s="318"/>
      <c r="AM7501" s="318"/>
      <c r="AN7501" s="318"/>
      <c r="AO7501" s="318"/>
      <c r="AP7501" s="318"/>
      <c r="AQ7501" s="318"/>
      <c r="AR7501" s="319"/>
    </row>
    <row r="7502" spans="37:44" ht="30" customHeight="1">
      <c r="AK7502" s="318"/>
      <c r="AL7502" s="318"/>
      <c r="AM7502" s="318"/>
      <c r="AN7502" s="318"/>
      <c r="AO7502" s="318"/>
      <c r="AP7502" s="318"/>
      <c r="AQ7502" s="318"/>
      <c r="AR7502" s="319"/>
    </row>
    <row r="7503" spans="37:44" ht="30" customHeight="1">
      <c r="AK7503" s="318"/>
      <c r="AL7503" s="318"/>
      <c r="AM7503" s="318"/>
      <c r="AN7503" s="318"/>
      <c r="AO7503" s="318"/>
      <c r="AP7503" s="318"/>
      <c r="AQ7503" s="318"/>
      <c r="AR7503" s="319"/>
    </row>
    <row r="7504" spans="37:44" ht="30" customHeight="1">
      <c r="AK7504" s="318"/>
      <c r="AL7504" s="318"/>
      <c r="AM7504" s="318"/>
      <c r="AN7504" s="318"/>
      <c r="AO7504" s="318"/>
      <c r="AP7504" s="318"/>
      <c r="AQ7504" s="318"/>
      <c r="AR7504" s="319"/>
    </row>
    <row r="7505" spans="37:44" ht="30" customHeight="1">
      <c r="AK7505" s="318"/>
      <c r="AL7505" s="318"/>
      <c r="AM7505" s="318"/>
      <c r="AN7505" s="318"/>
      <c r="AO7505" s="318"/>
      <c r="AP7505" s="318"/>
      <c r="AQ7505" s="318"/>
      <c r="AR7505" s="319"/>
    </row>
    <row r="7506" spans="37:44" ht="30" customHeight="1">
      <c r="AK7506" s="318"/>
      <c r="AL7506" s="318"/>
      <c r="AM7506" s="318"/>
      <c r="AN7506" s="318"/>
      <c r="AO7506" s="318"/>
      <c r="AP7506" s="318"/>
      <c r="AQ7506" s="318"/>
      <c r="AR7506" s="319"/>
    </row>
    <row r="7507" spans="37:44" ht="30" customHeight="1">
      <c r="AK7507" s="318"/>
      <c r="AL7507" s="318"/>
      <c r="AM7507" s="318"/>
      <c r="AN7507" s="318"/>
      <c r="AO7507" s="318"/>
      <c r="AP7507" s="318"/>
      <c r="AQ7507" s="318"/>
      <c r="AR7507" s="319"/>
    </row>
    <row r="7508" spans="37:44" ht="30" customHeight="1">
      <c r="AK7508" s="318"/>
      <c r="AL7508" s="318"/>
      <c r="AM7508" s="318"/>
      <c r="AN7508" s="318"/>
      <c r="AO7508" s="318"/>
      <c r="AP7508" s="318"/>
      <c r="AQ7508" s="318"/>
      <c r="AR7508" s="319"/>
    </row>
    <row r="7509" spans="37:44" ht="30" customHeight="1">
      <c r="AK7509" s="318"/>
      <c r="AL7509" s="318"/>
      <c r="AM7509" s="318"/>
      <c r="AN7509" s="318"/>
      <c r="AO7509" s="318"/>
      <c r="AP7509" s="318"/>
      <c r="AQ7509" s="318"/>
      <c r="AR7509" s="319"/>
    </row>
    <row r="7510" spans="37:44" ht="30" customHeight="1">
      <c r="AK7510" s="318"/>
      <c r="AL7510" s="318"/>
      <c r="AM7510" s="318"/>
      <c r="AN7510" s="318"/>
      <c r="AO7510" s="318"/>
      <c r="AP7510" s="318"/>
      <c r="AQ7510" s="318"/>
      <c r="AR7510" s="319"/>
    </row>
    <row r="7511" spans="37:44" ht="30" customHeight="1">
      <c r="AK7511" s="318"/>
      <c r="AL7511" s="318"/>
      <c r="AM7511" s="318"/>
      <c r="AN7511" s="318"/>
      <c r="AO7511" s="318"/>
      <c r="AP7511" s="318"/>
      <c r="AQ7511" s="318"/>
      <c r="AR7511" s="319"/>
    </row>
    <row r="7512" spans="37:44" ht="30" customHeight="1">
      <c r="AK7512" s="318"/>
      <c r="AL7512" s="318"/>
      <c r="AM7512" s="318"/>
      <c r="AN7512" s="318"/>
      <c r="AO7512" s="318"/>
      <c r="AP7512" s="318"/>
      <c r="AQ7512" s="318"/>
      <c r="AR7512" s="319"/>
    </row>
    <row r="7513" spans="37:44" ht="30" customHeight="1">
      <c r="AK7513" s="318"/>
      <c r="AL7513" s="318"/>
      <c r="AM7513" s="318"/>
      <c r="AN7513" s="318"/>
      <c r="AO7513" s="318"/>
      <c r="AP7513" s="318"/>
      <c r="AQ7513" s="318"/>
      <c r="AR7513" s="319"/>
    </row>
    <row r="7514" spans="37:44" ht="30" customHeight="1">
      <c r="AK7514" s="318"/>
      <c r="AL7514" s="318"/>
      <c r="AM7514" s="318"/>
      <c r="AN7514" s="318"/>
      <c r="AO7514" s="318"/>
      <c r="AP7514" s="318"/>
      <c r="AQ7514" s="318"/>
      <c r="AR7514" s="319"/>
    </row>
    <row r="7515" spans="37:44" ht="30" customHeight="1">
      <c r="AK7515" s="318"/>
      <c r="AL7515" s="318"/>
      <c r="AM7515" s="318"/>
      <c r="AN7515" s="318"/>
      <c r="AO7515" s="318"/>
      <c r="AP7515" s="318"/>
      <c r="AQ7515" s="318"/>
      <c r="AR7515" s="319"/>
    </row>
    <row r="7516" spans="37:44" ht="30" customHeight="1">
      <c r="AK7516" s="318"/>
      <c r="AL7516" s="318"/>
      <c r="AM7516" s="318"/>
      <c r="AN7516" s="318"/>
      <c r="AO7516" s="318"/>
      <c r="AP7516" s="318"/>
      <c r="AQ7516" s="318"/>
      <c r="AR7516" s="319"/>
    </row>
    <row r="7517" spans="37:44" ht="30" customHeight="1">
      <c r="AK7517" s="318"/>
      <c r="AL7517" s="318"/>
      <c r="AM7517" s="318"/>
      <c r="AN7517" s="318"/>
      <c r="AO7517" s="318"/>
      <c r="AP7517" s="318"/>
      <c r="AQ7517" s="318"/>
      <c r="AR7517" s="319"/>
    </row>
    <row r="7518" spans="37:44" ht="30" customHeight="1">
      <c r="AK7518" s="318"/>
      <c r="AL7518" s="318"/>
      <c r="AM7518" s="318"/>
      <c r="AN7518" s="318"/>
      <c r="AO7518" s="318"/>
      <c r="AP7518" s="318"/>
      <c r="AQ7518" s="318"/>
      <c r="AR7518" s="319"/>
    </row>
    <row r="7519" spans="37:44" ht="30" customHeight="1">
      <c r="AK7519" s="318"/>
      <c r="AL7519" s="318"/>
      <c r="AM7519" s="318"/>
      <c r="AN7519" s="318"/>
      <c r="AO7519" s="318"/>
      <c r="AP7519" s="318"/>
      <c r="AQ7519" s="318"/>
      <c r="AR7519" s="319"/>
    </row>
    <row r="7520" spans="37:44" ht="30" customHeight="1">
      <c r="AK7520" s="318"/>
      <c r="AL7520" s="318"/>
      <c r="AM7520" s="318"/>
      <c r="AN7520" s="318"/>
      <c r="AO7520" s="318"/>
      <c r="AP7520" s="318"/>
      <c r="AQ7520" s="318"/>
      <c r="AR7520" s="319"/>
    </row>
    <row r="7521" spans="37:44" ht="30" customHeight="1">
      <c r="AK7521" s="318"/>
      <c r="AL7521" s="318"/>
      <c r="AM7521" s="318"/>
      <c r="AN7521" s="318"/>
      <c r="AO7521" s="318"/>
      <c r="AP7521" s="318"/>
      <c r="AQ7521" s="318"/>
      <c r="AR7521" s="319"/>
    </row>
    <row r="7522" spans="37:44" ht="30" customHeight="1">
      <c r="AK7522" s="318"/>
      <c r="AL7522" s="318"/>
      <c r="AM7522" s="318"/>
      <c r="AN7522" s="318"/>
      <c r="AO7522" s="318"/>
      <c r="AP7522" s="318"/>
      <c r="AQ7522" s="318"/>
      <c r="AR7522" s="319"/>
    </row>
    <row r="7523" spans="37:44" ht="30" customHeight="1">
      <c r="AK7523" s="318"/>
      <c r="AL7523" s="318"/>
      <c r="AM7523" s="318"/>
      <c r="AN7523" s="318"/>
      <c r="AO7523" s="318"/>
      <c r="AP7523" s="318"/>
      <c r="AQ7523" s="318"/>
      <c r="AR7523" s="319"/>
    </row>
    <row r="7524" spans="37:44" ht="30" customHeight="1">
      <c r="AK7524" s="318"/>
      <c r="AL7524" s="318"/>
      <c r="AM7524" s="318"/>
      <c r="AN7524" s="318"/>
      <c r="AO7524" s="318"/>
      <c r="AP7524" s="318"/>
      <c r="AQ7524" s="318"/>
      <c r="AR7524" s="319"/>
    </row>
    <row r="7525" spans="37:44" ht="30" customHeight="1">
      <c r="AK7525" s="318"/>
      <c r="AL7525" s="318"/>
      <c r="AM7525" s="318"/>
      <c r="AN7525" s="318"/>
      <c r="AO7525" s="318"/>
      <c r="AP7525" s="318"/>
      <c r="AQ7525" s="318"/>
      <c r="AR7525" s="319"/>
    </row>
    <row r="7526" spans="37:44" ht="30" customHeight="1">
      <c r="AK7526" s="318"/>
      <c r="AL7526" s="318"/>
      <c r="AM7526" s="318"/>
      <c r="AN7526" s="318"/>
      <c r="AO7526" s="318"/>
      <c r="AP7526" s="318"/>
      <c r="AQ7526" s="318"/>
      <c r="AR7526" s="319"/>
    </row>
    <row r="7527" spans="37:44" ht="30" customHeight="1">
      <c r="AK7527" s="318"/>
      <c r="AL7527" s="318"/>
      <c r="AM7527" s="318"/>
      <c r="AN7527" s="318"/>
      <c r="AO7527" s="318"/>
      <c r="AP7527" s="318"/>
      <c r="AQ7527" s="318"/>
      <c r="AR7527" s="319"/>
    </row>
    <row r="7528" spans="37:44" ht="30" customHeight="1">
      <c r="AK7528" s="318"/>
      <c r="AL7528" s="318"/>
      <c r="AM7528" s="318"/>
      <c r="AN7528" s="318"/>
      <c r="AO7528" s="318"/>
      <c r="AP7528" s="318"/>
      <c r="AQ7528" s="318"/>
      <c r="AR7528" s="319"/>
    </row>
    <row r="7529" spans="37:44" ht="30" customHeight="1">
      <c r="AK7529" s="318"/>
      <c r="AL7529" s="318"/>
      <c r="AM7529" s="318"/>
      <c r="AN7529" s="318"/>
      <c r="AO7529" s="318"/>
      <c r="AP7529" s="318"/>
      <c r="AQ7529" s="318"/>
      <c r="AR7529" s="319"/>
    </row>
    <row r="7530" spans="37:44" ht="30" customHeight="1">
      <c r="AK7530" s="318"/>
      <c r="AL7530" s="318"/>
      <c r="AM7530" s="318"/>
      <c r="AN7530" s="318"/>
      <c r="AO7530" s="318"/>
      <c r="AP7530" s="318"/>
      <c r="AQ7530" s="318"/>
      <c r="AR7530" s="319"/>
    </row>
    <row r="7531" spans="37:44" ht="30" customHeight="1">
      <c r="AK7531" s="318"/>
      <c r="AL7531" s="318"/>
      <c r="AM7531" s="318"/>
      <c r="AN7531" s="318"/>
      <c r="AO7531" s="318"/>
      <c r="AP7531" s="318"/>
      <c r="AQ7531" s="318"/>
      <c r="AR7531" s="319"/>
    </row>
    <row r="7532" spans="37:44" ht="30" customHeight="1">
      <c r="AK7532" s="318"/>
      <c r="AL7532" s="318"/>
      <c r="AM7532" s="318"/>
      <c r="AN7532" s="318"/>
      <c r="AO7532" s="318"/>
      <c r="AP7532" s="318"/>
      <c r="AQ7532" s="318"/>
      <c r="AR7532" s="319"/>
    </row>
    <row r="7533" spans="37:44" ht="30" customHeight="1">
      <c r="AK7533" s="318"/>
      <c r="AL7533" s="318"/>
      <c r="AM7533" s="318"/>
      <c r="AN7533" s="318"/>
      <c r="AO7533" s="318"/>
      <c r="AP7533" s="318"/>
      <c r="AQ7533" s="318"/>
      <c r="AR7533" s="319"/>
    </row>
    <row r="7534" spans="37:44" ht="30" customHeight="1">
      <c r="AK7534" s="318"/>
      <c r="AL7534" s="318"/>
      <c r="AM7534" s="318"/>
      <c r="AN7534" s="318"/>
      <c r="AO7534" s="318"/>
      <c r="AP7534" s="318"/>
      <c r="AQ7534" s="318"/>
      <c r="AR7534" s="319"/>
    </row>
    <row r="7535" spans="37:44" ht="30" customHeight="1">
      <c r="AK7535" s="318"/>
      <c r="AL7535" s="318"/>
      <c r="AM7535" s="318"/>
      <c r="AN7535" s="318"/>
      <c r="AO7535" s="318"/>
      <c r="AP7535" s="318"/>
      <c r="AQ7535" s="318"/>
      <c r="AR7535" s="319"/>
    </row>
    <row r="7536" spans="37:44" ht="30" customHeight="1">
      <c r="AK7536" s="318"/>
      <c r="AL7536" s="318"/>
      <c r="AM7536" s="318"/>
      <c r="AN7536" s="318"/>
      <c r="AO7536" s="318"/>
      <c r="AP7536" s="318"/>
      <c r="AQ7536" s="318"/>
      <c r="AR7536" s="319"/>
    </row>
    <row r="7537" spans="37:44" ht="30" customHeight="1">
      <c r="AK7537" s="318"/>
      <c r="AL7537" s="318"/>
      <c r="AM7537" s="318"/>
      <c r="AN7537" s="318"/>
      <c r="AO7537" s="318"/>
      <c r="AP7537" s="318"/>
      <c r="AQ7537" s="318"/>
      <c r="AR7537" s="319"/>
    </row>
    <row r="7538" spans="37:44" ht="30" customHeight="1">
      <c r="AK7538" s="318"/>
      <c r="AL7538" s="318"/>
      <c r="AM7538" s="318"/>
      <c r="AN7538" s="318"/>
      <c r="AO7538" s="318"/>
      <c r="AP7538" s="318"/>
      <c r="AQ7538" s="318"/>
      <c r="AR7538" s="319"/>
    </row>
    <row r="7539" spans="37:44" ht="30" customHeight="1">
      <c r="AK7539" s="318"/>
      <c r="AL7539" s="318"/>
      <c r="AM7539" s="318"/>
      <c r="AN7539" s="318"/>
      <c r="AO7539" s="318"/>
      <c r="AP7539" s="318"/>
      <c r="AQ7539" s="318"/>
      <c r="AR7539" s="319"/>
    </row>
    <row r="7540" spans="37:44" ht="30" customHeight="1">
      <c r="AK7540" s="318"/>
      <c r="AL7540" s="318"/>
      <c r="AM7540" s="318"/>
      <c r="AN7540" s="318"/>
      <c r="AO7540" s="318"/>
      <c r="AP7540" s="318"/>
      <c r="AQ7540" s="318"/>
      <c r="AR7540" s="319"/>
    </row>
    <row r="7541" spans="37:44" ht="30" customHeight="1">
      <c r="AK7541" s="318"/>
      <c r="AL7541" s="318"/>
      <c r="AM7541" s="318"/>
      <c r="AN7541" s="318"/>
      <c r="AO7541" s="318"/>
      <c r="AP7541" s="318"/>
      <c r="AQ7541" s="318"/>
      <c r="AR7541" s="319"/>
    </row>
    <row r="7542" spans="37:44" ht="30" customHeight="1">
      <c r="AK7542" s="318"/>
      <c r="AL7542" s="318"/>
      <c r="AM7542" s="318"/>
      <c r="AN7542" s="318"/>
      <c r="AO7542" s="318"/>
      <c r="AP7542" s="318"/>
      <c r="AQ7542" s="318"/>
      <c r="AR7542" s="319"/>
    </row>
    <row r="7543" spans="37:44" ht="30" customHeight="1">
      <c r="AK7543" s="318"/>
      <c r="AL7543" s="318"/>
      <c r="AM7543" s="318"/>
      <c r="AN7543" s="318"/>
      <c r="AO7543" s="318"/>
      <c r="AP7543" s="318"/>
      <c r="AQ7543" s="318"/>
      <c r="AR7543" s="319"/>
    </row>
    <row r="7544" spans="37:44" ht="30" customHeight="1">
      <c r="AK7544" s="318"/>
      <c r="AL7544" s="318"/>
      <c r="AM7544" s="318"/>
      <c r="AN7544" s="318"/>
      <c r="AO7544" s="318"/>
      <c r="AP7544" s="318"/>
      <c r="AQ7544" s="318"/>
      <c r="AR7544" s="319"/>
    </row>
    <row r="7545" spans="37:44" ht="30" customHeight="1">
      <c r="AK7545" s="318"/>
      <c r="AL7545" s="318"/>
      <c r="AM7545" s="318"/>
      <c r="AN7545" s="318"/>
      <c r="AO7545" s="318"/>
      <c r="AP7545" s="318"/>
      <c r="AQ7545" s="318"/>
      <c r="AR7545" s="319"/>
    </row>
    <row r="7546" spans="37:44" ht="30" customHeight="1">
      <c r="AK7546" s="318"/>
      <c r="AL7546" s="318"/>
      <c r="AM7546" s="318"/>
      <c r="AN7546" s="318"/>
      <c r="AO7546" s="318"/>
      <c r="AP7546" s="318"/>
      <c r="AQ7546" s="318"/>
      <c r="AR7546" s="319"/>
    </row>
    <row r="7547" spans="37:44" ht="30" customHeight="1">
      <c r="AK7547" s="318"/>
      <c r="AL7547" s="318"/>
      <c r="AM7547" s="318"/>
      <c r="AN7547" s="318"/>
      <c r="AO7547" s="318"/>
      <c r="AP7547" s="318"/>
      <c r="AQ7547" s="318"/>
      <c r="AR7547" s="319"/>
    </row>
    <row r="7548" spans="37:44" ht="30" customHeight="1">
      <c r="AK7548" s="318"/>
      <c r="AL7548" s="318"/>
      <c r="AM7548" s="318"/>
      <c r="AN7548" s="318"/>
      <c r="AO7548" s="318"/>
      <c r="AP7548" s="318"/>
      <c r="AQ7548" s="318"/>
      <c r="AR7548" s="319"/>
    </row>
    <row r="7549" spans="37:44" ht="30" customHeight="1">
      <c r="AK7549" s="318"/>
      <c r="AL7549" s="318"/>
      <c r="AM7549" s="318"/>
      <c r="AN7549" s="318"/>
      <c r="AO7549" s="318"/>
      <c r="AP7549" s="318"/>
      <c r="AQ7549" s="318"/>
      <c r="AR7549" s="319"/>
    </row>
    <row r="7550" spans="37:44" ht="30" customHeight="1">
      <c r="AK7550" s="318"/>
      <c r="AL7550" s="318"/>
      <c r="AM7550" s="318"/>
      <c r="AN7550" s="318"/>
      <c r="AO7550" s="318"/>
      <c r="AP7550" s="318"/>
      <c r="AQ7550" s="318"/>
      <c r="AR7550" s="319"/>
    </row>
    <row r="7551" spans="37:44" ht="30" customHeight="1">
      <c r="AK7551" s="318"/>
      <c r="AL7551" s="318"/>
      <c r="AM7551" s="318"/>
      <c r="AN7551" s="318"/>
      <c r="AO7551" s="318"/>
      <c r="AP7551" s="318"/>
      <c r="AQ7551" s="318"/>
      <c r="AR7551" s="319"/>
    </row>
    <row r="7552" spans="37:44" ht="30" customHeight="1">
      <c r="AK7552" s="318"/>
      <c r="AL7552" s="318"/>
      <c r="AM7552" s="318"/>
      <c r="AN7552" s="318"/>
      <c r="AO7552" s="318"/>
      <c r="AP7552" s="318"/>
      <c r="AQ7552" s="318"/>
      <c r="AR7552" s="319"/>
    </row>
    <row r="7553" spans="37:44" ht="30" customHeight="1">
      <c r="AK7553" s="318"/>
      <c r="AL7553" s="318"/>
      <c r="AM7553" s="318"/>
      <c r="AN7553" s="318"/>
      <c r="AO7553" s="318"/>
      <c r="AP7553" s="318"/>
      <c r="AQ7553" s="318"/>
      <c r="AR7553" s="319"/>
    </row>
    <row r="7554" spans="37:44" ht="30" customHeight="1">
      <c r="AK7554" s="318"/>
      <c r="AL7554" s="318"/>
      <c r="AM7554" s="318"/>
      <c r="AN7554" s="318"/>
      <c r="AO7554" s="318"/>
      <c r="AP7554" s="318"/>
      <c r="AQ7554" s="318"/>
      <c r="AR7554" s="319"/>
    </row>
    <row r="7555" spans="37:44" ht="30" customHeight="1">
      <c r="AK7555" s="318"/>
      <c r="AL7555" s="318"/>
      <c r="AM7555" s="318"/>
      <c r="AN7555" s="318"/>
      <c r="AO7555" s="318"/>
      <c r="AP7555" s="318"/>
      <c r="AQ7555" s="318"/>
      <c r="AR7555" s="319"/>
    </row>
    <row r="7556" spans="37:44" ht="30" customHeight="1">
      <c r="AK7556" s="318"/>
      <c r="AL7556" s="318"/>
      <c r="AM7556" s="318"/>
      <c r="AN7556" s="318"/>
      <c r="AO7556" s="318"/>
      <c r="AP7556" s="318"/>
      <c r="AQ7556" s="318"/>
      <c r="AR7556" s="319"/>
    </row>
    <row r="7557" spans="37:44" ht="30" customHeight="1">
      <c r="AK7557" s="318"/>
      <c r="AL7557" s="318"/>
      <c r="AM7557" s="318"/>
      <c r="AN7557" s="318"/>
      <c r="AO7557" s="318"/>
      <c r="AP7557" s="318"/>
      <c r="AQ7557" s="318"/>
      <c r="AR7557" s="319"/>
    </row>
    <row r="7558" spans="37:44" ht="30" customHeight="1">
      <c r="AK7558" s="318"/>
      <c r="AL7558" s="318"/>
      <c r="AM7558" s="318"/>
      <c r="AN7558" s="318"/>
      <c r="AO7558" s="318"/>
      <c r="AP7558" s="318"/>
      <c r="AQ7558" s="318"/>
      <c r="AR7558" s="319"/>
    </row>
    <row r="7559" spans="37:44" ht="30" customHeight="1">
      <c r="AK7559" s="318"/>
      <c r="AL7559" s="318"/>
      <c r="AM7559" s="318"/>
      <c r="AN7559" s="318"/>
      <c r="AO7559" s="318"/>
      <c r="AP7559" s="318"/>
      <c r="AQ7559" s="318"/>
      <c r="AR7559" s="319"/>
    </row>
    <row r="7560" spans="37:44" ht="30" customHeight="1">
      <c r="AK7560" s="318"/>
      <c r="AL7560" s="318"/>
      <c r="AM7560" s="318"/>
      <c r="AN7560" s="318"/>
      <c r="AO7560" s="318"/>
      <c r="AP7560" s="318"/>
      <c r="AQ7560" s="318"/>
      <c r="AR7560" s="319"/>
    </row>
    <row r="7561" spans="37:44" ht="30" customHeight="1">
      <c r="AK7561" s="318"/>
      <c r="AL7561" s="318"/>
      <c r="AM7561" s="318"/>
      <c r="AN7561" s="318"/>
      <c r="AO7561" s="318"/>
      <c r="AP7561" s="318"/>
      <c r="AQ7561" s="318"/>
      <c r="AR7561" s="319"/>
    </row>
    <row r="7562" spans="37:44" ht="30" customHeight="1">
      <c r="AK7562" s="318"/>
      <c r="AL7562" s="318"/>
      <c r="AM7562" s="318"/>
      <c r="AN7562" s="318"/>
      <c r="AO7562" s="318"/>
      <c r="AP7562" s="318"/>
      <c r="AQ7562" s="318"/>
      <c r="AR7562" s="319"/>
    </row>
    <row r="7563" spans="37:44" ht="30" customHeight="1">
      <c r="AK7563" s="318"/>
      <c r="AL7563" s="318"/>
      <c r="AM7563" s="318"/>
      <c r="AN7563" s="318"/>
      <c r="AO7563" s="318"/>
      <c r="AP7563" s="318"/>
      <c r="AQ7563" s="318"/>
      <c r="AR7563" s="319"/>
    </row>
    <row r="7564" spans="37:44" ht="30" customHeight="1">
      <c r="AK7564" s="318"/>
      <c r="AL7564" s="318"/>
      <c r="AM7564" s="318"/>
      <c r="AN7564" s="318"/>
      <c r="AO7564" s="318"/>
      <c r="AP7564" s="318"/>
      <c r="AQ7564" s="318"/>
      <c r="AR7564" s="319"/>
    </row>
    <row r="7565" spans="37:44" ht="30" customHeight="1">
      <c r="AK7565" s="318"/>
      <c r="AL7565" s="318"/>
      <c r="AM7565" s="318"/>
      <c r="AN7565" s="318"/>
      <c r="AO7565" s="318"/>
      <c r="AP7565" s="318"/>
      <c r="AQ7565" s="318"/>
      <c r="AR7565" s="319"/>
    </row>
    <row r="7566" spans="37:44" ht="30" customHeight="1">
      <c r="AK7566" s="318"/>
      <c r="AL7566" s="318"/>
      <c r="AM7566" s="318"/>
      <c r="AN7566" s="318"/>
      <c r="AO7566" s="318"/>
      <c r="AP7566" s="318"/>
      <c r="AQ7566" s="318"/>
      <c r="AR7566" s="319"/>
    </row>
    <row r="7567" spans="37:44" ht="30" customHeight="1">
      <c r="AK7567" s="318"/>
      <c r="AL7567" s="318"/>
      <c r="AM7567" s="318"/>
      <c r="AN7567" s="318"/>
      <c r="AO7567" s="318"/>
      <c r="AP7567" s="318"/>
      <c r="AQ7567" s="318"/>
      <c r="AR7567" s="319"/>
    </row>
    <row r="7568" spans="37:44" ht="30" customHeight="1">
      <c r="AK7568" s="318"/>
      <c r="AL7568" s="318"/>
      <c r="AM7568" s="318"/>
      <c r="AN7568" s="318"/>
      <c r="AO7568" s="318"/>
      <c r="AP7568" s="318"/>
      <c r="AQ7568" s="318"/>
      <c r="AR7568" s="319"/>
    </row>
    <row r="7569" spans="37:44" ht="30" customHeight="1">
      <c r="AK7569" s="318"/>
      <c r="AL7569" s="318"/>
      <c r="AM7569" s="318"/>
      <c r="AN7569" s="318"/>
      <c r="AO7569" s="318"/>
      <c r="AP7569" s="318"/>
      <c r="AQ7569" s="318"/>
      <c r="AR7569" s="319"/>
    </row>
    <row r="7570" spans="37:44" ht="30" customHeight="1">
      <c r="AK7570" s="318"/>
      <c r="AL7570" s="318"/>
      <c r="AM7570" s="318"/>
      <c r="AN7570" s="318"/>
      <c r="AO7570" s="318"/>
      <c r="AP7570" s="318"/>
      <c r="AQ7570" s="318"/>
      <c r="AR7570" s="319"/>
    </row>
    <row r="7571" spans="37:44" ht="30" customHeight="1">
      <c r="AK7571" s="318"/>
      <c r="AL7571" s="318"/>
      <c r="AM7571" s="318"/>
      <c r="AN7571" s="318"/>
      <c r="AO7571" s="318"/>
      <c r="AP7571" s="318"/>
      <c r="AQ7571" s="318"/>
      <c r="AR7571" s="319"/>
    </row>
    <row r="7572" spans="37:44" ht="30" customHeight="1">
      <c r="AK7572" s="318"/>
      <c r="AL7572" s="318"/>
      <c r="AM7572" s="318"/>
      <c r="AN7572" s="318"/>
      <c r="AO7572" s="318"/>
      <c r="AP7572" s="318"/>
      <c r="AQ7572" s="318"/>
      <c r="AR7572" s="319"/>
    </row>
    <row r="7573" spans="37:44" ht="30" customHeight="1">
      <c r="AK7573" s="318"/>
      <c r="AL7573" s="318"/>
      <c r="AM7573" s="318"/>
      <c r="AN7573" s="318"/>
      <c r="AO7573" s="318"/>
      <c r="AP7573" s="318"/>
      <c r="AQ7573" s="318"/>
      <c r="AR7573" s="319"/>
    </row>
    <row r="7574" spans="37:44" ht="30" customHeight="1">
      <c r="AK7574" s="318"/>
      <c r="AL7574" s="318"/>
      <c r="AM7574" s="318"/>
      <c r="AN7574" s="318"/>
      <c r="AO7574" s="318"/>
      <c r="AP7574" s="318"/>
      <c r="AQ7574" s="318"/>
      <c r="AR7574" s="319"/>
    </row>
    <row r="7575" spans="37:44" ht="30" customHeight="1">
      <c r="AK7575" s="318"/>
      <c r="AL7575" s="318"/>
      <c r="AM7575" s="318"/>
      <c r="AN7575" s="318"/>
      <c r="AO7575" s="318"/>
      <c r="AP7575" s="318"/>
      <c r="AQ7575" s="318"/>
      <c r="AR7575" s="319"/>
    </row>
    <row r="7576" spans="37:44" ht="30" customHeight="1">
      <c r="AK7576" s="318"/>
      <c r="AL7576" s="318"/>
      <c r="AM7576" s="318"/>
      <c r="AN7576" s="318"/>
      <c r="AO7576" s="318"/>
      <c r="AP7576" s="318"/>
      <c r="AQ7576" s="318"/>
      <c r="AR7576" s="319"/>
    </row>
    <row r="7577" spans="37:44" ht="30" customHeight="1">
      <c r="AK7577" s="318"/>
      <c r="AL7577" s="318"/>
      <c r="AM7577" s="318"/>
      <c r="AN7577" s="318"/>
      <c r="AO7577" s="318"/>
      <c r="AP7577" s="318"/>
      <c r="AQ7577" s="318"/>
      <c r="AR7577" s="319"/>
    </row>
    <row r="7578" spans="37:44" ht="30" customHeight="1">
      <c r="AK7578" s="318"/>
      <c r="AL7578" s="318"/>
      <c r="AM7578" s="318"/>
      <c r="AN7578" s="318"/>
      <c r="AO7578" s="318"/>
      <c r="AP7578" s="318"/>
      <c r="AQ7578" s="318"/>
      <c r="AR7578" s="319"/>
    </row>
    <row r="7579" spans="37:44" ht="30" customHeight="1">
      <c r="AK7579" s="318"/>
      <c r="AL7579" s="318"/>
      <c r="AM7579" s="318"/>
      <c r="AN7579" s="318"/>
      <c r="AO7579" s="318"/>
      <c r="AP7579" s="318"/>
      <c r="AQ7579" s="318"/>
      <c r="AR7579" s="319"/>
    </row>
    <row r="7580" spans="37:44" ht="30" customHeight="1">
      <c r="AK7580" s="318"/>
      <c r="AL7580" s="318"/>
      <c r="AM7580" s="318"/>
      <c r="AN7580" s="318"/>
      <c r="AO7580" s="318"/>
      <c r="AP7580" s="318"/>
      <c r="AQ7580" s="318"/>
      <c r="AR7580" s="319"/>
    </row>
    <row r="7581" spans="37:44" ht="30" customHeight="1">
      <c r="AK7581" s="318"/>
      <c r="AL7581" s="318"/>
      <c r="AM7581" s="318"/>
      <c r="AN7581" s="318"/>
      <c r="AO7581" s="318"/>
      <c r="AP7581" s="318"/>
      <c r="AQ7581" s="318"/>
      <c r="AR7581" s="319"/>
    </row>
    <row r="7582" spans="37:44" ht="30" customHeight="1">
      <c r="AK7582" s="318"/>
      <c r="AL7582" s="318"/>
      <c r="AM7582" s="318"/>
      <c r="AN7582" s="318"/>
      <c r="AO7582" s="318"/>
      <c r="AP7582" s="318"/>
      <c r="AQ7582" s="318"/>
      <c r="AR7582" s="319"/>
    </row>
    <row r="7583" spans="37:44" ht="30" customHeight="1">
      <c r="AK7583" s="318"/>
      <c r="AL7583" s="318"/>
      <c r="AM7583" s="318"/>
      <c r="AN7583" s="318"/>
      <c r="AO7583" s="318"/>
      <c r="AP7583" s="318"/>
      <c r="AQ7583" s="318"/>
      <c r="AR7583" s="319"/>
    </row>
    <row r="7584" spans="37:44" ht="30" customHeight="1">
      <c r="AK7584" s="318"/>
      <c r="AL7584" s="318"/>
      <c r="AM7584" s="318"/>
      <c r="AN7584" s="318"/>
      <c r="AO7584" s="318"/>
      <c r="AP7584" s="318"/>
      <c r="AQ7584" s="318"/>
      <c r="AR7584" s="319"/>
    </row>
    <row r="7585" spans="37:44" ht="30" customHeight="1">
      <c r="AK7585" s="318"/>
      <c r="AL7585" s="318"/>
      <c r="AM7585" s="318"/>
      <c r="AN7585" s="318"/>
      <c r="AO7585" s="318"/>
      <c r="AP7585" s="318"/>
      <c r="AQ7585" s="318"/>
      <c r="AR7585" s="319"/>
    </row>
    <row r="7586" spans="37:44" ht="30" customHeight="1">
      <c r="AK7586" s="318"/>
      <c r="AL7586" s="318"/>
      <c r="AM7586" s="318"/>
      <c r="AN7586" s="318"/>
      <c r="AO7586" s="318"/>
      <c r="AP7586" s="318"/>
      <c r="AQ7586" s="318"/>
      <c r="AR7586" s="319"/>
    </row>
    <row r="7587" spans="37:44" ht="30" customHeight="1">
      <c r="AK7587" s="318"/>
      <c r="AL7587" s="318"/>
      <c r="AM7587" s="318"/>
      <c r="AN7587" s="318"/>
      <c r="AO7587" s="318"/>
      <c r="AP7587" s="318"/>
      <c r="AQ7587" s="318"/>
      <c r="AR7587" s="319"/>
    </row>
    <row r="7588" spans="37:44" ht="30" customHeight="1">
      <c r="AK7588" s="318"/>
      <c r="AL7588" s="318"/>
      <c r="AM7588" s="318"/>
      <c r="AN7588" s="318"/>
      <c r="AO7588" s="318"/>
      <c r="AP7588" s="318"/>
      <c r="AQ7588" s="318"/>
      <c r="AR7588" s="319"/>
    </row>
    <row r="7589" spans="37:44" ht="30" customHeight="1">
      <c r="AK7589" s="318"/>
      <c r="AL7589" s="318"/>
      <c r="AM7589" s="318"/>
      <c r="AN7589" s="318"/>
      <c r="AO7589" s="318"/>
      <c r="AP7589" s="318"/>
      <c r="AQ7589" s="318"/>
      <c r="AR7589" s="319"/>
    </row>
    <row r="7590" spans="37:44" ht="30" customHeight="1">
      <c r="AK7590" s="318"/>
      <c r="AL7590" s="318"/>
      <c r="AM7590" s="318"/>
      <c r="AN7590" s="318"/>
      <c r="AO7590" s="318"/>
      <c r="AP7590" s="318"/>
      <c r="AQ7590" s="318"/>
      <c r="AR7590" s="319"/>
    </row>
    <row r="7591" spans="37:44" ht="30" customHeight="1">
      <c r="AK7591" s="318"/>
      <c r="AL7591" s="318"/>
      <c r="AM7591" s="318"/>
      <c r="AN7591" s="318"/>
      <c r="AO7591" s="318"/>
      <c r="AP7591" s="318"/>
      <c r="AQ7591" s="318"/>
      <c r="AR7591" s="319"/>
    </row>
    <row r="7592" spans="37:44" ht="30" customHeight="1">
      <c r="AK7592" s="318"/>
      <c r="AL7592" s="318"/>
      <c r="AM7592" s="318"/>
      <c r="AN7592" s="318"/>
      <c r="AO7592" s="318"/>
      <c r="AP7592" s="318"/>
      <c r="AQ7592" s="318"/>
      <c r="AR7592" s="319"/>
    </row>
    <row r="7593" spans="37:44" ht="30" customHeight="1">
      <c r="AK7593" s="318"/>
      <c r="AL7593" s="318"/>
      <c r="AM7593" s="318"/>
      <c r="AN7593" s="318"/>
      <c r="AO7593" s="318"/>
      <c r="AP7593" s="318"/>
      <c r="AQ7593" s="318"/>
      <c r="AR7593" s="319"/>
    </row>
    <row r="7594" spans="37:44" ht="30" customHeight="1">
      <c r="AK7594" s="318"/>
      <c r="AL7594" s="318"/>
      <c r="AM7594" s="318"/>
      <c r="AN7594" s="318"/>
      <c r="AO7594" s="318"/>
      <c r="AP7594" s="318"/>
      <c r="AQ7594" s="318"/>
      <c r="AR7594" s="319"/>
    </row>
    <row r="7595" spans="37:44" ht="30" customHeight="1">
      <c r="AK7595" s="318"/>
      <c r="AL7595" s="318"/>
      <c r="AM7595" s="318"/>
      <c r="AN7595" s="318"/>
      <c r="AO7595" s="318"/>
      <c r="AP7595" s="318"/>
      <c r="AQ7595" s="318"/>
      <c r="AR7595" s="319"/>
    </row>
    <row r="7596" spans="37:44" ht="30" customHeight="1">
      <c r="AK7596" s="318"/>
      <c r="AL7596" s="318"/>
      <c r="AM7596" s="318"/>
      <c r="AN7596" s="318"/>
      <c r="AO7596" s="318"/>
      <c r="AP7596" s="318"/>
      <c r="AQ7596" s="318"/>
      <c r="AR7596" s="319"/>
    </row>
    <row r="7597" spans="37:44" ht="30" customHeight="1">
      <c r="AK7597" s="318"/>
      <c r="AL7597" s="318"/>
      <c r="AM7597" s="318"/>
      <c r="AN7597" s="318"/>
      <c r="AO7597" s="318"/>
      <c r="AP7597" s="318"/>
      <c r="AQ7597" s="318"/>
      <c r="AR7597" s="319"/>
    </row>
    <row r="7598" spans="37:44" ht="30" customHeight="1">
      <c r="AK7598" s="318"/>
      <c r="AL7598" s="318"/>
      <c r="AM7598" s="318"/>
      <c r="AN7598" s="318"/>
      <c r="AO7598" s="318"/>
      <c r="AP7598" s="318"/>
      <c r="AQ7598" s="318"/>
      <c r="AR7598" s="319"/>
    </row>
    <row r="7599" spans="37:44" ht="30" customHeight="1">
      <c r="AK7599" s="318"/>
      <c r="AL7599" s="318"/>
      <c r="AM7599" s="318"/>
      <c r="AN7599" s="318"/>
      <c r="AO7599" s="318"/>
      <c r="AP7599" s="318"/>
      <c r="AQ7599" s="318"/>
      <c r="AR7599" s="319"/>
    </row>
    <row r="7600" spans="37:44" ht="30" customHeight="1">
      <c r="AK7600" s="318"/>
      <c r="AL7600" s="318"/>
      <c r="AM7600" s="318"/>
      <c r="AN7600" s="318"/>
      <c r="AO7600" s="318"/>
      <c r="AP7600" s="318"/>
      <c r="AQ7600" s="318"/>
      <c r="AR7600" s="319"/>
    </row>
    <row r="7601" spans="37:44" ht="30" customHeight="1">
      <c r="AK7601" s="318"/>
      <c r="AL7601" s="318"/>
      <c r="AM7601" s="318"/>
      <c r="AN7601" s="318"/>
      <c r="AO7601" s="318"/>
      <c r="AP7601" s="318"/>
      <c r="AQ7601" s="318"/>
      <c r="AR7601" s="319"/>
    </row>
    <row r="7602" spans="37:44" ht="30" customHeight="1">
      <c r="AK7602" s="318"/>
      <c r="AL7602" s="318"/>
      <c r="AM7602" s="318"/>
      <c r="AN7602" s="318"/>
      <c r="AO7602" s="318"/>
      <c r="AP7602" s="318"/>
      <c r="AQ7602" s="318"/>
      <c r="AR7602" s="319"/>
    </row>
    <row r="7603" spans="37:44" ht="30" customHeight="1">
      <c r="AK7603" s="318"/>
      <c r="AL7603" s="318"/>
      <c r="AM7603" s="318"/>
      <c r="AN7603" s="318"/>
      <c r="AO7603" s="318"/>
      <c r="AP7603" s="318"/>
      <c r="AQ7603" s="318"/>
      <c r="AR7603" s="319"/>
    </row>
    <row r="7604" spans="37:44" ht="30" customHeight="1">
      <c r="AK7604" s="318"/>
      <c r="AL7604" s="318"/>
      <c r="AM7604" s="318"/>
      <c r="AN7604" s="318"/>
      <c r="AO7604" s="318"/>
      <c r="AP7604" s="318"/>
      <c r="AQ7604" s="318"/>
      <c r="AR7604" s="319"/>
    </row>
    <row r="7605" spans="37:44" ht="30" customHeight="1">
      <c r="AK7605" s="318"/>
      <c r="AL7605" s="318"/>
      <c r="AM7605" s="318"/>
      <c r="AN7605" s="318"/>
      <c r="AO7605" s="318"/>
      <c r="AP7605" s="318"/>
      <c r="AQ7605" s="318"/>
      <c r="AR7605" s="319"/>
    </row>
    <row r="7606" spans="37:44" ht="30" customHeight="1">
      <c r="AK7606" s="318"/>
      <c r="AL7606" s="318"/>
      <c r="AM7606" s="318"/>
      <c r="AN7606" s="318"/>
      <c r="AO7606" s="318"/>
      <c r="AP7606" s="318"/>
      <c r="AQ7606" s="318"/>
      <c r="AR7606" s="319"/>
    </row>
    <row r="7607" spans="37:44" ht="30" customHeight="1">
      <c r="AK7607" s="318"/>
      <c r="AL7607" s="318"/>
      <c r="AM7607" s="318"/>
      <c r="AN7607" s="318"/>
      <c r="AO7607" s="318"/>
      <c r="AP7607" s="318"/>
      <c r="AQ7607" s="318"/>
      <c r="AR7607" s="319"/>
    </row>
    <row r="7608" spans="37:44" ht="30" customHeight="1">
      <c r="AK7608" s="318"/>
      <c r="AL7608" s="318"/>
      <c r="AM7608" s="318"/>
      <c r="AN7608" s="318"/>
      <c r="AO7608" s="318"/>
      <c r="AP7608" s="318"/>
      <c r="AQ7608" s="318"/>
      <c r="AR7608" s="319"/>
    </row>
    <row r="7609" spans="37:44" ht="30" customHeight="1">
      <c r="AK7609" s="318"/>
      <c r="AL7609" s="318"/>
      <c r="AM7609" s="318"/>
      <c r="AN7609" s="318"/>
      <c r="AO7609" s="318"/>
      <c r="AP7609" s="318"/>
      <c r="AQ7609" s="318"/>
      <c r="AR7609" s="319"/>
    </row>
    <row r="7610" spans="37:44" ht="30" customHeight="1">
      <c r="AK7610" s="318"/>
      <c r="AL7610" s="318"/>
      <c r="AM7610" s="318"/>
      <c r="AN7610" s="318"/>
      <c r="AO7610" s="318"/>
      <c r="AP7610" s="318"/>
      <c r="AQ7610" s="318"/>
      <c r="AR7610" s="319"/>
    </row>
    <row r="7611" spans="37:44" ht="30" customHeight="1">
      <c r="AK7611" s="318"/>
      <c r="AL7611" s="318"/>
      <c r="AM7611" s="318"/>
      <c r="AN7611" s="318"/>
      <c r="AO7611" s="318"/>
      <c r="AP7611" s="318"/>
      <c r="AQ7611" s="318"/>
      <c r="AR7611" s="319"/>
    </row>
    <row r="7612" spans="37:44" ht="30" customHeight="1">
      <c r="AK7612" s="318"/>
      <c r="AL7612" s="318"/>
      <c r="AM7612" s="318"/>
      <c r="AN7612" s="318"/>
      <c r="AO7612" s="318"/>
      <c r="AP7612" s="318"/>
      <c r="AQ7612" s="318"/>
      <c r="AR7612" s="319"/>
    </row>
    <row r="7613" spans="37:44" ht="30" customHeight="1">
      <c r="AK7613" s="318"/>
      <c r="AL7613" s="318"/>
      <c r="AM7613" s="318"/>
      <c r="AN7613" s="318"/>
      <c r="AO7613" s="318"/>
      <c r="AP7613" s="318"/>
      <c r="AQ7613" s="318"/>
      <c r="AR7613" s="319"/>
    </row>
    <row r="7614" spans="37:44" ht="30" customHeight="1">
      <c r="AK7614" s="318"/>
      <c r="AL7614" s="318"/>
      <c r="AM7614" s="318"/>
      <c r="AN7614" s="318"/>
      <c r="AO7614" s="318"/>
      <c r="AP7614" s="318"/>
      <c r="AQ7614" s="318"/>
      <c r="AR7614" s="319"/>
    </row>
    <row r="7615" spans="37:44" ht="30" customHeight="1">
      <c r="AK7615" s="318"/>
      <c r="AL7615" s="318"/>
      <c r="AM7615" s="318"/>
      <c r="AN7615" s="318"/>
      <c r="AO7615" s="318"/>
      <c r="AP7615" s="318"/>
      <c r="AQ7615" s="318"/>
      <c r="AR7615" s="319"/>
    </row>
    <row r="7616" spans="37:44" ht="30" customHeight="1">
      <c r="AK7616" s="318"/>
      <c r="AL7616" s="318"/>
      <c r="AM7616" s="318"/>
      <c r="AN7616" s="318"/>
      <c r="AO7616" s="318"/>
      <c r="AP7616" s="318"/>
      <c r="AQ7616" s="318"/>
      <c r="AR7616" s="319"/>
    </row>
    <row r="7617" spans="37:44" ht="30" customHeight="1">
      <c r="AK7617" s="318"/>
      <c r="AL7617" s="318"/>
      <c r="AM7617" s="318"/>
      <c r="AN7617" s="318"/>
      <c r="AO7617" s="318"/>
      <c r="AP7617" s="318"/>
      <c r="AQ7617" s="318"/>
      <c r="AR7617" s="319"/>
    </row>
    <row r="7618" spans="37:44" ht="30" customHeight="1">
      <c r="AK7618" s="318"/>
      <c r="AL7618" s="318"/>
      <c r="AM7618" s="318"/>
      <c r="AN7618" s="318"/>
      <c r="AO7618" s="318"/>
      <c r="AP7618" s="318"/>
      <c r="AQ7618" s="318"/>
      <c r="AR7618" s="319"/>
    </row>
    <row r="7619" spans="37:44" ht="30" customHeight="1">
      <c r="AK7619" s="318"/>
      <c r="AL7619" s="318"/>
      <c r="AM7619" s="318"/>
      <c r="AN7619" s="318"/>
      <c r="AO7619" s="318"/>
      <c r="AP7619" s="318"/>
      <c r="AQ7619" s="318"/>
      <c r="AR7619" s="319"/>
    </row>
    <row r="7620" spans="37:44" ht="30" customHeight="1">
      <c r="AK7620" s="318"/>
      <c r="AL7620" s="318"/>
      <c r="AM7620" s="318"/>
      <c r="AN7620" s="318"/>
      <c r="AO7620" s="318"/>
      <c r="AP7620" s="318"/>
      <c r="AQ7620" s="318"/>
      <c r="AR7620" s="319"/>
    </row>
    <row r="7621" spans="37:44" ht="30" customHeight="1">
      <c r="AK7621" s="318"/>
      <c r="AL7621" s="318"/>
      <c r="AM7621" s="318"/>
      <c r="AN7621" s="318"/>
      <c r="AO7621" s="318"/>
      <c r="AP7621" s="318"/>
      <c r="AQ7621" s="318"/>
      <c r="AR7621" s="319"/>
    </row>
    <row r="7622" spans="37:44" ht="30" customHeight="1">
      <c r="AK7622" s="318"/>
      <c r="AL7622" s="318"/>
      <c r="AM7622" s="318"/>
      <c r="AN7622" s="318"/>
      <c r="AO7622" s="318"/>
      <c r="AP7622" s="318"/>
      <c r="AQ7622" s="318"/>
      <c r="AR7622" s="319"/>
    </row>
    <row r="7623" spans="37:44" ht="30" customHeight="1">
      <c r="AK7623" s="318"/>
      <c r="AL7623" s="318"/>
      <c r="AM7623" s="318"/>
      <c r="AN7623" s="318"/>
      <c r="AO7623" s="318"/>
      <c r="AP7623" s="318"/>
      <c r="AQ7623" s="318"/>
      <c r="AR7623" s="319"/>
    </row>
    <row r="7624" spans="37:44" ht="30" customHeight="1">
      <c r="AK7624" s="318"/>
      <c r="AL7624" s="318"/>
      <c r="AM7624" s="318"/>
      <c r="AN7624" s="318"/>
      <c r="AO7624" s="318"/>
      <c r="AP7624" s="318"/>
      <c r="AQ7624" s="318"/>
      <c r="AR7624" s="319"/>
    </row>
    <row r="7625" spans="37:44" ht="30" customHeight="1">
      <c r="AK7625" s="318"/>
      <c r="AL7625" s="318"/>
      <c r="AM7625" s="318"/>
      <c r="AN7625" s="318"/>
      <c r="AO7625" s="318"/>
      <c r="AP7625" s="318"/>
      <c r="AQ7625" s="318"/>
      <c r="AR7625" s="319"/>
    </row>
    <row r="7626" spans="37:44" ht="30" customHeight="1">
      <c r="AK7626" s="318"/>
      <c r="AL7626" s="318"/>
      <c r="AM7626" s="318"/>
      <c r="AN7626" s="318"/>
      <c r="AO7626" s="318"/>
      <c r="AP7626" s="318"/>
      <c r="AQ7626" s="318"/>
      <c r="AR7626" s="319"/>
    </row>
    <row r="7627" spans="37:44" ht="30" customHeight="1">
      <c r="AK7627" s="318"/>
      <c r="AL7627" s="318"/>
      <c r="AM7627" s="318"/>
      <c r="AN7627" s="318"/>
      <c r="AO7627" s="318"/>
      <c r="AP7627" s="318"/>
      <c r="AQ7627" s="318"/>
      <c r="AR7627" s="319"/>
    </row>
    <row r="7628" spans="37:44" ht="30" customHeight="1">
      <c r="AK7628" s="318"/>
      <c r="AL7628" s="318"/>
      <c r="AM7628" s="318"/>
      <c r="AN7628" s="318"/>
      <c r="AO7628" s="318"/>
      <c r="AP7628" s="318"/>
      <c r="AQ7628" s="318"/>
      <c r="AR7628" s="319"/>
    </row>
    <row r="7629" spans="37:44" ht="30" customHeight="1">
      <c r="AK7629" s="318"/>
      <c r="AL7629" s="318"/>
      <c r="AM7629" s="318"/>
      <c r="AN7629" s="318"/>
      <c r="AO7629" s="318"/>
      <c r="AP7629" s="318"/>
      <c r="AQ7629" s="318"/>
      <c r="AR7629" s="319"/>
    </row>
    <row r="7630" spans="37:44" ht="30" customHeight="1">
      <c r="AK7630" s="318"/>
      <c r="AL7630" s="318"/>
      <c r="AM7630" s="318"/>
      <c r="AN7630" s="318"/>
      <c r="AO7630" s="318"/>
      <c r="AP7630" s="318"/>
      <c r="AQ7630" s="318"/>
      <c r="AR7630" s="319"/>
    </row>
    <row r="7631" spans="37:44" ht="30" customHeight="1">
      <c r="AK7631" s="318"/>
      <c r="AL7631" s="318"/>
      <c r="AM7631" s="318"/>
      <c r="AN7631" s="318"/>
      <c r="AO7631" s="318"/>
      <c r="AP7631" s="318"/>
      <c r="AQ7631" s="318"/>
      <c r="AR7631" s="319"/>
    </row>
    <row r="7632" spans="37:44" ht="30" customHeight="1">
      <c r="AK7632" s="318"/>
      <c r="AL7632" s="318"/>
      <c r="AM7632" s="318"/>
      <c r="AN7632" s="318"/>
      <c r="AO7632" s="318"/>
      <c r="AP7632" s="318"/>
      <c r="AQ7632" s="318"/>
      <c r="AR7632" s="319"/>
    </row>
    <row r="7633" spans="37:44" ht="30" customHeight="1">
      <c r="AK7633" s="318"/>
      <c r="AL7633" s="318"/>
      <c r="AM7633" s="318"/>
      <c r="AN7633" s="318"/>
      <c r="AO7633" s="318"/>
      <c r="AP7633" s="318"/>
      <c r="AQ7633" s="318"/>
      <c r="AR7633" s="319"/>
    </row>
    <row r="7634" spans="37:44" ht="30" customHeight="1">
      <c r="AK7634" s="318"/>
      <c r="AL7634" s="318"/>
      <c r="AM7634" s="318"/>
      <c r="AN7634" s="318"/>
      <c r="AO7634" s="318"/>
      <c r="AP7634" s="318"/>
      <c r="AQ7634" s="318"/>
      <c r="AR7634" s="319"/>
    </row>
    <row r="7635" spans="37:44" ht="30" customHeight="1">
      <c r="AK7635" s="318"/>
      <c r="AL7635" s="318"/>
      <c r="AM7635" s="318"/>
      <c r="AN7635" s="318"/>
      <c r="AO7635" s="318"/>
      <c r="AP7635" s="318"/>
      <c r="AQ7635" s="318"/>
      <c r="AR7635" s="319"/>
    </row>
    <row r="7636" spans="37:44" ht="30" customHeight="1">
      <c r="AK7636" s="318"/>
      <c r="AL7636" s="318"/>
      <c r="AM7636" s="318"/>
      <c r="AN7636" s="318"/>
      <c r="AO7636" s="318"/>
      <c r="AP7636" s="318"/>
      <c r="AQ7636" s="318"/>
      <c r="AR7636" s="319"/>
    </row>
    <row r="7637" spans="37:44" ht="30" customHeight="1">
      <c r="AK7637" s="318"/>
      <c r="AL7637" s="318"/>
      <c r="AM7637" s="318"/>
      <c r="AN7637" s="318"/>
      <c r="AO7637" s="318"/>
      <c r="AP7637" s="318"/>
      <c r="AQ7637" s="318"/>
      <c r="AR7637" s="319"/>
    </row>
    <row r="7638" spans="37:44" ht="30" customHeight="1">
      <c r="AK7638" s="318"/>
      <c r="AL7638" s="318"/>
      <c r="AM7638" s="318"/>
      <c r="AN7638" s="318"/>
      <c r="AO7638" s="318"/>
      <c r="AP7638" s="318"/>
      <c r="AQ7638" s="318"/>
      <c r="AR7638" s="319"/>
    </row>
    <row r="7639" spans="37:44" ht="30" customHeight="1">
      <c r="AK7639" s="318"/>
      <c r="AL7639" s="318"/>
      <c r="AM7639" s="318"/>
      <c r="AN7639" s="318"/>
      <c r="AO7639" s="318"/>
      <c r="AP7639" s="318"/>
      <c r="AQ7639" s="318"/>
      <c r="AR7639" s="319"/>
    </row>
    <row r="7640" spans="37:44" ht="30" customHeight="1">
      <c r="AK7640" s="318"/>
      <c r="AL7640" s="318"/>
      <c r="AM7640" s="318"/>
      <c r="AN7640" s="318"/>
      <c r="AO7640" s="318"/>
      <c r="AP7640" s="318"/>
      <c r="AQ7640" s="318"/>
      <c r="AR7640" s="319"/>
    </row>
    <row r="7641" spans="37:44" ht="30" customHeight="1">
      <c r="AK7641" s="318"/>
      <c r="AL7641" s="318"/>
      <c r="AM7641" s="318"/>
      <c r="AN7641" s="318"/>
      <c r="AO7641" s="318"/>
      <c r="AP7641" s="318"/>
      <c r="AQ7641" s="318"/>
      <c r="AR7641" s="319"/>
    </row>
    <row r="7642" spans="37:44" ht="30" customHeight="1">
      <c r="AK7642" s="318"/>
      <c r="AL7642" s="318"/>
      <c r="AM7642" s="318"/>
      <c r="AN7642" s="318"/>
      <c r="AO7642" s="318"/>
      <c r="AP7642" s="318"/>
      <c r="AQ7642" s="318"/>
      <c r="AR7642" s="319"/>
    </row>
    <row r="7643" spans="37:44" ht="30" customHeight="1">
      <c r="AK7643" s="318"/>
      <c r="AL7643" s="318"/>
      <c r="AM7643" s="318"/>
      <c r="AN7643" s="318"/>
      <c r="AO7643" s="318"/>
      <c r="AP7643" s="318"/>
      <c r="AQ7643" s="318"/>
      <c r="AR7643" s="319"/>
    </row>
    <row r="7644" spans="37:44" ht="30" customHeight="1">
      <c r="AK7644" s="318"/>
      <c r="AL7644" s="318"/>
      <c r="AM7644" s="318"/>
      <c r="AN7644" s="318"/>
      <c r="AO7644" s="318"/>
      <c r="AP7644" s="318"/>
      <c r="AQ7644" s="318"/>
      <c r="AR7644" s="319"/>
    </row>
    <row r="7645" spans="37:44" ht="30" customHeight="1">
      <c r="AK7645" s="318"/>
      <c r="AL7645" s="318"/>
      <c r="AM7645" s="318"/>
      <c r="AN7645" s="318"/>
      <c r="AO7645" s="318"/>
      <c r="AP7645" s="318"/>
      <c r="AQ7645" s="318"/>
      <c r="AR7645" s="319"/>
    </row>
    <row r="7646" spans="37:44" ht="30" customHeight="1">
      <c r="AK7646" s="318"/>
      <c r="AL7646" s="318"/>
      <c r="AM7646" s="318"/>
      <c r="AN7646" s="318"/>
      <c r="AO7646" s="318"/>
      <c r="AP7646" s="318"/>
      <c r="AQ7646" s="318"/>
      <c r="AR7646" s="319"/>
    </row>
    <row r="7647" spans="37:44" ht="30" customHeight="1">
      <c r="AK7647" s="318"/>
      <c r="AL7647" s="318"/>
      <c r="AM7647" s="318"/>
      <c r="AN7647" s="318"/>
      <c r="AO7647" s="318"/>
      <c r="AP7647" s="318"/>
      <c r="AQ7647" s="318"/>
      <c r="AR7647" s="319"/>
    </row>
    <row r="7648" spans="37:44" ht="30" customHeight="1">
      <c r="AK7648" s="318"/>
      <c r="AL7648" s="318"/>
      <c r="AM7648" s="318"/>
      <c r="AN7648" s="318"/>
      <c r="AO7648" s="318"/>
      <c r="AP7648" s="318"/>
      <c r="AQ7648" s="318"/>
      <c r="AR7648" s="319"/>
    </row>
    <row r="7649" spans="37:44" ht="30" customHeight="1">
      <c r="AK7649" s="318"/>
      <c r="AL7649" s="318"/>
      <c r="AM7649" s="318"/>
      <c r="AN7649" s="318"/>
      <c r="AO7649" s="318"/>
      <c r="AP7649" s="318"/>
      <c r="AQ7649" s="318"/>
      <c r="AR7649" s="319"/>
    </row>
    <row r="7650" spans="37:44" ht="30" customHeight="1">
      <c r="AK7650" s="318"/>
      <c r="AL7650" s="318"/>
      <c r="AM7650" s="318"/>
      <c r="AN7650" s="318"/>
      <c r="AO7650" s="318"/>
      <c r="AP7650" s="318"/>
      <c r="AQ7650" s="318"/>
      <c r="AR7650" s="319"/>
    </row>
    <row r="7651" spans="37:44" ht="30" customHeight="1">
      <c r="AK7651" s="318"/>
      <c r="AL7651" s="318"/>
      <c r="AM7651" s="318"/>
      <c r="AN7651" s="318"/>
      <c r="AO7651" s="318"/>
      <c r="AP7651" s="318"/>
      <c r="AQ7651" s="318"/>
      <c r="AR7651" s="319"/>
    </row>
    <row r="7652" spans="37:44" ht="30" customHeight="1">
      <c r="AK7652" s="318"/>
      <c r="AL7652" s="318"/>
      <c r="AM7652" s="318"/>
      <c r="AN7652" s="318"/>
      <c r="AO7652" s="318"/>
      <c r="AP7652" s="318"/>
      <c r="AQ7652" s="318"/>
      <c r="AR7652" s="319"/>
    </row>
    <row r="7653" spans="37:44" ht="30" customHeight="1">
      <c r="AK7653" s="318"/>
      <c r="AL7653" s="318"/>
      <c r="AM7653" s="318"/>
      <c r="AN7653" s="318"/>
      <c r="AO7653" s="318"/>
      <c r="AP7653" s="318"/>
      <c r="AQ7653" s="318"/>
      <c r="AR7653" s="319"/>
    </row>
    <row r="7654" spans="37:44" ht="30" customHeight="1">
      <c r="AK7654" s="318"/>
      <c r="AL7654" s="318"/>
      <c r="AM7654" s="318"/>
      <c r="AN7654" s="318"/>
      <c r="AO7654" s="318"/>
      <c r="AP7654" s="318"/>
      <c r="AQ7654" s="318"/>
      <c r="AR7654" s="319"/>
    </row>
    <row r="7655" spans="37:44" ht="30" customHeight="1">
      <c r="AK7655" s="318"/>
      <c r="AL7655" s="318"/>
      <c r="AM7655" s="318"/>
      <c r="AN7655" s="318"/>
      <c r="AO7655" s="318"/>
      <c r="AP7655" s="318"/>
      <c r="AQ7655" s="318"/>
      <c r="AR7655" s="319"/>
    </row>
    <row r="7656" spans="37:44" ht="30" customHeight="1">
      <c r="AK7656" s="318"/>
      <c r="AL7656" s="318"/>
      <c r="AM7656" s="318"/>
      <c r="AN7656" s="318"/>
      <c r="AO7656" s="318"/>
      <c r="AP7656" s="318"/>
      <c r="AQ7656" s="318"/>
      <c r="AR7656" s="319"/>
    </row>
    <row r="7657" spans="37:44" ht="30" customHeight="1">
      <c r="AK7657" s="318"/>
      <c r="AL7657" s="318"/>
      <c r="AM7657" s="318"/>
      <c r="AN7657" s="318"/>
      <c r="AO7657" s="318"/>
      <c r="AP7657" s="318"/>
      <c r="AQ7657" s="318"/>
      <c r="AR7657" s="319"/>
    </row>
    <row r="7658" spans="37:44" ht="30" customHeight="1">
      <c r="AK7658" s="318"/>
      <c r="AL7658" s="318"/>
      <c r="AM7658" s="318"/>
      <c r="AN7658" s="318"/>
      <c r="AO7658" s="318"/>
      <c r="AP7658" s="318"/>
      <c r="AQ7658" s="318"/>
      <c r="AR7658" s="319"/>
    </row>
    <row r="7659" spans="37:44" ht="30" customHeight="1">
      <c r="AK7659" s="318"/>
      <c r="AL7659" s="318"/>
      <c r="AM7659" s="318"/>
      <c r="AN7659" s="318"/>
      <c r="AO7659" s="318"/>
      <c r="AP7659" s="318"/>
      <c r="AQ7659" s="318"/>
      <c r="AR7659" s="319"/>
    </row>
    <row r="7660" spans="37:44" ht="30" customHeight="1">
      <c r="AK7660" s="318"/>
      <c r="AL7660" s="318"/>
      <c r="AM7660" s="318"/>
      <c r="AN7660" s="318"/>
      <c r="AO7660" s="318"/>
      <c r="AP7660" s="318"/>
      <c r="AQ7660" s="318"/>
      <c r="AR7660" s="319"/>
    </row>
    <row r="7661" spans="37:44" ht="30" customHeight="1">
      <c r="AK7661" s="318"/>
      <c r="AL7661" s="318"/>
      <c r="AM7661" s="318"/>
      <c r="AN7661" s="318"/>
      <c r="AO7661" s="318"/>
      <c r="AP7661" s="318"/>
      <c r="AQ7661" s="318"/>
      <c r="AR7661" s="319"/>
    </row>
    <row r="7662" spans="37:44" ht="30" customHeight="1">
      <c r="AK7662" s="318"/>
      <c r="AL7662" s="318"/>
      <c r="AM7662" s="318"/>
      <c r="AN7662" s="318"/>
      <c r="AO7662" s="318"/>
      <c r="AP7662" s="318"/>
      <c r="AQ7662" s="318"/>
      <c r="AR7662" s="319"/>
    </row>
    <row r="7663" spans="37:44" ht="30" customHeight="1">
      <c r="AK7663" s="318"/>
      <c r="AL7663" s="318"/>
      <c r="AM7663" s="318"/>
      <c r="AN7663" s="318"/>
      <c r="AO7663" s="318"/>
      <c r="AP7663" s="318"/>
      <c r="AQ7663" s="318"/>
      <c r="AR7663" s="319"/>
    </row>
    <row r="7664" spans="37:44" ht="30" customHeight="1">
      <c r="AK7664" s="318"/>
      <c r="AL7664" s="318"/>
      <c r="AM7664" s="318"/>
      <c r="AN7664" s="318"/>
      <c r="AO7664" s="318"/>
      <c r="AP7664" s="318"/>
      <c r="AQ7664" s="318"/>
      <c r="AR7664" s="319"/>
    </row>
    <row r="7665" spans="37:44" ht="30" customHeight="1">
      <c r="AK7665" s="318"/>
      <c r="AL7665" s="318"/>
      <c r="AM7665" s="318"/>
      <c r="AN7665" s="318"/>
      <c r="AO7665" s="318"/>
      <c r="AP7665" s="318"/>
      <c r="AQ7665" s="318"/>
      <c r="AR7665" s="319"/>
    </row>
    <row r="7666" spans="37:44" ht="30" customHeight="1">
      <c r="AK7666" s="318"/>
      <c r="AL7666" s="318"/>
      <c r="AM7666" s="318"/>
      <c r="AN7666" s="318"/>
      <c r="AO7666" s="318"/>
      <c r="AP7666" s="318"/>
      <c r="AQ7666" s="318"/>
      <c r="AR7666" s="319"/>
    </row>
    <row r="7667" spans="37:44" ht="30" customHeight="1">
      <c r="AK7667" s="318"/>
      <c r="AL7667" s="318"/>
      <c r="AM7667" s="318"/>
      <c r="AN7667" s="318"/>
      <c r="AO7667" s="318"/>
      <c r="AP7667" s="318"/>
      <c r="AQ7667" s="318"/>
      <c r="AR7667" s="319"/>
    </row>
    <row r="7668" spans="37:44" ht="30" customHeight="1">
      <c r="AK7668" s="318"/>
      <c r="AL7668" s="318"/>
      <c r="AM7668" s="318"/>
      <c r="AN7668" s="318"/>
      <c r="AO7668" s="318"/>
      <c r="AP7668" s="318"/>
      <c r="AQ7668" s="318"/>
      <c r="AR7668" s="319"/>
    </row>
    <row r="7669" spans="37:44" ht="30" customHeight="1">
      <c r="AK7669" s="318"/>
      <c r="AL7669" s="318"/>
      <c r="AM7669" s="318"/>
      <c r="AN7669" s="318"/>
      <c r="AO7669" s="318"/>
      <c r="AP7669" s="318"/>
      <c r="AQ7669" s="318"/>
      <c r="AR7669" s="319"/>
    </row>
    <row r="7670" spans="37:44" ht="30" customHeight="1">
      <c r="AK7670" s="318"/>
      <c r="AL7670" s="318"/>
      <c r="AM7670" s="318"/>
      <c r="AN7670" s="318"/>
      <c r="AO7670" s="318"/>
      <c r="AP7670" s="318"/>
      <c r="AQ7670" s="318"/>
      <c r="AR7670" s="319"/>
    </row>
    <row r="7671" spans="37:44" ht="30" customHeight="1">
      <c r="AK7671" s="318"/>
      <c r="AL7671" s="318"/>
      <c r="AM7671" s="318"/>
      <c r="AN7671" s="318"/>
      <c r="AO7671" s="318"/>
      <c r="AP7671" s="318"/>
      <c r="AQ7671" s="318"/>
      <c r="AR7671" s="319"/>
    </row>
    <row r="7672" spans="37:44" ht="30" customHeight="1">
      <c r="AK7672" s="318"/>
      <c r="AL7672" s="318"/>
      <c r="AM7672" s="318"/>
      <c r="AN7672" s="318"/>
      <c r="AO7672" s="318"/>
      <c r="AP7672" s="318"/>
      <c r="AQ7672" s="318"/>
      <c r="AR7672" s="319"/>
    </row>
    <row r="7673" spans="37:44" ht="30" customHeight="1">
      <c r="AK7673" s="318"/>
      <c r="AL7673" s="318"/>
      <c r="AM7673" s="318"/>
      <c r="AN7673" s="318"/>
      <c r="AO7673" s="318"/>
      <c r="AP7673" s="318"/>
      <c r="AQ7673" s="318"/>
      <c r="AR7673" s="319"/>
    </row>
    <row r="7674" spans="37:44" ht="30" customHeight="1">
      <c r="AK7674" s="318"/>
      <c r="AL7674" s="318"/>
      <c r="AM7674" s="318"/>
      <c r="AN7674" s="318"/>
      <c r="AO7674" s="318"/>
      <c r="AP7674" s="318"/>
      <c r="AQ7674" s="318"/>
      <c r="AR7674" s="319"/>
    </row>
    <row r="7675" spans="37:44" ht="30" customHeight="1">
      <c r="AK7675" s="318"/>
      <c r="AL7675" s="318"/>
      <c r="AM7675" s="318"/>
      <c r="AN7675" s="318"/>
      <c r="AO7675" s="318"/>
      <c r="AP7675" s="318"/>
      <c r="AQ7675" s="318"/>
      <c r="AR7675" s="319"/>
    </row>
    <row r="7676" spans="37:44" ht="30" customHeight="1">
      <c r="AK7676" s="318"/>
      <c r="AL7676" s="318"/>
      <c r="AM7676" s="318"/>
      <c r="AN7676" s="318"/>
      <c r="AO7676" s="318"/>
      <c r="AP7676" s="318"/>
      <c r="AQ7676" s="318"/>
      <c r="AR7676" s="319"/>
    </row>
    <row r="7677" spans="37:44" ht="30" customHeight="1">
      <c r="AK7677" s="318"/>
      <c r="AL7677" s="318"/>
      <c r="AM7677" s="318"/>
      <c r="AN7677" s="318"/>
      <c r="AO7677" s="318"/>
      <c r="AP7677" s="318"/>
      <c r="AQ7677" s="318"/>
      <c r="AR7677" s="319"/>
    </row>
    <row r="7678" spans="37:44" ht="30" customHeight="1">
      <c r="AK7678" s="318"/>
      <c r="AL7678" s="318"/>
      <c r="AM7678" s="318"/>
      <c r="AN7678" s="318"/>
      <c r="AO7678" s="318"/>
      <c r="AP7678" s="318"/>
      <c r="AQ7678" s="318"/>
      <c r="AR7678" s="319"/>
    </row>
    <row r="7679" spans="37:44" ht="30" customHeight="1">
      <c r="AK7679" s="318"/>
      <c r="AL7679" s="318"/>
      <c r="AM7679" s="318"/>
      <c r="AN7679" s="318"/>
      <c r="AO7679" s="318"/>
      <c r="AP7679" s="318"/>
      <c r="AQ7679" s="318"/>
      <c r="AR7679" s="319"/>
    </row>
    <row r="7680" spans="37:44" ht="30" customHeight="1">
      <c r="AK7680" s="318"/>
      <c r="AL7680" s="318"/>
      <c r="AM7680" s="318"/>
      <c r="AN7680" s="318"/>
      <c r="AO7680" s="318"/>
      <c r="AP7680" s="318"/>
      <c r="AQ7680" s="318"/>
      <c r="AR7680" s="319"/>
    </row>
    <row r="7681" spans="37:44" ht="30" customHeight="1">
      <c r="AK7681" s="318"/>
      <c r="AL7681" s="318"/>
      <c r="AM7681" s="318"/>
      <c r="AN7681" s="318"/>
      <c r="AO7681" s="318"/>
      <c r="AP7681" s="318"/>
      <c r="AQ7681" s="318"/>
      <c r="AR7681" s="319"/>
    </row>
    <row r="7682" spans="37:44" ht="30" customHeight="1">
      <c r="AK7682" s="318"/>
      <c r="AL7682" s="318"/>
      <c r="AM7682" s="318"/>
      <c r="AN7682" s="318"/>
      <c r="AO7682" s="318"/>
      <c r="AP7682" s="318"/>
      <c r="AQ7682" s="318"/>
      <c r="AR7682" s="319"/>
    </row>
    <row r="7683" spans="37:44" ht="30" customHeight="1">
      <c r="AK7683" s="318"/>
      <c r="AL7683" s="318"/>
      <c r="AM7683" s="318"/>
      <c r="AN7683" s="318"/>
      <c r="AO7683" s="318"/>
      <c r="AP7683" s="318"/>
      <c r="AQ7683" s="318"/>
      <c r="AR7683" s="319"/>
    </row>
    <row r="7684" spans="37:44" ht="30" customHeight="1">
      <c r="AK7684" s="318"/>
      <c r="AL7684" s="318"/>
      <c r="AM7684" s="318"/>
      <c r="AN7684" s="318"/>
      <c r="AO7684" s="318"/>
      <c r="AP7684" s="318"/>
      <c r="AQ7684" s="318"/>
      <c r="AR7684" s="319"/>
    </row>
    <row r="7685" spans="37:44" ht="30" customHeight="1">
      <c r="AK7685" s="318"/>
      <c r="AL7685" s="318"/>
      <c r="AM7685" s="318"/>
      <c r="AN7685" s="318"/>
      <c r="AO7685" s="318"/>
      <c r="AP7685" s="318"/>
      <c r="AQ7685" s="318"/>
      <c r="AR7685" s="319"/>
    </row>
    <row r="7686" spans="37:44" ht="30" customHeight="1">
      <c r="AK7686" s="318"/>
      <c r="AL7686" s="318"/>
      <c r="AM7686" s="318"/>
      <c r="AN7686" s="318"/>
      <c r="AO7686" s="318"/>
      <c r="AP7686" s="318"/>
      <c r="AQ7686" s="318"/>
      <c r="AR7686" s="319"/>
    </row>
    <row r="7687" spans="37:44" ht="30" customHeight="1">
      <c r="AK7687" s="318"/>
      <c r="AL7687" s="318"/>
      <c r="AM7687" s="318"/>
      <c r="AN7687" s="318"/>
      <c r="AO7687" s="318"/>
      <c r="AP7687" s="318"/>
      <c r="AQ7687" s="318"/>
      <c r="AR7687" s="319"/>
    </row>
    <row r="7688" spans="37:44" ht="30" customHeight="1">
      <c r="AK7688" s="318"/>
      <c r="AL7688" s="318"/>
      <c r="AM7688" s="318"/>
      <c r="AN7688" s="318"/>
      <c r="AO7688" s="318"/>
      <c r="AP7688" s="318"/>
      <c r="AQ7688" s="318"/>
      <c r="AR7688" s="319"/>
    </row>
    <row r="7689" spans="37:44" ht="30" customHeight="1">
      <c r="AK7689" s="318"/>
      <c r="AL7689" s="318"/>
      <c r="AM7689" s="318"/>
      <c r="AN7689" s="318"/>
      <c r="AO7689" s="318"/>
      <c r="AP7689" s="318"/>
      <c r="AQ7689" s="318"/>
      <c r="AR7689" s="319"/>
    </row>
    <row r="7690" spans="37:44" ht="30" customHeight="1">
      <c r="AK7690" s="318"/>
      <c r="AL7690" s="318"/>
      <c r="AM7690" s="318"/>
      <c r="AN7690" s="318"/>
      <c r="AO7690" s="318"/>
      <c r="AP7690" s="318"/>
      <c r="AQ7690" s="318"/>
      <c r="AR7690" s="319"/>
    </row>
    <row r="7691" spans="37:44" ht="30" customHeight="1">
      <c r="AK7691" s="318"/>
      <c r="AL7691" s="318"/>
      <c r="AM7691" s="318"/>
      <c r="AN7691" s="318"/>
      <c r="AO7691" s="318"/>
      <c r="AP7691" s="318"/>
      <c r="AQ7691" s="318"/>
      <c r="AR7691" s="319"/>
    </row>
    <row r="7692" spans="37:44" ht="30" customHeight="1">
      <c r="AK7692" s="318"/>
      <c r="AL7692" s="318"/>
      <c r="AM7692" s="318"/>
      <c r="AN7692" s="318"/>
      <c r="AO7692" s="318"/>
      <c r="AP7692" s="318"/>
      <c r="AQ7692" s="318"/>
      <c r="AR7692" s="319"/>
    </row>
    <row r="7693" spans="37:44" ht="30" customHeight="1">
      <c r="AK7693" s="318"/>
      <c r="AL7693" s="318"/>
      <c r="AM7693" s="318"/>
      <c r="AN7693" s="318"/>
      <c r="AO7693" s="318"/>
      <c r="AP7693" s="318"/>
      <c r="AQ7693" s="318"/>
      <c r="AR7693" s="319"/>
    </row>
    <row r="7694" spans="37:44" ht="30" customHeight="1">
      <c r="AK7694" s="318"/>
      <c r="AL7694" s="318"/>
      <c r="AM7694" s="318"/>
      <c r="AN7694" s="318"/>
      <c r="AO7694" s="318"/>
      <c r="AP7694" s="318"/>
      <c r="AQ7694" s="318"/>
      <c r="AR7694" s="319"/>
    </row>
    <row r="7695" spans="37:44" ht="30" customHeight="1">
      <c r="AK7695" s="318"/>
      <c r="AL7695" s="318"/>
      <c r="AM7695" s="318"/>
      <c r="AN7695" s="318"/>
      <c r="AO7695" s="318"/>
      <c r="AP7695" s="318"/>
      <c r="AQ7695" s="318"/>
      <c r="AR7695" s="319"/>
    </row>
    <row r="7696" spans="37:44" ht="30" customHeight="1">
      <c r="AK7696" s="318"/>
      <c r="AL7696" s="318"/>
      <c r="AM7696" s="318"/>
      <c r="AN7696" s="318"/>
      <c r="AO7696" s="318"/>
      <c r="AP7696" s="318"/>
      <c r="AQ7696" s="318"/>
      <c r="AR7696" s="319"/>
    </row>
    <row r="7697" spans="37:44" ht="30" customHeight="1">
      <c r="AK7697" s="318"/>
      <c r="AL7697" s="318"/>
      <c r="AM7697" s="318"/>
      <c r="AN7697" s="318"/>
      <c r="AO7697" s="318"/>
      <c r="AP7697" s="318"/>
      <c r="AQ7697" s="318"/>
      <c r="AR7697" s="319"/>
    </row>
    <row r="7698" spans="37:44" ht="30" customHeight="1">
      <c r="AK7698" s="318"/>
      <c r="AL7698" s="318"/>
      <c r="AM7698" s="318"/>
      <c r="AN7698" s="318"/>
      <c r="AO7698" s="318"/>
      <c r="AP7698" s="318"/>
      <c r="AQ7698" s="318"/>
      <c r="AR7698" s="319"/>
    </row>
    <row r="7699" spans="37:44" ht="30" customHeight="1">
      <c r="AK7699" s="318"/>
      <c r="AL7699" s="318"/>
      <c r="AM7699" s="318"/>
      <c r="AN7699" s="318"/>
      <c r="AO7699" s="318"/>
      <c r="AP7699" s="318"/>
      <c r="AQ7699" s="318"/>
      <c r="AR7699" s="319"/>
    </row>
    <row r="7700" spans="37:44" ht="30" customHeight="1">
      <c r="AK7700" s="318"/>
      <c r="AL7700" s="318"/>
      <c r="AM7700" s="318"/>
      <c r="AN7700" s="318"/>
      <c r="AO7700" s="318"/>
      <c r="AP7700" s="318"/>
      <c r="AQ7700" s="318"/>
      <c r="AR7700" s="319"/>
    </row>
    <row r="7701" spans="37:44" ht="30" customHeight="1">
      <c r="AK7701" s="318"/>
      <c r="AL7701" s="318"/>
      <c r="AM7701" s="318"/>
      <c r="AN7701" s="318"/>
      <c r="AO7701" s="318"/>
      <c r="AP7701" s="318"/>
      <c r="AQ7701" s="318"/>
      <c r="AR7701" s="319"/>
    </row>
    <row r="7702" spans="37:44" ht="30" customHeight="1">
      <c r="AK7702" s="318"/>
      <c r="AL7702" s="318"/>
      <c r="AM7702" s="318"/>
      <c r="AN7702" s="318"/>
      <c r="AO7702" s="318"/>
      <c r="AP7702" s="318"/>
      <c r="AQ7702" s="318"/>
      <c r="AR7702" s="319"/>
    </row>
    <row r="7703" spans="37:44" ht="30" customHeight="1">
      <c r="AK7703" s="318"/>
      <c r="AL7703" s="318"/>
      <c r="AM7703" s="318"/>
      <c r="AN7703" s="318"/>
      <c r="AO7703" s="318"/>
      <c r="AP7703" s="318"/>
      <c r="AQ7703" s="318"/>
      <c r="AR7703" s="319"/>
    </row>
    <row r="7704" spans="37:44" ht="30" customHeight="1">
      <c r="AK7704" s="318"/>
      <c r="AL7704" s="318"/>
      <c r="AM7704" s="318"/>
      <c r="AN7704" s="318"/>
      <c r="AO7704" s="318"/>
      <c r="AP7704" s="318"/>
      <c r="AQ7704" s="318"/>
      <c r="AR7704" s="319"/>
    </row>
    <row r="7705" spans="37:44" ht="30" customHeight="1">
      <c r="AK7705" s="318"/>
      <c r="AL7705" s="318"/>
      <c r="AM7705" s="318"/>
      <c r="AN7705" s="318"/>
      <c r="AO7705" s="318"/>
      <c r="AP7705" s="318"/>
      <c r="AQ7705" s="318"/>
      <c r="AR7705" s="319"/>
    </row>
    <row r="7706" spans="37:44" ht="30" customHeight="1">
      <c r="AK7706" s="318"/>
      <c r="AL7706" s="318"/>
      <c r="AM7706" s="318"/>
      <c r="AN7706" s="318"/>
      <c r="AO7706" s="318"/>
      <c r="AP7706" s="318"/>
      <c r="AQ7706" s="318"/>
      <c r="AR7706" s="319"/>
    </row>
    <row r="7707" spans="37:44" ht="30" customHeight="1">
      <c r="AK7707" s="318"/>
      <c r="AL7707" s="318"/>
      <c r="AM7707" s="318"/>
      <c r="AN7707" s="318"/>
      <c r="AO7707" s="318"/>
      <c r="AP7707" s="318"/>
      <c r="AQ7707" s="318"/>
      <c r="AR7707" s="319"/>
    </row>
    <row r="7708" spans="37:44" ht="30" customHeight="1">
      <c r="AK7708" s="318"/>
      <c r="AL7708" s="318"/>
      <c r="AM7708" s="318"/>
      <c r="AN7708" s="318"/>
      <c r="AO7708" s="318"/>
      <c r="AP7708" s="318"/>
      <c r="AQ7708" s="318"/>
      <c r="AR7708" s="319"/>
    </row>
    <row r="7709" spans="37:44" ht="30" customHeight="1">
      <c r="AK7709" s="318"/>
      <c r="AL7709" s="318"/>
      <c r="AM7709" s="318"/>
      <c r="AN7709" s="318"/>
      <c r="AO7709" s="318"/>
      <c r="AP7709" s="318"/>
      <c r="AQ7709" s="318"/>
      <c r="AR7709" s="319"/>
    </row>
    <row r="7710" spans="37:44" ht="30" customHeight="1">
      <c r="AK7710" s="318"/>
      <c r="AL7710" s="318"/>
      <c r="AM7710" s="318"/>
      <c r="AN7710" s="318"/>
      <c r="AO7710" s="318"/>
      <c r="AP7710" s="318"/>
      <c r="AQ7710" s="318"/>
      <c r="AR7710" s="319"/>
    </row>
    <row r="7711" spans="37:44" ht="30" customHeight="1">
      <c r="AK7711" s="318"/>
      <c r="AL7711" s="318"/>
      <c r="AM7711" s="318"/>
      <c r="AN7711" s="318"/>
      <c r="AO7711" s="318"/>
      <c r="AP7711" s="318"/>
      <c r="AQ7711" s="318"/>
      <c r="AR7711" s="319"/>
    </row>
    <row r="7712" spans="37:44" ht="30" customHeight="1">
      <c r="AK7712" s="318"/>
      <c r="AL7712" s="318"/>
      <c r="AM7712" s="318"/>
      <c r="AN7712" s="318"/>
      <c r="AO7712" s="318"/>
      <c r="AP7712" s="318"/>
      <c r="AQ7712" s="318"/>
      <c r="AR7712" s="319"/>
    </row>
    <row r="7713" spans="37:44" ht="30" customHeight="1">
      <c r="AK7713" s="318"/>
      <c r="AL7713" s="318"/>
      <c r="AM7713" s="318"/>
      <c r="AN7713" s="318"/>
      <c r="AO7713" s="318"/>
      <c r="AP7713" s="318"/>
      <c r="AQ7713" s="318"/>
      <c r="AR7713" s="319"/>
    </row>
    <row r="7714" spans="37:44" ht="30" customHeight="1">
      <c r="AK7714" s="318"/>
      <c r="AL7714" s="318"/>
      <c r="AM7714" s="318"/>
      <c r="AN7714" s="318"/>
      <c r="AO7714" s="318"/>
      <c r="AP7714" s="318"/>
      <c r="AQ7714" s="318"/>
      <c r="AR7714" s="319"/>
    </row>
    <row r="7715" spans="37:44" ht="30" customHeight="1">
      <c r="AK7715" s="318"/>
      <c r="AL7715" s="318"/>
      <c r="AM7715" s="318"/>
      <c r="AN7715" s="318"/>
      <c r="AO7715" s="318"/>
      <c r="AP7715" s="318"/>
      <c r="AQ7715" s="318"/>
      <c r="AR7715" s="319"/>
    </row>
    <row r="7716" spans="37:44" ht="30" customHeight="1">
      <c r="AK7716" s="318"/>
      <c r="AL7716" s="318"/>
      <c r="AM7716" s="318"/>
      <c r="AN7716" s="318"/>
      <c r="AO7716" s="318"/>
      <c r="AP7716" s="318"/>
      <c r="AQ7716" s="318"/>
      <c r="AR7716" s="319"/>
    </row>
    <row r="7717" spans="37:44" ht="30" customHeight="1">
      <c r="AK7717" s="318"/>
      <c r="AL7717" s="318"/>
      <c r="AM7717" s="318"/>
      <c r="AN7717" s="318"/>
      <c r="AO7717" s="318"/>
      <c r="AP7717" s="318"/>
      <c r="AQ7717" s="318"/>
      <c r="AR7717" s="319"/>
    </row>
    <row r="7718" spans="37:44" ht="30" customHeight="1">
      <c r="AK7718" s="318"/>
      <c r="AL7718" s="318"/>
      <c r="AM7718" s="318"/>
      <c r="AN7718" s="318"/>
      <c r="AO7718" s="318"/>
      <c r="AP7718" s="318"/>
      <c r="AQ7718" s="318"/>
      <c r="AR7718" s="319"/>
    </row>
    <row r="7719" spans="37:44" ht="30" customHeight="1">
      <c r="AK7719" s="318"/>
      <c r="AL7719" s="318"/>
      <c r="AM7719" s="318"/>
      <c r="AN7719" s="318"/>
      <c r="AO7719" s="318"/>
      <c r="AP7719" s="318"/>
      <c r="AQ7719" s="318"/>
      <c r="AR7719" s="319"/>
    </row>
    <row r="7720" spans="37:44" ht="30" customHeight="1">
      <c r="AK7720" s="318"/>
      <c r="AL7720" s="318"/>
      <c r="AM7720" s="318"/>
      <c r="AN7720" s="318"/>
      <c r="AO7720" s="318"/>
      <c r="AP7720" s="318"/>
      <c r="AQ7720" s="318"/>
      <c r="AR7720" s="319"/>
    </row>
    <row r="7721" spans="37:44" ht="30" customHeight="1">
      <c r="AK7721" s="318"/>
      <c r="AL7721" s="318"/>
      <c r="AM7721" s="318"/>
      <c r="AN7721" s="318"/>
      <c r="AO7721" s="318"/>
      <c r="AP7721" s="318"/>
      <c r="AQ7721" s="318"/>
      <c r="AR7721" s="319"/>
    </row>
    <row r="7722" spans="37:44" ht="30" customHeight="1">
      <c r="AK7722" s="318"/>
      <c r="AL7722" s="318"/>
      <c r="AM7722" s="318"/>
      <c r="AN7722" s="318"/>
      <c r="AO7722" s="318"/>
      <c r="AP7722" s="318"/>
      <c r="AQ7722" s="318"/>
      <c r="AR7722" s="319"/>
    </row>
    <row r="7723" spans="37:44" ht="30" customHeight="1">
      <c r="AK7723" s="318"/>
      <c r="AL7723" s="318"/>
      <c r="AM7723" s="318"/>
      <c r="AN7723" s="318"/>
      <c r="AO7723" s="318"/>
      <c r="AP7723" s="318"/>
      <c r="AQ7723" s="318"/>
      <c r="AR7723" s="319"/>
    </row>
    <row r="7724" spans="37:44" ht="30" customHeight="1">
      <c r="AK7724" s="318"/>
      <c r="AL7724" s="318"/>
      <c r="AM7724" s="318"/>
      <c r="AN7724" s="318"/>
      <c r="AO7724" s="318"/>
      <c r="AP7724" s="318"/>
      <c r="AQ7724" s="318"/>
      <c r="AR7724" s="319"/>
    </row>
    <row r="7725" spans="37:44" ht="30" customHeight="1">
      <c r="AK7725" s="318"/>
      <c r="AL7725" s="318"/>
      <c r="AM7725" s="318"/>
      <c r="AN7725" s="318"/>
      <c r="AO7725" s="318"/>
      <c r="AP7725" s="318"/>
      <c r="AQ7725" s="318"/>
      <c r="AR7725" s="319"/>
    </row>
    <row r="7726" spans="37:44" ht="30" customHeight="1">
      <c r="AK7726" s="318"/>
      <c r="AL7726" s="318"/>
      <c r="AM7726" s="318"/>
      <c r="AN7726" s="318"/>
      <c r="AO7726" s="318"/>
      <c r="AP7726" s="318"/>
      <c r="AQ7726" s="318"/>
      <c r="AR7726" s="319"/>
    </row>
    <row r="7727" spans="37:44" ht="30" customHeight="1">
      <c r="AK7727" s="318"/>
      <c r="AL7727" s="318"/>
      <c r="AM7727" s="318"/>
      <c r="AN7727" s="318"/>
      <c r="AO7727" s="318"/>
      <c r="AP7727" s="318"/>
      <c r="AQ7727" s="318"/>
      <c r="AR7727" s="319"/>
    </row>
    <row r="7728" spans="37:44" ht="30" customHeight="1">
      <c r="AK7728" s="318"/>
      <c r="AL7728" s="318"/>
      <c r="AM7728" s="318"/>
      <c r="AN7728" s="318"/>
      <c r="AO7728" s="318"/>
      <c r="AP7728" s="318"/>
      <c r="AQ7728" s="318"/>
      <c r="AR7728" s="319"/>
    </row>
    <row r="7729" spans="37:44" ht="30" customHeight="1">
      <c r="AK7729" s="318"/>
      <c r="AL7729" s="318"/>
      <c r="AM7729" s="318"/>
      <c r="AN7729" s="318"/>
      <c r="AO7729" s="318"/>
      <c r="AP7729" s="318"/>
      <c r="AQ7729" s="318"/>
      <c r="AR7729" s="319"/>
    </row>
    <row r="7730" spans="37:44" ht="30" customHeight="1">
      <c r="AK7730" s="318"/>
      <c r="AL7730" s="318"/>
      <c r="AM7730" s="318"/>
      <c r="AN7730" s="318"/>
      <c r="AO7730" s="318"/>
      <c r="AP7730" s="318"/>
      <c r="AQ7730" s="318"/>
      <c r="AR7730" s="319"/>
    </row>
    <row r="7731" spans="37:44" ht="30" customHeight="1">
      <c r="AK7731" s="318"/>
      <c r="AL7731" s="318"/>
      <c r="AM7731" s="318"/>
      <c r="AN7731" s="318"/>
      <c r="AO7731" s="318"/>
      <c r="AP7731" s="318"/>
      <c r="AQ7731" s="318"/>
      <c r="AR7731" s="319"/>
    </row>
    <row r="7732" spans="37:44" ht="30" customHeight="1">
      <c r="AK7732" s="318"/>
      <c r="AL7732" s="318"/>
      <c r="AM7732" s="318"/>
      <c r="AN7732" s="318"/>
      <c r="AO7732" s="318"/>
      <c r="AP7732" s="318"/>
      <c r="AQ7732" s="318"/>
      <c r="AR7732" s="319"/>
    </row>
    <row r="7733" spans="37:44" ht="30" customHeight="1">
      <c r="AK7733" s="318"/>
      <c r="AL7733" s="318"/>
      <c r="AM7733" s="318"/>
      <c r="AN7733" s="318"/>
      <c r="AO7733" s="318"/>
      <c r="AP7733" s="318"/>
      <c r="AQ7733" s="318"/>
      <c r="AR7733" s="319"/>
    </row>
    <row r="7734" spans="37:44" ht="30" customHeight="1">
      <c r="AK7734" s="318"/>
      <c r="AL7734" s="318"/>
      <c r="AM7734" s="318"/>
      <c r="AN7734" s="318"/>
      <c r="AO7734" s="318"/>
      <c r="AP7734" s="318"/>
      <c r="AQ7734" s="318"/>
      <c r="AR7734" s="319"/>
    </row>
    <row r="7735" spans="37:44" ht="30" customHeight="1">
      <c r="AK7735" s="318"/>
      <c r="AL7735" s="318"/>
      <c r="AM7735" s="318"/>
      <c r="AN7735" s="318"/>
      <c r="AO7735" s="318"/>
      <c r="AP7735" s="318"/>
      <c r="AQ7735" s="318"/>
      <c r="AR7735" s="319"/>
    </row>
    <row r="7736" spans="37:44" ht="30" customHeight="1">
      <c r="AK7736" s="318"/>
      <c r="AL7736" s="318"/>
      <c r="AM7736" s="318"/>
      <c r="AN7736" s="318"/>
      <c r="AO7736" s="318"/>
      <c r="AP7736" s="318"/>
      <c r="AQ7736" s="318"/>
      <c r="AR7736" s="319"/>
    </row>
    <row r="7737" spans="37:44" ht="30" customHeight="1">
      <c r="AK7737" s="318"/>
      <c r="AL7737" s="318"/>
      <c r="AM7737" s="318"/>
      <c r="AN7737" s="318"/>
      <c r="AO7737" s="318"/>
      <c r="AP7737" s="318"/>
      <c r="AQ7737" s="318"/>
      <c r="AR7737" s="319"/>
    </row>
    <row r="7738" spans="37:44" ht="30" customHeight="1">
      <c r="AK7738" s="318"/>
      <c r="AL7738" s="318"/>
      <c r="AM7738" s="318"/>
      <c r="AN7738" s="318"/>
      <c r="AO7738" s="318"/>
      <c r="AP7738" s="318"/>
      <c r="AQ7738" s="318"/>
      <c r="AR7738" s="319"/>
    </row>
    <row r="7739" spans="37:44" ht="30" customHeight="1">
      <c r="AK7739" s="318"/>
      <c r="AL7739" s="318"/>
      <c r="AM7739" s="318"/>
      <c r="AN7739" s="318"/>
      <c r="AO7739" s="318"/>
      <c r="AP7739" s="318"/>
      <c r="AQ7739" s="318"/>
      <c r="AR7739" s="319"/>
    </row>
    <row r="7740" spans="37:44" ht="30" customHeight="1">
      <c r="AK7740" s="318"/>
      <c r="AL7740" s="318"/>
      <c r="AM7740" s="318"/>
      <c r="AN7740" s="318"/>
      <c r="AO7740" s="318"/>
      <c r="AP7740" s="318"/>
      <c r="AQ7740" s="318"/>
      <c r="AR7740" s="319"/>
    </row>
    <row r="7741" spans="37:44" ht="30" customHeight="1">
      <c r="AK7741" s="318"/>
      <c r="AL7741" s="318"/>
      <c r="AM7741" s="318"/>
      <c r="AN7741" s="318"/>
      <c r="AO7741" s="318"/>
      <c r="AP7741" s="318"/>
      <c r="AQ7741" s="318"/>
      <c r="AR7741" s="319"/>
    </row>
    <row r="7742" spans="37:44" ht="30" customHeight="1">
      <c r="AK7742" s="318"/>
      <c r="AL7742" s="318"/>
      <c r="AM7742" s="318"/>
      <c r="AN7742" s="318"/>
      <c r="AO7742" s="318"/>
      <c r="AP7742" s="318"/>
      <c r="AQ7742" s="318"/>
      <c r="AR7742" s="319"/>
    </row>
    <row r="7743" spans="37:44" ht="30" customHeight="1">
      <c r="AK7743" s="318"/>
      <c r="AL7743" s="318"/>
      <c r="AM7743" s="318"/>
      <c r="AN7743" s="318"/>
      <c r="AO7743" s="318"/>
      <c r="AP7743" s="318"/>
      <c r="AQ7743" s="318"/>
      <c r="AR7743" s="319"/>
    </row>
    <row r="7744" spans="37:44" ht="30" customHeight="1">
      <c r="AK7744" s="318"/>
      <c r="AL7744" s="318"/>
      <c r="AM7744" s="318"/>
      <c r="AN7744" s="318"/>
      <c r="AO7744" s="318"/>
      <c r="AP7744" s="318"/>
      <c r="AQ7744" s="318"/>
      <c r="AR7744" s="319"/>
    </row>
    <row r="7745" spans="37:44" ht="30" customHeight="1">
      <c r="AK7745" s="318"/>
      <c r="AL7745" s="318"/>
      <c r="AM7745" s="318"/>
      <c r="AN7745" s="318"/>
      <c r="AO7745" s="318"/>
      <c r="AP7745" s="318"/>
      <c r="AQ7745" s="318"/>
      <c r="AR7745" s="319"/>
    </row>
    <row r="7746" spans="37:44" ht="30" customHeight="1">
      <c r="AK7746" s="318"/>
      <c r="AL7746" s="318"/>
      <c r="AM7746" s="318"/>
      <c r="AN7746" s="318"/>
      <c r="AO7746" s="318"/>
      <c r="AP7746" s="318"/>
      <c r="AQ7746" s="318"/>
      <c r="AR7746" s="319"/>
    </row>
    <row r="7747" spans="37:44" ht="30" customHeight="1">
      <c r="AK7747" s="318"/>
      <c r="AL7747" s="318"/>
      <c r="AM7747" s="318"/>
      <c r="AN7747" s="318"/>
      <c r="AO7747" s="318"/>
      <c r="AP7747" s="318"/>
      <c r="AQ7747" s="318"/>
      <c r="AR7747" s="319"/>
    </row>
    <row r="7748" spans="37:44" ht="30" customHeight="1">
      <c r="AK7748" s="318"/>
      <c r="AL7748" s="318"/>
      <c r="AM7748" s="318"/>
      <c r="AN7748" s="318"/>
      <c r="AO7748" s="318"/>
      <c r="AP7748" s="318"/>
      <c r="AQ7748" s="318"/>
      <c r="AR7748" s="319"/>
    </row>
    <row r="7749" spans="37:44" ht="30" customHeight="1">
      <c r="AK7749" s="318"/>
      <c r="AL7749" s="318"/>
      <c r="AM7749" s="318"/>
      <c r="AN7749" s="318"/>
      <c r="AO7749" s="318"/>
      <c r="AP7749" s="318"/>
      <c r="AQ7749" s="318"/>
      <c r="AR7749" s="319"/>
    </row>
    <row r="7750" spans="37:44" ht="30" customHeight="1">
      <c r="AK7750" s="318"/>
      <c r="AL7750" s="318"/>
      <c r="AM7750" s="318"/>
      <c r="AN7750" s="318"/>
      <c r="AO7750" s="318"/>
      <c r="AP7750" s="318"/>
      <c r="AQ7750" s="318"/>
      <c r="AR7750" s="319"/>
    </row>
    <row r="7751" spans="37:44" ht="30" customHeight="1">
      <c r="AK7751" s="318"/>
      <c r="AL7751" s="318"/>
      <c r="AM7751" s="318"/>
      <c r="AN7751" s="318"/>
      <c r="AO7751" s="318"/>
      <c r="AP7751" s="318"/>
      <c r="AQ7751" s="318"/>
      <c r="AR7751" s="319"/>
    </row>
    <row r="7752" spans="37:44" ht="30" customHeight="1">
      <c r="AK7752" s="318"/>
      <c r="AL7752" s="318"/>
      <c r="AM7752" s="318"/>
      <c r="AN7752" s="318"/>
      <c r="AO7752" s="318"/>
      <c r="AP7752" s="318"/>
      <c r="AQ7752" s="318"/>
      <c r="AR7752" s="319"/>
    </row>
    <row r="7753" spans="37:44" ht="30" customHeight="1">
      <c r="AK7753" s="318"/>
      <c r="AL7753" s="318"/>
      <c r="AM7753" s="318"/>
      <c r="AN7753" s="318"/>
      <c r="AO7753" s="318"/>
      <c r="AP7753" s="318"/>
      <c r="AQ7753" s="318"/>
      <c r="AR7753" s="319"/>
    </row>
    <row r="7754" spans="37:44" ht="30" customHeight="1">
      <c r="AK7754" s="318"/>
      <c r="AL7754" s="318"/>
      <c r="AM7754" s="318"/>
      <c r="AN7754" s="318"/>
      <c r="AO7754" s="318"/>
      <c r="AP7754" s="318"/>
      <c r="AQ7754" s="318"/>
      <c r="AR7754" s="319"/>
    </row>
    <row r="7755" spans="37:44" ht="30" customHeight="1">
      <c r="AK7755" s="318"/>
      <c r="AL7755" s="318"/>
      <c r="AM7755" s="318"/>
      <c r="AN7755" s="318"/>
      <c r="AO7755" s="318"/>
      <c r="AP7755" s="318"/>
      <c r="AQ7755" s="318"/>
      <c r="AR7755" s="319"/>
    </row>
    <row r="7756" spans="37:44" ht="30" customHeight="1">
      <c r="AK7756" s="318"/>
      <c r="AL7756" s="318"/>
      <c r="AM7756" s="318"/>
      <c r="AN7756" s="318"/>
      <c r="AO7756" s="318"/>
      <c r="AP7756" s="318"/>
      <c r="AQ7756" s="318"/>
      <c r="AR7756" s="319"/>
    </row>
    <row r="7757" spans="37:44" ht="30" customHeight="1">
      <c r="AK7757" s="318"/>
      <c r="AL7757" s="318"/>
      <c r="AM7757" s="318"/>
      <c r="AN7757" s="318"/>
      <c r="AO7757" s="318"/>
      <c r="AP7757" s="318"/>
      <c r="AQ7757" s="318"/>
      <c r="AR7757" s="319"/>
    </row>
    <row r="7758" spans="37:44" ht="30" customHeight="1">
      <c r="AK7758" s="318"/>
      <c r="AL7758" s="318"/>
      <c r="AM7758" s="318"/>
      <c r="AN7758" s="318"/>
      <c r="AO7758" s="318"/>
      <c r="AP7758" s="318"/>
      <c r="AQ7758" s="318"/>
      <c r="AR7758" s="319"/>
    </row>
    <row r="7759" spans="37:44" ht="30" customHeight="1">
      <c r="AK7759" s="318"/>
      <c r="AL7759" s="318"/>
      <c r="AM7759" s="318"/>
      <c r="AN7759" s="318"/>
      <c r="AO7759" s="318"/>
      <c r="AP7759" s="318"/>
      <c r="AQ7759" s="318"/>
      <c r="AR7759" s="319"/>
    </row>
    <row r="7760" spans="37:44" ht="30" customHeight="1">
      <c r="AK7760" s="318"/>
      <c r="AL7760" s="318"/>
      <c r="AM7760" s="318"/>
      <c r="AN7760" s="318"/>
      <c r="AO7760" s="318"/>
      <c r="AP7760" s="318"/>
      <c r="AQ7760" s="318"/>
      <c r="AR7760" s="319"/>
    </row>
    <row r="7761" spans="37:44" ht="30" customHeight="1">
      <c r="AK7761" s="318"/>
      <c r="AL7761" s="318"/>
      <c r="AM7761" s="318"/>
      <c r="AN7761" s="318"/>
      <c r="AO7761" s="318"/>
      <c r="AP7761" s="318"/>
      <c r="AQ7761" s="318"/>
      <c r="AR7761" s="319"/>
    </row>
    <row r="7762" spans="37:44" ht="30" customHeight="1">
      <c r="AK7762" s="318"/>
      <c r="AL7762" s="318"/>
      <c r="AM7762" s="318"/>
      <c r="AN7762" s="318"/>
      <c r="AO7762" s="318"/>
      <c r="AP7762" s="318"/>
      <c r="AQ7762" s="318"/>
      <c r="AR7762" s="319"/>
    </row>
    <row r="7763" spans="37:44" ht="30" customHeight="1">
      <c r="AK7763" s="318"/>
      <c r="AL7763" s="318"/>
      <c r="AM7763" s="318"/>
      <c r="AN7763" s="318"/>
      <c r="AO7763" s="318"/>
      <c r="AP7763" s="318"/>
      <c r="AQ7763" s="318"/>
      <c r="AR7763" s="319"/>
    </row>
    <row r="7764" spans="37:44" ht="30" customHeight="1">
      <c r="AK7764" s="318"/>
      <c r="AL7764" s="318"/>
      <c r="AM7764" s="318"/>
      <c r="AN7764" s="318"/>
      <c r="AO7764" s="318"/>
      <c r="AP7764" s="318"/>
      <c r="AQ7764" s="318"/>
      <c r="AR7764" s="319"/>
    </row>
    <row r="7765" spans="37:44" ht="30" customHeight="1">
      <c r="AK7765" s="318"/>
      <c r="AL7765" s="318"/>
      <c r="AM7765" s="318"/>
      <c r="AN7765" s="318"/>
      <c r="AO7765" s="318"/>
      <c r="AP7765" s="318"/>
      <c r="AQ7765" s="318"/>
      <c r="AR7765" s="319"/>
    </row>
    <row r="7766" spans="37:44" ht="30" customHeight="1">
      <c r="AK7766" s="318"/>
      <c r="AL7766" s="318"/>
      <c r="AM7766" s="318"/>
      <c r="AN7766" s="318"/>
      <c r="AO7766" s="318"/>
      <c r="AP7766" s="318"/>
      <c r="AQ7766" s="318"/>
      <c r="AR7766" s="319"/>
    </row>
    <row r="7767" spans="37:44" ht="30" customHeight="1">
      <c r="AK7767" s="318"/>
      <c r="AL7767" s="318"/>
      <c r="AM7767" s="318"/>
      <c r="AN7767" s="318"/>
      <c r="AO7767" s="318"/>
      <c r="AP7767" s="318"/>
      <c r="AQ7767" s="318"/>
      <c r="AR7767" s="319"/>
    </row>
    <row r="7768" spans="37:44" ht="30" customHeight="1">
      <c r="AK7768" s="318"/>
      <c r="AL7768" s="318"/>
      <c r="AM7768" s="318"/>
      <c r="AN7768" s="318"/>
      <c r="AO7768" s="318"/>
      <c r="AP7768" s="318"/>
      <c r="AQ7768" s="318"/>
      <c r="AR7768" s="319"/>
    </row>
    <row r="7769" spans="37:44" ht="30" customHeight="1">
      <c r="AK7769" s="318"/>
      <c r="AL7769" s="318"/>
      <c r="AM7769" s="318"/>
      <c r="AN7769" s="318"/>
      <c r="AO7769" s="318"/>
      <c r="AP7769" s="318"/>
      <c r="AQ7769" s="318"/>
      <c r="AR7769" s="319"/>
    </row>
    <row r="7770" spans="37:44" ht="30" customHeight="1">
      <c r="AK7770" s="318"/>
      <c r="AL7770" s="318"/>
      <c r="AM7770" s="318"/>
      <c r="AN7770" s="318"/>
      <c r="AO7770" s="318"/>
      <c r="AP7770" s="318"/>
      <c r="AQ7770" s="318"/>
      <c r="AR7770" s="319"/>
    </row>
    <row r="7771" spans="37:44" ht="30" customHeight="1">
      <c r="AK7771" s="318"/>
      <c r="AL7771" s="318"/>
      <c r="AM7771" s="318"/>
      <c r="AN7771" s="318"/>
      <c r="AO7771" s="318"/>
      <c r="AP7771" s="318"/>
      <c r="AQ7771" s="318"/>
      <c r="AR7771" s="319"/>
    </row>
    <row r="7772" spans="37:44" ht="30" customHeight="1">
      <c r="AK7772" s="318"/>
      <c r="AL7772" s="318"/>
      <c r="AM7772" s="318"/>
      <c r="AN7772" s="318"/>
      <c r="AO7772" s="318"/>
      <c r="AP7772" s="318"/>
      <c r="AQ7772" s="318"/>
      <c r="AR7772" s="319"/>
    </row>
    <row r="7773" spans="37:44" ht="30" customHeight="1">
      <c r="AK7773" s="318"/>
      <c r="AL7773" s="318"/>
      <c r="AM7773" s="318"/>
      <c r="AN7773" s="318"/>
      <c r="AO7773" s="318"/>
      <c r="AP7773" s="318"/>
      <c r="AQ7773" s="318"/>
      <c r="AR7773" s="319"/>
    </row>
    <row r="7774" spans="37:44" ht="30" customHeight="1">
      <c r="AK7774" s="318"/>
      <c r="AL7774" s="318"/>
      <c r="AM7774" s="318"/>
      <c r="AN7774" s="318"/>
      <c r="AO7774" s="318"/>
      <c r="AP7774" s="318"/>
      <c r="AQ7774" s="318"/>
      <c r="AR7774" s="319"/>
    </row>
    <row r="7775" spans="37:44" ht="30" customHeight="1">
      <c r="AK7775" s="318"/>
      <c r="AL7775" s="318"/>
      <c r="AM7775" s="318"/>
      <c r="AN7775" s="318"/>
      <c r="AO7775" s="318"/>
      <c r="AP7775" s="318"/>
      <c r="AQ7775" s="318"/>
      <c r="AR7775" s="319"/>
    </row>
    <row r="7776" spans="37:44" ht="30" customHeight="1">
      <c r="AK7776" s="318"/>
      <c r="AL7776" s="318"/>
      <c r="AM7776" s="318"/>
      <c r="AN7776" s="318"/>
      <c r="AO7776" s="318"/>
      <c r="AP7776" s="318"/>
      <c r="AQ7776" s="318"/>
      <c r="AR7776" s="319"/>
    </row>
    <row r="7777" spans="37:44" ht="30" customHeight="1">
      <c r="AK7777" s="318"/>
      <c r="AL7777" s="318"/>
      <c r="AM7777" s="318"/>
      <c r="AN7777" s="318"/>
      <c r="AO7777" s="318"/>
      <c r="AP7777" s="318"/>
      <c r="AQ7777" s="318"/>
      <c r="AR7777" s="319"/>
    </row>
    <row r="7778" spans="37:44" ht="30" customHeight="1">
      <c r="AK7778" s="318"/>
      <c r="AL7778" s="318"/>
      <c r="AM7778" s="318"/>
      <c r="AN7778" s="318"/>
      <c r="AO7778" s="318"/>
      <c r="AP7778" s="318"/>
      <c r="AQ7778" s="318"/>
      <c r="AR7778" s="319"/>
    </row>
    <row r="7779" spans="37:44" ht="30" customHeight="1">
      <c r="AK7779" s="318"/>
      <c r="AL7779" s="318"/>
      <c r="AM7779" s="318"/>
      <c r="AN7779" s="318"/>
      <c r="AO7779" s="318"/>
      <c r="AP7779" s="318"/>
      <c r="AQ7779" s="318"/>
      <c r="AR7779" s="319"/>
    </row>
    <row r="7780" spans="37:44" ht="30" customHeight="1">
      <c r="AK7780" s="318"/>
      <c r="AL7780" s="318"/>
      <c r="AM7780" s="318"/>
      <c r="AN7780" s="318"/>
      <c r="AO7780" s="318"/>
      <c r="AP7780" s="318"/>
      <c r="AQ7780" s="318"/>
      <c r="AR7780" s="319"/>
    </row>
    <row r="7781" spans="37:44" ht="30" customHeight="1">
      <c r="AK7781" s="318"/>
      <c r="AL7781" s="318"/>
      <c r="AM7781" s="318"/>
      <c r="AN7781" s="318"/>
      <c r="AO7781" s="318"/>
      <c r="AP7781" s="318"/>
      <c r="AQ7781" s="318"/>
      <c r="AR7781" s="319"/>
    </row>
    <row r="7782" spans="37:44" ht="30" customHeight="1">
      <c r="AK7782" s="318"/>
      <c r="AL7782" s="318"/>
      <c r="AM7782" s="318"/>
      <c r="AN7782" s="318"/>
      <c r="AO7782" s="318"/>
      <c r="AP7782" s="318"/>
      <c r="AQ7782" s="318"/>
      <c r="AR7782" s="319"/>
    </row>
    <row r="7783" spans="37:44" ht="30" customHeight="1">
      <c r="AK7783" s="318"/>
      <c r="AL7783" s="318"/>
      <c r="AM7783" s="318"/>
      <c r="AN7783" s="318"/>
      <c r="AO7783" s="318"/>
      <c r="AP7783" s="318"/>
      <c r="AQ7783" s="318"/>
      <c r="AR7783" s="319"/>
    </row>
    <row r="7784" spans="37:44" ht="30" customHeight="1">
      <c r="AK7784" s="318"/>
      <c r="AL7784" s="318"/>
      <c r="AM7784" s="318"/>
      <c r="AN7784" s="318"/>
      <c r="AO7784" s="318"/>
      <c r="AP7784" s="318"/>
      <c r="AQ7784" s="318"/>
      <c r="AR7784" s="319"/>
    </row>
    <row r="7785" spans="37:44" ht="30" customHeight="1">
      <c r="AK7785" s="318"/>
      <c r="AL7785" s="318"/>
      <c r="AM7785" s="318"/>
      <c r="AN7785" s="318"/>
      <c r="AO7785" s="318"/>
      <c r="AP7785" s="318"/>
      <c r="AQ7785" s="318"/>
      <c r="AR7785" s="319"/>
    </row>
    <row r="7786" spans="37:44" ht="30" customHeight="1">
      <c r="AK7786" s="318"/>
      <c r="AL7786" s="318"/>
      <c r="AM7786" s="318"/>
      <c r="AN7786" s="318"/>
      <c r="AO7786" s="318"/>
      <c r="AP7786" s="318"/>
      <c r="AQ7786" s="318"/>
      <c r="AR7786" s="319"/>
    </row>
    <row r="7787" spans="37:44" ht="30" customHeight="1">
      <c r="AK7787" s="318"/>
      <c r="AL7787" s="318"/>
      <c r="AM7787" s="318"/>
      <c r="AN7787" s="318"/>
      <c r="AO7787" s="318"/>
      <c r="AP7787" s="318"/>
      <c r="AQ7787" s="318"/>
      <c r="AR7787" s="319"/>
    </row>
    <row r="7788" spans="37:44" ht="30" customHeight="1">
      <c r="AK7788" s="318"/>
      <c r="AL7788" s="318"/>
      <c r="AM7788" s="318"/>
      <c r="AN7788" s="318"/>
      <c r="AO7788" s="318"/>
      <c r="AP7788" s="318"/>
      <c r="AQ7788" s="318"/>
      <c r="AR7788" s="319"/>
    </row>
    <row r="7789" spans="37:44" ht="30" customHeight="1">
      <c r="AK7789" s="318"/>
      <c r="AL7789" s="318"/>
      <c r="AM7789" s="318"/>
      <c r="AN7789" s="318"/>
      <c r="AO7789" s="318"/>
      <c r="AP7789" s="318"/>
      <c r="AQ7789" s="318"/>
      <c r="AR7789" s="319"/>
    </row>
    <row r="7790" spans="37:44" ht="30" customHeight="1">
      <c r="AK7790" s="318"/>
      <c r="AL7790" s="318"/>
      <c r="AM7790" s="318"/>
      <c r="AN7790" s="318"/>
      <c r="AO7790" s="318"/>
      <c r="AP7790" s="318"/>
      <c r="AQ7790" s="318"/>
      <c r="AR7790" s="319"/>
    </row>
    <row r="7791" spans="37:44" ht="30" customHeight="1">
      <c r="AK7791" s="318"/>
      <c r="AL7791" s="318"/>
      <c r="AM7791" s="318"/>
      <c r="AN7791" s="318"/>
      <c r="AO7791" s="318"/>
      <c r="AP7791" s="318"/>
      <c r="AQ7791" s="318"/>
      <c r="AR7791" s="319"/>
    </row>
    <row r="7792" spans="37:44" ht="30" customHeight="1">
      <c r="AK7792" s="318"/>
      <c r="AL7792" s="318"/>
      <c r="AM7792" s="318"/>
      <c r="AN7792" s="318"/>
      <c r="AO7792" s="318"/>
      <c r="AP7792" s="318"/>
      <c r="AQ7792" s="318"/>
      <c r="AR7792" s="319"/>
    </row>
    <row r="7793" spans="37:44" ht="30" customHeight="1">
      <c r="AK7793" s="318"/>
      <c r="AL7793" s="318"/>
      <c r="AM7793" s="318"/>
      <c r="AN7793" s="318"/>
      <c r="AO7793" s="318"/>
      <c r="AP7793" s="318"/>
      <c r="AQ7793" s="318"/>
      <c r="AR7793" s="319"/>
    </row>
    <row r="7794" spans="37:44" ht="30" customHeight="1">
      <c r="AK7794" s="318"/>
      <c r="AL7794" s="318"/>
      <c r="AM7794" s="318"/>
      <c r="AN7794" s="318"/>
      <c r="AO7794" s="318"/>
      <c r="AP7794" s="318"/>
      <c r="AQ7794" s="318"/>
      <c r="AR7794" s="319"/>
    </row>
    <row r="7795" spans="37:44" ht="30" customHeight="1">
      <c r="AK7795" s="318"/>
      <c r="AL7795" s="318"/>
      <c r="AM7795" s="318"/>
      <c r="AN7795" s="318"/>
      <c r="AO7795" s="318"/>
      <c r="AP7795" s="318"/>
      <c r="AQ7795" s="318"/>
      <c r="AR7795" s="319"/>
    </row>
    <row r="7796" spans="37:44" ht="30" customHeight="1">
      <c r="AK7796" s="318"/>
      <c r="AL7796" s="318"/>
      <c r="AM7796" s="318"/>
      <c r="AN7796" s="318"/>
      <c r="AO7796" s="318"/>
      <c r="AP7796" s="318"/>
      <c r="AQ7796" s="318"/>
      <c r="AR7796" s="319"/>
    </row>
    <row r="7797" spans="37:44" ht="30" customHeight="1">
      <c r="AK7797" s="318"/>
      <c r="AL7797" s="318"/>
      <c r="AM7797" s="318"/>
      <c r="AN7797" s="318"/>
      <c r="AO7797" s="318"/>
      <c r="AP7797" s="318"/>
      <c r="AQ7797" s="318"/>
      <c r="AR7797" s="319"/>
    </row>
    <row r="7798" spans="37:44" ht="30" customHeight="1">
      <c r="AK7798" s="318"/>
      <c r="AL7798" s="318"/>
      <c r="AM7798" s="318"/>
      <c r="AN7798" s="318"/>
      <c r="AO7798" s="318"/>
      <c r="AP7798" s="318"/>
      <c r="AQ7798" s="318"/>
      <c r="AR7798" s="319"/>
    </row>
    <row r="7799" spans="37:44" ht="30" customHeight="1">
      <c r="AK7799" s="318"/>
      <c r="AL7799" s="318"/>
      <c r="AM7799" s="318"/>
      <c r="AN7799" s="318"/>
      <c r="AO7799" s="318"/>
      <c r="AP7799" s="318"/>
      <c r="AQ7799" s="318"/>
      <c r="AR7799" s="319"/>
    </row>
    <row r="7800" spans="37:44" ht="30" customHeight="1">
      <c r="AK7800" s="318"/>
      <c r="AL7800" s="318"/>
      <c r="AM7800" s="318"/>
      <c r="AN7800" s="318"/>
      <c r="AO7800" s="318"/>
      <c r="AP7800" s="318"/>
      <c r="AQ7800" s="318"/>
      <c r="AR7800" s="319"/>
    </row>
    <row r="7801" spans="37:44" ht="30" customHeight="1">
      <c r="AK7801" s="318"/>
      <c r="AL7801" s="318"/>
      <c r="AM7801" s="318"/>
      <c r="AN7801" s="318"/>
      <c r="AO7801" s="318"/>
      <c r="AP7801" s="318"/>
      <c r="AQ7801" s="318"/>
      <c r="AR7801" s="319"/>
    </row>
    <row r="7802" spans="37:44" ht="30" customHeight="1">
      <c r="AK7802" s="318"/>
      <c r="AL7802" s="318"/>
      <c r="AM7802" s="318"/>
      <c r="AN7802" s="318"/>
      <c r="AO7802" s="318"/>
      <c r="AP7802" s="318"/>
      <c r="AQ7802" s="318"/>
      <c r="AR7802" s="319"/>
    </row>
    <row r="7803" spans="37:44" ht="30" customHeight="1">
      <c r="AK7803" s="318"/>
      <c r="AL7803" s="318"/>
      <c r="AM7803" s="318"/>
      <c r="AN7803" s="318"/>
      <c r="AO7803" s="318"/>
      <c r="AP7803" s="318"/>
      <c r="AQ7803" s="318"/>
      <c r="AR7803" s="319"/>
    </row>
    <row r="7804" spans="37:44" ht="30" customHeight="1">
      <c r="AK7804" s="318"/>
      <c r="AL7804" s="318"/>
      <c r="AM7804" s="318"/>
      <c r="AN7804" s="318"/>
      <c r="AO7804" s="318"/>
      <c r="AP7804" s="318"/>
      <c r="AQ7804" s="318"/>
      <c r="AR7804" s="319"/>
    </row>
    <row r="7805" spans="37:44" ht="30" customHeight="1">
      <c r="AK7805" s="318"/>
      <c r="AL7805" s="318"/>
      <c r="AM7805" s="318"/>
      <c r="AN7805" s="318"/>
      <c r="AO7805" s="318"/>
      <c r="AP7805" s="318"/>
      <c r="AQ7805" s="318"/>
      <c r="AR7805" s="319"/>
    </row>
    <row r="7806" spans="37:44" ht="30" customHeight="1">
      <c r="AK7806" s="318"/>
      <c r="AL7806" s="318"/>
      <c r="AM7806" s="318"/>
      <c r="AN7806" s="318"/>
      <c r="AO7806" s="318"/>
      <c r="AP7806" s="318"/>
      <c r="AQ7806" s="318"/>
      <c r="AR7806" s="319"/>
    </row>
    <row r="7807" spans="37:44" ht="30" customHeight="1">
      <c r="AK7807" s="318"/>
      <c r="AL7807" s="318"/>
      <c r="AM7807" s="318"/>
      <c r="AN7807" s="318"/>
      <c r="AO7807" s="318"/>
      <c r="AP7807" s="318"/>
      <c r="AQ7807" s="318"/>
      <c r="AR7807" s="319"/>
    </row>
    <row r="7808" spans="37:44" ht="30" customHeight="1">
      <c r="AK7808" s="318"/>
      <c r="AL7808" s="318"/>
      <c r="AM7808" s="318"/>
      <c r="AN7808" s="318"/>
      <c r="AO7808" s="318"/>
      <c r="AP7808" s="318"/>
      <c r="AQ7808" s="318"/>
      <c r="AR7808" s="319"/>
    </row>
    <row r="7809" spans="37:44" ht="30" customHeight="1">
      <c r="AK7809" s="318"/>
      <c r="AL7809" s="318"/>
      <c r="AM7809" s="318"/>
      <c r="AN7809" s="318"/>
      <c r="AO7809" s="318"/>
      <c r="AP7809" s="318"/>
      <c r="AQ7809" s="318"/>
      <c r="AR7809" s="319"/>
    </row>
    <row r="7810" spans="37:44" ht="30" customHeight="1">
      <c r="AK7810" s="318"/>
      <c r="AL7810" s="318"/>
      <c r="AM7810" s="318"/>
      <c r="AN7810" s="318"/>
      <c r="AO7810" s="318"/>
      <c r="AP7810" s="318"/>
      <c r="AQ7810" s="318"/>
      <c r="AR7810" s="319"/>
    </row>
    <row r="7811" spans="37:44" ht="30" customHeight="1">
      <c r="AK7811" s="318"/>
      <c r="AL7811" s="318"/>
      <c r="AM7811" s="318"/>
      <c r="AN7811" s="318"/>
      <c r="AO7811" s="318"/>
      <c r="AP7811" s="318"/>
      <c r="AQ7811" s="318"/>
      <c r="AR7811" s="319"/>
    </row>
    <row r="7812" spans="37:44" ht="30" customHeight="1">
      <c r="AK7812" s="318"/>
      <c r="AL7812" s="318"/>
      <c r="AM7812" s="318"/>
      <c r="AN7812" s="318"/>
      <c r="AO7812" s="318"/>
      <c r="AP7812" s="318"/>
      <c r="AQ7812" s="318"/>
      <c r="AR7812" s="319"/>
    </row>
    <row r="7813" spans="37:44" ht="30" customHeight="1">
      <c r="AK7813" s="318"/>
      <c r="AL7813" s="318"/>
      <c r="AM7813" s="318"/>
      <c r="AN7813" s="318"/>
      <c r="AO7813" s="318"/>
      <c r="AP7813" s="318"/>
      <c r="AQ7813" s="318"/>
      <c r="AR7813" s="319"/>
    </row>
    <row r="7814" spans="37:44" ht="30" customHeight="1">
      <c r="AK7814" s="318"/>
      <c r="AL7814" s="318"/>
      <c r="AM7814" s="318"/>
      <c r="AN7814" s="318"/>
      <c r="AO7814" s="318"/>
      <c r="AP7814" s="318"/>
      <c r="AQ7814" s="318"/>
      <c r="AR7814" s="319"/>
    </row>
    <row r="7815" spans="37:44" ht="30" customHeight="1">
      <c r="AK7815" s="318"/>
      <c r="AL7815" s="318"/>
      <c r="AM7815" s="318"/>
      <c r="AN7815" s="318"/>
      <c r="AO7815" s="318"/>
      <c r="AP7815" s="318"/>
      <c r="AQ7815" s="318"/>
      <c r="AR7815" s="319"/>
    </row>
    <row r="7816" spans="37:44" ht="30" customHeight="1">
      <c r="AK7816" s="318"/>
      <c r="AL7816" s="318"/>
      <c r="AM7816" s="318"/>
      <c r="AN7816" s="318"/>
      <c r="AO7816" s="318"/>
      <c r="AP7816" s="318"/>
      <c r="AQ7816" s="318"/>
      <c r="AR7816" s="319"/>
    </row>
    <row r="7817" spans="37:44" ht="30" customHeight="1">
      <c r="AK7817" s="318"/>
      <c r="AL7817" s="318"/>
      <c r="AM7817" s="318"/>
      <c r="AN7817" s="318"/>
      <c r="AO7817" s="318"/>
      <c r="AP7817" s="318"/>
      <c r="AQ7817" s="318"/>
      <c r="AR7817" s="319"/>
    </row>
    <row r="7818" spans="37:44" ht="30" customHeight="1">
      <c r="AK7818" s="318"/>
      <c r="AL7818" s="318"/>
      <c r="AM7818" s="318"/>
      <c r="AN7818" s="318"/>
      <c r="AO7818" s="318"/>
      <c r="AP7818" s="318"/>
      <c r="AQ7818" s="318"/>
      <c r="AR7818" s="319"/>
    </row>
    <row r="7819" spans="37:44" ht="30" customHeight="1">
      <c r="AK7819" s="318"/>
      <c r="AL7819" s="318"/>
      <c r="AM7819" s="318"/>
      <c r="AN7819" s="318"/>
      <c r="AO7819" s="318"/>
      <c r="AP7819" s="318"/>
      <c r="AQ7819" s="318"/>
      <c r="AR7819" s="319"/>
    </row>
    <row r="7820" spans="37:44" ht="30" customHeight="1">
      <c r="AK7820" s="318"/>
      <c r="AL7820" s="318"/>
      <c r="AM7820" s="318"/>
      <c r="AN7820" s="318"/>
      <c r="AO7820" s="318"/>
      <c r="AP7820" s="318"/>
      <c r="AQ7820" s="318"/>
      <c r="AR7820" s="319"/>
    </row>
    <row r="7821" spans="37:44" ht="30" customHeight="1">
      <c r="AK7821" s="318"/>
      <c r="AL7821" s="318"/>
      <c r="AM7821" s="318"/>
      <c r="AN7821" s="318"/>
      <c r="AO7821" s="318"/>
      <c r="AP7821" s="318"/>
      <c r="AQ7821" s="318"/>
      <c r="AR7821" s="319"/>
    </row>
    <row r="7822" spans="37:44" ht="30" customHeight="1">
      <c r="AK7822" s="318"/>
      <c r="AL7822" s="318"/>
      <c r="AM7822" s="318"/>
      <c r="AN7822" s="318"/>
      <c r="AO7822" s="318"/>
      <c r="AP7822" s="318"/>
      <c r="AQ7822" s="318"/>
      <c r="AR7822" s="319"/>
    </row>
    <row r="7823" spans="37:44" ht="30" customHeight="1">
      <c r="AK7823" s="318"/>
      <c r="AL7823" s="318"/>
      <c r="AM7823" s="318"/>
      <c r="AN7823" s="318"/>
      <c r="AO7823" s="318"/>
      <c r="AP7823" s="318"/>
      <c r="AQ7823" s="318"/>
      <c r="AR7823" s="319"/>
    </row>
    <row r="7824" spans="37:44" ht="30" customHeight="1">
      <c r="AK7824" s="318"/>
      <c r="AL7824" s="318"/>
      <c r="AM7824" s="318"/>
      <c r="AN7824" s="318"/>
      <c r="AO7824" s="318"/>
      <c r="AP7824" s="318"/>
      <c r="AQ7824" s="318"/>
      <c r="AR7824" s="319"/>
    </row>
    <row r="7825" spans="37:44" ht="30" customHeight="1">
      <c r="AK7825" s="318"/>
      <c r="AL7825" s="318"/>
      <c r="AM7825" s="318"/>
      <c r="AN7825" s="318"/>
      <c r="AO7825" s="318"/>
      <c r="AP7825" s="318"/>
      <c r="AQ7825" s="318"/>
      <c r="AR7825" s="319"/>
    </row>
    <row r="7826" spans="37:44" ht="30" customHeight="1">
      <c r="AK7826" s="318"/>
      <c r="AL7826" s="318"/>
      <c r="AM7826" s="318"/>
      <c r="AN7826" s="318"/>
      <c r="AO7826" s="318"/>
      <c r="AP7826" s="318"/>
      <c r="AQ7826" s="318"/>
      <c r="AR7826" s="319"/>
    </row>
    <row r="7827" spans="37:44" ht="30" customHeight="1">
      <c r="AK7827" s="318"/>
      <c r="AL7827" s="318"/>
      <c r="AM7827" s="318"/>
      <c r="AN7827" s="318"/>
      <c r="AO7827" s="318"/>
      <c r="AP7827" s="318"/>
      <c r="AQ7827" s="318"/>
      <c r="AR7827" s="319"/>
    </row>
    <row r="7828" spans="37:44" ht="30" customHeight="1">
      <c r="AK7828" s="318"/>
      <c r="AL7828" s="318"/>
      <c r="AM7828" s="318"/>
      <c r="AN7828" s="318"/>
      <c r="AO7828" s="318"/>
      <c r="AP7828" s="318"/>
      <c r="AQ7828" s="318"/>
      <c r="AR7828" s="319"/>
    </row>
    <row r="7829" spans="37:44" ht="30" customHeight="1">
      <c r="AK7829" s="318"/>
      <c r="AL7829" s="318"/>
      <c r="AM7829" s="318"/>
      <c r="AN7829" s="318"/>
      <c r="AO7829" s="318"/>
      <c r="AP7829" s="318"/>
      <c r="AQ7829" s="318"/>
      <c r="AR7829" s="319"/>
    </row>
    <row r="7830" spans="37:44" ht="30" customHeight="1">
      <c r="AK7830" s="318"/>
      <c r="AL7830" s="318"/>
      <c r="AM7830" s="318"/>
      <c r="AN7830" s="318"/>
      <c r="AO7830" s="318"/>
      <c r="AP7830" s="318"/>
      <c r="AQ7830" s="318"/>
      <c r="AR7830" s="319"/>
    </row>
    <row r="7831" spans="37:44" ht="30" customHeight="1">
      <c r="AK7831" s="318"/>
      <c r="AL7831" s="318"/>
      <c r="AM7831" s="318"/>
      <c r="AN7831" s="318"/>
      <c r="AO7831" s="318"/>
      <c r="AP7831" s="318"/>
      <c r="AQ7831" s="318"/>
      <c r="AR7831" s="319"/>
    </row>
    <row r="7832" spans="37:44" ht="30" customHeight="1">
      <c r="AK7832" s="318"/>
      <c r="AL7832" s="318"/>
      <c r="AM7832" s="318"/>
      <c r="AN7832" s="318"/>
      <c r="AO7832" s="318"/>
      <c r="AP7832" s="318"/>
      <c r="AQ7832" s="318"/>
      <c r="AR7832" s="319"/>
    </row>
    <row r="7833" spans="37:44" ht="30" customHeight="1">
      <c r="AK7833" s="318"/>
      <c r="AL7833" s="318"/>
      <c r="AM7833" s="318"/>
      <c r="AN7833" s="318"/>
      <c r="AO7833" s="318"/>
      <c r="AP7833" s="318"/>
      <c r="AQ7833" s="318"/>
      <c r="AR7833" s="319"/>
    </row>
    <row r="7834" spans="37:44" ht="30" customHeight="1">
      <c r="AK7834" s="318"/>
      <c r="AL7834" s="318"/>
      <c r="AM7834" s="318"/>
      <c r="AN7834" s="318"/>
      <c r="AO7834" s="318"/>
      <c r="AP7834" s="318"/>
      <c r="AQ7834" s="318"/>
      <c r="AR7834" s="319"/>
    </row>
    <row r="7835" spans="37:44" ht="30" customHeight="1">
      <c r="AK7835" s="318"/>
      <c r="AL7835" s="318"/>
      <c r="AM7835" s="318"/>
      <c r="AN7835" s="318"/>
      <c r="AO7835" s="318"/>
      <c r="AP7835" s="318"/>
      <c r="AQ7835" s="318"/>
      <c r="AR7835" s="319"/>
    </row>
    <row r="7836" spans="37:44" ht="30" customHeight="1">
      <c r="AK7836" s="318"/>
      <c r="AL7836" s="318"/>
      <c r="AM7836" s="318"/>
      <c r="AN7836" s="318"/>
      <c r="AO7836" s="318"/>
      <c r="AP7836" s="318"/>
      <c r="AQ7836" s="318"/>
      <c r="AR7836" s="319"/>
    </row>
    <row r="7837" spans="37:44" ht="30" customHeight="1">
      <c r="AK7837" s="318"/>
      <c r="AL7837" s="318"/>
      <c r="AM7837" s="318"/>
      <c r="AN7837" s="318"/>
      <c r="AO7837" s="318"/>
      <c r="AP7837" s="318"/>
      <c r="AQ7837" s="318"/>
      <c r="AR7837" s="319"/>
    </row>
    <row r="7838" spans="37:44" ht="30" customHeight="1">
      <c r="AK7838" s="318"/>
      <c r="AL7838" s="318"/>
      <c r="AM7838" s="318"/>
      <c r="AN7838" s="318"/>
      <c r="AO7838" s="318"/>
      <c r="AP7838" s="318"/>
      <c r="AQ7838" s="318"/>
      <c r="AR7838" s="319"/>
    </row>
    <row r="7839" spans="37:44" ht="30" customHeight="1">
      <c r="AK7839" s="318"/>
      <c r="AL7839" s="318"/>
      <c r="AM7839" s="318"/>
      <c r="AN7839" s="318"/>
      <c r="AO7839" s="318"/>
      <c r="AP7839" s="318"/>
      <c r="AQ7839" s="318"/>
      <c r="AR7839" s="319"/>
    </row>
    <row r="7840" spans="37:44" ht="30" customHeight="1">
      <c r="AK7840" s="318"/>
      <c r="AL7840" s="318"/>
      <c r="AM7840" s="318"/>
      <c r="AN7840" s="318"/>
      <c r="AO7840" s="318"/>
      <c r="AP7840" s="318"/>
      <c r="AQ7840" s="318"/>
      <c r="AR7840" s="319"/>
    </row>
    <row r="7841" spans="37:44" ht="30" customHeight="1">
      <c r="AK7841" s="318"/>
      <c r="AL7841" s="318"/>
      <c r="AM7841" s="318"/>
      <c r="AN7841" s="318"/>
      <c r="AO7841" s="318"/>
      <c r="AP7841" s="318"/>
      <c r="AQ7841" s="318"/>
      <c r="AR7841" s="319"/>
    </row>
    <row r="7842" spans="37:44" ht="30" customHeight="1">
      <c r="AK7842" s="318"/>
      <c r="AL7842" s="318"/>
      <c r="AM7842" s="318"/>
      <c r="AN7842" s="318"/>
      <c r="AO7842" s="318"/>
      <c r="AP7842" s="318"/>
      <c r="AQ7842" s="318"/>
      <c r="AR7842" s="319"/>
    </row>
    <row r="7843" spans="37:44" ht="30" customHeight="1">
      <c r="AK7843" s="318"/>
      <c r="AL7843" s="318"/>
      <c r="AM7843" s="318"/>
      <c r="AN7843" s="318"/>
      <c r="AO7843" s="318"/>
      <c r="AP7843" s="318"/>
      <c r="AQ7843" s="318"/>
      <c r="AR7843" s="319"/>
    </row>
    <row r="7844" spans="37:44" ht="30" customHeight="1">
      <c r="AK7844" s="318"/>
      <c r="AL7844" s="318"/>
      <c r="AM7844" s="318"/>
      <c r="AN7844" s="318"/>
      <c r="AO7844" s="318"/>
      <c r="AP7844" s="318"/>
      <c r="AQ7844" s="318"/>
      <c r="AR7844" s="319"/>
    </row>
    <row r="7845" spans="37:44" ht="30" customHeight="1">
      <c r="AK7845" s="318"/>
      <c r="AL7845" s="318"/>
      <c r="AM7845" s="318"/>
      <c r="AN7845" s="318"/>
      <c r="AO7845" s="318"/>
      <c r="AP7845" s="318"/>
      <c r="AQ7845" s="318"/>
      <c r="AR7845" s="319"/>
    </row>
    <row r="7846" spans="37:44" ht="30" customHeight="1">
      <c r="AK7846" s="318"/>
      <c r="AL7846" s="318"/>
      <c r="AM7846" s="318"/>
      <c r="AN7846" s="318"/>
      <c r="AO7846" s="318"/>
      <c r="AP7846" s="318"/>
      <c r="AQ7846" s="318"/>
      <c r="AR7846" s="319"/>
    </row>
    <row r="7847" spans="37:44" ht="30" customHeight="1">
      <c r="AK7847" s="318"/>
      <c r="AL7847" s="318"/>
      <c r="AM7847" s="318"/>
      <c r="AN7847" s="318"/>
      <c r="AO7847" s="318"/>
      <c r="AP7847" s="318"/>
      <c r="AQ7847" s="318"/>
      <c r="AR7847" s="319"/>
    </row>
    <row r="7848" spans="37:44" ht="30" customHeight="1">
      <c r="AK7848" s="318"/>
      <c r="AL7848" s="318"/>
      <c r="AM7848" s="318"/>
      <c r="AN7848" s="318"/>
      <c r="AO7848" s="318"/>
      <c r="AP7848" s="318"/>
      <c r="AQ7848" s="318"/>
      <c r="AR7848" s="319"/>
    </row>
    <row r="7849" spans="37:44" ht="30" customHeight="1">
      <c r="AK7849" s="318"/>
      <c r="AL7849" s="318"/>
      <c r="AM7849" s="318"/>
      <c r="AN7849" s="318"/>
      <c r="AO7849" s="318"/>
      <c r="AP7849" s="318"/>
      <c r="AQ7849" s="318"/>
      <c r="AR7849" s="319"/>
    </row>
    <row r="7850" spans="37:44" ht="30" customHeight="1">
      <c r="AK7850" s="318"/>
      <c r="AL7850" s="318"/>
      <c r="AM7850" s="318"/>
      <c r="AN7850" s="318"/>
      <c r="AO7850" s="318"/>
      <c r="AP7850" s="318"/>
      <c r="AQ7850" s="318"/>
      <c r="AR7850" s="319"/>
    </row>
    <row r="7851" spans="37:44" ht="30" customHeight="1">
      <c r="AK7851" s="318"/>
      <c r="AL7851" s="318"/>
      <c r="AM7851" s="318"/>
      <c r="AN7851" s="318"/>
      <c r="AO7851" s="318"/>
      <c r="AP7851" s="318"/>
      <c r="AQ7851" s="318"/>
      <c r="AR7851" s="319"/>
    </row>
    <row r="7852" spans="37:44" ht="30" customHeight="1">
      <c r="AK7852" s="318"/>
      <c r="AL7852" s="318"/>
      <c r="AM7852" s="318"/>
      <c r="AN7852" s="318"/>
      <c r="AO7852" s="318"/>
      <c r="AP7852" s="318"/>
      <c r="AQ7852" s="318"/>
      <c r="AR7852" s="319"/>
    </row>
    <row r="7853" spans="37:44" ht="30" customHeight="1">
      <c r="AK7853" s="318"/>
      <c r="AL7853" s="318"/>
      <c r="AM7853" s="318"/>
      <c r="AN7853" s="318"/>
      <c r="AO7853" s="318"/>
      <c r="AP7853" s="318"/>
      <c r="AQ7853" s="318"/>
      <c r="AR7853" s="319"/>
    </row>
    <row r="7854" spans="37:44" ht="30" customHeight="1">
      <c r="AK7854" s="318"/>
      <c r="AL7854" s="318"/>
      <c r="AM7854" s="318"/>
      <c r="AN7854" s="318"/>
      <c r="AO7854" s="318"/>
      <c r="AP7854" s="318"/>
      <c r="AQ7854" s="318"/>
      <c r="AR7854" s="319"/>
    </row>
    <row r="7855" spans="37:44" ht="30" customHeight="1">
      <c r="AK7855" s="318"/>
      <c r="AL7855" s="318"/>
      <c r="AM7855" s="318"/>
      <c r="AN7855" s="318"/>
      <c r="AO7855" s="318"/>
      <c r="AP7855" s="318"/>
      <c r="AQ7855" s="318"/>
      <c r="AR7855" s="319"/>
    </row>
    <row r="7856" spans="37:44" ht="30" customHeight="1">
      <c r="AK7856" s="318"/>
      <c r="AL7856" s="318"/>
      <c r="AM7856" s="318"/>
      <c r="AN7856" s="318"/>
      <c r="AO7856" s="318"/>
      <c r="AP7856" s="318"/>
      <c r="AQ7856" s="318"/>
      <c r="AR7856" s="319"/>
    </row>
    <row r="7857" spans="37:44" ht="30" customHeight="1">
      <c r="AK7857" s="318"/>
      <c r="AL7857" s="318"/>
      <c r="AM7857" s="318"/>
      <c r="AN7857" s="318"/>
      <c r="AO7857" s="318"/>
      <c r="AP7857" s="318"/>
      <c r="AQ7857" s="318"/>
      <c r="AR7857" s="319"/>
    </row>
    <row r="7858" spans="37:44" ht="30" customHeight="1">
      <c r="AK7858" s="318"/>
      <c r="AL7858" s="318"/>
      <c r="AM7858" s="318"/>
      <c r="AN7858" s="318"/>
      <c r="AO7858" s="318"/>
      <c r="AP7858" s="318"/>
      <c r="AQ7858" s="318"/>
      <c r="AR7858" s="319"/>
    </row>
    <row r="7859" spans="37:44" ht="30" customHeight="1">
      <c r="AK7859" s="318"/>
      <c r="AL7859" s="318"/>
      <c r="AM7859" s="318"/>
      <c r="AN7859" s="318"/>
      <c r="AO7859" s="318"/>
      <c r="AP7859" s="318"/>
      <c r="AQ7859" s="318"/>
      <c r="AR7859" s="319"/>
    </row>
    <row r="7860" spans="37:44" ht="30" customHeight="1">
      <c r="AK7860" s="318"/>
      <c r="AL7860" s="318"/>
      <c r="AM7860" s="318"/>
      <c r="AN7860" s="318"/>
      <c r="AO7860" s="318"/>
      <c r="AP7860" s="318"/>
      <c r="AQ7860" s="318"/>
      <c r="AR7860" s="319"/>
    </row>
    <row r="7861" spans="37:44" ht="30" customHeight="1">
      <c r="AK7861" s="318"/>
      <c r="AL7861" s="318"/>
      <c r="AM7861" s="318"/>
      <c r="AN7861" s="318"/>
      <c r="AO7861" s="318"/>
      <c r="AP7861" s="318"/>
      <c r="AQ7861" s="318"/>
      <c r="AR7861" s="319"/>
    </row>
    <row r="7862" spans="37:44" ht="30" customHeight="1">
      <c r="AK7862" s="318"/>
      <c r="AL7862" s="318"/>
      <c r="AM7862" s="318"/>
      <c r="AN7862" s="318"/>
      <c r="AO7862" s="318"/>
      <c r="AP7862" s="318"/>
      <c r="AQ7862" s="318"/>
      <c r="AR7862" s="319"/>
    </row>
    <row r="7863" spans="37:44" ht="30" customHeight="1">
      <c r="AK7863" s="318"/>
      <c r="AL7863" s="318"/>
      <c r="AM7863" s="318"/>
      <c r="AN7863" s="318"/>
      <c r="AO7863" s="318"/>
      <c r="AP7863" s="318"/>
      <c r="AQ7863" s="318"/>
      <c r="AR7863" s="319"/>
    </row>
    <row r="7864" spans="37:44" ht="30" customHeight="1">
      <c r="AK7864" s="318"/>
      <c r="AL7864" s="318"/>
      <c r="AM7864" s="318"/>
      <c r="AN7864" s="318"/>
      <c r="AO7864" s="318"/>
      <c r="AP7864" s="318"/>
      <c r="AQ7864" s="318"/>
      <c r="AR7864" s="319"/>
    </row>
    <row r="7865" spans="37:44" ht="30" customHeight="1">
      <c r="AK7865" s="318"/>
      <c r="AL7865" s="318"/>
      <c r="AM7865" s="318"/>
      <c r="AN7865" s="318"/>
      <c r="AO7865" s="318"/>
      <c r="AP7865" s="318"/>
      <c r="AQ7865" s="318"/>
      <c r="AR7865" s="319"/>
    </row>
    <row r="7866" spans="37:44" ht="30" customHeight="1">
      <c r="AK7866" s="318"/>
      <c r="AL7866" s="318"/>
      <c r="AM7866" s="318"/>
      <c r="AN7866" s="318"/>
      <c r="AO7866" s="318"/>
      <c r="AP7866" s="318"/>
      <c r="AQ7866" s="318"/>
      <c r="AR7866" s="319"/>
    </row>
    <row r="7867" spans="37:44" ht="30" customHeight="1">
      <c r="AK7867" s="318"/>
      <c r="AL7867" s="318"/>
      <c r="AM7867" s="318"/>
      <c r="AN7867" s="318"/>
      <c r="AO7867" s="318"/>
      <c r="AP7867" s="318"/>
      <c r="AQ7867" s="318"/>
      <c r="AR7867" s="319"/>
    </row>
    <row r="7868" spans="37:44" ht="30" customHeight="1">
      <c r="AK7868" s="318"/>
      <c r="AL7868" s="318"/>
      <c r="AM7868" s="318"/>
      <c r="AN7868" s="318"/>
      <c r="AO7868" s="318"/>
      <c r="AP7868" s="318"/>
      <c r="AQ7868" s="318"/>
      <c r="AR7868" s="319"/>
    </row>
    <row r="7869" spans="37:44" ht="30" customHeight="1">
      <c r="AK7869" s="318"/>
      <c r="AL7869" s="318"/>
      <c r="AM7869" s="318"/>
      <c r="AN7869" s="318"/>
      <c r="AO7869" s="318"/>
      <c r="AP7869" s="318"/>
      <c r="AQ7869" s="318"/>
      <c r="AR7869" s="319"/>
    </row>
    <row r="7870" spans="37:44" ht="30" customHeight="1">
      <c r="AK7870" s="318"/>
      <c r="AL7870" s="318"/>
      <c r="AM7870" s="318"/>
      <c r="AN7870" s="318"/>
      <c r="AO7870" s="318"/>
      <c r="AP7870" s="318"/>
      <c r="AQ7870" s="318"/>
      <c r="AR7870" s="319"/>
    </row>
    <row r="7871" spans="37:44" ht="30" customHeight="1">
      <c r="AK7871" s="318"/>
      <c r="AL7871" s="318"/>
      <c r="AM7871" s="318"/>
      <c r="AN7871" s="318"/>
      <c r="AO7871" s="318"/>
      <c r="AP7871" s="318"/>
      <c r="AQ7871" s="318"/>
      <c r="AR7871" s="319"/>
    </row>
    <row r="7872" spans="37:44" ht="30" customHeight="1">
      <c r="AK7872" s="318"/>
      <c r="AL7872" s="318"/>
      <c r="AM7872" s="318"/>
      <c r="AN7872" s="318"/>
      <c r="AO7872" s="318"/>
      <c r="AP7872" s="318"/>
      <c r="AQ7872" s="318"/>
      <c r="AR7872" s="319"/>
    </row>
    <row r="7873" spans="37:44" ht="30" customHeight="1">
      <c r="AK7873" s="318"/>
      <c r="AL7873" s="318"/>
      <c r="AM7873" s="318"/>
      <c r="AN7873" s="318"/>
      <c r="AO7873" s="318"/>
      <c r="AP7873" s="318"/>
      <c r="AQ7873" s="318"/>
      <c r="AR7873" s="319"/>
    </row>
    <row r="7874" spans="37:44" ht="30" customHeight="1">
      <c r="AK7874" s="318"/>
      <c r="AL7874" s="318"/>
      <c r="AM7874" s="318"/>
      <c r="AN7874" s="318"/>
      <c r="AO7874" s="318"/>
      <c r="AP7874" s="318"/>
      <c r="AQ7874" s="318"/>
      <c r="AR7874" s="319"/>
    </row>
    <row r="7875" spans="37:44" ht="30" customHeight="1">
      <c r="AK7875" s="318"/>
      <c r="AL7875" s="318"/>
      <c r="AM7875" s="318"/>
      <c r="AN7875" s="318"/>
      <c r="AO7875" s="318"/>
      <c r="AP7875" s="318"/>
      <c r="AQ7875" s="318"/>
      <c r="AR7875" s="319"/>
    </row>
    <row r="7876" spans="37:44" ht="30" customHeight="1">
      <c r="AK7876" s="318"/>
      <c r="AL7876" s="318"/>
      <c r="AM7876" s="318"/>
      <c r="AN7876" s="318"/>
      <c r="AO7876" s="318"/>
      <c r="AP7876" s="318"/>
      <c r="AQ7876" s="318"/>
      <c r="AR7876" s="319"/>
    </row>
    <row r="7877" spans="37:44" ht="30" customHeight="1">
      <c r="AK7877" s="318"/>
      <c r="AL7877" s="318"/>
      <c r="AM7877" s="318"/>
      <c r="AN7877" s="318"/>
      <c r="AO7877" s="318"/>
      <c r="AP7877" s="318"/>
      <c r="AQ7877" s="318"/>
      <c r="AR7877" s="319"/>
    </row>
    <row r="7878" spans="37:44" ht="30" customHeight="1">
      <c r="AK7878" s="318"/>
      <c r="AL7878" s="318"/>
      <c r="AM7878" s="318"/>
      <c r="AN7878" s="318"/>
      <c r="AO7878" s="318"/>
      <c r="AP7878" s="318"/>
      <c r="AQ7878" s="318"/>
      <c r="AR7878" s="319"/>
    </row>
    <row r="7879" spans="37:44" ht="30" customHeight="1">
      <c r="AK7879" s="318"/>
      <c r="AL7879" s="318"/>
      <c r="AM7879" s="318"/>
      <c r="AN7879" s="318"/>
      <c r="AO7879" s="318"/>
      <c r="AP7879" s="318"/>
      <c r="AQ7879" s="318"/>
      <c r="AR7879" s="319"/>
    </row>
    <row r="7880" spans="37:44" ht="30" customHeight="1">
      <c r="AK7880" s="318"/>
      <c r="AL7880" s="318"/>
      <c r="AM7880" s="318"/>
      <c r="AN7880" s="318"/>
      <c r="AO7880" s="318"/>
      <c r="AP7880" s="318"/>
      <c r="AQ7880" s="318"/>
      <c r="AR7880" s="319"/>
    </row>
    <row r="7881" spans="37:44" ht="30" customHeight="1">
      <c r="AK7881" s="318"/>
      <c r="AL7881" s="318"/>
      <c r="AM7881" s="318"/>
      <c r="AN7881" s="318"/>
      <c r="AO7881" s="318"/>
      <c r="AP7881" s="318"/>
      <c r="AQ7881" s="318"/>
      <c r="AR7881" s="319"/>
    </row>
    <row r="7882" spans="37:44" ht="30" customHeight="1">
      <c r="AK7882" s="318"/>
      <c r="AL7882" s="318"/>
      <c r="AM7882" s="318"/>
      <c r="AN7882" s="318"/>
      <c r="AO7882" s="318"/>
      <c r="AP7882" s="318"/>
      <c r="AQ7882" s="318"/>
      <c r="AR7882" s="319"/>
    </row>
    <row r="7883" spans="37:44" ht="30" customHeight="1">
      <c r="AK7883" s="318"/>
      <c r="AL7883" s="318"/>
      <c r="AM7883" s="318"/>
      <c r="AN7883" s="318"/>
      <c r="AO7883" s="318"/>
      <c r="AP7883" s="318"/>
      <c r="AQ7883" s="318"/>
      <c r="AR7883" s="319"/>
    </row>
    <row r="7884" spans="37:44" ht="30" customHeight="1">
      <c r="AK7884" s="318"/>
      <c r="AL7884" s="318"/>
      <c r="AM7884" s="318"/>
      <c r="AN7884" s="318"/>
      <c r="AO7884" s="318"/>
      <c r="AP7884" s="318"/>
      <c r="AQ7884" s="318"/>
      <c r="AR7884" s="319"/>
    </row>
    <row r="7885" spans="37:44" ht="30" customHeight="1">
      <c r="AK7885" s="318"/>
      <c r="AL7885" s="318"/>
      <c r="AM7885" s="318"/>
      <c r="AN7885" s="318"/>
      <c r="AO7885" s="318"/>
      <c r="AP7885" s="318"/>
      <c r="AQ7885" s="318"/>
      <c r="AR7885" s="319"/>
    </row>
    <row r="7886" spans="37:44" ht="30" customHeight="1">
      <c r="AK7886" s="318"/>
      <c r="AL7886" s="318"/>
      <c r="AM7886" s="318"/>
      <c r="AN7886" s="318"/>
      <c r="AO7886" s="318"/>
      <c r="AP7886" s="318"/>
      <c r="AQ7886" s="318"/>
      <c r="AR7886" s="319"/>
    </row>
    <row r="7887" spans="37:44" ht="30" customHeight="1">
      <c r="AK7887" s="318"/>
      <c r="AL7887" s="318"/>
      <c r="AM7887" s="318"/>
      <c r="AN7887" s="318"/>
      <c r="AO7887" s="318"/>
      <c r="AP7887" s="318"/>
      <c r="AQ7887" s="318"/>
      <c r="AR7887" s="319"/>
    </row>
    <row r="7888" spans="37:44" ht="30" customHeight="1">
      <c r="AK7888" s="318"/>
      <c r="AL7888" s="318"/>
      <c r="AM7888" s="318"/>
      <c r="AN7888" s="318"/>
      <c r="AO7888" s="318"/>
      <c r="AP7888" s="318"/>
      <c r="AQ7888" s="318"/>
      <c r="AR7888" s="319"/>
    </row>
    <row r="7889" spans="37:44" ht="30" customHeight="1">
      <c r="AK7889" s="318"/>
      <c r="AL7889" s="318"/>
      <c r="AM7889" s="318"/>
      <c r="AN7889" s="318"/>
      <c r="AO7889" s="318"/>
      <c r="AP7889" s="318"/>
      <c r="AQ7889" s="318"/>
      <c r="AR7889" s="319"/>
    </row>
    <row r="7890" spans="37:44" ht="30" customHeight="1">
      <c r="AK7890" s="318"/>
      <c r="AL7890" s="318"/>
      <c r="AM7890" s="318"/>
      <c r="AN7890" s="318"/>
      <c r="AO7890" s="318"/>
      <c r="AP7890" s="318"/>
      <c r="AQ7890" s="318"/>
      <c r="AR7890" s="319"/>
    </row>
    <row r="7891" spans="37:44" ht="30" customHeight="1">
      <c r="AK7891" s="318"/>
      <c r="AL7891" s="318"/>
      <c r="AM7891" s="318"/>
      <c r="AN7891" s="318"/>
      <c r="AO7891" s="318"/>
      <c r="AP7891" s="318"/>
      <c r="AQ7891" s="318"/>
      <c r="AR7891" s="319"/>
    </row>
    <row r="7892" spans="37:44" ht="30" customHeight="1">
      <c r="AK7892" s="318"/>
      <c r="AL7892" s="318"/>
      <c r="AM7892" s="318"/>
      <c r="AN7892" s="318"/>
      <c r="AO7892" s="318"/>
      <c r="AP7892" s="318"/>
      <c r="AQ7892" s="318"/>
      <c r="AR7892" s="319"/>
    </row>
    <row r="7893" spans="37:44" ht="30" customHeight="1">
      <c r="AK7893" s="318"/>
      <c r="AL7893" s="318"/>
      <c r="AM7893" s="318"/>
      <c r="AN7893" s="318"/>
      <c r="AO7893" s="318"/>
      <c r="AP7893" s="318"/>
      <c r="AQ7893" s="318"/>
      <c r="AR7893" s="319"/>
    </row>
    <row r="7894" spans="37:44" ht="30" customHeight="1">
      <c r="AK7894" s="318"/>
      <c r="AL7894" s="318"/>
      <c r="AM7894" s="318"/>
      <c r="AN7894" s="318"/>
      <c r="AO7894" s="318"/>
      <c r="AP7894" s="318"/>
      <c r="AQ7894" s="318"/>
      <c r="AR7894" s="319"/>
    </row>
    <row r="7895" spans="37:44" ht="30" customHeight="1">
      <c r="AK7895" s="318"/>
      <c r="AL7895" s="318"/>
      <c r="AM7895" s="318"/>
      <c r="AN7895" s="318"/>
      <c r="AO7895" s="318"/>
      <c r="AP7895" s="318"/>
      <c r="AQ7895" s="318"/>
      <c r="AR7895" s="319"/>
    </row>
    <row r="7896" spans="37:44" ht="30" customHeight="1">
      <c r="AK7896" s="318"/>
      <c r="AL7896" s="318"/>
      <c r="AM7896" s="318"/>
      <c r="AN7896" s="318"/>
      <c r="AO7896" s="318"/>
      <c r="AP7896" s="318"/>
      <c r="AQ7896" s="318"/>
      <c r="AR7896" s="319"/>
    </row>
    <row r="7897" spans="37:44" ht="30" customHeight="1">
      <c r="AK7897" s="318"/>
      <c r="AL7897" s="318"/>
      <c r="AM7897" s="318"/>
      <c r="AN7897" s="318"/>
      <c r="AO7897" s="318"/>
      <c r="AP7897" s="318"/>
      <c r="AQ7897" s="318"/>
      <c r="AR7897" s="319"/>
    </row>
    <row r="7898" spans="37:44" ht="30" customHeight="1">
      <c r="AK7898" s="318"/>
      <c r="AL7898" s="318"/>
      <c r="AM7898" s="318"/>
      <c r="AN7898" s="318"/>
      <c r="AO7898" s="318"/>
      <c r="AP7898" s="318"/>
      <c r="AQ7898" s="318"/>
      <c r="AR7898" s="319"/>
    </row>
    <row r="7899" spans="37:44" ht="30" customHeight="1">
      <c r="AK7899" s="318"/>
      <c r="AL7899" s="318"/>
      <c r="AM7899" s="318"/>
      <c r="AN7899" s="318"/>
      <c r="AO7899" s="318"/>
      <c r="AP7899" s="318"/>
      <c r="AQ7899" s="318"/>
      <c r="AR7899" s="319"/>
    </row>
    <row r="7900" spans="37:44" ht="30" customHeight="1">
      <c r="AK7900" s="318"/>
      <c r="AL7900" s="318"/>
      <c r="AM7900" s="318"/>
      <c r="AN7900" s="318"/>
      <c r="AO7900" s="318"/>
      <c r="AP7900" s="318"/>
      <c r="AQ7900" s="318"/>
      <c r="AR7900" s="319"/>
    </row>
    <row r="7901" spans="37:44" ht="30" customHeight="1">
      <c r="AK7901" s="318"/>
      <c r="AL7901" s="318"/>
      <c r="AM7901" s="318"/>
      <c r="AN7901" s="318"/>
      <c r="AO7901" s="318"/>
      <c r="AP7901" s="318"/>
      <c r="AQ7901" s="318"/>
      <c r="AR7901" s="319"/>
    </row>
    <row r="7902" spans="37:44" ht="30" customHeight="1">
      <c r="AK7902" s="318"/>
      <c r="AL7902" s="318"/>
      <c r="AM7902" s="318"/>
      <c r="AN7902" s="318"/>
      <c r="AO7902" s="318"/>
      <c r="AP7902" s="318"/>
      <c r="AQ7902" s="318"/>
      <c r="AR7902" s="319"/>
    </row>
    <row r="7903" spans="37:44" ht="30" customHeight="1">
      <c r="AK7903" s="318"/>
      <c r="AL7903" s="318"/>
      <c r="AM7903" s="318"/>
      <c r="AN7903" s="318"/>
      <c r="AO7903" s="318"/>
      <c r="AP7903" s="318"/>
      <c r="AQ7903" s="318"/>
      <c r="AR7903" s="319"/>
    </row>
    <row r="7904" spans="37:44" ht="30" customHeight="1">
      <c r="AK7904" s="318"/>
      <c r="AL7904" s="318"/>
      <c r="AM7904" s="318"/>
      <c r="AN7904" s="318"/>
      <c r="AO7904" s="318"/>
      <c r="AP7904" s="318"/>
      <c r="AQ7904" s="318"/>
      <c r="AR7904" s="319"/>
    </row>
    <row r="7905" spans="37:44" ht="30" customHeight="1">
      <c r="AK7905" s="318"/>
      <c r="AL7905" s="318"/>
      <c r="AM7905" s="318"/>
      <c r="AN7905" s="318"/>
      <c r="AO7905" s="318"/>
      <c r="AP7905" s="318"/>
      <c r="AQ7905" s="318"/>
      <c r="AR7905" s="319"/>
    </row>
    <row r="7906" spans="37:44" ht="30" customHeight="1">
      <c r="AK7906" s="318"/>
      <c r="AL7906" s="318"/>
      <c r="AM7906" s="318"/>
      <c r="AN7906" s="318"/>
      <c r="AO7906" s="318"/>
      <c r="AP7906" s="318"/>
      <c r="AQ7906" s="318"/>
      <c r="AR7906" s="319"/>
    </row>
    <row r="7907" spans="37:44" ht="30" customHeight="1">
      <c r="AK7907" s="318"/>
      <c r="AL7907" s="318"/>
      <c r="AM7907" s="318"/>
      <c r="AN7907" s="318"/>
      <c r="AO7907" s="318"/>
      <c r="AP7907" s="318"/>
      <c r="AQ7907" s="318"/>
      <c r="AR7907" s="319"/>
    </row>
    <row r="7908" spans="37:44" ht="30" customHeight="1">
      <c r="AK7908" s="318"/>
      <c r="AL7908" s="318"/>
      <c r="AM7908" s="318"/>
      <c r="AN7908" s="318"/>
      <c r="AO7908" s="318"/>
      <c r="AP7908" s="318"/>
      <c r="AQ7908" s="318"/>
      <c r="AR7908" s="319"/>
    </row>
    <row r="7909" spans="37:44" ht="30" customHeight="1">
      <c r="AK7909" s="318"/>
      <c r="AL7909" s="318"/>
      <c r="AM7909" s="318"/>
      <c r="AN7909" s="318"/>
      <c r="AO7909" s="318"/>
      <c r="AP7909" s="318"/>
      <c r="AQ7909" s="318"/>
      <c r="AR7909" s="319"/>
    </row>
    <row r="7910" spans="37:44" ht="30" customHeight="1">
      <c r="AK7910" s="318"/>
      <c r="AL7910" s="318"/>
      <c r="AM7910" s="318"/>
      <c r="AN7910" s="318"/>
      <c r="AO7910" s="318"/>
      <c r="AP7910" s="318"/>
      <c r="AQ7910" s="318"/>
      <c r="AR7910" s="319"/>
    </row>
    <row r="7911" spans="37:44" ht="30" customHeight="1">
      <c r="AK7911" s="318"/>
      <c r="AL7911" s="318"/>
      <c r="AM7911" s="318"/>
      <c r="AN7911" s="318"/>
      <c r="AO7911" s="318"/>
      <c r="AP7911" s="318"/>
      <c r="AQ7911" s="318"/>
      <c r="AR7911" s="319"/>
    </row>
    <row r="7912" spans="37:44" ht="30" customHeight="1">
      <c r="AK7912" s="318"/>
      <c r="AL7912" s="318"/>
      <c r="AM7912" s="318"/>
      <c r="AN7912" s="318"/>
      <c r="AO7912" s="318"/>
      <c r="AP7912" s="318"/>
      <c r="AQ7912" s="318"/>
      <c r="AR7912" s="319"/>
    </row>
    <row r="7913" spans="37:44" ht="30" customHeight="1">
      <c r="AK7913" s="318"/>
      <c r="AL7913" s="318"/>
      <c r="AM7913" s="318"/>
      <c r="AN7913" s="318"/>
      <c r="AO7913" s="318"/>
      <c r="AP7913" s="318"/>
      <c r="AQ7913" s="318"/>
      <c r="AR7913" s="319"/>
    </row>
    <row r="7914" spans="37:44" ht="30" customHeight="1">
      <c r="AK7914" s="318"/>
      <c r="AL7914" s="318"/>
      <c r="AM7914" s="318"/>
      <c r="AN7914" s="318"/>
      <c r="AO7914" s="318"/>
      <c r="AP7914" s="318"/>
      <c r="AQ7914" s="318"/>
      <c r="AR7914" s="319"/>
    </row>
    <row r="7915" spans="37:44" ht="30" customHeight="1">
      <c r="AK7915" s="318"/>
      <c r="AL7915" s="318"/>
      <c r="AM7915" s="318"/>
      <c r="AN7915" s="318"/>
      <c r="AO7915" s="318"/>
      <c r="AP7915" s="318"/>
      <c r="AQ7915" s="318"/>
      <c r="AR7915" s="319"/>
    </row>
    <row r="7916" spans="37:44" ht="30" customHeight="1">
      <c r="AK7916" s="318"/>
      <c r="AL7916" s="318"/>
      <c r="AM7916" s="318"/>
      <c r="AN7916" s="318"/>
      <c r="AO7916" s="318"/>
      <c r="AP7916" s="318"/>
      <c r="AQ7916" s="318"/>
      <c r="AR7916" s="319"/>
    </row>
    <row r="7917" spans="37:44" ht="30" customHeight="1">
      <c r="AK7917" s="318"/>
      <c r="AL7917" s="318"/>
      <c r="AM7917" s="318"/>
      <c r="AN7917" s="318"/>
      <c r="AO7917" s="318"/>
      <c r="AP7917" s="318"/>
      <c r="AQ7917" s="318"/>
      <c r="AR7917" s="319"/>
    </row>
    <row r="7918" spans="37:44" ht="30" customHeight="1">
      <c r="AK7918" s="318"/>
      <c r="AL7918" s="318"/>
      <c r="AM7918" s="318"/>
      <c r="AN7918" s="318"/>
      <c r="AO7918" s="318"/>
      <c r="AP7918" s="318"/>
      <c r="AQ7918" s="318"/>
      <c r="AR7918" s="319"/>
    </row>
    <row r="7919" spans="37:44" ht="30" customHeight="1">
      <c r="AK7919" s="318"/>
      <c r="AL7919" s="318"/>
      <c r="AM7919" s="318"/>
      <c r="AN7919" s="318"/>
      <c r="AO7919" s="318"/>
      <c r="AP7919" s="318"/>
      <c r="AQ7919" s="318"/>
      <c r="AR7919" s="319"/>
    </row>
    <row r="7920" spans="37:44" ht="30" customHeight="1">
      <c r="AK7920" s="318"/>
      <c r="AL7920" s="318"/>
      <c r="AM7920" s="318"/>
      <c r="AN7920" s="318"/>
      <c r="AO7920" s="318"/>
      <c r="AP7920" s="318"/>
      <c r="AQ7920" s="318"/>
      <c r="AR7920" s="319"/>
    </row>
    <row r="7921" spans="37:44" ht="30" customHeight="1">
      <c r="AK7921" s="318"/>
      <c r="AL7921" s="318"/>
      <c r="AM7921" s="318"/>
      <c r="AN7921" s="318"/>
      <c r="AO7921" s="318"/>
      <c r="AP7921" s="318"/>
      <c r="AQ7921" s="318"/>
      <c r="AR7921" s="319"/>
    </row>
    <row r="7922" spans="37:44" ht="30" customHeight="1">
      <c r="AK7922" s="318"/>
      <c r="AL7922" s="318"/>
      <c r="AM7922" s="318"/>
      <c r="AN7922" s="318"/>
      <c r="AO7922" s="318"/>
      <c r="AP7922" s="318"/>
      <c r="AQ7922" s="318"/>
      <c r="AR7922" s="319"/>
    </row>
    <row r="7923" spans="37:44" ht="30" customHeight="1">
      <c r="AK7923" s="318"/>
      <c r="AL7923" s="318"/>
      <c r="AM7923" s="318"/>
      <c r="AN7923" s="318"/>
      <c r="AO7923" s="318"/>
      <c r="AP7923" s="318"/>
      <c r="AQ7923" s="318"/>
      <c r="AR7923" s="319"/>
    </row>
    <row r="7924" spans="37:44" ht="30" customHeight="1">
      <c r="AK7924" s="318"/>
      <c r="AL7924" s="318"/>
      <c r="AM7924" s="318"/>
      <c r="AN7924" s="318"/>
      <c r="AO7924" s="318"/>
      <c r="AP7924" s="318"/>
      <c r="AQ7924" s="318"/>
      <c r="AR7924" s="319"/>
    </row>
    <row r="7925" spans="37:44" ht="30" customHeight="1">
      <c r="AK7925" s="318"/>
      <c r="AL7925" s="318"/>
      <c r="AM7925" s="318"/>
      <c r="AN7925" s="318"/>
      <c r="AO7925" s="318"/>
      <c r="AP7925" s="318"/>
      <c r="AQ7925" s="318"/>
      <c r="AR7925" s="319"/>
    </row>
    <row r="7926" spans="37:44" ht="30" customHeight="1">
      <c r="AK7926" s="318"/>
      <c r="AL7926" s="318"/>
      <c r="AM7926" s="318"/>
      <c r="AN7926" s="318"/>
      <c r="AO7926" s="318"/>
      <c r="AP7926" s="318"/>
      <c r="AQ7926" s="318"/>
      <c r="AR7926" s="319"/>
    </row>
    <row r="7927" spans="37:44" ht="30" customHeight="1">
      <c r="AK7927" s="318"/>
      <c r="AL7927" s="318"/>
      <c r="AM7927" s="318"/>
      <c r="AN7927" s="318"/>
      <c r="AO7927" s="318"/>
      <c r="AP7927" s="318"/>
      <c r="AQ7927" s="318"/>
      <c r="AR7927" s="319"/>
    </row>
    <row r="7928" spans="37:44" ht="30" customHeight="1">
      <c r="AK7928" s="318"/>
      <c r="AL7928" s="318"/>
      <c r="AM7928" s="318"/>
      <c r="AN7928" s="318"/>
      <c r="AO7928" s="318"/>
      <c r="AP7928" s="318"/>
      <c r="AQ7928" s="318"/>
      <c r="AR7928" s="319"/>
    </row>
    <row r="7929" spans="37:44" ht="30" customHeight="1">
      <c r="AK7929" s="318"/>
      <c r="AL7929" s="318"/>
      <c r="AM7929" s="318"/>
      <c r="AN7929" s="318"/>
      <c r="AO7929" s="318"/>
      <c r="AP7929" s="318"/>
      <c r="AQ7929" s="318"/>
      <c r="AR7929" s="319"/>
    </row>
    <row r="7930" spans="37:44" ht="30" customHeight="1">
      <c r="AK7930" s="318"/>
      <c r="AL7930" s="318"/>
      <c r="AM7930" s="318"/>
      <c r="AN7930" s="318"/>
      <c r="AO7930" s="318"/>
      <c r="AP7930" s="318"/>
      <c r="AQ7930" s="318"/>
      <c r="AR7930" s="319"/>
    </row>
    <row r="7931" spans="37:44" ht="30" customHeight="1">
      <c r="AK7931" s="318"/>
      <c r="AL7931" s="318"/>
      <c r="AM7931" s="318"/>
      <c r="AN7931" s="318"/>
      <c r="AO7931" s="318"/>
      <c r="AP7931" s="318"/>
      <c r="AQ7931" s="318"/>
      <c r="AR7931" s="319"/>
    </row>
    <row r="7932" spans="37:44" ht="30" customHeight="1">
      <c r="AK7932" s="318"/>
      <c r="AL7932" s="318"/>
      <c r="AM7932" s="318"/>
      <c r="AN7932" s="318"/>
      <c r="AO7932" s="318"/>
      <c r="AP7932" s="318"/>
      <c r="AQ7932" s="318"/>
      <c r="AR7932" s="319"/>
    </row>
    <row r="7933" spans="37:44" ht="30" customHeight="1">
      <c r="AK7933" s="318"/>
      <c r="AL7933" s="318"/>
      <c r="AM7933" s="318"/>
      <c r="AN7933" s="318"/>
      <c r="AO7933" s="318"/>
      <c r="AP7933" s="318"/>
      <c r="AQ7933" s="318"/>
      <c r="AR7933" s="319"/>
    </row>
    <row r="7934" spans="37:44" ht="30" customHeight="1">
      <c r="AK7934" s="318"/>
      <c r="AL7934" s="318"/>
      <c r="AM7934" s="318"/>
      <c r="AN7934" s="318"/>
      <c r="AO7934" s="318"/>
      <c r="AP7934" s="318"/>
      <c r="AQ7934" s="318"/>
      <c r="AR7934" s="319"/>
    </row>
    <row r="7935" spans="37:44" ht="30" customHeight="1">
      <c r="AK7935" s="318"/>
      <c r="AL7935" s="318"/>
      <c r="AM7935" s="318"/>
      <c r="AN7935" s="318"/>
      <c r="AO7935" s="318"/>
      <c r="AP7935" s="318"/>
      <c r="AQ7935" s="318"/>
      <c r="AR7935" s="319"/>
    </row>
    <row r="7936" spans="37:44" ht="30" customHeight="1">
      <c r="AK7936" s="318"/>
      <c r="AL7936" s="318"/>
      <c r="AM7936" s="318"/>
      <c r="AN7936" s="318"/>
      <c r="AO7936" s="318"/>
      <c r="AP7936" s="318"/>
      <c r="AQ7936" s="318"/>
      <c r="AR7936" s="319"/>
    </row>
    <row r="7937" spans="37:44" ht="30" customHeight="1">
      <c r="AK7937" s="318"/>
      <c r="AL7937" s="318"/>
      <c r="AM7937" s="318"/>
      <c r="AN7937" s="318"/>
      <c r="AO7937" s="318"/>
      <c r="AP7937" s="318"/>
      <c r="AQ7937" s="318"/>
      <c r="AR7937" s="319"/>
    </row>
    <row r="7938" spans="37:44" ht="30" customHeight="1">
      <c r="AK7938" s="318"/>
      <c r="AL7938" s="318"/>
      <c r="AM7938" s="318"/>
      <c r="AN7938" s="318"/>
      <c r="AO7938" s="318"/>
      <c r="AP7938" s="318"/>
      <c r="AQ7938" s="318"/>
      <c r="AR7938" s="319"/>
    </row>
    <row r="7939" spans="37:44" ht="30" customHeight="1">
      <c r="AK7939" s="318"/>
      <c r="AL7939" s="318"/>
      <c r="AM7939" s="318"/>
      <c r="AN7939" s="318"/>
      <c r="AO7939" s="318"/>
      <c r="AP7939" s="318"/>
      <c r="AQ7939" s="318"/>
      <c r="AR7939" s="319"/>
    </row>
    <row r="7940" spans="37:44" ht="30" customHeight="1">
      <c r="AK7940" s="318"/>
      <c r="AL7940" s="318"/>
      <c r="AM7940" s="318"/>
      <c r="AN7940" s="318"/>
      <c r="AO7940" s="318"/>
      <c r="AP7940" s="318"/>
      <c r="AQ7940" s="318"/>
      <c r="AR7940" s="319"/>
    </row>
    <row r="7941" spans="37:44" ht="30" customHeight="1">
      <c r="AK7941" s="318"/>
      <c r="AL7941" s="318"/>
      <c r="AM7941" s="318"/>
      <c r="AN7941" s="318"/>
      <c r="AO7941" s="318"/>
      <c r="AP7941" s="318"/>
      <c r="AQ7941" s="318"/>
      <c r="AR7941" s="319"/>
    </row>
    <row r="7942" spans="37:44" ht="30" customHeight="1">
      <c r="AK7942" s="318"/>
      <c r="AL7942" s="318"/>
      <c r="AM7942" s="318"/>
      <c r="AN7942" s="318"/>
      <c r="AO7942" s="318"/>
      <c r="AP7942" s="318"/>
      <c r="AQ7942" s="318"/>
      <c r="AR7942" s="319"/>
    </row>
    <row r="7943" spans="37:44" ht="30" customHeight="1">
      <c r="AK7943" s="318"/>
      <c r="AL7943" s="318"/>
      <c r="AM7943" s="318"/>
      <c r="AN7943" s="318"/>
      <c r="AO7943" s="318"/>
      <c r="AP7943" s="318"/>
      <c r="AQ7943" s="318"/>
      <c r="AR7943" s="319"/>
    </row>
    <row r="7944" spans="37:44" ht="30" customHeight="1">
      <c r="AK7944" s="318"/>
      <c r="AL7944" s="318"/>
      <c r="AM7944" s="318"/>
      <c r="AN7944" s="318"/>
      <c r="AO7944" s="318"/>
      <c r="AP7944" s="318"/>
      <c r="AQ7944" s="318"/>
      <c r="AR7944" s="319"/>
    </row>
    <row r="7945" spans="37:44" ht="30" customHeight="1">
      <c r="AK7945" s="318"/>
      <c r="AL7945" s="318"/>
      <c r="AM7945" s="318"/>
      <c r="AN7945" s="318"/>
      <c r="AO7945" s="318"/>
      <c r="AP7945" s="318"/>
      <c r="AQ7945" s="318"/>
      <c r="AR7945" s="319"/>
    </row>
    <row r="7946" spans="37:44" ht="30" customHeight="1">
      <c r="AK7946" s="318"/>
      <c r="AL7946" s="318"/>
      <c r="AM7946" s="318"/>
      <c r="AN7946" s="318"/>
      <c r="AO7946" s="318"/>
      <c r="AP7946" s="318"/>
      <c r="AQ7946" s="318"/>
      <c r="AR7946" s="319"/>
    </row>
    <row r="7947" spans="37:44" ht="30" customHeight="1">
      <c r="AK7947" s="318"/>
      <c r="AL7947" s="318"/>
      <c r="AM7947" s="318"/>
      <c r="AN7947" s="318"/>
      <c r="AO7947" s="318"/>
      <c r="AP7947" s="318"/>
      <c r="AQ7947" s="318"/>
      <c r="AR7947" s="319"/>
    </row>
    <row r="7948" spans="37:44" ht="30" customHeight="1">
      <c r="AK7948" s="318"/>
      <c r="AL7948" s="318"/>
      <c r="AM7948" s="318"/>
      <c r="AN7948" s="318"/>
      <c r="AO7948" s="318"/>
      <c r="AP7948" s="318"/>
      <c r="AQ7948" s="318"/>
      <c r="AR7948" s="319"/>
    </row>
    <row r="7949" spans="37:44" ht="30" customHeight="1">
      <c r="AK7949" s="318"/>
      <c r="AL7949" s="318"/>
      <c r="AM7949" s="318"/>
      <c r="AN7949" s="318"/>
      <c r="AO7949" s="318"/>
      <c r="AP7949" s="318"/>
      <c r="AQ7949" s="318"/>
      <c r="AR7949" s="319"/>
    </row>
    <row r="7950" spans="37:44" ht="30" customHeight="1">
      <c r="AK7950" s="318"/>
      <c r="AL7950" s="318"/>
      <c r="AM7950" s="318"/>
      <c r="AN7950" s="318"/>
      <c r="AO7950" s="318"/>
      <c r="AP7950" s="318"/>
      <c r="AQ7950" s="318"/>
      <c r="AR7950" s="319"/>
    </row>
    <row r="7951" spans="37:44" ht="30" customHeight="1">
      <c r="AK7951" s="318"/>
      <c r="AL7951" s="318"/>
      <c r="AM7951" s="318"/>
      <c r="AN7951" s="318"/>
      <c r="AO7951" s="318"/>
      <c r="AP7951" s="318"/>
      <c r="AQ7951" s="318"/>
      <c r="AR7951" s="319"/>
    </row>
    <row r="7952" spans="37:44" ht="30" customHeight="1">
      <c r="AK7952" s="318"/>
      <c r="AL7952" s="318"/>
      <c r="AM7952" s="318"/>
      <c r="AN7952" s="318"/>
      <c r="AO7952" s="318"/>
      <c r="AP7952" s="318"/>
      <c r="AQ7952" s="318"/>
      <c r="AR7952" s="319"/>
    </row>
    <row r="7953" spans="37:44" ht="30" customHeight="1">
      <c r="AK7953" s="318"/>
      <c r="AL7953" s="318"/>
      <c r="AM7953" s="318"/>
      <c r="AN7953" s="318"/>
      <c r="AO7953" s="318"/>
      <c r="AP7953" s="318"/>
      <c r="AQ7953" s="318"/>
      <c r="AR7953" s="319"/>
    </row>
    <row r="7954" spans="37:44" ht="30" customHeight="1">
      <c r="AK7954" s="318"/>
      <c r="AL7954" s="318"/>
      <c r="AM7954" s="318"/>
      <c r="AN7954" s="318"/>
      <c r="AO7954" s="318"/>
      <c r="AP7954" s="318"/>
      <c r="AQ7954" s="318"/>
      <c r="AR7954" s="319"/>
    </row>
    <row r="7955" spans="37:44" ht="30" customHeight="1">
      <c r="AK7955" s="318"/>
      <c r="AL7955" s="318"/>
      <c r="AM7955" s="318"/>
      <c r="AN7955" s="318"/>
      <c r="AO7955" s="318"/>
      <c r="AP7955" s="318"/>
      <c r="AQ7955" s="318"/>
      <c r="AR7955" s="319"/>
    </row>
    <row r="7956" spans="37:44" ht="30" customHeight="1">
      <c r="AK7956" s="318"/>
      <c r="AL7956" s="318"/>
      <c r="AM7956" s="318"/>
      <c r="AN7956" s="318"/>
      <c r="AO7956" s="318"/>
      <c r="AP7956" s="318"/>
      <c r="AQ7956" s="318"/>
      <c r="AR7956" s="319"/>
    </row>
    <row r="7957" spans="37:44" ht="30" customHeight="1">
      <c r="AK7957" s="318"/>
      <c r="AL7957" s="318"/>
      <c r="AM7957" s="318"/>
      <c r="AN7957" s="318"/>
      <c r="AO7957" s="318"/>
      <c r="AP7957" s="318"/>
      <c r="AQ7957" s="318"/>
      <c r="AR7957" s="319"/>
    </row>
    <row r="7958" spans="37:44" ht="30" customHeight="1">
      <c r="AK7958" s="318"/>
      <c r="AL7958" s="318"/>
      <c r="AM7958" s="318"/>
      <c r="AN7958" s="318"/>
      <c r="AO7958" s="318"/>
      <c r="AP7958" s="318"/>
      <c r="AQ7958" s="318"/>
      <c r="AR7958" s="319"/>
    </row>
    <row r="7959" spans="37:44" ht="30" customHeight="1">
      <c r="AK7959" s="318"/>
      <c r="AL7959" s="318"/>
      <c r="AM7959" s="318"/>
      <c r="AN7959" s="318"/>
      <c r="AO7959" s="318"/>
      <c r="AP7959" s="318"/>
      <c r="AQ7959" s="318"/>
      <c r="AR7959" s="319"/>
    </row>
    <row r="7960" spans="37:44" ht="30" customHeight="1">
      <c r="AK7960" s="318"/>
      <c r="AL7960" s="318"/>
      <c r="AM7960" s="318"/>
      <c r="AN7960" s="318"/>
      <c r="AO7960" s="318"/>
      <c r="AP7960" s="318"/>
      <c r="AQ7960" s="318"/>
      <c r="AR7960" s="319"/>
    </row>
    <row r="7961" spans="37:44" ht="30" customHeight="1">
      <c r="AK7961" s="318"/>
      <c r="AL7961" s="318"/>
      <c r="AM7961" s="318"/>
      <c r="AN7961" s="318"/>
      <c r="AO7961" s="318"/>
      <c r="AP7961" s="318"/>
      <c r="AQ7961" s="318"/>
      <c r="AR7961" s="319"/>
    </row>
    <row r="7962" spans="37:44" ht="30" customHeight="1">
      <c r="AK7962" s="318"/>
      <c r="AL7962" s="318"/>
      <c r="AM7962" s="318"/>
      <c r="AN7962" s="318"/>
      <c r="AO7962" s="318"/>
      <c r="AP7962" s="318"/>
      <c r="AQ7962" s="318"/>
      <c r="AR7962" s="319"/>
    </row>
    <row r="7963" spans="37:44" ht="30" customHeight="1">
      <c r="AK7963" s="318"/>
      <c r="AL7963" s="318"/>
      <c r="AM7963" s="318"/>
      <c r="AN7963" s="318"/>
      <c r="AO7963" s="318"/>
      <c r="AP7963" s="318"/>
      <c r="AQ7963" s="318"/>
      <c r="AR7963" s="319"/>
    </row>
    <row r="7964" spans="37:44" ht="30" customHeight="1">
      <c r="AK7964" s="318"/>
      <c r="AL7964" s="318"/>
      <c r="AM7964" s="318"/>
      <c r="AN7964" s="318"/>
      <c r="AO7964" s="318"/>
      <c r="AP7964" s="318"/>
      <c r="AQ7964" s="318"/>
      <c r="AR7964" s="319"/>
    </row>
    <row r="7965" spans="37:44" ht="30" customHeight="1">
      <c r="AK7965" s="318"/>
      <c r="AL7965" s="318"/>
      <c r="AM7965" s="318"/>
      <c r="AN7965" s="318"/>
      <c r="AO7965" s="318"/>
      <c r="AP7965" s="318"/>
      <c r="AQ7965" s="318"/>
      <c r="AR7965" s="319"/>
    </row>
    <row r="7966" spans="37:44" ht="30" customHeight="1">
      <c r="AK7966" s="318"/>
      <c r="AL7966" s="318"/>
      <c r="AM7966" s="318"/>
      <c r="AN7966" s="318"/>
      <c r="AO7966" s="318"/>
      <c r="AP7966" s="318"/>
      <c r="AQ7966" s="318"/>
      <c r="AR7966" s="319"/>
    </row>
    <row r="7967" spans="37:44" ht="30" customHeight="1">
      <c r="AK7967" s="318"/>
      <c r="AL7967" s="318"/>
      <c r="AM7967" s="318"/>
      <c r="AN7967" s="318"/>
      <c r="AO7967" s="318"/>
      <c r="AP7967" s="318"/>
      <c r="AQ7967" s="318"/>
      <c r="AR7967" s="319"/>
    </row>
    <row r="7968" spans="37:44" ht="30" customHeight="1">
      <c r="AK7968" s="318"/>
      <c r="AL7968" s="318"/>
      <c r="AM7968" s="318"/>
      <c r="AN7968" s="318"/>
      <c r="AO7968" s="318"/>
      <c r="AP7968" s="318"/>
      <c r="AQ7968" s="318"/>
      <c r="AR7968" s="319"/>
    </row>
    <row r="7969" spans="37:44" ht="30" customHeight="1">
      <c r="AK7969" s="318"/>
      <c r="AL7969" s="318"/>
      <c r="AM7969" s="318"/>
      <c r="AN7969" s="318"/>
      <c r="AO7969" s="318"/>
      <c r="AP7969" s="318"/>
      <c r="AQ7969" s="318"/>
      <c r="AR7969" s="319"/>
    </row>
    <row r="7970" spans="37:44" ht="30" customHeight="1">
      <c r="AK7970" s="318"/>
      <c r="AL7970" s="318"/>
      <c r="AM7970" s="318"/>
      <c r="AN7970" s="318"/>
      <c r="AO7970" s="318"/>
      <c r="AP7970" s="318"/>
      <c r="AQ7970" s="318"/>
      <c r="AR7970" s="319"/>
    </row>
    <row r="7971" spans="37:44" ht="30" customHeight="1">
      <c r="AK7971" s="318"/>
      <c r="AL7971" s="318"/>
      <c r="AM7971" s="318"/>
      <c r="AN7971" s="318"/>
      <c r="AO7971" s="318"/>
      <c r="AP7971" s="318"/>
      <c r="AQ7971" s="318"/>
      <c r="AR7971" s="319"/>
    </row>
    <row r="7972" spans="37:44" ht="30" customHeight="1">
      <c r="AK7972" s="318"/>
      <c r="AL7972" s="318"/>
      <c r="AM7972" s="318"/>
      <c r="AN7972" s="318"/>
      <c r="AO7972" s="318"/>
      <c r="AP7972" s="318"/>
      <c r="AQ7972" s="318"/>
      <c r="AR7972" s="319"/>
    </row>
    <row r="7973" spans="37:44" ht="30" customHeight="1">
      <c r="AK7973" s="318"/>
      <c r="AL7973" s="318"/>
      <c r="AM7973" s="318"/>
      <c r="AN7973" s="318"/>
      <c r="AO7973" s="318"/>
      <c r="AP7973" s="318"/>
      <c r="AQ7973" s="318"/>
      <c r="AR7973" s="319"/>
    </row>
    <row r="7974" spans="37:44" ht="30" customHeight="1">
      <c r="AK7974" s="318"/>
      <c r="AL7974" s="318"/>
      <c r="AM7974" s="318"/>
      <c r="AN7974" s="318"/>
      <c r="AO7974" s="318"/>
      <c r="AP7974" s="318"/>
      <c r="AQ7974" s="318"/>
      <c r="AR7974" s="319"/>
    </row>
    <row r="7975" spans="37:44" ht="30" customHeight="1">
      <c r="AK7975" s="318"/>
      <c r="AL7975" s="318"/>
      <c r="AM7975" s="318"/>
      <c r="AN7975" s="318"/>
      <c r="AO7975" s="318"/>
      <c r="AP7975" s="318"/>
      <c r="AQ7975" s="318"/>
      <c r="AR7975" s="319"/>
    </row>
    <row r="7976" spans="37:44" ht="30" customHeight="1">
      <c r="AK7976" s="318"/>
      <c r="AL7976" s="318"/>
      <c r="AM7976" s="318"/>
      <c r="AN7976" s="318"/>
      <c r="AO7976" s="318"/>
      <c r="AP7976" s="318"/>
      <c r="AQ7976" s="318"/>
      <c r="AR7976" s="319"/>
    </row>
    <row r="7977" spans="37:44" ht="30" customHeight="1">
      <c r="AK7977" s="318"/>
      <c r="AL7977" s="318"/>
      <c r="AM7977" s="318"/>
      <c r="AN7977" s="318"/>
      <c r="AO7977" s="318"/>
      <c r="AP7977" s="318"/>
      <c r="AQ7977" s="318"/>
      <c r="AR7977" s="319"/>
    </row>
    <row r="7978" spans="37:44" ht="30" customHeight="1">
      <c r="AK7978" s="318"/>
      <c r="AL7978" s="318"/>
      <c r="AM7978" s="318"/>
      <c r="AN7978" s="318"/>
      <c r="AO7978" s="318"/>
      <c r="AP7978" s="318"/>
      <c r="AQ7978" s="318"/>
      <c r="AR7978" s="319"/>
    </row>
    <row r="7979" spans="37:44" ht="30" customHeight="1">
      <c r="AK7979" s="318"/>
      <c r="AL7979" s="318"/>
      <c r="AM7979" s="318"/>
      <c r="AN7979" s="318"/>
      <c r="AO7979" s="318"/>
      <c r="AP7979" s="318"/>
      <c r="AQ7979" s="318"/>
      <c r="AR7979" s="319"/>
    </row>
    <row r="7980" spans="37:44" ht="30" customHeight="1">
      <c r="AK7980" s="318"/>
      <c r="AL7980" s="318"/>
      <c r="AM7980" s="318"/>
      <c r="AN7980" s="318"/>
      <c r="AO7980" s="318"/>
      <c r="AP7980" s="318"/>
      <c r="AQ7980" s="318"/>
      <c r="AR7980" s="319"/>
    </row>
    <row r="7981" spans="37:44" ht="30" customHeight="1">
      <c r="AK7981" s="318"/>
      <c r="AL7981" s="318"/>
      <c r="AM7981" s="318"/>
      <c r="AN7981" s="318"/>
      <c r="AO7981" s="318"/>
      <c r="AP7981" s="318"/>
      <c r="AQ7981" s="318"/>
      <c r="AR7981" s="319"/>
    </row>
    <row r="7982" spans="37:44" ht="30" customHeight="1">
      <c r="AK7982" s="318"/>
      <c r="AL7982" s="318"/>
      <c r="AM7982" s="318"/>
      <c r="AN7982" s="318"/>
      <c r="AO7982" s="318"/>
      <c r="AP7982" s="318"/>
      <c r="AQ7982" s="318"/>
      <c r="AR7982" s="319"/>
    </row>
    <row r="7983" spans="37:44" ht="30" customHeight="1">
      <c r="AK7983" s="318"/>
      <c r="AL7983" s="318"/>
      <c r="AM7983" s="318"/>
      <c r="AN7983" s="318"/>
      <c r="AO7983" s="318"/>
      <c r="AP7983" s="318"/>
      <c r="AQ7983" s="318"/>
      <c r="AR7983" s="319"/>
    </row>
    <row r="7984" spans="37:44" ht="30" customHeight="1">
      <c r="AK7984" s="318"/>
      <c r="AL7984" s="318"/>
      <c r="AM7984" s="318"/>
      <c r="AN7984" s="318"/>
      <c r="AO7984" s="318"/>
      <c r="AP7984" s="318"/>
      <c r="AQ7984" s="318"/>
      <c r="AR7984" s="319"/>
    </row>
    <row r="7985" spans="37:44" ht="30" customHeight="1">
      <c r="AK7985" s="318"/>
      <c r="AL7985" s="318"/>
      <c r="AM7985" s="318"/>
      <c r="AN7985" s="318"/>
      <c r="AO7985" s="318"/>
      <c r="AP7985" s="318"/>
      <c r="AQ7985" s="318"/>
      <c r="AR7985" s="319"/>
    </row>
    <row r="7986" spans="37:44" ht="30" customHeight="1">
      <c r="AK7986" s="318"/>
      <c r="AL7986" s="318"/>
      <c r="AM7986" s="318"/>
      <c r="AN7986" s="318"/>
      <c r="AO7986" s="318"/>
      <c r="AP7986" s="318"/>
      <c r="AQ7986" s="318"/>
      <c r="AR7986" s="319"/>
    </row>
    <row r="7987" spans="37:44" ht="30" customHeight="1">
      <c r="AK7987" s="318"/>
      <c r="AL7987" s="318"/>
      <c r="AM7987" s="318"/>
      <c r="AN7987" s="318"/>
      <c r="AO7987" s="318"/>
      <c r="AP7987" s="318"/>
      <c r="AQ7987" s="318"/>
      <c r="AR7987" s="319"/>
    </row>
    <row r="7988" spans="37:44" ht="30" customHeight="1">
      <c r="AK7988" s="318"/>
      <c r="AL7988" s="318"/>
      <c r="AM7988" s="318"/>
      <c r="AN7988" s="318"/>
      <c r="AO7988" s="318"/>
      <c r="AP7988" s="318"/>
      <c r="AQ7988" s="318"/>
      <c r="AR7988" s="319"/>
    </row>
    <row r="7989" spans="37:44" ht="30" customHeight="1">
      <c r="AK7989" s="318"/>
      <c r="AL7989" s="318"/>
      <c r="AM7989" s="318"/>
      <c r="AN7989" s="318"/>
      <c r="AO7989" s="318"/>
      <c r="AP7989" s="318"/>
      <c r="AQ7989" s="318"/>
      <c r="AR7989" s="319"/>
    </row>
    <row r="7990" spans="37:44" ht="30" customHeight="1">
      <c r="AK7990" s="318"/>
      <c r="AL7990" s="318"/>
      <c r="AM7990" s="318"/>
      <c r="AN7990" s="318"/>
      <c r="AO7990" s="318"/>
      <c r="AP7990" s="318"/>
      <c r="AQ7990" s="318"/>
      <c r="AR7990" s="319"/>
    </row>
    <row r="7991" spans="37:44" ht="30" customHeight="1">
      <c r="AK7991" s="318"/>
      <c r="AL7991" s="318"/>
      <c r="AM7991" s="318"/>
      <c r="AN7991" s="318"/>
      <c r="AO7991" s="318"/>
      <c r="AP7991" s="318"/>
      <c r="AQ7991" s="318"/>
      <c r="AR7991" s="319"/>
    </row>
    <row r="7992" spans="37:44" ht="30" customHeight="1">
      <c r="AK7992" s="318"/>
      <c r="AL7992" s="318"/>
      <c r="AM7992" s="318"/>
      <c r="AN7992" s="318"/>
      <c r="AO7992" s="318"/>
      <c r="AP7992" s="318"/>
      <c r="AQ7992" s="318"/>
      <c r="AR7992" s="319"/>
    </row>
    <row r="7993" spans="37:44" ht="30" customHeight="1">
      <c r="AK7993" s="318"/>
      <c r="AL7993" s="318"/>
      <c r="AM7993" s="318"/>
      <c r="AN7993" s="318"/>
      <c r="AO7993" s="318"/>
      <c r="AP7993" s="318"/>
      <c r="AQ7993" s="318"/>
      <c r="AR7993" s="319"/>
    </row>
    <row r="7994" spans="37:44" ht="30" customHeight="1">
      <c r="AK7994" s="318"/>
      <c r="AL7994" s="318"/>
      <c r="AM7994" s="318"/>
      <c r="AN7994" s="318"/>
      <c r="AO7994" s="318"/>
      <c r="AP7994" s="318"/>
      <c r="AQ7994" s="318"/>
      <c r="AR7994" s="319"/>
    </row>
    <row r="7995" spans="37:44" ht="30" customHeight="1">
      <c r="AK7995" s="318"/>
      <c r="AL7995" s="318"/>
      <c r="AM7995" s="318"/>
      <c r="AN7995" s="318"/>
      <c r="AO7995" s="318"/>
      <c r="AP7995" s="318"/>
      <c r="AQ7995" s="318"/>
      <c r="AR7995" s="319"/>
    </row>
    <row r="7996" spans="37:44" ht="30" customHeight="1">
      <c r="AK7996" s="318"/>
      <c r="AL7996" s="318"/>
      <c r="AM7996" s="318"/>
      <c r="AN7996" s="318"/>
      <c r="AO7996" s="318"/>
      <c r="AP7996" s="318"/>
      <c r="AQ7996" s="318"/>
      <c r="AR7996" s="319"/>
    </row>
    <row r="7997" spans="37:44" ht="30" customHeight="1">
      <c r="AK7997" s="318"/>
      <c r="AL7997" s="318"/>
      <c r="AM7997" s="318"/>
      <c r="AN7997" s="318"/>
      <c r="AO7997" s="318"/>
      <c r="AP7997" s="318"/>
      <c r="AQ7997" s="318"/>
      <c r="AR7997" s="319"/>
    </row>
    <row r="7998" spans="37:44" ht="30" customHeight="1">
      <c r="AK7998" s="318"/>
      <c r="AL7998" s="318"/>
      <c r="AM7998" s="318"/>
      <c r="AN7998" s="318"/>
      <c r="AO7998" s="318"/>
      <c r="AP7998" s="318"/>
      <c r="AQ7998" s="318"/>
      <c r="AR7998" s="319"/>
    </row>
    <row r="7999" spans="37:44" ht="30" customHeight="1">
      <c r="AK7999" s="318"/>
      <c r="AL7999" s="318"/>
      <c r="AM7999" s="318"/>
      <c r="AN7999" s="318"/>
      <c r="AO7999" s="318"/>
      <c r="AP7999" s="318"/>
      <c r="AQ7999" s="318"/>
      <c r="AR7999" s="319"/>
    </row>
    <row r="8000" spans="37:44" ht="30" customHeight="1">
      <c r="AK8000" s="318"/>
      <c r="AL8000" s="318"/>
      <c r="AM8000" s="318"/>
      <c r="AN8000" s="318"/>
      <c r="AO8000" s="318"/>
      <c r="AP8000" s="318"/>
      <c r="AQ8000" s="318"/>
      <c r="AR8000" s="319"/>
    </row>
    <row r="8001" spans="37:44" ht="30" customHeight="1">
      <c r="AK8001" s="318"/>
      <c r="AL8001" s="318"/>
      <c r="AM8001" s="318"/>
      <c r="AN8001" s="318"/>
      <c r="AO8001" s="318"/>
      <c r="AP8001" s="318"/>
      <c r="AQ8001" s="318"/>
      <c r="AR8001" s="319"/>
    </row>
    <row r="8002" spans="37:44" ht="30" customHeight="1">
      <c r="AK8002" s="318"/>
      <c r="AL8002" s="318"/>
      <c r="AM8002" s="318"/>
      <c r="AN8002" s="318"/>
      <c r="AO8002" s="318"/>
      <c r="AP8002" s="318"/>
      <c r="AQ8002" s="318"/>
      <c r="AR8002" s="319"/>
    </row>
    <row r="8003" spans="37:44" ht="30" customHeight="1">
      <c r="AK8003" s="318"/>
      <c r="AL8003" s="318"/>
      <c r="AM8003" s="318"/>
      <c r="AN8003" s="318"/>
      <c r="AO8003" s="318"/>
      <c r="AP8003" s="318"/>
      <c r="AQ8003" s="318"/>
      <c r="AR8003" s="319"/>
    </row>
    <row r="8004" spans="37:44" ht="30" customHeight="1">
      <c r="AK8004" s="318"/>
      <c r="AL8004" s="318"/>
      <c r="AM8004" s="318"/>
      <c r="AN8004" s="318"/>
      <c r="AO8004" s="318"/>
      <c r="AP8004" s="318"/>
      <c r="AQ8004" s="318"/>
      <c r="AR8004" s="319"/>
    </row>
    <row r="8005" spans="37:44" ht="30" customHeight="1">
      <c r="AK8005" s="318"/>
      <c r="AL8005" s="318"/>
      <c r="AM8005" s="318"/>
      <c r="AN8005" s="318"/>
      <c r="AO8005" s="318"/>
      <c r="AP8005" s="318"/>
      <c r="AQ8005" s="318"/>
      <c r="AR8005" s="319"/>
    </row>
    <row r="8006" spans="37:44" ht="30" customHeight="1">
      <c r="AK8006" s="318"/>
      <c r="AL8006" s="318"/>
      <c r="AM8006" s="318"/>
      <c r="AN8006" s="318"/>
      <c r="AO8006" s="318"/>
      <c r="AP8006" s="318"/>
      <c r="AQ8006" s="318"/>
      <c r="AR8006" s="319"/>
    </row>
    <row r="8007" spans="37:44" ht="30" customHeight="1">
      <c r="AK8007" s="318"/>
      <c r="AL8007" s="318"/>
      <c r="AM8007" s="318"/>
      <c r="AN8007" s="318"/>
      <c r="AO8007" s="318"/>
      <c r="AP8007" s="318"/>
      <c r="AQ8007" s="318"/>
      <c r="AR8007" s="319"/>
    </row>
    <row r="8008" spans="37:44" ht="30" customHeight="1">
      <c r="AK8008" s="318"/>
      <c r="AL8008" s="318"/>
      <c r="AM8008" s="318"/>
      <c r="AN8008" s="318"/>
      <c r="AO8008" s="318"/>
      <c r="AP8008" s="318"/>
      <c r="AQ8008" s="318"/>
      <c r="AR8008" s="319"/>
    </row>
    <row r="8009" spans="37:44" ht="30" customHeight="1">
      <c r="AK8009" s="318"/>
      <c r="AL8009" s="318"/>
      <c r="AM8009" s="318"/>
      <c r="AN8009" s="318"/>
      <c r="AO8009" s="318"/>
      <c r="AP8009" s="318"/>
      <c r="AQ8009" s="318"/>
      <c r="AR8009" s="319"/>
    </row>
    <row r="8010" spans="37:44" ht="30" customHeight="1">
      <c r="AK8010" s="318"/>
      <c r="AL8010" s="318"/>
      <c r="AM8010" s="318"/>
      <c r="AN8010" s="318"/>
      <c r="AO8010" s="318"/>
      <c r="AP8010" s="318"/>
      <c r="AQ8010" s="318"/>
      <c r="AR8010" s="319"/>
    </row>
    <row r="8011" spans="37:44" ht="30" customHeight="1">
      <c r="AK8011" s="318"/>
      <c r="AL8011" s="318"/>
      <c r="AM8011" s="318"/>
      <c r="AN8011" s="318"/>
      <c r="AO8011" s="318"/>
      <c r="AP8011" s="318"/>
      <c r="AQ8011" s="318"/>
      <c r="AR8011" s="319"/>
    </row>
    <row r="8012" spans="37:44" ht="30" customHeight="1">
      <c r="AK8012" s="318"/>
      <c r="AL8012" s="318"/>
      <c r="AM8012" s="318"/>
      <c r="AN8012" s="318"/>
      <c r="AO8012" s="318"/>
      <c r="AP8012" s="318"/>
      <c r="AQ8012" s="318"/>
      <c r="AR8012" s="319"/>
    </row>
    <row r="8013" spans="37:44" ht="30" customHeight="1">
      <c r="AK8013" s="318"/>
      <c r="AL8013" s="318"/>
      <c r="AM8013" s="318"/>
      <c r="AN8013" s="318"/>
      <c r="AO8013" s="318"/>
      <c r="AP8013" s="318"/>
      <c r="AQ8013" s="318"/>
      <c r="AR8013" s="319"/>
    </row>
    <row r="8014" spans="37:44" ht="30" customHeight="1">
      <c r="AK8014" s="318"/>
      <c r="AL8014" s="318"/>
      <c r="AM8014" s="318"/>
      <c r="AN8014" s="318"/>
      <c r="AO8014" s="318"/>
      <c r="AP8014" s="318"/>
      <c r="AQ8014" s="318"/>
      <c r="AR8014" s="319"/>
    </row>
    <row r="8015" spans="37:44" ht="30" customHeight="1">
      <c r="AK8015" s="318"/>
      <c r="AL8015" s="318"/>
      <c r="AM8015" s="318"/>
      <c r="AN8015" s="318"/>
      <c r="AO8015" s="318"/>
      <c r="AP8015" s="318"/>
      <c r="AQ8015" s="318"/>
      <c r="AR8015" s="319"/>
    </row>
    <row r="8016" spans="37:44" ht="30" customHeight="1">
      <c r="AK8016" s="318"/>
      <c r="AL8016" s="318"/>
      <c r="AM8016" s="318"/>
      <c r="AN8016" s="318"/>
      <c r="AO8016" s="318"/>
      <c r="AP8016" s="318"/>
      <c r="AQ8016" s="318"/>
      <c r="AR8016" s="319"/>
    </row>
    <row r="8017" spans="37:44" ht="30" customHeight="1">
      <c r="AK8017" s="318"/>
      <c r="AL8017" s="318"/>
      <c r="AM8017" s="318"/>
      <c r="AN8017" s="318"/>
      <c r="AO8017" s="318"/>
      <c r="AP8017" s="318"/>
      <c r="AQ8017" s="318"/>
      <c r="AR8017" s="319"/>
    </row>
    <row r="8018" spans="37:44" ht="30" customHeight="1">
      <c r="AK8018" s="318"/>
      <c r="AL8018" s="318"/>
      <c r="AM8018" s="318"/>
      <c r="AN8018" s="318"/>
      <c r="AO8018" s="318"/>
      <c r="AP8018" s="318"/>
      <c r="AQ8018" s="318"/>
      <c r="AR8018" s="319"/>
    </row>
    <row r="8019" spans="37:44" ht="30" customHeight="1">
      <c r="AK8019" s="318"/>
      <c r="AL8019" s="318"/>
      <c r="AM8019" s="318"/>
      <c r="AN8019" s="318"/>
      <c r="AO8019" s="318"/>
      <c r="AP8019" s="318"/>
      <c r="AQ8019" s="318"/>
      <c r="AR8019" s="319"/>
    </row>
    <row r="8020" spans="37:44" ht="30" customHeight="1">
      <c r="AK8020" s="318"/>
      <c r="AL8020" s="318"/>
      <c r="AM8020" s="318"/>
      <c r="AN8020" s="318"/>
      <c r="AO8020" s="318"/>
      <c r="AP8020" s="318"/>
      <c r="AQ8020" s="318"/>
      <c r="AR8020" s="319"/>
    </row>
    <row r="8021" spans="37:44" ht="30" customHeight="1">
      <c r="AK8021" s="318"/>
      <c r="AL8021" s="318"/>
      <c r="AM8021" s="318"/>
      <c r="AN8021" s="318"/>
      <c r="AO8021" s="318"/>
      <c r="AP8021" s="318"/>
      <c r="AQ8021" s="318"/>
      <c r="AR8021" s="319"/>
    </row>
    <row r="8022" spans="37:44" ht="30" customHeight="1">
      <c r="AK8022" s="318"/>
      <c r="AL8022" s="318"/>
      <c r="AM8022" s="318"/>
      <c r="AN8022" s="318"/>
      <c r="AO8022" s="318"/>
      <c r="AP8022" s="318"/>
      <c r="AQ8022" s="318"/>
      <c r="AR8022" s="319"/>
    </row>
    <row r="8023" spans="37:44" ht="30" customHeight="1">
      <c r="AK8023" s="318"/>
      <c r="AL8023" s="318"/>
      <c r="AM8023" s="318"/>
      <c r="AN8023" s="318"/>
      <c r="AO8023" s="318"/>
      <c r="AP8023" s="318"/>
      <c r="AQ8023" s="318"/>
      <c r="AR8023" s="319"/>
    </row>
    <row r="8024" spans="37:44" ht="30" customHeight="1">
      <c r="AK8024" s="318"/>
      <c r="AL8024" s="318"/>
      <c r="AM8024" s="318"/>
      <c r="AN8024" s="318"/>
      <c r="AO8024" s="318"/>
      <c r="AP8024" s="318"/>
      <c r="AQ8024" s="318"/>
      <c r="AR8024" s="319"/>
    </row>
    <row r="8025" spans="37:44" ht="30" customHeight="1">
      <c r="AK8025" s="318"/>
      <c r="AL8025" s="318"/>
      <c r="AM8025" s="318"/>
      <c r="AN8025" s="318"/>
      <c r="AO8025" s="318"/>
      <c r="AP8025" s="318"/>
      <c r="AQ8025" s="318"/>
      <c r="AR8025" s="319"/>
    </row>
    <row r="8026" spans="37:44" ht="30" customHeight="1">
      <c r="AK8026" s="318"/>
      <c r="AL8026" s="318"/>
      <c r="AM8026" s="318"/>
      <c r="AN8026" s="318"/>
      <c r="AO8026" s="318"/>
      <c r="AP8026" s="318"/>
      <c r="AQ8026" s="318"/>
      <c r="AR8026" s="319"/>
    </row>
    <row r="8027" spans="37:44" ht="30" customHeight="1">
      <c r="AK8027" s="318"/>
      <c r="AL8027" s="318"/>
      <c r="AM8027" s="318"/>
      <c r="AN8027" s="318"/>
      <c r="AO8027" s="318"/>
      <c r="AP8027" s="318"/>
      <c r="AQ8027" s="318"/>
      <c r="AR8027" s="319"/>
    </row>
    <row r="8028" spans="37:44" ht="30" customHeight="1">
      <c r="AK8028" s="318"/>
      <c r="AL8028" s="318"/>
      <c r="AM8028" s="318"/>
      <c r="AN8028" s="318"/>
      <c r="AO8028" s="318"/>
      <c r="AP8028" s="318"/>
      <c r="AQ8028" s="318"/>
      <c r="AR8028" s="319"/>
    </row>
    <row r="8029" spans="37:44" ht="30" customHeight="1">
      <c r="AK8029" s="318"/>
      <c r="AL8029" s="318"/>
      <c r="AM8029" s="318"/>
      <c r="AN8029" s="318"/>
      <c r="AO8029" s="318"/>
      <c r="AP8029" s="318"/>
      <c r="AQ8029" s="318"/>
      <c r="AR8029" s="319"/>
    </row>
    <row r="8030" spans="37:44" ht="30" customHeight="1">
      <c r="AK8030" s="318"/>
      <c r="AL8030" s="318"/>
      <c r="AM8030" s="318"/>
      <c r="AN8030" s="318"/>
      <c r="AO8030" s="318"/>
      <c r="AP8030" s="318"/>
      <c r="AQ8030" s="318"/>
      <c r="AR8030" s="319"/>
    </row>
    <row r="8031" spans="37:44" ht="30" customHeight="1">
      <c r="AK8031" s="318"/>
      <c r="AL8031" s="318"/>
      <c r="AM8031" s="318"/>
      <c r="AN8031" s="318"/>
      <c r="AO8031" s="318"/>
      <c r="AP8031" s="318"/>
      <c r="AQ8031" s="318"/>
      <c r="AR8031" s="319"/>
    </row>
    <row r="8032" spans="37:44" ht="30" customHeight="1">
      <c r="AK8032" s="318"/>
      <c r="AL8032" s="318"/>
      <c r="AM8032" s="318"/>
      <c r="AN8032" s="318"/>
      <c r="AO8032" s="318"/>
      <c r="AP8032" s="318"/>
      <c r="AQ8032" s="318"/>
      <c r="AR8032" s="319"/>
    </row>
    <row r="8033" spans="37:44" ht="30" customHeight="1">
      <c r="AK8033" s="318"/>
      <c r="AL8033" s="318"/>
      <c r="AM8033" s="318"/>
      <c r="AN8033" s="318"/>
      <c r="AO8033" s="318"/>
      <c r="AP8033" s="318"/>
      <c r="AQ8033" s="318"/>
      <c r="AR8033" s="319"/>
    </row>
    <row r="8034" spans="37:44" ht="30" customHeight="1">
      <c r="AK8034" s="318"/>
      <c r="AL8034" s="318"/>
      <c r="AM8034" s="318"/>
      <c r="AN8034" s="318"/>
      <c r="AO8034" s="318"/>
      <c r="AP8034" s="318"/>
      <c r="AQ8034" s="318"/>
      <c r="AR8034" s="319"/>
    </row>
    <row r="8035" spans="37:44" ht="30" customHeight="1">
      <c r="AK8035" s="318"/>
      <c r="AL8035" s="318"/>
      <c r="AM8035" s="318"/>
      <c r="AN8035" s="318"/>
      <c r="AO8035" s="318"/>
      <c r="AP8035" s="318"/>
      <c r="AQ8035" s="318"/>
      <c r="AR8035" s="319"/>
    </row>
    <row r="8036" spans="37:44" ht="30" customHeight="1">
      <c r="AK8036" s="318"/>
      <c r="AL8036" s="318"/>
      <c r="AM8036" s="318"/>
      <c r="AN8036" s="318"/>
      <c r="AO8036" s="318"/>
      <c r="AP8036" s="318"/>
      <c r="AQ8036" s="318"/>
      <c r="AR8036" s="319"/>
    </row>
    <row r="8037" spans="37:44" ht="30" customHeight="1">
      <c r="AK8037" s="318"/>
      <c r="AL8037" s="318"/>
      <c r="AM8037" s="318"/>
      <c r="AN8037" s="318"/>
      <c r="AO8037" s="318"/>
      <c r="AP8037" s="318"/>
      <c r="AQ8037" s="318"/>
      <c r="AR8037" s="319"/>
    </row>
    <row r="8038" spans="37:44" ht="30" customHeight="1">
      <c r="AK8038" s="318"/>
      <c r="AL8038" s="318"/>
      <c r="AM8038" s="318"/>
      <c r="AN8038" s="318"/>
      <c r="AO8038" s="318"/>
      <c r="AP8038" s="318"/>
      <c r="AQ8038" s="318"/>
      <c r="AR8038" s="319"/>
    </row>
    <row r="8039" spans="37:44" ht="30" customHeight="1">
      <c r="AK8039" s="318"/>
      <c r="AL8039" s="318"/>
      <c r="AM8039" s="318"/>
      <c r="AN8039" s="318"/>
      <c r="AO8039" s="318"/>
      <c r="AP8039" s="318"/>
      <c r="AQ8039" s="318"/>
      <c r="AR8039" s="319"/>
    </row>
    <row r="8040" spans="37:44" ht="30" customHeight="1">
      <c r="AK8040" s="318"/>
      <c r="AL8040" s="318"/>
      <c r="AM8040" s="318"/>
      <c r="AN8040" s="318"/>
      <c r="AO8040" s="318"/>
      <c r="AP8040" s="318"/>
      <c r="AQ8040" s="318"/>
      <c r="AR8040" s="319"/>
    </row>
    <row r="8041" spans="37:44" ht="30" customHeight="1">
      <c r="AK8041" s="318"/>
      <c r="AL8041" s="318"/>
      <c r="AM8041" s="318"/>
      <c r="AN8041" s="318"/>
      <c r="AO8041" s="318"/>
      <c r="AP8041" s="318"/>
      <c r="AQ8041" s="318"/>
      <c r="AR8041" s="319"/>
    </row>
    <row r="8042" spans="37:44" ht="30" customHeight="1">
      <c r="AK8042" s="318"/>
      <c r="AL8042" s="318"/>
      <c r="AM8042" s="318"/>
      <c r="AN8042" s="318"/>
      <c r="AO8042" s="318"/>
      <c r="AP8042" s="318"/>
      <c r="AQ8042" s="318"/>
      <c r="AR8042" s="319"/>
    </row>
    <row r="8043" spans="37:44" ht="30" customHeight="1">
      <c r="AK8043" s="318"/>
      <c r="AL8043" s="318"/>
      <c r="AM8043" s="318"/>
      <c r="AN8043" s="318"/>
      <c r="AO8043" s="318"/>
      <c r="AP8043" s="318"/>
      <c r="AQ8043" s="318"/>
      <c r="AR8043" s="319"/>
    </row>
    <row r="8044" spans="37:44" ht="30" customHeight="1">
      <c r="AK8044" s="318"/>
      <c r="AL8044" s="318"/>
      <c r="AM8044" s="318"/>
      <c r="AN8044" s="318"/>
      <c r="AO8044" s="318"/>
      <c r="AP8044" s="318"/>
      <c r="AQ8044" s="318"/>
      <c r="AR8044" s="319"/>
    </row>
    <row r="8045" spans="37:44" ht="30" customHeight="1">
      <c r="AK8045" s="318"/>
      <c r="AL8045" s="318"/>
      <c r="AM8045" s="318"/>
      <c r="AN8045" s="318"/>
      <c r="AO8045" s="318"/>
      <c r="AP8045" s="318"/>
      <c r="AQ8045" s="318"/>
      <c r="AR8045" s="319"/>
    </row>
    <row r="8046" spans="37:44" ht="30" customHeight="1">
      <c r="AK8046" s="318"/>
      <c r="AL8046" s="318"/>
      <c r="AM8046" s="318"/>
      <c r="AN8046" s="318"/>
      <c r="AO8046" s="318"/>
      <c r="AP8046" s="318"/>
      <c r="AQ8046" s="318"/>
      <c r="AR8046" s="319"/>
    </row>
    <row r="8047" spans="37:44" ht="30" customHeight="1">
      <c r="AK8047" s="318"/>
      <c r="AL8047" s="318"/>
      <c r="AM8047" s="318"/>
      <c r="AN8047" s="318"/>
      <c r="AO8047" s="318"/>
      <c r="AP8047" s="318"/>
      <c r="AQ8047" s="318"/>
      <c r="AR8047" s="319"/>
    </row>
    <row r="8048" spans="37:44" ht="30" customHeight="1">
      <c r="AK8048" s="318"/>
      <c r="AL8048" s="318"/>
      <c r="AM8048" s="318"/>
      <c r="AN8048" s="318"/>
      <c r="AO8048" s="318"/>
      <c r="AP8048" s="318"/>
      <c r="AQ8048" s="318"/>
      <c r="AR8048" s="319"/>
    </row>
    <row r="8049" spans="37:44" ht="30" customHeight="1">
      <c r="AK8049" s="318"/>
      <c r="AL8049" s="318"/>
      <c r="AM8049" s="318"/>
      <c r="AN8049" s="318"/>
      <c r="AO8049" s="318"/>
      <c r="AP8049" s="318"/>
      <c r="AQ8049" s="318"/>
      <c r="AR8049" s="319"/>
    </row>
    <row r="8050" spans="37:44" ht="30" customHeight="1">
      <c r="AK8050" s="318"/>
      <c r="AL8050" s="318"/>
      <c r="AM8050" s="318"/>
      <c r="AN8050" s="318"/>
      <c r="AO8050" s="318"/>
      <c r="AP8050" s="318"/>
      <c r="AQ8050" s="318"/>
      <c r="AR8050" s="319"/>
    </row>
    <row r="8051" spans="37:44" ht="30" customHeight="1">
      <c r="AK8051" s="318"/>
      <c r="AL8051" s="318"/>
      <c r="AM8051" s="318"/>
      <c r="AN8051" s="318"/>
      <c r="AO8051" s="318"/>
      <c r="AP8051" s="318"/>
      <c r="AQ8051" s="318"/>
      <c r="AR8051" s="319"/>
    </row>
    <row r="8052" spans="37:44" ht="30" customHeight="1">
      <c r="AK8052" s="318"/>
      <c r="AL8052" s="318"/>
      <c r="AM8052" s="318"/>
      <c r="AN8052" s="318"/>
      <c r="AO8052" s="318"/>
      <c r="AP8052" s="318"/>
      <c r="AQ8052" s="318"/>
      <c r="AR8052" s="319"/>
    </row>
    <row r="8053" spans="37:44" ht="30" customHeight="1">
      <c r="AK8053" s="318"/>
      <c r="AL8053" s="318"/>
      <c r="AM8053" s="318"/>
      <c r="AN8053" s="318"/>
      <c r="AO8053" s="318"/>
      <c r="AP8053" s="318"/>
      <c r="AQ8053" s="318"/>
      <c r="AR8053" s="319"/>
    </row>
    <row r="8054" spans="37:44" ht="30" customHeight="1">
      <c r="AK8054" s="318"/>
      <c r="AL8054" s="318"/>
      <c r="AM8054" s="318"/>
      <c r="AN8054" s="318"/>
      <c r="AO8054" s="318"/>
      <c r="AP8054" s="318"/>
      <c r="AQ8054" s="318"/>
      <c r="AR8054" s="319"/>
    </row>
    <row r="8055" spans="37:44" ht="30" customHeight="1">
      <c r="AK8055" s="318"/>
      <c r="AL8055" s="318"/>
      <c r="AM8055" s="318"/>
      <c r="AN8055" s="318"/>
      <c r="AO8055" s="318"/>
      <c r="AP8055" s="318"/>
      <c r="AQ8055" s="318"/>
      <c r="AR8055" s="319"/>
    </row>
    <row r="8056" spans="37:44" ht="30" customHeight="1">
      <c r="AK8056" s="318"/>
      <c r="AL8056" s="318"/>
      <c r="AM8056" s="318"/>
      <c r="AN8056" s="318"/>
      <c r="AO8056" s="318"/>
      <c r="AP8056" s="318"/>
      <c r="AQ8056" s="318"/>
      <c r="AR8056" s="319"/>
    </row>
    <row r="8057" spans="37:44" ht="30" customHeight="1">
      <c r="AK8057" s="318"/>
      <c r="AL8057" s="318"/>
      <c r="AM8057" s="318"/>
      <c r="AN8057" s="318"/>
      <c r="AO8057" s="318"/>
      <c r="AP8057" s="318"/>
      <c r="AQ8057" s="318"/>
      <c r="AR8057" s="319"/>
    </row>
    <row r="8058" spans="37:44" ht="30" customHeight="1">
      <c r="AK8058" s="318"/>
      <c r="AL8058" s="318"/>
      <c r="AM8058" s="318"/>
      <c r="AN8058" s="318"/>
      <c r="AO8058" s="318"/>
      <c r="AP8058" s="318"/>
      <c r="AQ8058" s="318"/>
      <c r="AR8058" s="319"/>
    </row>
    <row r="8059" spans="37:44" ht="30" customHeight="1">
      <c r="AK8059" s="318"/>
      <c r="AL8059" s="318"/>
      <c r="AM8059" s="318"/>
      <c r="AN8059" s="318"/>
      <c r="AO8059" s="318"/>
      <c r="AP8059" s="318"/>
      <c r="AQ8059" s="318"/>
      <c r="AR8059" s="319"/>
    </row>
    <row r="8060" spans="37:44" ht="30" customHeight="1">
      <c r="AK8060" s="318"/>
      <c r="AL8060" s="318"/>
      <c r="AM8060" s="318"/>
      <c r="AN8060" s="318"/>
      <c r="AO8060" s="318"/>
      <c r="AP8060" s="318"/>
      <c r="AQ8060" s="318"/>
      <c r="AR8060" s="319"/>
    </row>
    <row r="8061" spans="37:44" ht="30" customHeight="1">
      <c r="AK8061" s="318"/>
      <c r="AL8061" s="318"/>
      <c r="AM8061" s="318"/>
      <c r="AN8061" s="318"/>
      <c r="AO8061" s="318"/>
      <c r="AP8061" s="318"/>
      <c r="AQ8061" s="318"/>
      <c r="AR8061" s="319"/>
    </row>
    <row r="8062" spans="37:44" ht="30" customHeight="1">
      <c r="AK8062" s="318"/>
      <c r="AL8062" s="318"/>
      <c r="AM8062" s="318"/>
      <c r="AN8062" s="318"/>
      <c r="AO8062" s="318"/>
      <c r="AP8062" s="318"/>
      <c r="AQ8062" s="318"/>
      <c r="AR8062" s="319"/>
    </row>
    <row r="8063" spans="37:44" ht="30" customHeight="1">
      <c r="AK8063" s="318"/>
      <c r="AL8063" s="318"/>
      <c r="AM8063" s="318"/>
      <c r="AN8063" s="318"/>
      <c r="AO8063" s="318"/>
      <c r="AP8063" s="318"/>
      <c r="AQ8063" s="318"/>
      <c r="AR8063" s="319"/>
    </row>
    <row r="8064" spans="37:44" ht="30" customHeight="1">
      <c r="AK8064" s="318"/>
      <c r="AL8064" s="318"/>
      <c r="AM8064" s="318"/>
      <c r="AN8064" s="318"/>
      <c r="AO8064" s="318"/>
      <c r="AP8064" s="318"/>
      <c r="AQ8064" s="318"/>
      <c r="AR8064" s="319"/>
    </row>
    <row r="8065" spans="37:44" ht="30" customHeight="1">
      <c r="AK8065" s="318"/>
      <c r="AL8065" s="318"/>
      <c r="AM8065" s="318"/>
      <c r="AN8065" s="318"/>
      <c r="AO8065" s="318"/>
      <c r="AP8065" s="318"/>
      <c r="AQ8065" s="318"/>
      <c r="AR8065" s="319"/>
    </row>
    <row r="8066" spans="37:44" ht="30" customHeight="1">
      <c r="AK8066" s="318"/>
      <c r="AL8066" s="318"/>
      <c r="AM8066" s="318"/>
      <c r="AN8066" s="318"/>
      <c r="AO8066" s="318"/>
      <c r="AP8066" s="318"/>
      <c r="AQ8066" s="318"/>
      <c r="AR8066" s="319"/>
    </row>
  </sheetData>
  <sheetProtection formatCells="0" formatColumns="0" formatRows="0" insertColumns="0" insertRows="0" insertHyperlinks="0" deleteColumns="0" deleteRows="0" selectLockedCells="1" sort="0" autoFilter="0" pivotTables="0"/>
  <autoFilter ref="A4:DH5353" xr:uid="{00000000-0001-0000-0000-000000000000}">
    <filterColumn colId="2">
      <filters>
        <filter val="VILA DA PAZ"/>
      </filters>
    </filterColumn>
  </autoFilter>
  <sortState xmlns:xlrd2="http://schemas.microsoft.com/office/spreadsheetml/2017/richdata2" ref="A6:BR68">
    <sortCondition ref="J6:J68"/>
  </sortState>
  <dataConsolidate function="product"/>
  <mergeCells count="5">
    <mergeCell ref="BI3:BR3"/>
    <mergeCell ref="O3:Z3"/>
    <mergeCell ref="A3:N3"/>
    <mergeCell ref="BG3:BH3"/>
    <mergeCell ref="AK1:AR1"/>
  </mergeCells>
  <phoneticPr fontId="7" type="noConversion"/>
  <conditionalFormatting sqref="F875:F1048576 F1:F2 F4 F716:F873">
    <cfRule type="duplicateValues" dxfId="292" priority="1619"/>
    <cfRule type="duplicateValues" dxfId="291" priority="1623"/>
  </conditionalFormatting>
  <conditionalFormatting sqref="F875:F1048576 F1:F4 F716:F873">
    <cfRule type="duplicateValues" dxfId="290" priority="1629"/>
  </conditionalFormatting>
  <conditionalFormatting sqref="F875:F1048576 F1:F873">
    <cfRule type="duplicateValues" dxfId="289" priority="1209"/>
  </conditionalFormatting>
  <conditionalFormatting sqref="F875:F1048576 F716:F873">
    <cfRule type="duplicateValues" dxfId="288" priority="1627"/>
  </conditionalFormatting>
  <conditionalFormatting sqref="J16">
    <cfRule type="duplicateValues" dxfId="287" priority="649"/>
  </conditionalFormatting>
  <conditionalFormatting sqref="J228:J229 J164">
    <cfRule type="duplicateValues" dxfId="286" priority="763"/>
  </conditionalFormatting>
  <conditionalFormatting sqref="J796:J808">
    <cfRule type="duplicateValues" dxfId="285" priority="3106"/>
  </conditionalFormatting>
  <conditionalFormatting sqref="J875:J1048576 J765 J568:J581 J1:J2 J4 J792:J793 J809:J873">
    <cfRule type="duplicateValues" dxfId="284" priority="1632"/>
  </conditionalFormatting>
  <conditionalFormatting sqref="J771:K773">
    <cfRule type="duplicateValues" dxfId="283" priority="367"/>
  </conditionalFormatting>
  <conditionalFormatting sqref="J766:L767">
    <cfRule type="duplicateValues" dxfId="282" priority="381"/>
  </conditionalFormatting>
  <conditionalFormatting sqref="J768:L768 J770:L770 J769 L769">
    <cfRule type="duplicateValues" dxfId="281" priority="375"/>
  </conditionalFormatting>
  <conditionalFormatting sqref="J794:L794">
    <cfRule type="duplicateValues" dxfId="280" priority="360"/>
  </conditionalFormatting>
  <conditionalFormatting sqref="J795:L795">
    <cfRule type="duplicateValues" dxfId="279" priority="359"/>
  </conditionalFormatting>
  <conditionalFormatting sqref="K769">
    <cfRule type="duplicateValues" dxfId="278" priority="372"/>
  </conditionalFormatting>
  <conditionalFormatting sqref="K792:L793">
    <cfRule type="duplicateValues" dxfId="277" priority="361"/>
  </conditionalFormatting>
  <conditionalFormatting sqref="K796:L796">
    <cfRule type="duplicateValues" dxfId="276" priority="357"/>
  </conditionalFormatting>
  <conditionalFormatting sqref="K797:L797">
    <cfRule type="duplicateValues" dxfId="275" priority="356"/>
  </conditionalFormatting>
  <conditionalFormatting sqref="K798:L798">
    <cfRule type="duplicateValues" dxfId="274" priority="355"/>
  </conditionalFormatting>
  <conditionalFormatting sqref="K799:L799">
    <cfRule type="duplicateValues" dxfId="273" priority="354"/>
  </conditionalFormatting>
  <conditionalFormatting sqref="K800:L800">
    <cfRule type="duplicateValues" dxfId="272" priority="353"/>
  </conditionalFormatting>
  <conditionalFormatting sqref="K801:L801">
    <cfRule type="duplicateValues" dxfId="271" priority="352"/>
  </conditionalFormatting>
  <conditionalFormatting sqref="K802:L802">
    <cfRule type="duplicateValues" dxfId="270" priority="351"/>
  </conditionalFormatting>
  <conditionalFormatting sqref="K803:L803">
    <cfRule type="duplicateValues" dxfId="269" priority="350"/>
  </conditionalFormatting>
  <conditionalFormatting sqref="K804:L804">
    <cfRule type="duplicateValues" dxfId="268" priority="349"/>
  </conditionalFormatting>
  <conditionalFormatting sqref="K805:L805">
    <cfRule type="duplicateValues" dxfId="267" priority="348"/>
  </conditionalFormatting>
  <conditionalFormatting sqref="K806:L806">
    <cfRule type="duplicateValues" dxfId="266" priority="347"/>
  </conditionalFormatting>
  <conditionalFormatting sqref="K807:L807">
    <cfRule type="duplicateValues" dxfId="265" priority="345"/>
  </conditionalFormatting>
  <conditionalFormatting sqref="K808:L808">
    <cfRule type="duplicateValues" dxfId="264" priority="344"/>
  </conditionalFormatting>
  <conditionalFormatting sqref="L16">
    <cfRule type="duplicateValues" dxfId="263" priority="648"/>
  </conditionalFormatting>
  <conditionalFormatting sqref="L393">
    <cfRule type="duplicateValues" dxfId="262" priority="205"/>
    <cfRule type="duplicateValues" dxfId="261" priority="206"/>
  </conditionalFormatting>
  <conditionalFormatting sqref="L497">
    <cfRule type="duplicateValues" dxfId="260" priority="204"/>
    <cfRule type="duplicateValues" dxfId="259" priority="203"/>
  </conditionalFormatting>
  <conditionalFormatting sqref="L771:L773">
    <cfRule type="duplicateValues" dxfId="258" priority="366"/>
  </conditionalFormatting>
  <conditionalFormatting sqref="AA16">
    <cfRule type="duplicateValues" dxfId="257" priority="193"/>
  </conditionalFormatting>
  <conditionalFormatting sqref="AA164">
    <cfRule type="duplicateValues" dxfId="256" priority="185"/>
  </conditionalFormatting>
  <conditionalFormatting sqref="AA568">
    <cfRule type="duplicateValues" dxfId="255" priority="175"/>
  </conditionalFormatting>
  <conditionalFormatting sqref="AA570">
    <cfRule type="duplicateValues" dxfId="254" priority="174"/>
  </conditionalFormatting>
  <conditionalFormatting sqref="AA571">
    <cfRule type="duplicateValues" dxfId="253" priority="173"/>
  </conditionalFormatting>
  <conditionalFormatting sqref="AA572">
    <cfRule type="duplicateValues" dxfId="252" priority="22"/>
  </conditionalFormatting>
  <conditionalFormatting sqref="AA573">
    <cfRule type="duplicateValues" dxfId="251" priority="253"/>
  </conditionalFormatting>
  <conditionalFormatting sqref="AA574">
    <cfRule type="duplicateValues" dxfId="250" priority="23"/>
  </conditionalFormatting>
  <conditionalFormatting sqref="AA575:AA576">
    <cfRule type="duplicateValues" dxfId="249" priority="172"/>
  </conditionalFormatting>
  <conditionalFormatting sqref="AA577">
    <cfRule type="duplicateValues" dxfId="248" priority="171"/>
  </conditionalFormatting>
  <conditionalFormatting sqref="AA578">
    <cfRule type="duplicateValues" dxfId="247" priority="170"/>
  </conditionalFormatting>
  <conditionalFormatting sqref="AA580:AA581">
    <cfRule type="duplicateValues" dxfId="246" priority="169"/>
  </conditionalFormatting>
  <conditionalFormatting sqref="AA765">
    <cfRule type="duplicateValues" dxfId="245" priority="168"/>
  </conditionalFormatting>
  <conditionalFormatting sqref="AA767">
    <cfRule type="duplicateValues" dxfId="244" priority="167"/>
  </conditionalFormatting>
  <conditionalFormatting sqref="AA768:AA770">
    <cfRule type="duplicateValues" dxfId="243" priority="166"/>
  </conditionalFormatting>
  <conditionalFormatting sqref="AA771">
    <cfRule type="duplicateValues" dxfId="242" priority="165"/>
  </conditionalFormatting>
  <conditionalFormatting sqref="AA772:AA773">
    <cfRule type="duplicateValues" dxfId="241" priority="159"/>
  </conditionalFormatting>
  <conditionalFormatting sqref="AA792:AA793">
    <cfRule type="duplicateValues" dxfId="240" priority="156"/>
  </conditionalFormatting>
  <conditionalFormatting sqref="AA794">
    <cfRule type="duplicateValues" dxfId="239" priority="155"/>
  </conditionalFormatting>
  <conditionalFormatting sqref="AA795">
    <cfRule type="duplicateValues" dxfId="238" priority="151"/>
  </conditionalFormatting>
  <conditionalFormatting sqref="AA796:AA800">
    <cfRule type="duplicateValues" dxfId="237" priority="152"/>
  </conditionalFormatting>
  <conditionalFormatting sqref="AA801:AA806">
    <cfRule type="duplicateValues" dxfId="236" priority="144"/>
  </conditionalFormatting>
  <conditionalFormatting sqref="AB769">
    <cfRule type="duplicateValues" dxfId="235" priority="162"/>
  </conditionalFormatting>
  <conditionalFormatting sqref="AB771">
    <cfRule type="duplicateValues" dxfId="234" priority="161"/>
  </conditionalFormatting>
  <conditionalFormatting sqref="AB772:AB773">
    <cfRule type="duplicateValues" dxfId="233" priority="158"/>
  </conditionalFormatting>
  <conditionalFormatting sqref="AB767:AC767">
    <cfRule type="duplicateValues" dxfId="232" priority="164"/>
  </conditionalFormatting>
  <conditionalFormatting sqref="AB768:AC768 AB770:AC770 AC769">
    <cfRule type="duplicateValues" dxfId="231" priority="163"/>
  </conditionalFormatting>
  <conditionalFormatting sqref="AB792:AC793">
    <cfRule type="duplicateValues" dxfId="230" priority="154"/>
  </conditionalFormatting>
  <conditionalFormatting sqref="AB794:AC794">
    <cfRule type="duplicateValues" dxfId="229" priority="153"/>
  </conditionalFormatting>
  <conditionalFormatting sqref="AB795:AC795">
    <cfRule type="duplicateValues" dxfId="228" priority="150"/>
  </conditionalFormatting>
  <conditionalFormatting sqref="AB796:AC796">
    <cfRule type="duplicateValues" dxfId="227" priority="149"/>
  </conditionalFormatting>
  <conditionalFormatting sqref="AB797:AC797">
    <cfRule type="duplicateValues" dxfId="226" priority="148"/>
  </conditionalFormatting>
  <conditionalFormatting sqref="AB798:AC798">
    <cfRule type="duplicateValues" dxfId="225" priority="147"/>
  </conditionalFormatting>
  <conditionalFormatting sqref="AB799:AC799">
    <cfRule type="duplicateValues" dxfId="224" priority="146"/>
  </conditionalFormatting>
  <conditionalFormatting sqref="AB800:AC800">
    <cfRule type="duplicateValues" dxfId="223" priority="145"/>
  </conditionalFormatting>
  <conditionalFormatting sqref="AB801:AC801">
    <cfRule type="duplicateValues" dxfId="222" priority="143"/>
  </conditionalFormatting>
  <conditionalFormatting sqref="AB802:AC802">
    <cfRule type="duplicateValues" dxfId="221" priority="142"/>
  </conditionalFormatting>
  <conditionalFormatting sqref="AB803:AC803">
    <cfRule type="duplicateValues" dxfId="220" priority="141"/>
  </conditionalFormatting>
  <conditionalFormatting sqref="AB804:AC804">
    <cfRule type="duplicateValues" dxfId="219" priority="140"/>
  </conditionalFormatting>
  <conditionalFormatting sqref="AB805:AC805">
    <cfRule type="duplicateValues" dxfId="218" priority="139"/>
  </conditionalFormatting>
  <conditionalFormatting sqref="AB806:AC806">
    <cfRule type="duplicateValues" dxfId="217" priority="138"/>
  </conditionalFormatting>
  <conditionalFormatting sqref="AB875:AC1048576 AB1:AC4 AB807:AC873">
    <cfRule type="duplicateValues" dxfId="216" priority="1208"/>
  </conditionalFormatting>
  <conditionalFormatting sqref="AC16">
    <cfRule type="duplicateValues" dxfId="215" priority="192"/>
  </conditionalFormatting>
  <conditionalFormatting sqref="AC164">
    <cfRule type="duplicateValues" dxfId="214" priority="184"/>
  </conditionalFormatting>
  <conditionalFormatting sqref="AC497">
    <cfRule type="duplicateValues" dxfId="213" priority="177"/>
    <cfRule type="duplicateValues" dxfId="212" priority="176"/>
  </conditionalFormatting>
  <conditionalFormatting sqref="AC771">
    <cfRule type="duplicateValues" dxfId="211" priority="160"/>
  </conditionalFormatting>
  <conditionalFormatting sqref="AC772:AC773">
    <cfRule type="duplicateValues" dxfId="210" priority="157"/>
  </conditionalFormatting>
  <conditionalFormatting sqref="AC875:AC1048576 L164 AC1:AC4 AC807:AC873">
    <cfRule type="duplicateValues" dxfId="209" priority="762"/>
  </conditionalFormatting>
  <conditionalFormatting sqref="AD4 AD807:AE873 AD875:AE1048576">
    <cfRule type="containsText" dxfId="208" priority="1338" operator="containsText" text="NÃO RESIDENTE">
      <formula>NOT(ISERROR(SEARCH("NÃO RESIDENTE",AD4)))</formula>
    </cfRule>
  </conditionalFormatting>
  <conditionalFormatting sqref="AD1:AE3 I695:I696">
    <cfRule type="containsText" dxfId="207" priority="362" operator="containsText" text="NÃO RESIDENTE">
      <formula>NOT(ISERROR(SEARCH("NÃO RESIDENTE",I1)))</formula>
    </cfRule>
  </conditionalFormatting>
  <conditionalFormatting sqref="AF3:AH3">
    <cfRule type="containsText" dxfId="206" priority="582" operator="containsText" text="NÃO RESIDENTE">
      <formula>NOT(ISERROR(SEARCH("NÃO RESIDENTE",AF3)))</formula>
    </cfRule>
  </conditionalFormatting>
  <conditionalFormatting sqref="AU1:AU1048576">
    <cfRule type="duplicateValues" dxfId="205" priority="761"/>
    <cfRule type="duplicateValues" dxfId="204" priority="1217"/>
  </conditionalFormatting>
  <conditionalFormatting sqref="AU5">
    <cfRule type="duplicateValues" dxfId="203" priority="768"/>
  </conditionalFormatting>
  <conditionalFormatting sqref="AU6:AU574">
    <cfRule type="duplicateValues" dxfId="202" priority="3"/>
  </conditionalFormatting>
  <conditionalFormatting sqref="AU7:AU97 AU99 AU101:AU102 AU104:AU133">
    <cfRule type="duplicateValues" dxfId="201" priority="1275"/>
  </conditionalFormatting>
  <conditionalFormatting sqref="AU10">
    <cfRule type="duplicateValues" dxfId="200" priority="457"/>
  </conditionalFormatting>
  <conditionalFormatting sqref="AU16">
    <cfRule type="duplicateValues" dxfId="199" priority="626"/>
  </conditionalFormatting>
  <conditionalFormatting sqref="AU18">
    <cfRule type="duplicateValues" dxfId="198" priority="441"/>
  </conditionalFormatting>
  <conditionalFormatting sqref="AU21">
    <cfRule type="duplicateValues" dxfId="197" priority="440"/>
  </conditionalFormatting>
  <conditionalFormatting sqref="AU26">
    <cfRule type="duplicateValues" dxfId="196" priority="625"/>
  </conditionalFormatting>
  <conditionalFormatting sqref="AU31:AU32">
    <cfRule type="duplicateValues" dxfId="195" priority="651"/>
  </conditionalFormatting>
  <conditionalFormatting sqref="AU33">
    <cfRule type="duplicateValues" dxfId="194" priority="624"/>
  </conditionalFormatting>
  <conditionalFormatting sqref="AU35">
    <cfRule type="duplicateValues" dxfId="193" priority="439"/>
  </conditionalFormatting>
  <conditionalFormatting sqref="AU38">
    <cfRule type="duplicateValues" dxfId="192" priority="622"/>
  </conditionalFormatting>
  <conditionalFormatting sqref="AU40">
    <cfRule type="duplicateValues" dxfId="191" priority="472"/>
  </conditionalFormatting>
  <conditionalFormatting sqref="AU45">
    <cfRule type="duplicateValues" dxfId="190" priority="325"/>
  </conditionalFormatting>
  <conditionalFormatting sqref="AU49">
    <cfRule type="duplicateValues" dxfId="189" priority="437"/>
  </conditionalFormatting>
  <conditionalFormatting sqref="AU57:AU58">
    <cfRule type="duplicateValues" dxfId="188" priority="1259"/>
  </conditionalFormatting>
  <conditionalFormatting sqref="AU59">
    <cfRule type="duplicateValues" dxfId="187" priority="1254"/>
  </conditionalFormatting>
  <conditionalFormatting sqref="AU60">
    <cfRule type="duplicateValues" dxfId="186" priority="1274"/>
  </conditionalFormatting>
  <conditionalFormatting sqref="AU62">
    <cfRule type="duplicateValues" dxfId="185" priority="662"/>
  </conditionalFormatting>
  <conditionalFormatting sqref="AU64:AU65">
    <cfRule type="duplicateValues" dxfId="184" priority="1273"/>
  </conditionalFormatting>
  <conditionalFormatting sqref="AU66">
    <cfRule type="duplicateValues" dxfId="183" priority="436"/>
  </conditionalFormatting>
  <conditionalFormatting sqref="AU68">
    <cfRule type="duplicateValues" dxfId="182" priority="660"/>
  </conditionalFormatting>
  <conditionalFormatting sqref="AU70">
    <cfRule type="duplicateValues" dxfId="181" priority="1222"/>
  </conditionalFormatting>
  <conditionalFormatting sqref="AU70:AU73">
    <cfRule type="duplicateValues" dxfId="180" priority="1258"/>
  </conditionalFormatting>
  <conditionalFormatting sqref="AU71">
    <cfRule type="duplicateValues" dxfId="179" priority="1223"/>
  </conditionalFormatting>
  <conditionalFormatting sqref="AU72">
    <cfRule type="duplicateValues" dxfId="178" priority="1224"/>
  </conditionalFormatting>
  <conditionalFormatting sqref="AU79">
    <cfRule type="duplicateValues" dxfId="177" priority="661"/>
  </conditionalFormatting>
  <conditionalFormatting sqref="AU80:AU96">
    <cfRule type="duplicateValues" dxfId="176" priority="1810"/>
  </conditionalFormatting>
  <conditionalFormatting sqref="AU97">
    <cfRule type="duplicateValues" dxfId="175" priority="25"/>
  </conditionalFormatting>
  <conditionalFormatting sqref="AU98">
    <cfRule type="duplicateValues" dxfId="174" priority="6"/>
  </conditionalFormatting>
  <conditionalFormatting sqref="AU99">
    <cfRule type="duplicateValues" dxfId="173" priority="435"/>
  </conditionalFormatting>
  <conditionalFormatting sqref="AU102">
    <cfRule type="duplicateValues" dxfId="172" priority="650"/>
  </conditionalFormatting>
  <conditionalFormatting sqref="AU105">
    <cfRule type="duplicateValues" dxfId="171" priority="621"/>
  </conditionalFormatting>
  <conditionalFormatting sqref="AU106">
    <cfRule type="duplicateValues" dxfId="170" priority="653"/>
  </conditionalFormatting>
  <conditionalFormatting sqref="AU107">
    <cfRule type="duplicateValues" dxfId="169" priority="620"/>
  </conditionalFormatting>
  <conditionalFormatting sqref="AU109">
    <cfRule type="duplicateValues" dxfId="168" priority="1272"/>
  </conditionalFormatting>
  <conditionalFormatting sqref="AU110">
    <cfRule type="duplicateValues" dxfId="167" priority="619"/>
  </conditionalFormatting>
  <conditionalFormatting sqref="AU111:AU112">
    <cfRule type="duplicateValues" dxfId="166" priority="433"/>
  </conditionalFormatting>
  <conditionalFormatting sqref="AU114">
    <cfRule type="duplicateValues" dxfId="165" priority="432"/>
  </conditionalFormatting>
  <conditionalFormatting sqref="AU115">
    <cfRule type="duplicateValues" dxfId="164" priority="617"/>
    <cfRule type="duplicateValues" dxfId="163" priority="471"/>
  </conditionalFormatting>
  <conditionalFormatting sqref="AU116">
    <cfRule type="duplicateValues" dxfId="162" priority="36"/>
  </conditionalFormatting>
  <conditionalFormatting sqref="AU117:AU121">
    <cfRule type="duplicateValues" dxfId="161" priority="616"/>
  </conditionalFormatting>
  <conditionalFormatting sqref="AU119">
    <cfRule type="duplicateValues" dxfId="160" priority="2095"/>
    <cfRule type="duplicateValues" dxfId="159" priority="1216"/>
  </conditionalFormatting>
  <conditionalFormatting sqref="AU121">
    <cfRule type="duplicateValues" dxfId="158" priority="65"/>
    <cfRule type="duplicateValues" dxfId="157" priority="66"/>
  </conditionalFormatting>
  <conditionalFormatting sqref="AU122 AU124">
    <cfRule type="duplicateValues" dxfId="156" priority="652"/>
  </conditionalFormatting>
  <conditionalFormatting sqref="AU123">
    <cfRule type="duplicateValues" dxfId="155" priority="37"/>
  </conditionalFormatting>
  <conditionalFormatting sqref="AU125">
    <cfRule type="duplicateValues" dxfId="154" priority="430"/>
  </conditionalFormatting>
  <conditionalFormatting sqref="AU126">
    <cfRule type="duplicateValues" dxfId="153" priority="82"/>
  </conditionalFormatting>
  <conditionalFormatting sqref="AU127">
    <cfRule type="duplicateValues" dxfId="152" priority="83"/>
  </conditionalFormatting>
  <conditionalFormatting sqref="AU128">
    <cfRule type="duplicateValues" dxfId="151" priority="427"/>
  </conditionalFormatting>
  <conditionalFormatting sqref="AU129 AU131">
    <cfRule type="duplicateValues" dxfId="150" priority="343"/>
  </conditionalFormatting>
  <conditionalFormatting sqref="AU130">
    <cfRule type="duplicateValues" dxfId="149" priority="50"/>
  </conditionalFormatting>
  <conditionalFormatting sqref="AU142 AU134 AU103 AU100">
    <cfRule type="duplicateValues" dxfId="148" priority="5"/>
  </conditionalFormatting>
  <conditionalFormatting sqref="AU145">
    <cfRule type="duplicateValues" dxfId="147" priority="35"/>
    <cfRule type="duplicateValues" dxfId="146" priority="34"/>
  </conditionalFormatting>
  <conditionalFormatting sqref="AU165:AU166">
    <cfRule type="duplicateValues" dxfId="145" priority="49"/>
    <cfRule type="duplicateValues" dxfId="144" priority="48"/>
  </conditionalFormatting>
  <conditionalFormatting sqref="AU168">
    <cfRule type="duplicateValues" dxfId="143" priority="39"/>
    <cfRule type="duplicateValues" dxfId="142" priority="38"/>
  </conditionalFormatting>
  <conditionalFormatting sqref="AU171">
    <cfRule type="duplicateValues" dxfId="141" priority="29"/>
    <cfRule type="duplicateValues" dxfId="140" priority="28"/>
  </conditionalFormatting>
  <conditionalFormatting sqref="AU184">
    <cfRule type="duplicateValues" dxfId="139" priority="41"/>
    <cfRule type="duplicateValues" dxfId="138" priority="40"/>
  </conditionalFormatting>
  <conditionalFormatting sqref="AU244 AU183 AU165 AU151">
    <cfRule type="duplicateValues" dxfId="137" priority="4"/>
  </conditionalFormatting>
  <conditionalFormatting sqref="AU326">
    <cfRule type="duplicateValues" dxfId="136" priority="42"/>
    <cfRule type="duplicateValues" dxfId="135" priority="43"/>
  </conditionalFormatting>
  <conditionalFormatting sqref="AU405">
    <cfRule type="duplicateValues" dxfId="134" priority="27"/>
    <cfRule type="duplicateValues" dxfId="133" priority="26"/>
  </conditionalFormatting>
  <conditionalFormatting sqref="AU474">
    <cfRule type="duplicateValues" dxfId="132" priority="33"/>
    <cfRule type="duplicateValues" dxfId="131" priority="32"/>
  </conditionalFormatting>
  <conditionalFormatting sqref="AU477">
    <cfRule type="duplicateValues" dxfId="130" priority="47"/>
    <cfRule type="duplicateValues" dxfId="129" priority="46"/>
  </conditionalFormatting>
  <conditionalFormatting sqref="AU490:AU520 AU78 AU34 AU101 AU104 AU129 AU131:AU133 AU167 AU478:AU488 AU522:AU548 AU327:AU390 AU185:AU243 AU169:AU170 AU146:AU150 AU475:AU476 AU550:AU573 AU172:AU182 AU406:AU410 AU135:AU141 AU143:AU144 AU152:AU164 AU245:AU325 AU393:AU404 AU412:AU421 AU423:AU436 AU438:AU473 AU575:AU586 AU588:AU589 AU591:AU618 AU620:AU939">
    <cfRule type="duplicateValues" dxfId="128" priority="1277"/>
  </conditionalFormatting>
  <conditionalFormatting sqref="AU521">
    <cfRule type="duplicateValues" dxfId="127" priority="44"/>
    <cfRule type="duplicateValues" dxfId="126" priority="45"/>
  </conditionalFormatting>
  <conditionalFormatting sqref="AU549">
    <cfRule type="duplicateValues" dxfId="125" priority="30"/>
    <cfRule type="duplicateValues" dxfId="124" priority="31"/>
  </conditionalFormatting>
  <conditionalFormatting sqref="AU619 AU590 AU587 AU574">
    <cfRule type="duplicateValues" dxfId="123" priority="2"/>
  </conditionalFormatting>
  <conditionalFormatting sqref="AU940:AU1048576 AU1:AU4 AU74:AU77 AU36:AU37 AU61 AU12:AU15 AU63 AU69 AU17 AU27:AU31 AU113 AU19:AU20 AU22:AU25 AU50:AU56 AU39:AU48 AU66:AU67 AU117:AU118">
    <cfRule type="duplicateValues" dxfId="122" priority="1326"/>
  </conditionalFormatting>
  <conditionalFormatting sqref="AV108">
    <cfRule type="duplicateValues" dxfId="121" priority="342"/>
  </conditionalFormatting>
  <conditionalFormatting sqref="AW108">
    <cfRule type="duplicateValues" dxfId="120" priority="341"/>
  </conditionalFormatting>
  <conditionalFormatting sqref="AX108">
    <cfRule type="duplicateValues" dxfId="119" priority="340"/>
  </conditionalFormatting>
  <conditionalFormatting sqref="AY108">
    <cfRule type="duplicateValues" dxfId="118" priority="339"/>
  </conditionalFormatting>
  <conditionalFormatting sqref="AZ108">
    <cfRule type="duplicateValues" dxfId="117" priority="338"/>
  </conditionalFormatting>
  <conditionalFormatting sqref="BA108">
    <cfRule type="duplicateValues" dxfId="116" priority="337"/>
  </conditionalFormatting>
  <conditionalFormatting sqref="BA671:BB671">
    <cfRule type="cellIs" dxfId="115" priority="106" operator="between">
      <formula>36526</formula>
      <formula>402133</formula>
    </cfRule>
  </conditionalFormatting>
  <conditionalFormatting sqref="BA680:BB680">
    <cfRule type="cellIs" dxfId="114" priority="103" operator="between">
      <formula>36526</formula>
      <formula>402133</formula>
    </cfRule>
  </conditionalFormatting>
  <conditionalFormatting sqref="BA715:BB715">
    <cfRule type="cellIs" dxfId="113" priority="100" operator="between">
      <formula>36526</formula>
      <formula>402133</formula>
    </cfRule>
  </conditionalFormatting>
  <conditionalFormatting sqref="BA725:BB725">
    <cfRule type="cellIs" dxfId="112" priority="96" operator="between">
      <formula>36526</formula>
      <formula>402133</formula>
    </cfRule>
  </conditionalFormatting>
  <conditionalFormatting sqref="BB108">
    <cfRule type="duplicateValues" dxfId="111" priority="336"/>
  </conditionalFormatting>
  <conditionalFormatting sqref="BB456:BC456">
    <cfRule type="cellIs" dxfId="110" priority="632" operator="between">
      <formula>36526</formula>
      <formula>402133</formula>
    </cfRule>
  </conditionalFormatting>
  <conditionalFormatting sqref="BC108">
    <cfRule type="duplicateValues" dxfId="109" priority="335"/>
  </conditionalFormatting>
  <conditionalFormatting sqref="BD1:BD155 BA180:BB180">
    <cfRule type="cellIs" dxfId="108" priority="122" operator="between">
      <formula>36526</formula>
      <formula>402133</formula>
    </cfRule>
  </conditionalFormatting>
  <conditionalFormatting sqref="BD156">
    <cfRule type="cellIs" dxfId="107" priority="67" operator="greaterThan">
      <formula>43831</formula>
    </cfRule>
  </conditionalFormatting>
  <conditionalFormatting sqref="BD157:BD461 BD463:BD480 BD482:BD548 BD550 BD552:BD593 BD595:BD1048576">
    <cfRule type="cellIs" dxfId="106" priority="72" operator="between">
      <formula>36526</formula>
      <formula>402133</formula>
    </cfRule>
  </conditionalFormatting>
  <conditionalFormatting sqref="BD481">
    <cfRule type="cellIs" dxfId="105" priority="68" operator="greaterThan">
      <formula>43831</formula>
    </cfRule>
  </conditionalFormatting>
  <conditionalFormatting sqref="BE31">
    <cfRule type="cellIs" dxfId="104" priority="592" operator="between">
      <formula>36526</formula>
      <formula>402133</formula>
    </cfRule>
  </conditionalFormatting>
  <conditionalFormatting sqref="BE33">
    <cfRule type="cellIs" dxfId="103" priority="550" operator="between">
      <formula>36526</formula>
      <formula>402133</formula>
    </cfRule>
  </conditionalFormatting>
  <conditionalFormatting sqref="BE38">
    <cfRule type="cellIs" dxfId="102" priority="548" operator="between">
      <formula>36526</formula>
      <formula>402133</formula>
    </cfRule>
  </conditionalFormatting>
  <conditionalFormatting sqref="BE43">
    <cfRule type="cellIs" dxfId="101" priority="245" operator="between">
      <formula>36526</formula>
      <formula>402133</formula>
    </cfRule>
  </conditionalFormatting>
  <conditionalFormatting sqref="BE46">
    <cfRule type="cellIs" dxfId="100" priority="129" operator="between">
      <formula>36526</formula>
      <formula>402133</formula>
    </cfRule>
  </conditionalFormatting>
  <conditionalFormatting sqref="BE50">
    <cfRule type="cellIs" dxfId="99" priority="243" operator="between">
      <formula>36526</formula>
      <formula>402133</formula>
    </cfRule>
  </conditionalFormatting>
  <conditionalFormatting sqref="BE97">
    <cfRule type="cellIs" dxfId="98" priority="63" operator="between">
      <formula>36526</formula>
      <formula>402133</formula>
    </cfRule>
  </conditionalFormatting>
  <conditionalFormatting sqref="BE103">
    <cfRule type="cellIs" dxfId="97" priority="242" operator="between">
      <formula>36526</formula>
      <formula>402133</formula>
    </cfRule>
  </conditionalFormatting>
  <conditionalFormatting sqref="BE110">
    <cfRule type="cellIs" dxfId="96" priority="241" operator="between">
      <formula>36526</formula>
      <formula>402133</formula>
    </cfRule>
  </conditionalFormatting>
  <conditionalFormatting sqref="BE112">
    <cfRule type="cellIs" dxfId="95" priority="80" operator="between">
      <formula>36526</formula>
      <formula>402133</formula>
    </cfRule>
  </conditionalFormatting>
  <conditionalFormatting sqref="BE124:BE125">
    <cfRule type="cellIs" dxfId="94" priority="240" operator="between">
      <formula>36526</formula>
      <formula>402133</formula>
    </cfRule>
  </conditionalFormatting>
  <conditionalFormatting sqref="BE127">
    <cfRule type="cellIs" dxfId="93" priority="1" operator="between">
      <formula>36526</formula>
      <formula>402133</formula>
    </cfRule>
  </conditionalFormatting>
  <conditionalFormatting sqref="BE136:BE137">
    <cfRule type="cellIs" dxfId="92" priority="239" operator="between">
      <formula>36526</formula>
      <formula>402133</formula>
    </cfRule>
  </conditionalFormatting>
  <conditionalFormatting sqref="BE141">
    <cfRule type="cellIs" dxfId="91" priority="127" operator="between">
      <formula>36526</formula>
      <formula>402133</formula>
    </cfRule>
  </conditionalFormatting>
  <conditionalFormatting sqref="BE145">
    <cfRule type="cellIs" dxfId="90" priority="70" operator="between">
      <formula>36526</formula>
      <formula>402133</formula>
    </cfRule>
  </conditionalFormatting>
  <conditionalFormatting sqref="BE147">
    <cfRule type="cellIs" dxfId="89" priority="238" operator="between">
      <formula>36526</formula>
      <formula>402133</formula>
    </cfRule>
  </conditionalFormatting>
  <conditionalFormatting sqref="BE149:BE153">
    <cfRule type="cellIs" dxfId="88" priority="79" operator="between">
      <formula>36526</formula>
      <formula>402133</formula>
    </cfRule>
  </conditionalFormatting>
  <conditionalFormatting sqref="BE157">
    <cfRule type="cellIs" dxfId="87" priority="62" operator="between">
      <formula>36526</formula>
      <formula>402133</formula>
    </cfRule>
  </conditionalFormatting>
  <conditionalFormatting sqref="BE159">
    <cfRule type="cellIs" dxfId="86" priority="78" operator="between">
      <formula>36526</formula>
      <formula>402133</formula>
    </cfRule>
  </conditionalFormatting>
  <conditionalFormatting sqref="BE163">
    <cfRule type="cellIs" dxfId="85" priority="61" operator="between">
      <formula>36526</formula>
      <formula>402133</formula>
    </cfRule>
  </conditionalFormatting>
  <conditionalFormatting sqref="BE168">
    <cfRule type="cellIs" dxfId="84" priority="52" operator="between">
      <formula>36526</formula>
      <formula>402133</formula>
    </cfRule>
  </conditionalFormatting>
  <conditionalFormatting sqref="BE170">
    <cfRule type="cellIs" dxfId="83" priority="541" operator="between">
      <formula>36526</formula>
      <formula>402133</formula>
    </cfRule>
  </conditionalFormatting>
  <conditionalFormatting sqref="BE175:BE177">
    <cfRule type="cellIs" dxfId="82" priority="125" operator="between">
      <formula>36526</formula>
      <formula>402133</formula>
    </cfRule>
  </conditionalFormatting>
  <conditionalFormatting sqref="BE182:BE183">
    <cfRule type="cellIs" dxfId="81" priority="58" operator="between">
      <formula>36526</formula>
      <formula>402133</formula>
    </cfRule>
  </conditionalFormatting>
  <conditionalFormatting sqref="BE206">
    <cfRule type="cellIs" dxfId="80" priority="24" operator="between">
      <formula>36526</formula>
      <formula>402133</formula>
    </cfRule>
  </conditionalFormatting>
  <conditionalFormatting sqref="BE216">
    <cfRule type="cellIs" dxfId="79" priority="224" operator="between">
      <formula>36526</formula>
      <formula>402133</formula>
    </cfRule>
  </conditionalFormatting>
  <conditionalFormatting sqref="BE220">
    <cfRule type="cellIs" dxfId="78" priority="116" operator="between">
      <formula>36526</formula>
      <formula>402133</formula>
    </cfRule>
  </conditionalFormatting>
  <conditionalFormatting sqref="BE224">
    <cfRule type="cellIs" dxfId="77" priority="76" operator="between">
      <formula>36526</formula>
      <formula>402133</formula>
    </cfRule>
  </conditionalFormatting>
  <conditionalFormatting sqref="BE240:BE241">
    <cfRule type="cellIs" dxfId="76" priority="221" operator="between">
      <formula>36526</formula>
      <formula>402133</formula>
    </cfRule>
  </conditionalFormatting>
  <conditionalFormatting sqref="BE258">
    <cfRule type="cellIs" dxfId="75" priority="676" operator="between">
      <formula>36526</formula>
      <formula>402133</formula>
    </cfRule>
  </conditionalFormatting>
  <conditionalFormatting sqref="BE262">
    <cfRule type="cellIs" dxfId="74" priority="75" operator="between">
      <formula>36526</formula>
      <formula>402133</formula>
    </cfRule>
  </conditionalFormatting>
  <conditionalFormatting sqref="BE264">
    <cfRule type="cellIs" dxfId="73" priority="220" operator="between">
      <formula>36526</formula>
      <formula>402133</formula>
    </cfRule>
  </conditionalFormatting>
  <conditionalFormatting sqref="BE266">
    <cfRule type="cellIs" dxfId="72" priority="219" operator="between">
      <formula>36526</formula>
      <formula>402133</formula>
    </cfRule>
  </conditionalFormatting>
  <conditionalFormatting sqref="BE268">
    <cfRule type="cellIs" dxfId="71" priority="74" operator="between">
      <formula>36526</formula>
      <formula>402133</formula>
    </cfRule>
  </conditionalFormatting>
  <conditionalFormatting sqref="BE273">
    <cfRule type="cellIs" dxfId="70" priority="218" operator="between">
      <formula>36526</formula>
      <formula>402133</formula>
    </cfRule>
  </conditionalFormatting>
  <conditionalFormatting sqref="BE275">
    <cfRule type="cellIs" dxfId="69" priority="217" operator="between">
      <formula>36526</formula>
      <formula>402133</formula>
    </cfRule>
  </conditionalFormatting>
  <conditionalFormatting sqref="BE279">
    <cfRule type="cellIs" dxfId="68" priority="672" operator="between">
      <formula>36526</formula>
      <formula>402133</formula>
    </cfRule>
  </conditionalFormatting>
  <conditionalFormatting sqref="BE326">
    <cfRule type="cellIs" dxfId="67" priority="216" operator="between">
      <formula>36526</formula>
      <formula>402133</formula>
    </cfRule>
  </conditionalFormatting>
  <conditionalFormatting sqref="BE329:BE330">
    <cfRule type="cellIs" dxfId="66" priority="51" operator="between">
      <formula>36526</formula>
      <formula>402133</formula>
    </cfRule>
  </conditionalFormatting>
  <conditionalFormatting sqref="BE333">
    <cfRule type="cellIs" dxfId="65" priority="529" operator="between">
      <formula>36526</formula>
      <formula>402133</formula>
    </cfRule>
  </conditionalFormatting>
  <conditionalFormatting sqref="BE341">
    <cfRule type="cellIs" dxfId="64" priority="528" operator="between">
      <formula>36526</formula>
      <formula>402133</formula>
    </cfRule>
  </conditionalFormatting>
  <conditionalFormatting sqref="BE347">
    <cfRule type="cellIs" dxfId="63" priority="523" operator="between">
      <formula>36526</formula>
      <formula>402133</formula>
    </cfRule>
  </conditionalFormatting>
  <conditionalFormatting sqref="BE361">
    <cfRule type="cellIs" dxfId="62" priority="524" operator="between">
      <formula>36526</formula>
      <formula>402133</formula>
    </cfRule>
  </conditionalFormatting>
  <conditionalFormatting sqref="BE364">
    <cfRule type="cellIs" dxfId="61" priority="214" operator="between">
      <formula>36526</formula>
      <formula>402133</formula>
    </cfRule>
  </conditionalFormatting>
  <conditionalFormatting sqref="BE368:BE369">
    <cfRule type="cellIs" dxfId="60" priority="213" operator="between">
      <formula>36526</formula>
      <formula>402133</formula>
    </cfRule>
  </conditionalFormatting>
  <conditionalFormatting sqref="BE373">
    <cfRule type="cellIs" dxfId="59" priority="212" operator="between">
      <formula>36526</formula>
      <formula>402133</formula>
    </cfRule>
  </conditionalFormatting>
  <conditionalFormatting sqref="BE378">
    <cfRule type="cellIs" dxfId="58" priority="211" operator="between">
      <formula>36526</formula>
      <formula>402133</formula>
    </cfRule>
  </conditionalFormatting>
  <conditionalFormatting sqref="BE386">
    <cfRule type="cellIs" dxfId="57" priority="57" operator="between">
      <formula>36526</formula>
      <formula>402133</formula>
    </cfRule>
  </conditionalFormatting>
  <conditionalFormatting sqref="BE406">
    <cfRule type="cellIs" dxfId="56" priority="56" operator="between">
      <formula>36526</formula>
      <formula>402133</formula>
    </cfRule>
  </conditionalFormatting>
  <conditionalFormatting sqref="BE411:BE412">
    <cfRule type="cellIs" dxfId="55" priority="210" operator="between">
      <formula>36526</formula>
      <formula>402133</formula>
    </cfRule>
  </conditionalFormatting>
  <conditionalFormatting sqref="BE414">
    <cfRule type="cellIs" dxfId="54" priority="21" operator="between">
      <formula>36526</formula>
      <formula>402133</formula>
    </cfRule>
  </conditionalFormatting>
  <conditionalFormatting sqref="BE424:BE425">
    <cfRule type="cellIs" dxfId="53" priority="209" operator="between">
      <formula>36526</formula>
      <formula>402133</formula>
    </cfRule>
  </conditionalFormatting>
  <conditionalFormatting sqref="BE432">
    <cfRule type="cellIs" dxfId="52" priority="525" operator="between">
      <formula>36526</formula>
      <formula>402133</formula>
    </cfRule>
  </conditionalFormatting>
  <conditionalFormatting sqref="BE440">
    <cfRule type="cellIs" dxfId="51" priority="17" operator="between">
      <formula>36526</formula>
      <formula>402133</formula>
    </cfRule>
  </conditionalFormatting>
  <conditionalFormatting sqref="BE487">
    <cfRule type="cellIs" dxfId="50" priority="54" operator="between">
      <formula>36526</formula>
      <formula>402133</formula>
    </cfRule>
  </conditionalFormatting>
  <conditionalFormatting sqref="BE512">
    <cfRule type="cellIs" dxfId="49" priority="73" operator="between">
      <formula>36526</formula>
      <formula>402133</formula>
    </cfRule>
  </conditionalFormatting>
  <conditionalFormatting sqref="BE563">
    <cfRule type="cellIs" dxfId="48" priority="53" operator="between">
      <formula>36526</formula>
      <formula>402133</formula>
    </cfRule>
  </conditionalFormatting>
  <conditionalFormatting sqref="BE641:BE642">
    <cfRule type="cellIs" dxfId="47" priority="110" operator="between">
      <formula>36526</formula>
      <formula>402133</formula>
    </cfRule>
  </conditionalFormatting>
  <conditionalFormatting sqref="BE649">
    <cfRule type="cellIs" dxfId="46" priority="109" operator="between">
      <formula>36526</formula>
      <formula>402133</formula>
    </cfRule>
  </conditionalFormatting>
  <conditionalFormatting sqref="BE654">
    <cfRule type="cellIs" dxfId="45" priority="108" operator="between">
      <formula>36526</formula>
      <formula>402133</formula>
    </cfRule>
  </conditionalFormatting>
  <conditionalFormatting sqref="BE659">
    <cfRule type="cellIs" dxfId="44" priority="107" operator="between">
      <formula>36526</formula>
      <formula>402133</formula>
    </cfRule>
  </conditionalFormatting>
  <conditionalFormatting sqref="BE679">
    <cfRule type="cellIs" dxfId="43" priority="105" operator="between">
      <formula>36526</formula>
      <formula>402133</formula>
    </cfRule>
  </conditionalFormatting>
  <conditionalFormatting sqref="BE696">
    <cfRule type="cellIs" dxfId="42" priority="102" operator="between">
      <formula>36526</formula>
      <formula>402133</formula>
    </cfRule>
  </conditionalFormatting>
  <conditionalFormatting sqref="BE716:BE717">
    <cfRule type="cellIs" dxfId="41" priority="99" operator="between">
      <formula>36526</formula>
      <formula>402133</formula>
    </cfRule>
  </conditionalFormatting>
  <conditionalFormatting sqref="BE723">
    <cfRule type="cellIs" dxfId="40" priority="98" operator="between">
      <formula>36526</formula>
      <formula>402133</formula>
    </cfRule>
  </conditionalFormatting>
  <conditionalFormatting sqref="BG1:BG873 BG875:BG1048576">
    <cfRule type="containsText" dxfId="39" priority="1420" operator="containsText" text="FINALIZADO">
      <formula>NOT(ISERROR(SEARCH("FINALIZADO",BG1)))</formula>
    </cfRule>
  </conditionalFormatting>
  <conditionalFormatting sqref="BI1:BI1048576">
    <cfRule type="cellIs" dxfId="38" priority="195" operator="equal">
      <formula>"AA"</formula>
    </cfRule>
    <cfRule type="cellIs" dxfId="37" priority="194" operator="equal">
      <formula>"INDENIZAÇÃO"</formula>
    </cfRule>
  </conditionalFormatting>
  <conditionalFormatting sqref="BI5:BI1179">
    <cfRule type="cellIs" dxfId="36" priority="196" operator="equal">
      <formula>"FINALIZADO"</formula>
    </cfRule>
  </conditionalFormatting>
  <dataValidations count="2">
    <dataValidation allowBlank="1" showInputMessage="1" showErrorMessage="1" sqref="AT73 AT57:AT59 AT256:AT258 AT251 AT266 AT273 BA541:BB541 BD650:BD652 AT411:AT412 BA515:BB515 AT240 AT268 AY356:AY360 AY210:AY212 AT364 BA501 Z144:Z145 AV6:BD6 AT263 AZ256:BD256 AV515:AY515 AV504:BA505 AX536:BD536 AZ273 BA556:BB556 AZ100:BD100 BB533:BC533 Z155 AT360:AT362 AV419 AY214:AY215 AT199:AT201 Z173 AT215 AT206:AT208 AT270 AV61:AW62 Z426 AT227:AT229 AZ577 AZ640:BB640 BD523:BD526 Z417 AY597 AT254 AV453:BA453 AY600:AZ600 BA417:BA426 AI61:AJ61 BA270:BA274 BB490:BB507 AV334:AW339 Z38:Z41 AV527:BD527 AX249:AY254 AT158 AV561:AV562 BD695 AI625:AI630 E5:E808 AV628 Z36 AV200:BA200 Z11:Z16 Z470:Z474 BH5:BH1754 AV299 Z108 Z110 Z120:Z121 BA18:BB20 Z137 Z140 Z142 Z303:Z305 AX372 AV480:AW480 AV39:AW40 AX556:AY556 AY271:AY276 AX269:AZ269 BA296:BC297 Z264:Z298 Z307:Z314 Z318 AV249:AW251 BA201:BA202 BD528:BD535 BD488:BD489 AV632:BA632 AY516:BD516 AV22:AW24 AZ394:AZ396 AZ299 AX388:AX390 AX569 AY602:AZ602 AV206 BA522:BD522 AY284:BC288 AV288 AY278:AY282 AV346:AW346 AV351:AV354 BB601:BD601 AV26:AW28 AV30:AW32 AV37:AW37 AV66:AW69 AV71:AW75 AV77:AW82 AV86:AW86 AV90:AW94 AW181:AW184 AV198 BN315:BP319 AV207:AW208 AV666 AV228:AV231 AV234:AX234 AV253:AW254 AV256:AV260 AV270:AW272 AV274:AX274 AV281:AW281 AV283:AV286 AV300:AW302 AI726:AI869 AX300:BC311 AV171:AW174 AV275:AV279 AV332:AW332 AX346:BA349 AV341:AV344 AV187:AW188 AV348 AV210:AW211 AV362:AW362 AV372 AV190:AW197 AZ387:AZ390 AV454 AZ270:AZ271 AV737 BD736:BE736 AX577 BE582:BE583 BD593:BE593 BE596 BD602:BE602 BE608:BE610 BD686:BE686 BD692:BE692 BD694:BE694 Z331:Z341 Z476:Z477 BB407:BE412 AV470:AX471 AX36:AY42 AW352:AW354 AV10:AV11 AV19:AV20 AW284:AX286 AV25 AV29 AV33 AV36 AV38 AV41 AV60 AV70 AV76 AV83:AV85 AV87:AV89 AT167 AV185:AW185 AV199:AW199 AV232:AW232 AW278:AW279 AV294:AW294 AV290:AV293 AW343:AW344 AV349:AW349 AV266:AV268 AW376:AW381 AV511 AV517 AV532 AV541 AV557 AV566:AV567 AV569 AV577 AV367:AW370 AV201:AW202 AV597 AV649:AV650 AX472:AY472 BD673:BD678 AV695:AV696 BB577:BD577 BA277:BA282 BB269:BD269 AZ275:AZ282 AX270:AX273 AX394:AX403 AY406:AY407 AV21:BE21 BD603:BD605 AV261:AX261 AX276:AX283 Z450:Z452 BD623 AV18:AX18 AY532:AZ532 AY540:BE540 BB295 AX663:BA663 AT163:AT165 BD767:BD787 AY268:BB268 AV357:AW360 AY5:BD5 AV5:AW5 AY410:AY415 BD662 AV500:AZ501 BD625:BD626 AY635:AZ635 AY676:AZ676 AX129:AX144 AZ262:AZ266 AV582:BB582 AX717:BB717 BA675:BB675 Z444:Z446 AV458:BA460 AZ259:BD259 AW257:AX260 AY483:BD483 BA289:BB294 BD173:BD180 AV463:AW463 Z698 AW147:AW160 AV465:AW467 AY432:BA433 AW432:AX432 BD571:BD572 AV42:AW42 Z498:Z500 AV49:AW59 AV46:AY48 AV64:AX65 AX480:AZ481 AV608:AV610 BA101:BD101 AV43 BD198:BE203 BA196 AV240:AW247 AV236:AW238 AZ246:AZ247 AZ249:AZ253 AX239:AY247 AY256:AY260 BA210:BD211 AV304:AW311 AX351:AZ354 BA350:BA354 BA173:BA178 AV355:BE355 BB45:BB49 AV364:AW364 AY397:AZ403 AZ406:BE406 AV441:AV442 AW134:AW144 AV421:AW428 AV375:AV381 BC289:BC295 BD629:BD634 BD636 AV638:BE638 AY197:BE197 AY262:AY267 AV95:AV107 AX219:AX223 AV213:AW215 AV216 AV551 BA573:BD574 AY330:BA345 BA260:BD260 BD491:BE511 BN112:BQ112 Z113:Z114 Z104:Z106 AY45:BA45 AY152:AY155 AX109:AY110 Z245:Z262 Z181:Z215 AT247:AT249 AI670 Z430:Z432 Z434:Z436 Z397:Z415 Z454:Z455 Z458:Z460 Z462 Z465 Z467 Z484:Z487 Z489:Z491 Z493:Z495 AX19 Z502:Z503 Z505 AX233 AZ261:BE261 AZ369:BA369 AI62:AI474 AX659 AV571:BA572 AV204:AX205 AV429:BA429 AX356:AX364 BB609:BC609 AY486 AX104:AY107 AZ103:BC107 AY611:BC611 AX201:AZ203 AX552 AX50:BC62 AV329:AV330 AX207:AX215 AV161:AW164 AV657 AV262 AV326:AW328 AX266 AV659 BA387:BA402 AW441:AX441 AW267:AX267 AY427:BA428 BN18 BD131 BA224:BA229 BN193:BN194 AZ423:AZ426 AV44:AY44 AZ46:BA49 BC145:BC146 Z440 AX176:AX178 AZ221 AY219:AY221 AX238:AZ238 BA232:BA247 AX225:AX227 BC112:BE112 AZ239:AZ244 AY329:AZ329 AY362 AV324:BA325 AX484:AY485 AY363:BB364 AY372:BA373 BD666:BD670 BB578:BB581 AZ36:BB44 AZ102:BE102 BC298:BC299 AY146:AY147 AY466 BD724 AV521:BE521 Z6 Z8:Z9 Z18:Z20 Z22 Z24:Z34 Z43:Z52 Z54:Z65 Z67:Z102 Z178:Z179 Z391:Z395 Z300:Z301 Z321:Z329 O94:V94 BN154:BQ154 AY222:BA223 AV313:AX313 AZ356:BB362 AZ437 AY417 AV494:BA497 BB236:BD247 BE256:BE260 AV482:BB482 AX114:BE114 BB200:BC203 AZ212:BD215 AV217:BE218 AZ224:AZ237 BB270:BC283 AY368:BE368 AX366:BE367 Z420 AU420:AW420 AY313:BA314 AX369:AX370 AY370:BA370 AV383:AW396 AV431:AV433 BA438:BA439 AV437:AX439 AY441:BA443 AV446:BA446 AV448:BA450 AI612:AI615 AI617:AI618 AI620:AI621 AI623 AI632:AI634 AI636 AI638:AI639 AI643:AI648 AI650:AI652 AI655:AI656 AI660:AI668 AI672:AI714 AI718:AI722 AI724 AV296:AV297 AV177:AW178 Z129:Z130 BN376:BP376 AZ109:BC111 AZ289:AZ297 AV583:AV587 AV663 AY18:AY20 AY224:AY231 BC579 BD356:BE365 BP155:BP156 AZ156 AX323:BB323 BA480 AV34:BD35 AV248:BE248 AX198:BC199 BD270:BD272 BE22:BE49 BC36:BD49 BD225:BD235 BN173:BQ173 AX22:BD33 AZ219:BE220 AY63:BC65 AV490:BA491 BD537:BD539 BD648:BE648 BA262:BB267 AX181:AX185 AX511:BA511 BB156:BC156 BO208:BQ208 BN206:BN208 BN84:BN90 BN95:BQ95 BD129 BN136:BQ136 BN139:BQ139 BN146:BQ146 BN355:BQ355 BN300:BQ300 BN197:BQ197 BN192:BQ192 AV462 BN622:BQ622 AZ16:AZ20 AZ112:AZ113 AY419:AY426 BC488:BC507 BA16:BB16 BA257:BD258 BB569:BD569 AY653:BC653 BD50:BE64 BB224:BC235 BB17 BD103:BE111 BD564:BE566 BN161:BQ162 AY290:AY297 AV219:AW226 AY233:AY237 AX235:AX237 AV264:AX264 AX288:AX299 AV474:AX475 BO84:BQ85 BO87:BQ89 BN188:BQ190 AV594:AV595 AV464 AZ145:AZ146 AW415:AW417 AY157:AY158 AV318:BA318 AW10:BC10 BC16:BC20 AZ8:BB9 BB66:BB96 AY216:BE216 AV255:BE255 BA249:BE254 AV312:BC312 BC356:BC364 AV365:BC365 AW168:AW169 BD513:BD515 AV554:BC554 AV544:BC545 AV410:AX412 AY564:BC565 AX568:BE568 BD567 AV575:BE576 BD578 BB600:BE600 AY606:BE607 BD597:BD599 BA613:BD613 BD612 BD614:BD615 BD617:BD621 AV627:BE627 BB630:BC632 BE630:BE632 AV634:BC634 BE634 AV646:BE646 BD643:BD645 BD647 AY657:BD657 BB661:BD661 BD660 BB665:BE665 BD664 AV672:BD672 BB691:BE691 BD684:BE684 BD681:BD683 BD685 BD687:BD690 BD693 BB697:BD697 BD698:BD714 BD718:BD722 BB764:BE764 BD726:BD735 BD737:BD763 BD765 AX789:BD789 BD482 BA113:BE113 AX512:BE512 BD224:BE224 BB221:BE223 BE225:BE247 BE269:BE272 BC262:BE268 AY205:BD209 AY298:BB298 BD7:BD20 BA146:BB146 BP20 BP35 BP42 BP44:BP45 BP49 BP65 BP109 BN102:BP102 BP122 BP124:BP125 BP128 BP134:BP135 BP137 BP148:BP153 BP196 BP191 BP179:BP182 BP174:BP176 BP167 AV320:AX322 BB313:BC318 AY181:BD181 BP329 AV413:AV417 AV455:BA456 BB157:BE158 AK6:AP373 BN236:BQ236 BN246:BP246 BN248:BQ248 BN252:BP252 BN254:BP254 BN257:BP257 BN270:BP270 BN295:BP295 BN342:BP342 BN350:BP350 BN391:BP391 BN399:BP399 BN428:BP428 BN717:BQ717 AX563:BE563 AZ147:BC155 AW587 AW595 AV483:AV488 AW484:AW488 AX487:AX488 AZ488:BB488 AX656:BC656 AX180:BA180 BD587:BD592 AZ410:AZ412 AZ551:BD551 AY487:BD487 AV406:AX406 AV129:AV132 AX187:AX197 AX326:AX345 BE551:BE561 AZ173:AZ179 BD790:BD806 BD580:BD585 BB369:BE380 BE487:BE489 BD655 BE206:BE215 BN8:BQ9 BN15 BN98:BN99 BN113 BN147 BN156:BO156 BN159:BQ159 BN179:BO179 BN200:BQ200 BN204:BQ204 BN210:BQ210 BN212:BQ212 BN215:BQ215 BN219:BQ219 Z343:Z384 AX374:AX386 AV126:AY128 Z241:Z243 AV134:AV160 AX123:AY125 BD552:BD561 BO17:BQ17 BO206:BQ206 BO153 AV180:AV184 AY136:AY139 AY375:AY396 AZ415:AZ421 BA408:BA412 AV109:AW114 AV116:AW125 AW96:AW107 AV165:AV170 BE66:BE101 AY160:BD160 AX117:AY121 AW129:AW131 AY473:BA475 AX67:AX101 BD159:BE159 AZ157:BA159 BD415:BE458 AY204:BE204 AW166 BB98:BB99 AX146:AX174 BQ427 AV398:AW405 BA182:BA194 AX465:AX468 AY471 AV477:AX478 BD517:BD520 BB468:BB480 AZ374:AZ381 BA374:BA380 AX404:BA405 BB455:BB461 AI476:AI610 BE5:BE20 AX462:BD463 AX122:BD122 Z386:Z388 AY319:BC322 BA548:BE548 AY66:AY102 AY129:AY133 AY166:AY178 BD594:BD595 AY522 AY182:AZ196 AZ66:BA99 AZ166:BA172 AV115:BD115 AY326:BA328 BC323:BC354 AZ413:BE414 AX454:BB454 AY477:BA479 AZ470:BA472 BC468:BC482 BB324:BB354 BC441:BC461 BB441:BB453 AV408:AX408 AZ407:AZ408 BC66:BD99 AZ116:BE121 AX594:BC594 BD130:BE130 AZ129:BC140 BN129:BQ129 BN132:BN133 BD132:BE155 AY141:BC144 BN170:BQ170 BD161:BE172 BE173:BE181 BB166:BC180 BB182:BE196 BA381:BE381 AZ382:BC386 BD382:BE405 BB387:BC405 BC417:BC439 AI5:AI60 BA415:BC416 BD459:BD461 BD273:BE354 BE459:BE463 AZ464:BC467 BD478:BD480 BD486:BE486 BE478:BE485 AZ484:BC486 BD484:BD485 BE522:BE539 BE513:BE520 BD542:BE547 AV549:BE549 BD550:BE550 AY562:BE562 AX586:BE586 BD809:BD979 AV807:BE808 BD464:BE477 BO193:BP193 BQ96 BQ153 BQ157 BQ179 BN221:BQ222 BQ227 BQ238 BQ242 BQ245 BQ261 BQ286 BQ306:BQ308 BQ333 BQ341 BQ352 BQ358 BQ361 BQ387 BQ397 AX431:AZ431 BN224:BP224 BB432:BB439 BB417:BB430 AZ123:BE128 BN171:BP172 BN166:BP166 BN144:BP144 BN141:BP141 BO132:BP132 BN126:BP126 BN123:BP123 BN121:BP121 BN116:BP119 BN97:BP97 BO99:BP99 BN130:BP130 BN169:BP169 BN184:BP184 AI475:AJ475 AK623:AP624 AK618:AP621 AY161:BC165 AX415:AX428 AX574 BN127 BN234:BN235 BN237 BN239:BN240 BN262:BN263 BN265 BN268:BN269 BN272 BN274:BN275 BN278 BN283 BN285 BN289 BN291:BN292 BN296:BN299 BN301:BN302" xr:uid="{42DBC0A4-72CF-48C5-9B14-5B05F91E4FAB}"/>
    <dataValidation type="list" allowBlank="1" showInputMessage="1" showErrorMessage="1" sqref="AE521 AS788:AS839 AS590 AS493:AS497 AS715:AS721 AS653:AS664 AS622:AS629 AS606:AS613 AS579:AS587 AS560:AS577 AS453:AS456 AS431:AS433 AS437:AS443 AS446:AS450 AS619:AS620 AS470:AS475 AS462:AS468 AS500:AS501 AS504:AS505 AS511:AS554 AS556:AS558 AS458:AS460 AS602 AS594:AS600 AS616:AS617 AS631:AS632 AS634:AS651 AS666:AS668 AS683 AS690 AS671:AS681 AS705 AS712 AS695:AS701 AS723:AS727 AS729:AS733 AS737 AS740 AS746:AS748 AS754 AS759:AS760 AS766:AS767 AS775 AS778:AS779 AS786 AS318:AS429 AS5:AS314 AU489:BB489 AS477:AS491" xr:uid="{FC338056-ACD7-4B60-BE17-230AB65D0C75}">
      <formula1>#REF!</formula1>
    </dataValidation>
  </dataValidations>
  <pageMargins left="0.511811024" right="0.511811024" top="0.78740157499999996" bottom="0.78740157499999996" header="0.31496062000000002" footer="0.31496062000000002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F900C1E-D2C1-43B6-8C41-B08D589B546A}">
          <x14:formula1>
            <xm:f>VALIDAÇÕES!$C$3:$C$7</xm:f>
          </x14:formula1>
          <xm:sqref>C5:C1048576</xm:sqref>
        </x14:dataValidation>
        <x14:dataValidation type="list" allowBlank="1" showInputMessage="1" showErrorMessage="1" xr:uid="{41A63CC3-73D2-4141-93C9-3724D4355BBC}">
          <x14:formula1>
            <xm:f>VALIDAÇÕES!$B$3</xm:f>
          </x14:formula1>
          <xm:sqref>B5:B1464</xm:sqref>
        </x14:dataValidation>
        <x14:dataValidation type="list" allowBlank="1" showInputMessage="1" showErrorMessage="1" xr:uid="{200F82DC-DC1E-403B-8FE5-58E53E01C811}">
          <x14:formula1>
            <xm:f>VALIDAÇÕES!$D$3:$D$6</xm:f>
          </x14:formula1>
          <xm:sqref>G5:G1048576</xm:sqref>
        </x14:dataValidation>
        <x14:dataValidation type="list" allowBlank="1" showInputMessage="1" showErrorMessage="1" xr:uid="{E9FFCCE5-EB04-46FF-BD96-E526757F68BE}">
          <x14:formula1>
            <xm:f>VALIDAÇÕES!$E$3:$E$5</xm:f>
          </x14:formula1>
          <xm:sqref>H5:H1048576</xm:sqref>
        </x14:dataValidation>
        <x14:dataValidation type="list" allowBlank="1" showInputMessage="1" showErrorMessage="1" xr:uid="{6F67967F-B0FC-48D6-BC25-87798E6F8841}">
          <x14:formula1>
            <xm:f>VALIDAÇÕES!$F$3:$F$6</xm:f>
          </x14:formula1>
          <xm:sqref>I5:I1048576</xm:sqref>
        </x14:dataValidation>
        <x14:dataValidation type="list" allowBlank="1" showInputMessage="1" showErrorMessage="1" xr:uid="{582E1226-9158-4F3A-BBE2-63B16036568A}">
          <x14:formula1>
            <xm:f>VALIDAÇÕES!$G$3:$G$7</xm:f>
          </x14:formula1>
          <xm:sqref>N5:N1048576</xm:sqref>
        </x14:dataValidation>
        <x14:dataValidation type="list" allowBlank="1" showInputMessage="1" showErrorMessage="1" xr:uid="{64A09290-BDC6-4241-82C7-27150B212226}">
          <x14:formula1>
            <xm:f>VALIDAÇÕES!$H$3:$H$4</xm:f>
          </x14:formula1>
          <xm:sqref>M5:M1048576</xm:sqref>
        </x14:dataValidation>
        <x14:dataValidation type="list" allowBlank="1" showInputMessage="1" showErrorMessage="1" xr:uid="{4DBEA879-8498-4505-8453-21318790DA37}">
          <x14:formula1>
            <xm:f>VALIDAÇÕES!$I$3:$I$4</xm:f>
          </x14:formula1>
          <xm:sqref>AD5:AD1048576</xm:sqref>
        </x14:dataValidation>
        <x14:dataValidation type="list" allowBlank="1" showInputMessage="1" showErrorMessage="1" xr:uid="{A474ECF6-3F01-422F-B16D-EC8F120FA693}">
          <x14:formula1>
            <xm:f>VALIDAÇÕES!$J$3:$J$4</xm:f>
          </x14:formula1>
          <xm:sqref>AQ5:AQ1048576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1:E975"/>
  <sheetViews>
    <sheetView zoomScale="115" zoomScaleNormal="115" workbookViewId="0">
      <selection activeCell="A5" sqref="A5:E7"/>
    </sheetView>
  </sheetViews>
  <sheetFormatPr defaultColWidth="9.140625" defaultRowHeight="20.25" customHeight="1"/>
  <cols>
    <col min="1" max="1" width="22.7109375" style="89" customWidth="1"/>
    <col min="2" max="2" width="29.28515625" style="89" customWidth="1"/>
    <col min="3" max="3" width="21.7109375" style="89" bestFit="1" customWidth="1"/>
    <col min="4" max="4" width="58.7109375" style="89" customWidth="1"/>
    <col min="5" max="5" width="35.28515625" style="89" customWidth="1"/>
    <col min="6" max="6" width="26" style="89" bestFit="1" customWidth="1"/>
    <col min="7" max="10" width="9.140625" style="89"/>
    <col min="11" max="11" width="3.140625" style="89" bestFit="1" customWidth="1"/>
    <col min="12" max="12" width="118.85546875" style="89" bestFit="1" customWidth="1"/>
    <col min="13" max="16384" width="9.140625" style="89"/>
  </cols>
  <sheetData>
    <row r="1" spans="1:5" ht="20.25" customHeight="1">
      <c r="E1" s="129" t="s">
        <v>4393</v>
      </c>
    </row>
    <row r="2" spans="1:5" ht="20.25" customHeight="1">
      <c r="E2" s="129" t="s">
        <v>4353</v>
      </c>
    </row>
    <row r="3" spans="1:5" ht="20.25" customHeight="1">
      <c r="E3" s="129" t="s">
        <v>7832</v>
      </c>
    </row>
    <row r="5" spans="1:5" ht="20.25" customHeight="1">
      <c r="A5" s="127" t="s">
        <v>4334</v>
      </c>
      <c r="B5" s="127" t="s">
        <v>4335</v>
      </c>
      <c r="C5" s="127" t="s">
        <v>4338</v>
      </c>
      <c r="D5" s="128" t="s">
        <v>102</v>
      </c>
      <c r="E5" s="129" t="s">
        <v>7832</v>
      </c>
    </row>
    <row r="6" spans="1:5" ht="20.25" customHeight="1">
      <c r="A6" s="311" t="s">
        <v>4396</v>
      </c>
      <c r="B6" s="311" t="s">
        <v>4413</v>
      </c>
      <c r="C6" s="311" t="s">
        <v>6186</v>
      </c>
      <c r="D6" s="322" t="s">
        <v>6191</v>
      </c>
      <c r="E6" s="312">
        <v>46267</v>
      </c>
    </row>
    <row r="7" spans="1:5" ht="20.25" customHeight="1">
      <c r="A7" s="311" t="s">
        <v>4396</v>
      </c>
      <c r="B7" s="311" t="s">
        <v>4427</v>
      </c>
      <c r="C7" s="311" t="s">
        <v>6292</v>
      </c>
      <c r="D7" s="322" t="s">
        <v>6293</v>
      </c>
      <c r="E7" s="312">
        <v>46261</v>
      </c>
    </row>
    <row r="8" spans="1:5" ht="20.25" customHeight="1">
      <c r="A8" s="147"/>
      <c r="B8" s="147"/>
      <c r="C8" s="147"/>
      <c r="D8" s="148"/>
      <c r="E8" s="150"/>
    </row>
    <row r="9" spans="1:5" ht="20.25" customHeight="1">
      <c r="A9" s="147"/>
      <c r="B9" s="147"/>
      <c r="C9" s="147"/>
      <c r="D9" s="148"/>
      <c r="E9" s="150"/>
    </row>
    <row r="10" spans="1:5" ht="20.25" customHeight="1">
      <c r="A10" s="147"/>
      <c r="B10" s="147"/>
      <c r="C10" s="147"/>
      <c r="D10" s="148"/>
      <c r="E10" s="150"/>
    </row>
    <row r="11" spans="1:5" ht="20.25" customHeight="1">
      <c r="A11" s="147"/>
      <c r="B11" s="147"/>
      <c r="C11" s="147"/>
      <c r="D11" s="148"/>
      <c r="E11" s="150"/>
    </row>
    <row r="12" spans="1:5" ht="20.25" customHeight="1">
      <c r="A12" s="147"/>
      <c r="B12" s="147"/>
      <c r="C12" s="147"/>
      <c r="D12" s="148"/>
      <c r="E12" s="150"/>
    </row>
    <row r="13" spans="1:5" ht="20.25" customHeight="1">
      <c r="A13" s="147"/>
      <c r="B13" s="147"/>
      <c r="C13" s="147"/>
      <c r="D13" s="151"/>
      <c r="E13" s="150"/>
    </row>
    <row r="14" spans="1:5" ht="20.25" customHeight="1">
      <c r="A14" s="147"/>
      <c r="B14" s="147"/>
      <c r="C14" s="147"/>
      <c r="D14" s="148"/>
      <c r="E14" s="150"/>
    </row>
    <row r="15" spans="1:5" ht="20.25" customHeight="1">
      <c r="A15" s="147"/>
      <c r="B15" s="147"/>
      <c r="C15" s="147"/>
      <c r="D15" s="148"/>
      <c r="E15" s="150"/>
    </row>
    <row r="16" spans="1:5" ht="20.25" customHeight="1">
      <c r="A16" s="147"/>
      <c r="B16" s="147"/>
      <c r="C16" s="147"/>
      <c r="D16" s="151"/>
      <c r="E16" s="150"/>
    </row>
    <row r="17" spans="1:5" ht="20.25" customHeight="1">
      <c r="A17" s="147"/>
      <c r="B17" s="147"/>
      <c r="C17" s="147"/>
      <c r="D17" s="151"/>
      <c r="E17" s="150"/>
    </row>
    <row r="18" spans="1:5" ht="20.25" customHeight="1">
      <c r="A18" s="147"/>
      <c r="B18" s="147"/>
      <c r="C18" s="147"/>
      <c r="D18" s="148"/>
      <c r="E18" s="150"/>
    </row>
    <row r="19" spans="1:5" ht="20.25" customHeight="1">
      <c r="A19" s="147"/>
      <c r="B19" s="147"/>
      <c r="C19" s="147"/>
      <c r="D19" s="148"/>
      <c r="E19" s="150"/>
    </row>
    <row r="20" spans="1:5" ht="20.25" customHeight="1">
      <c r="A20" s="147"/>
      <c r="B20" s="147"/>
      <c r="C20" s="147"/>
      <c r="D20" s="151"/>
      <c r="E20" s="150"/>
    </row>
    <row r="21" spans="1:5" ht="20.25" customHeight="1">
      <c r="A21" s="147"/>
      <c r="B21" s="147"/>
      <c r="C21" s="147"/>
      <c r="D21" s="148"/>
      <c r="E21" s="150"/>
    </row>
    <row r="22" spans="1:5" ht="20.25" customHeight="1">
      <c r="A22" s="147"/>
      <c r="B22" s="147"/>
      <c r="C22" s="147"/>
      <c r="D22" s="148"/>
      <c r="E22" s="150"/>
    </row>
    <row r="23" spans="1:5" ht="20.25" customHeight="1">
      <c r="A23" s="147"/>
      <c r="B23" s="147"/>
      <c r="C23" s="147"/>
      <c r="D23" s="148"/>
      <c r="E23" s="150"/>
    </row>
    <row r="24" spans="1:5" ht="20.25" customHeight="1">
      <c r="A24" s="147"/>
      <c r="B24" s="147"/>
      <c r="C24" s="147"/>
      <c r="D24" s="152"/>
      <c r="E24" s="150"/>
    </row>
    <row r="25" spans="1:5" ht="20.25" customHeight="1">
      <c r="A25" s="147"/>
      <c r="B25" s="147"/>
      <c r="C25" s="147"/>
      <c r="D25" s="148"/>
      <c r="E25" s="150"/>
    </row>
    <row r="26" spans="1:5" ht="20.25" customHeight="1">
      <c r="A26" s="147"/>
      <c r="B26" s="147"/>
      <c r="C26" s="147"/>
      <c r="D26" s="148"/>
      <c r="E26" s="150"/>
    </row>
    <row r="27" spans="1:5" ht="20.25" customHeight="1">
      <c r="A27" s="147"/>
      <c r="B27" s="147"/>
      <c r="C27" s="147"/>
      <c r="D27" s="152"/>
      <c r="E27" s="150"/>
    </row>
    <row r="28" spans="1:5" ht="20.25" customHeight="1">
      <c r="A28" s="147"/>
      <c r="B28" s="147"/>
      <c r="C28" s="147"/>
      <c r="D28" s="152"/>
      <c r="E28" s="150"/>
    </row>
    <row r="29" spans="1:5" ht="20.25" customHeight="1">
      <c r="A29" s="147"/>
      <c r="B29" s="147"/>
      <c r="C29" s="147"/>
      <c r="D29" s="151"/>
      <c r="E29" s="150"/>
    </row>
    <row r="30" spans="1:5" ht="20.25" customHeight="1">
      <c r="A30" s="147"/>
      <c r="B30" s="147"/>
      <c r="C30" s="147"/>
      <c r="D30" s="148"/>
      <c r="E30" s="150"/>
    </row>
    <row r="31" spans="1:5" ht="20.25" customHeight="1">
      <c r="A31" s="147"/>
      <c r="B31" s="147"/>
      <c r="C31" s="147"/>
      <c r="D31" s="148"/>
      <c r="E31" s="150"/>
    </row>
    <row r="32" spans="1:5" ht="20.25" customHeight="1">
      <c r="A32" s="147"/>
      <c r="B32" s="147"/>
      <c r="C32" s="147"/>
      <c r="D32" s="148"/>
      <c r="E32" s="150"/>
    </row>
    <row r="33" spans="1:5" ht="20.25" customHeight="1">
      <c r="A33" s="147"/>
      <c r="B33" s="147"/>
      <c r="C33" s="147"/>
      <c r="D33" s="148"/>
      <c r="E33" s="150"/>
    </row>
    <row r="34" spans="1:5" ht="20.25" customHeight="1">
      <c r="A34" s="147"/>
      <c r="B34" s="147"/>
      <c r="C34" s="147"/>
      <c r="D34" s="148"/>
      <c r="E34" s="150"/>
    </row>
    <row r="35" spans="1:5" ht="20.25" customHeight="1">
      <c r="A35" s="147"/>
      <c r="B35" s="147"/>
      <c r="C35" s="147"/>
      <c r="D35" s="148"/>
      <c r="E35" s="150"/>
    </row>
    <row r="36" spans="1:5" ht="20.25" customHeight="1">
      <c r="A36" s="147" t="s">
        <v>4396</v>
      </c>
      <c r="B36" s="147" t="s">
        <v>4413</v>
      </c>
      <c r="C36" s="147" t="s">
        <v>5030</v>
      </c>
      <c r="D36" s="148" t="s">
        <v>5034</v>
      </c>
      <c r="E36" s="150">
        <v>46237</v>
      </c>
    </row>
    <row r="37" spans="1:5" ht="20.25" customHeight="1">
      <c r="A37" s="147" t="s">
        <v>4396</v>
      </c>
      <c r="B37" s="147" t="s">
        <v>4413</v>
      </c>
      <c r="C37" s="147" t="s">
        <v>5133</v>
      </c>
      <c r="D37" s="148" t="s">
        <v>5137</v>
      </c>
      <c r="E37" s="150">
        <v>46237</v>
      </c>
    </row>
    <row r="38" spans="1:5" ht="20.25" customHeight="1">
      <c r="A38" s="147" t="s">
        <v>4396</v>
      </c>
      <c r="B38" s="147" t="s">
        <v>4413</v>
      </c>
      <c r="C38" s="147" t="s">
        <v>5144</v>
      </c>
      <c r="D38" s="148" t="s">
        <v>5149</v>
      </c>
      <c r="E38" s="150">
        <v>46237</v>
      </c>
    </row>
    <row r="39" spans="1:5" ht="20.25" customHeight="1">
      <c r="A39" s="147" t="s">
        <v>4396</v>
      </c>
      <c r="B39" s="147" t="s">
        <v>4413</v>
      </c>
      <c r="C39" s="147" t="s">
        <v>5158</v>
      </c>
      <c r="D39" s="148" t="s">
        <v>5163</v>
      </c>
      <c r="E39" s="150">
        <v>46237</v>
      </c>
    </row>
    <row r="40" spans="1:5" ht="20.25" customHeight="1">
      <c r="A40" s="147" t="s">
        <v>4396</v>
      </c>
      <c r="B40" s="147" t="s">
        <v>4413</v>
      </c>
      <c r="C40" s="147" t="s">
        <v>5219</v>
      </c>
      <c r="D40" s="148" t="s">
        <v>5220</v>
      </c>
      <c r="E40" s="150">
        <v>46237</v>
      </c>
    </row>
    <row r="41" spans="1:5" ht="20.25" customHeight="1">
      <c r="A41" s="147" t="s">
        <v>4396</v>
      </c>
      <c r="B41" s="147" t="s">
        <v>4427</v>
      </c>
      <c r="C41" s="147" t="s">
        <v>5254</v>
      </c>
      <c r="D41" s="148" t="s">
        <v>5259</v>
      </c>
      <c r="E41" s="150">
        <v>46237</v>
      </c>
    </row>
    <row r="42" spans="1:5" ht="20.25" customHeight="1">
      <c r="A42" s="147" t="s">
        <v>4396</v>
      </c>
      <c r="B42" s="147" t="s">
        <v>4413</v>
      </c>
      <c r="C42" s="147" t="s">
        <v>5814</v>
      </c>
      <c r="D42" s="148" t="s">
        <v>5821</v>
      </c>
      <c r="E42" s="150">
        <v>46237</v>
      </c>
    </row>
    <row r="43" spans="1:5" ht="20.25" customHeight="1">
      <c r="A43" s="147" t="s">
        <v>4396</v>
      </c>
      <c r="B43" s="147" t="s">
        <v>4413</v>
      </c>
      <c r="C43" s="147" t="s">
        <v>6172</v>
      </c>
      <c r="D43" s="148" t="s">
        <v>6176</v>
      </c>
      <c r="E43" s="150">
        <v>46237</v>
      </c>
    </row>
    <row r="44" spans="1:5" ht="20.25" customHeight="1">
      <c r="A44" s="118"/>
      <c r="B44" s="118"/>
      <c r="C44" s="118"/>
      <c r="D44" s="118"/>
      <c r="E44" s="149"/>
    </row>
    <row r="45" spans="1:5" ht="20.25" customHeight="1">
      <c r="A45" s="111"/>
      <c r="B45" s="111"/>
      <c r="C45" s="111"/>
      <c r="D45" s="111"/>
      <c r="E45" s="100"/>
    </row>
    <row r="46" spans="1:5" ht="20.25" customHeight="1">
      <c r="A46" s="111"/>
      <c r="B46" s="111"/>
      <c r="C46" s="111"/>
      <c r="D46" s="111"/>
      <c r="E46" s="100"/>
    </row>
    <row r="47" spans="1:5" ht="20.25" customHeight="1">
      <c r="A47" s="111"/>
      <c r="B47" s="111"/>
      <c r="C47" s="111"/>
      <c r="D47" s="111"/>
      <c r="E47" s="110"/>
    </row>
    <row r="48" spans="1:5" ht="20.25" customHeight="1">
      <c r="A48" s="111"/>
      <c r="B48" s="111"/>
      <c r="C48" s="111"/>
      <c r="D48" s="111"/>
      <c r="E48" s="103"/>
    </row>
    <row r="49" spans="1:5" ht="20.25" customHeight="1">
      <c r="A49" s="111"/>
      <c r="B49" s="111"/>
      <c r="C49" s="111"/>
      <c r="D49" s="111"/>
      <c r="E49" s="102"/>
    </row>
    <row r="50" spans="1:5" ht="20.25" customHeight="1">
      <c r="A50" s="111"/>
      <c r="B50" s="111"/>
      <c r="C50" s="111"/>
      <c r="D50" s="111"/>
      <c r="E50" s="98"/>
    </row>
    <row r="51" spans="1:5" ht="20.25" customHeight="1">
      <c r="A51" s="111"/>
      <c r="B51" s="111"/>
      <c r="C51" s="111"/>
      <c r="D51" s="111"/>
      <c r="E51" s="102"/>
    </row>
    <row r="52" spans="1:5" ht="20.25" customHeight="1">
      <c r="A52" s="111"/>
      <c r="B52" s="111"/>
      <c r="C52" s="111"/>
      <c r="D52" s="111"/>
      <c r="E52" s="102"/>
    </row>
    <row r="53" spans="1:5" ht="20.25" customHeight="1">
      <c r="A53" s="111"/>
      <c r="B53" s="111"/>
      <c r="C53" s="111"/>
      <c r="D53" s="111"/>
      <c r="E53" s="98"/>
    </row>
    <row r="54" spans="1:5" ht="20.25" customHeight="1">
      <c r="A54" s="111"/>
      <c r="B54" s="111"/>
      <c r="C54" s="111"/>
      <c r="D54" s="111"/>
      <c r="E54" s="98"/>
    </row>
    <row r="55" spans="1:5" ht="20.25" customHeight="1">
      <c r="A55" s="111"/>
      <c r="B55" s="111"/>
      <c r="C55" s="111"/>
      <c r="D55" s="111"/>
      <c r="E55" s="104"/>
    </row>
    <row r="56" spans="1:5" ht="20.25" customHeight="1">
      <c r="A56" s="111"/>
      <c r="B56" s="111"/>
      <c r="C56" s="111"/>
      <c r="D56" s="111"/>
      <c r="E56" s="100"/>
    </row>
    <row r="57" spans="1:5" ht="20.25" customHeight="1">
      <c r="A57" s="111"/>
      <c r="B57" s="111"/>
      <c r="C57" s="111"/>
      <c r="D57" s="111"/>
      <c r="E57" s="110"/>
    </row>
    <row r="58" spans="1:5" ht="20.25" customHeight="1">
      <c r="A58" s="111"/>
      <c r="B58" s="111"/>
      <c r="C58" s="111"/>
      <c r="D58" s="111"/>
      <c r="E58" s="100"/>
    </row>
    <row r="59" spans="1:5" ht="20.25" customHeight="1">
      <c r="A59" s="111"/>
      <c r="B59" s="111"/>
      <c r="C59" s="111"/>
      <c r="D59" s="111"/>
      <c r="E59" s="100"/>
    </row>
    <row r="60" spans="1:5" ht="20.25" customHeight="1">
      <c r="A60" s="111" t="s">
        <v>7833</v>
      </c>
      <c r="B60" s="111"/>
      <c r="C60" s="111" t="s">
        <v>7834</v>
      </c>
      <c r="D60" s="111" t="s">
        <v>7835</v>
      </c>
      <c r="E60" s="98"/>
    </row>
    <row r="61" spans="1:5" ht="20.25" customHeight="1">
      <c r="A61" s="111" t="s">
        <v>7833</v>
      </c>
      <c r="B61" s="111"/>
      <c r="C61" s="111" t="s">
        <v>7836</v>
      </c>
      <c r="D61" s="111" t="s">
        <v>7837</v>
      </c>
      <c r="E61" s="98" t="s">
        <v>4437</v>
      </c>
    </row>
    <row r="62" spans="1:5" ht="20.25" customHeight="1">
      <c r="A62" s="111" t="s">
        <v>7833</v>
      </c>
      <c r="B62" s="111"/>
      <c r="C62" s="111" t="s">
        <v>7838</v>
      </c>
      <c r="D62" s="111" t="s">
        <v>7839</v>
      </c>
      <c r="E62" s="98"/>
    </row>
    <row r="63" spans="1:5" ht="20.25" customHeight="1">
      <c r="A63" s="111" t="s">
        <v>7833</v>
      </c>
      <c r="B63" s="111"/>
      <c r="C63" s="111" t="s">
        <v>7840</v>
      </c>
      <c r="D63" s="111" t="s">
        <v>7841</v>
      </c>
      <c r="E63" s="98"/>
    </row>
    <row r="64" spans="1:5" ht="20.25" customHeight="1">
      <c r="A64" s="111" t="s">
        <v>7833</v>
      </c>
      <c r="B64" s="111"/>
      <c r="C64" s="111" t="s">
        <v>7842</v>
      </c>
      <c r="D64" s="111" t="s">
        <v>7843</v>
      </c>
      <c r="E64" s="100">
        <v>44877</v>
      </c>
    </row>
    <row r="65" spans="1:5" ht="20.25" customHeight="1">
      <c r="A65" s="111" t="s">
        <v>7833</v>
      </c>
      <c r="B65" s="111"/>
      <c r="C65" s="111" t="s">
        <v>7844</v>
      </c>
      <c r="D65" s="111" t="s">
        <v>7845</v>
      </c>
      <c r="E65" s="100">
        <v>44876</v>
      </c>
    </row>
    <row r="66" spans="1:5" ht="20.25" customHeight="1">
      <c r="A66" s="111" t="s">
        <v>7833</v>
      </c>
      <c r="B66" s="111"/>
      <c r="C66" s="111" t="s">
        <v>7846</v>
      </c>
      <c r="D66" s="111" t="s">
        <v>7847</v>
      </c>
      <c r="E66" s="100">
        <v>44910</v>
      </c>
    </row>
    <row r="67" spans="1:5" ht="20.25" customHeight="1">
      <c r="A67" s="111" t="s">
        <v>7833</v>
      </c>
      <c r="B67" s="111"/>
      <c r="C67" s="111" t="s">
        <v>7848</v>
      </c>
      <c r="D67" s="111" t="s">
        <v>7849</v>
      </c>
      <c r="E67" s="103">
        <v>45148</v>
      </c>
    </row>
    <row r="68" spans="1:5" ht="20.25" customHeight="1">
      <c r="A68" s="111" t="s">
        <v>7833</v>
      </c>
      <c r="B68" s="111"/>
      <c r="C68" s="111" t="s">
        <v>7850</v>
      </c>
      <c r="D68" s="111" t="s">
        <v>7851</v>
      </c>
      <c r="E68" s="103">
        <v>45065</v>
      </c>
    </row>
    <row r="69" spans="1:5" ht="20.25" customHeight="1">
      <c r="A69" s="111" t="s">
        <v>7833</v>
      </c>
      <c r="B69" s="111"/>
      <c r="C69" s="111" t="s">
        <v>7852</v>
      </c>
      <c r="D69" s="111" t="s">
        <v>7853</v>
      </c>
      <c r="E69" s="103">
        <v>45049</v>
      </c>
    </row>
    <row r="70" spans="1:5" ht="20.25" customHeight="1">
      <c r="A70" s="111" t="s">
        <v>7833</v>
      </c>
      <c r="B70" s="111"/>
      <c r="C70" s="111" t="s">
        <v>7854</v>
      </c>
      <c r="D70" s="111" t="s">
        <v>7855</v>
      </c>
      <c r="E70" s="103">
        <v>45065</v>
      </c>
    </row>
    <row r="71" spans="1:5" ht="20.25" customHeight="1">
      <c r="A71" s="111" t="s">
        <v>7833</v>
      </c>
      <c r="B71" s="111"/>
      <c r="C71" s="111" t="s">
        <v>7856</v>
      </c>
      <c r="D71" s="111" t="s">
        <v>7857</v>
      </c>
      <c r="E71" s="100">
        <v>44922</v>
      </c>
    </row>
    <row r="72" spans="1:5" ht="20.25" customHeight="1">
      <c r="A72" s="111" t="s">
        <v>7833</v>
      </c>
      <c r="B72" s="111"/>
      <c r="C72" s="111" t="s">
        <v>7858</v>
      </c>
      <c r="D72" s="111" t="s">
        <v>7859</v>
      </c>
      <c r="E72" s="100">
        <v>44961</v>
      </c>
    </row>
    <row r="73" spans="1:5" ht="20.25" customHeight="1">
      <c r="A73" s="111" t="s">
        <v>7833</v>
      </c>
      <c r="B73" s="111"/>
      <c r="C73" s="111" t="s">
        <v>7860</v>
      </c>
      <c r="D73" s="111" t="s">
        <v>7861</v>
      </c>
      <c r="E73" s="98" t="s">
        <v>4437</v>
      </c>
    </row>
    <row r="74" spans="1:5" ht="20.25" customHeight="1">
      <c r="A74" s="111" t="s">
        <v>7833</v>
      </c>
      <c r="B74" s="111"/>
      <c r="C74" s="111" t="s">
        <v>7862</v>
      </c>
      <c r="D74" s="111" t="s">
        <v>7863</v>
      </c>
      <c r="E74" s="103">
        <v>45049</v>
      </c>
    </row>
    <row r="75" spans="1:5" ht="20.25" customHeight="1">
      <c r="A75" s="111" t="s">
        <v>7833</v>
      </c>
      <c r="B75" s="111"/>
      <c r="C75" s="112" t="s">
        <v>7864</v>
      </c>
      <c r="D75" s="113" t="s">
        <v>7865</v>
      </c>
      <c r="E75" s="98" t="s">
        <v>4437</v>
      </c>
    </row>
    <row r="76" spans="1:5" ht="20.25" customHeight="1">
      <c r="A76" s="111" t="s">
        <v>7833</v>
      </c>
      <c r="B76" s="111"/>
      <c r="C76" s="112" t="s">
        <v>7866</v>
      </c>
      <c r="D76" s="114" t="s">
        <v>7867</v>
      </c>
      <c r="E76" s="98" t="s">
        <v>4437</v>
      </c>
    </row>
    <row r="77" spans="1:5" ht="20.25" customHeight="1">
      <c r="C77" s="115"/>
      <c r="D77" s="116"/>
      <c r="E77" s="98" t="s">
        <v>4437</v>
      </c>
    </row>
    <row r="78" spans="1:5" ht="20.25" customHeight="1">
      <c r="C78" s="91"/>
      <c r="D78" s="117"/>
      <c r="E78" s="100">
        <v>44910</v>
      </c>
    </row>
    <row r="79" spans="1:5" ht="20.25" customHeight="1">
      <c r="C79" s="91"/>
      <c r="D79" s="117"/>
      <c r="E79" s="100">
        <v>44840</v>
      </c>
    </row>
    <row r="80" spans="1:5" ht="20.25" customHeight="1">
      <c r="C80" s="91"/>
      <c r="D80" s="117"/>
      <c r="E80" s="98" t="s">
        <v>4437</v>
      </c>
    </row>
    <row r="81" spans="3:5" ht="20.25" customHeight="1">
      <c r="C81" s="91"/>
      <c r="D81" s="117"/>
      <c r="E81" s="98" t="s">
        <v>4437</v>
      </c>
    </row>
    <row r="82" spans="3:5" ht="20.25" customHeight="1">
      <c r="C82" s="91"/>
      <c r="D82" s="117"/>
      <c r="E82" s="100">
        <v>44877</v>
      </c>
    </row>
    <row r="83" spans="3:5" ht="20.25" customHeight="1">
      <c r="C83" s="91"/>
      <c r="D83" s="117"/>
      <c r="E83" s="98" t="s">
        <v>4437</v>
      </c>
    </row>
    <row r="84" spans="3:5" ht="20.25" customHeight="1">
      <c r="C84" s="91"/>
      <c r="E84" s="98" t="s">
        <v>4437</v>
      </c>
    </row>
    <row r="85" spans="3:5" ht="20.25" customHeight="1">
      <c r="C85" s="91"/>
      <c r="E85" s="100">
        <v>44840</v>
      </c>
    </row>
    <row r="86" spans="3:5" ht="20.25" customHeight="1">
      <c r="C86" s="91"/>
      <c r="E86" s="98" t="s">
        <v>4437</v>
      </c>
    </row>
    <row r="87" spans="3:5" ht="20.25" customHeight="1">
      <c r="C87" s="91"/>
      <c r="E87" s="98" t="s">
        <v>4437</v>
      </c>
    </row>
    <row r="88" spans="3:5" ht="20.25" customHeight="1">
      <c r="C88" s="91"/>
      <c r="E88" s="98" t="s">
        <v>4437</v>
      </c>
    </row>
    <row r="89" spans="3:5" ht="20.25" customHeight="1">
      <c r="C89" s="91"/>
      <c r="E89" s="98" t="s">
        <v>4437</v>
      </c>
    </row>
    <row r="90" spans="3:5" ht="20.25" customHeight="1">
      <c r="C90" s="96" t="s">
        <v>7868</v>
      </c>
      <c r="E90" s="98" t="s">
        <v>4437</v>
      </c>
    </row>
    <row r="91" spans="3:5" ht="20.25" customHeight="1">
      <c r="C91" s="96" t="s">
        <v>7869</v>
      </c>
      <c r="E91" s="98" t="s">
        <v>4437</v>
      </c>
    </row>
    <row r="92" spans="3:5" ht="20.25" customHeight="1">
      <c r="C92" s="91" t="s">
        <v>7870</v>
      </c>
      <c r="E92" s="98" t="s">
        <v>4437</v>
      </c>
    </row>
    <row r="93" spans="3:5" ht="20.25" customHeight="1">
      <c r="C93" s="91" t="s">
        <v>7871</v>
      </c>
      <c r="E93" s="98" t="s">
        <v>4437</v>
      </c>
    </row>
    <row r="94" spans="3:5" ht="20.25" customHeight="1">
      <c r="C94" s="91" t="s">
        <v>7872</v>
      </c>
      <c r="E94" s="98" t="s">
        <v>4437</v>
      </c>
    </row>
    <row r="95" spans="3:5" ht="20.25" customHeight="1">
      <c r="C95" s="91" t="s">
        <v>7873</v>
      </c>
      <c r="E95" s="98"/>
    </row>
    <row r="96" spans="3:5" ht="20.25" customHeight="1">
      <c r="C96" s="91" t="s">
        <v>7874</v>
      </c>
      <c r="E96" s="98"/>
    </row>
    <row r="97" spans="3:5" ht="20.25" customHeight="1">
      <c r="C97" s="91" t="s">
        <v>7875</v>
      </c>
      <c r="E97" s="110">
        <v>45013</v>
      </c>
    </row>
    <row r="98" spans="3:5" ht="20.25" customHeight="1">
      <c r="C98" s="91" t="s">
        <v>7876</v>
      </c>
      <c r="E98" s="110">
        <v>45013</v>
      </c>
    </row>
    <row r="99" spans="3:5" ht="20.25" customHeight="1">
      <c r="C99" s="91" t="s">
        <v>7877</v>
      </c>
      <c r="E99" s="98" t="s">
        <v>4437</v>
      </c>
    </row>
    <row r="100" spans="3:5" ht="20.25" customHeight="1">
      <c r="C100" s="96" t="s">
        <v>7878</v>
      </c>
      <c r="E100" s="98" t="s">
        <v>4437</v>
      </c>
    </row>
    <row r="101" spans="3:5" ht="20.25" customHeight="1">
      <c r="C101" s="91" t="s">
        <v>7879</v>
      </c>
      <c r="E101" s="100">
        <v>44853</v>
      </c>
    </row>
    <row r="102" spans="3:5" ht="20.25" customHeight="1">
      <c r="C102" s="91" t="s">
        <v>7880</v>
      </c>
      <c r="E102" s="100">
        <v>44840</v>
      </c>
    </row>
    <row r="103" spans="3:5" ht="20.25" customHeight="1">
      <c r="C103" s="91" t="s">
        <v>7881</v>
      </c>
      <c r="E103" s="100">
        <v>44840</v>
      </c>
    </row>
    <row r="104" spans="3:5" ht="20.25" customHeight="1">
      <c r="C104" s="91" t="s">
        <v>7882</v>
      </c>
      <c r="E104" s="101"/>
    </row>
    <row r="105" spans="3:5" ht="20.25" customHeight="1">
      <c r="C105" s="96" t="s">
        <v>7883</v>
      </c>
      <c r="E105" s="100">
        <v>44910</v>
      </c>
    </row>
    <row r="106" spans="3:5" ht="20.25" customHeight="1">
      <c r="C106" s="91" t="s">
        <v>7884</v>
      </c>
      <c r="E106" s="100">
        <v>44961</v>
      </c>
    </row>
    <row r="107" spans="3:5" ht="20.25" customHeight="1">
      <c r="C107" s="91" t="s">
        <v>7885</v>
      </c>
      <c r="E107" s="98" t="s">
        <v>4437</v>
      </c>
    </row>
    <row r="108" spans="3:5" ht="20.25" customHeight="1">
      <c r="C108" s="91" t="s">
        <v>7886</v>
      </c>
      <c r="E108" s="98" t="s">
        <v>4437</v>
      </c>
    </row>
    <row r="109" spans="3:5" ht="20.25" customHeight="1">
      <c r="C109" s="96" t="s">
        <v>7887</v>
      </c>
      <c r="E109" s="100">
        <v>44862</v>
      </c>
    </row>
    <row r="110" spans="3:5" ht="20.25" customHeight="1">
      <c r="C110" s="91" t="s">
        <v>7888</v>
      </c>
      <c r="E110" s="100">
        <v>44877</v>
      </c>
    </row>
    <row r="111" spans="3:5" ht="20.25" customHeight="1">
      <c r="C111" s="91" t="s">
        <v>7889</v>
      </c>
      <c r="E111" s="100">
        <v>44840</v>
      </c>
    </row>
    <row r="112" spans="3:5" ht="20.25" customHeight="1">
      <c r="C112" s="96" t="s">
        <v>7890</v>
      </c>
      <c r="E112" s="98" t="s">
        <v>4437</v>
      </c>
    </row>
    <row r="113" spans="3:5" ht="20.25" customHeight="1">
      <c r="C113" s="91" t="s">
        <v>7891</v>
      </c>
      <c r="E113" s="100">
        <v>44840</v>
      </c>
    </row>
    <row r="114" spans="3:5" ht="20.25" customHeight="1">
      <c r="C114" s="91" t="s">
        <v>7892</v>
      </c>
      <c r="E114" s="98" t="s">
        <v>4437</v>
      </c>
    </row>
    <row r="115" spans="3:5" ht="20.25" customHeight="1">
      <c r="C115" s="91" t="s">
        <v>7893</v>
      </c>
      <c r="E115" s="98" t="s">
        <v>4437</v>
      </c>
    </row>
    <row r="116" spans="3:5" ht="20.25" customHeight="1">
      <c r="C116" s="91" t="s">
        <v>7894</v>
      </c>
      <c r="E116" s="100">
        <v>44840</v>
      </c>
    </row>
    <row r="117" spans="3:5" ht="20.25" customHeight="1">
      <c r="C117" s="91" t="s">
        <v>7895</v>
      </c>
      <c r="E117" s="100">
        <v>44877</v>
      </c>
    </row>
    <row r="118" spans="3:5" ht="20.25" customHeight="1">
      <c r="C118" s="91" t="s">
        <v>7896</v>
      </c>
      <c r="E118" s="100">
        <v>44890</v>
      </c>
    </row>
    <row r="119" spans="3:5" ht="20.25" customHeight="1">
      <c r="C119" s="91" t="s">
        <v>7897</v>
      </c>
      <c r="E119" s="100">
        <v>45013</v>
      </c>
    </row>
    <row r="120" spans="3:5" ht="20.25" customHeight="1">
      <c r="C120" s="91" t="s">
        <v>7898</v>
      </c>
      <c r="E120" s="100">
        <v>45013</v>
      </c>
    </row>
    <row r="121" spans="3:5" ht="20.25" customHeight="1">
      <c r="C121" s="91" t="s">
        <v>7899</v>
      </c>
      <c r="E121" s="100"/>
    </row>
    <row r="122" spans="3:5" ht="20.25" customHeight="1">
      <c r="C122" s="91" t="s">
        <v>7900</v>
      </c>
      <c r="E122" s="100"/>
    </row>
    <row r="123" spans="3:5" ht="20.25" customHeight="1">
      <c r="C123" s="91" t="s">
        <v>7901</v>
      </c>
      <c r="E123" s="107"/>
    </row>
    <row r="124" spans="3:5" ht="20.25" customHeight="1">
      <c r="C124" s="91" t="s">
        <v>7902</v>
      </c>
      <c r="E124" s="107"/>
    </row>
    <row r="125" spans="3:5" ht="20.25" customHeight="1">
      <c r="C125" s="91" t="s">
        <v>7903</v>
      </c>
      <c r="E125" s="107"/>
    </row>
    <row r="126" spans="3:5" ht="20.25" customHeight="1">
      <c r="C126" s="96" t="s">
        <v>7904</v>
      </c>
      <c r="E126" s="107"/>
    </row>
    <row r="127" spans="3:5" ht="20.25" customHeight="1">
      <c r="C127" s="91" t="s">
        <v>7905</v>
      </c>
      <c r="E127" s="107"/>
    </row>
    <row r="128" spans="3:5" ht="20.25" customHeight="1">
      <c r="C128" s="96" t="s">
        <v>7906</v>
      </c>
      <c r="E128" s="107"/>
    </row>
    <row r="129" spans="3:5" ht="20.25" customHeight="1">
      <c r="C129" s="91" t="s">
        <v>7907</v>
      </c>
      <c r="E129" s="103">
        <v>45105</v>
      </c>
    </row>
    <row r="130" spans="3:5" ht="20.25" customHeight="1">
      <c r="C130" s="91" t="s">
        <v>7908</v>
      </c>
      <c r="E130" s="104"/>
    </row>
    <row r="131" spans="3:5" ht="20.25" customHeight="1">
      <c r="C131" s="91" t="s">
        <v>7909</v>
      </c>
      <c r="E131" s="107"/>
    </row>
    <row r="132" spans="3:5" ht="20.25" customHeight="1">
      <c r="C132" s="91" t="s">
        <v>7910</v>
      </c>
      <c r="E132" s="107"/>
    </row>
    <row r="133" spans="3:5" ht="20.25" customHeight="1">
      <c r="C133" s="91" t="s">
        <v>7911</v>
      </c>
      <c r="E133" s="107"/>
    </row>
    <row r="134" spans="3:5" ht="20.25" customHeight="1">
      <c r="C134" s="91" t="s">
        <v>7912</v>
      </c>
      <c r="E134" s="103">
        <v>45105</v>
      </c>
    </row>
    <row r="135" spans="3:5" ht="20.25" customHeight="1">
      <c r="C135" s="91" t="s">
        <v>7913</v>
      </c>
      <c r="E135" s="107"/>
    </row>
    <row r="136" spans="3:5" ht="20.25" customHeight="1">
      <c r="C136" s="91" t="s">
        <v>7914</v>
      </c>
      <c r="E136" s="107"/>
    </row>
    <row r="137" spans="3:5" ht="20.25" customHeight="1">
      <c r="C137" s="91" t="s">
        <v>7915</v>
      </c>
      <c r="E137" s="103">
        <v>45049</v>
      </c>
    </row>
    <row r="138" spans="3:5" ht="20.25" customHeight="1">
      <c r="C138" s="91" t="s">
        <v>7916</v>
      </c>
      <c r="E138" s="107"/>
    </row>
    <row r="139" spans="3:5" ht="20.25" customHeight="1">
      <c r="C139" s="91" t="s">
        <v>7917</v>
      </c>
      <c r="E139" s="107"/>
    </row>
    <row r="140" spans="3:5" ht="20.25" customHeight="1">
      <c r="C140" s="91" t="s">
        <v>7918</v>
      </c>
      <c r="E140" s="107"/>
    </row>
    <row r="141" spans="3:5" ht="20.25" customHeight="1">
      <c r="C141" s="91" t="s">
        <v>7919</v>
      </c>
      <c r="E141" s="107"/>
    </row>
    <row r="142" spans="3:5" ht="20.25" customHeight="1">
      <c r="C142" s="91" t="s">
        <v>7920</v>
      </c>
      <c r="E142" s="107"/>
    </row>
    <row r="143" spans="3:5" ht="20.25" customHeight="1">
      <c r="C143" s="91" t="s">
        <v>7921</v>
      </c>
      <c r="E143" s="100">
        <v>45056</v>
      </c>
    </row>
    <row r="144" spans="3:5" ht="20.25" customHeight="1">
      <c r="C144" s="91" t="s">
        <v>7922</v>
      </c>
      <c r="E144" s="100">
        <v>45056</v>
      </c>
    </row>
    <row r="145" spans="3:5" ht="20.25" customHeight="1">
      <c r="C145" s="90" t="s">
        <v>7923</v>
      </c>
      <c r="E145" s="100">
        <v>45056</v>
      </c>
    </row>
    <row r="146" spans="3:5" ht="20.25" customHeight="1">
      <c r="C146" s="91" t="s">
        <v>7924</v>
      </c>
      <c r="E146" s="107"/>
    </row>
    <row r="147" spans="3:5" ht="20.25" customHeight="1">
      <c r="C147" s="91" t="s">
        <v>7925</v>
      </c>
      <c r="E147" s="107"/>
    </row>
    <row r="148" spans="3:5" ht="20.25" customHeight="1">
      <c r="C148" s="91" t="s">
        <v>7926</v>
      </c>
      <c r="E148" s="107"/>
    </row>
    <row r="149" spans="3:5" ht="20.25" customHeight="1">
      <c r="C149" s="91" t="s">
        <v>7927</v>
      </c>
      <c r="E149" s="107"/>
    </row>
    <row r="150" spans="3:5" ht="20.25" customHeight="1">
      <c r="C150" s="91" t="s">
        <v>7928</v>
      </c>
      <c r="E150" s="107"/>
    </row>
    <row r="151" spans="3:5" ht="20.25" customHeight="1">
      <c r="C151" s="91" t="s">
        <v>7929</v>
      </c>
      <c r="E151" s="107"/>
    </row>
    <row r="152" spans="3:5" ht="20.25" customHeight="1">
      <c r="C152" s="96" t="s">
        <v>7930</v>
      </c>
      <c r="E152" s="107"/>
    </row>
    <row r="153" spans="3:5" ht="20.25" customHeight="1">
      <c r="C153" s="91" t="s">
        <v>7931</v>
      </c>
      <c r="E153" s="107"/>
    </row>
    <row r="154" spans="3:5" ht="20.25" customHeight="1">
      <c r="C154" s="91" t="s">
        <v>7932</v>
      </c>
      <c r="E154" s="107"/>
    </row>
    <row r="155" spans="3:5" ht="20.25" customHeight="1">
      <c r="C155" s="91" t="s">
        <v>7933</v>
      </c>
      <c r="E155" s="104"/>
    </row>
    <row r="156" spans="3:5" ht="20.25" customHeight="1">
      <c r="C156" s="91" t="s">
        <v>7934</v>
      </c>
      <c r="E156" s="100">
        <v>45056</v>
      </c>
    </row>
    <row r="157" spans="3:5" ht="20.25" customHeight="1">
      <c r="C157" s="91" t="s">
        <v>7935</v>
      </c>
      <c r="E157" s="103">
        <v>45148</v>
      </c>
    </row>
    <row r="158" spans="3:5" ht="20.25" customHeight="1">
      <c r="C158" s="91" t="s">
        <v>7936</v>
      </c>
      <c r="E158" s="102"/>
    </row>
    <row r="159" spans="3:5" ht="20.25" customHeight="1">
      <c r="C159" s="91" t="s">
        <v>7937</v>
      </c>
      <c r="E159" s="102"/>
    </row>
    <row r="160" spans="3:5" ht="20.25" customHeight="1">
      <c r="C160" s="91" t="s">
        <v>7938</v>
      </c>
      <c r="E160" s="102"/>
    </row>
    <row r="161" spans="3:5" ht="20.25" customHeight="1">
      <c r="C161" s="91" t="s">
        <v>7939</v>
      </c>
      <c r="E161" s="102"/>
    </row>
    <row r="162" spans="3:5" ht="20.25" customHeight="1">
      <c r="C162" s="91" t="s">
        <v>7940</v>
      </c>
      <c r="E162" s="102"/>
    </row>
    <row r="163" spans="3:5" ht="20.25" customHeight="1">
      <c r="C163" s="91" t="s">
        <v>7941</v>
      </c>
      <c r="E163" s="102"/>
    </row>
    <row r="164" spans="3:5" ht="20.25" customHeight="1">
      <c r="C164" s="91" t="s">
        <v>7942</v>
      </c>
      <c r="E164" s="102"/>
    </row>
    <row r="165" spans="3:5" ht="20.25" customHeight="1">
      <c r="C165" s="91" t="s">
        <v>7943</v>
      </c>
      <c r="E165" s="102"/>
    </row>
    <row r="166" spans="3:5" ht="20.25" customHeight="1">
      <c r="C166" s="91" t="s">
        <v>7944</v>
      </c>
      <c r="E166" s="102"/>
    </row>
    <row r="167" spans="3:5" ht="20.25" customHeight="1">
      <c r="C167" s="91" t="s">
        <v>7945</v>
      </c>
      <c r="E167" s="102"/>
    </row>
    <row r="168" spans="3:5" ht="20.25" customHeight="1">
      <c r="C168" s="91" t="s">
        <v>7946</v>
      </c>
      <c r="E168" s="102"/>
    </row>
    <row r="169" spans="3:5" ht="20.25" customHeight="1">
      <c r="C169" s="91" t="s">
        <v>7947</v>
      </c>
      <c r="E169" s="102"/>
    </row>
    <row r="170" spans="3:5" ht="20.25" customHeight="1">
      <c r="C170" s="91" t="s">
        <v>7948</v>
      </c>
      <c r="E170" s="102"/>
    </row>
    <row r="171" spans="3:5" ht="20.25" customHeight="1">
      <c r="C171" s="96" t="s">
        <v>7949</v>
      </c>
      <c r="E171" s="102"/>
    </row>
    <row r="172" spans="3:5" ht="20.25" customHeight="1">
      <c r="C172" s="91" t="s">
        <v>7950</v>
      </c>
      <c r="E172" s="102"/>
    </row>
    <row r="173" spans="3:5" ht="20.25" customHeight="1">
      <c r="C173" s="91" t="s">
        <v>7951</v>
      </c>
      <c r="E173" s="102"/>
    </row>
    <row r="174" spans="3:5" ht="20.25" customHeight="1">
      <c r="C174" s="91" t="s">
        <v>7952</v>
      </c>
      <c r="E174" s="102"/>
    </row>
    <row r="175" spans="3:5" ht="20.25" customHeight="1">
      <c r="C175" s="91" t="s">
        <v>7953</v>
      </c>
      <c r="E175" s="102"/>
    </row>
    <row r="176" spans="3:5" ht="20.25" customHeight="1">
      <c r="C176" s="91" t="s">
        <v>7954</v>
      </c>
      <c r="E176" s="102"/>
    </row>
    <row r="177" spans="3:5" ht="20.25" customHeight="1">
      <c r="C177" s="91" t="s">
        <v>7955</v>
      </c>
      <c r="E177" s="103">
        <v>45105</v>
      </c>
    </row>
    <row r="178" spans="3:5" ht="20.25" customHeight="1">
      <c r="C178" s="91" t="s">
        <v>7956</v>
      </c>
      <c r="E178" s="100">
        <v>44992</v>
      </c>
    </row>
    <row r="179" spans="3:5" ht="20.25" customHeight="1">
      <c r="C179" s="96" t="s">
        <v>7957</v>
      </c>
      <c r="E179" s="100">
        <v>45056</v>
      </c>
    </row>
    <row r="180" spans="3:5" ht="20.25" customHeight="1">
      <c r="C180" s="91" t="s">
        <v>7958</v>
      </c>
      <c r="E180" s="100">
        <v>44992</v>
      </c>
    </row>
    <row r="181" spans="3:5" ht="20.25" customHeight="1">
      <c r="C181" s="91" t="s">
        <v>7959</v>
      </c>
      <c r="E181" s="100">
        <v>45056</v>
      </c>
    </row>
    <row r="182" spans="3:5" ht="20.25" customHeight="1">
      <c r="C182" s="91" t="s">
        <v>7960</v>
      </c>
      <c r="E182" s="106">
        <v>45111</v>
      </c>
    </row>
    <row r="183" spans="3:5" ht="20.25" customHeight="1">
      <c r="C183" s="91" t="s">
        <v>7961</v>
      </c>
      <c r="E183" s="100">
        <v>45056</v>
      </c>
    </row>
    <row r="184" spans="3:5" ht="20.25" customHeight="1">
      <c r="C184" s="96" t="s">
        <v>7962</v>
      </c>
      <c r="E184" s="102"/>
    </row>
    <row r="185" spans="3:5" ht="20.25" customHeight="1">
      <c r="C185" s="91" t="s">
        <v>7963</v>
      </c>
      <c r="E185" s="102"/>
    </row>
    <row r="186" spans="3:5" ht="20.25" customHeight="1">
      <c r="C186" s="91" t="s">
        <v>7964</v>
      </c>
      <c r="E186" s="100">
        <v>45056</v>
      </c>
    </row>
    <row r="187" spans="3:5" ht="20.25" customHeight="1">
      <c r="C187" s="91" t="s">
        <v>7965</v>
      </c>
      <c r="E187" s="100">
        <v>45056</v>
      </c>
    </row>
    <row r="188" spans="3:5" ht="20.25" customHeight="1">
      <c r="C188" s="91" t="s">
        <v>7966</v>
      </c>
      <c r="E188" s="100">
        <v>45056</v>
      </c>
    </row>
    <row r="189" spans="3:5" ht="20.25" customHeight="1">
      <c r="C189" s="91" t="s">
        <v>7967</v>
      </c>
      <c r="E189" s="100">
        <v>45097</v>
      </c>
    </row>
    <row r="190" spans="3:5" ht="20.25" customHeight="1">
      <c r="C190" s="91" t="s">
        <v>7968</v>
      </c>
      <c r="E190" s="106">
        <v>45111</v>
      </c>
    </row>
    <row r="191" spans="3:5" ht="20.25" customHeight="1">
      <c r="C191" s="91" t="s">
        <v>7969</v>
      </c>
      <c r="E191" s="106">
        <v>45111</v>
      </c>
    </row>
    <row r="192" spans="3:5" ht="20.25" customHeight="1">
      <c r="C192" s="91" t="s">
        <v>7970</v>
      </c>
      <c r="E192" s="106">
        <v>45111</v>
      </c>
    </row>
    <row r="193" spans="3:5" ht="20.25" customHeight="1">
      <c r="C193" s="91" t="s">
        <v>7971</v>
      </c>
      <c r="E193" s="100">
        <v>45097</v>
      </c>
    </row>
    <row r="194" spans="3:5" ht="20.25" customHeight="1">
      <c r="C194" s="91" t="s">
        <v>7972</v>
      </c>
      <c r="E194" s="106">
        <v>45111</v>
      </c>
    </row>
    <row r="195" spans="3:5" ht="20.25" customHeight="1">
      <c r="C195" s="91" t="s">
        <v>7973</v>
      </c>
      <c r="E195" s="106">
        <v>45111</v>
      </c>
    </row>
    <row r="196" spans="3:5" ht="20.25" customHeight="1">
      <c r="C196" s="91" t="s">
        <v>7974</v>
      </c>
      <c r="E196" s="100">
        <v>45097</v>
      </c>
    </row>
    <row r="197" spans="3:5" ht="20.25" customHeight="1">
      <c r="C197" s="91" t="s">
        <v>7975</v>
      </c>
      <c r="E197" s="100">
        <v>45097</v>
      </c>
    </row>
    <row r="198" spans="3:5" ht="20.25" customHeight="1">
      <c r="C198" s="91" t="s">
        <v>7976</v>
      </c>
      <c r="E198" s="100">
        <v>45097</v>
      </c>
    </row>
    <row r="199" spans="3:5" ht="20.25" customHeight="1">
      <c r="C199" s="91" t="s">
        <v>7977</v>
      </c>
      <c r="E199" s="104"/>
    </row>
    <row r="200" spans="3:5" ht="20.25" customHeight="1">
      <c r="C200" s="91" t="s">
        <v>7978</v>
      </c>
      <c r="E200" s="106">
        <v>45111</v>
      </c>
    </row>
    <row r="201" spans="3:5" ht="20.25" customHeight="1">
      <c r="C201" s="91" t="s">
        <v>7979</v>
      </c>
      <c r="E201" s="100">
        <v>45097</v>
      </c>
    </row>
    <row r="202" spans="3:5" ht="20.25" customHeight="1">
      <c r="C202" s="91" t="s">
        <v>7980</v>
      </c>
      <c r="E202" s="103">
        <v>45148</v>
      </c>
    </row>
    <row r="203" spans="3:5" ht="20.25" customHeight="1">
      <c r="C203" s="91" t="s">
        <v>7981</v>
      </c>
      <c r="E203" s="106">
        <v>45111</v>
      </c>
    </row>
    <row r="204" spans="3:5" ht="20.25" customHeight="1">
      <c r="C204" s="91" t="s">
        <v>7982</v>
      </c>
      <c r="E204" s="107"/>
    </row>
    <row r="205" spans="3:5" ht="20.25" customHeight="1">
      <c r="C205" s="91" t="s">
        <v>7983</v>
      </c>
      <c r="E205" s="100">
        <v>44992</v>
      </c>
    </row>
    <row r="206" spans="3:5" ht="20.25" customHeight="1">
      <c r="C206" s="91" t="s">
        <v>7984</v>
      </c>
      <c r="E206" s="100">
        <v>45097</v>
      </c>
    </row>
    <row r="207" spans="3:5" ht="20.25" customHeight="1">
      <c r="C207" s="91" t="s">
        <v>7985</v>
      </c>
      <c r="E207" s="100">
        <v>45097</v>
      </c>
    </row>
    <row r="208" spans="3:5" ht="20.25" customHeight="1">
      <c r="C208" s="91" t="s">
        <v>7986</v>
      </c>
      <c r="E208" s="100">
        <v>45097</v>
      </c>
    </row>
    <row r="209" spans="3:5" ht="20.25" customHeight="1">
      <c r="C209" s="91" t="s">
        <v>7987</v>
      </c>
      <c r="E209" s="107"/>
    </row>
    <row r="210" spans="3:5" ht="20.25" customHeight="1">
      <c r="C210" s="91" t="s">
        <v>7988</v>
      </c>
      <c r="E210" s="107"/>
    </row>
    <row r="211" spans="3:5" ht="20.25" customHeight="1">
      <c r="C211" s="91" t="s">
        <v>7989</v>
      </c>
      <c r="E211" s="100">
        <v>45097</v>
      </c>
    </row>
    <row r="212" spans="3:5" ht="20.25" customHeight="1">
      <c r="C212" s="91" t="s">
        <v>7990</v>
      </c>
      <c r="E212" s="100">
        <v>45097</v>
      </c>
    </row>
    <row r="213" spans="3:5" ht="20.25" customHeight="1">
      <c r="C213" s="91" t="s">
        <v>7991</v>
      </c>
      <c r="E213" s="106">
        <v>45111</v>
      </c>
    </row>
    <row r="214" spans="3:5" ht="20.25" customHeight="1">
      <c r="C214" s="91" t="s">
        <v>7992</v>
      </c>
      <c r="E214" s="100">
        <v>44961</v>
      </c>
    </row>
    <row r="215" spans="3:5" ht="20.25" customHeight="1">
      <c r="C215" s="91" t="s">
        <v>7993</v>
      </c>
      <c r="E215" s="100">
        <v>45097</v>
      </c>
    </row>
    <row r="216" spans="3:5" ht="20.25" customHeight="1">
      <c r="C216" s="91" t="s">
        <v>7994</v>
      </c>
      <c r="E216" s="103">
        <v>45148</v>
      </c>
    </row>
    <row r="217" spans="3:5" ht="20.25" customHeight="1">
      <c r="C217" s="91" t="s">
        <v>7995</v>
      </c>
      <c r="E217" s="106">
        <v>45111</v>
      </c>
    </row>
    <row r="218" spans="3:5" ht="20.25" customHeight="1">
      <c r="C218" s="91" t="s">
        <v>7996</v>
      </c>
      <c r="E218" s="107"/>
    </row>
    <row r="219" spans="3:5" ht="20.25" customHeight="1">
      <c r="C219" s="91" t="s">
        <v>7997</v>
      </c>
      <c r="E219" s="107"/>
    </row>
    <row r="220" spans="3:5" ht="20.25" customHeight="1">
      <c r="C220" s="91" t="s">
        <v>7998</v>
      </c>
      <c r="E220" s="107"/>
    </row>
    <row r="221" spans="3:5" ht="20.25" customHeight="1">
      <c r="C221" s="91" t="s">
        <v>7999</v>
      </c>
      <c r="E221" s="100">
        <v>45097</v>
      </c>
    </row>
    <row r="222" spans="3:5" ht="20.25" customHeight="1">
      <c r="C222" s="91" t="s">
        <v>8000</v>
      </c>
      <c r="E222" s="103">
        <v>45148</v>
      </c>
    </row>
    <row r="223" spans="3:5" ht="20.25" customHeight="1">
      <c r="C223" s="91" t="s">
        <v>8001</v>
      </c>
      <c r="E223" s="106">
        <v>45111</v>
      </c>
    </row>
    <row r="224" spans="3:5" ht="20.25" customHeight="1">
      <c r="C224" s="91" t="s">
        <v>8002</v>
      </c>
      <c r="E224" s="103">
        <v>45148</v>
      </c>
    </row>
    <row r="225" spans="3:5" ht="20.25" customHeight="1">
      <c r="C225" s="91" t="s">
        <v>8003</v>
      </c>
      <c r="E225" s="103">
        <v>45148</v>
      </c>
    </row>
    <row r="226" spans="3:5" ht="20.25" customHeight="1">
      <c r="C226" s="91" t="s">
        <v>8004</v>
      </c>
      <c r="E226" s="100">
        <v>45097</v>
      </c>
    </row>
    <row r="227" spans="3:5" ht="20.25" customHeight="1">
      <c r="C227" s="91" t="s">
        <v>8005</v>
      </c>
      <c r="E227" s="107"/>
    </row>
    <row r="228" spans="3:5" ht="20.25" customHeight="1">
      <c r="C228" s="91" t="s">
        <v>8006</v>
      </c>
      <c r="E228" s="106">
        <v>45111</v>
      </c>
    </row>
    <row r="229" spans="3:5" ht="20.25" customHeight="1">
      <c r="C229" s="91" t="s">
        <v>8007</v>
      </c>
      <c r="E229" s="106">
        <v>45111</v>
      </c>
    </row>
    <row r="230" spans="3:5" ht="20.25" customHeight="1">
      <c r="C230" s="91" t="s">
        <v>8008</v>
      </c>
      <c r="E230" s="100">
        <v>45097</v>
      </c>
    </row>
    <row r="231" spans="3:5" ht="20.25" customHeight="1">
      <c r="C231" s="91" t="s">
        <v>8009</v>
      </c>
      <c r="E231" s="106">
        <v>45111</v>
      </c>
    </row>
    <row r="232" spans="3:5" ht="20.25" customHeight="1">
      <c r="C232" s="91" t="s">
        <v>8010</v>
      </c>
      <c r="E232" s="106">
        <v>45111</v>
      </c>
    </row>
    <row r="233" spans="3:5" ht="20.25" customHeight="1">
      <c r="C233" s="91" t="s">
        <v>8011</v>
      </c>
      <c r="E233" s="100">
        <v>45097</v>
      </c>
    </row>
    <row r="234" spans="3:5" ht="20.25" customHeight="1">
      <c r="C234" s="91" t="s">
        <v>8012</v>
      </c>
      <c r="E234" s="100">
        <v>44992</v>
      </c>
    </row>
    <row r="235" spans="3:5" ht="20.25" customHeight="1">
      <c r="C235" s="91" t="s">
        <v>8013</v>
      </c>
      <c r="E235" s="119"/>
    </row>
    <row r="236" spans="3:5" ht="20.25" customHeight="1">
      <c r="C236" s="91" t="s">
        <v>8014</v>
      </c>
      <c r="E236" s="107"/>
    </row>
    <row r="237" spans="3:5" ht="20.25" customHeight="1">
      <c r="C237" s="91" t="s">
        <v>8015</v>
      </c>
      <c r="E237" s="106">
        <v>45111</v>
      </c>
    </row>
    <row r="238" spans="3:5" ht="20.25" customHeight="1">
      <c r="C238" s="91" t="s">
        <v>8016</v>
      </c>
      <c r="E238" s="107"/>
    </row>
    <row r="239" spans="3:5" ht="20.25" customHeight="1">
      <c r="C239" s="91" t="s">
        <v>8017</v>
      </c>
      <c r="E239" s="104"/>
    </row>
    <row r="240" spans="3:5" ht="20.25" customHeight="1">
      <c r="C240" s="91" t="s">
        <v>8018</v>
      </c>
      <c r="E240" s="107"/>
    </row>
    <row r="241" spans="3:5" ht="20.25" customHeight="1">
      <c r="C241" s="91" t="s">
        <v>8019</v>
      </c>
      <c r="E241" s="107"/>
    </row>
    <row r="242" spans="3:5" ht="20.25" customHeight="1">
      <c r="C242" s="91" t="s">
        <v>8020</v>
      </c>
      <c r="E242" s="103">
        <v>45105</v>
      </c>
    </row>
    <row r="243" spans="3:5" ht="20.25" customHeight="1">
      <c r="C243" s="91" t="s">
        <v>8021</v>
      </c>
      <c r="E243" s="100">
        <v>44992</v>
      </c>
    </row>
    <row r="244" spans="3:5" ht="20.25" customHeight="1">
      <c r="C244" s="91" t="s">
        <v>8022</v>
      </c>
      <c r="E244" s="103">
        <v>45148</v>
      </c>
    </row>
    <row r="245" spans="3:5" ht="20.25" customHeight="1">
      <c r="C245" s="91" t="s">
        <v>8023</v>
      </c>
      <c r="E245" s="98"/>
    </row>
    <row r="246" spans="3:5" ht="20.25" customHeight="1">
      <c r="C246" s="91" t="s">
        <v>8024</v>
      </c>
      <c r="E246" s="119"/>
    </row>
    <row r="247" spans="3:5" ht="20.25" customHeight="1">
      <c r="C247" s="91" t="s">
        <v>8025</v>
      </c>
      <c r="E247" s="119"/>
    </row>
    <row r="248" spans="3:5" ht="20.25" customHeight="1">
      <c r="C248" s="91" t="s">
        <v>8026</v>
      </c>
      <c r="E248" s="100">
        <v>45097</v>
      </c>
    </row>
    <row r="249" spans="3:5" ht="20.25" customHeight="1">
      <c r="C249" s="91" t="s">
        <v>8027</v>
      </c>
      <c r="E249" s="103">
        <v>45105</v>
      </c>
    </row>
    <row r="250" spans="3:5" ht="20.25" customHeight="1">
      <c r="C250" s="91" t="s">
        <v>8028</v>
      </c>
      <c r="E250" s="100">
        <v>45097</v>
      </c>
    </row>
    <row r="251" spans="3:5" ht="20.25" customHeight="1">
      <c r="C251" s="91" t="s">
        <v>8029</v>
      </c>
      <c r="E251" s="100">
        <v>44992</v>
      </c>
    </row>
    <row r="252" spans="3:5" ht="20.25" customHeight="1">
      <c r="C252" s="91" t="s">
        <v>8030</v>
      </c>
      <c r="E252" s="107"/>
    </row>
    <row r="253" spans="3:5" ht="20.25" customHeight="1">
      <c r="C253" s="91" t="s">
        <v>8031</v>
      </c>
      <c r="E253" s="107"/>
    </row>
    <row r="254" spans="3:5" ht="20.25" customHeight="1">
      <c r="C254" s="91" t="s">
        <v>8032</v>
      </c>
      <c r="E254" s="107"/>
    </row>
    <row r="255" spans="3:5" ht="20.25" customHeight="1">
      <c r="C255" s="91" t="s">
        <v>8033</v>
      </c>
      <c r="E255" s="103">
        <v>45105</v>
      </c>
    </row>
    <row r="256" spans="3:5" ht="20.25" customHeight="1">
      <c r="C256" s="91" t="s">
        <v>8034</v>
      </c>
      <c r="E256" s="103">
        <v>45105</v>
      </c>
    </row>
    <row r="257" spans="3:5" ht="20.25" customHeight="1">
      <c r="C257" s="91" t="s">
        <v>8035</v>
      </c>
      <c r="E257" s="103">
        <v>45148</v>
      </c>
    </row>
    <row r="258" spans="3:5" ht="20.25" customHeight="1">
      <c r="C258" s="91" t="s">
        <v>8036</v>
      </c>
      <c r="E258" s="103">
        <v>45148</v>
      </c>
    </row>
    <row r="259" spans="3:5" ht="20.25" customHeight="1">
      <c r="C259" s="91" t="s">
        <v>8037</v>
      </c>
      <c r="E259" s="103">
        <v>45148</v>
      </c>
    </row>
    <row r="260" spans="3:5" ht="20.25" customHeight="1">
      <c r="C260" s="91" t="s">
        <v>8038</v>
      </c>
      <c r="E260" s="119"/>
    </row>
    <row r="261" spans="3:5" ht="20.25" customHeight="1">
      <c r="C261" s="91" t="s">
        <v>8039</v>
      </c>
      <c r="E261" s="107"/>
    </row>
    <row r="262" spans="3:5" ht="20.25" customHeight="1">
      <c r="C262" s="91" t="s">
        <v>8040</v>
      </c>
      <c r="E262" s="107"/>
    </row>
    <row r="263" spans="3:5" ht="20.25" customHeight="1">
      <c r="C263" s="91" t="s">
        <v>8041</v>
      </c>
      <c r="E263" s="107"/>
    </row>
    <row r="264" spans="3:5" ht="20.25" customHeight="1">
      <c r="C264" s="91" t="s">
        <v>8042</v>
      </c>
      <c r="E264" s="107"/>
    </row>
    <row r="265" spans="3:5" ht="20.25" customHeight="1">
      <c r="C265" s="91" t="s">
        <v>8043</v>
      </c>
      <c r="E265" s="107"/>
    </row>
    <row r="266" spans="3:5" ht="20.25" customHeight="1">
      <c r="C266" s="91" t="s">
        <v>8044</v>
      </c>
      <c r="E266" s="107"/>
    </row>
    <row r="267" spans="3:5" ht="20.25" customHeight="1">
      <c r="C267" s="91" t="s">
        <v>8045</v>
      </c>
      <c r="E267" s="107"/>
    </row>
    <row r="268" spans="3:5" ht="20.25" customHeight="1">
      <c r="C268" s="91" t="s">
        <v>8046</v>
      </c>
      <c r="E268" s="98" t="s">
        <v>4437</v>
      </c>
    </row>
    <row r="269" spans="3:5" ht="20.25" customHeight="1">
      <c r="C269" s="91" t="s">
        <v>8047</v>
      </c>
      <c r="E269" s="107"/>
    </row>
    <row r="270" spans="3:5" ht="20.25" customHeight="1">
      <c r="C270" s="90" t="s">
        <v>8048</v>
      </c>
      <c r="E270" s="106">
        <v>45111</v>
      </c>
    </row>
    <row r="271" spans="3:5" ht="20.25" customHeight="1">
      <c r="C271" s="91" t="s">
        <v>8049</v>
      </c>
      <c r="E271" s="106">
        <v>45111</v>
      </c>
    </row>
    <row r="272" spans="3:5" ht="20.25" customHeight="1">
      <c r="C272" s="91" t="s">
        <v>8050</v>
      </c>
      <c r="E272" s="106">
        <v>45111</v>
      </c>
    </row>
    <row r="273" spans="3:5" ht="20.25" customHeight="1">
      <c r="C273" s="91" t="s">
        <v>8051</v>
      </c>
      <c r="E273" s="107"/>
    </row>
    <row r="274" spans="3:5" ht="20.25" customHeight="1">
      <c r="C274" s="91" t="s">
        <v>8052</v>
      </c>
      <c r="E274" s="100">
        <v>45097</v>
      </c>
    </row>
    <row r="275" spans="3:5" ht="20.25" customHeight="1">
      <c r="C275" s="91" t="s">
        <v>8053</v>
      </c>
      <c r="E275" s="107"/>
    </row>
    <row r="276" spans="3:5" ht="20.25" customHeight="1">
      <c r="C276" s="91" t="s">
        <v>8054</v>
      </c>
      <c r="E276" s="107"/>
    </row>
    <row r="277" spans="3:5" ht="20.25" customHeight="1">
      <c r="C277" s="91" t="s">
        <v>8055</v>
      </c>
      <c r="E277" s="107"/>
    </row>
    <row r="278" spans="3:5" ht="20.25" customHeight="1">
      <c r="C278" s="91" t="s">
        <v>8056</v>
      </c>
      <c r="E278" s="106">
        <v>45111</v>
      </c>
    </row>
    <row r="279" spans="3:5" ht="20.25" customHeight="1">
      <c r="C279" s="91" t="s">
        <v>8057</v>
      </c>
      <c r="E279" s="106">
        <v>45111</v>
      </c>
    </row>
    <row r="280" spans="3:5" ht="20.25" customHeight="1">
      <c r="C280" s="91" t="s">
        <v>8058</v>
      </c>
      <c r="E280" s="104"/>
    </row>
    <row r="281" spans="3:5" ht="20.25" customHeight="1">
      <c r="C281" s="91" t="s">
        <v>8059</v>
      </c>
      <c r="E281" s="103" t="s">
        <v>4437</v>
      </c>
    </row>
    <row r="282" spans="3:5" ht="20.25" customHeight="1">
      <c r="C282" s="91" t="s">
        <v>8060</v>
      </c>
      <c r="E282" s="107"/>
    </row>
    <row r="283" spans="3:5" ht="20.25" customHeight="1">
      <c r="C283" s="91" t="s">
        <v>8061</v>
      </c>
      <c r="E283" s="106">
        <v>45111</v>
      </c>
    </row>
    <row r="284" spans="3:5" ht="20.25" customHeight="1">
      <c r="C284" s="91" t="s">
        <v>8062</v>
      </c>
      <c r="E284" s="107"/>
    </row>
    <row r="285" spans="3:5" ht="20.25" customHeight="1">
      <c r="C285" s="91" t="s">
        <v>8063</v>
      </c>
      <c r="E285" s="106">
        <v>45111</v>
      </c>
    </row>
    <row r="286" spans="3:5" ht="20.25" customHeight="1">
      <c r="C286" s="91" t="s">
        <v>8064</v>
      </c>
      <c r="E286" s="107"/>
    </row>
    <row r="287" spans="3:5" ht="20.25" customHeight="1">
      <c r="C287" s="91" t="s">
        <v>8065</v>
      </c>
      <c r="E287" s="107"/>
    </row>
    <row r="288" spans="3:5" ht="20.25" customHeight="1">
      <c r="C288" s="91" t="s">
        <v>8066</v>
      </c>
      <c r="E288" s="103" t="s">
        <v>4437</v>
      </c>
    </row>
    <row r="289" spans="3:5" ht="20.25" customHeight="1">
      <c r="C289" s="91" t="s">
        <v>8067</v>
      </c>
      <c r="E289" s="103" t="s">
        <v>4437</v>
      </c>
    </row>
    <row r="290" spans="3:5" ht="20.25" customHeight="1">
      <c r="C290" s="91" t="s">
        <v>8068</v>
      </c>
      <c r="E290" s="103">
        <v>45105</v>
      </c>
    </row>
    <row r="291" spans="3:5" ht="20.25" customHeight="1">
      <c r="C291" s="91" t="s">
        <v>8069</v>
      </c>
      <c r="E291" s="107"/>
    </row>
    <row r="292" spans="3:5" ht="20.25" customHeight="1">
      <c r="C292" s="91" t="s">
        <v>8070</v>
      </c>
      <c r="E292" s="107"/>
    </row>
    <row r="293" spans="3:5" ht="20.25" customHeight="1">
      <c r="C293" s="91" t="s">
        <v>8071</v>
      </c>
      <c r="E293" s="104"/>
    </row>
    <row r="294" spans="3:5" ht="20.25" customHeight="1">
      <c r="C294" s="91" t="s">
        <v>8072</v>
      </c>
      <c r="E294" s="107"/>
    </row>
    <row r="295" spans="3:5" ht="20.25" customHeight="1">
      <c r="C295" s="91" t="s">
        <v>8073</v>
      </c>
      <c r="E295" s="100">
        <v>44961</v>
      </c>
    </row>
    <row r="296" spans="3:5" ht="20.25" customHeight="1">
      <c r="C296" s="91" t="s">
        <v>8074</v>
      </c>
      <c r="E296" s="107"/>
    </row>
    <row r="297" spans="3:5" ht="20.25" customHeight="1">
      <c r="C297" s="91" t="s">
        <v>8075</v>
      </c>
      <c r="E297" s="107"/>
    </row>
    <row r="298" spans="3:5" ht="20.25" customHeight="1">
      <c r="C298" s="91" t="s">
        <v>8076</v>
      </c>
      <c r="E298" s="107"/>
    </row>
    <row r="299" spans="3:5" ht="20.25" customHeight="1">
      <c r="C299" s="91" t="s">
        <v>8077</v>
      </c>
      <c r="E299" s="103">
        <v>45148</v>
      </c>
    </row>
    <row r="300" spans="3:5" ht="20.25" customHeight="1">
      <c r="C300" s="96" t="s">
        <v>8078</v>
      </c>
      <c r="E300" s="107"/>
    </row>
    <row r="301" spans="3:5" ht="20.25" customHeight="1">
      <c r="C301" s="96" t="s">
        <v>8079</v>
      </c>
      <c r="E301" s="100">
        <v>45097</v>
      </c>
    </row>
    <row r="302" spans="3:5" ht="20.25" customHeight="1">
      <c r="C302" s="91" t="s">
        <v>8080</v>
      </c>
      <c r="E302" s="103">
        <v>45105</v>
      </c>
    </row>
    <row r="303" spans="3:5" ht="20.25" customHeight="1">
      <c r="C303" s="91" t="s">
        <v>8081</v>
      </c>
      <c r="E303" s="107"/>
    </row>
    <row r="304" spans="3:5" ht="20.25" customHeight="1">
      <c r="C304" s="91" t="s">
        <v>8082</v>
      </c>
      <c r="E304" s="107"/>
    </row>
    <row r="305" spans="3:5" ht="20.25" customHeight="1">
      <c r="C305" s="91" t="s">
        <v>8083</v>
      </c>
      <c r="E305" s="107"/>
    </row>
    <row r="306" spans="3:5" ht="20.25" customHeight="1">
      <c r="C306" s="91" t="s">
        <v>8084</v>
      </c>
      <c r="E306" s="100">
        <v>45097</v>
      </c>
    </row>
    <row r="307" spans="3:5" ht="20.25" customHeight="1">
      <c r="C307" s="91" t="s">
        <v>8085</v>
      </c>
      <c r="E307" s="107"/>
    </row>
    <row r="308" spans="3:5" ht="20.25" customHeight="1">
      <c r="C308" s="91" t="s">
        <v>8086</v>
      </c>
      <c r="E308" s="107"/>
    </row>
    <row r="309" spans="3:5" ht="20.25" customHeight="1">
      <c r="C309" s="91" t="s">
        <v>8087</v>
      </c>
      <c r="E309" s="107"/>
    </row>
    <row r="310" spans="3:5" ht="20.25" customHeight="1">
      <c r="C310" s="91" t="s">
        <v>8088</v>
      </c>
      <c r="E310" s="107"/>
    </row>
    <row r="311" spans="3:5" ht="20.25" customHeight="1">
      <c r="C311" s="96" t="s">
        <v>8089</v>
      </c>
      <c r="E311" s="107"/>
    </row>
    <row r="312" spans="3:5" ht="20.25" customHeight="1">
      <c r="C312" s="91" t="s">
        <v>8090</v>
      </c>
      <c r="E312" s="107"/>
    </row>
    <row r="313" spans="3:5" ht="20.25" customHeight="1">
      <c r="C313" s="91" t="s">
        <v>8091</v>
      </c>
      <c r="E313" s="107"/>
    </row>
    <row r="314" spans="3:5" ht="20.25" customHeight="1">
      <c r="C314" s="96" t="s">
        <v>8092</v>
      </c>
      <c r="E314" s="107"/>
    </row>
    <row r="315" spans="3:5" ht="20.25" customHeight="1">
      <c r="C315" s="91" t="s">
        <v>8093</v>
      </c>
      <c r="E315" s="107"/>
    </row>
    <row r="316" spans="3:5" ht="20.25" customHeight="1">
      <c r="C316" s="91" t="s">
        <v>8094</v>
      </c>
      <c r="E316" s="107"/>
    </row>
    <row r="317" spans="3:5" ht="20.25" customHeight="1">
      <c r="C317" s="91" t="s">
        <v>8095</v>
      </c>
      <c r="E317" s="106">
        <v>45111</v>
      </c>
    </row>
    <row r="318" spans="3:5" ht="20.25" customHeight="1">
      <c r="C318" s="91" t="s">
        <v>8096</v>
      </c>
      <c r="E318" s="107"/>
    </row>
    <row r="319" spans="3:5" ht="20.25" customHeight="1">
      <c r="C319" s="91" t="s">
        <v>8097</v>
      </c>
      <c r="E319" s="98" t="s">
        <v>4437</v>
      </c>
    </row>
    <row r="320" spans="3:5" ht="20.25" customHeight="1">
      <c r="C320" s="91" t="s">
        <v>8098</v>
      </c>
      <c r="E320" s="107"/>
    </row>
    <row r="321" spans="3:5" ht="20.25" customHeight="1">
      <c r="C321" s="91" t="s">
        <v>8099</v>
      </c>
      <c r="E321" s="107"/>
    </row>
    <row r="322" spans="3:5" ht="20.25" customHeight="1">
      <c r="C322" s="91" t="s">
        <v>8100</v>
      </c>
      <c r="E322" s="107"/>
    </row>
    <row r="323" spans="3:5" ht="20.25" customHeight="1">
      <c r="C323" s="91" t="s">
        <v>8101</v>
      </c>
      <c r="E323" s="107"/>
    </row>
    <row r="324" spans="3:5" ht="20.25" customHeight="1">
      <c r="C324" s="91" t="s">
        <v>8102</v>
      </c>
      <c r="E324" s="107"/>
    </row>
    <row r="325" spans="3:5" ht="20.25" customHeight="1">
      <c r="C325" s="91" t="s">
        <v>8103</v>
      </c>
      <c r="E325" s="107"/>
    </row>
    <row r="326" spans="3:5" ht="20.25" customHeight="1">
      <c r="C326" s="91" t="s">
        <v>8104</v>
      </c>
      <c r="E326" s="107"/>
    </row>
    <row r="327" spans="3:5" ht="20.25" customHeight="1">
      <c r="C327" s="96" t="s">
        <v>8105</v>
      </c>
      <c r="E327" s="107"/>
    </row>
    <row r="328" spans="3:5" ht="20.25" customHeight="1">
      <c r="C328" s="91" t="s">
        <v>8106</v>
      </c>
      <c r="E328" s="107"/>
    </row>
    <row r="329" spans="3:5" ht="20.25" customHeight="1">
      <c r="C329" s="91" t="s">
        <v>8107</v>
      </c>
      <c r="E329" s="107"/>
    </row>
    <row r="330" spans="3:5" ht="20.25" customHeight="1">
      <c r="C330" s="91" t="s">
        <v>8108</v>
      </c>
      <c r="E330" s="107"/>
    </row>
    <row r="331" spans="3:5" ht="20.25" customHeight="1">
      <c r="C331" s="91" t="s">
        <v>8109</v>
      </c>
      <c r="E331" s="107"/>
    </row>
    <row r="332" spans="3:5" ht="20.25" customHeight="1">
      <c r="C332" s="91" t="s">
        <v>8110</v>
      </c>
      <c r="E332" s="107"/>
    </row>
    <row r="333" spans="3:5" ht="20.25" customHeight="1">
      <c r="C333" s="91" t="s">
        <v>8111</v>
      </c>
      <c r="E333" s="107"/>
    </row>
    <row r="334" spans="3:5" ht="20.25" customHeight="1">
      <c r="C334" s="96" t="s">
        <v>8112</v>
      </c>
      <c r="E334" s="107"/>
    </row>
    <row r="335" spans="3:5" ht="20.25" customHeight="1">
      <c r="C335" s="96" t="s">
        <v>8113</v>
      </c>
      <c r="E335" s="107"/>
    </row>
    <row r="336" spans="3:5" ht="20.25" customHeight="1">
      <c r="C336" s="91" t="s">
        <v>8114</v>
      </c>
      <c r="E336" s="107"/>
    </row>
    <row r="337" spans="3:5" ht="20.25" customHeight="1">
      <c r="C337" s="91" t="s">
        <v>8115</v>
      </c>
      <c r="E337" s="107"/>
    </row>
    <row r="338" spans="3:5" ht="20.25" customHeight="1">
      <c r="C338" s="91" t="s">
        <v>8116</v>
      </c>
      <c r="E338" s="107"/>
    </row>
    <row r="339" spans="3:5" ht="20.25" customHeight="1">
      <c r="C339" s="91" t="s">
        <v>8117</v>
      </c>
      <c r="E339" s="107"/>
    </row>
    <row r="340" spans="3:5" ht="20.25" customHeight="1">
      <c r="C340" s="91" t="s">
        <v>8118</v>
      </c>
      <c r="E340" s="107"/>
    </row>
    <row r="341" spans="3:5" ht="20.25" customHeight="1">
      <c r="C341" s="91" t="s">
        <v>8119</v>
      </c>
      <c r="E341" s="107"/>
    </row>
    <row r="342" spans="3:5" ht="20.25" customHeight="1">
      <c r="C342" s="91" t="s">
        <v>8120</v>
      </c>
      <c r="E342" s="107"/>
    </row>
    <row r="343" spans="3:5" ht="20.25" customHeight="1">
      <c r="C343" s="91" t="s">
        <v>8121</v>
      </c>
      <c r="E343" s="107"/>
    </row>
    <row r="344" spans="3:5" ht="20.25" customHeight="1">
      <c r="C344" s="96" t="s">
        <v>8122</v>
      </c>
      <c r="E344" s="107"/>
    </row>
    <row r="345" spans="3:5" ht="20.25" customHeight="1">
      <c r="C345" s="96" t="s">
        <v>8123</v>
      </c>
      <c r="E345" s="107"/>
    </row>
    <row r="346" spans="3:5" ht="20.25" customHeight="1">
      <c r="C346" s="91" t="s">
        <v>8124</v>
      </c>
      <c r="E346" s="107"/>
    </row>
    <row r="347" spans="3:5" ht="20.25" customHeight="1">
      <c r="C347" s="91" t="s">
        <v>8125</v>
      </c>
      <c r="E347" s="103">
        <v>45148</v>
      </c>
    </row>
    <row r="348" spans="3:5" ht="20.25" customHeight="1">
      <c r="C348" s="96" t="s">
        <v>8126</v>
      </c>
      <c r="E348" s="108"/>
    </row>
    <row r="349" spans="3:5" ht="20.25" customHeight="1">
      <c r="C349" s="91" t="s">
        <v>8127</v>
      </c>
      <c r="E349" s="102"/>
    </row>
    <row r="350" spans="3:5" ht="20.25" customHeight="1">
      <c r="C350" s="91" t="s">
        <v>8128</v>
      </c>
      <c r="E350" s="119"/>
    </row>
    <row r="351" spans="3:5" ht="20.25" customHeight="1">
      <c r="C351" s="91" t="s">
        <v>8129</v>
      </c>
      <c r="E351" s="100">
        <v>44961</v>
      </c>
    </row>
    <row r="352" spans="3:5" ht="20.25" customHeight="1">
      <c r="C352" s="91" t="s">
        <v>8130</v>
      </c>
      <c r="E352" s="100">
        <v>44992</v>
      </c>
    </row>
    <row r="353" spans="3:5" ht="20.25" customHeight="1">
      <c r="C353" s="91" t="s">
        <v>8131</v>
      </c>
      <c r="E353" s="103">
        <v>45105</v>
      </c>
    </row>
    <row r="354" spans="3:5" ht="20.25" customHeight="1">
      <c r="C354" s="91" t="s">
        <v>8132</v>
      </c>
      <c r="E354" s="100">
        <v>44961</v>
      </c>
    </row>
    <row r="355" spans="3:5" ht="20.25" customHeight="1">
      <c r="C355" s="91" t="s">
        <v>8133</v>
      </c>
      <c r="E355" s="100">
        <v>44961</v>
      </c>
    </row>
    <row r="356" spans="3:5" ht="20.25" customHeight="1">
      <c r="C356" s="91" t="s">
        <v>8134</v>
      </c>
      <c r="E356" s="107"/>
    </row>
    <row r="357" spans="3:5" ht="20.25" customHeight="1">
      <c r="C357" s="91" t="s">
        <v>8135</v>
      </c>
      <c r="E357" s="100">
        <v>44992</v>
      </c>
    </row>
    <row r="358" spans="3:5" ht="20.25" customHeight="1">
      <c r="C358" s="91" t="s">
        <v>8136</v>
      </c>
      <c r="E358" s="100">
        <v>44961</v>
      </c>
    </row>
    <row r="359" spans="3:5" ht="20.25" customHeight="1">
      <c r="C359" s="91" t="s">
        <v>8137</v>
      </c>
      <c r="E359" s="100">
        <v>44961</v>
      </c>
    </row>
    <row r="360" spans="3:5" ht="20.25" customHeight="1">
      <c r="C360" s="91" t="s">
        <v>8138</v>
      </c>
      <c r="E360" s="100">
        <v>44961</v>
      </c>
    </row>
    <row r="361" spans="3:5" ht="20.25" customHeight="1">
      <c r="C361" s="91" t="s">
        <v>8139</v>
      </c>
      <c r="E361" s="100">
        <v>44961</v>
      </c>
    </row>
    <row r="362" spans="3:5" ht="20.25" customHeight="1">
      <c r="C362" s="91" t="s">
        <v>8140</v>
      </c>
      <c r="E362" s="107"/>
    </row>
    <row r="363" spans="3:5" ht="20.25" customHeight="1">
      <c r="C363" s="91" t="s">
        <v>8141</v>
      </c>
      <c r="E363" s="100">
        <v>44961</v>
      </c>
    </row>
    <row r="364" spans="3:5" ht="20.25" customHeight="1">
      <c r="C364" s="91" t="s">
        <v>8142</v>
      </c>
      <c r="E364" s="107"/>
    </row>
    <row r="365" spans="3:5" ht="20.25" customHeight="1">
      <c r="C365" s="91" t="s">
        <v>8143</v>
      </c>
      <c r="E365" s="107"/>
    </row>
    <row r="366" spans="3:5" ht="20.25" customHeight="1">
      <c r="C366" s="91" t="s">
        <v>8144</v>
      </c>
      <c r="E366" s="103">
        <v>45106</v>
      </c>
    </row>
    <row r="367" spans="3:5" ht="20.25" customHeight="1">
      <c r="C367" s="91" t="s">
        <v>8145</v>
      </c>
      <c r="E367" s="107"/>
    </row>
    <row r="368" spans="3:5" ht="20.25" customHeight="1">
      <c r="C368" s="91" t="s">
        <v>8146</v>
      </c>
      <c r="E368" s="103">
        <v>45105</v>
      </c>
    </row>
    <row r="369" spans="3:5" ht="20.25" customHeight="1">
      <c r="C369" s="91" t="s">
        <v>8147</v>
      </c>
      <c r="E369" s="103">
        <v>45148</v>
      </c>
    </row>
    <row r="370" spans="3:5" ht="20.25" customHeight="1">
      <c r="C370" s="91" t="s">
        <v>8148</v>
      </c>
      <c r="E370" s="107"/>
    </row>
    <row r="371" spans="3:5" ht="20.25" customHeight="1">
      <c r="C371" s="91" t="s">
        <v>8149</v>
      </c>
      <c r="E371" s="107"/>
    </row>
    <row r="372" spans="3:5" ht="20.25" customHeight="1">
      <c r="C372" s="91" t="s">
        <v>8150</v>
      </c>
      <c r="E372" s="103">
        <v>45105</v>
      </c>
    </row>
    <row r="373" spans="3:5" ht="20.25" customHeight="1">
      <c r="C373" s="91" t="s">
        <v>8151</v>
      </c>
      <c r="E373" s="98" t="s">
        <v>4437</v>
      </c>
    </row>
    <row r="374" spans="3:5" ht="20.25" customHeight="1">
      <c r="C374" s="91" t="s">
        <v>8152</v>
      </c>
      <c r="E374" s="103">
        <v>45148</v>
      </c>
    </row>
    <row r="375" spans="3:5" ht="20.25" customHeight="1">
      <c r="C375" s="91" t="s">
        <v>8153</v>
      </c>
      <c r="E375" s="107"/>
    </row>
    <row r="376" spans="3:5" ht="20.25" customHeight="1">
      <c r="C376" s="96" t="s">
        <v>8154</v>
      </c>
      <c r="E376" s="119"/>
    </row>
    <row r="377" spans="3:5" ht="20.25" customHeight="1">
      <c r="C377" s="91" t="s">
        <v>8155</v>
      </c>
      <c r="E377" s="103">
        <v>45148</v>
      </c>
    </row>
    <row r="378" spans="3:5" ht="20.25" customHeight="1">
      <c r="C378" s="91" t="s">
        <v>8156</v>
      </c>
      <c r="E378" s="103">
        <v>45148</v>
      </c>
    </row>
    <row r="379" spans="3:5" ht="20.25" customHeight="1">
      <c r="C379" s="91" t="s">
        <v>8157</v>
      </c>
      <c r="E379" s="103">
        <v>45148</v>
      </c>
    </row>
    <row r="380" spans="3:5" ht="20.25" customHeight="1">
      <c r="C380" s="91" t="s">
        <v>8158</v>
      </c>
      <c r="E380" s="104"/>
    </row>
    <row r="381" spans="3:5" ht="20.25" customHeight="1">
      <c r="C381" s="91" t="s">
        <v>8159</v>
      </c>
      <c r="E381" s="103">
        <v>45148</v>
      </c>
    </row>
    <row r="382" spans="3:5" ht="20.25" customHeight="1">
      <c r="C382" s="91" t="s">
        <v>8160</v>
      </c>
      <c r="E382" s="103">
        <v>45148</v>
      </c>
    </row>
    <row r="383" spans="3:5" ht="20.25" customHeight="1">
      <c r="C383" s="91" t="s">
        <v>8161</v>
      </c>
      <c r="E383" s="103">
        <v>45148</v>
      </c>
    </row>
    <row r="384" spans="3:5" ht="20.25" customHeight="1">
      <c r="C384" s="91" t="s">
        <v>8162</v>
      </c>
      <c r="E384" s="103">
        <v>45105</v>
      </c>
    </row>
    <row r="385" spans="3:5" ht="20.25" customHeight="1">
      <c r="C385" s="91" t="s">
        <v>8163</v>
      </c>
      <c r="E385" s="100">
        <v>44961</v>
      </c>
    </row>
    <row r="386" spans="3:5" ht="20.25" customHeight="1">
      <c r="C386" s="91" t="s">
        <v>8164</v>
      </c>
      <c r="E386" s="100">
        <v>44961</v>
      </c>
    </row>
    <row r="387" spans="3:5" ht="20.25" customHeight="1">
      <c r="C387" s="91" t="s">
        <v>8165</v>
      </c>
      <c r="E387" s="100">
        <v>44992</v>
      </c>
    </row>
    <row r="388" spans="3:5" ht="20.25" customHeight="1">
      <c r="C388" s="91" t="s">
        <v>8166</v>
      </c>
      <c r="E388" s="100">
        <v>44992</v>
      </c>
    </row>
    <row r="389" spans="3:5" ht="20.25" customHeight="1">
      <c r="C389" s="91" t="s">
        <v>8167</v>
      </c>
      <c r="E389" s="107"/>
    </row>
    <row r="390" spans="3:5" ht="20.25" customHeight="1">
      <c r="C390" s="91" t="s">
        <v>8168</v>
      </c>
      <c r="E390" s="107"/>
    </row>
    <row r="391" spans="3:5" ht="20.25" customHeight="1">
      <c r="C391" s="96" t="s">
        <v>8169</v>
      </c>
      <c r="E391" s="107"/>
    </row>
    <row r="392" spans="3:5" ht="20.25" customHeight="1">
      <c r="C392" s="96" t="s">
        <v>8170</v>
      </c>
      <c r="E392" s="103">
        <v>45105</v>
      </c>
    </row>
    <row r="393" spans="3:5" ht="20.25" customHeight="1">
      <c r="C393" s="91" t="s">
        <v>8171</v>
      </c>
      <c r="E393" s="100">
        <v>44961</v>
      </c>
    </row>
    <row r="394" spans="3:5" ht="20.25" customHeight="1">
      <c r="C394" s="91" t="s">
        <v>8172</v>
      </c>
      <c r="E394" s="100">
        <v>44961</v>
      </c>
    </row>
    <row r="395" spans="3:5" ht="20.25" customHeight="1">
      <c r="C395" s="91" t="s">
        <v>8173</v>
      </c>
      <c r="E395" s="103">
        <v>45105</v>
      </c>
    </row>
    <row r="396" spans="3:5" ht="20.25" customHeight="1">
      <c r="C396" s="91" t="s">
        <v>8174</v>
      </c>
      <c r="E396" s="100">
        <v>44961</v>
      </c>
    </row>
    <row r="397" spans="3:5" ht="20.25" customHeight="1">
      <c r="C397" s="91" t="s">
        <v>8175</v>
      </c>
      <c r="E397" s="103">
        <v>45105</v>
      </c>
    </row>
    <row r="398" spans="3:5" ht="20.25" customHeight="1">
      <c r="C398" s="91" t="s">
        <v>8176</v>
      </c>
      <c r="E398" s="100">
        <v>44961</v>
      </c>
    </row>
    <row r="399" spans="3:5" ht="20.25" customHeight="1">
      <c r="C399" s="91" t="s">
        <v>8177</v>
      </c>
      <c r="E399" s="107"/>
    </row>
    <row r="400" spans="3:5" ht="20.25" customHeight="1">
      <c r="C400" s="91" t="s">
        <v>8178</v>
      </c>
      <c r="E400" s="107"/>
    </row>
    <row r="401" spans="3:5" ht="20.25" customHeight="1">
      <c r="C401" s="91" t="s">
        <v>8179</v>
      </c>
      <c r="E401" s="100">
        <v>44992</v>
      </c>
    </row>
    <row r="402" spans="3:5" ht="20.25" customHeight="1">
      <c r="C402" s="91" t="s">
        <v>8180</v>
      </c>
      <c r="E402" s="107"/>
    </row>
    <row r="403" spans="3:5" ht="20.25" customHeight="1">
      <c r="C403" s="91" t="s">
        <v>8181</v>
      </c>
      <c r="E403" s="107"/>
    </row>
    <row r="404" spans="3:5" ht="20.25" customHeight="1">
      <c r="C404" s="91" t="s">
        <v>8182</v>
      </c>
      <c r="E404" s="103">
        <v>45148</v>
      </c>
    </row>
    <row r="405" spans="3:5" ht="20.25" customHeight="1">
      <c r="C405" s="91" t="s">
        <v>8183</v>
      </c>
      <c r="E405" s="100">
        <v>44889</v>
      </c>
    </row>
    <row r="406" spans="3:5" ht="20.25" customHeight="1">
      <c r="C406" s="91" t="s">
        <v>8184</v>
      </c>
      <c r="E406" s="100">
        <v>44889</v>
      </c>
    </row>
    <row r="407" spans="3:5" ht="20.25" customHeight="1">
      <c r="C407" s="91" t="s">
        <v>8185</v>
      </c>
      <c r="E407" s="100">
        <v>44992</v>
      </c>
    </row>
    <row r="408" spans="3:5" ht="20.25" customHeight="1">
      <c r="C408" s="91" t="s">
        <v>8186</v>
      </c>
      <c r="E408" s="106">
        <v>45111</v>
      </c>
    </row>
    <row r="409" spans="3:5" ht="20.25" customHeight="1">
      <c r="C409" s="91" t="s">
        <v>8187</v>
      </c>
      <c r="E409" s="98" t="s">
        <v>4437</v>
      </c>
    </row>
    <row r="410" spans="3:5" ht="20.25" customHeight="1">
      <c r="C410" s="91" t="s">
        <v>8188</v>
      </c>
      <c r="E410" s="98" t="s">
        <v>4437</v>
      </c>
    </row>
    <row r="411" spans="3:5" ht="20.25" customHeight="1">
      <c r="C411" s="91" t="s">
        <v>8189</v>
      </c>
      <c r="E411" s="98" t="s">
        <v>4437</v>
      </c>
    </row>
    <row r="412" spans="3:5" ht="20.25" customHeight="1">
      <c r="C412" s="91" t="s">
        <v>8190</v>
      </c>
      <c r="E412" s="107"/>
    </row>
    <row r="413" spans="3:5" ht="20.25" customHeight="1">
      <c r="C413" s="91" t="s">
        <v>8191</v>
      </c>
      <c r="E413" s="107"/>
    </row>
    <row r="414" spans="3:5" ht="20.25" customHeight="1">
      <c r="C414" s="91" t="s">
        <v>8192</v>
      </c>
      <c r="E414" s="107"/>
    </row>
    <row r="415" spans="3:5" ht="20.25" customHeight="1">
      <c r="C415" s="91" t="s">
        <v>8193</v>
      </c>
      <c r="E415" s="107"/>
    </row>
    <row r="416" spans="3:5" ht="20.25" customHeight="1">
      <c r="C416" s="91" t="s">
        <v>8194</v>
      </c>
      <c r="E416" s="100">
        <v>44816</v>
      </c>
    </row>
    <row r="417" spans="3:5" ht="20.25" customHeight="1">
      <c r="C417" s="91" t="s">
        <v>8195</v>
      </c>
      <c r="E417" s="100">
        <v>44910</v>
      </c>
    </row>
    <row r="418" spans="3:5" ht="20.25" customHeight="1">
      <c r="C418" s="91" t="s">
        <v>8196</v>
      </c>
      <c r="E418" s="100">
        <v>44816</v>
      </c>
    </row>
    <row r="419" spans="3:5" ht="20.25" customHeight="1">
      <c r="C419" s="91" t="s">
        <v>8197</v>
      </c>
      <c r="E419" s="98" t="s">
        <v>4437</v>
      </c>
    </row>
    <row r="420" spans="3:5" ht="20.25" customHeight="1">
      <c r="C420" s="91" t="s">
        <v>8198</v>
      </c>
      <c r="E420" s="100">
        <v>44923</v>
      </c>
    </row>
    <row r="421" spans="3:5" ht="20.25" customHeight="1">
      <c r="C421" s="91" t="s">
        <v>8199</v>
      </c>
      <c r="E421" s="98"/>
    </row>
    <row r="422" spans="3:5" ht="20.25" customHeight="1">
      <c r="C422" s="91" t="s">
        <v>8200</v>
      </c>
      <c r="E422" s="100">
        <v>45013</v>
      </c>
    </row>
    <row r="423" spans="3:5" ht="20.25" customHeight="1">
      <c r="C423" s="91" t="s">
        <v>8201</v>
      </c>
      <c r="E423" s="100">
        <v>44923</v>
      </c>
    </row>
    <row r="424" spans="3:5" ht="20.25" customHeight="1">
      <c r="C424" s="91" t="s">
        <v>8202</v>
      </c>
      <c r="E424" s="100">
        <v>44923</v>
      </c>
    </row>
    <row r="425" spans="3:5" ht="20.25" customHeight="1">
      <c r="C425" s="91" t="s">
        <v>8203</v>
      </c>
      <c r="E425" s="100">
        <v>44816</v>
      </c>
    </row>
    <row r="426" spans="3:5" ht="20.25" customHeight="1">
      <c r="C426" s="91" t="s">
        <v>8204</v>
      </c>
      <c r="E426" s="98" t="s">
        <v>4437</v>
      </c>
    </row>
    <row r="427" spans="3:5" ht="20.25" customHeight="1">
      <c r="C427" s="91" t="s">
        <v>8205</v>
      </c>
      <c r="E427" s="98" t="s">
        <v>4437</v>
      </c>
    </row>
    <row r="428" spans="3:5" ht="20.25" customHeight="1">
      <c r="C428" s="91" t="s">
        <v>8206</v>
      </c>
      <c r="E428" s="100">
        <v>44816</v>
      </c>
    </row>
    <row r="429" spans="3:5" ht="20.25" customHeight="1">
      <c r="C429" s="91" t="s">
        <v>8207</v>
      </c>
      <c r="E429" s="100">
        <v>44816</v>
      </c>
    </row>
    <row r="430" spans="3:5" ht="20.25" customHeight="1">
      <c r="C430" s="91" t="s">
        <v>8208</v>
      </c>
      <c r="E430" s="100">
        <v>44816</v>
      </c>
    </row>
    <row r="431" spans="3:5" ht="20.25" customHeight="1">
      <c r="C431" s="91" t="s">
        <v>8209</v>
      </c>
      <c r="E431" s="98" t="s">
        <v>4437</v>
      </c>
    </row>
    <row r="432" spans="3:5" ht="20.25" customHeight="1">
      <c r="C432" s="91" t="s">
        <v>8210</v>
      </c>
      <c r="E432" s="110">
        <v>45034</v>
      </c>
    </row>
    <row r="433" spans="3:5" ht="20.25" customHeight="1">
      <c r="C433" s="91" t="s">
        <v>8211</v>
      </c>
      <c r="E433" s="100">
        <v>44992</v>
      </c>
    </row>
    <row r="434" spans="3:5" ht="20.25" customHeight="1">
      <c r="C434" s="91" t="s">
        <v>8212</v>
      </c>
      <c r="E434" s="100">
        <v>44992</v>
      </c>
    </row>
    <row r="435" spans="3:5" ht="20.25" customHeight="1">
      <c r="C435" s="91" t="s">
        <v>8213</v>
      </c>
      <c r="E435" s="110">
        <v>45034</v>
      </c>
    </row>
    <row r="436" spans="3:5" ht="20.25" customHeight="1">
      <c r="C436" s="91" t="s">
        <v>8214</v>
      </c>
      <c r="E436" s="98" t="s">
        <v>4437</v>
      </c>
    </row>
    <row r="437" spans="3:5" ht="20.25" customHeight="1">
      <c r="C437" s="91" t="s">
        <v>8215</v>
      </c>
      <c r="E437" s="98" t="s">
        <v>4437</v>
      </c>
    </row>
    <row r="438" spans="3:5" ht="20.25" customHeight="1">
      <c r="C438" s="91" t="s">
        <v>8216</v>
      </c>
      <c r="E438" s="98" t="s">
        <v>4437</v>
      </c>
    </row>
    <row r="439" spans="3:5" ht="20.25" customHeight="1">
      <c r="C439" s="91" t="s">
        <v>8217</v>
      </c>
      <c r="E439" s="100">
        <v>44862</v>
      </c>
    </row>
    <row r="440" spans="3:5" ht="20.25" customHeight="1">
      <c r="C440" s="96" t="s">
        <v>8218</v>
      </c>
      <c r="E440" s="98" t="s">
        <v>4437</v>
      </c>
    </row>
    <row r="441" spans="3:5" ht="20.25" customHeight="1">
      <c r="C441" s="91" t="s">
        <v>8219</v>
      </c>
      <c r="E441" s="100">
        <v>44862</v>
      </c>
    </row>
    <row r="442" spans="3:5" ht="20.25" customHeight="1">
      <c r="C442" s="91" t="s">
        <v>8220</v>
      </c>
      <c r="E442" s="110">
        <v>45040</v>
      </c>
    </row>
    <row r="443" spans="3:5" ht="20.25" customHeight="1">
      <c r="C443" s="91" t="s">
        <v>8221</v>
      </c>
      <c r="E443" s="98" t="s">
        <v>4437</v>
      </c>
    </row>
    <row r="444" spans="3:5" ht="20.25" customHeight="1">
      <c r="C444" s="91" t="s">
        <v>8222</v>
      </c>
      <c r="E444" s="98" t="s">
        <v>4437</v>
      </c>
    </row>
    <row r="445" spans="3:5" ht="20.25" customHeight="1">
      <c r="C445" s="91" t="s">
        <v>8223</v>
      </c>
      <c r="E445" s="98" t="s">
        <v>4437</v>
      </c>
    </row>
    <row r="446" spans="3:5" ht="20.25" customHeight="1">
      <c r="C446" s="91" t="s">
        <v>8224</v>
      </c>
      <c r="E446" s="98" t="s">
        <v>4437</v>
      </c>
    </row>
    <row r="447" spans="3:5" ht="20.25" customHeight="1">
      <c r="C447" s="91" t="s">
        <v>8225</v>
      </c>
      <c r="E447" s="100">
        <v>44910</v>
      </c>
    </row>
    <row r="448" spans="3:5" ht="20.25" customHeight="1">
      <c r="C448" s="91" t="s">
        <v>8226</v>
      </c>
      <c r="E448" s="110">
        <v>45034</v>
      </c>
    </row>
    <row r="449" spans="3:5" ht="20.25" customHeight="1">
      <c r="C449" s="91" t="s">
        <v>8227</v>
      </c>
      <c r="E449" s="100">
        <v>44923</v>
      </c>
    </row>
    <row r="450" spans="3:5" ht="20.25" customHeight="1">
      <c r="C450" s="91" t="s">
        <v>8228</v>
      </c>
      <c r="E450" s="100">
        <v>44816</v>
      </c>
    </row>
    <row r="451" spans="3:5" ht="20.25" customHeight="1">
      <c r="C451" s="91" t="s">
        <v>8229</v>
      </c>
      <c r="E451" s="100">
        <v>44925</v>
      </c>
    </row>
    <row r="452" spans="3:5" ht="20.25" customHeight="1">
      <c r="C452" s="91" t="s">
        <v>8230</v>
      </c>
      <c r="E452" s="100">
        <v>44816</v>
      </c>
    </row>
    <row r="453" spans="3:5" ht="20.25" customHeight="1">
      <c r="C453" s="91" t="s">
        <v>8231</v>
      </c>
      <c r="E453" s="100">
        <v>44816</v>
      </c>
    </row>
    <row r="454" spans="3:5" ht="20.25" customHeight="1">
      <c r="C454" s="91" t="s">
        <v>8232</v>
      </c>
      <c r="E454" s="100">
        <v>44816</v>
      </c>
    </row>
    <row r="455" spans="3:5" ht="20.25" customHeight="1">
      <c r="C455" s="91" t="s">
        <v>8233</v>
      </c>
      <c r="E455" s="103">
        <v>45065</v>
      </c>
    </row>
    <row r="456" spans="3:5" ht="20.25" customHeight="1">
      <c r="C456" s="91" t="s">
        <v>8234</v>
      </c>
      <c r="E456" s="103">
        <v>45148</v>
      </c>
    </row>
    <row r="457" spans="3:5" ht="20.25" customHeight="1">
      <c r="C457" s="91" t="s">
        <v>8235</v>
      </c>
      <c r="E457" s="100">
        <v>44922</v>
      </c>
    </row>
    <row r="458" spans="3:5" ht="20.25" customHeight="1">
      <c r="C458" s="91" t="s">
        <v>8236</v>
      </c>
      <c r="E458" s="100">
        <v>44910</v>
      </c>
    </row>
    <row r="459" spans="3:5" ht="20.25" customHeight="1">
      <c r="C459" s="91" t="s">
        <v>8237</v>
      </c>
      <c r="E459" s="100">
        <v>44816</v>
      </c>
    </row>
    <row r="460" spans="3:5" ht="20.25" customHeight="1">
      <c r="C460" s="91" t="s">
        <v>8238</v>
      </c>
      <c r="E460" s="100">
        <v>44816</v>
      </c>
    </row>
    <row r="461" spans="3:5" ht="20.25" customHeight="1">
      <c r="C461" s="91" t="s">
        <v>8239</v>
      </c>
      <c r="E461" s="100">
        <v>44816</v>
      </c>
    </row>
    <row r="462" spans="3:5" ht="20.25" customHeight="1">
      <c r="C462" s="91" t="s">
        <v>8240</v>
      </c>
      <c r="E462" s="100">
        <v>44816</v>
      </c>
    </row>
    <row r="463" spans="3:5" ht="20.25" customHeight="1">
      <c r="C463" s="91" t="s">
        <v>8241</v>
      </c>
      <c r="E463" s="100">
        <v>44923</v>
      </c>
    </row>
    <row r="464" spans="3:5" ht="20.25" customHeight="1">
      <c r="C464" s="91" t="s">
        <v>8242</v>
      </c>
      <c r="E464" s="107"/>
    </row>
    <row r="465" spans="3:5" ht="20.25" customHeight="1">
      <c r="C465" s="91" t="s">
        <v>8243</v>
      </c>
      <c r="E465" s="120" t="s">
        <v>4437</v>
      </c>
    </row>
    <row r="466" spans="3:5" ht="20.25" customHeight="1">
      <c r="C466" s="91" t="s">
        <v>8244</v>
      </c>
      <c r="E466" s="120" t="s">
        <v>4437</v>
      </c>
    </row>
    <row r="467" spans="3:5" ht="20.25" customHeight="1">
      <c r="C467" s="91" t="s">
        <v>8245</v>
      </c>
      <c r="E467" s="110">
        <v>45013</v>
      </c>
    </row>
    <row r="468" spans="3:5" ht="20.25" customHeight="1">
      <c r="C468" s="91" t="s">
        <v>8246</v>
      </c>
      <c r="E468" s="100">
        <v>44889</v>
      </c>
    </row>
    <row r="469" spans="3:5" ht="20.25" customHeight="1">
      <c r="C469" s="91" t="s">
        <v>8247</v>
      </c>
      <c r="E469" s="101"/>
    </row>
    <row r="470" spans="3:5" ht="20.25" customHeight="1">
      <c r="C470" s="91" t="s">
        <v>8248</v>
      </c>
      <c r="E470" s="100">
        <v>44877</v>
      </c>
    </row>
    <row r="471" spans="3:5" ht="20.25" customHeight="1">
      <c r="C471" s="91" t="s">
        <v>8249</v>
      </c>
      <c r="E471" s="98" t="s">
        <v>4437</v>
      </c>
    </row>
    <row r="472" spans="3:5" ht="20.25" customHeight="1">
      <c r="C472" s="91" t="s">
        <v>8250</v>
      </c>
      <c r="E472" s="98" t="s">
        <v>4437</v>
      </c>
    </row>
    <row r="473" spans="3:5" ht="20.25" customHeight="1">
      <c r="C473" s="91" t="s">
        <v>8251</v>
      </c>
      <c r="E473" s="98" t="s">
        <v>4437</v>
      </c>
    </row>
    <row r="474" spans="3:5" ht="20.25" customHeight="1">
      <c r="C474" s="91" t="s">
        <v>8252</v>
      </c>
      <c r="E474" s="98" t="s">
        <v>4437</v>
      </c>
    </row>
    <row r="475" spans="3:5" ht="20.25" customHeight="1">
      <c r="C475" s="91" t="s">
        <v>8253</v>
      </c>
      <c r="E475" s="100">
        <v>44889</v>
      </c>
    </row>
    <row r="476" spans="3:5" ht="20.25" customHeight="1">
      <c r="C476" s="91" t="s">
        <v>8254</v>
      </c>
      <c r="E476" s="100">
        <v>44862</v>
      </c>
    </row>
    <row r="477" spans="3:5" ht="20.25" customHeight="1">
      <c r="C477" s="91" t="s">
        <v>8255</v>
      </c>
      <c r="E477" s="100">
        <v>44869</v>
      </c>
    </row>
    <row r="478" spans="3:5" ht="20.25" customHeight="1">
      <c r="C478" s="91" t="s">
        <v>8256</v>
      </c>
      <c r="E478" s="98" t="s">
        <v>4437</v>
      </c>
    </row>
    <row r="479" spans="3:5" ht="20.25" customHeight="1">
      <c r="C479" s="91" t="s">
        <v>8257</v>
      </c>
      <c r="E479" s="98" t="s">
        <v>4437</v>
      </c>
    </row>
    <row r="480" spans="3:5" ht="20.25" customHeight="1">
      <c r="C480" s="91" t="s">
        <v>8258</v>
      </c>
      <c r="E480" s="98" t="s">
        <v>4437</v>
      </c>
    </row>
    <row r="481" spans="3:5" ht="20.25" customHeight="1">
      <c r="C481" s="91" t="s">
        <v>8259</v>
      </c>
      <c r="E481" s="110">
        <v>45014</v>
      </c>
    </row>
    <row r="482" spans="3:5" ht="20.25" customHeight="1">
      <c r="C482" s="91" t="s">
        <v>8260</v>
      </c>
      <c r="E482" s="103">
        <v>45065</v>
      </c>
    </row>
    <row r="483" spans="3:5" ht="20.25" customHeight="1">
      <c r="C483" s="91" t="s">
        <v>8261</v>
      </c>
      <c r="E483" s="100">
        <v>45056</v>
      </c>
    </row>
    <row r="484" spans="3:5" ht="20.25" customHeight="1">
      <c r="C484" s="91" t="s">
        <v>8262</v>
      </c>
      <c r="E484" s="103">
        <v>45049</v>
      </c>
    </row>
    <row r="485" spans="3:5" ht="20.25" customHeight="1">
      <c r="C485" s="91" t="s">
        <v>8263</v>
      </c>
      <c r="E485" s="100">
        <v>45056</v>
      </c>
    </row>
    <row r="486" spans="3:5" ht="20.25" customHeight="1">
      <c r="C486" s="91" t="s">
        <v>8264</v>
      </c>
      <c r="E486" s="98" t="s">
        <v>4437</v>
      </c>
    </row>
    <row r="487" spans="3:5" ht="20.25" customHeight="1">
      <c r="C487" s="91" t="s">
        <v>8265</v>
      </c>
      <c r="E487" s="100">
        <v>44862</v>
      </c>
    </row>
    <row r="488" spans="3:5" ht="20.25" customHeight="1">
      <c r="C488" s="91" t="s">
        <v>8266</v>
      </c>
      <c r="E488" s="100">
        <v>44910</v>
      </c>
    </row>
    <row r="489" spans="3:5" ht="20.25" customHeight="1">
      <c r="C489" s="91" t="s">
        <v>8267</v>
      </c>
      <c r="E489" s="98" t="s">
        <v>4437</v>
      </c>
    </row>
    <row r="490" spans="3:5" ht="20.25" customHeight="1">
      <c r="C490" s="91" t="s">
        <v>8268</v>
      </c>
      <c r="E490" s="98" t="s">
        <v>4437</v>
      </c>
    </row>
    <row r="491" spans="3:5" ht="20.25" customHeight="1">
      <c r="C491" s="91" t="s">
        <v>8269</v>
      </c>
      <c r="E491" s="100">
        <v>44890</v>
      </c>
    </row>
    <row r="492" spans="3:5" ht="20.25" customHeight="1">
      <c r="C492" s="91" t="s">
        <v>8270</v>
      </c>
      <c r="E492" s="100">
        <v>44869</v>
      </c>
    </row>
    <row r="493" spans="3:5" ht="20.25" customHeight="1">
      <c r="C493" s="91" t="s">
        <v>8271</v>
      </c>
      <c r="E493" s="100">
        <v>44867</v>
      </c>
    </row>
    <row r="494" spans="3:5" ht="20.25" customHeight="1">
      <c r="C494" s="91" t="s">
        <v>8272</v>
      </c>
      <c r="E494" s="98" t="s">
        <v>4437</v>
      </c>
    </row>
    <row r="495" spans="3:5" ht="20.25" customHeight="1">
      <c r="C495" s="91" t="s">
        <v>8273</v>
      </c>
      <c r="E495" s="98" t="s">
        <v>4437</v>
      </c>
    </row>
    <row r="496" spans="3:5" ht="20.25" customHeight="1">
      <c r="C496" s="96" t="s">
        <v>8274</v>
      </c>
      <c r="E496" s="98" t="s">
        <v>4437</v>
      </c>
    </row>
    <row r="497" spans="3:5" ht="20.25" customHeight="1">
      <c r="C497" s="91" t="s">
        <v>8275</v>
      </c>
      <c r="E497" s="103">
        <v>45049</v>
      </c>
    </row>
    <row r="498" spans="3:5" ht="20.25" customHeight="1">
      <c r="C498" s="91" t="s">
        <v>8276</v>
      </c>
      <c r="E498" s="100">
        <v>44923</v>
      </c>
    </row>
    <row r="499" spans="3:5" ht="20.25" customHeight="1">
      <c r="C499" s="91" t="s">
        <v>8277</v>
      </c>
      <c r="E499" s="98" t="s">
        <v>4437</v>
      </c>
    </row>
    <row r="500" spans="3:5" ht="20.25" customHeight="1">
      <c r="C500" s="91" t="s">
        <v>8278</v>
      </c>
      <c r="E500" s="100">
        <v>44877</v>
      </c>
    </row>
    <row r="501" spans="3:5" ht="20.25" customHeight="1">
      <c r="C501" s="91" t="s">
        <v>8279</v>
      </c>
      <c r="E501" s="100">
        <v>44862</v>
      </c>
    </row>
    <row r="502" spans="3:5" ht="20.25" customHeight="1">
      <c r="C502" s="96" t="s">
        <v>8280</v>
      </c>
      <c r="E502" s="100">
        <v>44862</v>
      </c>
    </row>
    <row r="503" spans="3:5" ht="20.25" customHeight="1">
      <c r="C503" s="91" t="s">
        <v>8281</v>
      </c>
      <c r="E503" s="98" t="s">
        <v>4437</v>
      </c>
    </row>
    <row r="504" spans="3:5" ht="20.25" customHeight="1">
      <c r="C504" s="91" t="s">
        <v>8282</v>
      </c>
      <c r="E504" s="100">
        <v>44889</v>
      </c>
    </row>
    <row r="505" spans="3:5" ht="20.25" customHeight="1">
      <c r="C505" s="91" t="s">
        <v>8283</v>
      </c>
      <c r="E505" s="98" t="s">
        <v>4437</v>
      </c>
    </row>
    <row r="506" spans="3:5" ht="20.25" customHeight="1">
      <c r="C506" s="91" t="s">
        <v>8284</v>
      </c>
      <c r="E506" s="98" t="s">
        <v>4437</v>
      </c>
    </row>
    <row r="507" spans="3:5" ht="20.25" customHeight="1">
      <c r="C507" s="91" t="s">
        <v>8285</v>
      </c>
      <c r="E507" s="98" t="s">
        <v>4437</v>
      </c>
    </row>
    <row r="508" spans="3:5" ht="20.25" customHeight="1">
      <c r="C508" s="91" t="s">
        <v>8286</v>
      </c>
      <c r="E508" s="100">
        <v>44862</v>
      </c>
    </row>
    <row r="509" spans="3:5" ht="20.25" customHeight="1">
      <c r="C509" s="91" t="s">
        <v>8287</v>
      </c>
      <c r="E509" s="100">
        <v>44862</v>
      </c>
    </row>
    <row r="510" spans="3:5" ht="20.25" customHeight="1">
      <c r="C510" s="91" t="s">
        <v>8288</v>
      </c>
      <c r="E510" s="100">
        <v>44889</v>
      </c>
    </row>
    <row r="511" spans="3:5" ht="20.25" customHeight="1">
      <c r="C511" s="91" t="s">
        <v>8289</v>
      </c>
      <c r="E511" s="100">
        <v>44869</v>
      </c>
    </row>
    <row r="512" spans="3:5" ht="20.25" customHeight="1">
      <c r="C512" s="91" t="s">
        <v>8290</v>
      </c>
      <c r="E512" s="105">
        <v>45013</v>
      </c>
    </row>
    <row r="513" spans="3:5" ht="20.25" customHeight="1">
      <c r="C513" s="91" t="s">
        <v>8291</v>
      </c>
      <c r="E513" s="105">
        <v>45013</v>
      </c>
    </row>
    <row r="514" spans="3:5" ht="20.25" customHeight="1">
      <c r="C514" s="91" t="s">
        <v>8292</v>
      </c>
      <c r="E514" s="100">
        <v>44816</v>
      </c>
    </row>
    <row r="515" spans="3:5" ht="20.25" customHeight="1">
      <c r="C515" s="91" t="s">
        <v>8293</v>
      </c>
      <c r="E515" s="98" t="s">
        <v>4437</v>
      </c>
    </row>
    <row r="516" spans="3:5" ht="20.25" customHeight="1">
      <c r="C516" s="91" t="s">
        <v>8294</v>
      </c>
      <c r="E516" s="98" t="s">
        <v>4437</v>
      </c>
    </row>
    <row r="517" spans="3:5" ht="20.25" customHeight="1">
      <c r="C517" s="91" t="s">
        <v>8295</v>
      </c>
      <c r="E517" s="98" t="s">
        <v>4437</v>
      </c>
    </row>
    <row r="518" spans="3:5" ht="20.25" customHeight="1">
      <c r="C518" s="91" t="s">
        <v>8296</v>
      </c>
      <c r="E518" s="98" t="s">
        <v>4437</v>
      </c>
    </row>
    <row r="519" spans="3:5" ht="20.25" customHeight="1">
      <c r="C519" s="91" t="s">
        <v>8297</v>
      </c>
      <c r="E519" s="98" t="s">
        <v>4437</v>
      </c>
    </row>
    <row r="520" spans="3:5" ht="20.25" customHeight="1">
      <c r="C520" s="91" t="s">
        <v>8298</v>
      </c>
      <c r="E520" s="98" t="s">
        <v>4437</v>
      </c>
    </row>
    <row r="521" spans="3:5" ht="20.25" customHeight="1">
      <c r="C521" s="91" t="s">
        <v>8299</v>
      </c>
      <c r="E521" s="98" t="s">
        <v>4437</v>
      </c>
    </row>
    <row r="522" spans="3:5" ht="20.25" customHeight="1">
      <c r="C522" s="91" t="s">
        <v>8300</v>
      </c>
      <c r="E522" s="98" t="s">
        <v>4437</v>
      </c>
    </row>
    <row r="523" spans="3:5" ht="20.25" customHeight="1">
      <c r="C523" s="91" t="s">
        <v>8301</v>
      </c>
      <c r="E523" s="100">
        <v>44869</v>
      </c>
    </row>
    <row r="524" spans="3:5" ht="20.25" customHeight="1">
      <c r="C524" s="91" t="s">
        <v>8302</v>
      </c>
      <c r="E524" s="100">
        <v>44862</v>
      </c>
    </row>
    <row r="525" spans="3:5" ht="20.25" customHeight="1">
      <c r="C525" s="91" t="s">
        <v>8303</v>
      </c>
      <c r="E525" s="100">
        <v>44869</v>
      </c>
    </row>
    <row r="526" spans="3:5" ht="20.25" customHeight="1">
      <c r="C526" s="91" t="s">
        <v>8304</v>
      </c>
      <c r="E526" s="98" t="s">
        <v>4437</v>
      </c>
    </row>
    <row r="527" spans="3:5" ht="20.25" customHeight="1">
      <c r="C527" s="91" t="s">
        <v>8305</v>
      </c>
      <c r="E527" s="98" t="s">
        <v>4437</v>
      </c>
    </row>
    <row r="528" spans="3:5" ht="20.25" customHeight="1">
      <c r="C528" s="91" t="s">
        <v>8306</v>
      </c>
      <c r="E528" s="98" t="s">
        <v>4437</v>
      </c>
    </row>
    <row r="529" spans="3:5" ht="20.25" customHeight="1">
      <c r="C529" s="91" t="s">
        <v>8307</v>
      </c>
      <c r="E529" s="100">
        <v>44889</v>
      </c>
    </row>
    <row r="530" spans="3:5" ht="20.25" customHeight="1">
      <c r="C530" s="91" t="s">
        <v>8308</v>
      </c>
      <c r="E530" s="100">
        <v>44910</v>
      </c>
    </row>
    <row r="531" spans="3:5" ht="20.25" customHeight="1">
      <c r="C531" s="91" t="s">
        <v>8309</v>
      </c>
      <c r="E531" s="100">
        <v>44869</v>
      </c>
    </row>
    <row r="532" spans="3:5" ht="20.25" customHeight="1">
      <c r="C532" s="91" t="s">
        <v>8310</v>
      </c>
      <c r="E532" s="100">
        <v>44889</v>
      </c>
    </row>
    <row r="533" spans="3:5" ht="20.25" customHeight="1">
      <c r="C533" s="91" t="s">
        <v>8311</v>
      </c>
      <c r="E533" s="100">
        <v>44910</v>
      </c>
    </row>
    <row r="534" spans="3:5" ht="20.25" customHeight="1">
      <c r="C534" s="91" t="s">
        <v>8312</v>
      </c>
      <c r="E534" s="100">
        <v>44889</v>
      </c>
    </row>
    <row r="535" spans="3:5" ht="20.25" customHeight="1">
      <c r="C535" s="91" t="s">
        <v>8313</v>
      </c>
      <c r="E535" s="100">
        <v>44910</v>
      </c>
    </row>
    <row r="536" spans="3:5" ht="20.25" customHeight="1">
      <c r="C536" s="91" t="s">
        <v>8314</v>
      </c>
      <c r="E536" s="100">
        <v>44877</v>
      </c>
    </row>
    <row r="537" spans="3:5" ht="20.25" customHeight="1">
      <c r="C537" s="91" t="s">
        <v>8315</v>
      </c>
      <c r="E537" s="100">
        <v>44862</v>
      </c>
    </row>
    <row r="538" spans="3:5" ht="20.25" customHeight="1">
      <c r="C538" s="91" t="s">
        <v>8316</v>
      </c>
      <c r="E538" s="98" t="s">
        <v>4437</v>
      </c>
    </row>
    <row r="539" spans="3:5" ht="20.25" customHeight="1">
      <c r="C539" s="91" t="s">
        <v>8317</v>
      </c>
      <c r="E539" s="98" t="s">
        <v>4437</v>
      </c>
    </row>
    <row r="540" spans="3:5" ht="20.25" customHeight="1">
      <c r="C540" s="91" t="s">
        <v>8318</v>
      </c>
      <c r="E540" s="98" t="s">
        <v>4437</v>
      </c>
    </row>
    <row r="541" spans="3:5" ht="20.25" customHeight="1">
      <c r="C541" s="91" t="s">
        <v>8319</v>
      </c>
      <c r="E541" s="98" t="s">
        <v>4437</v>
      </c>
    </row>
    <row r="542" spans="3:5" ht="20.25" customHeight="1">
      <c r="C542" s="91" t="s">
        <v>8320</v>
      </c>
      <c r="E542" s="100">
        <v>44816</v>
      </c>
    </row>
    <row r="543" spans="3:5" ht="20.25" customHeight="1">
      <c r="C543" s="91" t="s">
        <v>8321</v>
      </c>
      <c r="E543" s="100">
        <v>44961</v>
      </c>
    </row>
    <row r="544" spans="3:5" ht="20.25" customHeight="1">
      <c r="C544" s="91" t="s">
        <v>8322</v>
      </c>
      <c r="E544" s="98" t="s">
        <v>4437</v>
      </c>
    </row>
    <row r="545" spans="3:5" ht="20.25" customHeight="1">
      <c r="C545" s="91" t="s">
        <v>8323</v>
      </c>
      <c r="E545" s="100">
        <v>44889</v>
      </c>
    </row>
    <row r="546" spans="3:5" ht="20.25" customHeight="1">
      <c r="C546" s="91" t="s">
        <v>8324</v>
      </c>
      <c r="E546" s="100">
        <v>44816</v>
      </c>
    </row>
    <row r="547" spans="3:5" ht="20.25" customHeight="1">
      <c r="C547" s="91" t="s">
        <v>8325</v>
      </c>
      <c r="E547" s="100">
        <v>44961</v>
      </c>
    </row>
    <row r="548" spans="3:5" ht="20.25" customHeight="1">
      <c r="C548" s="91" t="s">
        <v>8326</v>
      </c>
      <c r="E548" s="100">
        <v>44910</v>
      </c>
    </row>
    <row r="549" spans="3:5" ht="20.25" customHeight="1">
      <c r="C549" s="91" t="s">
        <v>8327</v>
      </c>
      <c r="E549" s="100">
        <v>44889</v>
      </c>
    </row>
    <row r="550" spans="3:5" ht="20.25" customHeight="1">
      <c r="C550" s="95" t="s">
        <v>8328</v>
      </c>
      <c r="E550" s="100">
        <v>44816</v>
      </c>
    </row>
    <row r="551" spans="3:5" ht="20.25" customHeight="1">
      <c r="C551" s="91" t="s">
        <v>8329</v>
      </c>
      <c r="E551" s="100">
        <v>44889</v>
      </c>
    </row>
    <row r="552" spans="3:5" ht="20.25" customHeight="1">
      <c r="C552" s="91" t="s">
        <v>8330</v>
      </c>
      <c r="E552" s="100">
        <v>44816</v>
      </c>
    </row>
    <row r="553" spans="3:5" ht="20.25" customHeight="1">
      <c r="C553" s="91" t="s">
        <v>8331</v>
      </c>
      <c r="E553" s="98" t="s">
        <v>4437</v>
      </c>
    </row>
    <row r="554" spans="3:5" ht="20.25" customHeight="1">
      <c r="C554" s="91" t="s">
        <v>8332</v>
      </c>
      <c r="E554" s="98" t="s">
        <v>4437</v>
      </c>
    </row>
    <row r="555" spans="3:5" ht="20.25" customHeight="1">
      <c r="C555" s="91" t="s">
        <v>8333</v>
      </c>
      <c r="E555" s="98" t="s">
        <v>4437</v>
      </c>
    </row>
    <row r="556" spans="3:5" ht="20.25" customHeight="1">
      <c r="C556" s="91" t="s">
        <v>8334</v>
      </c>
      <c r="E556" s="100">
        <v>44889</v>
      </c>
    </row>
    <row r="557" spans="3:5" ht="20.25" customHeight="1">
      <c r="C557" s="91" t="s">
        <v>8335</v>
      </c>
      <c r="E557" s="98" t="s">
        <v>4437</v>
      </c>
    </row>
    <row r="558" spans="3:5" ht="20.25" customHeight="1">
      <c r="C558" s="91" t="s">
        <v>8336</v>
      </c>
      <c r="E558" s="98" t="s">
        <v>4437</v>
      </c>
    </row>
    <row r="559" spans="3:5" ht="20.25" customHeight="1">
      <c r="C559" s="91" t="s">
        <v>8337</v>
      </c>
      <c r="E559" s="100">
        <v>44889</v>
      </c>
    </row>
    <row r="560" spans="3:5" ht="20.25" customHeight="1">
      <c r="C560" s="91" t="s">
        <v>8338</v>
      </c>
      <c r="E560" s="100">
        <v>44889</v>
      </c>
    </row>
    <row r="561" spans="3:5" ht="20.25" customHeight="1">
      <c r="C561" s="91" t="s">
        <v>8339</v>
      </c>
      <c r="E561" s="100"/>
    </row>
    <row r="562" spans="3:5" ht="20.25" customHeight="1">
      <c r="C562" s="91" t="s">
        <v>8340</v>
      </c>
      <c r="E562" s="100">
        <v>45097</v>
      </c>
    </row>
    <row r="563" spans="3:5" ht="20.25" customHeight="1">
      <c r="C563" s="91" t="s">
        <v>8341</v>
      </c>
      <c r="E563" s="100">
        <v>44910</v>
      </c>
    </row>
    <row r="564" spans="3:5" ht="20.25" customHeight="1">
      <c r="C564" s="90" t="s">
        <v>8342</v>
      </c>
      <c r="E564" s="100">
        <v>44923</v>
      </c>
    </row>
    <row r="565" spans="3:5" ht="20.25" customHeight="1">
      <c r="C565" s="91" t="s">
        <v>8343</v>
      </c>
      <c r="E565" s="100">
        <v>44923</v>
      </c>
    </row>
    <row r="566" spans="3:5" ht="20.25" customHeight="1">
      <c r="C566" s="91" t="s">
        <v>8344</v>
      </c>
      <c r="E566" s="100">
        <v>44910</v>
      </c>
    </row>
    <row r="567" spans="3:5" ht="20.25" customHeight="1">
      <c r="C567" s="91" t="s">
        <v>8345</v>
      </c>
      <c r="E567" s="100">
        <v>44910</v>
      </c>
    </row>
    <row r="568" spans="3:5" ht="20.25" customHeight="1">
      <c r="C568" s="91" t="s">
        <v>8346</v>
      </c>
      <c r="E568" s="98" t="s">
        <v>4437</v>
      </c>
    </row>
    <row r="569" spans="3:5" ht="20.25" customHeight="1">
      <c r="C569" s="91" t="s">
        <v>8347</v>
      </c>
      <c r="E569" s="100">
        <v>44923</v>
      </c>
    </row>
    <row r="570" spans="3:5" ht="20.25" customHeight="1">
      <c r="C570" s="91" t="s">
        <v>8348</v>
      </c>
      <c r="E570" s="100">
        <v>44910</v>
      </c>
    </row>
    <row r="571" spans="3:5" ht="20.25" customHeight="1">
      <c r="C571" s="91" t="s">
        <v>8349</v>
      </c>
      <c r="E571" s="100">
        <v>44923</v>
      </c>
    </row>
    <row r="572" spans="3:5" ht="20.25" customHeight="1">
      <c r="C572" s="91" t="s">
        <v>8350</v>
      </c>
      <c r="E572" s="100">
        <v>44910</v>
      </c>
    </row>
    <row r="573" spans="3:5" ht="20.25" customHeight="1">
      <c r="C573" s="91" t="s">
        <v>7834</v>
      </c>
      <c r="E573" s="100">
        <v>44910</v>
      </c>
    </row>
    <row r="574" spans="3:5" ht="20.25" customHeight="1">
      <c r="C574" s="91" t="s">
        <v>7836</v>
      </c>
      <c r="E574" s="100">
        <v>44869</v>
      </c>
    </row>
    <row r="575" spans="3:5" ht="20.25" customHeight="1">
      <c r="C575" s="91" t="s">
        <v>8351</v>
      </c>
      <c r="E575" s="100">
        <v>44869</v>
      </c>
    </row>
    <row r="576" spans="3:5" ht="20.25" customHeight="1">
      <c r="C576" s="91" t="s">
        <v>8352</v>
      </c>
      <c r="E576" s="100">
        <v>44876</v>
      </c>
    </row>
    <row r="577" spans="3:5" ht="20.25" customHeight="1">
      <c r="C577" s="90" t="s">
        <v>8353</v>
      </c>
      <c r="E577" s="98" t="s">
        <v>4437</v>
      </c>
    </row>
    <row r="578" spans="3:5" ht="20.25" customHeight="1">
      <c r="C578" s="91" t="s">
        <v>8354</v>
      </c>
      <c r="E578" s="100">
        <v>44869</v>
      </c>
    </row>
    <row r="579" spans="3:5" ht="20.25" customHeight="1">
      <c r="C579" s="91" t="s">
        <v>8355</v>
      </c>
      <c r="E579" s="98" t="s">
        <v>4437</v>
      </c>
    </row>
    <row r="580" spans="3:5" ht="20.25" customHeight="1">
      <c r="C580" s="91" t="s">
        <v>8356</v>
      </c>
      <c r="E580" s="98" t="s">
        <v>4437</v>
      </c>
    </row>
    <row r="581" spans="3:5" ht="20.25" customHeight="1">
      <c r="C581" s="91" t="s">
        <v>8357</v>
      </c>
      <c r="E581" s="98" t="s">
        <v>4437</v>
      </c>
    </row>
    <row r="582" spans="3:5" ht="20.25" customHeight="1">
      <c r="C582" s="91" t="s">
        <v>7838</v>
      </c>
      <c r="E582" s="98" t="s">
        <v>4437</v>
      </c>
    </row>
    <row r="583" spans="3:5" ht="20.25" customHeight="1">
      <c r="C583" s="91" t="s">
        <v>8358</v>
      </c>
      <c r="E583" s="98" t="s">
        <v>4437</v>
      </c>
    </row>
    <row r="584" spans="3:5" ht="20.25" customHeight="1">
      <c r="C584" s="91" t="s">
        <v>8359</v>
      </c>
      <c r="E584" s="98" t="s">
        <v>4437</v>
      </c>
    </row>
    <row r="585" spans="3:5" ht="20.25" customHeight="1">
      <c r="C585" s="91" t="s">
        <v>8360</v>
      </c>
      <c r="E585" s="98" t="s">
        <v>4437</v>
      </c>
    </row>
    <row r="586" spans="3:5" ht="20.25" customHeight="1">
      <c r="C586" s="91" t="s">
        <v>8361</v>
      </c>
      <c r="E586" s="98" t="s">
        <v>4437</v>
      </c>
    </row>
    <row r="587" spans="3:5" ht="20.25" customHeight="1">
      <c r="C587" s="91" t="s">
        <v>8362</v>
      </c>
      <c r="E587" s="98" t="s">
        <v>4437</v>
      </c>
    </row>
    <row r="588" spans="3:5" ht="20.25" customHeight="1">
      <c r="C588" s="91" t="s">
        <v>8363</v>
      </c>
      <c r="E588" s="98" t="s">
        <v>4437</v>
      </c>
    </row>
    <row r="589" spans="3:5" ht="20.25" customHeight="1">
      <c r="C589" s="91" t="s">
        <v>8364</v>
      </c>
      <c r="E589" s="98" t="s">
        <v>4437</v>
      </c>
    </row>
    <row r="590" spans="3:5" ht="20.25" customHeight="1">
      <c r="C590" s="91" t="s">
        <v>8365</v>
      </c>
      <c r="E590" s="98" t="s">
        <v>4437</v>
      </c>
    </row>
    <row r="591" spans="3:5" ht="20.25" customHeight="1">
      <c r="C591" s="91" t="s">
        <v>8366</v>
      </c>
      <c r="E591" s="98" t="s">
        <v>4437</v>
      </c>
    </row>
    <row r="592" spans="3:5" ht="20.25" customHeight="1">
      <c r="C592" s="91" t="s">
        <v>8367</v>
      </c>
      <c r="E592" s="100">
        <v>44910</v>
      </c>
    </row>
    <row r="593" spans="3:5" ht="20.25" customHeight="1">
      <c r="C593" s="91" t="s">
        <v>8368</v>
      </c>
      <c r="E593" s="98" t="s">
        <v>4437</v>
      </c>
    </row>
    <row r="594" spans="3:5" ht="20.25" customHeight="1">
      <c r="C594" s="91" t="s">
        <v>8369</v>
      </c>
      <c r="E594" s="100">
        <v>44910</v>
      </c>
    </row>
    <row r="595" spans="3:5" ht="20.25" customHeight="1">
      <c r="C595" s="91" t="s">
        <v>8370</v>
      </c>
      <c r="E595" s="98" t="s">
        <v>4437</v>
      </c>
    </row>
    <row r="596" spans="3:5" ht="20.25" customHeight="1">
      <c r="C596" s="91" t="s">
        <v>8371</v>
      </c>
      <c r="E596" s="100">
        <v>44910</v>
      </c>
    </row>
    <row r="597" spans="3:5" ht="20.25" customHeight="1">
      <c r="C597" s="91" t="s">
        <v>8372</v>
      </c>
      <c r="E597" s="98" t="s">
        <v>4437</v>
      </c>
    </row>
    <row r="598" spans="3:5" ht="20.25" customHeight="1">
      <c r="C598" s="95" t="s">
        <v>8373</v>
      </c>
      <c r="E598" s="98" t="s">
        <v>4437</v>
      </c>
    </row>
    <row r="599" spans="3:5" ht="20.25" customHeight="1">
      <c r="C599" s="91" t="s">
        <v>8374</v>
      </c>
      <c r="E599" s="98" t="s">
        <v>4437</v>
      </c>
    </row>
    <row r="600" spans="3:5" ht="20.25" customHeight="1">
      <c r="C600" s="91" t="s">
        <v>8375</v>
      </c>
      <c r="E600" s="98" t="s">
        <v>4437</v>
      </c>
    </row>
    <row r="601" spans="3:5" ht="20.25" customHeight="1">
      <c r="C601" s="91" t="s">
        <v>8376</v>
      </c>
      <c r="E601" s="103">
        <v>45065</v>
      </c>
    </row>
    <row r="602" spans="3:5" ht="20.25" customHeight="1">
      <c r="C602" s="91" t="s">
        <v>8377</v>
      </c>
      <c r="E602" s="103">
        <v>45148</v>
      </c>
    </row>
    <row r="603" spans="3:5" ht="20.25" customHeight="1">
      <c r="C603" s="91" t="s">
        <v>8378</v>
      </c>
      <c r="E603" s="100">
        <v>44910</v>
      </c>
    </row>
    <row r="604" spans="3:5" ht="20.25" customHeight="1">
      <c r="C604" s="91" t="s">
        <v>8379</v>
      </c>
      <c r="E604" s="110">
        <v>45040</v>
      </c>
    </row>
    <row r="605" spans="3:5" ht="20.25" customHeight="1">
      <c r="C605" s="91" t="s">
        <v>8380</v>
      </c>
      <c r="E605" s="98" t="s">
        <v>4437</v>
      </c>
    </row>
    <row r="606" spans="3:5" ht="20.25" customHeight="1">
      <c r="C606" s="91" t="s">
        <v>8381</v>
      </c>
      <c r="E606" s="103">
        <v>45065</v>
      </c>
    </row>
    <row r="607" spans="3:5" ht="20.25" customHeight="1">
      <c r="C607" s="91" t="s">
        <v>8382</v>
      </c>
      <c r="E607" s="98" t="s">
        <v>4437</v>
      </c>
    </row>
    <row r="608" spans="3:5" ht="20.25" customHeight="1">
      <c r="C608" s="91" t="s">
        <v>8383</v>
      </c>
      <c r="E608" s="110">
        <v>45040</v>
      </c>
    </row>
    <row r="609" spans="3:5" ht="20.25" customHeight="1">
      <c r="C609" s="91" t="s">
        <v>8384</v>
      </c>
      <c r="E609" s="100">
        <v>44923</v>
      </c>
    </row>
    <row r="610" spans="3:5" ht="20.25" customHeight="1">
      <c r="C610" s="91" t="s">
        <v>8385</v>
      </c>
      <c r="E610" s="103">
        <v>45065</v>
      </c>
    </row>
    <row r="611" spans="3:5" ht="20.25" customHeight="1">
      <c r="C611" s="91" t="s">
        <v>8386</v>
      </c>
      <c r="E611" s="98" t="s">
        <v>4437</v>
      </c>
    </row>
    <row r="612" spans="3:5" ht="20.25" customHeight="1">
      <c r="C612" s="91" t="s">
        <v>8387</v>
      </c>
      <c r="E612" s="98" t="s">
        <v>4437</v>
      </c>
    </row>
    <row r="613" spans="3:5" ht="20.25" customHeight="1">
      <c r="C613" s="91" t="s">
        <v>8388</v>
      </c>
      <c r="E613" s="100">
        <v>44910</v>
      </c>
    </row>
    <row r="614" spans="3:5" ht="20.25" customHeight="1">
      <c r="C614" s="91" t="s">
        <v>8389</v>
      </c>
      <c r="E614" s="100">
        <v>44923</v>
      </c>
    </row>
    <row r="615" spans="3:5" ht="20.25" customHeight="1">
      <c r="C615" s="91" t="s">
        <v>8390</v>
      </c>
      <c r="E615" s="100">
        <v>44910</v>
      </c>
    </row>
    <row r="616" spans="3:5" ht="20.25" customHeight="1">
      <c r="C616" s="90" t="s">
        <v>8391</v>
      </c>
      <c r="E616" s="100">
        <v>44869</v>
      </c>
    </row>
    <row r="617" spans="3:5" ht="20.25" customHeight="1">
      <c r="C617" s="91" t="s">
        <v>8392</v>
      </c>
      <c r="E617" s="100">
        <v>44910</v>
      </c>
    </row>
    <row r="618" spans="3:5" ht="20.25" customHeight="1">
      <c r="C618" s="91" t="s">
        <v>8393</v>
      </c>
      <c r="E618" s="98"/>
    </row>
    <row r="619" spans="3:5" ht="20.25" customHeight="1">
      <c r="C619" s="91" t="s">
        <v>8394</v>
      </c>
      <c r="E619" s="100">
        <v>44910</v>
      </c>
    </row>
    <row r="620" spans="3:5" ht="20.25" customHeight="1">
      <c r="C620" s="91" t="s">
        <v>7840</v>
      </c>
      <c r="E620" s="98" t="s">
        <v>4437</v>
      </c>
    </row>
    <row r="621" spans="3:5" ht="20.25" customHeight="1">
      <c r="C621" s="91" t="s">
        <v>8395</v>
      </c>
      <c r="E621" s="100">
        <v>44923</v>
      </c>
    </row>
    <row r="622" spans="3:5" ht="20.25" customHeight="1">
      <c r="C622" s="91" t="s">
        <v>8396</v>
      </c>
      <c r="E622" s="100">
        <v>44910</v>
      </c>
    </row>
    <row r="623" spans="3:5" ht="20.25" customHeight="1">
      <c r="C623" s="91" t="s">
        <v>8397</v>
      </c>
      <c r="E623" s="100">
        <v>44910</v>
      </c>
    </row>
    <row r="624" spans="3:5" ht="20.25" customHeight="1">
      <c r="C624" s="91" t="s">
        <v>8398</v>
      </c>
      <c r="E624" s="98"/>
    </row>
    <row r="625" spans="3:5" ht="20.25" customHeight="1">
      <c r="C625" s="91" t="s">
        <v>8399</v>
      </c>
      <c r="E625" s="107"/>
    </row>
    <row r="626" spans="3:5" ht="20.25" customHeight="1">
      <c r="C626" s="91" t="s">
        <v>8400</v>
      </c>
      <c r="E626" s="107"/>
    </row>
    <row r="627" spans="3:5" ht="20.25" customHeight="1">
      <c r="C627" s="91" t="s">
        <v>8401</v>
      </c>
      <c r="E627" s="107"/>
    </row>
    <row r="628" spans="3:5" ht="20.25" customHeight="1">
      <c r="C628" s="91" t="s">
        <v>8402</v>
      </c>
      <c r="E628" s="107"/>
    </row>
    <row r="629" spans="3:5" ht="20.25" customHeight="1">
      <c r="C629" s="91" t="s">
        <v>8403</v>
      </c>
      <c r="E629" s="107"/>
    </row>
    <row r="630" spans="3:5" ht="20.25" customHeight="1">
      <c r="C630" s="91" t="s">
        <v>8404</v>
      </c>
      <c r="E630" s="107"/>
    </row>
    <row r="631" spans="3:5" ht="20.25" customHeight="1">
      <c r="C631" s="91" t="s">
        <v>8405</v>
      </c>
      <c r="E631" s="107"/>
    </row>
    <row r="632" spans="3:5" ht="20.25" customHeight="1">
      <c r="C632" s="91" t="s">
        <v>8406</v>
      </c>
      <c r="E632" s="107"/>
    </row>
    <row r="633" spans="3:5" ht="20.25" customHeight="1">
      <c r="C633" s="91" t="s">
        <v>8407</v>
      </c>
      <c r="E633" s="107"/>
    </row>
    <row r="634" spans="3:5" ht="20.25" customHeight="1">
      <c r="C634" s="91" t="s">
        <v>8408</v>
      </c>
      <c r="E634" s="107"/>
    </row>
    <row r="635" spans="3:5" ht="20.25" customHeight="1">
      <c r="C635" s="95" t="s">
        <v>8409</v>
      </c>
      <c r="E635" s="107"/>
    </row>
    <row r="636" spans="3:5" ht="20.25" customHeight="1">
      <c r="C636" s="91" t="s">
        <v>8410</v>
      </c>
      <c r="E636" s="107"/>
    </row>
    <row r="637" spans="3:5" ht="20.25" customHeight="1">
      <c r="C637" s="91" t="s">
        <v>8411</v>
      </c>
      <c r="E637" s="107"/>
    </row>
    <row r="638" spans="3:5" ht="20.25" customHeight="1">
      <c r="C638" s="95" t="s">
        <v>8412</v>
      </c>
      <c r="E638" s="107"/>
    </row>
    <row r="639" spans="3:5" ht="20.25" customHeight="1">
      <c r="C639" s="91" t="s">
        <v>8413</v>
      </c>
      <c r="E639" s="107"/>
    </row>
    <row r="640" spans="3:5" ht="20.25" customHeight="1">
      <c r="C640" s="91" t="s">
        <v>8414</v>
      </c>
      <c r="E640" s="107"/>
    </row>
    <row r="641" spans="3:5" ht="20.25" customHeight="1">
      <c r="C641" s="91" t="s">
        <v>8415</v>
      </c>
      <c r="E641" s="107"/>
    </row>
    <row r="642" spans="3:5" ht="20.25" customHeight="1">
      <c r="C642" s="91" t="s">
        <v>8416</v>
      </c>
      <c r="E642" s="107"/>
    </row>
    <row r="643" spans="3:5" ht="20.25" customHeight="1">
      <c r="C643" s="95" t="s">
        <v>8417</v>
      </c>
      <c r="E643" s="107"/>
    </row>
    <row r="644" spans="3:5" ht="20.25" customHeight="1">
      <c r="C644" s="91" t="s">
        <v>8418</v>
      </c>
      <c r="E644" s="107"/>
    </row>
    <row r="645" spans="3:5" ht="20.25" customHeight="1">
      <c r="C645" s="91" t="s">
        <v>8419</v>
      </c>
      <c r="E645" s="107"/>
    </row>
    <row r="646" spans="3:5" ht="20.25" customHeight="1">
      <c r="C646" s="96" t="s">
        <v>7842</v>
      </c>
      <c r="E646" s="107"/>
    </row>
    <row r="647" spans="3:5" ht="20.25" customHeight="1">
      <c r="C647" s="95" t="s">
        <v>8420</v>
      </c>
      <c r="E647" s="98" t="s">
        <v>4437</v>
      </c>
    </row>
    <row r="648" spans="3:5" ht="20.25" customHeight="1">
      <c r="C648" s="91" t="s">
        <v>8421</v>
      </c>
      <c r="E648" s="98" t="s">
        <v>4437</v>
      </c>
    </row>
    <row r="649" spans="3:5" ht="20.25" customHeight="1">
      <c r="C649" s="91" t="s">
        <v>7844</v>
      </c>
      <c r="E649" s="98" t="s">
        <v>4437</v>
      </c>
    </row>
    <row r="650" spans="3:5" ht="20.25" customHeight="1">
      <c r="C650" s="91" t="s">
        <v>7846</v>
      </c>
      <c r="E650" s="107" t="s">
        <v>4437</v>
      </c>
    </row>
    <row r="651" spans="3:5" ht="20.25" customHeight="1">
      <c r="C651" s="91" t="s">
        <v>8422</v>
      </c>
      <c r="E651" s="107"/>
    </row>
    <row r="652" spans="3:5" ht="20.25" customHeight="1">
      <c r="C652" s="91" t="s">
        <v>7848</v>
      </c>
      <c r="E652" s="107"/>
    </row>
    <row r="653" spans="3:5" ht="20.25" customHeight="1">
      <c r="C653" s="91" t="s">
        <v>8423</v>
      </c>
      <c r="E653" s="107"/>
    </row>
    <row r="654" spans="3:5" ht="20.25" customHeight="1">
      <c r="C654" s="91" t="s">
        <v>8424</v>
      </c>
      <c r="E654" s="107"/>
    </row>
    <row r="655" spans="3:5" ht="20.25" customHeight="1">
      <c r="C655" s="91" t="s">
        <v>8425</v>
      </c>
      <c r="E655" s="107"/>
    </row>
    <row r="656" spans="3:5" ht="20.25" customHeight="1">
      <c r="C656" s="91" t="s">
        <v>8426</v>
      </c>
      <c r="E656" s="107"/>
    </row>
    <row r="657" spans="3:5" ht="20.25" customHeight="1">
      <c r="C657" s="91" t="s">
        <v>8427</v>
      </c>
      <c r="E657" s="107"/>
    </row>
    <row r="658" spans="3:5" ht="20.25" customHeight="1">
      <c r="C658" s="91" t="s">
        <v>8428</v>
      </c>
      <c r="E658" s="107"/>
    </row>
    <row r="659" spans="3:5" ht="20.25" customHeight="1">
      <c r="C659" s="91" t="s">
        <v>8429</v>
      </c>
      <c r="E659" s="107"/>
    </row>
    <row r="660" spans="3:5" ht="20.25" customHeight="1">
      <c r="C660" s="91" t="s">
        <v>8430</v>
      </c>
      <c r="E660" s="107"/>
    </row>
    <row r="661" spans="3:5" ht="20.25" customHeight="1">
      <c r="C661" s="91" t="s">
        <v>8431</v>
      </c>
      <c r="E661" s="107"/>
    </row>
    <row r="662" spans="3:5" ht="20.25" customHeight="1">
      <c r="C662" s="91" t="s">
        <v>8432</v>
      </c>
      <c r="E662" s="107"/>
    </row>
    <row r="663" spans="3:5" ht="20.25" customHeight="1">
      <c r="C663" s="91" t="s">
        <v>8433</v>
      </c>
      <c r="E663" s="107"/>
    </row>
    <row r="664" spans="3:5" ht="20.25" customHeight="1">
      <c r="C664" s="91" t="s">
        <v>7850</v>
      </c>
      <c r="E664" s="107"/>
    </row>
    <row r="665" spans="3:5" ht="20.25" customHeight="1">
      <c r="C665" s="91" t="s">
        <v>8434</v>
      </c>
      <c r="E665" s="107"/>
    </row>
    <row r="666" spans="3:5" ht="20.25" customHeight="1">
      <c r="C666" s="91" t="s">
        <v>8435</v>
      </c>
      <c r="E666" s="110">
        <v>45040</v>
      </c>
    </row>
    <row r="667" spans="3:5" ht="20.25" customHeight="1">
      <c r="C667" s="91" t="s">
        <v>8436</v>
      </c>
      <c r="E667" s="107"/>
    </row>
    <row r="668" spans="3:5" ht="20.25" customHeight="1">
      <c r="C668" s="91" t="s">
        <v>8437</v>
      </c>
      <c r="E668" s="107"/>
    </row>
    <row r="669" spans="3:5" ht="20.25" customHeight="1">
      <c r="C669" s="91" t="s">
        <v>8438</v>
      </c>
      <c r="E669" s="98"/>
    </row>
    <row r="670" spans="3:5" ht="20.25" customHeight="1">
      <c r="C670" s="91" t="s">
        <v>8439</v>
      </c>
      <c r="E670" s="107"/>
    </row>
    <row r="671" spans="3:5" ht="20.25" customHeight="1">
      <c r="C671" s="91" t="s">
        <v>8440</v>
      </c>
      <c r="E671" s="107"/>
    </row>
    <row r="672" spans="3:5" ht="20.25" customHeight="1">
      <c r="C672" s="91" t="s">
        <v>8441</v>
      </c>
      <c r="E672" s="100">
        <v>44922</v>
      </c>
    </row>
    <row r="673" spans="3:5" ht="20.25" customHeight="1">
      <c r="C673" s="91" t="s">
        <v>8442</v>
      </c>
      <c r="E673" s="107"/>
    </row>
    <row r="674" spans="3:5" ht="20.25" customHeight="1">
      <c r="C674" s="91" t="s">
        <v>8443</v>
      </c>
      <c r="E674" s="107"/>
    </row>
    <row r="675" spans="3:5" ht="20.25" customHeight="1">
      <c r="C675" s="91" t="s">
        <v>8444</v>
      </c>
      <c r="E675" s="107"/>
    </row>
    <row r="676" spans="3:5" ht="20.25" customHeight="1">
      <c r="C676" s="91" t="s">
        <v>8445</v>
      </c>
      <c r="E676" s="107"/>
    </row>
    <row r="677" spans="3:5" ht="20.25" customHeight="1">
      <c r="C677" s="91" t="s">
        <v>8446</v>
      </c>
      <c r="E677" s="107" t="s">
        <v>4437</v>
      </c>
    </row>
    <row r="678" spans="3:5" ht="20.25" customHeight="1">
      <c r="C678" s="91" t="s">
        <v>8447</v>
      </c>
      <c r="E678" s="107" t="s">
        <v>4437</v>
      </c>
    </row>
    <row r="679" spans="3:5" ht="20.25" customHeight="1">
      <c r="C679" s="91" t="s">
        <v>8448</v>
      </c>
      <c r="E679" s="107"/>
    </row>
    <row r="680" spans="3:5" ht="20.25" customHeight="1">
      <c r="C680" s="91" t="s">
        <v>8449</v>
      </c>
      <c r="E680" s="107" t="s">
        <v>4437</v>
      </c>
    </row>
    <row r="681" spans="3:5" ht="20.25" customHeight="1">
      <c r="C681" s="91" t="s">
        <v>8450</v>
      </c>
      <c r="E681" s="107"/>
    </row>
    <row r="682" spans="3:5" ht="20.25" customHeight="1">
      <c r="C682" s="91" t="s">
        <v>8451</v>
      </c>
      <c r="E682" s="107"/>
    </row>
    <row r="683" spans="3:5" ht="20.25" customHeight="1">
      <c r="C683" s="91" t="s">
        <v>8452</v>
      </c>
      <c r="E683" s="107"/>
    </row>
    <row r="684" spans="3:5" ht="20.25" customHeight="1">
      <c r="C684" s="91" t="s">
        <v>8453</v>
      </c>
      <c r="E684" s="98" t="s">
        <v>4437</v>
      </c>
    </row>
    <row r="685" spans="3:5" ht="20.25" customHeight="1">
      <c r="C685" s="91" t="s">
        <v>8454</v>
      </c>
      <c r="E685" s="110">
        <v>45040</v>
      </c>
    </row>
    <row r="686" spans="3:5" ht="20.25" customHeight="1">
      <c r="C686" s="91" t="s">
        <v>8455</v>
      </c>
      <c r="E686" s="107"/>
    </row>
    <row r="687" spans="3:5" ht="20.25" customHeight="1">
      <c r="C687" s="91" t="s">
        <v>8456</v>
      </c>
      <c r="E687" s="98" t="s">
        <v>4437</v>
      </c>
    </row>
    <row r="688" spans="3:5" ht="20.25" customHeight="1">
      <c r="C688" s="91" t="s">
        <v>8457</v>
      </c>
      <c r="E688" s="103">
        <v>45148</v>
      </c>
    </row>
    <row r="689" spans="3:5" ht="20.25" customHeight="1">
      <c r="C689" s="91" t="s">
        <v>8458</v>
      </c>
      <c r="E689" s="107"/>
    </row>
    <row r="690" spans="3:5" ht="20.25" customHeight="1">
      <c r="C690" s="91" t="s">
        <v>8459</v>
      </c>
      <c r="E690" s="103">
        <v>45049</v>
      </c>
    </row>
    <row r="691" spans="3:5" ht="20.25" customHeight="1">
      <c r="C691" s="91" t="s">
        <v>8460</v>
      </c>
      <c r="E691" s="98" t="s">
        <v>4437</v>
      </c>
    </row>
    <row r="692" spans="3:5" ht="20.25" customHeight="1">
      <c r="C692" s="91" t="s">
        <v>8461</v>
      </c>
      <c r="E692" s="107" t="s">
        <v>4437</v>
      </c>
    </row>
    <row r="693" spans="3:5" ht="20.25" customHeight="1">
      <c r="C693" s="91" t="s">
        <v>8462</v>
      </c>
      <c r="E693" s="107"/>
    </row>
    <row r="694" spans="3:5" ht="20.25" customHeight="1">
      <c r="C694" s="91" t="s">
        <v>8463</v>
      </c>
      <c r="E694" s="107"/>
    </row>
    <row r="695" spans="3:5" ht="20.25" customHeight="1">
      <c r="C695" s="91" t="s">
        <v>8464</v>
      </c>
      <c r="E695" s="103">
        <v>45049</v>
      </c>
    </row>
    <row r="696" spans="3:5" ht="20.25" customHeight="1">
      <c r="C696" s="91" t="s">
        <v>8465</v>
      </c>
      <c r="E696" s="100">
        <v>45058</v>
      </c>
    </row>
    <row r="697" spans="3:5" ht="20.25" customHeight="1">
      <c r="C697" s="91" t="s">
        <v>8466</v>
      </c>
      <c r="E697" s="107"/>
    </row>
    <row r="698" spans="3:5" ht="20.25" customHeight="1">
      <c r="C698" s="91" t="s">
        <v>8467</v>
      </c>
      <c r="E698" s="110">
        <v>45040</v>
      </c>
    </row>
    <row r="699" spans="3:5" ht="20.25" customHeight="1">
      <c r="C699" s="91" t="s">
        <v>8468</v>
      </c>
      <c r="E699" s="107"/>
    </row>
    <row r="700" spans="3:5" ht="20.25" customHeight="1">
      <c r="C700" s="91" t="s">
        <v>8469</v>
      </c>
      <c r="E700" s="98" t="s">
        <v>4437</v>
      </c>
    </row>
    <row r="701" spans="3:5" ht="20.25" customHeight="1">
      <c r="C701" s="91" t="s">
        <v>8470</v>
      </c>
      <c r="E701" s="107"/>
    </row>
    <row r="702" spans="3:5" ht="20.25" customHeight="1">
      <c r="C702" s="91" t="s">
        <v>8471</v>
      </c>
      <c r="E702" s="107"/>
    </row>
    <row r="703" spans="3:5" ht="20.25" customHeight="1">
      <c r="C703" s="91" t="s">
        <v>8472</v>
      </c>
      <c r="E703" s="107"/>
    </row>
    <row r="704" spans="3:5" ht="20.25" customHeight="1">
      <c r="C704" s="91" t="s">
        <v>8473</v>
      </c>
      <c r="E704" s="98" t="s">
        <v>4437</v>
      </c>
    </row>
    <row r="705" spans="3:5" ht="20.25" customHeight="1">
      <c r="C705" s="91" t="s">
        <v>8474</v>
      </c>
      <c r="E705" s="107"/>
    </row>
    <row r="706" spans="3:5" ht="20.25" customHeight="1">
      <c r="C706" s="91" t="s">
        <v>8475</v>
      </c>
      <c r="E706" s="107"/>
    </row>
    <row r="707" spans="3:5" ht="20.25" customHeight="1">
      <c r="C707" s="91" t="s">
        <v>8476</v>
      </c>
      <c r="E707" s="107"/>
    </row>
    <row r="708" spans="3:5" ht="20.25" customHeight="1">
      <c r="C708" s="91" t="s">
        <v>8477</v>
      </c>
      <c r="E708" s="98" t="s">
        <v>4437</v>
      </c>
    </row>
    <row r="709" spans="3:5" ht="20.25" customHeight="1">
      <c r="C709" s="91" t="s">
        <v>8478</v>
      </c>
      <c r="E709" s="98" t="s">
        <v>4437</v>
      </c>
    </row>
    <row r="710" spans="3:5" ht="20.25" customHeight="1">
      <c r="C710" s="91" t="s">
        <v>8479</v>
      </c>
      <c r="E710" s="107"/>
    </row>
    <row r="711" spans="3:5" ht="20.25" customHeight="1">
      <c r="C711" s="91" t="s">
        <v>8480</v>
      </c>
      <c r="E711" s="98" t="s">
        <v>4437</v>
      </c>
    </row>
    <row r="712" spans="3:5" ht="20.25" customHeight="1">
      <c r="C712" s="91" t="s">
        <v>8481</v>
      </c>
      <c r="E712" s="107"/>
    </row>
    <row r="713" spans="3:5" ht="20.25" customHeight="1">
      <c r="C713" s="91" t="s">
        <v>8482</v>
      </c>
      <c r="E713" s="107"/>
    </row>
    <row r="714" spans="3:5" ht="20.25" customHeight="1">
      <c r="C714" s="91" t="s">
        <v>8483</v>
      </c>
      <c r="E714" s="98" t="s">
        <v>4437</v>
      </c>
    </row>
    <row r="715" spans="3:5" ht="20.25" customHeight="1">
      <c r="C715" s="91" t="s">
        <v>8484</v>
      </c>
      <c r="E715" s="110">
        <v>45040</v>
      </c>
    </row>
    <row r="716" spans="3:5" ht="20.25" customHeight="1">
      <c r="C716" s="91" t="s">
        <v>8485</v>
      </c>
      <c r="E716" s="107"/>
    </row>
    <row r="717" spans="3:5" ht="20.25" customHeight="1">
      <c r="C717" s="91" t="s">
        <v>7852</v>
      </c>
      <c r="E717" s="98" t="s">
        <v>4437</v>
      </c>
    </row>
    <row r="718" spans="3:5" ht="20.25" customHeight="1">
      <c r="C718" s="91" t="s">
        <v>8486</v>
      </c>
      <c r="E718" s="100">
        <v>44923</v>
      </c>
    </row>
    <row r="719" spans="3:5" ht="20.25" customHeight="1">
      <c r="C719" s="91" t="s">
        <v>8487</v>
      </c>
      <c r="E719" s="107"/>
    </row>
    <row r="720" spans="3:5" ht="20.25" customHeight="1">
      <c r="C720" s="91" t="s">
        <v>8488</v>
      </c>
      <c r="E720" s="100">
        <v>44877</v>
      </c>
    </row>
    <row r="721" spans="3:5" ht="20.25" customHeight="1">
      <c r="C721" s="91" t="s">
        <v>8489</v>
      </c>
      <c r="E721" s="107"/>
    </row>
    <row r="722" spans="3:5" ht="20.25" customHeight="1">
      <c r="C722" s="91" t="s">
        <v>8490</v>
      </c>
      <c r="E722" s="107"/>
    </row>
    <row r="723" spans="3:5" ht="20.25" customHeight="1">
      <c r="C723" s="91" t="s">
        <v>8491</v>
      </c>
      <c r="E723" s="110">
        <v>45040</v>
      </c>
    </row>
    <row r="724" spans="3:5" ht="20.25" customHeight="1">
      <c r="C724" s="91" t="s">
        <v>8492</v>
      </c>
      <c r="E724" s="98" t="s">
        <v>4437</v>
      </c>
    </row>
    <row r="725" spans="3:5" ht="20.25" customHeight="1">
      <c r="C725" s="93" t="s">
        <v>8493</v>
      </c>
      <c r="E725" s="107"/>
    </row>
    <row r="726" spans="3:5" ht="20.25" customHeight="1">
      <c r="C726" s="91" t="s">
        <v>7854</v>
      </c>
      <c r="E726" s="107"/>
    </row>
    <row r="727" spans="3:5" ht="20.25" customHeight="1">
      <c r="C727" s="91" t="s">
        <v>8494</v>
      </c>
      <c r="E727" s="107"/>
    </row>
    <row r="728" spans="3:5" ht="20.25" customHeight="1">
      <c r="C728" s="91" t="s">
        <v>8495</v>
      </c>
      <c r="E728" s="107"/>
    </row>
    <row r="729" spans="3:5" ht="20.25" customHeight="1">
      <c r="C729" s="91" t="s">
        <v>7856</v>
      </c>
      <c r="E729" s="107"/>
    </row>
    <row r="730" spans="3:5" ht="20.25" customHeight="1">
      <c r="C730" s="91" t="s">
        <v>8496</v>
      </c>
      <c r="E730" s="107"/>
    </row>
    <row r="731" spans="3:5" ht="20.25" customHeight="1">
      <c r="C731" s="91" t="s">
        <v>8497</v>
      </c>
      <c r="E731" s="107"/>
    </row>
    <row r="732" spans="3:5" ht="20.25" customHeight="1">
      <c r="C732" s="96" t="s">
        <v>7858</v>
      </c>
      <c r="E732" s="107"/>
    </row>
    <row r="733" spans="3:5" ht="20.25" customHeight="1">
      <c r="C733" s="91" t="s">
        <v>8498</v>
      </c>
      <c r="E733" s="107"/>
    </row>
    <row r="734" spans="3:5" ht="20.25" customHeight="1">
      <c r="C734" s="91" t="s">
        <v>8499</v>
      </c>
      <c r="E734" s="107"/>
    </row>
    <row r="735" spans="3:5" ht="20.25" customHeight="1">
      <c r="C735" s="91" t="s">
        <v>8500</v>
      </c>
      <c r="E735" s="103">
        <v>45049</v>
      </c>
    </row>
    <row r="736" spans="3:5" ht="20.25" customHeight="1">
      <c r="C736" s="91" t="s">
        <v>8501</v>
      </c>
      <c r="E736" s="110">
        <v>45040</v>
      </c>
    </row>
    <row r="737" spans="3:5" ht="20.25" customHeight="1">
      <c r="C737" s="91" t="s">
        <v>8502</v>
      </c>
      <c r="E737" s="107"/>
    </row>
    <row r="738" spans="3:5" ht="20.25" customHeight="1">
      <c r="C738" s="91" t="s">
        <v>8503</v>
      </c>
      <c r="E738" s="107"/>
    </row>
    <row r="739" spans="3:5" ht="20.25" customHeight="1">
      <c r="C739" s="94" t="s">
        <v>8504</v>
      </c>
      <c r="E739" s="98" t="s">
        <v>4437</v>
      </c>
    </row>
    <row r="740" spans="3:5" ht="20.25" customHeight="1">
      <c r="C740" s="91" t="s">
        <v>8505</v>
      </c>
      <c r="E740" s="107"/>
    </row>
    <row r="741" spans="3:5" ht="20.25" customHeight="1">
      <c r="C741" s="91" t="s">
        <v>8506</v>
      </c>
      <c r="E741" s="107"/>
    </row>
    <row r="742" spans="3:5" ht="20.25" customHeight="1">
      <c r="C742" s="91" t="s">
        <v>8507</v>
      </c>
      <c r="E742" s="107"/>
    </row>
    <row r="743" spans="3:5" ht="20.25" customHeight="1">
      <c r="C743" s="91" t="s">
        <v>8508</v>
      </c>
      <c r="E743" s="107"/>
    </row>
    <row r="744" spans="3:5" ht="20.25" customHeight="1">
      <c r="C744" s="91" t="s">
        <v>8509</v>
      </c>
      <c r="E744" s="107"/>
    </row>
    <row r="745" spans="3:5" ht="20.25" customHeight="1">
      <c r="C745" s="91" t="s">
        <v>8510</v>
      </c>
      <c r="E745" s="107"/>
    </row>
    <row r="746" spans="3:5" ht="20.25" customHeight="1">
      <c r="C746" s="91" t="s">
        <v>8511</v>
      </c>
      <c r="E746" s="98" t="s">
        <v>4437</v>
      </c>
    </row>
    <row r="747" spans="3:5" ht="20.25" customHeight="1">
      <c r="C747" s="91" t="s">
        <v>8512</v>
      </c>
      <c r="E747" s="103">
        <v>45105</v>
      </c>
    </row>
    <row r="748" spans="3:5" ht="20.25" customHeight="1">
      <c r="C748" s="91" t="s">
        <v>8513</v>
      </c>
      <c r="E748" s="110">
        <v>45040</v>
      </c>
    </row>
    <row r="749" spans="3:5" ht="20.25" customHeight="1">
      <c r="C749" s="91" t="s">
        <v>8514</v>
      </c>
      <c r="E749" s="107"/>
    </row>
    <row r="750" spans="3:5" ht="20.25" customHeight="1">
      <c r="C750" s="91" t="s">
        <v>8515</v>
      </c>
      <c r="E750" s="98" t="s">
        <v>4437</v>
      </c>
    </row>
    <row r="751" spans="3:5" ht="20.25" customHeight="1">
      <c r="C751" s="91" t="s">
        <v>8516</v>
      </c>
      <c r="E751" s="98" t="s">
        <v>4437</v>
      </c>
    </row>
    <row r="752" spans="3:5" ht="20.25" customHeight="1">
      <c r="C752" s="91" t="s">
        <v>8517</v>
      </c>
      <c r="E752" s="107"/>
    </row>
    <row r="753" spans="3:5" ht="20.25" customHeight="1">
      <c r="C753" s="91" t="s">
        <v>8518</v>
      </c>
      <c r="E753" s="107"/>
    </row>
    <row r="754" spans="3:5" ht="20.25" customHeight="1">
      <c r="C754" s="91" t="s">
        <v>8519</v>
      </c>
      <c r="E754" s="107"/>
    </row>
    <row r="755" spans="3:5" ht="20.25" customHeight="1">
      <c r="C755" s="91" t="s">
        <v>8520</v>
      </c>
      <c r="E755" s="98" t="s">
        <v>4437</v>
      </c>
    </row>
    <row r="756" spans="3:5" ht="20.25" customHeight="1">
      <c r="C756" s="91" t="s">
        <v>8521</v>
      </c>
      <c r="E756" s="107"/>
    </row>
    <row r="757" spans="3:5" ht="20.25" customHeight="1">
      <c r="C757" s="91" t="s">
        <v>8522</v>
      </c>
      <c r="E757" s="100">
        <v>44910</v>
      </c>
    </row>
    <row r="758" spans="3:5" ht="20.25" customHeight="1">
      <c r="C758" s="91" t="s">
        <v>8523</v>
      </c>
      <c r="E758" s="107"/>
    </row>
    <row r="759" spans="3:5" ht="20.25" customHeight="1">
      <c r="C759" s="91" t="s">
        <v>8524</v>
      </c>
      <c r="E759" s="98" t="s">
        <v>4437</v>
      </c>
    </row>
    <row r="760" spans="3:5" ht="20.25" customHeight="1">
      <c r="C760" s="91" t="s">
        <v>8525</v>
      </c>
      <c r="E760" s="107"/>
    </row>
    <row r="761" spans="3:5" ht="20.25" customHeight="1">
      <c r="C761" s="91" t="s">
        <v>8526</v>
      </c>
      <c r="E761" s="107"/>
    </row>
    <row r="762" spans="3:5" ht="20.25" customHeight="1">
      <c r="C762" s="91" t="s">
        <v>8527</v>
      </c>
      <c r="E762" s="107"/>
    </row>
    <row r="763" spans="3:5" ht="20.25" customHeight="1">
      <c r="C763" s="91" t="s">
        <v>8528</v>
      </c>
      <c r="E763" s="107"/>
    </row>
    <row r="764" spans="3:5" ht="20.25" customHeight="1">
      <c r="C764" s="91" t="s">
        <v>8529</v>
      </c>
      <c r="E764" s="110">
        <v>45040</v>
      </c>
    </row>
    <row r="765" spans="3:5" ht="20.25" customHeight="1">
      <c r="C765" s="91" t="s">
        <v>8530</v>
      </c>
      <c r="E765" s="110">
        <v>45040</v>
      </c>
    </row>
    <row r="766" spans="3:5" ht="20.25" customHeight="1">
      <c r="C766" s="91" t="s">
        <v>8531</v>
      </c>
      <c r="E766" s="107"/>
    </row>
    <row r="767" spans="3:5" ht="20.25" customHeight="1">
      <c r="C767" s="91" t="s">
        <v>8532</v>
      </c>
      <c r="E767" s="107"/>
    </row>
    <row r="768" spans="3:5" ht="20.25" customHeight="1">
      <c r="C768" s="91" t="s">
        <v>8533</v>
      </c>
      <c r="E768" s="110">
        <v>45040</v>
      </c>
    </row>
    <row r="769" spans="3:5" ht="20.25" customHeight="1">
      <c r="C769" s="91" t="s">
        <v>8534</v>
      </c>
      <c r="E769" s="100">
        <v>44890</v>
      </c>
    </row>
    <row r="770" spans="3:5" ht="20.25" customHeight="1">
      <c r="C770" s="91" t="s">
        <v>8535</v>
      </c>
      <c r="E770" s="107"/>
    </row>
    <row r="771" spans="3:5" ht="20.25" customHeight="1">
      <c r="C771" s="91" t="s">
        <v>8536</v>
      </c>
      <c r="E771" s="110">
        <v>45040</v>
      </c>
    </row>
    <row r="772" spans="3:5" ht="20.25" customHeight="1">
      <c r="C772" s="91" t="s">
        <v>8537</v>
      </c>
      <c r="E772" s="104"/>
    </row>
    <row r="773" spans="3:5" ht="20.25" customHeight="1">
      <c r="C773" s="91" t="s">
        <v>8538</v>
      </c>
      <c r="E773" s="107"/>
    </row>
    <row r="774" spans="3:5" ht="20.25" customHeight="1">
      <c r="C774" s="91" t="s">
        <v>8539</v>
      </c>
      <c r="E774" s="110">
        <v>45040</v>
      </c>
    </row>
    <row r="775" spans="3:5" ht="20.25" customHeight="1">
      <c r="C775" s="91" t="s">
        <v>8540</v>
      </c>
      <c r="E775" s="107"/>
    </row>
    <row r="776" spans="3:5" ht="20.25" customHeight="1">
      <c r="C776" s="91" t="s">
        <v>8541</v>
      </c>
      <c r="E776" s="107"/>
    </row>
    <row r="777" spans="3:5" ht="20.25" customHeight="1">
      <c r="C777" s="91" t="s">
        <v>8542</v>
      </c>
      <c r="E777" s="110">
        <v>45040</v>
      </c>
    </row>
    <row r="778" spans="3:5" ht="20.25" customHeight="1">
      <c r="C778" s="91" t="s">
        <v>8543</v>
      </c>
      <c r="E778" s="100">
        <v>44922</v>
      </c>
    </row>
    <row r="779" spans="3:5" ht="20.25" customHeight="1">
      <c r="C779" s="91" t="s">
        <v>8544</v>
      </c>
      <c r="E779" s="107"/>
    </row>
    <row r="780" spans="3:5" ht="20.25" customHeight="1">
      <c r="C780" s="91" t="s">
        <v>8545</v>
      </c>
      <c r="E780" s="107"/>
    </row>
    <row r="781" spans="3:5" ht="20.25" customHeight="1">
      <c r="C781" s="91" t="s">
        <v>8546</v>
      </c>
      <c r="E781" s="98" t="s">
        <v>4437</v>
      </c>
    </row>
    <row r="782" spans="3:5" ht="20.25" customHeight="1">
      <c r="C782" s="91" t="s">
        <v>8547</v>
      </c>
      <c r="E782" s="100">
        <v>45056</v>
      </c>
    </row>
    <row r="783" spans="3:5" ht="20.25" customHeight="1">
      <c r="C783" s="91" t="s">
        <v>7860</v>
      </c>
      <c r="E783" s="107"/>
    </row>
    <row r="784" spans="3:5" ht="20.25" customHeight="1">
      <c r="C784" s="91" t="s">
        <v>7862</v>
      </c>
      <c r="E784" s="98" t="s">
        <v>4437</v>
      </c>
    </row>
    <row r="785" spans="3:5" ht="20.25" customHeight="1">
      <c r="C785" s="91" t="s">
        <v>8548</v>
      </c>
      <c r="E785" s="107" t="s">
        <v>4437</v>
      </c>
    </row>
    <row r="786" spans="3:5" ht="20.25" customHeight="1">
      <c r="C786" s="91" t="s">
        <v>8549</v>
      </c>
      <c r="E786" s="98" t="s">
        <v>4437</v>
      </c>
    </row>
    <row r="787" spans="3:5" ht="20.25" customHeight="1">
      <c r="C787" s="91" t="s">
        <v>8550</v>
      </c>
      <c r="E787" s="107"/>
    </row>
    <row r="788" spans="3:5" ht="20.25" customHeight="1">
      <c r="C788" s="91" t="s">
        <v>8551</v>
      </c>
      <c r="E788" s="107"/>
    </row>
    <row r="789" spans="3:5" ht="20.25" customHeight="1">
      <c r="C789" s="91" t="s">
        <v>8552</v>
      </c>
      <c r="E789" s="107"/>
    </row>
    <row r="790" spans="3:5" ht="20.25" customHeight="1">
      <c r="C790" s="91" t="s">
        <v>8553</v>
      </c>
      <c r="E790" s="107"/>
    </row>
    <row r="791" spans="3:5" ht="20.25" customHeight="1">
      <c r="C791" s="91" t="s">
        <v>8554</v>
      </c>
      <c r="E791" s="107"/>
    </row>
    <row r="792" spans="3:5" ht="20.25" customHeight="1">
      <c r="C792" s="91" t="s">
        <v>8555</v>
      </c>
      <c r="E792" s="107"/>
    </row>
    <row r="793" spans="3:5" ht="20.25" customHeight="1">
      <c r="C793" s="91" t="s">
        <v>8556</v>
      </c>
      <c r="E793" s="107"/>
    </row>
    <row r="794" spans="3:5" ht="20.25" customHeight="1">
      <c r="C794" s="91" t="s">
        <v>8557</v>
      </c>
      <c r="E794" s="107"/>
    </row>
    <row r="795" spans="3:5" ht="20.25" customHeight="1">
      <c r="C795" s="91" t="s">
        <v>8558</v>
      </c>
      <c r="E795" s="107"/>
    </row>
    <row r="796" spans="3:5" ht="20.25" customHeight="1">
      <c r="C796" s="91" t="s">
        <v>8559</v>
      </c>
      <c r="E796" s="107"/>
    </row>
    <row r="797" spans="3:5" ht="20.25" customHeight="1">
      <c r="C797" s="91" t="s">
        <v>8560</v>
      </c>
      <c r="E797" s="98" t="s">
        <v>4437</v>
      </c>
    </row>
    <row r="798" spans="3:5" ht="20.25" customHeight="1">
      <c r="C798" s="91" t="s">
        <v>8561</v>
      </c>
      <c r="E798" s="98" t="s">
        <v>4437</v>
      </c>
    </row>
    <row r="799" spans="3:5" ht="20.25" customHeight="1">
      <c r="C799" s="91" t="s">
        <v>8562</v>
      </c>
      <c r="E799" s="98" t="s">
        <v>4437</v>
      </c>
    </row>
    <row r="800" spans="3:5" ht="20.25" customHeight="1">
      <c r="C800" s="91" t="s">
        <v>8563</v>
      </c>
      <c r="E800" s="108"/>
    </row>
    <row r="801" spans="3:5" ht="20.25" customHeight="1">
      <c r="C801" s="91" t="s">
        <v>8564</v>
      </c>
      <c r="E801" s="107"/>
    </row>
    <row r="802" spans="3:5" ht="20.25" customHeight="1">
      <c r="C802" s="91" t="s">
        <v>8565</v>
      </c>
      <c r="E802" s="107"/>
    </row>
    <row r="803" spans="3:5" ht="20.25" customHeight="1">
      <c r="C803" s="91" t="s">
        <v>8566</v>
      </c>
      <c r="E803" s="107"/>
    </row>
    <row r="804" spans="3:5" ht="20.25" customHeight="1">
      <c r="C804" s="91" t="s">
        <v>8567</v>
      </c>
      <c r="E804" s="107"/>
    </row>
    <row r="805" spans="3:5" ht="20.25" customHeight="1">
      <c r="C805" s="92" t="s">
        <v>8568</v>
      </c>
      <c r="E805" s="107"/>
    </row>
    <row r="806" spans="3:5" ht="20.25" customHeight="1">
      <c r="C806" s="92" t="s">
        <v>8569</v>
      </c>
      <c r="E806" s="107"/>
    </row>
    <row r="807" spans="3:5" ht="20.25" customHeight="1">
      <c r="C807" s="91" t="s">
        <v>8570</v>
      </c>
      <c r="E807" s="107"/>
    </row>
    <row r="808" spans="3:5" ht="20.25" customHeight="1">
      <c r="C808" s="92" t="s">
        <v>8571</v>
      </c>
      <c r="E808" s="107"/>
    </row>
    <row r="809" spans="3:5" ht="20.25" customHeight="1">
      <c r="C809" s="92" t="s">
        <v>8572</v>
      </c>
      <c r="E809" s="107"/>
    </row>
    <row r="810" spans="3:5" ht="20.25" customHeight="1">
      <c r="C810" s="92" t="s">
        <v>8573</v>
      </c>
      <c r="E810" s="107"/>
    </row>
    <row r="811" spans="3:5" ht="20.25" customHeight="1">
      <c r="C811" s="92" t="s">
        <v>8574</v>
      </c>
      <c r="E811" s="107"/>
    </row>
    <row r="812" spans="3:5" ht="20.25" customHeight="1">
      <c r="C812" s="92" t="s">
        <v>8575</v>
      </c>
      <c r="E812" s="107"/>
    </row>
    <row r="813" spans="3:5" ht="20.25" customHeight="1">
      <c r="C813" s="92" t="s">
        <v>8576</v>
      </c>
      <c r="E813" s="107"/>
    </row>
    <row r="814" spans="3:5" ht="20.25" customHeight="1">
      <c r="C814" s="92" t="s">
        <v>8577</v>
      </c>
      <c r="E814" s="107"/>
    </row>
    <row r="815" spans="3:5" ht="20.25" customHeight="1">
      <c r="C815" s="92" t="s">
        <v>8578</v>
      </c>
      <c r="E815" s="107"/>
    </row>
    <row r="816" spans="3:5" ht="20.25" customHeight="1">
      <c r="C816" s="92" t="s">
        <v>8579</v>
      </c>
      <c r="E816" s="107"/>
    </row>
    <row r="817" spans="3:5" ht="20.25" customHeight="1">
      <c r="C817" s="92" t="s">
        <v>8580</v>
      </c>
      <c r="E817" s="107"/>
    </row>
    <row r="818" spans="3:5" ht="20.25" customHeight="1">
      <c r="C818" s="92" t="s">
        <v>8581</v>
      </c>
      <c r="E818" s="107"/>
    </row>
    <row r="819" spans="3:5" ht="20.25" customHeight="1">
      <c r="C819" s="92" t="s">
        <v>8582</v>
      </c>
      <c r="E819" s="107"/>
    </row>
    <row r="820" spans="3:5" ht="20.25" customHeight="1">
      <c r="C820" s="92" t="s">
        <v>8583</v>
      </c>
      <c r="E820" s="107"/>
    </row>
    <row r="821" spans="3:5" ht="20.25" customHeight="1">
      <c r="C821" s="92" t="s">
        <v>8584</v>
      </c>
      <c r="E821" s="107"/>
    </row>
    <row r="822" spans="3:5" ht="20.25" customHeight="1">
      <c r="C822" s="92" t="s">
        <v>8585</v>
      </c>
      <c r="E822" s="107"/>
    </row>
    <row r="823" spans="3:5" ht="20.25" customHeight="1">
      <c r="C823" s="92" t="s">
        <v>8586</v>
      </c>
      <c r="E823" s="107"/>
    </row>
    <row r="824" spans="3:5" ht="20.25" customHeight="1">
      <c r="C824" s="92" t="s">
        <v>8587</v>
      </c>
      <c r="E824" s="107"/>
    </row>
    <row r="825" spans="3:5" ht="20.25" customHeight="1">
      <c r="C825" s="92" t="s">
        <v>8588</v>
      </c>
      <c r="E825" s="107"/>
    </row>
    <row r="826" spans="3:5" ht="20.25" customHeight="1">
      <c r="C826" s="92" t="s">
        <v>8589</v>
      </c>
      <c r="E826" s="107"/>
    </row>
    <row r="827" spans="3:5" ht="20.25" customHeight="1">
      <c r="C827" s="92" t="s">
        <v>8590</v>
      </c>
      <c r="E827" s="107"/>
    </row>
    <row r="828" spans="3:5" ht="20.25" customHeight="1">
      <c r="C828" s="92" t="s">
        <v>8591</v>
      </c>
      <c r="E828" s="107"/>
    </row>
    <row r="829" spans="3:5" ht="20.25" customHeight="1">
      <c r="C829" s="92" t="s">
        <v>8592</v>
      </c>
      <c r="E829" s="107"/>
    </row>
    <row r="830" spans="3:5" ht="20.25" customHeight="1">
      <c r="C830" s="92" t="s">
        <v>8593</v>
      </c>
      <c r="E830" s="107"/>
    </row>
    <row r="831" spans="3:5" ht="20.25" customHeight="1">
      <c r="C831" s="92" t="s">
        <v>8594</v>
      </c>
      <c r="E831" s="107"/>
    </row>
    <row r="832" spans="3:5" ht="20.25" customHeight="1">
      <c r="C832" s="92" t="s">
        <v>8595</v>
      </c>
      <c r="E832" s="107"/>
    </row>
    <row r="833" spans="3:5" ht="20.25" customHeight="1">
      <c r="C833" s="92" t="s">
        <v>8596</v>
      </c>
      <c r="E833" s="107"/>
    </row>
    <row r="834" spans="3:5" ht="20.25" customHeight="1">
      <c r="C834" s="92" t="s">
        <v>8597</v>
      </c>
      <c r="E834" s="98" t="s">
        <v>4437</v>
      </c>
    </row>
    <row r="835" spans="3:5" ht="20.25" customHeight="1">
      <c r="C835" s="92" t="s">
        <v>8598</v>
      </c>
      <c r="E835" s="107"/>
    </row>
    <row r="836" spans="3:5" ht="20.25" customHeight="1">
      <c r="C836" s="92" t="s">
        <v>8599</v>
      </c>
      <c r="E836" s="107"/>
    </row>
    <row r="837" spans="3:5" ht="20.25" customHeight="1">
      <c r="C837" s="92" t="s">
        <v>7864</v>
      </c>
      <c r="E837" s="107"/>
    </row>
    <row r="838" spans="3:5" ht="20.25" customHeight="1">
      <c r="C838" s="92" t="s">
        <v>8600</v>
      </c>
      <c r="E838" s="107"/>
    </row>
    <row r="839" spans="3:5" ht="20.25" customHeight="1">
      <c r="C839" s="92" t="s">
        <v>8601</v>
      </c>
      <c r="E839" s="103">
        <v>45065</v>
      </c>
    </row>
    <row r="840" spans="3:5" ht="20.25" customHeight="1">
      <c r="C840" s="92" t="s">
        <v>8602</v>
      </c>
      <c r="E840" s="98" t="s">
        <v>4437</v>
      </c>
    </row>
    <row r="841" spans="3:5" ht="20.25" customHeight="1">
      <c r="C841" s="92" t="s">
        <v>8603</v>
      </c>
      <c r="E841" s="103">
        <v>45148</v>
      </c>
    </row>
    <row r="842" spans="3:5" ht="20.25" customHeight="1">
      <c r="C842" s="92" t="s">
        <v>8604</v>
      </c>
      <c r="E842" s="98" t="s">
        <v>4437</v>
      </c>
    </row>
    <row r="843" spans="3:5" ht="20.25" customHeight="1">
      <c r="C843" s="92" t="s">
        <v>7866</v>
      </c>
      <c r="E843" s="98" t="s">
        <v>4437</v>
      </c>
    </row>
    <row r="844" spans="3:5" ht="20.25" customHeight="1">
      <c r="C844" s="93"/>
      <c r="E844" s="107"/>
    </row>
    <row r="845" spans="3:5" ht="20.25" customHeight="1">
      <c r="C845" s="93"/>
      <c r="E845" s="107"/>
    </row>
    <row r="846" spans="3:5" ht="20.25" customHeight="1">
      <c r="C846" s="93"/>
      <c r="E846" s="107"/>
    </row>
    <row r="847" spans="3:5" ht="20.25" customHeight="1">
      <c r="C847" s="93"/>
      <c r="E847" s="100">
        <v>44910</v>
      </c>
    </row>
    <row r="848" spans="3:5" ht="20.25" customHeight="1">
      <c r="C848" s="93"/>
      <c r="E848" s="103">
        <v>45065</v>
      </c>
    </row>
    <row r="849" spans="3:5" ht="20.25" customHeight="1">
      <c r="C849" s="93"/>
      <c r="E849" s="98" t="s">
        <v>4437</v>
      </c>
    </row>
    <row r="850" spans="3:5" ht="20.25" customHeight="1">
      <c r="C850" s="93"/>
      <c r="E850" s="98" t="s">
        <v>4437</v>
      </c>
    </row>
    <row r="851" spans="3:5" ht="20.25" customHeight="1">
      <c r="C851" s="93"/>
      <c r="E851" s="103">
        <v>45049</v>
      </c>
    </row>
    <row r="853" spans="3:5" ht="20.25" customHeight="1">
      <c r="E853" s="98" t="s">
        <v>4437</v>
      </c>
    </row>
    <row r="854" spans="3:5" ht="20.25" customHeight="1">
      <c r="E854" s="110">
        <v>45040</v>
      </c>
    </row>
    <row r="855" spans="3:5" ht="20.25" customHeight="1">
      <c r="E855" s="107"/>
    </row>
    <row r="856" spans="3:5" ht="20.25" customHeight="1">
      <c r="E856" s="107"/>
    </row>
    <row r="857" spans="3:5" ht="20.25" customHeight="1">
      <c r="E857" s="107"/>
    </row>
    <row r="858" spans="3:5" ht="20.25" customHeight="1">
      <c r="E858" s="107"/>
    </row>
    <row r="859" spans="3:5" ht="20.25" customHeight="1">
      <c r="E859" s="107"/>
    </row>
    <row r="860" spans="3:5" ht="20.25" customHeight="1">
      <c r="E860" s="107"/>
    </row>
    <row r="861" spans="3:5" ht="20.25" customHeight="1">
      <c r="E861" s="107"/>
    </row>
    <row r="862" spans="3:5" ht="20.25" customHeight="1">
      <c r="E862" s="107"/>
    </row>
    <row r="863" spans="3:5" ht="20.25" customHeight="1">
      <c r="E863" s="107"/>
    </row>
    <row r="864" spans="3:5" ht="20.25" customHeight="1">
      <c r="E864" s="107"/>
    </row>
    <row r="865" spans="5:5" ht="20.25" customHeight="1">
      <c r="E865" s="107"/>
    </row>
    <row r="866" spans="5:5" ht="20.25" customHeight="1">
      <c r="E866" s="107"/>
    </row>
    <row r="867" spans="5:5" ht="20.25" customHeight="1">
      <c r="E867" s="98" t="s">
        <v>4437</v>
      </c>
    </row>
    <row r="904" spans="5:5" ht="20.25" customHeight="1">
      <c r="E904" s="98" t="s">
        <v>4437</v>
      </c>
    </row>
    <row r="905" spans="5:5" ht="20.25" customHeight="1">
      <c r="E905" s="98" t="s">
        <v>4437</v>
      </c>
    </row>
    <row r="916" spans="5:5" ht="20.25" customHeight="1">
      <c r="E916" s="98" t="s">
        <v>4437</v>
      </c>
    </row>
    <row r="917" spans="5:5" ht="20.25" customHeight="1">
      <c r="E917" s="98" t="s">
        <v>4437</v>
      </c>
    </row>
    <row r="918" spans="5:5" ht="20.25" customHeight="1">
      <c r="E918" s="107"/>
    </row>
    <row r="919" spans="5:5" ht="20.25" customHeight="1">
      <c r="E919" s="107"/>
    </row>
    <row r="920" spans="5:5" ht="20.25" customHeight="1">
      <c r="E920" s="107"/>
    </row>
    <row r="921" spans="5:5" ht="20.25" customHeight="1">
      <c r="E921" s="107"/>
    </row>
    <row r="922" spans="5:5" ht="20.25" customHeight="1">
      <c r="E922" s="103">
        <v>45049</v>
      </c>
    </row>
    <row r="940" spans="5:5" ht="20.25" customHeight="1">
      <c r="E940" s="100">
        <v>44961</v>
      </c>
    </row>
    <row r="968" spans="5:5" ht="20.25" customHeight="1">
      <c r="E968" s="100">
        <v>44961</v>
      </c>
    </row>
    <row r="969" spans="5:5" ht="20.25" customHeight="1">
      <c r="E969" s="103">
        <v>45105</v>
      </c>
    </row>
    <row r="970" spans="5:5" ht="20.25" customHeight="1">
      <c r="E970" s="103">
        <v>45105</v>
      </c>
    </row>
    <row r="971" spans="5:5" ht="20.25" customHeight="1">
      <c r="E971" s="107"/>
    </row>
    <row r="972" spans="5:5" ht="20.25" customHeight="1">
      <c r="E972" s="98" t="s">
        <v>4437</v>
      </c>
    </row>
    <row r="973" spans="5:5" ht="20.25" customHeight="1">
      <c r="E973" s="100">
        <v>44961</v>
      </c>
    </row>
    <row r="974" spans="5:5" ht="20.25" customHeight="1">
      <c r="E974" s="107"/>
    </row>
    <row r="975" spans="5:5" ht="20.25" customHeight="1">
      <c r="E975" s="98" t="s">
        <v>4437</v>
      </c>
    </row>
  </sheetData>
  <conditionalFormatting sqref="C6:C7">
    <cfRule type="duplicateValues" dxfId="35" priority="1"/>
  </conditionalFormatting>
  <dataValidations count="2">
    <dataValidation allowBlank="1" showInputMessage="1" showErrorMessage="1" sqref="C77:C108 E179:E201 E56:E66 E271:E273 E238 E600:E601 E313:E315 E266:E269 E277 E631 E579 E479 E417:E419 E502 E628 E93:E128 E476 E474 E535:E539 E581 E583 E590 E635 E615 E530 E555:E559 E284 E974 E737 E546:E553 E716 E78:E88 E279:E281 E295:E298 E432:E436 E543:E544 E351:E352 E357:E361 E399 E251:E252 E699 E412:E414 E363 E90:E91 E438:E443 E596 E492 E532:E533 E462 E517:E523 E309 E241 E386:E389 E446:E452 E402 E941 E633 E697 E75:E76 E223 E405:E408 E724 E226:E235 E354:E355 E293 E138:E139 E49:E54 E766 E667 A44:B76 E775 E513:E514 E486 E468 E482 E749 E686 E772 E484 E783 E71:E73 E563 E255 E261:E264 E142:E156 E135:E136 E855 E286 E203:E215 E603:E606 E608:E610 E158:E177 E394:E395 E397 E318 E275 E307 E302 E217:E221 E130:E133 E249 E6:E47" xr:uid="{F731AB3A-E86B-43A5-B975-C16245A26438}"/>
    <dataValidation type="list" allowBlank="1" showInputMessage="1" showErrorMessage="1" sqref="B8:B43" xr:uid="{46A325D8-A8FD-4F92-B44B-4897F03870D8}">
      <formula1>$C$1:$C$5</formula1>
    </dataValidation>
  </dataValidations>
  <printOptions horizontalCentered="1"/>
  <pageMargins left="0.25" right="0.25" top="0.75" bottom="0.75" header="0.3" footer="0.3"/>
  <pageSetup paperSize="9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100C43-1BAA-44C1-875D-295FC1208AC5}">
          <x14:formula1>
            <xm:f>VALIDAÇÕES!$B$3</xm:f>
          </x14:formula1>
          <xm:sqref>A6:A7</xm:sqref>
        </x14:dataValidation>
        <x14:dataValidation type="list" allowBlank="1" showInputMessage="1" showErrorMessage="1" xr:uid="{2F2302D7-74C4-405F-9E59-1DB2D886324F}">
          <x14:formula1>
            <xm:f>VALIDAÇÕES!$C$3:$C$7</xm:f>
          </x14:formula1>
          <xm:sqref>B6:B7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F3:AO53"/>
  <sheetViews>
    <sheetView topLeftCell="E25" workbookViewId="0">
      <selection activeCell="H37" sqref="H37"/>
    </sheetView>
  </sheetViews>
  <sheetFormatPr defaultColWidth="9.140625" defaultRowHeight="24.75" customHeight="1"/>
  <cols>
    <col min="1" max="1" width="9.140625" style="122"/>
    <col min="2" max="2" width="23.5703125" style="122" bestFit="1" customWidth="1"/>
    <col min="3" max="3" width="2.140625" style="122" bestFit="1" customWidth="1"/>
    <col min="4" max="4" width="10.140625" style="122" bestFit="1" customWidth="1"/>
    <col min="5" max="5" width="10.140625" style="122" customWidth="1"/>
    <col min="6" max="6" width="17.28515625" style="122" customWidth="1"/>
    <col min="7" max="7" width="15" style="122" customWidth="1"/>
    <col min="8" max="8" width="56" style="122" customWidth="1"/>
    <col min="9" max="9" width="19.42578125" style="122" customWidth="1"/>
    <col min="10" max="10" width="30.140625" style="122" bestFit="1" customWidth="1"/>
    <col min="11" max="11" width="9.140625" style="122"/>
    <col min="12" max="12" width="22.42578125" style="122" bestFit="1" customWidth="1"/>
    <col min="13" max="16" width="9.140625" style="122"/>
    <col min="17" max="17" width="13.5703125" style="122" bestFit="1" customWidth="1"/>
    <col min="18" max="18" width="58" style="122" bestFit="1" customWidth="1"/>
    <col min="19" max="19" width="19.140625" style="122" bestFit="1" customWidth="1"/>
    <col min="20" max="40" width="9.140625" style="122"/>
    <col min="41" max="41" width="9.140625" style="123"/>
    <col min="42" max="16384" width="9.140625" style="122"/>
  </cols>
  <sheetData>
    <row r="3" spans="6:10" ht="24.75" customHeight="1" thickBot="1"/>
    <row r="4" spans="6:10" ht="27.75" customHeight="1">
      <c r="F4" s="143" t="s">
        <v>4334</v>
      </c>
      <c r="G4" s="143" t="s">
        <v>4338</v>
      </c>
      <c r="H4" s="144" t="s">
        <v>4357</v>
      </c>
      <c r="I4" s="144" t="s">
        <v>103</v>
      </c>
      <c r="J4" s="145" t="s">
        <v>4375</v>
      </c>
    </row>
    <row r="5" spans="6:10" ht="24.75" customHeight="1">
      <c r="F5" s="140" t="s">
        <v>4396</v>
      </c>
      <c r="G5" s="140" t="s">
        <v>4438</v>
      </c>
      <c r="H5" s="141" t="s">
        <v>4439</v>
      </c>
      <c r="I5" s="141" t="s">
        <v>4441</v>
      </c>
      <c r="J5" s="146" t="s">
        <v>4443</v>
      </c>
    </row>
    <row r="6" spans="6:10" ht="24.75" customHeight="1">
      <c r="F6" s="140" t="s">
        <v>4396</v>
      </c>
      <c r="G6" s="140" t="s">
        <v>4474</v>
      </c>
      <c r="H6" s="141" t="s">
        <v>4475</v>
      </c>
      <c r="I6" s="140" t="s">
        <v>4477</v>
      </c>
      <c r="J6" s="146" t="s">
        <v>4478</v>
      </c>
    </row>
    <row r="7" spans="6:10" ht="24.75" customHeight="1">
      <c r="F7" s="140" t="s">
        <v>4396</v>
      </c>
      <c r="G7" s="140" t="s">
        <v>4805</v>
      </c>
      <c r="H7" s="141" t="s">
        <v>4810</v>
      </c>
      <c r="I7" s="141" t="s">
        <v>4812</v>
      </c>
      <c r="J7" s="146" t="s">
        <v>4813</v>
      </c>
    </row>
    <row r="8" spans="6:10" ht="24.75" customHeight="1">
      <c r="F8" s="140" t="s">
        <v>4396</v>
      </c>
      <c r="G8" s="140" t="s">
        <v>4881</v>
      </c>
      <c r="H8" s="141" t="s">
        <v>4885</v>
      </c>
      <c r="I8" s="141" t="s">
        <v>4887</v>
      </c>
      <c r="J8" s="146" t="s">
        <v>4888</v>
      </c>
    </row>
    <row r="9" spans="6:10" ht="24.75" customHeight="1">
      <c r="F9" s="140" t="s">
        <v>4396</v>
      </c>
      <c r="G9" s="147" t="s">
        <v>5038</v>
      </c>
      <c r="H9" s="142" t="s">
        <v>5047</v>
      </c>
      <c r="I9" s="141" t="s">
        <v>5049</v>
      </c>
      <c r="J9" s="146" t="s">
        <v>5050</v>
      </c>
    </row>
    <row r="10" spans="6:10" ht="24.75" customHeight="1">
      <c r="F10" s="140" t="s">
        <v>4396</v>
      </c>
      <c r="G10" s="140" t="s">
        <v>5076</v>
      </c>
      <c r="H10" s="141" t="s">
        <v>5077</v>
      </c>
      <c r="I10" s="141" t="s">
        <v>5079</v>
      </c>
      <c r="J10" s="146" t="s">
        <v>5080</v>
      </c>
    </row>
    <row r="11" spans="6:10" ht="24.75" customHeight="1">
      <c r="F11" s="140" t="s">
        <v>4396</v>
      </c>
      <c r="G11" s="140" t="s">
        <v>5090</v>
      </c>
      <c r="H11" s="141" t="s">
        <v>5095</v>
      </c>
      <c r="I11" s="141" t="s">
        <v>5096</v>
      </c>
      <c r="J11" s="146" t="s">
        <v>5097</v>
      </c>
    </row>
    <row r="12" spans="6:10" ht="24.75" customHeight="1">
      <c r="F12" s="140" t="s">
        <v>4396</v>
      </c>
      <c r="G12" s="140" t="s">
        <v>5098</v>
      </c>
      <c r="H12" s="142" t="s">
        <v>5102</v>
      </c>
      <c r="I12" s="141" t="s">
        <v>5104</v>
      </c>
      <c r="J12" s="146" t="s">
        <v>5105</v>
      </c>
    </row>
    <row r="13" spans="6:10" ht="24.75" customHeight="1">
      <c r="F13" s="140" t="s">
        <v>4396</v>
      </c>
      <c r="G13" s="140" t="s">
        <v>5192</v>
      </c>
      <c r="H13" s="141" t="s">
        <v>5193</v>
      </c>
      <c r="I13" s="141" t="s">
        <v>5196</v>
      </c>
      <c r="J13" s="146" t="s">
        <v>5197</v>
      </c>
    </row>
    <row r="14" spans="6:10" ht="24.75" customHeight="1">
      <c r="F14" s="140" t="s">
        <v>4396</v>
      </c>
      <c r="G14" s="140" t="s">
        <v>5282</v>
      </c>
      <c r="H14" s="141" t="s">
        <v>5286</v>
      </c>
      <c r="I14" s="141" t="s">
        <v>5287</v>
      </c>
      <c r="J14" s="146" t="s">
        <v>5288</v>
      </c>
    </row>
    <row r="15" spans="6:10" ht="24.75" customHeight="1">
      <c r="F15" s="140" t="s">
        <v>4396</v>
      </c>
      <c r="G15" s="140" t="s">
        <v>5298</v>
      </c>
      <c r="H15" s="141" t="s">
        <v>5304</v>
      </c>
      <c r="I15" s="153" t="s">
        <v>5306</v>
      </c>
      <c r="J15" s="146" t="s">
        <v>5307</v>
      </c>
    </row>
    <row r="16" spans="6:10" ht="24.75" customHeight="1">
      <c r="F16" s="140" t="s">
        <v>4396</v>
      </c>
      <c r="G16" s="140" t="s">
        <v>5308</v>
      </c>
      <c r="H16" s="141" t="s">
        <v>5317</v>
      </c>
      <c r="I16" s="140" t="s">
        <v>5319</v>
      </c>
      <c r="J16" s="146" t="s">
        <v>5320</v>
      </c>
    </row>
    <row r="17" spans="6:10" ht="24.75" customHeight="1">
      <c r="F17" s="140" t="s">
        <v>4396</v>
      </c>
      <c r="G17" s="140" t="s">
        <v>5328</v>
      </c>
      <c r="H17" s="141" t="s">
        <v>5329</v>
      </c>
      <c r="I17" s="140" t="s">
        <v>5331</v>
      </c>
      <c r="J17" s="146" t="s">
        <v>5332</v>
      </c>
    </row>
    <row r="18" spans="6:10" ht="24.75" customHeight="1">
      <c r="F18" s="140" t="s">
        <v>4396</v>
      </c>
      <c r="G18" s="140" t="s">
        <v>5340</v>
      </c>
      <c r="H18" s="141" t="s">
        <v>5341</v>
      </c>
      <c r="I18" s="140" t="s">
        <v>5343</v>
      </c>
      <c r="J18" s="146" t="s">
        <v>5344</v>
      </c>
    </row>
    <row r="19" spans="6:10" ht="24.75" customHeight="1">
      <c r="F19" s="140" t="s">
        <v>4396</v>
      </c>
      <c r="G19" s="140" t="s">
        <v>5353</v>
      </c>
      <c r="H19" s="141" t="s">
        <v>5354</v>
      </c>
      <c r="I19" s="140" t="s">
        <v>5356</v>
      </c>
      <c r="J19" s="146" t="s">
        <v>5357</v>
      </c>
    </row>
    <row r="20" spans="6:10" ht="24.75" customHeight="1">
      <c r="F20" s="140" t="s">
        <v>4396</v>
      </c>
      <c r="G20" s="140" t="s">
        <v>5366</v>
      </c>
      <c r="H20" s="141" t="s">
        <v>5370</v>
      </c>
      <c r="I20" s="140" t="s">
        <v>5372</v>
      </c>
      <c r="J20" s="146" t="s">
        <v>5373</v>
      </c>
    </row>
    <row r="21" spans="6:10" ht="24.75" customHeight="1">
      <c r="F21" s="140" t="s">
        <v>4396</v>
      </c>
      <c r="G21" s="140" t="s">
        <v>5378</v>
      </c>
      <c r="H21" s="141" t="s">
        <v>5379</v>
      </c>
      <c r="I21" s="140" t="s">
        <v>5381</v>
      </c>
      <c r="J21" s="146" t="s">
        <v>5382</v>
      </c>
    </row>
    <row r="22" spans="6:10" ht="24.75" customHeight="1">
      <c r="F22" s="140" t="s">
        <v>4396</v>
      </c>
      <c r="G22" s="140" t="s">
        <v>5383</v>
      </c>
      <c r="H22" s="141" t="s">
        <v>5384</v>
      </c>
      <c r="I22" s="141" t="s">
        <v>5386</v>
      </c>
      <c r="J22" s="146" t="s">
        <v>5387</v>
      </c>
    </row>
    <row r="23" spans="6:10" ht="24.75" customHeight="1">
      <c r="F23" s="140" t="s">
        <v>4396</v>
      </c>
      <c r="G23" s="140" t="s">
        <v>5403</v>
      </c>
      <c r="H23" s="141" t="s">
        <v>5404</v>
      </c>
      <c r="I23" s="140" t="s">
        <v>5406</v>
      </c>
      <c r="J23" s="146" t="s">
        <v>5407</v>
      </c>
    </row>
    <row r="24" spans="6:10" ht="24.75" customHeight="1">
      <c r="F24" s="140" t="s">
        <v>4396</v>
      </c>
      <c r="G24" s="140" t="s">
        <v>5446</v>
      </c>
      <c r="H24" s="141" t="s">
        <v>5447</v>
      </c>
      <c r="I24" s="141" t="s">
        <v>5449</v>
      </c>
      <c r="J24" s="146" t="s">
        <v>5450</v>
      </c>
    </row>
    <row r="25" spans="6:10" ht="24.75" customHeight="1">
      <c r="F25" s="140" t="s">
        <v>4396</v>
      </c>
      <c r="G25" s="140" t="s">
        <v>5456</v>
      </c>
      <c r="H25" s="141" t="s">
        <v>5457</v>
      </c>
      <c r="I25" s="140" t="s">
        <v>5459</v>
      </c>
      <c r="J25" s="146" t="s">
        <v>5460</v>
      </c>
    </row>
    <row r="26" spans="6:10" ht="24.75" customHeight="1">
      <c r="F26" s="140" t="s">
        <v>4396</v>
      </c>
      <c r="G26" s="140" t="s">
        <v>5475</v>
      </c>
      <c r="H26" s="141" t="s">
        <v>5476</v>
      </c>
      <c r="I26" s="141" t="s">
        <v>5478</v>
      </c>
      <c r="J26" s="146" t="s">
        <v>5479</v>
      </c>
    </row>
    <row r="27" spans="6:10" ht="24.75" customHeight="1">
      <c r="F27" s="140" t="s">
        <v>4396</v>
      </c>
      <c r="G27" s="140" t="s">
        <v>5488</v>
      </c>
      <c r="H27" s="142" t="s">
        <v>5489</v>
      </c>
      <c r="I27" s="142" t="s">
        <v>5491</v>
      </c>
      <c r="J27" s="146" t="s">
        <v>5492</v>
      </c>
    </row>
    <row r="28" spans="6:10" ht="24.75" customHeight="1">
      <c r="F28" s="140" t="s">
        <v>4396</v>
      </c>
      <c r="G28" s="140" t="s">
        <v>5501</v>
      </c>
      <c r="H28" s="142" t="s">
        <v>5502</v>
      </c>
      <c r="I28" s="140" t="s">
        <v>5504</v>
      </c>
      <c r="J28" s="146" t="s">
        <v>5505</v>
      </c>
    </row>
    <row r="29" spans="6:10" ht="24.75" customHeight="1">
      <c r="F29" s="140" t="s">
        <v>4396</v>
      </c>
      <c r="G29" s="140" t="s">
        <v>5550</v>
      </c>
      <c r="H29" s="141" t="s">
        <v>5551</v>
      </c>
      <c r="I29" s="140" t="s">
        <v>5553</v>
      </c>
      <c r="J29" s="146" t="s">
        <v>5554</v>
      </c>
    </row>
    <row r="30" spans="6:10" ht="24.75" customHeight="1">
      <c r="F30" s="140" t="s">
        <v>4396</v>
      </c>
      <c r="G30" s="140" t="s">
        <v>5643</v>
      </c>
      <c r="H30" s="141" t="s">
        <v>5644</v>
      </c>
      <c r="I30" s="140" t="s">
        <v>5646</v>
      </c>
      <c r="J30" s="146" t="s">
        <v>5647</v>
      </c>
    </row>
    <row r="31" spans="6:10" ht="24.75" customHeight="1">
      <c r="F31" s="140" t="s">
        <v>4396</v>
      </c>
      <c r="G31" s="140" t="s">
        <v>5742</v>
      </c>
      <c r="H31" s="141" t="s">
        <v>5743</v>
      </c>
      <c r="I31" s="140" t="s">
        <v>5745</v>
      </c>
      <c r="J31" s="146" t="s">
        <v>5746</v>
      </c>
    </row>
    <row r="32" spans="6:10" ht="24.75" customHeight="1">
      <c r="F32" s="140" t="s">
        <v>4396</v>
      </c>
      <c r="G32" s="140" t="s">
        <v>5747</v>
      </c>
      <c r="H32" s="141" t="s">
        <v>5748</v>
      </c>
      <c r="I32" s="140" t="s">
        <v>5750</v>
      </c>
      <c r="J32" s="146" t="s">
        <v>5751</v>
      </c>
    </row>
    <row r="33" spans="6:10" ht="24.75" customHeight="1">
      <c r="F33" s="140" t="s">
        <v>4396</v>
      </c>
      <c r="G33" s="140" t="s">
        <v>5752</v>
      </c>
      <c r="H33" s="141" t="s">
        <v>5753</v>
      </c>
      <c r="I33" s="140" t="s">
        <v>5755</v>
      </c>
      <c r="J33" s="146" t="s">
        <v>5756</v>
      </c>
    </row>
    <row r="34" spans="6:10" ht="24.75" customHeight="1">
      <c r="F34" s="140" t="s">
        <v>4396</v>
      </c>
      <c r="G34" s="140" t="s">
        <v>5848</v>
      </c>
      <c r="H34" s="141" t="s">
        <v>5849</v>
      </c>
      <c r="I34" s="141" t="s">
        <v>5851</v>
      </c>
      <c r="J34" s="146" t="s">
        <v>5852</v>
      </c>
    </row>
    <row r="35" spans="6:10" ht="24.75" customHeight="1">
      <c r="F35" s="140" t="s">
        <v>4396</v>
      </c>
      <c r="G35" s="140" t="s">
        <v>5879</v>
      </c>
      <c r="H35" s="141" t="s">
        <v>5880</v>
      </c>
      <c r="I35" s="141" t="s">
        <v>5882</v>
      </c>
      <c r="J35" s="146" t="s">
        <v>5883</v>
      </c>
    </row>
    <row r="36" spans="6:10" ht="24.75" customHeight="1">
      <c r="F36" s="140" t="s">
        <v>4396</v>
      </c>
      <c r="G36" s="140" t="s">
        <v>5922</v>
      </c>
      <c r="H36" s="141" t="s">
        <v>5923</v>
      </c>
      <c r="I36" s="141" t="s">
        <v>5925</v>
      </c>
      <c r="J36" s="146" t="s">
        <v>5926</v>
      </c>
    </row>
    <row r="37" spans="6:10" ht="24.75" customHeight="1">
      <c r="F37" s="140" t="s">
        <v>4396</v>
      </c>
      <c r="G37" s="140" t="s">
        <v>5956</v>
      </c>
      <c r="H37" s="141" t="s">
        <v>5957</v>
      </c>
      <c r="I37" s="141" t="s">
        <v>5959</v>
      </c>
      <c r="J37" s="146" t="s">
        <v>5960</v>
      </c>
    </row>
    <row r="38" spans="6:10" ht="24.75" customHeight="1">
      <c r="F38" s="140" t="s">
        <v>4396</v>
      </c>
      <c r="G38" s="140" t="s">
        <v>5970</v>
      </c>
      <c r="H38" s="141" t="s">
        <v>5971</v>
      </c>
      <c r="I38" s="141" t="s">
        <v>5973</v>
      </c>
      <c r="J38" s="146" t="s">
        <v>5974</v>
      </c>
    </row>
    <row r="39" spans="6:10" ht="24.75" customHeight="1">
      <c r="F39" s="140" t="s">
        <v>4396</v>
      </c>
      <c r="G39" s="140" t="s">
        <v>6095</v>
      </c>
      <c r="H39" s="141" t="s">
        <v>6096</v>
      </c>
      <c r="I39" s="141" t="s">
        <v>6098</v>
      </c>
      <c r="J39" s="146" t="s">
        <v>6099</v>
      </c>
    </row>
    <row r="40" spans="6:10" ht="24.75" customHeight="1">
      <c r="F40" s="140" t="s">
        <v>4396</v>
      </c>
      <c r="G40" s="140" t="s">
        <v>6141</v>
      </c>
      <c r="H40" s="141" t="s">
        <v>6142</v>
      </c>
      <c r="I40" s="141" t="s">
        <v>6143</v>
      </c>
      <c r="J40" s="146" t="s">
        <v>6144</v>
      </c>
    </row>
    <row r="41" spans="6:10" ht="24.75" customHeight="1">
      <c r="F41" s="140" t="s">
        <v>4396</v>
      </c>
      <c r="G41" s="140" t="s">
        <v>6272</v>
      </c>
      <c r="H41" s="141" t="s">
        <v>6273</v>
      </c>
      <c r="I41" s="141" t="s">
        <v>6275</v>
      </c>
      <c r="J41" s="146" t="s">
        <v>6276</v>
      </c>
    </row>
    <row r="42" spans="6:10" ht="24.75" customHeight="1">
      <c r="F42" s="140" t="s">
        <v>4396</v>
      </c>
      <c r="G42" s="140" t="s">
        <v>7058</v>
      </c>
      <c r="H42" s="141" t="s">
        <v>7059</v>
      </c>
      <c r="I42" s="141" t="s">
        <v>7061</v>
      </c>
      <c r="J42" s="146" t="s">
        <v>7062</v>
      </c>
    </row>
    <row r="43" spans="6:10" ht="24.75" customHeight="1">
      <c r="F43" s="140" t="s">
        <v>4396</v>
      </c>
      <c r="G43" s="140" t="s">
        <v>7465</v>
      </c>
      <c r="H43" s="141" t="s">
        <v>7469</v>
      </c>
      <c r="I43" s="141" t="s">
        <v>7468</v>
      </c>
      <c r="J43" s="146" t="s">
        <v>7470</v>
      </c>
    </row>
    <row r="44" spans="6:10" ht="24.75" customHeight="1">
      <c r="F44" s="124"/>
    </row>
    <row r="45" spans="6:10" ht="24.75" customHeight="1">
      <c r="F45" s="121"/>
    </row>
    <row r="46" spans="6:10" ht="24.75" customHeight="1">
      <c r="F46" s="121"/>
    </row>
    <row r="47" spans="6:10" ht="24.75" customHeight="1">
      <c r="F47" s="121"/>
    </row>
    <row r="48" spans="6:10" ht="24.75" customHeight="1">
      <c r="F48" s="121"/>
    </row>
    <row r="49" spans="6:6" ht="24.75" customHeight="1">
      <c r="F49" s="121"/>
    </row>
    <row r="50" spans="6:6" ht="24.75" customHeight="1">
      <c r="F50" s="121"/>
    </row>
    <row r="51" spans="6:6" ht="24.75" customHeight="1">
      <c r="F51" s="121"/>
    </row>
    <row r="52" spans="6:6" ht="24.75" customHeight="1">
      <c r="F52" s="121"/>
    </row>
    <row r="53" spans="6:6" ht="24.75" customHeight="1">
      <c r="F53" s="121"/>
    </row>
  </sheetData>
  <conditionalFormatting sqref="D3:E11">
    <cfRule type="duplicateValues" dxfId="34" priority="92"/>
    <cfRule type="duplicateValues" dxfId="33" priority="93"/>
    <cfRule type="duplicateValues" dxfId="32" priority="94"/>
  </conditionalFormatting>
  <conditionalFormatting sqref="D13:E14">
    <cfRule type="duplicateValues" dxfId="31" priority="85"/>
    <cfRule type="duplicateValues" dxfId="30" priority="86"/>
    <cfRule type="duplicateValues" dxfId="29" priority="87"/>
    <cfRule type="duplicateValues" dxfId="28" priority="88"/>
    <cfRule type="duplicateValues" dxfId="27" priority="89"/>
    <cfRule type="duplicateValues" dxfId="26" priority="90"/>
    <cfRule type="duplicateValues" dxfId="25" priority="91"/>
  </conditionalFormatting>
  <conditionalFormatting sqref="G4">
    <cfRule type="duplicateValues" dxfId="24" priority="82"/>
    <cfRule type="duplicateValues" dxfId="23" priority="83"/>
    <cfRule type="duplicateValues" dxfId="22" priority="84"/>
  </conditionalFormatting>
  <conditionalFormatting sqref="G5:G43">
    <cfRule type="duplicateValues" dxfId="21" priority="12"/>
  </conditionalFormatting>
  <conditionalFormatting sqref="G43">
    <cfRule type="duplicateValues" dxfId="20" priority="1"/>
    <cfRule type="duplicateValues" dxfId="19" priority="2"/>
    <cfRule type="duplicateValues" dxfId="18" priority="3"/>
    <cfRule type="duplicateValues" dxfId="17" priority="4"/>
  </conditionalFormatting>
  <conditionalFormatting sqref="H4">
    <cfRule type="duplicateValues" dxfId="16" priority="80"/>
    <cfRule type="duplicateValues" dxfId="15" priority="81"/>
  </conditionalFormatting>
  <conditionalFormatting sqref="J5:J8">
    <cfRule type="duplicateValues" dxfId="14" priority="11"/>
  </conditionalFormatting>
  <conditionalFormatting sqref="J5:J43">
    <cfRule type="duplicateValues" dxfId="13" priority="9"/>
    <cfRule type="duplicateValues" dxfId="12" priority="10"/>
  </conditionalFormatting>
  <conditionalFormatting sqref="J6">
    <cfRule type="duplicateValues" dxfId="11" priority="8"/>
  </conditionalFormatting>
  <conditionalFormatting sqref="J7">
    <cfRule type="duplicateValues" dxfId="10" priority="7"/>
  </conditionalFormatting>
  <conditionalFormatting sqref="J8">
    <cfRule type="duplicateValues" dxfId="9" priority="6"/>
  </conditionalFormatting>
  <conditionalFormatting sqref="J9:J43">
    <cfRule type="duplicateValues" dxfId="8" priority="5"/>
  </conditionalFormatting>
  <dataValidations disablePrompts="1" count="1">
    <dataValidation allowBlank="1" showInputMessage="1" showErrorMessage="1" sqref="C6:C11 B3:E5 Q3:Q6 D13:E13 L2:L23 L25:L54 F44:F53" xr:uid="{B38E0AF4-2B0D-45D5-9E94-3B39AD3FD761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95A5-CA85-4011-97A9-84A80B57A640}">
  <dimension ref="A1:K4"/>
  <sheetViews>
    <sheetView topLeftCell="B1" workbookViewId="0">
      <selection activeCell="E26" sqref="E26"/>
    </sheetView>
  </sheetViews>
  <sheetFormatPr defaultRowHeight="15"/>
  <cols>
    <col min="1" max="1" width="11.42578125" hidden="1" customWidth="1"/>
    <col min="2" max="2" width="19.42578125" customWidth="1"/>
    <col min="3" max="3" width="17" customWidth="1"/>
    <col min="4" max="4" width="16.28515625" customWidth="1"/>
    <col min="5" max="5" width="39" customWidth="1"/>
    <col min="6" max="6" width="20" customWidth="1"/>
    <col min="7" max="7" width="20.42578125" customWidth="1"/>
    <col min="8" max="8" width="19.5703125" customWidth="1"/>
    <col min="9" max="9" width="26.5703125" customWidth="1"/>
    <col min="10" max="10" width="15.85546875" customWidth="1"/>
    <col min="11" max="11" width="47.28515625" customWidth="1"/>
  </cols>
  <sheetData>
    <row r="1" spans="1:11" ht="15.75">
      <c r="A1" s="339" t="s">
        <v>4329</v>
      </c>
      <c r="B1" s="340"/>
      <c r="C1" s="340"/>
      <c r="D1" s="340"/>
      <c r="E1" s="340"/>
      <c r="F1" s="340"/>
      <c r="G1" s="131"/>
      <c r="H1" s="131"/>
      <c r="I1" s="130"/>
      <c r="J1" s="130"/>
      <c r="K1" s="130"/>
    </row>
    <row r="2" spans="1:11" ht="47.25">
      <c r="A2" s="136" t="s">
        <v>4333</v>
      </c>
      <c r="B2" s="135" t="s">
        <v>4334</v>
      </c>
      <c r="C2" s="135" t="s">
        <v>4335</v>
      </c>
      <c r="D2" s="138" t="s">
        <v>4338</v>
      </c>
      <c r="E2" s="134" t="s">
        <v>102</v>
      </c>
      <c r="F2" s="134" t="s">
        <v>103</v>
      </c>
      <c r="G2" s="133" t="s">
        <v>4360</v>
      </c>
      <c r="H2" s="133" t="s">
        <v>4361</v>
      </c>
      <c r="I2" s="132" t="s">
        <v>4363</v>
      </c>
      <c r="J2" s="132" t="s">
        <v>4364</v>
      </c>
      <c r="K2" s="132" t="s">
        <v>8605</v>
      </c>
    </row>
    <row r="3" spans="1:11" ht="15.75">
      <c r="A3" s="98">
        <v>447</v>
      </c>
      <c r="B3" s="98" t="s">
        <v>4396</v>
      </c>
      <c r="C3" s="98" t="s">
        <v>4413</v>
      </c>
      <c r="D3" s="99" t="s">
        <v>6393</v>
      </c>
      <c r="E3" s="125" t="s">
        <v>6394</v>
      </c>
      <c r="F3" s="125" t="s">
        <v>6396</v>
      </c>
      <c r="G3" s="139">
        <v>127293.82</v>
      </c>
      <c r="H3" s="139">
        <v>127293.82</v>
      </c>
      <c r="I3" s="99" t="s">
        <v>4411</v>
      </c>
      <c r="J3" s="98">
        <v>161832124</v>
      </c>
      <c r="K3" s="98"/>
    </row>
    <row r="4" spans="1:11" ht="31.5">
      <c r="A4" s="98"/>
      <c r="B4" s="98" t="s">
        <v>4396</v>
      </c>
      <c r="C4" s="98" t="s">
        <v>4413</v>
      </c>
      <c r="D4" s="99" t="s">
        <v>4986</v>
      </c>
      <c r="E4" s="109" t="s">
        <v>4987</v>
      </c>
      <c r="F4" s="125" t="s">
        <v>4989</v>
      </c>
      <c r="G4" s="137">
        <v>102856.87</v>
      </c>
      <c r="H4" s="137">
        <v>102856.87</v>
      </c>
      <c r="I4" s="99" t="s">
        <v>4411</v>
      </c>
      <c r="J4" s="98">
        <v>160376178</v>
      </c>
      <c r="K4" s="98" t="s">
        <v>8606</v>
      </c>
    </row>
  </sheetData>
  <mergeCells count="1">
    <mergeCell ref="A1:F1"/>
  </mergeCells>
  <conditionalFormatting sqref="D2">
    <cfRule type="duplicateValues" dxfId="7" priority="5"/>
    <cfRule type="duplicateValues" dxfId="6" priority="6"/>
    <cfRule type="duplicateValues" dxfId="5" priority="7"/>
  </conditionalFormatting>
  <conditionalFormatting sqref="D2:D3">
    <cfRule type="duplicateValues" dxfId="4" priority="4"/>
  </conditionalFormatting>
  <conditionalFormatting sqref="D4">
    <cfRule type="duplicateValues" dxfId="3" priority="1"/>
  </conditionalFormatting>
  <conditionalFormatting sqref="E2">
    <cfRule type="duplicateValues" dxfId="2" priority="3"/>
  </conditionalFormatting>
  <conditionalFormatting sqref="G1:H1">
    <cfRule type="containsText" dxfId="1" priority="2" operator="containsText" text="NÃO RESIDENTE">
      <formula>NOT(ISERROR(SEARCH("NÃO RESIDENTE",G1)))</formula>
    </cfRule>
  </conditionalFormatting>
  <dataValidations count="3">
    <dataValidation type="list" allowBlank="1" showInputMessage="1" showErrorMessage="1" sqref="C3:C4" xr:uid="{87FD8AD7-3E80-47BD-B1C4-D8B0F15ABDB6}">
      <formula1>$C$1:$C$5</formula1>
    </dataValidation>
    <dataValidation type="list" allowBlank="1" showInputMessage="1" showErrorMessage="1" sqref="K3:K4" xr:uid="{47B828D5-DAC8-4574-90C0-36C6B60CBA50}">
      <formula1>$AL$1:$AL$6</formula1>
    </dataValidation>
    <dataValidation allowBlank="1" showInputMessage="1" showErrorMessage="1" sqref="I3:I4" xr:uid="{09CF5EF8-2B65-42C5-AFA9-FA15F334259E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28C6-EFD6-47EC-93E2-28B092EA1742}">
  <dimension ref="B3:J7"/>
  <sheetViews>
    <sheetView workbookViewId="0">
      <selection activeCell="F17" sqref="F17"/>
    </sheetView>
  </sheetViews>
  <sheetFormatPr defaultRowHeight="20.100000000000001" customHeight="1"/>
  <cols>
    <col min="1" max="1" width="9.140625" style="156"/>
    <col min="2" max="2" width="14.140625" style="156" bestFit="1" customWidth="1"/>
    <col min="3" max="3" width="26.85546875" style="156" bestFit="1" customWidth="1"/>
    <col min="4" max="4" width="17.5703125" style="156" bestFit="1" customWidth="1"/>
    <col min="5" max="5" width="16.42578125" style="156" bestFit="1" customWidth="1"/>
    <col min="6" max="6" width="37.5703125" style="156" bestFit="1" customWidth="1"/>
    <col min="7" max="7" width="43.85546875" style="156" bestFit="1" customWidth="1"/>
    <col min="8" max="8" width="18.5703125" style="156" bestFit="1" customWidth="1"/>
    <col min="9" max="9" width="37.5703125" style="156" bestFit="1" customWidth="1"/>
    <col min="10" max="16384" width="9.140625" style="156"/>
  </cols>
  <sheetData>
    <row r="3" spans="2:10" ht="20.100000000000001" customHeight="1">
      <c r="B3" s="155" t="s">
        <v>4396</v>
      </c>
      <c r="C3" s="154" t="s">
        <v>8607</v>
      </c>
      <c r="D3" s="154" t="s">
        <v>4400</v>
      </c>
      <c r="E3" s="154" t="s">
        <v>4401</v>
      </c>
      <c r="F3" s="157" t="s">
        <v>4421</v>
      </c>
      <c r="G3" s="97" t="s">
        <v>4432</v>
      </c>
      <c r="H3" s="156" t="s">
        <v>4405</v>
      </c>
      <c r="I3" s="126" t="s">
        <v>4421</v>
      </c>
      <c r="J3" s="159" t="s">
        <v>4433</v>
      </c>
    </row>
    <row r="4" spans="2:10" ht="20.100000000000001" customHeight="1">
      <c r="C4" s="154" t="s">
        <v>8608</v>
      </c>
      <c r="D4" s="154" t="s">
        <v>4545</v>
      </c>
      <c r="E4" s="154" t="s">
        <v>4428</v>
      </c>
      <c r="F4" s="157" t="s">
        <v>4402</v>
      </c>
      <c r="G4" s="97" t="s">
        <v>4406</v>
      </c>
      <c r="H4" s="156" t="s">
        <v>6139</v>
      </c>
      <c r="I4" s="126" t="s">
        <v>4402</v>
      </c>
      <c r="J4" s="159" t="s">
        <v>14</v>
      </c>
    </row>
    <row r="5" spans="2:10" ht="20.100000000000001" customHeight="1">
      <c r="C5" s="154" t="s">
        <v>4397</v>
      </c>
      <c r="D5" s="154" t="s">
        <v>4546</v>
      </c>
      <c r="E5" s="158" t="s">
        <v>4583</v>
      </c>
      <c r="F5" s="157" t="s">
        <v>8609</v>
      </c>
      <c r="G5" s="126" t="s">
        <v>8610</v>
      </c>
    </row>
    <row r="6" spans="2:10" ht="20.100000000000001" customHeight="1">
      <c r="C6" s="154" t="s">
        <v>4453</v>
      </c>
      <c r="D6" s="154" t="s">
        <v>4412</v>
      </c>
      <c r="E6" s="154"/>
      <c r="F6" s="157" t="s">
        <v>4536</v>
      </c>
      <c r="G6" s="97" t="s">
        <v>4550</v>
      </c>
    </row>
    <row r="7" spans="2:10" ht="20.100000000000001" customHeight="1">
      <c r="C7" s="154" t="s">
        <v>8611</v>
      </c>
      <c r="G7" s="97" t="s">
        <v>8612</v>
      </c>
    </row>
  </sheetData>
  <sheetProtection sheet="1" objects="1" scenarios="1" selectLockedCells="1" selectUnlockedCells="1"/>
  <conditionalFormatting sqref="I3:I4">
    <cfRule type="containsText" dxfId="0" priority="1" operator="containsText" text="NÃO RESIDENTE">
      <formula>NOT(ISERROR(SEARCH("NÃO RESIDENTE",I3)))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Vitória Souza Silva</cp:lastModifiedBy>
  <cp:revision/>
  <dcterms:created xsi:type="dcterms:W3CDTF">2017-02-23T11:47:08Z</dcterms:created>
  <dcterms:modified xsi:type="dcterms:W3CDTF">2026-09-14T16:05:03Z</dcterms:modified>
  <cp:category/>
  <cp:contentStatus/>
</cp:coreProperties>
</file>